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mcginnis\Downloads\"/>
    </mc:Choice>
  </mc:AlternateContent>
  <xr:revisionPtr revIDLastSave="0" documentId="8_{2AD2FD23-0A2D-4367-B798-5AC73D38546D}" xr6:coauthVersionLast="47" xr6:coauthVersionMax="47" xr10:uidLastSave="{00000000-0000-0000-0000-000000000000}"/>
  <bookViews>
    <workbookView xWindow="-120" yWindow="-120" windowWidth="29040" windowHeight="17520" tabRatio="864" xr2:uid="{00000000-000D-0000-FFFF-FFFF00000000}"/>
  </bookViews>
  <sheets>
    <sheet name="Bldgs &amp; Rooms" sheetId="1" r:id="rId1"/>
    <sheet name="Hours" sheetId="2" state="hidden" r:id="rId2"/>
    <sheet name="Components Yr 1" sheetId="3" r:id="rId3"/>
    <sheet name="Components Yr 2" sheetId="4" r:id="rId4"/>
    <sheet name="Components Yr 3" sheetId="5" r:id="rId5"/>
    <sheet name="Calc" sheetId="6" state="hidden" r:id="rId6"/>
    <sheet name="Totals" sheetId="7" r:id="rId7"/>
    <sheet name="Price Calculator" sheetId="15" r:id="rId8"/>
    <sheet name="Scope of Work" sheetId="14" r:id="rId9"/>
    <sheet name="Yr1byTask" sheetId="8" r:id="rId10"/>
    <sheet name="Yr2byTask" sheetId="9" r:id="rId11"/>
    <sheet name="Yr3byTask" sheetId="10" r:id="rId12"/>
    <sheet name="Yr1byRoom" sheetId="11" r:id="rId13"/>
    <sheet name="Yr2byRoom" sheetId="12" r:id="rId14"/>
    <sheet name="Yr3byRoom" sheetId="13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5" l="1"/>
  <c r="H9" i="15"/>
  <c r="AE1" i="13" l="1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E1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  <c r="D4" i="7"/>
  <c r="C4" i="7"/>
  <c r="B53" i="6"/>
  <c r="B31" i="6"/>
  <c r="B9" i="6"/>
  <c r="B8" i="6"/>
  <c r="B21" i="6" s="1"/>
  <c r="B7" i="6"/>
  <c r="B19" i="6" s="1"/>
  <c r="J1111" i="5"/>
  <c r="I1111" i="5"/>
  <c r="H1111" i="5"/>
  <c r="G1111" i="5"/>
  <c r="F1111" i="5"/>
  <c r="E1111" i="5"/>
  <c r="C1111" i="5"/>
  <c r="B1111" i="5"/>
  <c r="A1111" i="5"/>
  <c r="J1110" i="5"/>
  <c r="I1110" i="5"/>
  <c r="H1110" i="5"/>
  <c r="G1110" i="5"/>
  <c r="F1110" i="5"/>
  <c r="E1110" i="5"/>
  <c r="D1110" i="5"/>
  <c r="C1110" i="5"/>
  <c r="B1110" i="5"/>
  <c r="A1110" i="5"/>
  <c r="J1109" i="5"/>
  <c r="I1109" i="5"/>
  <c r="H1109" i="5"/>
  <c r="G1109" i="5"/>
  <c r="F1109" i="5"/>
  <c r="E1109" i="5"/>
  <c r="D1109" i="5"/>
  <c r="C1109" i="5"/>
  <c r="B1109" i="5"/>
  <c r="A1109" i="5"/>
  <c r="J1108" i="5"/>
  <c r="I1108" i="5"/>
  <c r="R1108" i="5" s="1"/>
  <c r="H1108" i="5"/>
  <c r="G1108" i="5"/>
  <c r="F1108" i="5"/>
  <c r="E1108" i="5"/>
  <c r="D1108" i="5"/>
  <c r="C1108" i="5"/>
  <c r="B1108" i="5"/>
  <c r="A1108" i="5"/>
  <c r="J1107" i="5"/>
  <c r="I1107" i="5"/>
  <c r="H1107" i="5"/>
  <c r="R1107" i="5" s="1"/>
  <c r="G1107" i="5"/>
  <c r="D1107" i="5" s="1"/>
  <c r="F1107" i="5"/>
  <c r="E1107" i="5"/>
  <c r="C1107" i="5"/>
  <c r="B1107" i="5"/>
  <c r="A1107" i="5"/>
  <c r="J1106" i="5"/>
  <c r="I1106" i="5"/>
  <c r="H1106" i="5"/>
  <c r="R1106" i="5" s="1"/>
  <c r="G1106" i="5"/>
  <c r="F1106" i="5"/>
  <c r="E1106" i="5"/>
  <c r="C1106" i="5"/>
  <c r="B1106" i="5"/>
  <c r="A1106" i="5"/>
  <c r="J1105" i="5"/>
  <c r="I1105" i="5"/>
  <c r="H1105" i="5"/>
  <c r="G1105" i="5"/>
  <c r="F1105" i="5"/>
  <c r="E1105" i="5"/>
  <c r="C1105" i="5"/>
  <c r="B1105" i="5"/>
  <c r="A1105" i="5"/>
  <c r="J1104" i="5"/>
  <c r="I1104" i="5"/>
  <c r="H1104" i="5"/>
  <c r="G1104" i="5"/>
  <c r="F1104" i="5"/>
  <c r="E1104" i="5"/>
  <c r="C1104" i="5"/>
  <c r="B1104" i="5"/>
  <c r="A1104" i="5"/>
  <c r="J1103" i="5"/>
  <c r="I1103" i="5"/>
  <c r="H1103" i="5"/>
  <c r="G1103" i="5"/>
  <c r="F1103" i="5"/>
  <c r="E1103" i="5"/>
  <c r="S1103" i="5" s="1"/>
  <c r="D1103" i="5"/>
  <c r="C1103" i="5"/>
  <c r="B1103" i="5"/>
  <c r="A1103" i="5"/>
  <c r="J1102" i="5"/>
  <c r="I1102" i="5"/>
  <c r="H1102" i="5"/>
  <c r="D1102" i="5" s="1"/>
  <c r="G1102" i="5"/>
  <c r="F1102" i="5"/>
  <c r="E1102" i="5"/>
  <c r="C1102" i="5"/>
  <c r="B1102" i="5"/>
  <c r="A1102" i="5"/>
  <c r="J1101" i="5"/>
  <c r="I1101" i="5"/>
  <c r="H1101" i="5"/>
  <c r="G1101" i="5"/>
  <c r="F1101" i="5"/>
  <c r="E1101" i="5"/>
  <c r="C1101" i="5"/>
  <c r="B1101" i="5"/>
  <c r="A1101" i="5"/>
  <c r="J1100" i="5"/>
  <c r="I1100" i="5"/>
  <c r="H1100" i="5"/>
  <c r="G1100" i="5"/>
  <c r="F1100" i="5"/>
  <c r="E1100" i="5"/>
  <c r="C1100" i="5"/>
  <c r="B1100" i="5"/>
  <c r="A1100" i="5"/>
  <c r="J1099" i="5"/>
  <c r="I1099" i="5"/>
  <c r="H1099" i="5"/>
  <c r="G1099" i="5"/>
  <c r="F1099" i="5"/>
  <c r="E1099" i="5"/>
  <c r="D1099" i="5"/>
  <c r="C1099" i="5"/>
  <c r="B1099" i="5"/>
  <c r="A1099" i="5"/>
  <c r="J1098" i="5"/>
  <c r="I1098" i="5"/>
  <c r="H1098" i="5"/>
  <c r="G1098" i="5"/>
  <c r="F1098" i="5"/>
  <c r="E1098" i="5"/>
  <c r="S1098" i="5" s="1"/>
  <c r="D1098" i="5"/>
  <c r="C1098" i="5"/>
  <c r="B1098" i="5"/>
  <c r="A1098" i="5"/>
  <c r="J1097" i="5"/>
  <c r="I1097" i="5"/>
  <c r="H1097" i="5"/>
  <c r="G1097" i="5"/>
  <c r="F1097" i="5"/>
  <c r="E1097" i="5"/>
  <c r="S1097" i="5" s="1"/>
  <c r="D1097" i="5"/>
  <c r="C1097" i="5"/>
  <c r="B1097" i="5"/>
  <c r="A1097" i="5"/>
  <c r="J1096" i="5"/>
  <c r="I1096" i="5"/>
  <c r="R1096" i="5" s="1"/>
  <c r="H1096" i="5"/>
  <c r="G1096" i="5"/>
  <c r="F1096" i="5"/>
  <c r="E1096" i="5"/>
  <c r="C1096" i="5"/>
  <c r="B1096" i="5"/>
  <c r="A1096" i="5"/>
  <c r="J1095" i="5"/>
  <c r="I1095" i="5"/>
  <c r="H1095" i="5"/>
  <c r="G1095" i="5"/>
  <c r="D1095" i="5" s="1"/>
  <c r="F1095" i="5"/>
  <c r="E1095" i="5"/>
  <c r="C1095" i="5"/>
  <c r="B1095" i="5"/>
  <c r="A1095" i="5"/>
  <c r="N1094" i="5"/>
  <c r="M1094" i="5"/>
  <c r="J1094" i="5"/>
  <c r="R1094" i="5" s="1"/>
  <c r="I1094" i="5"/>
  <c r="D1094" i="5" s="1"/>
  <c r="H1094" i="5"/>
  <c r="G1094" i="5"/>
  <c r="F1094" i="5"/>
  <c r="E1094" i="5"/>
  <c r="C1094" i="5"/>
  <c r="B1094" i="5"/>
  <c r="A1094" i="5"/>
  <c r="P1093" i="5"/>
  <c r="N1093" i="5"/>
  <c r="M1093" i="5"/>
  <c r="J1093" i="5"/>
  <c r="I1093" i="5"/>
  <c r="H1093" i="5"/>
  <c r="G1093" i="5"/>
  <c r="F1093" i="5"/>
  <c r="E1093" i="5"/>
  <c r="C1093" i="5"/>
  <c r="B1093" i="5"/>
  <c r="A1093" i="5"/>
  <c r="S1092" i="5"/>
  <c r="R1092" i="5"/>
  <c r="P1092" i="5"/>
  <c r="N1092" i="5"/>
  <c r="M1092" i="5"/>
  <c r="J1092" i="5"/>
  <c r="I1092" i="5"/>
  <c r="H1092" i="5"/>
  <c r="G1092" i="5"/>
  <c r="F1092" i="5"/>
  <c r="D1092" i="5" s="1"/>
  <c r="E1092" i="5"/>
  <c r="C1092" i="5"/>
  <c r="B1092" i="5"/>
  <c r="A1092" i="5"/>
  <c r="K1091" i="5"/>
  <c r="J1091" i="5"/>
  <c r="I1091" i="5"/>
  <c r="H1091" i="5"/>
  <c r="D1091" i="5" s="1"/>
  <c r="G1091" i="5"/>
  <c r="F1091" i="5"/>
  <c r="E1091" i="5"/>
  <c r="C1091" i="5"/>
  <c r="B1091" i="5"/>
  <c r="A1091" i="5"/>
  <c r="K1090" i="5"/>
  <c r="J1090" i="5"/>
  <c r="I1090" i="5"/>
  <c r="H1090" i="5"/>
  <c r="D1090" i="5" s="1"/>
  <c r="G1090" i="5"/>
  <c r="F1090" i="5"/>
  <c r="E1090" i="5"/>
  <c r="C1090" i="5"/>
  <c r="B1090" i="5"/>
  <c r="A1090" i="5"/>
  <c r="K1089" i="5"/>
  <c r="J1089" i="5"/>
  <c r="I1089" i="5"/>
  <c r="H1089" i="5"/>
  <c r="G1089" i="5"/>
  <c r="F1089" i="5"/>
  <c r="E1089" i="5"/>
  <c r="C1089" i="5"/>
  <c r="B1089" i="5"/>
  <c r="A1089" i="5"/>
  <c r="O1088" i="5"/>
  <c r="J1088" i="5"/>
  <c r="I1088" i="5"/>
  <c r="H1088" i="5"/>
  <c r="G1088" i="5"/>
  <c r="F1088" i="5"/>
  <c r="E1088" i="5"/>
  <c r="C1088" i="5"/>
  <c r="B1088" i="5"/>
  <c r="A1088" i="5"/>
  <c r="O1087" i="5"/>
  <c r="J1087" i="5"/>
  <c r="I1087" i="5"/>
  <c r="H1087" i="5"/>
  <c r="G1087" i="5"/>
  <c r="F1087" i="5"/>
  <c r="E1087" i="5"/>
  <c r="C1087" i="5"/>
  <c r="B1087" i="5"/>
  <c r="A1087" i="5"/>
  <c r="J1086" i="5"/>
  <c r="I1086" i="5"/>
  <c r="R1086" i="5" s="1"/>
  <c r="H1086" i="5"/>
  <c r="G1086" i="5"/>
  <c r="F1086" i="5"/>
  <c r="E1086" i="5"/>
  <c r="S1086" i="5" s="1"/>
  <c r="C1086" i="5"/>
  <c r="B1086" i="5"/>
  <c r="A1086" i="5"/>
  <c r="K1085" i="5"/>
  <c r="J1085" i="5"/>
  <c r="I1085" i="5"/>
  <c r="H1085" i="5"/>
  <c r="G1085" i="5"/>
  <c r="F1085" i="5"/>
  <c r="S1085" i="5" s="1"/>
  <c r="E1085" i="5"/>
  <c r="C1085" i="5"/>
  <c r="B1085" i="5"/>
  <c r="A1085" i="5"/>
  <c r="O1084" i="5"/>
  <c r="K1084" i="5"/>
  <c r="J1084" i="5"/>
  <c r="I1084" i="5"/>
  <c r="H1084" i="5"/>
  <c r="G1084" i="5"/>
  <c r="F1084" i="5"/>
  <c r="E1084" i="5"/>
  <c r="C1084" i="5"/>
  <c r="B1084" i="5"/>
  <c r="A1084" i="5"/>
  <c r="O1083" i="5"/>
  <c r="J1083" i="5"/>
  <c r="I1083" i="5"/>
  <c r="H1083" i="5"/>
  <c r="G1083" i="5"/>
  <c r="F1083" i="5"/>
  <c r="E1083" i="5"/>
  <c r="C1083" i="5"/>
  <c r="B1083" i="5"/>
  <c r="A1083" i="5"/>
  <c r="O1082" i="5"/>
  <c r="J1082" i="5"/>
  <c r="I1082" i="5"/>
  <c r="H1082" i="5"/>
  <c r="G1082" i="5"/>
  <c r="F1082" i="5"/>
  <c r="E1082" i="5"/>
  <c r="D1082" i="5" s="1"/>
  <c r="C1082" i="5"/>
  <c r="B1082" i="5"/>
  <c r="A1082" i="5"/>
  <c r="O1081" i="5"/>
  <c r="R1081" i="5" s="1"/>
  <c r="K1081" i="5"/>
  <c r="J1081" i="5"/>
  <c r="I1081" i="5"/>
  <c r="H1081" i="5"/>
  <c r="G1081" i="5"/>
  <c r="F1081" i="5"/>
  <c r="S1081" i="5" s="1"/>
  <c r="E1081" i="5"/>
  <c r="D1081" i="5" s="1"/>
  <c r="C1081" i="5"/>
  <c r="B1081" i="5"/>
  <c r="A1081" i="5"/>
  <c r="S1080" i="5"/>
  <c r="K1080" i="5"/>
  <c r="J1080" i="5"/>
  <c r="I1080" i="5"/>
  <c r="H1080" i="5"/>
  <c r="G1080" i="5"/>
  <c r="F1080" i="5"/>
  <c r="E1080" i="5"/>
  <c r="C1080" i="5"/>
  <c r="B1080" i="5"/>
  <c r="A1080" i="5"/>
  <c r="J1079" i="5"/>
  <c r="I1079" i="5"/>
  <c r="H1079" i="5"/>
  <c r="G1079" i="5"/>
  <c r="F1079" i="5"/>
  <c r="E1079" i="5"/>
  <c r="C1079" i="5"/>
  <c r="B1079" i="5"/>
  <c r="A1079" i="5"/>
  <c r="O1078" i="5"/>
  <c r="K1078" i="5"/>
  <c r="J1078" i="5"/>
  <c r="I1078" i="5"/>
  <c r="H1078" i="5"/>
  <c r="G1078" i="5"/>
  <c r="D1078" i="5" s="1"/>
  <c r="F1078" i="5"/>
  <c r="E1078" i="5"/>
  <c r="C1078" i="5"/>
  <c r="B1078" i="5"/>
  <c r="A1078" i="5"/>
  <c r="L1077" i="5"/>
  <c r="J1077" i="5"/>
  <c r="I1077" i="5"/>
  <c r="H1077" i="5"/>
  <c r="G1077" i="5"/>
  <c r="F1077" i="5"/>
  <c r="E1077" i="5"/>
  <c r="C1077" i="5"/>
  <c r="B1077" i="5"/>
  <c r="A1077" i="5"/>
  <c r="K1076" i="5"/>
  <c r="J1076" i="5"/>
  <c r="I1076" i="5"/>
  <c r="H1076" i="5"/>
  <c r="G1076" i="5"/>
  <c r="F1076" i="5"/>
  <c r="E1076" i="5"/>
  <c r="C1076" i="5"/>
  <c r="B1076" i="5"/>
  <c r="A1076" i="5"/>
  <c r="O1075" i="5"/>
  <c r="L1075" i="5"/>
  <c r="K1075" i="5"/>
  <c r="J1075" i="5"/>
  <c r="I1075" i="5"/>
  <c r="H1075" i="5"/>
  <c r="G1075" i="5"/>
  <c r="F1075" i="5"/>
  <c r="E1075" i="5"/>
  <c r="C1075" i="5"/>
  <c r="B1075" i="5"/>
  <c r="A1075" i="5"/>
  <c r="J1074" i="5"/>
  <c r="I1074" i="5"/>
  <c r="H1074" i="5"/>
  <c r="R1074" i="5" s="1"/>
  <c r="G1074" i="5"/>
  <c r="D1074" i="5" s="1"/>
  <c r="F1074" i="5"/>
  <c r="E1074" i="5"/>
  <c r="C1074" i="5"/>
  <c r="B1074" i="5"/>
  <c r="A1074" i="5"/>
  <c r="S1073" i="5"/>
  <c r="J1073" i="5"/>
  <c r="I1073" i="5"/>
  <c r="H1073" i="5"/>
  <c r="R1073" i="5" s="1"/>
  <c r="G1073" i="5"/>
  <c r="D1073" i="5" s="1"/>
  <c r="F1073" i="5"/>
  <c r="E1073" i="5"/>
  <c r="C1073" i="5"/>
  <c r="B1073" i="5"/>
  <c r="A1073" i="5"/>
  <c r="J1072" i="5"/>
  <c r="I1072" i="5"/>
  <c r="S1072" i="5" s="1"/>
  <c r="H1072" i="5"/>
  <c r="G1072" i="5"/>
  <c r="F1072" i="5"/>
  <c r="E1072" i="5"/>
  <c r="C1072" i="5"/>
  <c r="B1072" i="5"/>
  <c r="A1072" i="5"/>
  <c r="S1071" i="5"/>
  <c r="J1071" i="5"/>
  <c r="I1071" i="5"/>
  <c r="H1071" i="5"/>
  <c r="R1071" i="5" s="1"/>
  <c r="G1071" i="5"/>
  <c r="F1071" i="5"/>
  <c r="E1071" i="5"/>
  <c r="C1071" i="5"/>
  <c r="B1071" i="5"/>
  <c r="A1071" i="5"/>
  <c r="J1070" i="5"/>
  <c r="I1070" i="5"/>
  <c r="H1070" i="5"/>
  <c r="G1070" i="5"/>
  <c r="F1070" i="5"/>
  <c r="E1070" i="5"/>
  <c r="C1070" i="5"/>
  <c r="B1070" i="5"/>
  <c r="A1070" i="5"/>
  <c r="J1069" i="5"/>
  <c r="I1069" i="5"/>
  <c r="H1069" i="5"/>
  <c r="G1069" i="5"/>
  <c r="F1069" i="5"/>
  <c r="E1069" i="5"/>
  <c r="C1069" i="5"/>
  <c r="B1069" i="5"/>
  <c r="A1069" i="5"/>
  <c r="J1068" i="5"/>
  <c r="I1068" i="5"/>
  <c r="H1068" i="5"/>
  <c r="G1068" i="5"/>
  <c r="D1068" i="5" s="1"/>
  <c r="F1068" i="5"/>
  <c r="E1068" i="5"/>
  <c r="C1068" i="5"/>
  <c r="B1068" i="5"/>
  <c r="A1068" i="5"/>
  <c r="J1067" i="5"/>
  <c r="I1067" i="5"/>
  <c r="H1067" i="5"/>
  <c r="S1067" i="5" s="1"/>
  <c r="G1067" i="5"/>
  <c r="D1067" i="5" s="1"/>
  <c r="F1067" i="5"/>
  <c r="E1067" i="5"/>
  <c r="C1067" i="5"/>
  <c r="B1067" i="5"/>
  <c r="A1067" i="5"/>
  <c r="J1066" i="5"/>
  <c r="I1066" i="5"/>
  <c r="H1066" i="5"/>
  <c r="S1066" i="5" s="1"/>
  <c r="G1066" i="5"/>
  <c r="D1066" i="5" s="1"/>
  <c r="F1066" i="5"/>
  <c r="E1066" i="5"/>
  <c r="C1066" i="5"/>
  <c r="B1066" i="5"/>
  <c r="A1066" i="5"/>
  <c r="S1065" i="5"/>
  <c r="J1065" i="5"/>
  <c r="I1065" i="5"/>
  <c r="H1065" i="5"/>
  <c r="R1065" i="5" s="1"/>
  <c r="G1065" i="5"/>
  <c r="D1065" i="5" s="1"/>
  <c r="F1065" i="5"/>
  <c r="E1065" i="5"/>
  <c r="C1065" i="5"/>
  <c r="B1065" i="5"/>
  <c r="A1065" i="5"/>
  <c r="S1064" i="5"/>
  <c r="R1064" i="5"/>
  <c r="J1064" i="5"/>
  <c r="I1064" i="5"/>
  <c r="H1064" i="5"/>
  <c r="G1064" i="5"/>
  <c r="D1064" i="5" s="1"/>
  <c r="F1064" i="5"/>
  <c r="E1064" i="5"/>
  <c r="C1064" i="5"/>
  <c r="B1064" i="5"/>
  <c r="A1064" i="5"/>
  <c r="R1063" i="5"/>
  <c r="J1063" i="5"/>
  <c r="S1063" i="5" s="1"/>
  <c r="I1063" i="5"/>
  <c r="H1063" i="5"/>
  <c r="G1063" i="5"/>
  <c r="F1063" i="5"/>
  <c r="E1063" i="5"/>
  <c r="C1063" i="5"/>
  <c r="B1063" i="5"/>
  <c r="A1063" i="5"/>
  <c r="J1062" i="5"/>
  <c r="I1062" i="5"/>
  <c r="S1062" i="5" s="1"/>
  <c r="H1062" i="5"/>
  <c r="G1062" i="5"/>
  <c r="F1062" i="5"/>
  <c r="E1062" i="5"/>
  <c r="C1062" i="5"/>
  <c r="B1062" i="5"/>
  <c r="A1062" i="5"/>
  <c r="S1061" i="5"/>
  <c r="J1061" i="5"/>
  <c r="I1061" i="5"/>
  <c r="H1061" i="5"/>
  <c r="G1061" i="5"/>
  <c r="F1061" i="5"/>
  <c r="E1061" i="5"/>
  <c r="C1061" i="5"/>
  <c r="B1061" i="5"/>
  <c r="A1061" i="5"/>
  <c r="S1060" i="5"/>
  <c r="R1060" i="5"/>
  <c r="J1060" i="5"/>
  <c r="I1060" i="5"/>
  <c r="H1060" i="5"/>
  <c r="D1060" i="5" s="1"/>
  <c r="G1060" i="5"/>
  <c r="F1060" i="5"/>
  <c r="E1060" i="5"/>
  <c r="C1060" i="5"/>
  <c r="B1060" i="5"/>
  <c r="A1060" i="5"/>
  <c r="J1059" i="5"/>
  <c r="I1059" i="5"/>
  <c r="H1059" i="5"/>
  <c r="G1059" i="5"/>
  <c r="F1059" i="5"/>
  <c r="E1059" i="5"/>
  <c r="C1059" i="5"/>
  <c r="B1059" i="5"/>
  <c r="A1059" i="5"/>
  <c r="J1058" i="5"/>
  <c r="I1058" i="5"/>
  <c r="H1058" i="5"/>
  <c r="G1058" i="5"/>
  <c r="F1058" i="5"/>
  <c r="E1058" i="5"/>
  <c r="C1058" i="5"/>
  <c r="B1058" i="5"/>
  <c r="A1058" i="5"/>
  <c r="N1057" i="5"/>
  <c r="M1057" i="5"/>
  <c r="J1057" i="5"/>
  <c r="I1057" i="5"/>
  <c r="H1057" i="5"/>
  <c r="G1057" i="5"/>
  <c r="F1057" i="5"/>
  <c r="E1057" i="5"/>
  <c r="D1057" i="5" s="1"/>
  <c r="C1057" i="5"/>
  <c r="B1057" i="5"/>
  <c r="A1057" i="5"/>
  <c r="R1056" i="5"/>
  <c r="P1056" i="5"/>
  <c r="N1056" i="5"/>
  <c r="M1056" i="5"/>
  <c r="J1056" i="5"/>
  <c r="I1056" i="5"/>
  <c r="H1056" i="5"/>
  <c r="G1056" i="5"/>
  <c r="F1056" i="5"/>
  <c r="E1056" i="5"/>
  <c r="C1056" i="5"/>
  <c r="B1056" i="5"/>
  <c r="A1056" i="5"/>
  <c r="P1055" i="5"/>
  <c r="N1055" i="5"/>
  <c r="M1055" i="5"/>
  <c r="J1055" i="5"/>
  <c r="I1055" i="5"/>
  <c r="H1055" i="5"/>
  <c r="G1055" i="5"/>
  <c r="F1055" i="5"/>
  <c r="E1055" i="5"/>
  <c r="D1055" i="5"/>
  <c r="C1055" i="5"/>
  <c r="B1055" i="5"/>
  <c r="A1055" i="5"/>
  <c r="K1054" i="5"/>
  <c r="J1054" i="5"/>
  <c r="I1054" i="5"/>
  <c r="H1054" i="5"/>
  <c r="G1054" i="5"/>
  <c r="F1054" i="5"/>
  <c r="E1054" i="5"/>
  <c r="C1054" i="5"/>
  <c r="B1054" i="5"/>
  <c r="A1054" i="5"/>
  <c r="K1053" i="5"/>
  <c r="J1053" i="5"/>
  <c r="S1053" i="5" s="1"/>
  <c r="I1053" i="5"/>
  <c r="H1053" i="5"/>
  <c r="G1053" i="5"/>
  <c r="F1053" i="5"/>
  <c r="E1053" i="5"/>
  <c r="D1053" i="5" s="1"/>
  <c r="C1053" i="5"/>
  <c r="B1053" i="5"/>
  <c r="A1053" i="5"/>
  <c r="K1052" i="5"/>
  <c r="J1052" i="5"/>
  <c r="S1052" i="5" s="1"/>
  <c r="I1052" i="5"/>
  <c r="H1052" i="5"/>
  <c r="G1052" i="5"/>
  <c r="F1052" i="5"/>
  <c r="E1052" i="5"/>
  <c r="C1052" i="5"/>
  <c r="B1052" i="5"/>
  <c r="A1052" i="5"/>
  <c r="O1051" i="5"/>
  <c r="J1051" i="5"/>
  <c r="S1051" i="5" s="1"/>
  <c r="I1051" i="5"/>
  <c r="H1051" i="5"/>
  <c r="G1051" i="5"/>
  <c r="F1051" i="5"/>
  <c r="E1051" i="5"/>
  <c r="C1051" i="5"/>
  <c r="B1051" i="5"/>
  <c r="A1051" i="5"/>
  <c r="O1050" i="5"/>
  <c r="J1050" i="5"/>
  <c r="S1050" i="5" s="1"/>
  <c r="I1050" i="5"/>
  <c r="H1050" i="5"/>
  <c r="G1050" i="5"/>
  <c r="F1050" i="5"/>
  <c r="E1050" i="5"/>
  <c r="D1050" i="5"/>
  <c r="C1050" i="5"/>
  <c r="B1050" i="5"/>
  <c r="A1050" i="5"/>
  <c r="R1049" i="5"/>
  <c r="J1049" i="5"/>
  <c r="S1049" i="5" s="1"/>
  <c r="I1049" i="5"/>
  <c r="H1049" i="5"/>
  <c r="G1049" i="5"/>
  <c r="F1049" i="5"/>
  <c r="E1049" i="5"/>
  <c r="D1049" i="5"/>
  <c r="C1049" i="5"/>
  <c r="B1049" i="5"/>
  <c r="A1049" i="5"/>
  <c r="K1048" i="5"/>
  <c r="J1048" i="5"/>
  <c r="I1048" i="5"/>
  <c r="H1048" i="5"/>
  <c r="G1048" i="5"/>
  <c r="F1048" i="5"/>
  <c r="E1048" i="5"/>
  <c r="S1048" i="5" s="1"/>
  <c r="D1048" i="5"/>
  <c r="C1048" i="5"/>
  <c r="B1048" i="5"/>
  <c r="A1048" i="5"/>
  <c r="O1047" i="5"/>
  <c r="K1047" i="5"/>
  <c r="J1047" i="5"/>
  <c r="I1047" i="5"/>
  <c r="H1047" i="5"/>
  <c r="G1047" i="5"/>
  <c r="F1047" i="5"/>
  <c r="E1047" i="5"/>
  <c r="C1047" i="5"/>
  <c r="B1047" i="5"/>
  <c r="A1047" i="5"/>
  <c r="O1046" i="5"/>
  <c r="J1046" i="5"/>
  <c r="I1046" i="5"/>
  <c r="H1046" i="5"/>
  <c r="G1046" i="5"/>
  <c r="F1046" i="5"/>
  <c r="E1046" i="5"/>
  <c r="C1046" i="5"/>
  <c r="B1046" i="5"/>
  <c r="A1046" i="5"/>
  <c r="O1045" i="5"/>
  <c r="J1045" i="5"/>
  <c r="I1045" i="5"/>
  <c r="H1045" i="5"/>
  <c r="G1045" i="5"/>
  <c r="F1045" i="5"/>
  <c r="E1045" i="5"/>
  <c r="D1045" i="5"/>
  <c r="C1045" i="5"/>
  <c r="B1045" i="5"/>
  <c r="A1045" i="5"/>
  <c r="O1044" i="5"/>
  <c r="K1044" i="5"/>
  <c r="J1044" i="5"/>
  <c r="I1044" i="5"/>
  <c r="H1044" i="5"/>
  <c r="G1044" i="5"/>
  <c r="F1044" i="5"/>
  <c r="E1044" i="5"/>
  <c r="D1044" i="5"/>
  <c r="C1044" i="5"/>
  <c r="B1044" i="5"/>
  <c r="A1044" i="5"/>
  <c r="K1043" i="5"/>
  <c r="J1043" i="5"/>
  <c r="I1043" i="5"/>
  <c r="H1043" i="5"/>
  <c r="G1043" i="5"/>
  <c r="F1043" i="5"/>
  <c r="E1043" i="5"/>
  <c r="C1043" i="5"/>
  <c r="B1043" i="5"/>
  <c r="A1043" i="5"/>
  <c r="J1042" i="5"/>
  <c r="I1042" i="5"/>
  <c r="H1042" i="5"/>
  <c r="G1042" i="5"/>
  <c r="F1042" i="5"/>
  <c r="E1042" i="5"/>
  <c r="D1042" i="5" s="1"/>
  <c r="C1042" i="5"/>
  <c r="B1042" i="5"/>
  <c r="A1042" i="5"/>
  <c r="O1041" i="5"/>
  <c r="K1041" i="5"/>
  <c r="J1041" i="5"/>
  <c r="I1041" i="5"/>
  <c r="H1041" i="5"/>
  <c r="G1041" i="5"/>
  <c r="S1041" i="5" s="1"/>
  <c r="F1041" i="5"/>
  <c r="D1041" i="5" s="1"/>
  <c r="E1041" i="5"/>
  <c r="C1041" i="5"/>
  <c r="B1041" i="5"/>
  <c r="A1041" i="5"/>
  <c r="S1040" i="5"/>
  <c r="R1040" i="5"/>
  <c r="L1040" i="5"/>
  <c r="J1040" i="5"/>
  <c r="I1040" i="5"/>
  <c r="H1040" i="5"/>
  <c r="D1040" i="5" s="1"/>
  <c r="G1040" i="5"/>
  <c r="F1040" i="5"/>
  <c r="E1040" i="5"/>
  <c r="C1040" i="5"/>
  <c r="B1040" i="5"/>
  <c r="A1040" i="5"/>
  <c r="S1039" i="5"/>
  <c r="R1039" i="5"/>
  <c r="K1039" i="5"/>
  <c r="J1039" i="5"/>
  <c r="I1039" i="5"/>
  <c r="H1039" i="5"/>
  <c r="G1039" i="5"/>
  <c r="F1039" i="5"/>
  <c r="E1039" i="5"/>
  <c r="D1039" i="5"/>
  <c r="C1039" i="5"/>
  <c r="B1039" i="5"/>
  <c r="A1039" i="5"/>
  <c r="O1038" i="5"/>
  <c r="L1038" i="5"/>
  <c r="K1038" i="5"/>
  <c r="J1038" i="5"/>
  <c r="I1038" i="5"/>
  <c r="H1038" i="5"/>
  <c r="G1038" i="5"/>
  <c r="F1038" i="5"/>
  <c r="E1038" i="5"/>
  <c r="C1038" i="5"/>
  <c r="B1038" i="5"/>
  <c r="A1038" i="5"/>
  <c r="J1037" i="5"/>
  <c r="I1037" i="5"/>
  <c r="H1037" i="5"/>
  <c r="G1037" i="5"/>
  <c r="F1037" i="5"/>
  <c r="D1037" i="5" s="1"/>
  <c r="E1037" i="5"/>
  <c r="S1037" i="5" s="1"/>
  <c r="C1037" i="5"/>
  <c r="B1037" i="5"/>
  <c r="A1037" i="5"/>
  <c r="J1036" i="5"/>
  <c r="I1036" i="5"/>
  <c r="H1036" i="5"/>
  <c r="G1036" i="5"/>
  <c r="F1036" i="5"/>
  <c r="E1036" i="5"/>
  <c r="C1036" i="5"/>
  <c r="B1036" i="5"/>
  <c r="A1036" i="5"/>
  <c r="J1035" i="5"/>
  <c r="I1035" i="5"/>
  <c r="H1035" i="5"/>
  <c r="G1035" i="5"/>
  <c r="F1035" i="5"/>
  <c r="E1035" i="5"/>
  <c r="D1035" i="5"/>
  <c r="C1035" i="5"/>
  <c r="B1035" i="5"/>
  <c r="A1035" i="5"/>
  <c r="J1034" i="5"/>
  <c r="I1034" i="5"/>
  <c r="H1034" i="5"/>
  <c r="G1034" i="5"/>
  <c r="F1034" i="5"/>
  <c r="E1034" i="5"/>
  <c r="R1034" i="5" s="1"/>
  <c r="D1034" i="5"/>
  <c r="C1034" i="5"/>
  <c r="B1034" i="5"/>
  <c r="A1034" i="5"/>
  <c r="J1033" i="5"/>
  <c r="I1033" i="5"/>
  <c r="H1033" i="5"/>
  <c r="G1033" i="5"/>
  <c r="F1033" i="5"/>
  <c r="E1033" i="5"/>
  <c r="R1033" i="5" s="1"/>
  <c r="D1033" i="5"/>
  <c r="C1033" i="5"/>
  <c r="B1033" i="5"/>
  <c r="A1033" i="5"/>
  <c r="S1032" i="5"/>
  <c r="J1032" i="5"/>
  <c r="I1032" i="5"/>
  <c r="H1032" i="5"/>
  <c r="G1032" i="5"/>
  <c r="F1032" i="5"/>
  <c r="E1032" i="5"/>
  <c r="R1032" i="5" s="1"/>
  <c r="D1032" i="5"/>
  <c r="C1032" i="5"/>
  <c r="B1032" i="5"/>
  <c r="A1032" i="5"/>
  <c r="S1031" i="5"/>
  <c r="J1031" i="5"/>
  <c r="I1031" i="5"/>
  <c r="H1031" i="5"/>
  <c r="G1031" i="5"/>
  <c r="F1031" i="5"/>
  <c r="E1031" i="5"/>
  <c r="D1031" i="5"/>
  <c r="C1031" i="5"/>
  <c r="B1031" i="5"/>
  <c r="A1031" i="5"/>
  <c r="S1030" i="5"/>
  <c r="J1030" i="5"/>
  <c r="I1030" i="5"/>
  <c r="H1030" i="5"/>
  <c r="G1030" i="5"/>
  <c r="F1030" i="5"/>
  <c r="D1030" i="5" s="1"/>
  <c r="E1030" i="5"/>
  <c r="C1030" i="5"/>
  <c r="B1030" i="5"/>
  <c r="A1030" i="5"/>
  <c r="S1029" i="5"/>
  <c r="J1029" i="5"/>
  <c r="I1029" i="5"/>
  <c r="H1029" i="5"/>
  <c r="G1029" i="5"/>
  <c r="F1029" i="5"/>
  <c r="E1029" i="5"/>
  <c r="D1029" i="5" s="1"/>
  <c r="C1029" i="5"/>
  <c r="B1029" i="5"/>
  <c r="A1029" i="5"/>
  <c r="S1028" i="5"/>
  <c r="J1028" i="5"/>
  <c r="I1028" i="5"/>
  <c r="H1028" i="5"/>
  <c r="G1028" i="5"/>
  <c r="F1028" i="5"/>
  <c r="E1028" i="5"/>
  <c r="D1028" i="5" s="1"/>
  <c r="C1028" i="5"/>
  <c r="B1028" i="5"/>
  <c r="A1028" i="5"/>
  <c r="S1027" i="5"/>
  <c r="J1027" i="5"/>
  <c r="I1027" i="5"/>
  <c r="H1027" i="5"/>
  <c r="G1027" i="5"/>
  <c r="F1027" i="5"/>
  <c r="E1027" i="5"/>
  <c r="R1027" i="5" s="1"/>
  <c r="C1027" i="5"/>
  <c r="B1027" i="5"/>
  <c r="A1027" i="5"/>
  <c r="J1026" i="5"/>
  <c r="I1026" i="5"/>
  <c r="H1026" i="5"/>
  <c r="G1026" i="5"/>
  <c r="D1026" i="5" s="1"/>
  <c r="F1026" i="5"/>
  <c r="E1026" i="5"/>
  <c r="C1026" i="5"/>
  <c r="B1026" i="5"/>
  <c r="A1026" i="5"/>
  <c r="J1025" i="5"/>
  <c r="I1025" i="5"/>
  <c r="H1025" i="5"/>
  <c r="G1025" i="5"/>
  <c r="F1025" i="5"/>
  <c r="E1025" i="5"/>
  <c r="C1025" i="5"/>
  <c r="B1025" i="5"/>
  <c r="A1025" i="5"/>
  <c r="J1024" i="5"/>
  <c r="I1024" i="5"/>
  <c r="H1024" i="5"/>
  <c r="G1024" i="5"/>
  <c r="F1024" i="5"/>
  <c r="E1024" i="5"/>
  <c r="C1024" i="5"/>
  <c r="B1024" i="5"/>
  <c r="A1024" i="5"/>
  <c r="J1023" i="5"/>
  <c r="I1023" i="5"/>
  <c r="H1023" i="5"/>
  <c r="G1023" i="5"/>
  <c r="F1023" i="5"/>
  <c r="E1023" i="5"/>
  <c r="D1023" i="5"/>
  <c r="C1023" i="5"/>
  <c r="B1023" i="5"/>
  <c r="A1023" i="5"/>
  <c r="J1022" i="5"/>
  <c r="I1022" i="5"/>
  <c r="H1022" i="5"/>
  <c r="G1022" i="5"/>
  <c r="F1022" i="5"/>
  <c r="E1022" i="5"/>
  <c r="D1022" i="5" s="1"/>
  <c r="C1022" i="5"/>
  <c r="B1022" i="5"/>
  <c r="A1022" i="5"/>
  <c r="J1021" i="5"/>
  <c r="I1021" i="5"/>
  <c r="H1021" i="5"/>
  <c r="G1021" i="5"/>
  <c r="F1021" i="5"/>
  <c r="E1021" i="5"/>
  <c r="R1021" i="5" s="1"/>
  <c r="D1021" i="5"/>
  <c r="C1021" i="5"/>
  <c r="B1021" i="5"/>
  <c r="A1021" i="5"/>
  <c r="N1020" i="5"/>
  <c r="M1020" i="5"/>
  <c r="J1020" i="5"/>
  <c r="I1020" i="5"/>
  <c r="H1020" i="5"/>
  <c r="G1020" i="5"/>
  <c r="F1020" i="5"/>
  <c r="E1020" i="5"/>
  <c r="D1020" i="5" s="1"/>
  <c r="C1020" i="5"/>
  <c r="B1020" i="5"/>
  <c r="A1020" i="5"/>
  <c r="P1019" i="5"/>
  <c r="N1019" i="5"/>
  <c r="M1019" i="5"/>
  <c r="J1019" i="5"/>
  <c r="I1019" i="5"/>
  <c r="H1019" i="5"/>
  <c r="G1019" i="5"/>
  <c r="F1019" i="5"/>
  <c r="E1019" i="5"/>
  <c r="C1019" i="5"/>
  <c r="B1019" i="5"/>
  <c r="A1019" i="5"/>
  <c r="P1018" i="5"/>
  <c r="N1018" i="5"/>
  <c r="M1018" i="5"/>
  <c r="J1018" i="5"/>
  <c r="I1018" i="5"/>
  <c r="H1018" i="5"/>
  <c r="G1018" i="5"/>
  <c r="D1018" i="5" s="1"/>
  <c r="F1018" i="5"/>
  <c r="E1018" i="5"/>
  <c r="C1018" i="5"/>
  <c r="B1018" i="5"/>
  <c r="A1018" i="5"/>
  <c r="K1017" i="5"/>
  <c r="J1017" i="5"/>
  <c r="I1017" i="5"/>
  <c r="D1017" i="5" s="1"/>
  <c r="H1017" i="5"/>
  <c r="G1017" i="5"/>
  <c r="F1017" i="5"/>
  <c r="E1017" i="5"/>
  <c r="C1017" i="5"/>
  <c r="B1017" i="5"/>
  <c r="A1017" i="5"/>
  <c r="K1016" i="5"/>
  <c r="J1016" i="5"/>
  <c r="D1016" i="5" s="1"/>
  <c r="I1016" i="5"/>
  <c r="H1016" i="5"/>
  <c r="G1016" i="5"/>
  <c r="F1016" i="5"/>
  <c r="E1016" i="5"/>
  <c r="S1016" i="5" s="1"/>
  <c r="C1016" i="5"/>
  <c r="B1016" i="5"/>
  <c r="A1016" i="5"/>
  <c r="K1015" i="5"/>
  <c r="J1015" i="5"/>
  <c r="I1015" i="5"/>
  <c r="H1015" i="5"/>
  <c r="G1015" i="5"/>
  <c r="F1015" i="5"/>
  <c r="E1015" i="5"/>
  <c r="D1015" i="5" s="1"/>
  <c r="C1015" i="5"/>
  <c r="B1015" i="5"/>
  <c r="A1015" i="5"/>
  <c r="R1014" i="5"/>
  <c r="O1014" i="5"/>
  <c r="J1014" i="5"/>
  <c r="I1014" i="5"/>
  <c r="H1014" i="5"/>
  <c r="G1014" i="5"/>
  <c r="F1014" i="5"/>
  <c r="E1014" i="5"/>
  <c r="D1014" i="5" s="1"/>
  <c r="C1014" i="5"/>
  <c r="B1014" i="5"/>
  <c r="A1014" i="5"/>
  <c r="S1013" i="5"/>
  <c r="O1013" i="5"/>
  <c r="J1013" i="5"/>
  <c r="I1013" i="5"/>
  <c r="H1013" i="5"/>
  <c r="G1013" i="5"/>
  <c r="F1013" i="5"/>
  <c r="E1013" i="5"/>
  <c r="D1013" i="5" s="1"/>
  <c r="C1013" i="5"/>
  <c r="B1013" i="5"/>
  <c r="A1013" i="5"/>
  <c r="J1012" i="5"/>
  <c r="I1012" i="5"/>
  <c r="H1012" i="5"/>
  <c r="G1012" i="5"/>
  <c r="F1012" i="5"/>
  <c r="E1012" i="5"/>
  <c r="C1012" i="5"/>
  <c r="B1012" i="5"/>
  <c r="A1012" i="5"/>
  <c r="K1011" i="5"/>
  <c r="J1011" i="5"/>
  <c r="I1011" i="5"/>
  <c r="H1011" i="5"/>
  <c r="G1011" i="5"/>
  <c r="F1011" i="5"/>
  <c r="D1011" i="5" s="1"/>
  <c r="E1011" i="5"/>
  <c r="C1011" i="5"/>
  <c r="B1011" i="5"/>
  <c r="A1011" i="5"/>
  <c r="O1010" i="5"/>
  <c r="K1010" i="5"/>
  <c r="J1010" i="5"/>
  <c r="I1010" i="5"/>
  <c r="H1010" i="5"/>
  <c r="G1010" i="5"/>
  <c r="F1010" i="5"/>
  <c r="E1010" i="5"/>
  <c r="C1010" i="5"/>
  <c r="B1010" i="5"/>
  <c r="A1010" i="5"/>
  <c r="O1009" i="5"/>
  <c r="J1009" i="5"/>
  <c r="I1009" i="5"/>
  <c r="H1009" i="5"/>
  <c r="G1009" i="5"/>
  <c r="F1009" i="5"/>
  <c r="E1009" i="5"/>
  <c r="C1009" i="5"/>
  <c r="B1009" i="5"/>
  <c r="A1009" i="5"/>
  <c r="O1008" i="5"/>
  <c r="J1008" i="5"/>
  <c r="I1008" i="5"/>
  <c r="H1008" i="5"/>
  <c r="G1008" i="5"/>
  <c r="F1008" i="5"/>
  <c r="E1008" i="5"/>
  <c r="C1008" i="5"/>
  <c r="B1008" i="5"/>
  <c r="A1008" i="5"/>
  <c r="O1007" i="5"/>
  <c r="K1007" i="5"/>
  <c r="J1007" i="5"/>
  <c r="I1007" i="5"/>
  <c r="H1007" i="5"/>
  <c r="G1007" i="5"/>
  <c r="D1007" i="5" s="1"/>
  <c r="F1007" i="5"/>
  <c r="E1007" i="5"/>
  <c r="C1007" i="5"/>
  <c r="B1007" i="5"/>
  <c r="A1007" i="5"/>
  <c r="K1006" i="5"/>
  <c r="J1006" i="5"/>
  <c r="I1006" i="5"/>
  <c r="H1006" i="5"/>
  <c r="G1006" i="5"/>
  <c r="F1006" i="5"/>
  <c r="E1006" i="5"/>
  <c r="C1006" i="5"/>
  <c r="B1006" i="5"/>
  <c r="A1006" i="5"/>
  <c r="J1005" i="5"/>
  <c r="I1005" i="5"/>
  <c r="H1005" i="5"/>
  <c r="G1005" i="5"/>
  <c r="F1005" i="5"/>
  <c r="E1005" i="5"/>
  <c r="C1005" i="5"/>
  <c r="B1005" i="5"/>
  <c r="A1005" i="5"/>
  <c r="O1004" i="5"/>
  <c r="K1004" i="5"/>
  <c r="J1004" i="5"/>
  <c r="I1004" i="5"/>
  <c r="H1004" i="5"/>
  <c r="G1004" i="5"/>
  <c r="F1004" i="5"/>
  <c r="E1004" i="5"/>
  <c r="D1004" i="5" s="1"/>
  <c r="C1004" i="5"/>
  <c r="B1004" i="5"/>
  <c r="A1004" i="5"/>
  <c r="S1003" i="5"/>
  <c r="R1003" i="5"/>
  <c r="L1003" i="5"/>
  <c r="J1003" i="5"/>
  <c r="I1003" i="5"/>
  <c r="H1003" i="5"/>
  <c r="G1003" i="5"/>
  <c r="F1003" i="5"/>
  <c r="E1003" i="5"/>
  <c r="D1003" i="5" s="1"/>
  <c r="C1003" i="5"/>
  <c r="B1003" i="5"/>
  <c r="A1003" i="5"/>
  <c r="S1002" i="5"/>
  <c r="K1002" i="5"/>
  <c r="J1002" i="5"/>
  <c r="I1002" i="5"/>
  <c r="H1002" i="5"/>
  <c r="G1002" i="5"/>
  <c r="F1002" i="5"/>
  <c r="E1002" i="5"/>
  <c r="D1002" i="5" s="1"/>
  <c r="C1002" i="5"/>
  <c r="B1002" i="5"/>
  <c r="A1002" i="5"/>
  <c r="O1001" i="5"/>
  <c r="L1001" i="5"/>
  <c r="K1001" i="5"/>
  <c r="J1001" i="5"/>
  <c r="I1001" i="5"/>
  <c r="H1001" i="5"/>
  <c r="G1001" i="5"/>
  <c r="F1001" i="5"/>
  <c r="E1001" i="5"/>
  <c r="C1001" i="5"/>
  <c r="B1001" i="5"/>
  <c r="A1001" i="5"/>
  <c r="J1000" i="5"/>
  <c r="R1000" i="5" s="1"/>
  <c r="I1000" i="5"/>
  <c r="H1000" i="5"/>
  <c r="G1000" i="5"/>
  <c r="F1000" i="5"/>
  <c r="E1000" i="5"/>
  <c r="D1000" i="5" s="1"/>
  <c r="C1000" i="5"/>
  <c r="B1000" i="5"/>
  <c r="A1000" i="5"/>
  <c r="J999" i="5"/>
  <c r="I999" i="5"/>
  <c r="R999" i="5" s="1"/>
  <c r="H999" i="5"/>
  <c r="G999" i="5"/>
  <c r="F999" i="5"/>
  <c r="E999" i="5"/>
  <c r="D999" i="5" s="1"/>
  <c r="C999" i="5"/>
  <c r="B999" i="5"/>
  <c r="A999" i="5"/>
  <c r="J998" i="5"/>
  <c r="I998" i="5"/>
  <c r="H998" i="5"/>
  <c r="G998" i="5"/>
  <c r="F998" i="5"/>
  <c r="E998" i="5"/>
  <c r="C998" i="5"/>
  <c r="B998" i="5"/>
  <c r="A998" i="5"/>
  <c r="J997" i="5"/>
  <c r="I997" i="5"/>
  <c r="H997" i="5"/>
  <c r="G997" i="5"/>
  <c r="D997" i="5" s="1"/>
  <c r="F997" i="5"/>
  <c r="E997" i="5"/>
  <c r="C997" i="5"/>
  <c r="B997" i="5"/>
  <c r="A997" i="5"/>
  <c r="J996" i="5"/>
  <c r="I996" i="5"/>
  <c r="H996" i="5"/>
  <c r="G996" i="5"/>
  <c r="F996" i="5"/>
  <c r="E996" i="5"/>
  <c r="C996" i="5"/>
  <c r="B996" i="5"/>
  <c r="A996" i="5"/>
  <c r="J995" i="5"/>
  <c r="I995" i="5"/>
  <c r="H995" i="5"/>
  <c r="G995" i="5"/>
  <c r="F995" i="5"/>
  <c r="E995" i="5"/>
  <c r="C995" i="5"/>
  <c r="B995" i="5"/>
  <c r="A995" i="5"/>
  <c r="J994" i="5"/>
  <c r="I994" i="5"/>
  <c r="H994" i="5"/>
  <c r="G994" i="5"/>
  <c r="F994" i="5"/>
  <c r="E994" i="5"/>
  <c r="D994" i="5"/>
  <c r="C994" i="5"/>
  <c r="B994" i="5"/>
  <c r="A994" i="5"/>
  <c r="J993" i="5"/>
  <c r="I993" i="5"/>
  <c r="H993" i="5"/>
  <c r="G993" i="5"/>
  <c r="F993" i="5"/>
  <c r="E993" i="5"/>
  <c r="D993" i="5" s="1"/>
  <c r="C993" i="5"/>
  <c r="B993" i="5"/>
  <c r="A993" i="5"/>
  <c r="J992" i="5"/>
  <c r="I992" i="5"/>
  <c r="H992" i="5"/>
  <c r="G992" i="5"/>
  <c r="F992" i="5"/>
  <c r="E992" i="5"/>
  <c r="S992" i="5" s="1"/>
  <c r="D992" i="5"/>
  <c r="C992" i="5"/>
  <c r="B992" i="5"/>
  <c r="A992" i="5"/>
  <c r="J991" i="5"/>
  <c r="I991" i="5"/>
  <c r="R991" i="5" s="1"/>
  <c r="H991" i="5"/>
  <c r="G991" i="5"/>
  <c r="F991" i="5"/>
  <c r="E991" i="5"/>
  <c r="D991" i="5"/>
  <c r="C991" i="5"/>
  <c r="B991" i="5"/>
  <c r="A991" i="5"/>
  <c r="J990" i="5"/>
  <c r="I990" i="5"/>
  <c r="H990" i="5"/>
  <c r="R990" i="5" s="1"/>
  <c r="G990" i="5"/>
  <c r="F990" i="5"/>
  <c r="E990" i="5"/>
  <c r="C990" i="5"/>
  <c r="B990" i="5"/>
  <c r="A990" i="5"/>
  <c r="R989" i="5"/>
  <c r="J989" i="5"/>
  <c r="I989" i="5"/>
  <c r="H989" i="5"/>
  <c r="G989" i="5"/>
  <c r="D989" i="5" s="1"/>
  <c r="F989" i="5"/>
  <c r="E989" i="5"/>
  <c r="C989" i="5"/>
  <c r="B989" i="5"/>
  <c r="A989" i="5"/>
  <c r="J988" i="5"/>
  <c r="R988" i="5" s="1"/>
  <c r="I988" i="5"/>
  <c r="H988" i="5"/>
  <c r="G988" i="5"/>
  <c r="F988" i="5"/>
  <c r="E988" i="5"/>
  <c r="C988" i="5"/>
  <c r="B988" i="5"/>
  <c r="A988" i="5"/>
  <c r="R987" i="5"/>
  <c r="J987" i="5"/>
  <c r="I987" i="5"/>
  <c r="H987" i="5"/>
  <c r="G987" i="5"/>
  <c r="F987" i="5"/>
  <c r="E987" i="5"/>
  <c r="C987" i="5"/>
  <c r="B987" i="5"/>
  <c r="A987" i="5"/>
  <c r="J986" i="5"/>
  <c r="I986" i="5"/>
  <c r="H986" i="5"/>
  <c r="G986" i="5"/>
  <c r="F986" i="5"/>
  <c r="E986" i="5"/>
  <c r="C986" i="5"/>
  <c r="B986" i="5"/>
  <c r="A986" i="5"/>
  <c r="J985" i="5"/>
  <c r="I985" i="5"/>
  <c r="H985" i="5"/>
  <c r="G985" i="5"/>
  <c r="F985" i="5"/>
  <c r="E985" i="5"/>
  <c r="R985" i="5" s="1"/>
  <c r="C985" i="5"/>
  <c r="B985" i="5"/>
  <c r="A985" i="5"/>
  <c r="J984" i="5"/>
  <c r="I984" i="5"/>
  <c r="H984" i="5"/>
  <c r="G984" i="5"/>
  <c r="F984" i="5"/>
  <c r="D984" i="5" s="1"/>
  <c r="E984" i="5"/>
  <c r="R984" i="5" s="1"/>
  <c r="C984" i="5"/>
  <c r="B984" i="5"/>
  <c r="A984" i="5"/>
  <c r="N983" i="5"/>
  <c r="M983" i="5"/>
  <c r="J983" i="5"/>
  <c r="I983" i="5"/>
  <c r="H983" i="5"/>
  <c r="G983" i="5"/>
  <c r="F983" i="5"/>
  <c r="E983" i="5"/>
  <c r="C983" i="5"/>
  <c r="B983" i="5"/>
  <c r="A983" i="5"/>
  <c r="P982" i="5"/>
  <c r="N982" i="5"/>
  <c r="M982" i="5"/>
  <c r="J982" i="5"/>
  <c r="I982" i="5"/>
  <c r="H982" i="5"/>
  <c r="G982" i="5"/>
  <c r="F982" i="5"/>
  <c r="E982" i="5"/>
  <c r="C982" i="5"/>
  <c r="B982" i="5"/>
  <c r="A982" i="5"/>
  <c r="R981" i="5"/>
  <c r="P981" i="5"/>
  <c r="N981" i="5"/>
  <c r="M981" i="5"/>
  <c r="J981" i="5"/>
  <c r="I981" i="5"/>
  <c r="H981" i="5"/>
  <c r="G981" i="5"/>
  <c r="F981" i="5"/>
  <c r="E981" i="5"/>
  <c r="C981" i="5"/>
  <c r="B981" i="5"/>
  <c r="A981" i="5"/>
  <c r="S980" i="5"/>
  <c r="K980" i="5"/>
  <c r="J980" i="5"/>
  <c r="I980" i="5"/>
  <c r="H980" i="5"/>
  <c r="D980" i="5" s="1"/>
  <c r="G980" i="5"/>
  <c r="F980" i="5"/>
  <c r="E980" i="5"/>
  <c r="C980" i="5"/>
  <c r="B980" i="5"/>
  <c r="A980" i="5"/>
  <c r="K979" i="5"/>
  <c r="J979" i="5"/>
  <c r="I979" i="5"/>
  <c r="H979" i="5"/>
  <c r="G979" i="5"/>
  <c r="D979" i="5" s="1"/>
  <c r="F979" i="5"/>
  <c r="E979" i="5"/>
  <c r="C979" i="5"/>
  <c r="B979" i="5"/>
  <c r="A979" i="5"/>
  <c r="K978" i="5"/>
  <c r="J978" i="5"/>
  <c r="I978" i="5"/>
  <c r="H978" i="5"/>
  <c r="G978" i="5"/>
  <c r="F978" i="5"/>
  <c r="E978" i="5"/>
  <c r="C978" i="5"/>
  <c r="B978" i="5"/>
  <c r="A978" i="5"/>
  <c r="O977" i="5"/>
  <c r="J977" i="5"/>
  <c r="I977" i="5"/>
  <c r="H977" i="5"/>
  <c r="G977" i="5"/>
  <c r="F977" i="5"/>
  <c r="E977" i="5"/>
  <c r="D977" i="5" s="1"/>
  <c r="C977" i="5"/>
  <c r="B977" i="5"/>
  <c r="A977" i="5"/>
  <c r="O976" i="5"/>
  <c r="J976" i="5"/>
  <c r="I976" i="5"/>
  <c r="R976" i="5" s="1"/>
  <c r="H976" i="5"/>
  <c r="G976" i="5"/>
  <c r="F976" i="5"/>
  <c r="E976" i="5"/>
  <c r="C976" i="5"/>
  <c r="B976" i="5"/>
  <c r="A976" i="5"/>
  <c r="J975" i="5"/>
  <c r="I975" i="5"/>
  <c r="H975" i="5"/>
  <c r="G975" i="5"/>
  <c r="F975" i="5"/>
  <c r="E975" i="5"/>
  <c r="C975" i="5"/>
  <c r="B975" i="5"/>
  <c r="A975" i="5"/>
  <c r="K974" i="5"/>
  <c r="J974" i="5"/>
  <c r="I974" i="5"/>
  <c r="H974" i="5"/>
  <c r="G974" i="5"/>
  <c r="F974" i="5"/>
  <c r="E974" i="5"/>
  <c r="C974" i="5"/>
  <c r="B974" i="5"/>
  <c r="A974" i="5"/>
  <c r="O973" i="5"/>
  <c r="K973" i="5"/>
  <c r="J973" i="5"/>
  <c r="I973" i="5"/>
  <c r="H973" i="5"/>
  <c r="G973" i="5"/>
  <c r="F973" i="5"/>
  <c r="E973" i="5"/>
  <c r="C973" i="5"/>
  <c r="B973" i="5"/>
  <c r="A973" i="5"/>
  <c r="O972" i="5"/>
  <c r="J972" i="5"/>
  <c r="I972" i="5"/>
  <c r="H972" i="5"/>
  <c r="G972" i="5"/>
  <c r="F972" i="5"/>
  <c r="E972" i="5"/>
  <c r="C972" i="5"/>
  <c r="B972" i="5"/>
  <c r="A972" i="5"/>
  <c r="O971" i="5"/>
  <c r="J971" i="5"/>
  <c r="I971" i="5"/>
  <c r="H971" i="5"/>
  <c r="G971" i="5"/>
  <c r="F971" i="5"/>
  <c r="E971" i="5"/>
  <c r="D971" i="5" s="1"/>
  <c r="C971" i="5"/>
  <c r="B971" i="5"/>
  <c r="A971" i="5"/>
  <c r="O970" i="5"/>
  <c r="D970" i="5" s="1"/>
  <c r="K970" i="5"/>
  <c r="J970" i="5"/>
  <c r="I970" i="5"/>
  <c r="H970" i="5"/>
  <c r="G970" i="5"/>
  <c r="F970" i="5"/>
  <c r="E970" i="5"/>
  <c r="C970" i="5"/>
  <c r="B970" i="5"/>
  <c r="A970" i="5"/>
  <c r="S969" i="5"/>
  <c r="K969" i="5"/>
  <c r="J969" i="5"/>
  <c r="I969" i="5"/>
  <c r="H969" i="5"/>
  <c r="D969" i="5" s="1"/>
  <c r="G969" i="5"/>
  <c r="F969" i="5"/>
  <c r="E969" i="5"/>
  <c r="C969" i="5"/>
  <c r="B969" i="5"/>
  <c r="A969" i="5"/>
  <c r="J968" i="5"/>
  <c r="I968" i="5"/>
  <c r="H968" i="5"/>
  <c r="G968" i="5"/>
  <c r="F968" i="5"/>
  <c r="E968" i="5"/>
  <c r="D968" i="5" s="1"/>
  <c r="C968" i="5"/>
  <c r="B968" i="5"/>
  <c r="A968" i="5"/>
  <c r="O967" i="5"/>
  <c r="K967" i="5"/>
  <c r="J967" i="5"/>
  <c r="I967" i="5"/>
  <c r="H967" i="5"/>
  <c r="G967" i="5"/>
  <c r="F967" i="5"/>
  <c r="E967" i="5"/>
  <c r="D967" i="5" s="1"/>
  <c r="C967" i="5"/>
  <c r="B967" i="5"/>
  <c r="A967" i="5"/>
  <c r="L966" i="5"/>
  <c r="J966" i="5"/>
  <c r="I966" i="5"/>
  <c r="H966" i="5"/>
  <c r="G966" i="5"/>
  <c r="F966" i="5"/>
  <c r="E966" i="5"/>
  <c r="C966" i="5"/>
  <c r="B966" i="5"/>
  <c r="A966" i="5"/>
  <c r="K965" i="5"/>
  <c r="J965" i="5"/>
  <c r="I965" i="5"/>
  <c r="R965" i="5" s="1"/>
  <c r="H965" i="5"/>
  <c r="G965" i="5"/>
  <c r="F965" i="5"/>
  <c r="E965" i="5"/>
  <c r="C965" i="5"/>
  <c r="B965" i="5"/>
  <c r="A965" i="5"/>
  <c r="O964" i="5"/>
  <c r="L964" i="5"/>
  <c r="K964" i="5"/>
  <c r="J964" i="5"/>
  <c r="I964" i="5"/>
  <c r="H964" i="5"/>
  <c r="G964" i="5"/>
  <c r="F964" i="5"/>
  <c r="E964" i="5"/>
  <c r="C964" i="5"/>
  <c r="B964" i="5"/>
  <c r="A964" i="5"/>
  <c r="S963" i="5"/>
  <c r="R963" i="5"/>
  <c r="J963" i="5"/>
  <c r="I963" i="5"/>
  <c r="H963" i="5"/>
  <c r="G963" i="5"/>
  <c r="F963" i="5"/>
  <c r="E963" i="5"/>
  <c r="C963" i="5"/>
  <c r="B963" i="5"/>
  <c r="A963" i="5"/>
  <c r="J962" i="5"/>
  <c r="I962" i="5"/>
  <c r="H962" i="5"/>
  <c r="G962" i="5"/>
  <c r="F962" i="5"/>
  <c r="E962" i="5"/>
  <c r="C962" i="5"/>
  <c r="B962" i="5"/>
  <c r="A962" i="5"/>
  <c r="J961" i="5"/>
  <c r="I961" i="5"/>
  <c r="H961" i="5"/>
  <c r="G961" i="5"/>
  <c r="F961" i="5"/>
  <c r="E961" i="5"/>
  <c r="C961" i="5"/>
  <c r="B961" i="5"/>
  <c r="A961" i="5"/>
  <c r="J960" i="5"/>
  <c r="I960" i="5"/>
  <c r="H960" i="5"/>
  <c r="G960" i="5"/>
  <c r="D960" i="5" s="1"/>
  <c r="F960" i="5"/>
  <c r="E960" i="5"/>
  <c r="C960" i="5"/>
  <c r="B960" i="5"/>
  <c r="A960" i="5"/>
  <c r="J959" i="5"/>
  <c r="I959" i="5"/>
  <c r="H959" i="5"/>
  <c r="G959" i="5"/>
  <c r="F959" i="5"/>
  <c r="E959" i="5"/>
  <c r="C959" i="5"/>
  <c r="B959" i="5"/>
  <c r="A959" i="5"/>
  <c r="J958" i="5"/>
  <c r="I958" i="5"/>
  <c r="H958" i="5"/>
  <c r="S958" i="5" s="1"/>
  <c r="G958" i="5"/>
  <c r="D958" i="5" s="1"/>
  <c r="F958" i="5"/>
  <c r="E958" i="5"/>
  <c r="C958" i="5"/>
  <c r="B958" i="5"/>
  <c r="A958" i="5"/>
  <c r="S957" i="5"/>
  <c r="J957" i="5"/>
  <c r="I957" i="5"/>
  <c r="H957" i="5"/>
  <c r="R957" i="5" s="1"/>
  <c r="G957" i="5"/>
  <c r="D957" i="5" s="1"/>
  <c r="F957" i="5"/>
  <c r="E957" i="5"/>
  <c r="C957" i="5"/>
  <c r="B957" i="5"/>
  <c r="A957" i="5"/>
  <c r="S956" i="5"/>
  <c r="R956" i="5"/>
  <c r="J956" i="5"/>
  <c r="I956" i="5"/>
  <c r="H956" i="5"/>
  <c r="G956" i="5"/>
  <c r="D956" i="5" s="1"/>
  <c r="F956" i="5"/>
  <c r="E956" i="5"/>
  <c r="C956" i="5"/>
  <c r="B956" i="5"/>
  <c r="A956" i="5"/>
  <c r="R955" i="5"/>
  <c r="J955" i="5"/>
  <c r="S955" i="5" s="1"/>
  <c r="I955" i="5"/>
  <c r="H955" i="5"/>
  <c r="G955" i="5"/>
  <c r="F955" i="5"/>
  <c r="E955" i="5"/>
  <c r="C955" i="5"/>
  <c r="B955" i="5"/>
  <c r="A955" i="5"/>
  <c r="J954" i="5"/>
  <c r="I954" i="5"/>
  <c r="S954" i="5" s="1"/>
  <c r="H954" i="5"/>
  <c r="G954" i="5"/>
  <c r="F954" i="5"/>
  <c r="E954" i="5"/>
  <c r="C954" i="5"/>
  <c r="B954" i="5"/>
  <c r="A954" i="5"/>
  <c r="S953" i="5"/>
  <c r="J953" i="5"/>
  <c r="I953" i="5"/>
  <c r="H953" i="5"/>
  <c r="R953" i="5" s="1"/>
  <c r="G953" i="5"/>
  <c r="F953" i="5"/>
  <c r="E953" i="5"/>
  <c r="C953" i="5"/>
  <c r="B953" i="5"/>
  <c r="A953" i="5"/>
  <c r="S952" i="5"/>
  <c r="R952" i="5"/>
  <c r="J952" i="5"/>
  <c r="I952" i="5"/>
  <c r="H952" i="5"/>
  <c r="G952" i="5"/>
  <c r="F952" i="5"/>
  <c r="E952" i="5"/>
  <c r="C952" i="5"/>
  <c r="B952" i="5"/>
  <c r="A952" i="5"/>
  <c r="J951" i="5"/>
  <c r="I951" i="5"/>
  <c r="H951" i="5"/>
  <c r="G951" i="5"/>
  <c r="F951" i="5"/>
  <c r="E951" i="5"/>
  <c r="C951" i="5"/>
  <c r="B951" i="5"/>
  <c r="A951" i="5"/>
  <c r="J950" i="5"/>
  <c r="I950" i="5"/>
  <c r="S950" i="5" s="1"/>
  <c r="H950" i="5"/>
  <c r="G950" i="5"/>
  <c r="F950" i="5"/>
  <c r="E950" i="5"/>
  <c r="C950" i="5"/>
  <c r="B950" i="5"/>
  <c r="A950" i="5"/>
  <c r="J949" i="5"/>
  <c r="I949" i="5"/>
  <c r="H949" i="5"/>
  <c r="G949" i="5"/>
  <c r="F949" i="5"/>
  <c r="E949" i="5"/>
  <c r="C949" i="5"/>
  <c r="B949" i="5"/>
  <c r="A949" i="5"/>
  <c r="J948" i="5"/>
  <c r="I948" i="5"/>
  <c r="H948" i="5"/>
  <c r="G948" i="5"/>
  <c r="F948" i="5"/>
  <c r="E948" i="5"/>
  <c r="C948" i="5"/>
  <c r="B948" i="5"/>
  <c r="A948" i="5"/>
  <c r="J947" i="5"/>
  <c r="I947" i="5"/>
  <c r="H947" i="5"/>
  <c r="G947" i="5"/>
  <c r="D947" i="5" s="1"/>
  <c r="F947" i="5"/>
  <c r="E947" i="5"/>
  <c r="C947" i="5"/>
  <c r="B947" i="5"/>
  <c r="A947" i="5"/>
  <c r="N946" i="5"/>
  <c r="M946" i="5"/>
  <c r="J946" i="5"/>
  <c r="D946" i="5" s="1"/>
  <c r="I946" i="5"/>
  <c r="H946" i="5"/>
  <c r="G946" i="5"/>
  <c r="F946" i="5"/>
  <c r="E946" i="5"/>
  <c r="S946" i="5" s="1"/>
  <c r="C946" i="5"/>
  <c r="B946" i="5"/>
  <c r="A946" i="5"/>
  <c r="P945" i="5"/>
  <c r="N945" i="5"/>
  <c r="M945" i="5"/>
  <c r="J945" i="5"/>
  <c r="I945" i="5"/>
  <c r="H945" i="5"/>
  <c r="G945" i="5"/>
  <c r="F945" i="5"/>
  <c r="S945" i="5" s="1"/>
  <c r="E945" i="5"/>
  <c r="D945" i="5" s="1"/>
  <c r="C945" i="5"/>
  <c r="B945" i="5"/>
  <c r="A945" i="5"/>
  <c r="P944" i="5"/>
  <c r="N944" i="5"/>
  <c r="M944" i="5"/>
  <c r="J944" i="5"/>
  <c r="I944" i="5"/>
  <c r="H944" i="5"/>
  <c r="G944" i="5"/>
  <c r="D944" i="5" s="1"/>
  <c r="F944" i="5"/>
  <c r="E944" i="5"/>
  <c r="C944" i="5"/>
  <c r="B944" i="5"/>
  <c r="A944" i="5"/>
  <c r="K943" i="5"/>
  <c r="R943" i="5" s="1"/>
  <c r="J943" i="5"/>
  <c r="I943" i="5"/>
  <c r="H943" i="5"/>
  <c r="G943" i="5"/>
  <c r="F943" i="5"/>
  <c r="E943" i="5"/>
  <c r="C943" i="5"/>
  <c r="B943" i="5"/>
  <c r="A943" i="5"/>
  <c r="K942" i="5"/>
  <c r="S942" i="5" s="1"/>
  <c r="J942" i="5"/>
  <c r="I942" i="5"/>
  <c r="H942" i="5"/>
  <c r="G942" i="5"/>
  <c r="F942" i="5"/>
  <c r="E942" i="5"/>
  <c r="C942" i="5"/>
  <c r="B942" i="5"/>
  <c r="A942" i="5"/>
  <c r="K941" i="5"/>
  <c r="S941" i="5" s="1"/>
  <c r="J941" i="5"/>
  <c r="I941" i="5"/>
  <c r="H941" i="5"/>
  <c r="G941" i="5"/>
  <c r="F941" i="5"/>
  <c r="E941" i="5"/>
  <c r="C941" i="5"/>
  <c r="B941" i="5"/>
  <c r="A941" i="5"/>
  <c r="O940" i="5"/>
  <c r="S940" i="5" s="1"/>
  <c r="J940" i="5"/>
  <c r="I940" i="5"/>
  <c r="H940" i="5"/>
  <c r="G940" i="5"/>
  <c r="F940" i="5"/>
  <c r="E940" i="5"/>
  <c r="C940" i="5"/>
  <c r="B940" i="5"/>
  <c r="A940" i="5"/>
  <c r="O939" i="5"/>
  <c r="S939" i="5" s="1"/>
  <c r="J939" i="5"/>
  <c r="I939" i="5"/>
  <c r="D939" i="5" s="1"/>
  <c r="H939" i="5"/>
  <c r="G939" i="5"/>
  <c r="F939" i="5"/>
  <c r="E939" i="5"/>
  <c r="C939" i="5"/>
  <c r="B939" i="5"/>
  <c r="A939" i="5"/>
  <c r="S938" i="5"/>
  <c r="R938" i="5"/>
  <c r="J938" i="5"/>
  <c r="I938" i="5"/>
  <c r="D938" i="5" s="1"/>
  <c r="H938" i="5"/>
  <c r="G938" i="5"/>
  <c r="F938" i="5"/>
  <c r="E938" i="5"/>
  <c r="C938" i="5"/>
  <c r="B938" i="5"/>
  <c r="A938" i="5"/>
  <c r="S937" i="5"/>
  <c r="R937" i="5"/>
  <c r="K937" i="5"/>
  <c r="J937" i="5"/>
  <c r="D937" i="5" s="1"/>
  <c r="I937" i="5"/>
  <c r="H937" i="5"/>
  <c r="G937" i="5"/>
  <c r="F937" i="5"/>
  <c r="E937" i="5"/>
  <c r="C937" i="5"/>
  <c r="B937" i="5"/>
  <c r="A937" i="5"/>
  <c r="S936" i="5"/>
  <c r="O936" i="5"/>
  <c r="K936" i="5"/>
  <c r="J936" i="5"/>
  <c r="I936" i="5"/>
  <c r="H936" i="5"/>
  <c r="G936" i="5"/>
  <c r="F936" i="5"/>
  <c r="E936" i="5"/>
  <c r="R936" i="5" s="1"/>
  <c r="D936" i="5"/>
  <c r="C936" i="5"/>
  <c r="B936" i="5"/>
  <c r="A936" i="5"/>
  <c r="O935" i="5"/>
  <c r="J935" i="5"/>
  <c r="I935" i="5"/>
  <c r="H935" i="5"/>
  <c r="G935" i="5"/>
  <c r="F935" i="5"/>
  <c r="E935" i="5"/>
  <c r="R935" i="5" s="1"/>
  <c r="D935" i="5"/>
  <c r="C935" i="5"/>
  <c r="B935" i="5"/>
  <c r="A935" i="5"/>
  <c r="O934" i="5"/>
  <c r="J934" i="5"/>
  <c r="I934" i="5"/>
  <c r="H934" i="5"/>
  <c r="G934" i="5"/>
  <c r="F934" i="5"/>
  <c r="E934" i="5"/>
  <c r="D934" i="5"/>
  <c r="C934" i="5"/>
  <c r="B934" i="5"/>
  <c r="A934" i="5"/>
  <c r="O933" i="5"/>
  <c r="K933" i="5"/>
  <c r="J933" i="5"/>
  <c r="I933" i="5"/>
  <c r="H933" i="5"/>
  <c r="G933" i="5"/>
  <c r="F933" i="5"/>
  <c r="E933" i="5"/>
  <c r="D933" i="5"/>
  <c r="C933" i="5"/>
  <c r="B933" i="5"/>
  <c r="A933" i="5"/>
  <c r="K932" i="5"/>
  <c r="J932" i="5"/>
  <c r="I932" i="5"/>
  <c r="R932" i="5" s="1"/>
  <c r="H932" i="5"/>
  <c r="G932" i="5"/>
  <c r="F932" i="5"/>
  <c r="E932" i="5"/>
  <c r="C932" i="5"/>
  <c r="B932" i="5"/>
  <c r="A932" i="5"/>
  <c r="S931" i="5"/>
  <c r="J931" i="5"/>
  <c r="I931" i="5"/>
  <c r="H931" i="5"/>
  <c r="R931" i="5" s="1"/>
  <c r="G931" i="5"/>
  <c r="F931" i="5"/>
  <c r="E931" i="5"/>
  <c r="C931" i="5"/>
  <c r="B931" i="5"/>
  <c r="A931" i="5"/>
  <c r="S930" i="5"/>
  <c r="R930" i="5"/>
  <c r="O930" i="5"/>
  <c r="K930" i="5"/>
  <c r="J930" i="5"/>
  <c r="I930" i="5"/>
  <c r="H930" i="5"/>
  <c r="G930" i="5"/>
  <c r="F930" i="5"/>
  <c r="E930" i="5"/>
  <c r="C930" i="5"/>
  <c r="B930" i="5"/>
  <c r="A930" i="5"/>
  <c r="S929" i="5"/>
  <c r="L929" i="5"/>
  <c r="J929" i="5"/>
  <c r="I929" i="5"/>
  <c r="R929" i="5" s="1"/>
  <c r="H929" i="5"/>
  <c r="G929" i="5"/>
  <c r="F929" i="5"/>
  <c r="E929" i="5"/>
  <c r="C929" i="5"/>
  <c r="B929" i="5"/>
  <c r="A929" i="5"/>
  <c r="S928" i="5"/>
  <c r="K928" i="5"/>
  <c r="J928" i="5"/>
  <c r="I928" i="5"/>
  <c r="R928" i="5" s="1"/>
  <c r="H928" i="5"/>
  <c r="G928" i="5"/>
  <c r="F928" i="5"/>
  <c r="E928" i="5"/>
  <c r="D928" i="5"/>
  <c r="C928" i="5"/>
  <c r="B928" i="5"/>
  <c r="A928" i="5"/>
  <c r="O927" i="5"/>
  <c r="L927" i="5"/>
  <c r="K927" i="5"/>
  <c r="J927" i="5"/>
  <c r="I927" i="5"/>
  <c r="H927" i="5"/>
  <c r="G927" i="5"/>
  <c r="F927" i="5"/>
  <c r="E927" i="5"/>
  <c r="D927" i="5"/>
  <c r="C927" i="5"/>
  <c r="B927" i="5"/>
  <c r="A927" i="5"/>
  <c r="J926" i="5"/>
  <c r="I926" i="5"/>
  <c r="H926" i="5"/>
  <c r="G926" i="5"/>
  <c r="F926" i="5"/>
  <c r="E926" i="5"/>
  <c r="D926" i="5"/>
  <c r="C926" i="5"/>
  <c r="B926" i="5"/>
  <c r="A926" i="5"/>
  <c r="J925" i="5"/>
  <c r="I925" i="5"/>
  <c r="H925" i="5"/>
  <c r="G925" i="5"/>
  <c r="F925" i="5"/>
  <c r="E925" i="5"/>
  <c r="R925" i="5" s="1"/>
  <c r="D925" i="5"/>
  <c r="C925" i="5"/>
  <c r="B925" i="5"/>
  <c r="A925" i="5"/>
  <c r="S924" i="5"/>
  <c r="J924" i="5"/>
  <c r="I924" i="5"/>
  <c r="H924" i="5"/>
  <c r="G924" i="5"/>
  <c r="F924" i="5"/>
  <c r="E924" i="5"/>
  <c r="R924" i="5" s="1"/>
  <c r="D924" i="5"/>
  <c r="C924" i="5"/>
  <c r="B924" i="5"/>
  <c r="A924" i="5"/>
  <c r="S923" i="5"/>
  <c r="J923" i="5"/>
  <c r="I923" i="5"/>
  <c r="H923" i="5"/>
  <c r="G923" i="5"/>
  <c r="F923" i="5"/>
  <c r="E923" i="5"/>
  <c r="R923" i="5" s="1"/>
  <c r="D923" i="5"/>
  <c r="C923" i="5"/>
  <c r="B923" i="5"/>
  <c r="A923" i="5"/>
  <c r="S922" i="5"/>
  <c r="J922" i="5"/>
  <c r="I922" i="5"/>
  <c r="H922" i="5"/>
  <c r="G922" i="5"/>
  <c r="D922" i="5" s="1"/>
  <c r="F922" i="5"/>
  <c r="E922" i="5"/>
  <c r="C922" i="5"/>
  <c r="B922" i="5"/>
  <c r="A922" i="5"/>
  <c r="S921" i="5"/>
  <c r="J921" i="5"/>
  <c r="I921" i="5"/>
  <c r="H921" i="5"/>
  <c r="G921" i="5"/>
  <c r="F921" i="5"/>
  <c r="D921" i="5" s="1"/>
  <c r="E921" i="5"/>
  <c r="C921" i="5"/>
  <c r="B921" i="5"/>
  <c r="A921" i="5"/>
  <c r="S920" i="5"/>
  <c r="J920" i="5"/>
  <c r="I920" i="5"/>
  <c r="H920" i="5"/>
  <c r="G920" i="5"/>
  <c r="F920" i="5"/>
  <c r="E920" i="5"/>
  <c r="R920" i="5" s="1"/>
  <c r="C920" i="5"/>
  <c r="B920" i="5"/>
  <c r="A920" i="5"/>
  <c r="S919" i="5"/>
  <c r="J919" i="5"/>
  <c r="I919" i="5"/>
  <c r="H919" i="5"/>
  <c r="G919" i="5"/>
  <c r="F919" i="5"/>
  <c r="E919" i="5"/>
  <c r="R919" i="5" s="1"/>
  <c r="D919" i="5"/>
  <c r="C919" i="5"/>
  <c r="B919" i="5"/>
  <c r="A919" i="5"/>
  <c r="J918" i="5"/>
  <c r="I918" i="5"/>
  <c r="H918" i="5"/>
  <c r="G918" i="5"/>
  <c r="D918" i="5" s="1"/>
  <c r="F918" i="5"/>
  <c r="E918" i="5"/>
  <c r="C918" i="5"/>
  <c r="B918" i="5"/>
  <c r="A918" i="5"/>
  <c r="J917" i="5"/>
  <c r="I917" i="5"/>
  <c r="H917" i="5"/>
  <c r="G917" i="5"/>
  <c r="F917" i="5"/>
  <c r="E917" i="5"/>
  <c r="D917" i="5" s="1"/>
  <c r="C917" i="5"/>
  <c r="B917" i="5"/>
  <c r="A917" i="5"/>
  <c r="J916" i="5"/>
  <c r="I916" i="5"/>
  <c r="H916" i="5"/>
  <c r="G916" i="5"/>
  <c r="F916" i="5"/>
  <c r="E916" i="5"/>
  <c r="C916" i="5"/>
  <c r="B916" i="5"/>
  <c r="A916" i="5"/>
  <c r="J915" i="5"/>
  <c r="I915" i="5"/>
  <c r="H915" i="5"/>
  <c r="G915" i="5"/>
  <c r="F915" i="5"/>
  <c r="E915" i="5"/>
  <c r="D915" i="5"/>
  <c r="C915" i="5"/>
  <c r="B915" i="5"/>
  <c r="A915" i="5"/>
  <c r="J914" i="5"/>
  <c r="I914" i="5"/>
  <c r="H914" i="5"/>
  <c r="G914" i="5"/>
  <c r="F914" i="5"/>
  <c r="E914" i="5"/>
  <c r="D914" i="5"/>
  <c r="C914" i="5"/>
  <c r="B914" i="5"/>
  <c r="A914" i="5"/>
  <c r="J913" i="5"/>
  <c r="I913" i="5"/>
  <c r="H913" i="5"/>
  <c r="G913" i="5"/>
  <c r="F913" i="5"/>
  <c r="E913" i="5"/>
  <c r="R913" i="5" s="1"/>
  <c r="D913" i="5"/>
  <c r="C913" i="5"/>
  <c r="B913" i="5"/>
  <c r="A913" i="5"/>
  <c r="S912" i="5"/>
  <c r="J912" i="5"/>
  <c r="I912" i="5"/>
  <c r="H912" i="5"/>
  <c r="G912" i="5"/>
  <c r="F912" i="5"/>
  <c r="E912" i="5"/>
  <c r="R912" i="5" s="1"/>
  <c r="D912" i="5"/>
  <c r="C912" i="5"/>
  <c r="B912" i="5"/>
  <c r="A912" i="5"/>
  <c r="S911" i="5"/>
  <c r="J911" i="5"/>
  <c r="I911" i="5"/>
  <c r="H911" i="5"/>
  <c r="G911" i="5"/>
  <c r="F911" i="5"/>
  <c r="E911" i="5"/>
  <c r="R911" i="5" s="1"/>
  <c r="D911" i="5"/>
  <c r="C911" i="5"/>
  <c r="B911" i="5"/>
  <c r="A911" i="5"/>
  <c r="S910" i="5"/>
  <c r="J910" i="5"/>
  <c r="I910" i="5"/>
  <c r="H910" i="5"/>
  <c r="G910" i="5"/>
  <c r="D910" i="5" s="1"/>
  <c r="F910" i="5"/>
  <c r="E910" i="5"/>
  <c r="C910" i="5"/>
  <c r="B910" i="5"/>
  <c r="A910" i="5"/>
  <c r="S909" i="5"/>
  <c r="N909" i="5"/>
  <c r="M909" i="5"/>
  <c r="J909" i="5"/>
  <c r="I909" i="5"/>
  <c r="H909" i="5"/>
  <c r="D909" i="5" s="1"/>
  <c r="G909" i="5"/>
  <c r="F909" i="5"/>
  <c r="E909" i="5"/>
  <c r="C909" i="5"/>
  <c r="B909" i="5"/>
  <c r="A909" i="5"/>
  <c r="P908" i="5"/>
  <c r="N908" i="5"/>
  <c r="M908" i="5"/>
  <c r="J908" i="5"/>
  <c r="I908" i="5"/>
  <c r="H908" i="5"/>
  <c r="G908" i="5"/>
  <c r="F908" i="5"/>
  <c r="E908" i="5"/>
  <c r="C908" i="5"/>
  <c r="B908" i="5"/>
  <c r="A908" i="5"/>
  <c r="S907" i="5"/>
  <c r="P907" i="5"/>
  <c r="N907" i="5"/>
  <c r="M907" i="5"/>
  <c r="R907" i="5" s="1"/>
  <c r="J907" i="5"/>
  <c r="I907" i="5"/>
  <c r="H907" i="5"/>
  <c r="G907" i="5"/>
  <c r="F907" i="5"/>
  <c r="E907" i="5"/>
  <c r="C907" i="5"/>
  <c r="B907" i="5"/>
  <c r="A907" i="5"/>
  <c r="R906" i="5"/>
  <c r="K906" i="5"/>
  <c r="S906" i="5" s="1"/>
  <c r="J906" i="5"/>
  <c r="I906" i="5"/>
  <c r="H906" i="5"/>
  <c r="G906" i="5"/>
  <c r="F906" i="5"/>
  <c r="E906" i="5"/>
  <c r="D906" i="5"/>
  <c r="C906" i="5"/>
  <c r="B906" i="5"/>
  <c r="A906" i="5"/>
  <c r="K905" i="5"/>
  <c r="J905" i="5"/>
  <c r="I905" i="5"/>
  <c r="H905" i="5"/>
  <c r="G905" i="5"/>
  <c r="F905" i="5"/>
  <c r="E905" i="5"/>
  <c r="D905" i="5"/>
  <c r="C905" i="5"/>
  <c r="B905" i="5"/>
  <c r="A905" i="5"/>
  <c r="K904" i="5"/>
  <c r="J904" i="5"/>
  <c r="I904" i="5"/>
  <c r="H904" i="5"/>
  <c r="G904" i="5"/>
  <c r="F904" i="5"/>
  <c r="E904" i="5"/>
  <c r="C904" i="5"/>
  <c r="B904" i="5"/>
  <c r="A904" i="5"/>
  <c r="O903" i="5"/>
  <c r="J903" i="5"/>
  <c r="I903" i="5"/>
  <c r="H903" i="5"/>
  <c r="G903" i="5"/>
  <c r="F903" i="5"/>
  <c r="E903" i="5"/>
  <c r="D903" i="5" s="1"/>
  <c r="C903" i="5"/>
  <c r="B903" i="5"/>
  <c r="A903" i="5"/>
  <c r="O902" i="5"/>
  <c r="J902" i="5"/>
  <c r="I902" i="5"/>
  <c r="H902" i="5"/>
  <c r="G902" i="5"/>
  <c r="F902" i="5"/>
  <c r="E902" i="5"/>
  <c r="D902" i="5" s="1"/>
  <c r="C902" i="5"/>
  <c r="B902" i="5"/>
  <c r="A902" i="5"/>
  <c r="J901" i="5"/>
  <c r="I901" i="5"/>
  <c r="H901" i="5"/>
  <c r="G901" i="5"/>
  <c r="F901" i="5"/>
  <c r="D901" i="5" s="1"/>
  <c r="E901" i="5"/>
  <c r="C901" i="5"/>
  <c r="B901" i="5"/>
  <c r="A901" i="5"/>
  <c r="K900" i="5"/>
  <c r="J900" i="5"/>
  <c r="I900" i="5"/>
  <c r="H900" i="5"/>
  <c r="G900" i="5"/>
  <c r="F900" i="5"/>
  <c r="E900" i="5"/>
  <c r="D900" i="5" s="1"/>
  <c r="C900" i="5"/>
  <c r="B900" i="5"/>
  <c r="A900" i="5"/>
  <c r="O899" i="5"/>
  <c r="K899" i="5"/>
  <c r="J899" i="5"/>
  <c r="I899" i="5"/>
  <c r="H899" i="5"/>
  <c r="G899" i="5"/>
  <c r="F899" i="5"/>
  <c r="E899" i="5"/>
  <c r="D899" i="5" s="1"/>
  <c r="C899" i="5"/>
  <c r="B899" i="5"/>
  <c r="A899" i="5"/>
  <c r="O898" i="5"/>
  <c r="J898" i="5"/>
  <c r="I898" i="5"/>
  <c r="H898" i="5"/>
  <c r="G898" i="5"/>
  <c r="F898" i="5"/>
  <c r="E898" i="5"/>
  <c r="C898" i="5"/>
  <c r="B898" i="5"/>
  <c r="A898" i="5"/>
  <c r="O897" i="5"/>
  <c r="J897" i="5"/>
  <c r="I897" i="5"/>
  <c r="H897" i="5"/>
  <c r="G897" i="5"/>
  <c r="F897" i="5"/>
  <c r="S897" i="5" s="1"/>
  <c r="E897" i="5"/>
  <c r="D897" i="5" s="1"/>
  <c r="C897" i="5"/>
  <c r="B897" i="5"/>
  <c r="A897" i="5"/>
  <c r="R896" i="5"/>
  <c r="O896" i="5"/>
  <c r="S896" i="5" s="1"/>
  <c r="K896" i="5"/>
  <c r="J896" i="5"/>
  <c r="I896" i="5"/>
  <c r="H896" i="5"/>
  <c r="G896" i="5"/>
  <c r="D896" i="5" s="1"/>
  <c r="F896" i="5"/>
  <c r="E896" i="5"/>
  <c r="C896" i="5"/>
  <c r="B896" i="5"/>
  <c r="A896" i="5"/>
  <c r="S895" i="5"/>
  <c r="R895" i="5"/>
  <c r="K895" i="5"/>
  <c r="J895" i="5"/>
  <c r="I895" i="5"/>
  <c r="H895" i="5"/>
  <c r="G895" i="5"/>
  <c r="F895" i="5"/>
  <c r="E895" i="5"/>
  <c r="D895" i="5"/>
  <c r="C895" i="5"/>
  <c r="B895" i="5"/>
  <c r="A895" i="5"/>
  <c r="S894" i="5"/>
  <c r="J894" i="5"/>
  <c r="I894" i="5"/>
  <c r="R894" i="5" s="1"/>
  <c r="H894" i="5"/>
  <c r="G894" i="5"/>
  <c r="F894" i="5"/>
  <c r="E894" i="5"/>
  <c r="D894" i="5"/>
  <c r="C894" i="5"/>
  <c r="B894" i="5"/>
  <c r="A894" i="5"/>
  <c r="O893" i="5"/>
  <c r="K893" i="5"/>
  <c r="J893" i="5"/>
  <c r="I893" i="5"/>
  <c r="H893" i="5"/>
  <c r="G893" i="5"/>
  <c r="F893" i="5"/>
  <c r="S893" i="5" s="1"/>
  <c r="E893" i="5"/>
  <c r="C893" i="5"/>
  <c r="B893" i="5"/>
  <c r="A893" i="5"/>
  <c r="L892" i="5"/>
  <c r="J892" i="5"/>
  <c r="I892" i="5"/>
  <c r="H892" i="5"/>
  <c r="G892" i="5"/>
  <c r="D892" i="5" s="1"/>
  <c r="F892" i="5"/>
  <c r="E892" i="5"/>
  <c r="C892" i="5"/>
  <c r="B892" i="5"/>
  <c r="A892" i="5"/>
  <c r="K891" i="5"/>
  <c r="J891" i="5"/>
  <c r="I891" i="5"/>
  <c r="H891" i="5"/>
  <c r="G891" i="5"/>
  <c r="D891" i="5" s="1"/>
  <c r="F891" i="5"/>
  <c r="E891" i="5"/>
  <c r="S891" i="5" s="1"/>
  <c r="C891" i="5"/>
  <c r="B891" i="5"/>
  <c r="A891" i="5"/>
  <c r="O890" i="5"/>
  <c r="L890" i="5"/>
  <c r="K890" i="5"/>
  <c r="J890" i="5"/>
  <c r="I890" i="5"/>
  <c r="H890" i="5"/>
  <c r="G890" i="5"/>
  <c r="F890" i="5"/>
  <c r="E890" i="5"/>
  <c r="C890" i="5"/>
  <c r="B890" i="5"/>
  <c r="A890" i="5"/>
  <c r="J889" i="5"/>
  <c r="I889" i="5"/>
  <c r="H889" i="5"/>
  <c r="G889" i="5"/>
  <c r="F889" i="5"/>
  <c r="E889" i="5"/>
  <c r="C889" i="5"/>
  <c r="B889" i="5"/>
  <c r="A889" i="5"/>
  <c r="J888" i="5"/>
  <c r="I888" i="5"/>
  <c r="H888" i="5"/>
  <c r="G888" i="5"/>
  <c r="F888" i="5"/>
  <c r="E888" i="5"/>
  <c r="C888" i="5"/>
  <c r="B888" i="5"/>
  <c r="A888" i="5"/>
  <c r="J887" i="5"/>
  <c r="I887" i="5"/>
  <c r="H887" i="5"/>
  <c r="G887" i="5"/>
  <c r="F887" i="5"/>
  <c r="E887" i="5"/>
  <c r="D887" i="5" s="1"/>
  <c r="C887" i="5"/>
  <c r="B887" i="5"/>
  <c r="A887" i="5"/>
  <c r="J886" i="5"/>
  <c r="I886" i="5"/>
  <c r="H886" i="5"/>
  <c r="G886" i="5"/>
  <c r="F886" i="5"/>
  <c r="E886" i="5"/>
  <c r="C886" i="5"/>
  <c r="B886" i="5"/>
  <c r="A886" i="5"/>
  <c r="J885" i="5"/>
  <c r="I885" i="5"/>
  <c r="H885" i="5"/>
  <c r="G885" i="5"/>
  <c r="F885" i="5"/>
  <c r="D885" i="5" s="1"/>
  <c r="E885" i="5"/>
  <c r="C885" i="5"/>
  <c r="B885" i="5"/>
  <c r="A885" i="5"/>
  <c r="J884" i="5"/>
  <c r="I884" i="5"/>
  <c r="H884" i="5"/>
  <c r="G884" i="5"/>
  <c r="F884" i="5"/>
  <c r="E884" i="5"/>
  <c r="D884" i="5"/>
  <c r="C884" i="5"/>
  <c r="B884" i="5"/>
  <c r="A884" i="5"/>
  <c r="J883" i="5"/>
  <c r="I883" i="5"/>
  <c r="H883" i="5"/>
  <c r="G883" i="5"/>
  <c r="F883" i="5"/>
  <c r="E883" i="5"/>
  <c r="S883" i="5" s="1"/>
  <c r="D883" i="5"/>
  <c r="C883" i="5"/>
  <c r="B883" i="5"/>
  <c r="A883" i="5"/>
  <c r="J882" i="5"/>
  <c r="I882" i="5"/>
  <c r="R882" i="5" s="1"/>
  <c r="H882" i="5"/>
  <c r="G882" i="5"/>
  <c r="F882" i="5"/>
  <c r="E882" i="5"/>
  <c r="D882" i="5"/>
  <c r="C882" i="5"/>
  <c r="B882" i="5"/>
  <c r="A882" i="5"/>
  <c r="J881" i="5"/>
  <c r="I881" i="5"/>
  <c r="H881" i="5"/>
  <c r="R881" i="5" s="1"/>
  <c r="G881" i="5"/>
  <c r="F881" i="5"/>
  <c r="E881" i="5"/>
  <c r="C881" i="5"/>
  <c r="B881" i="5"/>
  <c r="A881" i="5"/>
  <c r="R880" i="5"/>
  <c r="J880" i="5"/>
  <c r="I880" i="5"/>
  <c r="H880" i="5"/>
  <c r="G880" i="5"/>
  <c r="D880" i="5" s="1"/>
  <c r="F880" i="5"/>
  <c r="E880" i="5"/>
  <c r="C880" i="5"/>
  <c r="B880" i="5"/>
  <c r="A880" i="5"/>
  <c r="R879" i="5"/>
  <c r="J879" i="5"/>
  <c r="I879" i="5"/>
  <c r="H879" i="5"/>
  <c r="G879" i="5"/>
  <c r="F879" i="5"/>
  <c r="E879" i="5"/>
  <c r="C879" i="5"/>
  <c r="B879" i="5"/>
  <c r="A879" i="5"/>
  <c r="J878" i="5"/>
  <c r="I878" i="5"/>
  <c r="R878" i="5" s="1"/>
  <c r="H878" i="5"/>
  <c r="G878" i="5"/>
  <c r="F878" i="5"/>
  <c r="E878" i="5"/>
  <c r="C878" i="5"/>
  <c r="B878" i="5"/>
  <c r="A878" i="5"/>
  <c r="J877" i="5"/>
  <c r="I877" i="5"/>
  <c r="H877" i="5"/>
  <c r="G877" i="5"/>
  <c r="F877" i="5"/>
  <c r="E877" i="5"/>
  <c r="D877" i="5" s="1"/>
  <c r="C877" i="5"/>
  <c r="B877" i="5"/>
  <c r="A877" i="5"/>
  <c r="J876" i="5"/>
  <c r="I876" i="5"/>
  <c r="H876" i="5"/>
  <c r="G876" i="5"/>
  <c r="F876" i="5"/>
  <c r="E876" i="5"/>
  <c r="R876" i="5" s="1"/>
  <c r="C876" i="5"/>
  <c r="B876" i="5"/>
  <c r="A876" i="5"/>
  <c r="J875" i="5"/>
  <c r="I875" i="5"/>
  <c r="H875" i="5"/>
  <c r="G875" i="5"/>
  <c r="F875" i="5"/>
  <c r="E875" i="5"/>
  <c r="C875" i="5"/>
  <c r="B875" i="5"/>
  <c r="A875" i="5"/>
  <c r="J874" i="5"/>
  <c r="I874" i="5"/>
  <c r="H874" i="5"/>
  <c r="G874" i="5"/>
  <c r="F874" i="5"/>
  <c r="E874" i="5"/>
  <c r="C874" i="5"/>
  <c r="B874" i="5"/>
  <c r="A874" i="5"/>
  <c r="J873" i="5"/>
  <c r="I873" i="5"/>
  <c r="H873" i="5"/>
  <c r="G873" i="5"/>
  <c r="F873" i="5"/>
  <c r="E873" i="5"/>
  <c r="C873" i="5"/>
  <c r="B873" i="5"/>
  <c r="A873" i="5"/>
  <c r="N872" i="5"/>
  <c r="M872" i="5"/>
  <c r="J872" i="5"/>
  <c r="I872" i="5"/>
  <c r="H872" i="5"/>
  <c r="G872" i="5"/>
  <c r="F872" i="5"/>
  <c r="E872" i="5"/>
  <c r="C872" i="5"/>
  <c r="B872" i="5"/>
  <c r="A872" i="5"/>
  <c r="P871" i="5"/>
  <c r="N871" i="5"/>
  <c r="M871" i="5"/>
  <c r="J871" i="5"/>
  <c r="I871" i="5"/>
  <c r="H871" i="5"/>
  <c r="G871" i="5"/>
  <c r="F871" i="5"/>
  <c r="E871" i="5"/>
  <c r="C871" i="5"/>
  <c r="B871" i="5"/>
  <c r="A871" i="5"/>
  <c r="P870" i="5"/>
  <c r="N870" i="5"/>
  <c r="M870" i="5"/>
  <c r="J870" i="5"/>
  <c r="I870" i="5"/>
  <c r="H870" i="5"/>
  <c r="G870" i="5"/>
  <c r="F870" i="5"/>
  <c r="S870" i="5" s="1"/>
  <c r="E870" i="5"/>
  <c r="D870" i="5" s="1"/>
  <c r="C870" i="5"/>
  <c r="B870" i="5"/>
  <c r="A870" i="5"/>
  <c r="S869" i="5"/>
  <c r="R869" i="5"/>
  <c r="K869" i="5"/>
  <c r="J869" i="5"/>
  <c r="I869" i="5"/>
  <c r="H869" i="5"/>
  <c r="G869" i="5"/>
  <c r="D869" i="5" s="1"/>
  <c r="F869" i="5"/>
  <c r="E869" i="5"/>
  <c r="C869" i="5"/>
  <c r="B869" i="5"/>
  <c r="A869" i="5"/>
  <c r="S868" i="5"/>
  <c r="K868" i="5"/>
  <c r="J868" i="5"/>
  <c r="I868" i="5"/>
  <c r="H868" i="5"/>
  <c r="G868" i="5"/>
  <c r="D868" i="5" s="1"/>
  <c r="F868" i="5"/>
  <c r="E868" i="5"/>
  <c r="C868" i="5"/>
  <c r="B868" i="5"/>
  <c r="A868" i="5"/>
  <c r="K867" i="5"/>
  <c r="J867" i="5"/>
  <c r="I867" i="5"/>
  <c r="H867" i="5"/>
  <c r="G867" i="5"/>
  <c r="F867" i="5"/>
  <c r="E867" i="5"/>
  <c r="C867" i="5"/>
  <c r="B867" i="5"/>
  <c r="A867" i="5"/>
  <c r="O866" i="5"/>
  <c r="J866" i="5"/>
  <c r="I866" i="5"/>
  <c r="H866" i="5"/>
  <c r="G866" i="5"/>
  <c r="F866" i="5"/>
  <c r="E866" i="5"/>
  <c r="C866" i="5"/>
  <c r="B866" i="5"/>
  <c r="A866" i="5"/>
  <c r="R865" i="5"/>
  <c r="O865" i="5"/>
  <c r="J865" i="5"/>
  <c r="I865" i="5"/>
  <c r="H865" i="5"/>
  <c r="G865" i="5"/>
  <c r="F865" i="5"/>
  <c r="E865" i="5"/>
  <c r="C865" i="5"/>
  <c r="B865" i="5"/>
  <c r="A865" i="5"/>
  <c r="R864" i="5"/>
  <c r="J864" i="5"/>
  <c r="S864" i="5" s="1"/>
  <c r="I864" i="5"/>
  <c r="H864" i="5"/>
  <c r="G864" i="5"/>
  <c r="F864" i="5"/>
  <c r="E864" i="5"/>
  <c r="C864" i="5"/>
  <c r="B864" i="5"/>
  <c r="A864" i="5"/>
  <c r="K863" i="5"/>
  <c r="J863" i="5"/>
  <c r="I863" i="5"/>
  <c r="H863" i="5"/>
  <c r="G863" i="5"/>
  <c r="F863" i="5"/>
  <c r="E863" i="5"/>
  <c r="C863" i="5"/>
  <c r="B863" i="5"/>
  <c r="A863" i="5"/>
  <c r="O862" i="5"/>
  <c r="K862" i="5"/>
  <c r="S862" i="5" s="1"/>
  <c r="J862" i="5"/>
  <c r="I862" i="5"/>
  <c r="H862" i="5"/>
  <c r="G862" i="5"/>
  <c r="F862" i="5"/>
  <c r="E862" i="5"/>
  <c r="C862" i="5"/>
  <c r="B862" i="5"/>
  <c r="A862" i="5"/>
  <c r="R861" i="5"/>
  <c r="O861" i="5"/>
  <c r="S861" i="5" s="1"/>
  <c r="J861" i="5"/>
  <c r="I861" i="5"/>
  <c r="H861" i="5"/>
  <c r="G861" i="5"/>
  <c r="F861" i="5"/>
  <c r="E861" i="5"/>
  <c r="C861" i="5"/>
  <c r="B861" i="5"/>
  <c r="A861" i="5"/>
  <c r="S860" i="5"/>
  <c r="R860" i="5"/>
  <c r="O860" i="5"/>
  <c r="J860" i="5"/>
  <c r="I860" i="5"/>
  <c r="D860" i="5" s="1"/>
  <c r="H860" i="5"/>
  <c r="G860" i="5"/>
  <c r="F860" i="5"/>
  <c r="E860" i="5"/>
  <c r="C860" i="5"/>
  <c r="B860" i="5"/>
  <c r="A860" i="5"/>
  <c r="S859" i="5"/>
  <c r="O859" i="5"/>
  <c r="K859" i="5"/>
  <c r="J859" i="5"/>
  <c r="I859" i="5"/>
  <c r="H859" i="5"/>
  <c r="G859" i="5"/>
  <c r="F859" i="5"/>
  <c r="E859" i="5"/>
  <c r="R859" i="5" s="1"/>
  <c r="C859" i="5"/>
  <c r="B859" i="5"/>
  <c r="A859" i="5"/>
  <c r="K858" i="5"/>
  <c r="J858" i="5"/>
  <c r="I858" i="5"/>
  <c r="H858" i="5"/>
  <c r="G858" i="5"/>
  <c r="F858" i="5"/>
  <c r="D858" i="5" s="1"/>
  <c r="E858" i="5"/>
  <c r="C858" i="5"/>
  <c r="B858" i="5"/>
  <c r="A858" i="5"/>
  <c r="J857" i="5"/>
  <c r="I857" i="5"/>
  <c r="H857" i="5"/>
  <c r="G857" i="5"/>
  <c r="F857" i="5"/>
  <c r="E857" i="5"/>
  <c r="D857" i="5" s="1"/>
  <c r="C857" i="5"/>
  <c r="B857" i="5"/>
  <c r="A857" i="5"/>
  <c r="O856" i="5"/>
  <c r="K856" i="5"/>
  <c r="J856" i="5"/>
  <c r="I856" i="5"/>
  <c r="H856" i="5"/>
  <c r="G856" i="5"/>
  <c r="F856" i="5"/>
  <c r="E856" i="5"/>
  <c r="D856" i="5" s="1"/>
  <c r="C856" i="5"/>
  <c r="B856" i="5"/>
  <c r="A856" i="5"/>
  <c r="L855" i="5"/>
  <c r="J855" i="5"/>
  <c r="I855" i="5"/>
  <c r="H855" i="5"/>
  <c r="G855" i="5"/>
  <c r="F855" i="5"/>
  <c r="E855" i="5"/>
  <c r="D855" i="5" s="1"/>
  <c r="C855" i="5"/>
  <c r="B855" i="5"/>
  <c r="A855" i="5"/>
  <c r="K854" i="5"/>
  <c r="J854" i="5"/>
  <c r="I854" i="5"/>
  <c r="H854" i="5"/>
  <c r="G854" i="5"/>
  <c r="F854" i="5"/>
  <c r="E854" i="5"/>
  <c r="D854" i="5"/>
  <c r="C854" i="5"/>
  <c r="B854" i="5"/>
  <c r="A854" i="5"/>
  <c r="O853" i="5"/>
  <c r="L853" i="5"/>
  <c r="K853" i="5"/>
  <c r="J853" i="5"/>
  <c r="I853" i="5"/>
  <c r="H853" i="5"/>
  <c r="G853" i="5"/>
  <c r="F853" i="5"/>
  <c r="E853" i="5"/>
  <c r="C853" i="5"/>
  <c r="B853" i="5"/>
  <c r="A853" i="5"/>
  <c r="J852" i="5"/>
  <c r="I852" i="5"/>
  <c r="H852" i="5"/>
  <c r="G852" i="5"/>
  <c r="F852" i="5"/>
  <c r="E852" i="5"/>
  <c r="C852" i="5"/>
  <c r="B852" i="5"/>
  <c r="A852" i="5"/>
  <c r="S851" i="5"/>
  <c r="R851" i="5"/>
  <c r="J851" i="5"/>
  <c r="I851" i="5"/>
  <c r="H851" i="5"/>
  <c r="G851" i="5"/>
  <c r="D851" i="5" s="1"/>
  <c r="F851" i="5"/>
  <c r="E851" i="5"/>
  <c r="C851" i="5"/>
  <c r="B851" i="5"/>
  <c r="A851" i="5"/>
  <c r="R850" i="5"/>
  <c r="J850" i="5"/>
  <c r="S850" i="5" s="1"/>
  <c r="I850" i="5"/>
  <c r="H850" i="5"/>
  <c r="G850" i="5"/>
  <c r="F850" i="5"/>
  <c r="E850" i="5"/>
  <c r="C850" i="5"/>
  <c r="B850" i="5"/>
  <c r="A850" i="5"/>
  <c r="J849" i="5"/>
  <c r="I849" i="5"/>
  <c r="S849" i="5" s="1"/>
  <c r="H849" i="5"/>
  <c r="G849" i="5"/>
  <c r="F849" i="5"/>
  <c r="E849" i="5"/>
  <c r="C849" i="5"/>
  <c r="B849" i="5"/>
  <c r="A849" i="5"/>
  <c r="S848" i="5"/>
  <c r="J848" i="5"/>
  <c r="I848" i="5"/>
  <c r="H848" i="5"/>
  <c r="R848" i="5" s="1"/>
  <c r="G848" i="5"/>
  <c r="F848" i="5"/>
  <c r="E848" i="5"/>
  <c r="C848" i="5"/>
  <c r="B848" i="5"/>
  <c r="A848" i="5"/>
  <c r="S847" i="5"/>
  <c r="R847" i="5"/>
  <c r="J847" i="5"/>
  <c r="I847" i="5"/>
  <c r="H847" i="5"/>
  <c r="G847" i="5"/>
  <c r="F847" i="5"/>
  <c r="E847" i="5"/>
  <c r="C847" i="5"/>
  <c r="B847" i="5"/>
  <c r="A847" i="5"/>
  <c r="J846" i="5"/>
  <c r="S846" i="5" s="1"/>
  <c r="I846" i="5"/>
  <c r="H846" i="5"/>
  <c r="G846" i="5"/>
  <c r="F846" i="5"/>
  <c r="E846" i="5"/>
  <c r="C846" i="5"/>
  <c r="B846" i="5"/>
  <c r="A846" i="5"/>
  <c r="J845" i="5"/>
  <c r="I845" i="5"/>
  <c r="S845" i="5" s="1"/>
  <c r="H845" i="5"/>
  <c r="G845" i="5"/>
  <c r="F845" i="5"/>
  <c r="E845" i="5"/>
  <c r="C845" i="5"/>
  <c r="B845" i="5"/>
  <c r="A845" i="5"/>
  <c r="R844" i="5"/>
  <c r="J844" i="5"/>
  <c r="I844" i="5"/>
  <c r="H844" i="5"/>
  <c r="G844" i="5"/>
  <c r="S844" i="5" s="1"/>
  <c r="F844" i="5"/>
  <c r="E844" i="5"/>
  <c r="C844" i="5"/>
  <c r="B844" i="5"/>
  <c r="A844" i="5"/>
  <c r="J843" i="5"/>
  <c r="I843" i="5"/>
  <c r="H843" i="5"/>
  <c r="G843" i="5"/>
  <c r="F843" i="5"/>
  <c r="E843" i="5"/>
  <c r="C843" i="5"/>
  <c r="B843" i="5"/>
  <c r="A843" i="5"/>
  <c r="J842" i="5"/>
  <c r="I842" i="5"/>
  <c r="H842" i="5"/>
  <c r="G842" i="5"/>
  <c r="F842" i="5"/>
  <c r="E842" i="5"/>
  <c r="C842" i="5"/>
  <c r="B842" i="5"/>
  <c r="A842" i="5"/>
  <c r="J841" i="5"/>
  <c r="I841" i="5"/>
  <c r="H841" i="5"/>
  <c r="G841" i="5"/>
  <c r="F841" i="5"/>
  <c r="E841" i="5"/>
  <c r="C841" i="5"/>
  <c r="B841" i="5"/>
  <c r="A841" i="5"/>
  <c r="J840" i="5"/>
  <c r="I840" i="5"/>
  <c r="H840" i="5"/>
  <c r="G840" i="5"/>
  <c r="F840" i="5"/>
  <c r="E840" i="5"/>
  <c r="C840" i="5"/>
  <c r="B840" i="5"/>
  <c r="A840" i="5"/>
  <c r="S839" i="5"/>
  <c r="R839" i="5"/>
  <c r="J839" i="5"/>
  <c r="I839" i="5"/>
  <c r="H839" i="5"/>
  <c r="G839" i="5"/>
  <c r="D839" i="5" s="1"/>
  <c r="F839" i="5"/>
  <c r="E839" i="5"/>
  <c r="C839" i="5"/>
  <c r="B839" i="5"/>
  <c r="A839" i="5"/>
  <c r="R838" i="5"/>
  <c r="J838" i="5"/>
  <c r="S838" i="5" s="1"/>
  <c r="I838" i="5"/>
  <c r="H838" i="5"/>
  <c r="G838" i="5"/>
  <c r="F838" i="5"/>
  <c r="E838" i="5"/>
  <c r="C838" i="5"/>
  <c r="B838" i="5"/>
  <c r="A838" i="5"/>
  <c r="J837" i="5"/>
  <c r="I837" i="5"/>
  <c r="S837" i="5" s="1"/>
  <c r="H837" i="5"/>
  <c r="G837" i="5"/>
  <c r="F837" i="5"/>
  <c r="E837" i="5"/>
  <c r="C837" i="5"/>
  <c r="B837" i="5"/>
  <c r="A837" i="5"/>
  <c r="S836" i="5"/>
  <c r="J836" i="5"/>
  <c r="I836" i="5"/>
  <c r="H836" i="5"/>
  <c r="R836" i="5" s="1"/>
  <c r="G836" i="5"/>
  <c r="F836" i="5"/>
  <c r="E836" i="5"/>
  <c r="C836" i="5"/>
  <c r="B836" i="5"/>
  <c r="A836" i="5"/>
  <c r="S835" i="5"/>
  <c r="R835" i="5"/>
  <c r="N835" i="5"/>
  <c r="M835" i="5"/>
  <c r="J835" i="5"/>
  <c r="I835" i="5"/>
  <c r="H835" i="5"/>
  <c r="G835" i="5"/>
  <c r="F835" i="5"/>
  <c r="E835" i="5"/>
  <c r="D835" i="5"/>
  <c r="C835" i="5"/>
  <c r="B835" i="5"/>
  <c r="A835" i="5"/>
  <c r="P834" i="5"/>
  <c r="N834" i="5"/>
  <c r="M834" i="5"/>
  <c r="J834" i="5"/>
  <c r="I834" i="5"/>
  <c r="H834" i="5"/>
  <c r="G834" i="5"/>
  <c r="F834" i="5"/>
  <c r="E834" i="5"/>
  <c r="D834" i="5" s="1"/>
  <c r="C834" i="5"/>
  <c r="B834" i="5"/>
  <c r="A834" i="5"/>
  <c r="P833" i="5"/>
  <c r="N833" i="5"/>
  <c r="M833" i="5"/>
  <c r="J833" i="5"/>
  <c r="I833" i="5"/>
  <c r="H833" i="5"/>
  <c r="G833" i="5"/>
  <c r="F833" i="5"/>
  <c r="S833" i="5" s="1"/>
  <c r="E833" i="5"/>
  <c r="C833" i="5"/>
  <c r="B833" i="5"/>
  <c r="A833" i="5"/>
  <c r="K832" i="5"/>
  <c r="J832" i="5"/>
  <c r="I832" i="5"/>
  <c r="H832" i="5"/>
  <c r="G832" i="5"/>
  <c r="F832" i="5"/>
  <c r="E832" i="5"/>
  <c r="C832" i="5"/>
  <c r="B832" i="5"/>
  <c r="A832" i="5"/>
  <c r="K831" i="5"/>
  <c r="J831" i="5"/>
  <c r="I831" i="5"/>
  <c r="H831" i="5"/>
  <c r="G831" i="5"/>
  <c r="F831" i="5"/>
  <c r="E831" i="5"/>
  <c r="C831" i="5"/>
  <c r="B831" i="5"/>
  <c r="A831" i="5"/>
  <c r="K830" i="5"/>
  <c r="J830" i="5"/>
  <c r="I830" i="5"/>
  <c r="H830" i="5"/>
  <c r="G830" i="5"/>
  <c r="F830" i="5"/>
  <c r="E830" i="5"/>
  <c r="C830" i="5"/>
  <c r="B830" i="5"/>
  <c r="A830" i="5"/>
  <c r="O829" i="5"/>
  <c r="J829" i="5"/>
  <c r="I829" i="5"/>
  <c r="H829" i="5"/>
  <c r="G829" i="5"/>
  <c r="F829" i="5"/>
  <c r="E829" i="5"/>
  <c r="C829" i="5"/>
  <c r="B829" i="5"/>
  <c r="A829" i="5"/>
  <c r="O828" i="5"/>
  <c r="J828" i="5"/>
  <c r="I828" i="5"/>
  <c r="H828" i="5"/>
  <c r="D828" i="5" s="1"/>
  <c r="G828" i="5"/>
  <c r="F828" i="5"/>
  <c r="E828" i="5"/>
  <c r="C828" i="5"/>
  <c r="B828" i="5"/>
  <c r="A828" i="5"/>
  <c r="J827" i="5"/>
  <c r="I827" i="5"/>
  <c r="H827" i="5"/>
  <c r="D827" i="5" s="1"/>
  <c r="G827" i="5"/>
  <c r="F827" i="5"/>
  <c r="E827" i="5"/>
  <c r="C827" i="5"/>
  <c r="B827" i="5"/>
  <c r="A827" i="5"/>
  <c r="K826" i="5"/>
  <c r="J826" i="5"/>
  <c r="I826" i="5"/>
  <c r="H826" i="5"/>
  <c r="G826" i="5"/>
  <c r="F826" i="5"/>
  <c r="E826" i="5"/>
  <c r="C826" i="5"/>
  <c r="B826" i="5"/>
  <c r="A826" i="5"/>
  <c r="O825" i="5"/>
  <c r="K825" i="5"/>
  <c r="J825" i="5"/>
  <c r="I825" i="5"/>
  <c r="H825" i="5"/>
  <c r="G825" i="5"/>
  <c r="R825" i="5" s="1"/>
  <c r="F825" i="5"/>
  <c r="E825" i="5"/>
  <c r="D825" i="5" s="1"/>
  <c r="C825" i="5"/>
  <c r="B825" i="5"/>
  <c r="A825" i="5"/>
  <c r="S824" i="5"/>
  <c r="R824" i="5"/>
  <c r="O824" i="5"/>
  <c r="J824" i="5"/>
  <c r="I824" i="5"/>
  <c r="H824" i="5"/>
  <c r="G824" i="5"/>
  <c r="D824" i="5" s="1"/>
  <c r="F824" i="5"/>
  <c r="E824" i="5"/>
  <c r="C824" i="5"/>
  <c r="B824" i="5"/>
  <c r="A824" i="5"/>
  <c r="O823" i="5"/>
  <c r="J823" i="5"/>
  <c r="I823" i="5"/>
  <c r="H823" i="5"/>
  <c r="S823" i="5" s="1"/>
  <c r="G823" i="5"/>
  <c r="F823" i="5"/>
  <c r="E823" i="5"/>
  <c r="C823" i="5"/>
  <c r="B823" i="5"/>
  <c r="A823" i="5"/>
  <c r="O822" i="5"/>
  <c r="K822" i="5"/>
  <c r="J822" i="5"/>
  <c r="I822" i="5"/>
  <c r="H822" i="5"/>
  <c r="G822" i="5"/>
  <c r="F822" i="5"/>
  <c r="E822" i="5"/>
  <c r="C822" i="5"/>
  <c r="B822" i="5"/>
  <c r="A822" i="5"/>
  <c r="K821" i="5"/>
  <c r="J821" i="5"/>
  <c r="I821" i="5"/>
  <c r="H821" i="5"/>
  <c r="R821" i="5" s="1"/>
  <c r="G821" i="5"/>
  <c r="D821" i="5" s="1"/>
  <c r="F821" i="5"/>
  <c r="E821" i="5"/>
  <c r="C821" i="5"/>
  <c r="B821" i="5"/>
  <c r="A821" i="5"/>
  <c r="J820" i="5"/>
  <c r="I820" i="5"/>
  <c r="H820" i="5"/>
  <c r="S820" i="5" s="1"/>
  <c r="G820" i="5"/>
  <c r="F820" i="5"/>
  <c r="E820" i="5"/>
  <c r="C820" i="5"/>
  <c r="B820" i="5"/>
  <c r="A820" i="5"/>
  <c r="S819" i="5"/>
  <c r="O819" i="5"/>
  <c r="K819" i="5"/>
  <c r="J819" i="5"/>
  <c r="R819" i="5" s="1"/>
  <c r="I819" i="5"/>
  <c r="H819" i="5"/>
  <c r="G819" i="5"/>
  <c r="F819" i="5"/>
  <c r="E819" i="5"/>
  <c r="C819" i="5"/>
  <c r="B819" i="5"/>
  <c r="A819" i="5"/>
  <c r="L818" i="5"/>
  <c r="J818" i="5"/>
  <c r="S818" i="5" s="1"/>
  <c r="I818" i="5"/>
  <c r="R818" i="5" s="1"/>
  <c r="H818" i="5"/>
  <c r="G818" i="5"/>
  <c r="F818" i="5"/>
  <c r="E818" i="5"/>
  <c r="C818" i="5"/>
  <c r="B818" i="5"/>
  <c r="A818" i="5"/>
  <c r="S817" i="5"/>
  <c r="K817" i="5"/>
  <c r="J817" i="5"/>
  <c r="I817" i="5"/>
  <c r="H817" i="5"/>
  <c r="G817" i="5"/>
  <c r="F817" i="5"/>
  <c r="E817" i="5"/>
  <c r="D817" i="5"/>
  <c r="C817" i="5"/>
  <c r="B817" i="5"/>
  <c r="A817" i="5"/>
  <c r="O816" i="5"/>
  <c r="L816" i="5"/>
  <c r="K816" i="5"/>
  <c r="J816" i="5"/>
  <c r="I816" i="5"/>
  <c r="H816" i="5"/>
  <c r="G816" i="5"/>
  <c r="F816" i="5"/>
  <c r="E816" i="5"/>
  <c r="C816" i="5"/>
  <c r="B816" i="5"/>
  <c r="A816" i="5"/>
  <c r="J815" i="5"/>
  <c r="I815" i="5"/>
  <c r="H815" i="5"/>
  <c r="G815" i="5"/>
  <c r="F815" i="5"/>
  <c r="E815" i="5"/>
  <c r="D815" i="5"/>
  <c r="C815" i="5"/>
  <c r="B815" i="5"/>
  <c r="A815" i="5"/>
  <c r="S814" i="5"/>
  <c r="J814" i="5"/>
  <c r="I814" i="5"/>
  <c r="H814" i="5"/>
  <c r="G814" i="5"/>
  <c r="F814" i="5"/>
  <c r="D814" i="5" s="1"/>
  <c r="E814" i="5"/>
  <c r="C814" i="5"/>
  <c r="B814" i="5"/>
  <c r="A814" i="5"/>
  <c r="S813" i="5"/>
  <c r="J813" i="5"/>
  <c r="I813" i="5"/>
  <c r="H813" i="5"/>
  <c r="G813" i="5"/>
  <c r="F813" i="5"/>
  <c r="E813" i="5"/>
  <c r="R813" i="5" s="1"/>
  <c r="D813" i="5"/>
  <c r="C813" i="5"/>
  <c r="B813" i="5"/>
  <c r="A813" i="5"/>
  <c r="S812" i="5"/>
  <c r="J812" i="5"/>
  <c r="I812" i="5"/>
  <c r="H812" i="5"/>
  <c r="G812" i="5"/>
  <c r="F812" i="5"/>
  <c r="E812" i="5"/>
  <c r="D812" i="5"/>
  <c r="C812" i="5"/>
  <c r="B812" i="5"/>
  <c r="A812" i="5"/>
  <c r="S811" i="5"/>
  <c r="J811" i="5"/>
  <c r="I811" i="5"/>
  <c r="H811" i="5"/>
  <c r="G811" i="5"/>
  <c r="F811" i="5"/>
  <c r="E811" i="5"/>
  <c r="D811" i="5" s="1"/>
  <c r="C811" i="5"/>
  <c r="B811" i="5"/>
  <c r="A811" i="5"/>
  <c r="S810" i="5"/>
  <c r="J810" i="5"/>
  <c r="I810" i="5"/>
  <c r="H810" i="5"/>
  <c r="G810" i="5"/>
  <c r="F810" i="5"/>
  <c r="D810" i="5" s="1"/>
  <c r="E810" i="5"/>
  <c r="C810" i="5"/>
  <c r="B810" i="5"/>
  <c r="A810" i="5"/>
  <c r="J809" i="5"/>
  <c r="I809" i="5"/>
  <c r="H809" i="5"/>
  <c r="G809" i="5"/>
  <c r="F809" i="5"/>
  <c r="E809" i="5"/>
  <c r="R809" i="5" s="1"/>
  <c r="C809" i="5"/>
  <c r="B809" i="5"/>
  <c r="A809" i="5"/>
  <c r="J808" i="5"/>
  <c r="I808" i="5"/>
  <c r="H808" i="5"/>
  <c r="G808" i="5"/>
  <c r="F808" i="5"/>
  <c r="E808" i="5"/>
  <c r="R808" i="5" s="1"/>
  <c r="D808" i="5"/>
  <c r="C808" i="5"/>
  <c r="B808" i="5"/>
  <c r="A808" i="5"/>
  <c r="J807" i="5"/>
  <c r="I807" i="5"/>
  <c r="H807" i="5"/>
  <c r="G807" i="5"/>
  <c r="D807" i="5" s="1"/>
  <c r="F807" i="5"/>
  <c r="E807" i="5"/>
  <c r="S807" i="5" s="1"/>
  <c r="C807" i="5"/>
  <c r="B807" i="5"/>
  <c r="A807" i="5"/>
  <c r="J806" i="5"/>
  <c r="I806" i="5"/>
  <c r="H806" i="5"/>
  <c r="G806" i="5"/>
  <c r="F806" i="5"/>
  <c r="E806" i="5"/>
  <c r="C806" i="5"/>
  <c r="B806" i="5"/>
  <c r="A806" i="5"/>
  <c r="J805" i="5"/>
  <c r="I805" i="5"/>
  <c r="H805" i="5"/>
  <c r="G805" i="5"/>
  <c r="F805" i="5"/>
  <c r="E805" i="5"/>
  <c r="C805" i="5"/>
  <c r="B805" i="5"/>
  <c r="A805" i="5"/>
  <c r="J804" i="5"/>
  <c r="I804" i="5"/>
  <c r="H804" i="5"/>
  <c r="G804" i="5"/>
  <c r="F804" i="5"/>
  <c r="E804" i="5"/>
  <c r="C804" i="5"/>
  <c r="B804" i="5"/>
  <c r="A804" i="5"/>
  <c r="S803" i="5"/>
  <c r="J803" i="5"/>
  <c r="I803" i="5"/>
  <c r="H803" i="5"/>
  <c r="G803" i="5"/>
  <c r="F803" i="5"/>
  <c r="E803" i="5"/>
  <c r="D803" i="5"/>
  <c r="C803" i="5"/>
  <c r="B803" i="5"/>
  <c r="A803" i="5"/>
  <c r="S802" i="5"/>
  <c r="J802" i="5"/>
  <c r="I802" i="5"/>
  <c r="H802" i="5"/>
  <c r="G802" i="5"/>
  <c r="F802" i="5"/>
  <c r="E802" i="5"/>
  <c r="D802" i="5" s="1"/>
  <c r="C802" i="5"/>
  <c r="B802" i="5"/>
  <c r="A802" i="5"/>
  <c r="S801" i="5"/>
  <c r="J801" i="5"/>
  <c r="I801" i="5"/>
  <c r="H801" i="5"/>
  <c r="G801" i="5"/>
  <c r="F801" i="5"/>
  <c r="E801" i="5"/>
  <c r="R801" i="5" s="1"/>
  <c r="C801" i="5"/>
  <c r="B801" i="5"/>
  <c r="A801" i="5"/>
  <c r="S800" i="5"/>
  <c r="J800" i="5"/>
  <c r="I800" i="5"/>
  <c r="H800" i="5"/>
  <c r="G800" i="5"/>
  <c r="F800" i="5"/>
  <c r="E800" i="5"/>
  <c r="D800" i="5"/>
  <c r="C800" i="5"/>
  <c r="B800" i="5"/>
  <c r="A800" i="5"/>
  <c r="S799" i="5"/>
  <c r="J799" i="5"/>
  <c r="I799" i="5"/>
  <c r="H799" i="5"/>
  <c r="G799" i="5"/>
  <c r="F799" i="5"/>
  <c r="E799" i="5"/>
  <c r="D799" i="5" s="1"/>
  <c r="C799" i="5"/>
  <c r="B799" i="5"/>
  <c r="A799" i="5"/>
  <c r="S798" i="5"/>
  <c r="N798" i="5"/>
  <c r="M798" i="5"/>
  <c r="J798" i="5"/>
  <c r="I798" i="5"/>
  <c r="H798" i="5"/>
  <c r="G798" i="5"/>
  <c r="F798" i="5"/>
  <c r="E798" i="5"/>
  <c r="C798" i="5"/>
  <c r="B798" i="5"/>
  <c r="A798" i="5"/>
  <c r="P797" i="5"/>
  <c r="N797" i="5"/>
  <c r="M797" i="5"/>
  <c r="J797" i="5"/>
  <c r="I797" i="5"/>
  <c r="H797" i="5"/>
  <c r="D797" i="5" s="1"/>
  <c r="G797" i="5"/>
  <c r="F797" i="5"/>
  <c r="E797" i="5"/>
  <c r="C797" i="5"/>
  <c r="B797" i="5"/>
  <c r="A797" i="5"/>
  <c r="P796" i="5"/>
  <c r="N796" i="5"/>
  <c r="M796" i="5"/>
  <c r="J796" i="5"/>
  <c r="I796" i="5"/>
  <c r="H796" i="5"/>
  <c r="G796" i="5"/>
  <c r="F796" i="5"/>
  <c r="E796" i="5"/>
  <c r="C796" i="5"/>
  <c r="B796" i="5"/>
  <c r="A796" i="5"/>
  <c r="S795" i="5"/>
  <c r="K795" i="5"/>
  <c r="J795" i="5"/>
  <c r="R795" i="5" s="1"/>
  <c r="I795" i="5"/>
  <c r="H795" i="5"/>
  <c r="G795" i="5"/>
  <c r="F795" i="5"/>
  <c r="E795" i="5"/>
  <c r="C795" i="5"/>
  <c r="B795" i="5"/>
  <c r="A795" i="5"/>
  <c r="S794" i="5"/>
  <c r="K794" i="5"/>
  <c r="R794" i="5" s="1"/>
  <c r="J794" i="5"/>
  <c r="I794" i="5"/>
  <c r="H794" i="5"/>
  <c r="G794" i="5"/>
  <c r="F794" i="5"/>
  <c r="E794" i="5"/>
  <c r="C794" i="5"/>
  <c r="B794" i="5"/>
  <c r="A794" i="5"/>
  <c r="S793" i="5"/>
  <c r="R793" i="5"/>
  <c r="K793" i="5"/>
  <c r="J793" i="5"/>
  <c r="D793" i="5" s="1"/>
  <c r="I793" i="5"/>
  <c r="H793" i="5"/>
  <c r="G793" i="5"/>
  <c r="F793" i="5"/>
  <c r="E793" i="5"/>
  <c r="C793" i="5"/>
  <c r="B793" i="5"/>
  <c r="A793" i="5"/>
  <c r="S792" i="5"/>
  <c r="R792" i="5"/>
  <c r="O792" i="5"/>
  <c r="J792" i="5"/>
  <c r="I792" i="5"/>
  <c r="H792" i="5"/>
  <c r="G792" i="5"/>
  <c r="F792" i="5"/>
  <c r="E792" i="5"/>
  <c r="D792" i="5"/>
  <c r="C792" i="5"/>
  <c r="B792" i="5"/>
  <c r="A792" i="5"/>
  <c r="O791" i="5"/>
  <c r="J791" i="5"/>
  <c r="I791" i="5"/>
  <c r="H791" i="5"/>
  <c r="G791" i="5"/>
  <c r="F791" i="5"/>
  <c r="E791" i="5"/>
  <c r="D791" i="5"/>
  <c r="C791" i="5"/>
  <c r="B791" i="5"/>
  <c r="A791" i="5"/>
  <c r="J790" i="5"/>
  <c r="I790" i="5"/>
  <c r="S790" i="5" s="1"/>
  <c r="H790" i="5"/>
  <c r="G790" i="5"/>
  <c r="F790" i="5"/>
  <c r="E790" i="5"/>
  <c r="C790" i="5"/>
  <c r="B790" i="5"/>
  <c r="A790" i="5"/>
  <c r="K789" i="5"/>
  <c r="J789" i="5"/>
  <c r="I789" i="5"/>
  <c r="H789" i="5"/>
  <c r="G789" i="5"/>
  <c r="F789" i="5"/>
  <c r="E789" i="5"/>
  <c r="C789" i="5"/>
  <c r="B789" i="5"/>
  <c r="A789" i="5"/>
  <c r="O788" i="5"/>
  <c r="K788" i="5"/>
  <c r="J788" i="5"/>
  <c r="I788" i="5"/>
  <c r="D788" i="5" s="1"/>
  <c r="H788" i="5"/>
  <c r="G788" i="5"/>
  <c r="F788" i="5"/>
  <c r="E788" i="5"/>
  <c r="C788" i="5"/>
  <c r="B788" i="5"/>
  <c r="A788" i="5"/>
  <c r="O787" i="5"/>
  <c r="J787" i="5"/>
  <c r="I787" i="5"/>
  <c r="H787" i="5"/>
  <c r="G787" i="5"/>
  <c r="F787" i="5"/>
  <c r="E787" i="5"/>
  <c r="C787" i="5"/>
  <c r="B787" i="5"/>
  <c r="A787" i="5"/>
  <c r="O786" i="5"/>
  <c r="J786" i="5"/>
  <c r="I786" i="5"/>
  <c r="H786" i="5"/>
  <c r="G786" i="5"/>
  <c r="F786" i="5"/>
  <c r="E786" i="5"/>
  <c r="S786" i="5" s="1"/>
  <c r="C786" i="5"/>
  <c r="B786" i="5"/>
  <c r="A786" i="5"/>
  <c r="O785" i="5"/>
  <c r="K785" i="5"/>
  <c r="J785" i="5"/>
  <c r="I785" i="5"/>
  <c r="H785" i="5"/>
  <c r="G785" i="5"/>
  <c r="D785" i="5" s="1"/>
  <c r="F785" i="5"/>
  <c r="E785" i="5"/>
  <c r="C785" i="5"/>
  <c r="B785" i="5"/>
  <c r="A785" i="5"/>
  <c r="K784" i="5"/>
  <c r="J784" i="5"/>
  <c r="I784" i="5"/>
  <c r="H784" i="5"/>
  <c r="G784" i="5"/>
  <c r="F784" i="5"/>
  <c r="E784" i="5"/>
  <c r="C784" i="5"/>
  <c r="B784" i="5"/>
  <c r="A784" i="5"/>
  <c r="J783" i="5"/>
  <c r="I783" i="5"/>
  <c r="H783" i="5"/>
  <c r="G783" i="5"/>
  <c r="D783" i="5" s="1"/>
  <c r="F783" i="5"/>
  <c r="E783" i="5"/>
  <c r="C783" i="5"/>
  <c r="B783" i="5"/>
  <c r="A783" i="5"/>
  <c r="O782" i="5"/>
  <c r="K782" i="5"/>
  <c r="J782" i="5"/>
  <c r="I782" i="5"/>
  <c r="H782" i="5"/>
  <c r="G782" i="5"/>
  <c r="D782" i="5" s="1"/>
  <c r="F782" i="5"/>
  <c r="E782" i="5"/>
  <c r="C782" i="5"/>
  <c r="B782" i="5"/>
  <c r="A782" i="5"/>
  <c r="L781" i="5"/>
  <c r="J781" i="5"/>
  <c r="I781" i="5"/>
  <c r="H781" i="5"/>
  <c r="G781" i="5"/>
  <c r="F781" i="5"/>
  <c r="E781" i="5"/>
  <c r="C781" i="5"/>
  <c r="B781" i="5"/>
  <c r="A781" i="5"/>
  <c r="K780" i="5"/>
  <c r="J780" i="5"/>
  <c r="I780" i="5"/>
  <c r="H780" i="5"/>
  <c r="G780" i="5"/>
  <c r="F780" i="5"/>
  <c r="S780" i="5" s="1"/>
  <c r="E780" i="5"/>
  <c r="C780" i="5"/>
  <c r="B780" i="5"/>
  <c r="A780" i="5"/>
  <c r="O779" i="5"/>
  <c r="L779" i="5"/>
  <c r="K779" i="5"/>
  <c r="J779" i="5"/>
  <c r="I779" i="5"/>
  <c r="H779" i="5"/>
  <c r="G779" i="5"/>
  <c r="F779" i="5"/>
  <c r="E779" i="5"/>
  <c r="C779" i="5"/>
  <c r="B779" i="5"/>
  <c r="A779" i="5"/>
  <c r="J778" i="5"/>
  <c r="I778" i="5"/>
  <c r="H778" i="5"/>
  <c r="G778" i="5"/>
  <c r="F778" i="5"/>
  <c r="E778" i="5"/>
  <c r="C778" i="5"/>
  <c r="B778" i="5"/>
  <c r="A778" i="5"/>
  <c r="J777" i="5"/>
  <c r="I777" i="5"/>
  <c r="D777" i="5" s="1"/>
  <c r="H777" i="5"/>
  <c r="G777" i="5"/>
  <c r="F777" i="5"/>
  <c r="E777" i="5"/>
  <c r="C777" i="5"/>
  <c r="B777" i="5"/>
  <c r="A777" i="5"/>
  <c r="J776" i="5"/>
  <c r="I776" i="5"/>
  <c r="D776" i="5" s="1"/>
  <c r="H776" i="5"/>
  <c r="G776" i="5"/>
  <c r="F776" i="5"/>
  <c r="E776" i="5"/>
  <c r="C776" i="5"/>
  <c r="B776" i="5"/>
  <c r="A776" i="5"/>
  <c r="J775" i="5"/>
  <c r="I775" i="5"/>
  <c r="H775" i="5"/>
  <c r="G775" i="5"/>
  <c r="F775" i="5"/>
  <c r="E775" i="5"/>
  <c r="C775" i="5"/>
  <c r="B775" i="5"/>
  <c r="A775" i="5"/>
  <c r="J774" i="5"/>
  <c r="I774" i="5"/>
  <c r="H774" i="5"/>
  <c r="G774" i="5"/>
  <c r="F774" i="5"/>
  <c r="E774" i="5"/>
  <c r="C774" i="5"/>
  <c r="B774" i="5"/>
  <c r="A774" i="5"/>
  <c r="J773" i="5"/>
  <c r="I773" i="5"/>
  <c r="D773" i="5" s="1"/>
  <c r="H773" i="5"/>
  <c r="G773" i="5"/>
  <c r="F773" i="5"/>
  <c r="E773" i="5"/>
  <c r="C773" i="5"/>
  <c r="B773" i="5"/>
  <c r="A773" i="5"/>
  <c r="J772" i="5"/>
  <c r="I772" i="5"/>
  <c r="D772" i="5" s="1"/>
  <c r="H772" i="5"/>
  <c r="G772" i="5"/>
  <c r="F772" i="5"/>
  <c r="E772" i="5"/>
  <c r="C772" i="5"/>
  <c r="B772" i="5"/>
  <c r="A772" i="5"/>
  <c r="J771" i="5"/>
  <c r="I771" i="5"/>
  <c r="H771" i="5"/>
  <c r="G771" i="5"/>
  <c r="F771" i="5"/>
  <c r="E771" i="5"/>
  <c r="C771" i="5"/>
  <c r="B771" i="5"/>
  <c r="A771" i="5"/>
  <c r="J770" i="5"/>
  <c r="I770" i="5"/>
  <c r="H770" i="5"/>
  <c r="G770" i="5"/>
  <c r="F770" i="5"/>
  <c r="E770" i="5"/>
  <c r="C770" i="5"/>
  <c r="B770" i="5"/>
  <c r="A770" i="5"/>
  <c r="J769" i="5"/>
  <c r="I769" i="5"/>
  <c r="D769" i="5" s="1"/>
  <c r="H769" i="5"/>
  <c r="G769" i="5"/>
  <c r="F769" i="5"/>
  <c r="E769" i="5"/>
  <c r="C769" i="5"/>
  <c r="B769" i="5"/>
  <c r="A769" i="5"/>
  <c r="J768" i="5"/>
  <c r="I768" i="5"/>
  <c r="D768" i="5" s="1"/>
  <c r="H768" i="5"/>
  <c r="G768" i="5"/>
  <c r="F768" i="5"/>
  <c r="E768" i="5"/>
  <c r="C768" i="5"/>
  <c r="B768" i="5"/>
  <c r="A768" i="5"/>
  <c r="J767" i="5"/>
  <c r="I767" i="5"/>
  <c r="H767" i="5"/>
  <c r="G767" i="5"/>
  <c r="F767" i="5"/>
  <c r="E767" i="5"/>
  <c r="C767" i="5"/>
  <c r="B767" i="5"/>
  <c r="A767" i="5"/>
  <c r="J766" i="5"/>
  <c r="I766" i="5"/>
  <c r="H766" i="5"/>
  <c r="G766" i="5"/>
  <c r="F766" i="5"/>
  <c r="E766" i="5"/>
  <c r="C766" i="5"/>
  <c r="B766" i="5"/>
  <c r="A766" i="5"/>
  <c r="J765" i="5"/>
  <c r="I765" i="5"/>
  <c r="D765" i="5" s="1"/>
  <c r="H765" i="5"/>
  <c r="G765" i="5"/>
  <c r="F765" i="5"/>
  <c r="E765" i="5"/>
  <c r="C765" i="5"/>
  <c r="B765" i="5"/>
  <c r="A765" i="5"/>
  <c r="J764" i="5"/>
  <c r="R764" i="5" s="1"/>
  <c r="I764" i="5"/>
  <c r="D764" i="5" s="1"/>
  <c r="H764" i="5"/>
  <c r="G764" i="5"/>
  <c r="F764" i="5"/>
  <c r="E764" i="5"/>
  <c r="C764" i="5"/>
  <c r="B764" i="5"/>
  <c r="A764" i="5"/>
  <c r="J763" i="5"/>
  <c r="R763" i="5" s="1"/>
  <c r="I763" i="5"/>
  <c r="H763" i="5"/>
  <c r="G763" i="5"/>
  <c r="F763" i="5"/>
  <c r="E763" i="5"/>
  <c r="C763" i="5"/>
  <c r="B763" i="5"/>
  <c r="A763" i="5"/>
  <c r="J762" i="5"/>
  <c r="R762" i="5" s="1"/>
  <c r="I762" i="5"/>
  <c r="H762" i="5"/>
  <c r="G762" i="5"/>
  <c r="F762" i="5"/>
  <c r="E762" i="5"/>
  <c r="C762" i="5"/>
  <c r="B762" i="5"/>
  <c r="A762" i="5"/>
  <c r="N761" i="5"/>
  <c r="R761" i="5" s="1"/>
  <c r="M761" i="5"/>
  <c r="S761" i="5" s="1"/>
  <c r="J761" i="5"/>
  <c r="I761" i="5"/>
  <c r="H761" i="5"/>
  <c r="G761" i="5"/>
  <c r="F761" i="5"/>
  <c r="E761" i="5"/>
  <c r="D761" i="5" s="1"/>
  <c r="C761" i="5"/>
  <c r="B761" i="5"/>
  <c r="A761" i="5"/>
  <c r="S760" i="5"/>
  <c r="R760" i="5"/>
  <c r="P760" i="5"/>
  <c r="N760" i="5"/>
  <c r="M760" i="5"/>
  <c r="J760" i="5"/>
  <c r="I760" i="5"/>
  <c r="H760" i="5"/>
  <c r="G760" i="5"/>
  <c r="F760" i="5"/>
  <c r="E760" i="5"/>
  <c r="D760" i="5"/>
  <c r="C760" i="5"/>
  <c r="B760" i="5"/>
  <c r="A760" i="5"/>
  <c r="P759" i="5"/>
  <c r="N759" i="5"/>
  <c r="M759" i="5"/>
  <c r="J759" i="5"/>
  <c r="I759" i="5"/>
  <c r="H759" i="5"/>
  <c r="G759" i="5"/>
  <c r="F759" i="5"/>
  <c r="E759" i="5"/>
  <c r="C759" i="5"/>
  <c r="B759" i="5"/>
  <c r="A759" i="5"/>
  <c r="K758" i="5"/>
  <c r="J758" i="5"/>
  <c r="I758" i="5"/>
  <c r="H758" i="5"/>
  <c r="G758" i="5"/>
  <c r="F758" i="5"/>
  <c r="S758" i="5" s="1"/>
  <c r="E758" i="5"/>
  <c r="D758" i="5" s="1"/>
  <c r="C758" i="5"/>
  <c r="B758" i="5"/>
  <c r="A758" i="5"/>
  <c r="S757" i="5"/>
  <c r="R757" i="5"/>
  <c r="K757" i="5"/>
  <c r="J757" i="5"/>
  <c r="I757" i="5"/>
  <c r="H757" i="5"/>
  <c r="G757" i="5"/>
  <c r="F757" i="5"/>
  <c r="D757" i="5" s="1"/>
  <c r="E757" i="5"/>
  <c r="C757" i="5"/>
  <c r="B757" i="5"/>
  <c r="A757" i="5"/>
  <c r="K756" i="5"/>
  <c r="J756" i="5"/>
  <c r="S756" i="5" s="1"/>
  <c r="I756" i="5"/>
  <c r="H756" i="5"/>
  <c r="G756" i="5"/>
  <c r="F756" i="5"/>
  <c r="E756" i="5"/>
  <c r="C756" i="5"/>
  <c r="B756" i="5"/>
  <c r="A756" i="5"/>
  <c r="O755" i="5"/>
  <c r="J755" i="5"/>
  <c r="S755" i="5" s="1"/>
  <c r="I755" i="5"/>
  <c r="H755" i="5"/>
  <c r="G755" i="5"/>
  <c r="F755" i="5"/>
  <c r="E755" i="5"/>
  <c r="C755" i="5"/>
  <c r="B755" i="5"/>
  <c r="A755" i="5"/>
  <c r="O754" i="5"/>
  <c r="J754" i="5"/>
  <c r="S754" i="5" s="1"/>
  <c r="I754" i="5"/>
  <c r="H754" i="5"/>
  <c r="G754" i="5"/>
  <c r="F754" i="5"/>
  <c r="E754" i="5"/>
  <c r="D754" i="5"/>
  <c r="C754" i="5"/>
  <c r="B754" i="5"/>
  <c r="A754" i="5"/>
  <c r="J753" i="5"/>
  <c r="S753" i="5" s="1"/>
  <c r="I753" i="5"/>
  <c r="H753" i="5"/>
  <c r="G753" i="5"/>
  <c r="F753" i="5"/>
  <c r="E753" i="5"/>
  <c r="D753" i="5"/>
  <c r="C753" i="5"/>
  <c r="B753" i="5"/>
  <c r="A753" i="5"/>
  <c r="K752" i="5"/>
  <c r="J752" i="5"/>
  <c r="I752" i="5"/>
  <c r="H752" i="5"/>
  <c r="G752" i="5"/>
  <c r="F752" i="5"/>
  <c r="E752" i="5"/>
  <c r="S752" i="5" s="1"/>
  <c r="D752" i="5"/>
  <c r="C752" i="5"/>
  <c r="B752" i="5"/>
  <c r="A752" i="5"/>
  <c r="O751" i="5"/>
  <c r="K751" i="5"/>
  <c r="J751" i="5"/>
  <c r="I751" i="5"/>
  <c r="H751" i="5"/>
  <c r="G751" i="5"/>
  <c r="F751" i="5"/>
  <c r="E751" i="5"/>
  <c r="C751" i="5"/>
  <c r="B751" i="5"/>
  <c r="A751" i="5"/>
  <c r="O750" i="5"/>
  <c r="J750" i="5"/>
  <c r="I750" i="5"/>
  <c r="H750" i="5"/>
  <c r="G750" i="5"/>
  <c r="F750" i="5"/>
  <c r="E750" i="5"/>
  <c r="C750" i="5"/>
  <c r="B750" i="5"/>
  <c r="A750" i="5"/>
  <c r="O749" i="5"/>
  <c r="J749" i="5"/>
  <c r="I749" i="5"/>
  <c r="H749" i="5"/>
  <c r="G749" i="5"/>
  <c r="F749" i="5"/>
  <c r="E749" i="5"/>
  <c r="C749" i="5"/>
  <c r="B749" i="5"/>
  <c r="A749" i="5"/>
  <c r="O748" i="5"/>
  <c r="K748" i="5"/>
  <c r="J748" i="5"/>
  <c r="I748" i="5"/>
  <c r="H748" i="5"/>
  <c r="G748" i="5"/>
  <c r="F748" i="5"/>
  <c r="E748" i="5"/>
  <c r="C748" i="5"/>
  <c r="B748" i="5"/>
  <c r="A748" i="5"/>
  <c r="K747" i="5"/>
  <c r="J747" i="5"/>
  <c r="I747" i="5"/>
  <c r="H747" i="5"/>
  <c r="G747" i="5"/>
  <c r="F747" i="5"/>
  <c r="E747" i="5"/>
  <c r="C747" i="5"/>
  <c r="B747" i="5"/>
  <c r="A747" i="5"/>
  <c r="J746" i="5"/>
  <c r="I746" i="5"/>
  <c r="H746" i="5"/>
  <c r="G746" i="5"/>
  <c r="F746" i="5"/>
  <c r="E746" i="5"/>
  <c r="D746" i="5" s="1"/>
  <c r="C746" i="5"/>
  <c r="B746" i="5"/>
  <c r="A746" i="5"/>
  <c r="O745" i="5"/>
  <c r="K745" i="5"/>
  <c r="J745" i="5"/>
  <c r="I745" i="5"/>
  <c r="H745" i="5"/>
  <c r="G745" i="5"/>
  <c r="S745" i="5" s="1"/>
  <c r="F745" i="5"/>
  <c r="E745" i="5"/>
  <c r="C745" i="5"/>
  <c r="B745" i="5"/>
  <c r="A745" i="5"/>
  <c r="S744" i="5"/>
  <c r="R744" i="5"/>
  <c r="L744" i="5"/>
  <c r="J744" i="5"/>
  <c r="I744" i="5"/>
  <c r="H744" i="5"/>
  <c r="D744" i="5" s="1"/>
  <c r="G744" i="5"/>
  <c r="F744" i="5"/>
  <c r="E744" i="5"/>
  <c r="C744" i="5"/>
  <c r="B744" i="5"/>
  <c r="A744" i="5"/>
  <c r="S743" i="5"/>
  <c r="R743" i="5"/>
  <c r="K743" i="5"/>
  <c r="J743" i="5"/>
  <c r="I743" i="5"/>
  <c r="H743" i="5"/>
  <c r="G743" i="5"/>
  <c r="F743" i="5"/>
  <c r="E743" i="5"/>
  <c r="D743" i="5"/>
  <c r="C743" i="5"/>
  <c r="B743" i="5"/>
  <c r="A743" i="5"/>
  <c r="S742" i="5"/>
  <c r="O742" i="5"/>
  <c r="L742" i="5"/>
  <c r="K742" i="5"/>
  <c r="J742" i="5"/>
  <c r="I742" i="5"/>
  <c r="H742" i="5"/>
  <c r="G742" i="5"/>
  <c r="D742" i="5" s="1"/>
  <c r="F742" i="5"/>
  <c r="E742" i="5"/>
  <c r="R742" i="5" s="1"/>
  <c r="C742" i="5"/>
  <c r="B742" i="5"/>
  <c r="A742" i="5"/>
  <c r="J741" i="5"/>
  <c r="I741" i="5"/>
  <c r="H741" i="5"/>
  <c r="G741" i="5"/>
  <c r="F741" i="5"/>
  <c r="D741" i="5" s="1"/>
  <c r="E741" i="5"/>
  <c r="C741" i="5"/>
  <c r="B741" i="5"/>
  <c r="A741" i="5"/>
  <c r="J740" i="5"/>
  <c r="I740" i="5"/>
  <c r="H740" i="5"/>
  <c r="G740" i="5"/>
  <c r="F740" i="5"/>
  <c r="E740" i="5"/>
  <c r="C740" i="5"/>
  <c r="B740" i="5"/>
  <c r="A740" i="5"/>
  <c r="J739" i="5"/>
  <c r="I739" i="5"/>
  <c r="H739" i="5"/>
  <c r="G739" i="5"/>
  <c r="F739" i="5"/>
  <c r="E739" i="5"/>
  <c r="C739" i="5"/>
  <c r="B739" i="5"/>
  <c r="A739" i="5"/>
  <c r="S738" i="5"/>
  <c r="J738" i="5"/>
  <c r="I738" i="5"/>
  <c r="H738" i="5"/>
  <c r="G738" i="5"/>
  <c r="F738" i="5"/>
  <c r="E738" i="5"/>
  <c r="R738" i="5" s="1"/>
  <c r="D738" i="5"/>
  <c r="C738" i="5"/>
  <c r="B738" i="5"/>
  <c r="A738" i="5"/>
  <c r="S737" i="5"/>
  <c r="J737" i="5"/>
  <c r="I737" i="5"/>
  <c r="H737" i="5"/>
  <c r="G737" i="5"/>
  <c r="F737" i="5"/>
  <c r="E737" i="5"/>
  <c r="R737" i="5" s="1"/>
  <c r="D737" i="5"/>
  <c r="C737" i="5"/>
  <c r="B737" i="5"/>
  <c r="A737" i="5"/>
  <c r="S736" i="5"/>
  <c r="J736" i="5"/>
  <c r="I736" i="5"/>
  <c r="H736" i="5"/>
  <c r="G736" i="5"/>
  <c r="F736" i="5"/>
  <c r="E736" i="5"/>
  <c r="R736" i="5" s="1"/>
  <c r="D736" i="5"/>
  <c r="C736" i="5"/>
  <c r="B736" i="5"/>
  <c r="A736" i="5"/>
  <c r="S735" i="5"/>
  <c r="J735" i="5"/>
  <c r="I735" i="5"/>
  <c r="H735" i="5"/>
  <c r="G735" i="5"/>
  <c r="F735" i="5"/>
  <c r="E735" i="5"/>
  <c r="D735" i="5"/>
  <c r="C735" i="5"/>
  <c r="B735" i="5"/>
  <c r="A735" i="5"/>
  <c r="J734" i="5"/>
  <c r="I734" i="5"/>
  <c r="H734" i="5"/>
  <c r="G734" i="5"/>
  <c r="D734" i="5" s="1"/>
  <c r="F734" i="5"/>
  <c r="E734" i="5"/>
  <c r="C734" i="5"/>
  <c r="B734" i="5"/>
  <c r="A734" i="5"/>
  <c r="S733" i="5"/>
  <c r="J733" i="5"/>
  <c r="I733" i="5"/>
  <c r="H733" i="5"/>
  <c r="G733" i="5"/>
  <c r="F733" i="5"/>
  <c r="D733" i="5" s="1"/>
  <c r="E733" i="5"/>
  <c r="C733" i="5"/>
  <c r="B733" i="5"/>
  <c r="A733" i="5"/>
  <c r="J732" i="5"/>
  <c r="I732" i="5"/>
  <c r="H732" i="5"/>
  <c r="G732" i="5"/>
  <c r="F732" i="5"/>
  <c r="E732" i="5"/>
  <c r="R732" i="5" s="1"/>
  <c r="C732" i="5"/>
  <c r="B732" i="5"/>
  <c r="A732" i="5"/>
  <c r="J731" i="5"/>
  <c r="I731" i="5"/>
  <c r="H731" i="5"/>
  <c r="G731" i="5"/>
  <c r="F731" i="5"/>
  <c r="E731" i="5"/>
  <c r="R731" i="5" s="1"/>
  <c r="D731" i="5"/>
  <c r="C731" i="5"/>
  <c r="B731" i="5"/>
  <c r="A731" i="5"/>
  <c r="J730" i="5"/>
  <c r="I730" i="5"/>
  <c r="H730" i="5"/>
  <c r="G730" i="5"/>
  <c r="D730" i="5" s="1"/>
  <c r="F730" i="5"/>
  <c r="E730" i="5"/>
  <c r="S730" i="5" s="1"/>
  <c r="C730" i="5"/>
  <c r="B730" i="5"/>
  <c r="A730" i="5"/>
  <c r="J729" i="5"/>
  <c r="I729" i="5"/>
  <c r="H729" i="5"/>
  <c r="G729" i="5"/>
  <c r="F729" i="5"/>
  <c r="E729" i="5"/>
  <c r="S729" i="5" s="1"/>
  <c r="C729" i="5"/>
  <c r="B729" i="5"/>
  <c r="A729" i="5"/>
  <c r="J728" i="5"/>
  <c r="I728" i="5"/>
  <c r="H728" i="5"/>
  <c r="G728" i="5"/>
  <c r="F728" i="5"/>
  <c r="E728" i="5"/>
  <c r="C728" i="5"/>
  <c r="B728" i="5"/>
  <c r="A728" i="5"/>
  <c r="J727" i="5"/>
  <c r="I727" i="5"/>
  <c r="H727" i="5"/>
  <c r="G727" i="5"/>
  <c r="F727" i="5"/>
  <c r="E727" i="5"/>
  <c r="C727" i="5"/>
  <c r="B727" i="5"/>
  <c r="A727" i="5"/>
  <c r="S726" i="5"/>
  <c r="J726" i="5"/>
  <c r="I726" i="5"/>
  <c r="H726" i="5"/>
  <c r="G726" i="5"/>
  <c r="F726" i="5"/>
  <c r="E726" i="5"/>
  <c r="R726" i="5" s="1"/>
  <c r="D726" i="5"/>
  <c r="C726" i="5"/>
  <c r="B726" i="5"/>
  <c r="A726" i="5"/>
  <c r="S725" i="5"/>
  <c r="J725" i="5"/>
  <c r="I725" i="5"/>
  <c r="H725" i="5"/>
  <c r="G725" i="5"/>
  <c r="F725" i="5"/>
  <c r="E725" i="5"/>
  <c r="R725" i="5" s="1"/>
  <c r="D725" i="5"/>
  <c r="C725" i="5"/>
  <c r="B725" i="5"/>
  <c r="A725" i="5"/>
  <c r="N724" i="5"/>
  <c r="M724" i="5"/>
  <c r="J724" i="5"/>
  <c r="I724" i="5"/>
  <c r="H724" i="5"/>
  <c r="G724" i="5"/>
  <c r="F724" i="5"/>
  <c r="E724" i="5"/>
  <c r="R724" i="5" s="1"/>
  <c r="D724" i="5"/>
  <c r="C724" i="5"/>
  <c r="B724" i="5"/>
  <c r="A724" i="5"/>
  <c r="P723" i="5"/>
  <c r="N723" i="5"/>
  <c r="M723" i="5"/>
  <c r="J723" i="5"/>
  <c r="I723" i="5"/>
  <c r="H723" i="5"/>
  <c r="G723" i="5"/>
  <c r="F723" i="5"/>
  <c r="E723" i="5"/>
  <c r="C723" i="5"/>
  <c r="B723" i="5"/>
  <c r="A723" i="5"/>
  <c r="P722" i="5"/>
  <c r="N722" i="5"/>
  <c r="M722" i="5"/>
  <c r="J722" i="5"/>
  <c r="I722" i="5"/>
  <c r="H722" i="5"/>
  <c r="S722" i="5" s="1"/>
  <c r="G722" i="5"/>
  <c r="D722" i="5" s="1"/>
  <c r="F722" i="5"/>
  <c r="E722" i="5"/>
  <c r="C722" i="5"/>
  <c r="B722" i="5"/>
  <c r="A722" i="5"/>
  <c r="K721" i="5"/>
  <c r="J721" i="5"/>
  <c r="I721" i="5"/>
  <c r="S721" i="5" s="1"/>
  <c r="H721" i="5"/>
  <c r="G721" i="5"/>
  <c r="F721" i="5"/>
  <c r="E721" i="5"/>
  <c r="D721" i="5"/>
  <c r="C721" i="5"/>
  <c r="B721" i="5"/>
  <c r="A721" i="5"/>
  <c r="K720" i="5"/>
  <c r="J720" i="5"/>
  <c r="I720" i="5"/>
  <c r="H720" i="5"/>
  <c r="G720" i="5"/>
  <c r="F720" i="5"/>
  <c r="E720" i="5"/>
  <c r="S720" i="5" s="1"/>
  <c r="D720" i="5"/>
  <c r="C720" i="5"/>
  <c r="B720" i="5"/>
  <c r="A720" i="5"/>
  <c r="K719" i="5"/>
  <c r="J719" i="5"/>
  <c r="I719" i="5"/>
  <c r="H719" i="5"/>
  <c r="G719" i="5"/>
  <c r="F719" i="5"/>
  <c r="E719" i="5"/>
  <c r="S719" i="5" s="1"/>
  <c r="D719" i="5"/>
  <c r="C719" i="5"/>
  <c r="B719" i="5"/>
  <c r="A719" i="5"/>
  <c r="O718" i="5"/>
  <c r="J718" i="5"/>
  <c r="I718" i="5"/>
  <c r="H718" i="5"/>
  <c r="G718" i="5"/>
  <c r="F718" i="5"/>
  <c r="E718" i="5"/>
  <c r="D718" i="5" s="1"/>
  <c r="C718" i="5"/>
  <c r="B718" i="5"/>
  <c r="A718" i="5"/>
  <c r="O717" i="5"/>
  <c r="J717" i="5"/>
  <c r="I717" i="5"/>
  <c r="H717" i="5"/>
  <c r="G717" i="5"/>
  <c r="F717" i="5"/>
  <c r="E717" i="5"/>
  <c r="R717" i="5" s="1"/>
  <c r="C717" i="5"/>
  <c r="B717" i="5"/>
  <c r="A717" i="5"/>
  <c r="J716" i="5"/>
  <c r="I716" i="5"/>
  <c r="H716" i="5"/>
  <c r="G716" i="5"/>
  <c r="D716" i="5" s="1"/>
  <c r="F716" i="5"/>
  <c r="E716" i="5"/>
  <c r="C716" i="5"/>
  <c r="B716" i="5"/>
  <c r="A716" i="5"/>
  <c r="K715" i="5"/>
  <c r="J715" i="5"/>
  <c r="I715" i="5"/>
  <c r="H715" i="5"/>
  <c r="G715" i="5"/>
  <c r="F715" i="5"/>
  <c r="D715" i="5" s="1"/>
  <c r="E715" i="5"/>
  <c r="C715" i="5"/>
  <c r="B715" i="5"/>
  <c r="A715" i="5"/>
  <c r="O714" i="5"/>
  <c r="K714" i="5"/>
  <c r="J714" i="5"/>
  <c r="I714" i="5"/>
  <c r="H714" i="5"/>
  <c r="G714" i="5"/>
  <c r="F714" i="5"/>
  <c r="E714" i="5"/>
  <c r="C714" i="5"/>
  <c r="B714" i="5"/>
  <c r="A714" i="5"/>
  <c r="O713" i="5"/>
  <c r="J713" i="5"/>
  <c r="I713" i="5"/>
  <c r="H713" i="5"/>
  <c r="G713" i="5"/>
  <c r="F713" i="5"/>
  <c r="E713" i="5"/>
  <c r="R713" i="5" s="1"/>
  <c r="C713" i="5"/>
  <c r="B713" i="5"/>
  <c r="A713" i="5"/>
  <c r="O712" i="5"/>
  <c r="J712" i="5"/>
  <c r="I712" i="5"/>
  <c r="H712" i="5"/>
  <c r="G712" i="5"/>
  <c r="F712" i="5"/>
  <c r="S712" i="5" s="1"/>
  <c r="E712" i="5"/>
  <c r="C712" i="5"/>
  <c r="B712" i="5"/>
  <c r="A712" i="5"/>
  <c r="O711" i="5"/>
  <c r="K711" i="5"/>
  <c r="J711" i="5"/>
  <c r="I711" i="5"/>
  <c r="H711" i="5"/>
  <c r="G711" i="5"/>
  <c r="F711" i="5"/>
  <c r="E711" i="5"/>
  <c r="C711" i="5"/>
  <c r="B711" i="5"/>
  <c r="A711" i="5"/>
  <c r="K710" i="5"/>
  <c r="J710" i="5"/>
  <c r="I710" i="5"/>
  <c r="D710" i="5" s="1"/>
  <c r="H710" i="5"/>
  <c r="G710" i="5"/>
  <c r="F710" i="5"/>
  <c r="E710" i="5"/>
  <c r="C710" i="5"/>
  <c r="B710" i="5"/>
  <c r="A710" i="5"/>
  <c r="J709" i="5"/>
  <c r="I709" i="5"/>
  <c r="D709" i="5" s="1"/>
  <c r="H709" i="5"/>
  <c r="G709" i="5"/>
  <c r="F709" i="5"/>
  <c r="E709" i="5"/>
  <c r="C709" i="5"/>
  <c r="B709" i="5"/>
  <c r="A709" i="5"/>
  <c r="O708" i="5"/>
  <c r="K708" i="5"/>
  <c r="J708" i="5"/>
  <c r="I708" i="5"/>
  <c r="H708" i="5"/>
  <c r="G708" i="5"/>
  <c r="F708" i="5"/>
  <c r="E708" i="5"/>
  <c r="D708" i="5" s="1"/>
  <c r="C708" i="5"/>
  <c r="B708" i="5"/>
  <c r="A708" i="5"/>
  <c r="L707" i="5"/>
  <c r="J707" i="5"/>
  <c r="I707" i="5"/>
  <c r="H707" i="5"/>
  <c r="G707" i="5"/>
  <c r="F707" i="5"/>
  <c r="D707" i="5" s="1"/>
  <c r="E707" i="5"/>
  <c r="C707" i="5"/>
  <c r="B707" i="5"/>
  <c r="A707" i="5"/>
  <c r="S706" i="5"/>
  <c r="K706" i="5"/>
  <c r="J706" i="5"/>
  <c r="I706" i="5"/>
  <c r="H706" i="5"/>
  <c r="G706" i="5"/>
  <c r="F706" i="5"/>
  <c r="D706" i="5" s="1"/>
  <c r="E706" i="5"/>
  <c r="C706" i="5"/>
  <c r="B706" i="5"/>
  <c r="A706" i="5"/>
  <c r="O705" i="5"/>
  <c r="L705" i="5"/>
  <c r="K705" i="5"/>
  <c r="J705" i="5"/>
  <c r="I705" i="5"/>
  <c r="H705" i="5"/>
  <c r="G705" i="5"/>
  <c r="F705" i="5"/>
  <c r="E705" i="5"/>
  <c r="D705" i="5" s="1"/>
  <c r="C705" i="5"/>
  <c r="B705" i="5"/>
  <c r="A705" i="5"/>
  <c r="R704" i="5"/>
  <c r="J704" i="5"/>
  <c r="I704" i="5"/>
  <c r="H704" i="5"/>
  <c r="G704" i="5"/>
  <c r="F704" i="5"/>
  <c r="D704" i="5" s="1"/>
  <c r="E704" i="5"/>
  <c r="C704" i="5"/>
  <c r="B704" i="5"/>
  <c r="A704" i="5"/>
  <c r="J703" i="5"/>
  <c r="R703" i="5" s="1"/>
  <c r="I703" i="5"/>
  <c r="H703" i="5"/>
  <c r="G703" i="5"/>
  <c r="F703" i="5"/>
  <c r="E703" i="5"/>
  <c r="C703" i="5"/>
  <c r="B703" i="5"/>
  <c r="A703" i="5"/>
  <c r="J702" i="5"/>
  <c r="I702" i="5"/>
  <c r="D702" i="5" s="1"/>
  <c r="H702" i="5"/>
  <c r="G702" i="5"/>
  <c r="F702" i="5"/>
  <c r="E702" i="5"/>
  <c r="C702" i="5"/>
  <c r="B702" i="5"/>
  <c r="A702" i="5"/>
  <c r="J701" i="5"/>
  <c r="I701" i="5"/>
  <c r="H701" i="5"/>
  <c r="D701" i="5" s="1"/>
  <c r="G701" i="5"/>
  <c r="F701" i="5"/>
  <c r="E701" i="5"/>
  <c r="C701" i="5"/>
  <c r="B701" i="5"/>
  <c r="A701" i="5"/>
  <c r="J700" i="5"/>
  <c r="I700" i="5"/>
  <c r="H700" i="5"/>
  <c r="G700" i="5"/>
  <c r="F700" i="5"/>
  <c r="D700" i="5" s="1"/>
  <c r="E700" i="5"/>
  <c r="C700" i="5"/>
  <c r="B700" i="5"/>
  <c r="A700" i="5"/>
  <c r="J699" i="5"/>
  <c r="I699" i="5"/>
  <c r="H699" i="5"/>
  <c r="G699" i="5"/>
  <c r="F699" i="5"/>
  <c r="E699" i="5"/>
  <c r="C699" i="5"/>
  <c r="B699" i="5"/>
  <c r="A699" i="5"/>
  <c r="J698" i="5"/>
  <c r="I698" i="5"/>
  <c r="H698" i="5"/>
  <c r="G698" i="5"/>
  <c r="F698" i="5"/>
  <c r="E698" i="5"/>
  <c r="C698" i="5"/>
  <c r="B698" i="5"/>
  <c r="A698" i="5"/>
  <c r="J697" i="5"/>
  <c r="I697" i="5"/>
  <c r="H697" i="5"/>
  <c r="G697" i="5"/>
  <c r="F697" i="5"/>
  <c r="E697" i="5"/>
  <c r="S697" i="5" s="1"/>
  <c r="D697" i="5"/>
  <c r="C697" i="5"/>
  <c r="B697" i="5"/>
  <c r="A697" i="5"/>
  <c r="J696" i="5"/>
  <c r="R696" i="5" s="1"/>
  <c r="I696" i="5"/>
  <c r="H696" i="5"/>
  <c r="G696" i="5"/>
  <c r="F696" i="5"/>
  <c r="E696" i="5"/>
  <c r="D696" i="5"/>
  <c r="C696" i="5"/>
  <c r="B696" i="5"/>
  <c r="A696" i="5"/>
  <c r="J695" i="5"/>
  <c r="I695" i="5"/>
  <c r="R695" i="5" s="1"/>
  <c r="H695" i="5"/>
  <c r="G695" i="5"/>
  <c r="F695" i="5"/>
  <c r="E695" i="5"/>
  <c r="C695" i="5"/>
  <c r="B695" i="5"/>
  <c r="A695" i="5"/>
  <c r="J694" i="5"/>
  <c r="I694" i="5"/>
  <c r="H694" i="5"/>
  <c r="R694" i="5" s="1"/>
  <c r="G694" i="5"/>
  <c r="F694" i="5"/>
  <c r="E694" i="5"/>
  <c r="C694" i="5"/>
  <c r="B694" i="5"/>
  <c r="A694" i="5"/>
  <c r="J693" i="5"/>
  <c r="I693" i="5"/>
  <c r="H693" i="5"/>
  <c r="G693" i="5"/>
  <c r="R693" i="5" s="1"/>
  <c r="F693" i="5"/>
  <c r="E693" i="5"/>
  <c r="D693" i="5" s="1"/>
  <c r="C693" i="5"/>
  <c r="B693" i="5"/>
  <c r="A693" i="5"/>
  <c r="R692" i="5"/>
  <c r="J692" i="5"/>
  <c r="I692" i="5"/>
  <c r="H692" i="5"/>
  <c r="G692" i="5"/>
  <c r="F692" i="5"/>
  <c r="D692" i="5" s="1"/>
  <c r="E692" i="5"/>
  <c r="C692" i="5"/>
  <c r="B692" i="5"/>
  <c r="A692" i="5"/>
  <c r="J691" i="5"/>
  <c r="R691" i="5" s="1"/>
  <c r="I691" i="5"/>
  <c r="H691" i="5"/>
  <c r="G691" i="5"/>
  <c r="F691" i="5"/>
  <c r="E691" i="5"/>
  <c r="D691" i="5" s="1"/>
  <c r="C691" i="5"/>
  <c r="B691" i="5"/>
  <c r="A691" i="5"/>
  <c r="J690" i="5"/>
  <c r="I690" i="5"/>
  <c r="D690" i="5" s="1"/>
  <c r="H690" i="5"/>
  <c r="G690" i="5"/>
  <c r="F690" i="5"/>
  <c r="E690" i="5"/>
  <c r="C690" i="5"/>
  <c r="B690" i="5"/>
  <c r="A690" i="5"/>
  <c r="J689" i="5"/>
  <c r="I689" i="5"/>
  <c r="H689" i="5"/>
  <c r="D689" i="5" s="1"/>
  <c r="G689" i="5"/>
  <c r="F689" i="5"/>
  <c r="E689" i="5"/>
  <c r="R689" i="5" s="1"/>
  <c r="C689" i="5"/>
  <c r="B689" i="5"/>
  <c r="A689" i="5"/>
  <c r="J688" i="5"/>
  <c r="I688" i="5"/>
  <c r="H688" i="5"/>
  <c r="G688" i="5"/>
  <c r="F688" i="5"/>
  <c r="D688" i="5" s="1"/>
  <c r="E688" i="5"/>
  <c r="C688" i="5"/>
  <c r="B688" i="5"/>
  <c r="A688" i="5"/>
  <c r="N687" i="5"/>
  <c r="M687" i="5"/>
  <c r="J687" i="5"/>
  <c r="I687" i="5"/>
  <c r="H687" i="5"/>
  <c r="G687" i="5"/>
  <c r="F687" i="5"/>
  <c r="R687" i="5" s="1"/>
  <c r="E687" i="5"/>
  <c r="C687" i="5"/>
  <c r="B687" i="5"/>
  <c r="A687" i="5"/>
  <c r="P686" i="5"/>
  <c r="N686" i="5"/>
  <c r="M686" i="5"/>
  <c r="J686" i="5"/>
  <c r="I686" i="5"/>
  <c r="H686" i="5"/>
  <c r="G686" i="5"/>
  <c r="F686" i="5"/>
  <c r="E686" i="5"/>
  <c r="C686" i="5"/>
  <c r="B686" i="5"/>
  <c r="A686" i="5"/>
  <c r="P685" i="5"/>
  <c r="R685" i="5" s="1"/>
  <c r="N685" i="5"/>
  <c r="M685" i="5"/>
  <c r="J685" i="5"/>
  <c r="I685" i="5"/>
  <c r="H685" i="5"/>
  <c r="G685" i="5"/>
  <c r="F685" i="5"/>
  <c r="E685" i="5"/>
  <c r="C685" i="5"/>
  <c r="B685" i="5"/>
  <c r="A685" i="5"/>
  <c r="K684" i="5"/>
  <c r="J684" i="5"/>
  <c r="I684" i="5"/>
  <c r="H684" i="5"/>
  <c r="D684" i="5" s="1"/>
  <c r="G684" i="5"/>
  <c r="F684" i="5"/>
  <c r="E684" i="5"/>
  <c r="C684" i="5"/>
  <c r="B684" i="5"/>
  <c r="A684" i="5"/>
  <c r="K683" i="5"/>
  <c r="J683" i="5"/>
  <c r="I683" i="5"/>
  <c r="H683" i="5"/>
  <c r="G683" i="5"/>
  <c r="F683" i="5"/>
  <c r="E683" i="5"/>
  <c r="D683" i="5" s="1"/>
  <c r="C683" i="5"/>
  <c r="B683" i="5"/>
  <c r="A683" i="5"/>
  <c r="K682" i="5"/>
  <c r="J682" i="5"/>
  <c r="I682" i="5"/>
  <c r="H682" i="5"/>
  <c r="G682" i="5"/>
  <c r="F682" i="5"/>
  <c r="D682" i="5" s="1"/>
  <c r="E682" i="5"/>
  <c r="C682" i="5"/>
  <c r="B682" i="5"/>
  <c r="A682" i="5"/>
  <c r="O681" i="5"/>
  <c r="J681" i="5"/>
  <c r="I681" i="5"/>
  <c r="H681" i="5"/>
  <c r="G681" i="5"/>
  <c r="F681" i="5"/>
  <c r="E681" i="5"/>
  <c r="C681" i="5"/>
  <c r="B681" i="5"/>
  <c r="A681" i="5"/>
  <c r="O680" i="5"/>
  <c r="J680" i="5"/>
  <c r="I680" i="5"/>
  <c r="H680" i="5"/>
  <c r="G680" i="5"/>
  <c r="F680" i="5"/>
  <c r="E680" i="5"/>
  <c r="C680" i="5"/>
  <c r="B680" i="5"/>
  <c r="A680" i="5"/>
  <c r="J679" i="5"/>
  <c r="I679" i="5"/>
  <c r="H679" i="5"/>
  <c r="G679" i="5"/>
  <c r="F679" i="5"/>
  <c r="E679" i="5"/>
  <c r="S679" i="5" s="1"/>
  <c r="C679" i="5"/>
  <c r="B679" i="5"/>
  <c r="A679" i="5"/>
  <c r="K678" i="5"/>
  <c r="J678" i="5"/>
  <c r="I678" i="5"/>
  <c r="H678" i="5"/>
  <c r="G678" i="5"/>
  <c r="F678" i="5"/>
  <c r="S678" i="5" s="1"/>
  <c r="E678" i="5"/>
  <c r="C678" i="5"/>
  <c r="B678" i="5"/>
  <c r="A678" i="5"/>
  <c r="O677" i="5"/>
  <c r="K677" i="5"/>
  <c r="J677" i="5"/>
  <c r="I677" i="5"/>
  <c r="R677" i="5" s="1"/>
  <c r="H677" i="5"/>
  <c r="G677" i="5"/>
  <c r="F677" i="5"/>
  <c r="E677" i="5"/>
  <c r="C677" i="5"/>
  <c r="B677" i="5"/>
  <c r="A677" i="5"/>
  <c r="O676" i="5"/>
  <c r="J676" i="5"/>
  <c r="I676" i="5"/>
  <c r="H676" i="5"/>
  <c r="G676" i="5"/>
  <c r="F676" i="5"/>
  <c r="E676" i="5"/>
  <c r="C676" i="5"/>
  <c r="B676" i="5"/>
  <c r="A676" i="5"/>
  <c r="O675" i="5"/>
  <c r="R675" i="5" s="1"/>
  <c r="J675" i="5"/>
  <c r="D675" i="5" s="1"/>
  <c r="I675" i="5"/>
  <c r="H675" i="5"/>
  <c r="G675" i="5"/>
  <c r="F675" i="5"/>
  <c r="E675" i="5"/>
  <c r="C675" i="5"/>
  <c r="B675" i="5"/>
  <c r="A675" i="5"/>
  <c r="S674" i="5"/>
  <c r="R674" i="5"/>
  <c r="O674" i="5"/>
  <c r="D674" i="5" s="1"/>
  <c r="K674" i="5"/>
  <c r="J674" i="5"/>
  <c r="I674" i="5"/>
  <c r="H674" i="5"/>
  <c r="G674" i="5"/>
  <c r="F674" i="5"/>
  <c r="E674" i="5"/>
  <c r="C674" i="5"/>
  <c r="B674" i="5"/>
  <c r="A674" i="5"/>
  <c r="K673" i="5"/>
  <c r="J673" i="5"/>
  <c r="I673" i="5"/>
  <c r="H673" i="5"/>
  <c r="D673" i="5" s="1"/>
  <c r="G673" i="5"/>
  <c r="F673" i="5"/>
  <c r="E673" i="5"/>
  <c r="C673" i="5"/>
  <c r="B673" i="5"/>
  <c r="A673" i="5"/>
  <c r="J672" i="5"/>
  <c r="I672" i="5"/>
  <c r="H672" i="5"/>
  <c r="G672" i="5"/>
  <c r="F672" i="5"/>
  <c r="D672" i="5" s="1"/>
  <c r="E672" i="5"/>
  <c r="C672" i="5"/>
  <c r="B672" i="5"/>
  <c r="A672" i="5"/>
  <c r="O671" i="5"/>
  <c r="K671" i="5"/>
  <c r="J671" i="5"/>
  <c r="I671" i="5"/>
  <c r="H671" i="5"/>
  <c r="G671" i="5"/>
  <c r="F671" i="5"/>
  <c r="D671" i="5" s="1"/>
  <c r="E671" i="5"/>
  <c r="C671" i="5"/>
  <c r="B671" i="5"/>
  <c r="A671" i="5"/>
  <c r="L670" i="5"/>
  <c r="J670" i="5"/>
  <c r="I670" i="5"/>
  <c r="H670" i="5"/>
  <c r="G670" i="5"/>
  <c r="F670" i="5"/>
  <c r="E670" i="5"/>
  <c r="D670" i="5" s="1"/>
  <c r="C670" i="5"/>
  <c r="B670" i="5"/>
  <c r="A670" i="5"/>
  <c r="K669" i="5"/>
  <c r="J669" i="5"/>
  <c r="I669" i="5"/>
  <c r="H669" i="5"/>
  <c r="G669" i="5"/>
  <c r="F669" i="5"/>
  <c r="E669" i="5"/>
  <c r="C669" i="5"/>
  <c r="B669" i="5"/>
  <c r="A669" i="5"/>
  <c r="O668" i="5"/>
  <c r="L668" i="5"/>
  <c r="R668" i="5" s="1"/>
  <c r="K668" i="5"/>
  <c r="J668" i="5"/>
  <c r="I668" i="5"/>
  <c r="H668" i="5"/>
  <c r="G668" i="5"/>
  <c r="F668" i="5"/>
  <c r="E668" i="5"/>
  <c r="C668" i="5"/>
  <c r="B668" i="5"/>
  <c r="A668" i="5"/>
  <c r="S667" i="5"/>
  <c r="R667" i="5"/>
  <c r="J667" i="5"/>
  <c r="I667" i="5"/>
  <c r="H667" i="5"/>
  <c r="G667" i="5"/>
  <c r="F667" i="5"/>
  <c r="E667" i="5"/>
  <c r="C667" i="5"/>
  <c r="B667" i="5"/>
  <c r="A667" i="5"/>
  <c r="J666" i="5"/>
  <c r="I666" i="5"/>
  <c r="H666" i="5"/>
  <c r="G666" i="5"/>
  <c r="F666" i="5"/>
  <c r="E666" i="5"/>
  <c r="C666" i="5"/>
  <c r="B666" i="5"/>
  <c r="A666" i="5"/>
  <c r="J665" i="5"/>
  <c r="I665" i="5"/>
  <c r="R665" i="5" s="1"/>
  <c r="H665" i="5"/>
  <c r="S665" i="5" s="1"/>
  <c r="G665" i="5"/>
  <c r="F665" i="5"/>
  <c r="E665" i="5"/>
  <c r="C665" i="5"/>
  <c r="B665" i="5"/>
  <c r="A665" i="5"/>
  <c r="J664" i="5"/>
  <c r="I664" i="5"/>
  <c r="H664" i="5"/>
  <c r="G664" i="5"/>
  <c r="F664" i="5"/>
  <c r="E664" i="5"/>
  <c r="C664" i="5"/>
  <c r="B664" i="5"/>
  <c r="A664" i="5"/>
  <c r="J663" i="5"/>
  <c r="I663" i="5"/>
  <c r="H663" i="5"/>
  <c r="S663" i="5" s="1"/>
  <c r="G663" i="5"/>
  <c r="D663" i="5" s="1"/>
  <c r="F663" i="5"/>
  <c r="E663" i="5"/>
  <c r="C663" i="5"/>
  <c r="B663" i="5"/>
  <c r="A663" i="5"/>
  <c r="J662" i="5"/>
  <c r="I662" i="5"/>
  <c r="H662" i="5"/>
  <c r="S662" i="5" s="1"/>
  <c r="G662" i="5"/>
  <c r="D662" i="5" s="1"/>
  <c r="F662" i="5"/>
  <c r="E662" i="5"/>
  <c r="C662" i="5"/>
  <c r="B662" i="5"/>
  <c r="A662" i="5"/>
  <c r="S661" i="5"/>
  <c r="J661" i="5"/>
  <c r="I661" i="5"/>
  <c r="H661" i="5"/>
  <c r="R661" i="5" s="1"/>
  <c r="G661" i="5"/>
  <c r="D661" i="5" s="1"/>
  <c r="F661" i="5"/>
  <c r="E661" i="5"/>
  <c r="C661" i="5"/>
  <c r="B661" i="5"/>
  <c r="A661" i="5"/>
  <c r="S660" i="5"/>
  <c r="R660" i="5"/>
  <c r="J660" i="5"/>
  <c r="I660" i="5"/>
  <c r="H660" i="5"/>
  <c r="G660" i="5"/>
  <c r="D660" i="5" s="1"/>
  <c r="F660" i="5"/>
  <c r="E660" i="5"/>
  <c r="C660" i="5"/>
  <c r="B660" i="5"/>
  <c r="A660" i="5"/>
  <c r="J659" i="5"/>
  <c r="S659" i="5" s="1"/>
  <c r="I659" i="5"/>
  <c r="H659" i="5"/>
  <c r="G659" i="5"/>
  <c r="F659" i="5"/>
  <c r="E659" i="5"/>
  <c r="C659" i="5"/>
  <c r="B659" i="5"/>
  <c r="A659" i="5"/>
  <c r="J658" i="5"/>
  <c r="I658" i="5"/>
  <c r="S658" i="5" s="1"/>
  <c r="H658" i="5"/>
  <c r="G658" i="5"/>
  <c r="F658" i="5"/>
  <c r="E658" i="5"/>
  <c r="C658" i="5"/>
  <c r="B658" i="5"/>
  <c r="A658" i="5"/>
  <c r="J657" i="5"/>
  <c r="I657" i="5"/>
  <c r="H657" i="5"/>
  <c r="R657" i="5" s="1"/>
  <c r="G657" i="5"/>
  <c r="F657" i="5"/>
  <c r="E657" i="5"/>
  <c r="C657" i="5"/>
  <c r="B657" i="5"/>
  <c r="A657" i="5"/>
  <c r="S656" i="5"/>
  <c r="R656" i="5"/>
  <c r="J656" i="5"/>
  <c r="I656" i="5"/>
  <c r="H656" i="5"/>
  <c r="G656" i="5"/>
  <c r="D656" i="5" s="1"/>
  <c r="F656" i="5"/>
  <c r="E656" i="5"/>
  <c r="C656" i="5"/>
  <c r="B656" i="5"/>
  <c r="A656" i="5"/>
  <c r="S655" i="5"/>
  <c r="R655" i="5"/>
  <c r="J655" i="5"/>
  <c r="I655" i="5"/>
  <c r="H655" i="5"/>
  <c r="G655" i="5"/>
  <c r="F655" i="5"/>
  <c r="E655" i="5"/>
  <c r="C655" i="5"/>
  <c r="B655" i="5"/>
  <c r="A655" i="5"/>
  <c r="R654" i="5"/>
  <c r="J654" i="5"/>
  <c r="S654" i="5" s="1"/>
  <c r="I654" i="5"/>
  <c r="H654" i="5"/>
  <c r="G654" i="5"/>
  <c r="F654" i="5"/>
  <c r="E654" i="5"/>
  <c r="C654" i="5"/>
  <c r="B654" i="5"/>
  <c r="A654" i="5"/>
  <c r="J653" i="5"/>
  <c r="I653" i="5"/>
  <c r="R653" i="5" s="1"/>
  <c r="H653" i="5"/>
  <c r="G653" i="5"/>
  <c r="F653" i="5"/>
  <c r="E653" i="5"/>
  <c r="C653" i="5"/>
  <c r="B653" i="5"/>
  <c r="A653" i="5"/>
  <c r="J652" i="5"/>
  <c r="I652" i="5"/>
  <c r="H652" i="5"/>
  <c r="G652" i="5"/>
  <c r="F652" i="5"/>
  <c r="E652" i="5"/>
  <c r="C652" i="5"/>
  <c r="B652" i="5"/>
  <c r="A652" i="5"/>
  <c r="J651" i="5"/>
  <c r="I651" i="5"/>
  <c r="H651" i="5"/>
  <c r="G651" i="5"/>
  <c r="D651" i="5" s="1"/>
  <c r="F651" i="5"/>
  <c r="E651" i="5"/>
  <c r="C651" i="5"/>
  <c r="B651" i="5"/>
  <c r="A651" i="5"/>
  <c r="N650" i="5"/>
  <c r="M650" i="5"/>
  <c r="J650" i="5"/>
  <c r="D650" i="5" s="1"/>
  <c r="I650" i="5"/>
  <c r="H650" i="5"/>
  <c r="G650" i="5"/>
  <c r="F650" i="5"/>
  <c r="E650" i="5"/>
  <c r="S650" i="5" s="1"/>
  <c r="C650" i="5"/>
  <c r="B650" i="5"/>
  <c r="A650" i="5"/>
  <c r="P649" i="5"/>
  <c r="N649" i="5"/>
  <c r="M649" i="5"/>
  <c r="J649" i="5"/>
  <c r="I649" i="5"/>
  <c r="H649" i="5"/>
  <c r="G649" i="5"/>
  <c r="F649" i="5"/>
  <c r="D649" i="5" s="1"/>
  <c r="E649" i="5"/>
  <c r="C649" i="5"/>
  <c r="B649" i="5"/>
  <c r="A649" i="5"/>
  <c r="S648" i="5"/>
  <c r="P648" i="5"/>
  <c r="N648" i="5"/>
  <c r="M648" i="5"/>
  <c r="J648" i="5"/>
  <c r="I648" i="5"/>
  <c r="H648" i="5"/>
  <c r="D648" i="5" s="1"/>
  <c r="G648" i="5"/>
  <c r="F648" i="5"/>
  <c r="E648" i="5"/>
  <c r="C648" i="5"/>
  <c r="B648" i="5"/>
  <c r="A648" i="5"/>
  <c r="K647" i="5"/>
  <c r="J647" i="5"/>
  <c r="I647" i="5"/>
  <c r="H647" i="5"/>
  <c r="D647" i="5" s="1"/>
  <c r="G647" i="5"/>
  <c r="F647" i="5"/>
  <c r="E647" i="5"/>
  <c r="C647" i="5"/>
  <c r="B647" i="5"/>
  <c r="A647" i="5"/>
  <c r="K646" i="5"/>
  <c r="J646" i="5"/>
  <c r="I646" i="5"/>
  <c r="S646" i="5" s="1"/>
  <c r="H646" i="5"/>
  <c r="G646" i="5"/>
  <c r="F646" i="5"/>
  <c r="E646" i="5"/>
  <c r="C646" i="5"/>
  <c r="B646" i="5"/>
  <c r="A646" i="5"/>
  <c r="K645" i="5"/>
  <c r="J645" i="5"/>
  <c r="I645" i="5"/>
  <c r="R645" i="5" s="1"/>
  <c r="H645" i="5"/>
  <c r="G645" i="5"/>
  <c r="F645" i="5"/>
  <c r="E645" i="5"/>
  <c r="C645" i="5"/>
  <c r="B645" i="5"/>
  <c r="A645" i="5"/>
  <c r="O644" i="5"/>
  <c r="J644" i="5"/>
  <c r="I644" i="5"/>
  <c r="R644" i="5" s="1"/>
  <c r="H644" i="5"/>
  <c r="G644" i="5"/>
  <c r="F644" i="5"/>
  <c r="E644" i="5"/>
  <c r="C644" i="5"/>
  <c r="B644" i="5"/>
  <c r="A644" i="5"/>
  <c r="O643" i="5"/>
  <c r="J643" i="5"/>
  <c r="I643" i="5"/>
  <c r="R643" i="5" s="1"/>
  <c r="H643" i="5"/>
  <c r="G643" i="5"/>
  <c r="F643" i="5"/>
  <c r="E643" i="5"/>
  <c r="C643" i="5"/>
  <c r="B643" i="5"/>
  <c r="A643" i="5"/>
  <c r="J642" i="5"/>
  <c r="I642" i="5"/>
  <c r="S642" i="5" s="1"/>
  <c r="H642" i="5"/>
  <c r="G642" i="5"/>
  <c r="F642" i="5"/>
  <c r="E642" i="5"/>
  <c r="C642" i="5"/>
  <c r="B642" i="5"/>
  <c r="A642" i="5"/>
  <c r="K641" i="5"/>
  <c r="J641" i="5"/>
  <c r="I641" i="5"/>
  <c r="H641" i="5"/>
  <c r="G641" i="5"/>
  <c r="F641" i="5"/>
  <c r="E641" i="5"/>
  <c r="S641" i="5" s="1"/>
  <c r="D641" i="5"/>
  <c r="C641" i="5"/>
  <c r="B641" i="5"/>
  <c r="A641" i="5"/>
  <c r="O640" i="5"/>
  <c r="K640" i="5"/>
  <c r="J640" i="5"/>
  <c r="I640" i="5"/>
  <c r="H640" i="5"/>
  <c r="G640" i="5"/>
  <c r="F640" i="5"/>
  <c r="E640" i="5"/>
  <c r="C640" i="5"/>
  <c r="B640" i="5"/>
  <c r="A640" i="5"/>
  <c r="O639" i="5"/>
  <c r="J639" i="5"/>
  <c r="I639" i="5"/>
  <c r="H639" i="5"/>
  <c r="G639" i="5"/>
  <c r="F639" i="5"/>
  <c r="S639" i="5" s="1"/>
  <c r="E639" i="5"/>
  <c r="D639" i="5" s="1"/>
  <c r="C639" i="5"/>
  <c r="B639" i="5"/>
  <c r="A639" i="5"/>
  <c r="O638" i="5"/>
  <c r="J638" i="5"/>
  <c r="I638" i="5"/>
  <c r="H638" i="5"/>
  <c r="G638" i="5"/>
  <c r="F638" i="5"/>
  <c r="E638" i="5"/>
  <c r="C638" i="5"/>
  <c r="B638" i="5"/>
  <c r="A638" i="5"/>
  <c r="O637" i="5"/>
  <c r="K637" i="5"/>
  <c r="J637" i="5"/>
  <c r="I637" i="5"/>
  <c r="H637" i="5"/>
  <c r="G637" i="5"/>
  <c r="F637" i="5"/>
  <c r="E637" i="5"/>
  <c r="C637" i="5"/>
  <c r="B637" i="5"/>
  <c r="A637" i="5"/>
  <c r="K636" i="5"/>
  <c r="J636" i="5"/>
  <c r="I636" i="5"/>
  <c r="H636" i="5"/>
  <c r="G636" i="5"/>
  <c r="F636" i="5"/>
  <c r="E636" i="5"/>
  <c r="C636" i="5"/>
  <c r="B636" i="5"/>
  <c r="A636" i="5"/>
  <c r="J635" i="5"/>
  <c r="I635" i="5"/>
  <c r="H635" i="5"/>
  <c r="G635" i="5"/>
  <c r="F635" i="5"/>
  <c r="E635" i="5"/>
  <c r="C635" i="5"/>
  <c r="B635" i="5"/>
  <c r="A635" i="5"/>
  <c r="O634" i="5"/>
  <c r="K634" i="5"/>
  <c r="J634" i="5"/>
  <c r="I634" i="5"/>
  <c r="H634" i="5"/>
  <c r="G634" i="5"/>
  <c r="F634" i="5"/>
  <c r="S634" i="5" s="1"/>
  <c r="E634" i="5"/>
  <c r="C634" i="5"/>
  <c r="B634" i="5"/>
  <c r="A634" i="5"/>
  <c r="L633" i="5"/>
  <c r="J633" i="5"/>
  <c r="I633" i="5"/>
  <c r="H633" i="5"/>
  <c r="G633" i="5"/>
  <c r="F633" i="5"/>
  <c r="E633" i="5"/>
  <c r="C633" i="5"/>
  <c r="B633" i="5"/>
  <c r="A633" i="5"/>
  <c r="K632" i="5"/>
  <c r="J632" i="5"/>
  <c r="I632" i="5"/>
  <c r="H632" i="5"/>
  <c r="G632" i="5"/>
  <c r="F632" i="5"/>
  <c r="E632" i="5"/>
  <c r="C632" i="5"/>
  <c r="B632" i="5"/>
  <c r="A632" i="5"/>
  <c r="O631" i="5"/>
  <c r="L631" i="5"/>
  <c r="K631" i="5"/>
  <c r="J631" i="5"/>
  <c r="I631" i="5"/>
  <c r="H631" i="5"/>
  <c r="G631" i="5"/>
  <c r="F631" i="5"/>
  <c r="E631" i="5"/>
  <c r="C631" i="5"/>
  <c r="B631" i="5"/>
  <c r="A631" i="5"/>
  <c r="S630" i="5"/>
  <c r="R630" i="5"/>
  <c r="J630" i="5"/>
  <c r="I630" i="5"/>
  <c r="H630" i="5"/>
  <c r="G630" i="5"/>
  <c r="F630" i="5"/>
  <c r="D630" i="5" s="1"/>
  <c r="E630" i="5"/>
  <c r="C630" i="5"/>
  <c r="B630" i="5"/>
  <c r="A630" i="5"/>
  <c r="S629" i="5"/>
  <c r="R629" i="5"/>
  <c r="J629" i="5"/>
  <c r="I629" i="5"/>
  <c r="H629" i="5"/>
  <c r="G629" i="5"/>
  <c r="F629" i="5"/>
  <c r="D629" i="5" s="1"/>
  <c r="E629" i="5"/>
  <c r="C629" i="5"/>
  <c r="B629" i="5"/>
  <c r="A629" i="5"/>
  <c r="S628" i="5"/>
  <c r="R628" i="5"/>
  <c r="J628" i="5"/>
  <c r="I628" i="5"/>
  <c r="H628" i="5"/>
  <c r="G628" i="5"/>
  <c r="F628" i="5"/>
  <c r="D628" i="5" s="1"/>
  <c r="E628" i="5"/>
  <c r="C628" i="5"/>
  <c r="B628" i="5"/>
  <c r="A628" i="5"/>
  <c r="S627" i="5"/>
  <c r="R627" i="5"/>
  <c r="J627" i="5"/>
  <c r="I627" i="5"/>
  <c r="H627" i="5"/>
  <c r="G627" i="5"/>
  <c r="F627" i="5"/>
  <c r="D627" i="5" s="1"/>
  <c r="E627" i="5"/>
  <c r="C627" i="5"/>
  <c r="B627" i="5"/>
  <c r="A627" i="5"/>
  <c r="S626" i="5"/>
  <c r="R626" i="5"/>
  <c r="J626" i="5"/>
  <c r="I626" i="5"/>
  <c r="H626" i="5"/>
  <c r="G626" i="5"/>
  <c r="F626" i="5"/>
  <c r="D626" i="5" s="1"/>
  <c r="E626" i="5"/>
  <c r="C626" i="5"/>
  <c r="B626" i="5"/>
  <c r="A626" i="5"/>
  <c r="R625" i="5"/>
  <c r="J625" i="5"/>
  <c r="I625" i="5"/>
  <c r="H625" i="5"/>
  <c r="G625" i="5"/>
  <c r="F625" i="5"/>
  <c r="D625" i="5" s="1"/>
  <c r="E625" i="5"/>
  <c r="C625" i="5"/>
  <c r="B625" i="5"/>
  <c r="A625" i="5"/>
  <c r="J624" i="5"/>
  <c r="I624" i="5"/>
  <c r="H624" i="5"/>
  <c r="G624" i="5"/>
  <c r="F624" i="5"/>
  <c r="E624" i="5"/>
  <c r="C624" i="5"/>
  <c r="B624" i="5"/>
  <c r="A624" i="5"/>
  <c r="J623" i="5"/>
  <c r="I623" i="5"/>
  <c r="H623" i="5"/>
  <c r="G623" i="5"/>
  <c r="F623" i="5"/>
  <c r="D623" i="5" s="1"/>
  <c r="E623" i="5"/>
  <c r="C623" i="5"/>
  <c r="B623" i="5"/>
  <c r="A623" i="5"/>
  <c r="J622" i="5"/>
  <c r="I622" i="5"/>
  <c r="H622" i="5"/>
  <c r="G622" i="5"/>
  <c r="F622" i="5"/>
  <c r="D622" i="5" s="1"/>
  <c r="E622" i="5"/>
  <c r="C622" i="5"/>
  <c r="B622" i="5"/>
  <c r="A622" i="5"/>
  <c r="J621" i="5"/>
  <c r="I621" i="5"/>
  <c r="H621" i="5"/>
  <c r="G621" i="5"/>
  <c r="F621" i="5"/>
  <c r="D621" i="5" s="1"/>
  <c r="E621" i="5"/>
  <c r="C621" i="5"/>
  <c r="B621" i="5"/>
  <c r="A621" i="5"/>
  <c r="J620" i="5"/>
  <c r="I620" i="5"/>
  <c r="H620" i="5"/>
  <c r="G620" i="5"/>
  <c r="F620" i="5"/>
  <c r="D620" i="5" s="1"/>
  <c r="E620" i="5"/>
  <c r="C620" i="5"/>
  <c r="B620" i="5"/>
  <c r="A620" i="5"/>
  <c r="S619" i="5"/>
  <c r="R619" i="5"/>
  <c r="J619" i="5"/>
  <c r="I619" i="5"/>
  <c r="H619" i="5"/>
  <c r="G619" i="5"/>
  <c r="F619" i="5"/>
  <c r="D619" i="5" s="1"/>
  <c r="E619" i="5"/>
  <c r="C619" i="5"/>
  <c r="B619" i="5"/>
  <c r="A619" i="5"/>
  <c r="S618" i="5"/>
  <c r="R618" i="5"/>
  <c r="J618" i="5"/>
  <c r="I618" i="5"/>
  <c r="H618" i="5"/>
  <c r="G618" i="5"/>
  <c r="F618" i="5"/>
  <c r="D618" i="5" s="1"/>
  <c r="E618" i="5"/>
  <c r="C618" i="5"/>
  <c r="B618" i="5"/>
  <c r="A618" i="5"/>
  <c r="S617" i="5"/>
  <c r="R617" i="5"/>
  <c r="J617" i="5"/>
  <c r="I617" i="5"/>
  <c r="H617" i="5"/>
  <c r="G617" i="5"/>
  <c r="F617" i="5"/>
  <c r="D617" i="5" s="1"/>
  <c r="E617" i="5"/>
  <c r="C617" i="5"/>
  <c r="B617" i="5"/>
  <c r="A617" i="5"/>
  <c r="S616" i="5"/>
  <c r="R616" i="5"/>
  <c r="J616" i="5"/>
  <c r="I616" i="5"/>
  <c r="H616" i="5"/>
  <c r="G616" i="5"/>
  <c r="F616" i="5"/>
  <c r="D616" i="5" s="1"/>
  <c r="E616" i="5"/>
  <c r="C616" i="5"/>
  <c r="B616" i="5"/>
  <c r="A616" i="5"/>
  <c r="S615" i="5"/>
  <c r="R615" i="5"/>
  <c r="J615" i="5"/>
  <c r="I615" i="5"/>
  <c r="H615" i="5"/>
  <c r="G615" i="5"/>
  <c r="F615" i="5"/>
  <c r="D615" i="5" s="1"/>
  <c r="E615" i="5"/>
  <c r="C615" i="5"/>
  <c r="B615" i="5"/>
  <c r="A615" i="5"/>
  <c r="S614" i="5"/>
  <c r="R614" i="5"/>
  <c r="J614" i="5"/>
  <c r="I614" i="5"/>
  <c r="H614" i="5"/>
  <c r="G614" i="5"/>
  <c r="F614" i="5"/>
  <c r="D614" i="5" s="1"/>
  <c r="E614" i="5"/>
  <c r="C614" i="5"/>
  <c r="B614" i="5"/>
  <c r="A614" i="5"/>
  <c r="R613" i="5"/>
  <c r="N613" i="5"/>
  <c r="M613" i="5"/>
  <c r="J613" i="5"/>
  <c r="I613" i="5"/>
  <c r="H613" i="5"/>
  <c r="D613" i="5" s="1"/>
  <c r="G613" i="5"/>
  <c r="F613" i="5"/>
  <c r="E613" i="5"/>
  <c r="C613" i="5"/>
  <c r="B613" i="5"/>
  <c r="A613" i="5"/>
  <c r="P612" i="5"/>
  <c r="N612" i="5"/>
  <c r="M612" i="5"/>
  <c r="J612" i="5"/>
  <c r="I612" i="5"/>
  <c r="D612" i="5" s="1"/>
  <c r="H612" i="5"/>
  <c r="G612" i="5"/>
  <c r="F612" i="5"/>
  <c r="E612" i="5"/>
  <c r="C612" i="5"/>
  <c r="B612" i="5"/>
  <c r="A612" i="5"/>
  <c r="P611" i="5"/>
  <c r="N611" i="5"/>
  <c r="M611" i="5"/>
  <c r="J611" i="5"/>
  <c r="I611" i="5"/>
  <c r="H611" i="5"/>
  <c r="G611" i="5"/>
  <c r="F611" i="5"/>
  <c r="E611" i="5"/>
  <c r="C611" i="5"/>
  <c r="B611" i="5"/>
  <c r="A611" i="5"/>
  <c r="S610" i="5"/>
  <c r="K610" i="5"/>
  <c r="J610" i="5"/>
  <c r="I610" i="5"/>
  <c r="H610" i="5"/>
  <c r="G610" i="5"/>
  <c r="F610" i="5"/>
  <c r="E610" i="5"/>
  <c r="D610" i="5" s="1"/>
  <c r="C610" i="5"/>
  <c r="B610" i="5"/>
  <c r="A610" i="5"/>
  <c r="K609" i="5"/>
  <c r="J609" i="5"/>
  <c r="I609" i="5"/>
  <c r="H609" i="5"/>
  <c r="G609" i="5"/>
  <c r="F609" i="5"/>
  <c r="E609" i="5"/>
  <c r="C609" i="5"/>
  <c r="B609" i="5"/>
  <c r="A609" i="5"/>
  <c r="K608" i="5"/>
  <c r="J608" i="5"/>
  <c r="D608" i="5" s="1"/>
  <c r="I608" i="5"/>
  <c r="H608" i="5"/>
  <c r="G608" i="5"/>
  <c r="F608" i="5"/>
  <c r="E608" i="5"/>
  <c r="S608" i="5" s="1"/>
  <c r="C608" i="5"/>
  <c r="B608" i="5"/>
  <c r="A608" i="5"/>
  <c r="O607" i="5"/>
  <c r="J607" i="5"/>
  <c r="I607" i="5"/>
  <c r="H607" i="5"/>
  <c r="G607" i="5"/>
  <c r="F607" i="5"/>
  <c r="E607" i="5"/>
  <c r="S607" i="5" s="1"/>
  <c r="D607" i="5"/>
  <c r="C607" i="5"/>
  <c r="B607" i="5"/>
  <c r="A607" i="5"/>
  <c r="O606" i="5"/>
  <c r="J606" i="5"/>
  <c r="I606" i="5"/>
  <c r="H606" i="5"/>
  <c r="G606" i="5"/>
  <c r="F606" i="5"/>
  <c r="E606" i="5"/>
  <c r="C606" i="5"/>
  <c r="B606" i="5"/>
  <c r="A606" i="5"/>
  <c r="J605" i="5"/>
  <c r="I605" i="5"/>
  <c r="S605" i="5" s="1"/>
  <c r="H605" i="5"/>
  <c r="G605" i="5"/>
  <c r="F605" i="5"/>
  <c r="E605" i="5"/>
  <c r="D605" i="5"/>
  <c r="C605" i="5"/>
  <c r="B605" i="5"/>
  <c r="A605" i="5"/>
  <c r="K604" i="5"/>
  <c r="J604" i="5"/>
  <c r="I604" i="5"/>
  <c r="D604" i="5" s="1"/>
  <c r="H604" i="5"/>
  <c r="G604" i="5"/>
  <c r="F604" i="5"/>
  <c r="E604" i="5"/>
  <c r="C604" i="5"/>
  <c r="B604" i="5"/>
  <c r="A604" i="5"/>
  <c r="O603" i="5"/>
  <c r="K603" i="5"/>
  <c r="J603" i="5"/>
  <c r="I603" i="5"/>
  <c r="D603" i="5" s="1"/>
  <c r="H603" i="5"/>
  <c r="G603" i="5"/>
  <c r="F603" i="5"/>
  <c r="E603" i="5"/>
  <c r="C603" i="5"/>
  <c r="B603" i="5"/>
  <c r="A603" i="5"/>
  <c r="R602" i="5"/>
  <c r="O602" i="5"/>
  <c r="J602" i="5"/>
  <c r="I602" i="5"/>
  <c r="H602" i="5"/>
  <c r="G602" i="5"/>
  <c r="F602" i="5"/>
  <c r="E602" i="5"/>
  <c r="C602" i="5"/>
  <c r="B602" i="5"/>
  <c r="A602" i="5"/>
  <c r="S601" i="5"/>
  <c r="R601" i="5"/>
  <c r="O601" i="5"/>
  <c r="J601" i="5"/>
  <c r="I601" i="5"/>
  <c r="H601" i="5"/>
  <c r="G601" i="5"/>
  <c r="F601" i="5"/>
  <c r="E601" i="5"/>
  <c r="C601" i="5"/>
  <c r="B601" i="5"/>
  <c r="A601" i="5"/>
  <c r="S600" i="5"/>
  <c r="R600" i="5"/>
  <c r="O600" i="5"/>
  <c r="K600" i="5"/>
  <c r="J600" i="5"/>
  <c r="I600" i="5"/>
  <c r="H600" i="5"/>
  <c r="G600" i="5"/>
  <c r="F600" i="5"/>
  <c r="E600" i="5"/>
  <c r="C600" i="5"/>
  <c r="B600" i="5"/>
  <c r="A600" i="5"/>
  <c r="S599" i="5"/>
  <c r="K599" i="5"/>
  <c r="J599" i="5"/>
  <c r="I599" i="5"/>
  <c r="H599" i="5"/>
  <c r="G599" i="5"/>
  <c r="F599" i="5"/>
  <c r="E599" i="5"/>
  <c r="C599" i="5"/>
  <c r="B599" i="5"/>
  <c r="A599" i="5"/>
  <c r="J598" i="5"/>
  <c r="I598" i="5"/>
  <c r="H598" i="5"/>
  <c r="G598" i="5"/>
  <c r="F598" i="5"/>
  <c r="E598" i="5"/>
  <c r="C598" i="5"/>
  <c r="B598" i="5"/>
  <c r="A598" i="5"/>
  <c r="O597" i="5"/>
  <c r="K597" i="5"/>
  <c r="J597" i="5"/>
  <c r="D597" i="5" s="1"/>
  <c r="I597" i="5"/>
  <c r="H597" i="5"/>
  <c r="G597" i="5"/>
  <c r="F597" i="5"/>
  <c r="E597" i="5"/>
  <c r="C597" i="5"/>
  <c r="B597" i="5"/>
  <c r="A597" i="5"/>
  <c r="L596" i="5"/>
  <c r="D596" i="5" s="1"/>
  <c r="J596" i="5"/>
  <c r="I596" i="5"/>
  <c r="H596" i="5"/>
  <c r="G596" i="5"/>
  <c r="F596" i="5"/>
  <c r="E596" i="5"/>
  <c r="R596" i="5" s="1"/>
  <c r="C596" i="5"/>
  <c r="B596" i="5"/>
  <c r="A596" i="5"/>
  <c r="R595" i="5"/>
  <c r="K595" i="5"/>
  <c r="J595" i="5"/>
  <c r="I595" i="5"/>
  <c r="H595" i="5"/>
  <c r="G595" i="5"/>
  <c r="F595" i="5"/>
  <c r="E595" i="5"/>
  <c r="D595" i="5" s="1"/>
  <c r="C595" i="5"/>
  <c r="B595" i="5"/>
  <c r="A595" i="5"/>
  <c r="S594" i="5"/>
  <c r="O594" i="5"/>
  <c r="L594" i="5"/>
  <c r="K594" i="5"/>
  <c r="J594" i="5"/>
  <c r="I594" i="5"/>
  <c r="H594" i="5"/>
  <c r="G594" i="5"/>
  <c r="F594" i="5"/>
  <c r="D594" i="5" s="1"/>
  <c r="E594" i="5"/>
  <c r="C594" i="5"/>
  <c r="B594" i="5"/>
  <c r="A594" i="5"/>
  <c r="J593" i="5"/>
  <c r="I593" i="5"/>
  <c r="H593" i="5"/>
  <c r="G593" i="5"/>
  <c r="F593" i="5"/>
  <c r="E593" i="5"/>
  <c r="C593" i="5"/>
  <c r="B593" i="5"/>
  <c r="A593" i="5"/>
  <c r="J592" i="5"/>
  <c r="I592" i="5"/>
  <c r="H592" i="5"/>
  <c r="G592" i="5"/>
  <c r="F592" i="5"/>
  <c r="D592" i="5" s="1"/>
  <c r="E592" i="5"/>
  <c r="S592" i="5" s="1"/>
  <c r="C592" i="5"/>
  <c r="B592" i="5"/>
  <c r="A592" i="5"/>
  <c r="J591" i="5"/>
  <c r="I591" i="5"/>
  <c r="H591" i="5"/>
  <c r="G591" i="5"/>
  <c r="F591" i="5"/>
  <c r="E591" i="5"/>
  <c r="C591" i="5"/>
  <c r="B591" i="5"/>
  <c r="A591" i="5"/>
  <c r="J590" i="5"/>
  <c r="I590" i="5"/>
  <c r="H590" i="5"/>
  <c r="G590" i="5"/>
  <c r="F590" i="5"/>
  <c r="D590" i="5" s="1"/>
  <c r="E590" i="5"/>
  <c r="C590" i="5"/>
  <c r="B590" i="5"/>
  <c r="A590" i="5"/>
  <c r="J589" i="5"/>
  <c r="I589" i="5"/>
  <c r="H589" i="5"/>
  <c r="G589" i="5"/>
  <c r="F589" i="5"/>
  <c r="E589" i="5"/>
  <c r="C589" i="5"/>
  <c r="B589" i="5"/>
  <c r="A589" i="5"/>
  <c r="J588" i="5"/>
  <c r="I588" i="5"/>
  <c r="H588" i="5"/>
  <c r="G588" i="5"/>
  <c r="F588" i="5"/>
  <c r="D588" i="5" s="1"/>
  <c r="E588" i="5"/>
  <c r="S588" i="5" s="1"/>
  <c r="C588" i="5"/>
  <c r="B588" i="5"/>
  <c r="A588" i="5"/>
  <c r="J587" i="5"/>
  <c r="I587" i="5"/>
  <c r="H587" i="5"/>
  <c r="G587" i="5"/>
  <c r="F587" i="5"/>
  <c r="E587" i="5"/>
  <c r="C587" i="5"/>
  <c r="B587" i="5"/>
  <c r="A587" i="5"/>
  <c r="J586" i="5"/>
  <c r="I586" i="5"/>
  <c r="H586" i="5"/>
  <c r="G586" i="5"/>
  <c r="F586" i="5"/>
  <c r="D586" i="5" s="1"/>
  <c r="E586" i="5"/>
  <c r="C586" i="5"/>
  <c r="B586" i="5"/>
  <c r="A586" i="5"/>
  <c r="J585" i="5"/>
  <c r="I585" i="5"/>
  <c r="H585" i="5"/>
  <c r="G585" i="5"/>
  <c r="F585" i="5"/>
  <c r="E585" i="5"/>
  <c r="C585" i="5"/>
  <c r="B585" i="5"/>
  <c r="A585" i="5"/>
  <c r="J584" i="5"/>
  <c r="I584" i="5"/>
  <c r="H584" i="5"/>
  <c r="G584" i="5"/>
  <c r="F584" i="5"/>
  <c r="D584" i="5" s="1"/>
  <c r="E584" i="5"/>
  <c r="S584" i="5" s="1"/>
  <c r="C584" i="5"/>
  <c r="B584" i="5"/>
  <c r="A584" i="5"/>
  <c r="J583" i="5"/>
  <c r="I583" i="5"/>
  <c r="H583" i="5"/>
  <c r="G583" i="5"/>
  <c r="F583" i="5"/>
  <c r="E583" i="5"/>
  <c r="C583" i="5"/>
  <c r="B583" i="5"/>
  <c r="A583" i="5"/>
  <c r="J582" i="5"/>
  <c r="I582" i="5"/>
  <c r="H582" i="5"/>
  <c r="G582" i="5"/>
  <c r="F582" i="5"/>
  <c r="D582" i="5" s="1"/>
  <c r="E582" i="5"/>
  <c r="C582" i="5"/>
  <c r="B582" i="5"/>
  <c r="A582" i="5"/>
  <c r="J581" i="5"/>
  <c r="I581" i="5"/>
  <c r="H581" i="5"/>
  <c r="G581" i="5"/>
  <c r="F581" i="5"/>
  <c r="E581" i="5"/>
  <c r="C581" i="5"/>
  <c r="B581" i="5"/>
  <c r="A581" i="5"/>
  <c r="J580" i="5"/>
  <c r="I580" i="5"/>
  <c r="H580" i="5"/>
  <c r="G580" i="5"/>
  <c r="F580" i="5"/>
  <c r="D580" i="5" s="1"/>
  <c r="E580" i="5"/>
  <c r="S580" i="5" s="1"/>
  <c r="C580" i="5"/>
  <c r="B580" i="5"/>
  <c r="A580" i="5"/>
  <c r="J579" i="5"/>
  <c r="I579" i="5"/>
  <c r="H579" i="5"/>
  <c r="G579" i="5"/>
  <c r="F579" i="5"/>
  <c r="E579" i="5"/>
  <c r="C579" i="5"/>
  <c r="B579" i="5"/>
  <c r="A579" i="5"/>
  <c r="J578" i="5"/>
  <c r="I578" i="5"/>
  <c r="H578" i="5"/>
  <c r="G578" i="5"/>
  <c r="F578" i="5"/>
  <c r="D578" i="5" s="1"/>
  <c r="E578" i="5"/>
  <c r="C578" i="5"/>
  <c r="B578" i="5"/>
  <c r="A578" i="5"/>
  <c r="J577" i="5"/>
  <c r="I577" i="5"/>
  <c r="H577" i="5"/>
  <c r="G577" i="5"/>
  <c r="F577" i="5"/>
  <c r="E577" i="5"/>
  <c r="C577" i="5"/>
  <c r="B577" i="5"/>
  <c r="A577" i="5"/>
  <c r="N576" i="5"/>
  <c r="M576" i="5"/>
  <c r="J576" i="5"/>
  <c r="I576" i="5"/>
  <c r="H576" i="5"/>
  <c r="G576" i="5"/>
  <c r="F576" i="5"/>
  <c r="E576" i="5"/>
  <c r="C576" i="5"/>
  <c r="B576" i="5"/>
  <c r="A576" i="5"/>
  <c r="P575" i="5"/>
  <c r="N575" i="5"/>
  <c r="M575" i="5"/>
  <c r="J575" i="5"/>
  <c r="I575" i="5"/>
  <c r="H575" i="5"/>
  <c r="G575" i="5"/>
  <c r="F575" i="5"/>
  <c r="E575" i="5"/>
  <c r="C575" i="5"/>
  <c r="B575" i="5"/>
  <c r="A575" i="5"/>
  <c r="P574" i="5"/>
  <c r="N574" i="5"/>
  <c r="M574" i="5"/>
  <c r="J574" i="5"/>
  <c r="I574" i="5"/>
  <c r="D574" i="5" s="1"/>
  <c r="H574" i="5"/>
  <c r="G574" i="5"/>
  <c r="F574" i="5"/>
  <c r="E574" i="5"/>
  <c r="C574" i="5"/>
  <c r="B574" i="5"/>
  <c r="A574" i="5"/>
  <c r="K573" i="5"/>
  <c r="J573" i="5"/>
  <c r="D573" i="5" s="1"/>
  <c r="I573" i="5"/>
  <c r="H573" i="5"/>
  <c r="G573" i="5"/>
  <c r="F573" i="5"/>
  <c r="E573" i="5"/>
  <c r="C573" i="5"/>
  <c r="B573" i="5"/>
  <c r="A573" i="5"/>
  <c r="K572" i="5"/>
  <c r="J572" i="5"/>
  <c r="I572" i="5"/>
  <c r="H572" i="5"/>
  <c r="G572" i="5"/>
  <c r="F572" i="5"/>
  <c r="E572" i="5"/>
  <c r="R572" i="5" s="1"/>
  <c r="D572" i="5"/>
  <c r="C572" i="5"/>
  <c r="B572" i="5"/>
  <c r="A572" i="5"/>
  <c r="K571" i="5"/>
  <c r="J571" i="5"/>
  <c r="I571" i="5"/>
  <c r="H571" i="5"/>
  <c r="G571" i="5"/>
  <c r="F571" i="5"/>
  <c r="E571" i="5"/>
  <c r="D571" i="5" s="1"/>
  <c r="C571" i="5"/>
  <c r="B571" i="5"/>
  <c r="A571" i="5"/>
  <c r="O570" i="5"/>
  <c r="J570" i="5"/>
  <c r="I570" i="5"/>
  <c r="H570" i="5"/>
  <c r="G570" i="5"/>
  <c r="F570" i="5"/>
  <c r="E570" i="5"/>
  <c r="C570" i="5"/>
  <c r="B570" i="5"/>
  <c r="A570" i="5"/>
  <c r="O569" i="5"/>
  <c r="J569" i="5"/>
  <c r="I569" i="5"/>
  <c r="H569" i="5"/>
  <c r="G569" i="5"/>
  <c r="F569" i="5"/>
  <c r="D569" i="5" s="1"/>
  <c r="E569" i="5"/>
  <c r="S569" i="5" s="1"/>
  <c r="C569" i="5"/>
  <c r="B569" i="5"/>
  <c r="A569" i="5"/>
  <c r="J568" i="5"/>
  <c r="I568" i="5"/>
  <c r="H568" i="5"/>
  <c r="G568" i="5"/>
  <c r="F568" i="5"/>
  <c r="D568" i="5" s="1"/>
  <c r="E568" i="5"/>
  <c r="S568" i="5" s="1"/>
  <c r="C568" i="5"/>
  <c r="B568" i="5"/>
  <c r="A568" i="5"/>
  <c r="K567" i="5"/>
  <c r="J567" i="5"/>
  <c r="I567" i="5"/>
  <c r="H567" i="5"/>
  <c r="D567" i="5" s="1"/>
  <c r="G567" i="5"/>
  <c r="F567" i="5"/>
  <c r="E567" i="5"/>
  <c r="C567" i="5"/>
  <c r="B567" i="5"/>
  <c r="A567" i="5"/>
  <c r="O566" i="5"/>
  <c r="K566" i="5"/>
  <c r="J566" i="5"/>
  <c r="I566" i="5"/>
  <c r="H566" i="5"/>
  <c r="G566" i="5"/>
  <c r="F566" i="5"/>
  <c r="E566" i="5"/>
  <c r="C566" i="5"/>
  <c r="B566" i="5"/>
  <c r="A566" i="5"/>
  <c r="S565" i="5"/>
  <c r="R565" i="5"/>
  <c r="O565" i="5"/>
  <c r="J565" i="5"/>
  <c r="I565" i="5"/>
  <c r="H565" i="5"/>
  <c r="G565" i="5"/>
  <c r="F565" i="5"/>
  <c r="E565" i="5"/>
  <c r="C565" i="5"/>
  <c r="B565" i="5"/>
  <c r="A565" i="5"/>
  <c r="S564" i="5"/>
  <c r="R564" i="5"/>
  <c r="O564" i="5"/>
  <c r="J564" i="5"/>
  <c r="I564" i="5"/>
  <c r="H564" i="5"/>
  <c r="G564" i="5"/>
  <c r="F564" i="5"/>
  <c r="E564" i="5"/>
  <c r="C564" i="5"/>
  <c r="B564" i="5"/>
  <c r="A564" i="5"/>
  <c r="S563" i="5"/>
  <c r="R563" i="5"/>
  <c r="O563" i="5"/>
  <c r="K563" i="5"/>
  <c r="J563" i="5"/>
  <c r="I563" i="5"/>
  <c r="H563" i="5"/>
  <c r="G563" i="5"/>
  <c r="F563" i="5"/>
  <c r="E563" i="5"/>
  <c r="D563" i="5"/>
  <c r="C563" i="5"/>
  <c r="B563" i="5"/>
  <c r="A563" i="5"/>
  <c r="K562" i="5"/>
  <c r="J562" i="5"/>
  <c r="I562" i="5"/>
  <c r="H562" i="5"/>
  <c r="G562" i="5"/>
  <c r="F562" i="5"/>
  <c r="E562" i="5"/>
  <c r="D562" i="5"/>
  <c r="C562" i="5"/>
  <c r="B562" i="5"/>
  <c r="A562" i="5"/>
  <c r="R561" i="5"/>
  <c r="J561" i="5"/>
  <c r="D561" i="5" s="1"/>
  <c r="I561" i="5"/>
  <c r="H561" i="5"/>
  <c r="G561" i="5"/>
  <c r="F561" i="5"/>
  <c r="E561" i="5"/>
  <c r="C561" i="5"/>
  <c r="B561" i="5"/>
  <c r="A561" i="5"/>
  <c r="O560" i="5"/>
  <c r="K560" i="5"/>
  <c r="J560" i="5"/>
  <c r="I560" i="5"/>
  <c r="H560" i="5"/>
  <c r="G560" i="5"/>
  <c r="F560" i="5"/>
  <c r="E560" i="5"/>
  <c r="C560" i="5"/>
  <c r="B560" i="5"/>
  <c r="A560" i="5"/>
  <c r="S559" i="5"/>
  <c r="L559" i="5"/>
  <c r="J559" i="5"/>
  <c r="I559" i="5"/>
  <c r="H559" i="5"/>
  <c r="G559" i="5"/>
  <c r="F559" i="5"/>
  <c r="E559" i="5"/>
  <c r="C559" i="5"/>
  <c r="B559" i="5"/>
  <c r="A559" i="5"/>
  <c r="K558" i="5"/>
  <c r="J558" i="5"/>
  <c r="I558" i="5"/>
  <c r="H558" i="5"/>
  <c r="G558" i="5"/>
  <c r="F558" i="5"/>
  <c r="D558" i="5" s="1"/>
  <c r="E558" i="5"/>
  <c r="C558" i="5"/>
  <c r="B558" i="5"/>
  <c r="A558" i="5"/>
  <c r="O557" i="5"/>
  <c r="L557" i="5"/>
  <c r="K557" i="5"/>
  <c r="J557" i="5"/>
  <c r="I557" i="5"/>
  <c r="H557" i="5"/>
  <c r="G557" i="5"/>
  <c r="F557" i="5"/>
  <c r="E557" i="5"/>
  <c r="C557" i="5"/>
  <c r="B557" i="5"/>
  <c r="A557" i="5"/>
  <c r="J556" i="5"/>
  <c r="I556" i="5"/>
  <c r="H556" i="5"/>
  <c r="G556" i="5"/>
  <c r="F556" i="5"/>
  <c r="E556" i="5"/>
  <c r="C556" i="5"/>
  <c r="B556" i="5"/>
  <c r="A556" i="5"/>
  <c r="J555" i="5"/>
  <c r="I555" i="5"/>
  <c r="R555" i="5" s="1"/>
  <c r="H555" i="5"/>
  <c r="G555" i="5"/>
  <c r="F555" i="5"/>
  <c r="E555" i="5"/>
  <c r="S555" i="5" s="1"/>
  <c r="C555" i="5"/>
  <c r="B555" i="5"/>
  <c r="A555" i="5"/>
  <c r="J554" i="5"/>
  <c r="I554" i="5"/>
  <c r="R554" i="5" s="1"/>
  <c r="H554" i="5"/>
  <c r="G554" i="5"/>
  <c r="F554" i="5"/>
  <c r="E554" i="5"/>
  <c r="S554" i="5" s="1"/>
  <c r="C554" i="5"/>
  <c r="B554" i="5"/>
  <c r="A554" i="5"/>
  <c r="J553" i="5"/>
  <c r="I553" i="5"/>
  <c r="H553" i="5"/>
  <c r="G553" i="5"/>
  <c r="F553" i="5"/>
  <c r="E553" i="5"/>
  <c r="C553" i="5"/>
  <c r="B553" i="5"/>
  <c r="A553" i="5"/>
  <c r="J552" i="5"/>
  <c r="I552" i="5"/>
  <c r="H552" i="5"/>
  <c r="G552" i="5"/>
  <c r="F552" i="5"/>
  <c r="E552" i="5"/>
  <c r="C552" i="5"/>
  <c r="B552" i="5"/>
  <c r="A552" i="5"/>
  <c r="J551" i="5"/>
  <c r="I551" i="5"/>
  <c r="H551" i="5"/>
  <c r="G551" i="5"/>
  <c r="F551" i="5"/>
  <c r="E551" i="5"/>
  <c r="D551" i="5" s="1"/>
  <c r="C551" i="5"/>
  <c r="B551" i="5"/>
  <c r="A551" i="5"/>
  <c r="J550" i="5"/>
  <c r="I550" i="5"/>
  <c r="H550" i="5"/>
  <c r="G550" i="5"/>
  <c r="F550" i="5"/>
  <c r="E550" i="5"/>
  <c r="D550" i="5" s="1"/>
  <c r="C550" i="5"/>
  <c r="B550" i="5"/>
  <c r="A550" i="5"/>
  <c r="J549" i="5"/>
  <c r="I549" i="5"/>
  <c r="H549" i="5"/>
  <c r="G549" i="5"/>
  <c r="F549" i="5"/>
  <c r="E549" i="5"/>
  <c r="D549" i="5" s="1"/>
  <c r="C549" i="5"/>
  <c r="B549" i="5"/>
  <c r="A549" i="5"/>
  <c r="J548" i="5"/>
  <c r="I548" i="5"/>
  <c r="H548" i="5"/>
  <c r="G548" i="5"/>
  <c r="F548" i="5"/>
  <c r="E548" i="5"/>
  <c r="C548" i="5"/>
  <c r="B548" i="5"/>
  <c r="A548" i="5"/>
  <c r="S547" i="5"/>
  <c r="J547" i="5"/>
  <c r="I547" i="5"/>
  <c r="R547" i="5" s="1"/>
  <c r="H547" i="5"/>
  <c r="G547" i="5"/>
  <c r="F547" i="5"/>
  <c r="E547" i="5"/>
  <c r="C547" i="5"/>
  <c r="B547" i="5"/>
  <c r="A547" i="5"/>
  <c r="S546" i="5"/>
  <c r="R546" i="5"/>
  <c r="J546" i="5"/>
  <c r="I546" i="5"/>
  <c r="H546" i="5"/>
  <c r="G546" i="5"/>
  <c r="F546" i="5"/>
  <c r="E546" i="5"/>
  <c r="C546" i="5"/>
  <c r="B546" i="5"/>
  <c r="A546" i="5"/>
  <c r="J545" i="5"/>
  <c r="I545" i="5"/>
  <c r="H545" i="5"/>
  <c r="G545" i="5"/>
  <c r="F545" i="5"/>
  <c r="E545" i="5"/>
  <c r="C545" i="5"/>
  <c r="B545" i="5"/>
  <c r="A545" i="5"/>
  <c r="J544" i="5"/>
  <c r="I544" i="5"/>
  <c r="H544" i="5"/>
  <c r="G544" i="5"/>
  <c r="F544" i="5"/>
  <c r="E544" i="5"/>
  <c r="C544" i="5"/>
  <c r="B544" i="5"/>
  <c r="A544" i="5"/>
  <c r="J543" i="5"/>
  <c r="I543" i="5"/>
  <c r="R543" i="5" s="1"/>
  <c r="H543" i="5"/>
  <c r="G543" i="5"/>
  <c r="F543" i="5"/>
  <c r="E543" i="5"/>
  <c r="S543" i="5" s="1"/>
  <c r="C543" i="5"/>
  <c r="B543" i="5"/>
  <c r="A543" i="5"/>
  <c r="J542" i="5"/>
  <c r="I542" i="5"/>
  <c r="H542" i="5"/>
  <c r="G542" i="5"/>
  <c r="R542" i="5" s="1"/>
  <c r="F542" i="5"/>
  <c r="E542" i="5"/>
  <c r="S542" i="5" s="1"/>
  <c r="C542" i="5"/>
  <c r="B542" i="5"/>
  <c r="A542" i="5"/>
  <c r="J541" i="5"/>
  <c r="I541" i="5"/>
  <c r="H541" i="5"/>
  <c r="G541" i="5"/>
  <c r="F541" i="5"/>
  <c r="E541" i="5"/>
  <c r="S541" i="5" s="1"/>
  <c r="C541" i="5"/>
  <c r="B541" i="5"/>
  <c r="A541" i="5"/>
  <c r="J540" i="5"/>
  <c r="I540" i="5"/>
  <c r="H540" i="5"/>
  <c r="G540" i="5"/>
  <c r="F540" i="5"/>
  <c r="E540" i="5"/>
  <c r="C540" i="5"/>
  <c r="B540" i="5"/>
  <c r="A540" i="5"/>
  <c r="N539" i="5"/>
  <c r="M539" i="5"/>
  <c r="J539" i="5"/>
  <c r="I539" i="5"/>
  <c r="H539" i="5"/>
  <c r="G539" i="5"/>
  <c r="D539" i="5" s="1"/>
  <c r="F539" i="5"/>
  <c r="E539" i="5"/>
  <c r="C539" i="5"/>
  <c r="B539" i="5"/>
  <c r="A539" i="5"/>
  <c r="P538" i="5"/>
  <c r="N538" i="5"/>
  <c r="M538" i="5"/>
  <c r="J538" i="5"/>
  <c r="I538" i="5"/>
  <c r="H538" i="5"/>
  <c r="G538" i="5"/>
  <c r="F538" i="5"/>
  <c r="E538" i="5"/>
  <c r="D538" i="5" s="1"/>
  <c r="C538" i="5"/>
  <c r="B538" i="5"/>
  <c r="A538" i="5"/>
  <c r="P537" i="5"/>
  <c r="S537" i="5" s="1"/>
  <c r="N537" i="5"/>
  <c r="M537" i="5"/>
  <c r="J537" i="5"/>
  <c r="I537" i="5"/>
  <c r="H537" i="5"/>
  <c r="G537" i="5"/>
  <c r="F537" i="5"/>
  <c r="E537" i="5"/>
  <c r="C537" i="5"/>
  <c r="B537" i="5"/>
  <c r="A537" i="5"/>
  <c r="K536" i="5"/>
  <c r="J536" i="5"/>
  <c r="I536" i="5"/>
  <c r="H536" i="5"/>
  <c r="G536" i="5"/>
  <c r="F536" i="5"/>
  <c r="D536" i="5" s="1"/>
  <c r="E536" i="5"/>
  <c r="C536" i="5"/>
  <c r="B536" i="5"/>
  <c r="A536" i="5"/>
  <c r="K535" i="5"/>
  <c r="J535" i="5"/>
  <c r="R535" i="5" s="1"/>
  <c r="I535" i="5"/>
  <c r="H535" i="5"/>
  <c r="G535" i="5"/>
  <c r="F535" i="5"/>
  <c r="E535" i="5"/>
  <c r="D535" i="5" s="1"/>
  <c r="C535" i="5"/>
  <c r="B535" i="5"/>
  <c r="A535" i="5"/>
  <c r="K534" i="5"/>
  <c r="J534" i="5"/>
  <c r="S534" i="5" s="1"/>
  <c r="I534" i="5"/>
  <c r="H534" i="5"/>
  <c r="G534" i="5"/>
  <c r="F534" i="5"/>
  <c r="E534" i="5"/>
  <c r="D534" i="5" s="1"/>
  <c r="C534" i="5"/>
  <c r="B534" i="5"/>
  <c r="A534" i="5"/>
  <c r="O533" i="5"/>
  <c r="J533" i="5"/>
  <c r="R533" i="5" s="1"/>
  <c r="I533" i="5"/>
  <c r="H533" i="5"/>
  <c r="G533" i="5"/>
  <c r="F533" i="5"/>
  <c r="E533" i="5"/>
  <c r="C533" i="5"/>
  <c r="B533" i="5"/>
  <c r="A533" i="5"/>
  <c r="O532" i="5"/>
  <c r="J532" i="5"/>
  <c r="I532" i="5"/>
  <c r="H532" i="5"/>
  <c r="G532" i="5"/>
  <c r="F532" i="5"/>
  <c r="E532" i="5"/>
  <c r="C532" i="5"/>
  <c r="B532" i="5"/>
  <c r="A532" i="5"/>
  <c r="J531" i="5"/>
  <c r="S531" i="5" s="1"/>
  <c r="I531" i="5"/>
  <c r="H531" i="5"/>
  <c r="G531" i="5"/>
  <c r="F531" i="5"/>
  <c r="E531" i="5"/>
  <c r="C531" i="5"/>
  <c r="B531" i="5"/>
  <c r="A531" i="5"/>
  <c r="K530" i="5"/>
  <c r="J530" i="5"/>
  <c r="I530" i="5"/>
  <c r="H530" i="5"/>
  <c r="G530" i="5"/>
  <c r="D530" i="5" s="1"/>
  <c r="F530" i="5"/>
  <c r="E530" i="5"/>
  <c r="C530" i="5"/>
  <c r="B530" i="5"/>
  <c r="A530" i="5"/>
  <c r="O529" i="5"/>
  <c r="K529" i="5"/>
  <c r="J529" i="5"/>
  <c r="I529" i="5"/>
  <c r="D529" i="5" s="1"/>
  <c r="H529" i="5"/>
  <c r="G529" i="5"/>
  <c r="F529" i="5"/>
  <c r="E529" i="5"/>
  <c r="C529" i="5"/>
  <c r="B529" i="5"/>
  <c r="A529" i="5"/>
  <c r="O528" i="5"/>
  <c r="R528" i="5" s="1"/>
  <c r="J528" i="5"/>
  <c r="I528" i="5"/>
  <c r="H528" i="5"/>
  <c r="G528" i="5"/>
  <c r="D528" i="5" s="1"/>
  <c r="F528" i="5"/>
  <c r="E528" i="5"/>
  <c r="C528" i="5"/>
  <c r="B528" i="5"/>
  <c r="A528" i="5"/>
  <c r="S527" i="5"/>
  <c r="R527" i="5"/>
  <c r="O527" i="5"/>
  <c r="J527" i="5"/>
  <c r="I527" i="5"/>
  <c r="H527" i="5"/>
  <c r="D527" i="5" s="1"/>
  <c r="G527" i="5"/>
  <c r="F527" i="5"/>
  <c r="E527" i="5"/>
  <c r="C527" i="5"/>
  <c r="B527" i="5"/>
  <c r="A527" i="5"/>
  <c r="S526" i="5"/>
  <c r="O526" i="5"/>
  <c r="K526" i="5"/>
  <c r="J526" i="5"/>
  <c r="I526" i="5"/>
  <c r="H526" i="5"/>
  <c r="G526" i="5"/>
  <c r="F526" i="5"/>
  <c r="E526" i="5"/>
  <c r="D526" i="5" s="1"/>
  <c r="C526" i="5"/>
  <c r="B526" i="5"/>
  <c r="A526" i="5"/>
  <c r="K525" i="5"/>
  <c r="J525" i="5"/>
  <c r="I525" i="5"/>
  <c r="H525" i="5"/>
  <c r="D525" i="5" s="1"/>
  <c r="G525" i="5"/>
  <c r="F525" i="5"/>
  <c r="E525" i="5"/>
  <c r="C525" i="5"/>
  <c r="B525" i="5"/>
  <c r="A525" i="5"/>
  <c r="R524" i="5"/>
  <c r="J524" i="5"/>
  <c r="I524" i="5"/>
  <c r="H524" i="5"/>
  <c r="G524" i="5"/>
  <c r="D524" i="5" s="1"/>
  <c r="F524" i="5"/>
  <c r="E524" i="5"/>
  <c r="C524" i="5"/>
  <c r="B524" i="5"/>
  <c r="A524" i="5"/>
  <c r="O523" i="5"/>
  <c r="R523" i="5" s="1"/>
  <c r="K523" i="5"/>
  <c r="J523" i="5"/>
  <c r="I523" i="5"/>
  <c r="H523" i="5"/>
  <c r="G523" i="5"/>
  <c r="F523" i="5"/>
  <c r="E523" i="5"/>
  <c r="C523" i="5"/>
  <c r="B523" i="5"/>
  <c r="A523" i="5"/>
  <c r="S522" i="5"/>
  <c r="L522" i="5"/>
  <c r="J522" i="5"/>
  <c r="I522" i="5"/>
  <c r="H522" i="5"/>
  <c r="G522" i="5"/>
  <c r="F522" i="5"/>
  <c r="E522" i="5"/>
  <c r="C522" i="5"/>
  <c r="B522" i="5"/>
  <c r="A522" i="5"/>
  <c r="S521" i="5"/>
  <c r="K521" i="5"/>
  <c r="J521" i="5"/>
  <c r="R521" i="5" s="1"/>
  <c r="I521" i="5"/>
  <c r="H521" i="5"/>
  <c r="G521" i="5"/>
  <c r="F521" i="5"/>
  <c r="E521" i="5"/>
  <c r="C521" i="5"/>
  <c r="B521" i="5"/>
  <c r="A521" i="5"/>
  <c r="S520" i="5"/>
  <c r="O520" i="5"/>
  <c r="L520" i="5"/>
  <c r="K520" i="5"/>
  <c r="J520" i="5"/>
  <c r="I520" i="5"/>
  <c r="H520" i="5"/>
  <c r="G520" i="5"/>
  <c r="F520" i="5"/>
  <c r="E520" i="5"/>
  <c r="R520" i="5" s="1"/>
  <c r="D520" i="5"/>
  <c r="C520" i="5"/>
  <c r="B520" i="5"/>
  <c r="A520" i="5"/>
  <c r="J519" i="5"/>
  <c r="I519" i="5"/>
  <c r="H519" i="5"/>
  <c r="G519" i="5"/>
  <c r="F519" i="5"/>
  <c r="E519" i="5"/>
  <c r="S519" i="5" s="1"/>
  <c r="D519" i="5"/>
  <c r="C519" i="5"/>
  <c r="B519" i="5"/>
  <c r="A519" i="5"/>
  <c r="J518" i="5"/>
  <c r="I518" i="5"/>
  <c r="H518" i="5"/>
  <c r="G518" i="5"/>
  <c r="F518" i="5"/>
  <c r="E518" i="5"/>
  <c r="D518" i="5"/>
  <c r="C518" i="5"/>
  <c r="B518" i="5"/>
  <c r="A518" i="5"/>
  <c r="J517" i="5"/>
  <c r="I517" i="5"/>
  <c r="R517" i="5" s="1"/>
  <c r="H517" i="5"/>
  <c r="G517" i="5"/>
  <c r="F517" i="5"/>
  <c r="E517" i="5"/>
  <c r="D517" i="5"/>
  <c r="C517" i="5"/>
  <c r="B517" i="5"/>
  <c r="A517" i="5"/>
  <c r="R516" i="5"/>
  <c r="J516" i="5"/>
  <c r="I516" i="5"/>
  <c r="D516" i="5" s="1"/>
  <c r="H516" i="5"/>
  <c r="G516" i="5"/>
  <c r="F516" i="5"/>
  <c r="E516" i="5"/>
  <c r="C516" i="5"/>
  <c r="B516" i="5"/>
  <c r="A516" i="5"/>
  <c r="J515" i="5"/>
  <c r="R515" i="5" s="1"/>
  <c r="I515" i="5"/>
  <c r="H515" i="5"/>
  <c r="G515" i="5"/>
  <c r="F515" i="5"/>
  <c r="E515" i="5"/>
  <c r="C515" i="5"/>
  <c r="B515" i="5"/>
  <c r="A515" i="5"/>
  <c r="J514" i="5"/>
  <c r="I514" i="5"/>
  <c r="R514" i="5" s="1"/>
  <c r="H514" i="5"/>
  <c r="G514" i="5"/>
  <c r="F514" i="5"/>
  <c r="E514" i="5"/>
  <c r="C514" i="5"/>
  <c r="B514" i="5"/>
  <c r="A514" i="5"/>
  <c r="J513" i="5"/>
  <c r="I513" i="5"/>
  <c r="D513" i="5" s="1"/>
  <c r="H513" i="5"/>
  <c r="G513" i="5"/>
  <c r="F513" i="5"/>
  <c r="E513" i="5"/>
  <c r="C513" i="5"/>
  <c r="B513" i="5"/>
  <c r="A513" i="5"/>
  <c r="J512" i="5"/>
  <c r="I512" i="5"/>
  <c r="R512" i="5" s="1"/>
  <c r="H512" i="5"/>
  <c r="G512" i="5"/>
  <c r="F512" i="5"/>
  <c r="D512" i="5" s="1"/>
  <c r="E512" i="5"/>
  <c r="C512" i="5"/>
  <c r="B512" i="5"/>
  <c r="A512" i="5"/>
  <c r="J511" i="5"/>
  <c r="I511" i="5"/>
  <c r="H511" i="5"/>
  <c r="G511" i="5"/>
  <c r="F511" i="5"/>
  <c r="E511" i="5"/>
  <c r="C511" i="5"/>
  <c r="B511" i="5"/>
  <c r="A511" i="5"/>
  <c r="J510" i="5"/>
  <c r="I510" i="5"/>
  <c r="H510" i="5"/>
  <c r="G510" i="5"/>
  <c r="F510" i="5"/>
  <c r="E510" i="5"/>
  <c r="C510" i="5"/>
  <c r="B510" i="5"/>
  <c r="A510" i="5"/>
  <c r="J509" i="5"/>
  <c r="I509" i="5"/>
  <c r="H509" i="5"/>
  <c r="G509" i="5"/>
  <c r="F509" i="5"/>
  <c r="E509" i="5"/>
  <c r="S509" i="5" s="1"/>
  <c r="D509" i="5"/>
  <c r="C509" i="5"/>
  <c r="B509" i="5"/>
  <c r="A509" i="5"/>
  <c r="J508" i="5"/>
  <c r="I508" i="5"/>
  <c r="H508" i="5"/>
  <c r="G508" i="5"/>
  <c r="F508" i="5"/>
  <c r="E508" i="5"/>
  <c r="S508" i="5" s="1"/>
  <c r="D508" i="5"/>
  <c r="C508" i="5"/>
  <c r="B508" i="5"/>
  <c r="A508" i="5"/>
  <c r="J507" i="5"/>
  <c r="I507" i="5"/>
  <c r="H507" i="5"/>
  <c r="G507" i="5"/>
  <c r="F507" i="5"/>
  <c r="E507" i="5"/>
  <c r="S507" i="5" s="1"/>
  <c r="D507" i="5"/>
  <c r="C507" i="5"/>
  <c r="B507" i="5"/>
  <c r="A507" i="5"/>
  <c r="J506" i="5"/>
  <c r="I506" i="5"/>
  <c r="H506" i="5"/>
  <c r="G506" i="5"/>
  <c r="F506" i="5"/>
  <c r="E506" i="5"/>
  <c r="D506" i="5"/>
  <c r="C506" i="5"/>
  <c r="B506" i="5"/>
  <c r="A506" i="5"/>
  <c r="J505" i="5"/>
  <c r="I505" i="5"/>
  <c r="R505" i="5" s="1"/>
  <c r="H505" i="5"/>
  <c r="G505" i="5"/>
  <c r="F505" i="5"/>
  <c r="E505" i="5"/>
  <c r="D505" i="5"/>
  <c r="C505" i="5"/>
  <c r="B505" i="5"/>
  <c r="A505" i="5"/>
  <c r="R504" i="5"/>
  <c r="J504" i="5"/>
  <c r="I504" i="5"/>
  <c r="D504" i="5" s="1"/>
  <c r="H504" i="5"/>
  <c r="G504" i="5"/>
  <c r="F504" i="5"/>
  <c r="E504" i="5"/>
  <c r="C504" i="5"/>
  <c r="B504" i="5"/>
  <c r="A504" i="5"/>
  <c r="J503" i="5"/>
  <c r="R503" i="5" s="1"/>
  <c r="I503" i="5"/>
  <c r="H503" i="5"/>
  <c r="G503" i="5"/>
  <c r="F503" i="5"/>
  <c r="E503" i="5"/>
  <c r="D503" i="5" s="1"/>
  <c r="C503" i="5"/>
  <c r="B503" i="5"/>
  <c r="A503" i="5"/>
  <c r="N502" i="5"/>
  <c r="M502" i="5"/>
  <c r="J502" i="5"/>
  <c r="I502" i="5"/>
  <c r="H502" i="5"/>
  <c r="D502" i="5" s="1"/>
  <c r="G502" i="5"/>
  <c r="F502" i="5"/>
  <c r="E502" i="5"/>
  <c r="C502" i="5"/>
  <c r="B502" i="5"/>
  <c r="A502" i="5"/>
  <c r="S501" i="5"/>
  <c r="P501" i="5"/>
  <c r="N501" i="5"/>
  <c r="M501" i="5"/>
  <c r="J501" i="5"/>
  <c r="I501" i="5"/>
  <c r="H501" i="5"/>
  <c r="G501" i="5"/>
  <c r="F501" i="5"/>
  <c r="E501" i="5"/>
  <c r="R501" i="5" s="1"/>
  <c r="D501" i="5"/>
  <c r="C501" i="5"/>
  <c r="B501" i="5"/>
  <c r="A501" i="5"/>
  <c r="P500" i="5"/>
  <c r="N500" i="5"/>
  <c r="M500" i="5"/>
  <c r="J500" i="5"/>
  <c r="I500" i="5"/>
  <c r="H500" i="5"/>
  <c r="G500" i="5"/>
  <c r="F500" i="5"/>
  <c r="E500" i="5"/>
  <c r="C500" i="5"/>
  <c r="B500" i="5"/>
  <c r="A500" i="5"/>
  <c r="K499" i="5"/>
  <c r="J499" i="5"/>
  <c r="I499" i="5"/>
  <c r="H499" i="5"/>
  <c r="G499" i="5"/>
  <c r="F499" i="5"/>
  <c r="D499" i="5" s="1"/>
  <c r="E499" i="5"/>
  <c r="C499" i="5"/>
  <c r="B499" i="5"/>
  <c r="A499" i="5"/>
  <c r="K498" i="5"/>
  <c r="J498" i="5"/>
  <c r="I498" i="5"/>
  <c r="H498" i="5"/>
  <c r="G498" i="5"/>
  <c r="D498" i="5" s="1"/>
  <c r="F498" i="5"/>
  <c r="E498" i="5"/>
  <c r="C498" i="5"/>
  <c r="B498" i="5"/>
  <c r="A498" i="5"/>
  <c r="K497" i="5"/>
  <c r="J497" i="5"/>
  <c r="I497" i="5"/>
  <c r="H497" i="5"/>
  <c r="G497" i="5"/>
  <c r="F497" i="5"/>
  <c r="E497" i="5"/>
  <c r="D497" i="5" s="1"/>
  <c r="C497" i="5"/>
  <c r="B497" i="5"/>
  <c r="A497" i="5"/>
  <c r="O496" i="5"/>
  <c r="J496" i="5"/>
  <c r="I496" i="5"/>
  <c r="D496" i="5" s="1"/>
  <c r="H496" i="5"/>
  <c r="G496" i="5"/>
  <c r="F496" i="5"/>
  <c r="E496" i="5"/>
  <c r="S496" i="5" s="1"/>
  <c r="C496" i="5"/>
  <c r="B496" i="5"/>
  <c r="A496" i="5"/>
  <c r="O495" i="5"/>
  <c r="J495" i="5"/>
  <c r="I495" i="5"/>
  <c r="H495" i="5"/>
  <c r="G495" i="5"/>
  <c r="F495" i="5"/>
  <c r="E495" i="5"/>
  <c r="D495" i="5" s="1"/>
  <c r="C495" i="5"/>
  <c r="B495" i="5"/>
  <c r="A495" i="5"/>
  <c r="J494" i="5"/>
  <c r="R494" i="5" s="1"/>
  <c r="I494" i="5"/>
  <c r="H494" i="5"/>
  <c r="G494" i="5"/>
  <c r="F494" i="5"/>
  <c r="E494" i="5"/>
  <c r="D494" i="5" s="1"/>
  <c r="C494" i="5"/>
  <c r="B494" i="5"/>
  <c r="A494" i="5"/>
  <c r="K493" i="5"/>
  <c r="R493" i="5" s="1"/>
  <c r="J493" i="5"/>
  <c r="I493" i="5"/>
  <c r="H493" i="5"/>
  <c r="G493" i="5"/>
  <c r="F493" i="5"/>
  <c r="E493" i="5"/>
  <c r="D493" i="5" s="1"/>
  <c r="C493" i="5"/>
  <c r="B493" i="5"/>
  <c r="A493" i="5"/>
  <c r="S492" i="5"/>
  <c r="R492" i="5"/>
  <c r="O492" i="5"/>
  <c r="K492" i="5"/>
  <c r="J492" i="5"/>
  <c r="I492" i="5"/>
  <c r="H492" i="5"/>
  <c r="G492" i="5"/>
  <c r="D492" i="5" s="1"/>
  <c r="F492" i="5"/>
  <c r="E492" i="5"/>
  <c r="C492" i="5"/>
  <c r="B492" i="5"/>
  <c r="A492" i="5"/>
  <c r="O491" i="5"/>
  <c r="J491" i="5"/>
  <c r="I491" i="5"/>
  <c r="H491" i="5"/>
  <c r="G491" i="5"/>
  <c r="F491" i="5"/>
  <c r="E491" i="5"/>
  <c r="D491" i="5" s="1"/>
  <c r="C491" i="5"/>
  <c r="B491" i="5"/>
  <c r="A491" i="5"/>
  <c r="O490" i="5"/>
  <c r="J490" i="5"/>
  <c r="R490" i="5" s="1"/>
  <c r="I490" i="5"/>
  <c r="H490" i="5"/>
  <c r="G490" i="5"/>
  <c r="F490" i="5"/>
  <c r="E490" i="5"/>
  <c r="C490" i="5"/>
  <c r="B490" i="5"/>
  <c r="A490" i="5"/>
  <c r="O489" i="5"/>
  <c r="K489" i="5"/>
  <c r="J489" i="5"/>
  <c r="I489" i="5"/>
  <c r="H489" i="5"/>
  <c r="G489" i="5"/>
  <c r="F489" i="5"/>
  <c r="E489" i="5"/>
  <c r="C489" i="5"/>
  <c r="B489" i="5"/>
  <c r="A489" i="5"/>
  <c r="S488" i="5"/>
  <c r="R488" i="5"/>
  <c r="K488" i="5"/>
  <c r="J488" i="5"/>
  <c r="I488" i="5"/>
  <c r="H488" i="5"/>
  <c r="G488" i="5"/>
  <c r="F488" i="5"/>
  <c r="E488" i="5"/>
  <c r="C488" i="5"/>
  <c r="B488" i="5"/>
  <c r="A488" i="5"/>
  <c r="S487" i="5"/>
  <c r="R487" i="5"/>
  <c r="J487" i="5"/>
  <c r="I487" i="5"/>
  <c r="H487" i="5"/>
  <c r="G487" i="5"/>
  <c r="F487" i="5"/>
  <c r="E487" i="5"/>
  <c r="C487" i="5"/>
  <c r="B487" i="5"/>
  <c r="A487" i="5"/>
  <c r="O486" i="5"/>
  <c r="K486" i="5"/>
  <c r="J486" i="5"/>
  <c r="I486" i="5"/>
  <c r="H486" i="5"/>
  <c r="G486" i="5"/>
  <c r="F486" i="5"/>
  <c r="E486" i="5"/>
  <c r="C486" i="5"/>
  <c r="B486" i="5"/>
  <c r="A486" i="5"/>
  <c r="S485" i="5"/>
  <c r="L485" i="5"/>
  <c r="J485" i="5"/>
  <c r="I485" i="5"/>
  <c r="H485" i="5"/>
  <c r="G485" i="5"/>
  <c r="F485" i="5"/>
  <c r="E485" i="5"/>
  <c r="R485" i="5" s="1"/>
  <c r="D485" i="5"/>
  <c r="C485" i="5"/>
  <c r="B485" i="5"/>
  <c r="A485" i="5"/>
  <c r="K484" i="5"/>
  <c r="J484" i="5"/>
  <c r="I484" i="5"/>
  <c r="H484" i="5"/>
  <c r="G484" i="5"/>
  <c r="F484" i="5"/>
  <c r="E484" i="5"/>
  <c r="S484" i="5" s="1"/>
  <c r="D484" i="5"/>
  <c r="C484" i="5"/>
  <c r="B484" i="5"/>
  <c r="A484" i="5"/>
  <c r="O483" i="5"/>
  <c r="L483" i="5"/>
  <c r="K483" i="5"/>
  <c r="J483" i="5"/>
  <c r="I483" i="5"/>
  <c r="H483" i="5"/>
  <c r="G483" i="5"/>
  <c r="F483" i="5"/>
  <c r="E483" i="5"/>
  <c r="C483" i="5"/>
  <c r="B483" i="5"/>
  <c r="A483" i="5"/>
  <c r="J482" i="5"/>
  <c r="I482" i="5"/>
  <c r="H482" i="5"/>
  <c r="G482" i="5"/>
  <c r="F482" i="5"/>
  <c r="E482" i="5"/>
  <c r="D482" i="5"/>
  <c r="C482" i="5"/>
  <c r="B482" i="5"/>
  <c r="A482" i="5"/>
  <c r="J481" i="5"/>
  <c r="I481" i="5"/>
  <c r="H481" i="5"/>
  <c r="G481" i="5"/>
  <c r="F481" i="5"/>
  <c r="E481" i="5"/>
  <c r="D481" i="5"/>
  <c r="C481" i="5"/>
  <c r="B481" i="5"/>
  <c r="A481" i="5"/>
  <c r="J480" i="5"/>
  <c r="I480" i="5"/>
  <c r="H480" i="5"/>
  <c r="G480" i="5"/>
  <c r="D480" i="5" s="1"/>
  <c r="F480" i="5"/>
  <c r="E480" i="5"/>
  <c r="C480" i="5"/>
  <c r="B480" i="5"/>
  <c r="A480" i="5"/>
  <c r="J479" i="5"/>
  <c r="I479" i="5"/>
  <c r="H479" i="5"/>
  <c r="G479" i="5"/>
  <c r="F479" i="5"/>
  <c r="E479" i="5"/>
  <c r="C479" i="5"/>
  <c r="B479" i="5"/>
  <c r="A479" i="5"/>
  <c r="J478" i="5"/>
  <c r="I478" i="5"/>
  <c r="H478" i="5"/>
  <c r="G478" i="5"/>
  <c r="D478" i="5" s="1"/>
  <c r="F478" i="5"/>
  <c r="E478" i="5"/>
  <c r="C478" i="5"/>
  <c r="B478" i="5"/>
  <c r="A478" i="5"/>
  <c r="J477" i="5"/>
  <c r="I477" i="5"/>
  <c r="H477" i="5"/>
  <c r="G477" i="5"/>
  <c r="F477" i="5"/>
  <c r="E477" i="5"/>
  <c r="D477" i="5" s="1"/>
  <c r="C477" i="5"/>
  <c r="B477" i="5"/>
  <c r="A477" i="5"/>
  <c r="J476" i="5"/>
  <c r="I476" i="5"/>
  <c r="H476" i="5"/>
  <c r="G476" i="5"/>
  <c r="F476" i="5"/>
  <c r="E476" i="5"/>
  <c r="C476" i="5"/>
  <c r="B476" i="5"/>
  <c r="A476" i="5"/>
  <c r="J475" i="5"/>
  <c r="I475" i="5"/>
  <c r="H475" i="5"/>
  <c r="G475" i="5"/>
  <c r="F475" i="5"/>
  <c r="E475" i="5"/>
  <c r="S475" i="5" s="1"/>
  <c r="D475" i="5"/>
  <c r="C475" i="5"/>
  <c r="B475" i="5"/>
  <c r="A475" i="5"/>
  <c r="J474" i="5"/>
  <c r="I474" i="5"/>
  <c r="H474" i="5"/>
  <c r="G474" i="5"/>
  <c r="F474" i="5"/>
  <c r="E474" i="5"/>
  <c r="S474" i="5" s="1"/>
  <c r="D474" i="5"/>
  <c r="C474" i="5"/>
  <c r="B474" i="5"/>
  <c r="A474" i="5"/>
  <c r="R473" i="5"/>
  <c r="J473" i="5"/>
  <c r="I473" i="5"/>
  <c r="H473" i="5"/>
  <c r="G473" i="5"/>
  <c r="F473" i="5"/>
  <c r="E473" i="5"/>
  <c r="S473" i="5" s="1"/>
  <c r="D473" i="5"/>
  <c r="C473" i="5"/>
  <c r="B473" i="5"/>
  <c r="A473" i="5"/>
  <c r="J472" i="5"/>
  <c r="D472" i="5" s="1"/>
  <c r="I472" i="5"/>
  <c r="H472" i="5"/>
  <c r="G472" i="5"/>
  <c r="F472" i="5"/>
  <c r="E472" i="5"/>
  <c r="C472" i="5"/>
  <c r="B472" i="5"/>
  <c r="A472" i="5"/>
  <c r="J471" i="5"/>
  <c r="I471" i="5"/>
  <c r="H471" i="5"/>
  <c r="R471" i="5" s="1"/>
  <c r="G471" i="5"/>
  <c r="F471" i="5"/>
  <c r="E471" i="5"/>
  <c r="C471" i="5"/>
  <c r="B471" i="5"/>
  <c r="A471" i="5"/>
  <c r="R470" i="5"/>
  <c r="J470" i="5"/>
  <c r="I470" i="5"/>
  <c r="H470" i="5"/>
  <c r="G470" i="5"/>
  <c r="D470" i="5" s="1"/>
  <c r="F470" i="5"/>
  <c r="E470" i="5"/>
  <c r="C470" i="5"/>
  <c r="B470" i="5"/>
  <c r="A470" i="5"/>
  <c r="J469" i="5"/>
  <c r="R469" i="5" s="1"/>
  <c r="I469" i="5"/>
  <c r="H469" i="5"/>
  <c r="G469" i="5"/>
  <c r="F469" i="5"/>
  <c r="E469" i="5"/>
  <c r="C469" i="5"/>
  <c r="B469" i="5"/>
  <c r="A469" i="5"/>
  <c r="J468" i="5"/>
  <c r="I468" i="5"/>
  <c r="R468" i="5" s="1"/>
  <c r="H468" i="5"/>
  <c r="G468" i="5"/>
  <c r="F468" i="5"/>
  <c r="E468" i="5"/>
  <c r="C468" i="5"/>
  <c r="B468" i="5"/>
  <c r="A468" i="5"/>
  <c r="J467" i="5"/>
  <c r="I467" i="5"/>
  <c r="H467" i="5"/>
  <c r="G467" i="5"/>
  <c r="F467" i="5"/>
  <c r="E467" i="5"/>
  <c r="D467" i="5" s="1"/>
  <c r="C467" i="5"/>
  <c r="B467" i="5"/>
  <c r="A467" i="5"/>
  <c r="J466" i="5"/>
  <c r="I466" i="5"/>
  <c r="H466" i="5"/>
  <c r="G466" i="5"/>
  <c r="F466" i="5"/>
  <c r="E466" i="5"/>
  <c r="C466" i="5"/>
  <c r="B466" i="5"/>
  <c r="A466" i="5"/>
  <c r="N465" i="5"/>
  <c r="M465" i="5"/>
  <c r="J465" i="5"/>
  <c r="I465" i="5"/>
  <c r="H465" i="5"/>
  <c r="G465" i="5"/>
  <c r="F465" i="5"/>
  <c r="E465" i="5"/>
  <c r="C465" i="5"/>
  <c r="B465" i="5"/>
  <c r="A465" i="5"/>
  <c r="P464" i="5"/>
  <c r="N464" i="5"/>
  <c r="M464" i="5"/>
  <c r="J464" i="5"/>
  <c r="I464" i="5"/>
  <c r="H464" i="5"/>
  <c r="S464" i="5" s="1"/>
  <c r="G464" i="5"/>
  <c r="F464" i="5"/>
  <c r="E464" i="5"/>
  <c r="C464" i="5"/>
  <c r="B464" i="5"/>
  <c r="A464" i="5"/>
  <c r="S463" i="5"/>
  <c r="R463" i="5"/>
  <c r="P463" i="5"/>
  <c r="N463" i="5"/>
  <c r="M463" i="5"/>
  <c r="J463" i="5"/>
  <c r="I463" i="5"/>
  <c r="H463" i="5"/>
  <c r="G463" i="5"/>
  <c r="F463" i="5"/>
  <c r="E463" i="5"/>
  <c r="D463" i="5" s="1"/>
  <c r="C463" i="5"/>
  <c r="B463" i="5"/>
  <c r="A463" i="5"/>
  <c r="K462" i="5"/>
  <c r="J462" i="5"/>
  <c r="I462" i="5"/>
  <c r="H462" i="5"/>
  <c r="G462" i="5"/>
  <c r="F462" i="5"/>
  <c r="E462" i="5"/>
  <c r="S462" i="5" s="1"/>
  <c r="D462" i="5"/>
  <c r="C462" i="5"/>
  <c r="B462" i="5"/>
  <c r="A462" i="5"/>
  <c r="K461" i="5"/>
  <c r="J461" i="5"/>
  <c r="I461" i="5"/>
  <c r="H461" i="5"/>
  <c r="G461" i="5"/>
  <c r="F461" i="5"/>
  <c r="E461" i="5"/>
  <c r="S461" i="5" s="1"/>
  <c r="D461" i="5"/>
  <c r="C461" i="5"/>
  <c r="B461" i="5"/>
  <c r="A461" i="5"/>
  <c r="K460" i="5"/>
  <c r="J460" i="5"/>
  <c r="I460" i="5"/>
  <c r="H460" i="5"/>
  <c r="G460" i="5"/>
  <c r="F460" i="5"/>
  <c r="E460" i="5"/>
  <c r="C460" i="5"/>
  <c r="B460" i="5"/>
  <c r="A460" i="5"/>
  <c r="O459" i="5"/>
  <c r="J459" i="5"/>
  <c r="I459" i="5"/>
  <c r="H459" i="5"/>
  <c r="G459" i="5"/>
  <c r="F459" i="5"/>
  <c r="E459" i="5"/>
  <c r="C459" i="5"/>
  <c r="B459" i="5"/>
  <c r="A459" i="5"/>
  <c r="O458" i="5"/>
  <c r="J458" i="5"/>
  <c r="I458" i="5"/>
  <c r="H458" i="5"/>
  <c r="G458" i="5"/>
  <c r="F458" i="5"/>
  <c r="E458" i="5"/>
  <c r="C458" i="5"/>
  <c r="B458" i="5"/>
  <c r="A458" i="5"/>
  <c r="J457" i="5"/>
  <c r="I457" i="5"/>
  <c r="H457" i="5"/>
  <c r="G457" i="5"/>
  <c r="F457" i="5"/>
  <c r="E457" i="5"/>
  <c r="C457" i="5"/>
  <c r="B457" i="5"/>
  <c r="A457" i="5"/>
  <c r="K456" i="5"/>
  <c r="J456" i="5"/>
  <c r="I456" i="5"/>
  <c r="H456" i="5"/>
  <c r="G456" i="5"/>
  <c r="F456" i="5"/>
  <c r="E456" i="5"/>
  <c r="D456" i="5" s="1"/>
  <c r="C456" i="5"/>
  <c r="B456" i="5"/>
  <c r="A456" i="5"/>
  <c r="O455" i="5"/>
  <c r="K455" i="5"/>
  <c r="J455" i="5"/>
  <c r="I455" i="5"/>
  <c r="H455" i="5"/>
  <c r="G455" i="5"/>
  <c r="F455" i="5"/>
  <c r="E455" i="5"/>
  <c r="C455" i="5"/>
  <c r="B455" i="5"/>
  <c r="A455" i="5"/>
  <c r="O454" i="5"/>
  <c r="J454" i="5"/>
  <c r="I454" i="5"/>
  <c r="H454" i="5"/>
  <c r="G454" i="5"/>
  <c r="F454" i="5"/>
  <c r="S454" i="5" s="1"/>
  <c r="E454" i="5"/>
  <c r="C454" i="5"/>
  <c r="B454" i="5"/>
  <c r="A454" i="5"/>
  <c r="O453" i="5"/>
  <c r="J453" i="5"/>
  <c r="I453" i="5"/>
  <c r="R453" i="5" s="1"/>
  <c r="H453" i="5"/>
  <c r="G453" i="5"/>
  <c r="F453" i="5"/>
  <c r="E453" i="5"/>
  <c r="C453" i="5"/>
  <c r="B453" i="5"/>
  <c r="A453" i="5"/>
  <c r="O452" i="5"/>
  <c r="K452" i="5"/>
  <c r="J452" i="5"/>
  <c r="I452" i="5"/>
  <c r="H452" i="5"/>
  <c r="G452" i="5"/>
  <c r="D452" i="5" s="1"/>
  <c r="F452" i="5"/>
  <c r="E452" i="5"/>
  <c r="C452" i="5"/>
  <c r="B452" i="5"/>
  <c r="A452" i="5"/>
  <c r="S451" i="5"/>
  <c r="R451" i="5"/>
  <c r="K451" i="5"/>
  <c r="J451" i="5"/>
  <c r="I451" i="5"/>
  <c r="H451" i="5"/>
  <c r="G451" i="5"/>
  <c r="F451" i="5"/>
  <c r="E451" i="5"/>
  <c r="D451" i="5"/>
  <c r="C451" i="5"/>
  <c r="B451" i="5"/>
  <c r="A451" i="5"/>
  <c r="S450" i="5"/>
  <c r="J450" i="5"/>
  <c r="I450" i="5"/>
  <c r="H450" i="5"/>
  <c r="R450" i="5" s="1"/>
  <c r="G450" i="5"/>
  <c r="F450" i="5"/>
  <c r="E450" i="5"/>
  <c r="D450" i="5"/>
  <c r="C450" i="5"/>
  <c r="B450" i="5"/>
  <c r="A450" i="5"/>
  <c r="S449" i="5"/>
  <c r="O449" i="5"/>
  <c r="K449" i="5"/>
  <c r="J449" i="5"/>
  <c r="I449" i="5"/>
  <c r="H449" i="5"/>
  <c r="G449" i="5"/>
  <c r="F449" i="5"/>
  <c r="E449" i="5"/>
  <c r="R449" i="5" s="1"/>
  <c r="C449" i="5"/>
  <c r="B449" i="5"/>
  <c r="A449" i="5"/>
  <c r="L448" i="5"/>
  <c r="J448" i="5"/>
  <c r="I448" i="5"/>
  <c r="H448" i="5"/>
  <c r="G448" i="5"/>
  <c r="F448" i="5"/>
  <c r="E448" i="5"/>
  <c r="R448" i="5" s="1"/>
  <c r="C448" i="5"/>
  <c r="B448" i="5"/>
  <c r="A448" i="5"/>
  <c r="K447" i="5"/>
  <c r="J447" i="5"/>
  <c r="I447" i="5"/>
  <c r="H447" i="5"/>
  <c r="G447" i="5"/>
  <c r="F447" i="5"/>
  <c r="E447" i="5"/>
  <c r="S447" i="5" s="1"/>
  <c r="C447" i="5"/>
  <c r="B447" i="5"/>
  <c r="A447" i="5"/>
  <c r="O446" i="5"/>
  <c r="L446" i="5"/>
  <c r="K446" i="5"/>
  <c r="J446" i="5"/>
  <c r="I446" i="5"/>
  <c r="H446" i="5"/>
  <c r="G446" i="5"/>
  <c r="F446" i="5"/>
  <c r="E446" i="5"/>
  <c r="C446" i="5"/>
  <c r="B446" i="5"/>
  <c r="A446" i="5"/>
  <c r="J445" i="5"/>
  <c r="I445" i="5"/>
  <c r="H445" i="5"/>
  <c r="G445" i="5"/>
  <c r="F445" i="5"/>
  <c r="E445" i="5"/>
  <c r="D445" i="5" s="1"/>
  <c r="C445" i="5"/>
  <c r="B445" i="5"/>
  <c r="A445" i="5"/>
  <c r="J444" i="5"/>
  <c r="I444" i="5"/>
  <c r="H444" i="5"/>
  <c r="G444" i="5"/>
  <c r="F444" i="5"/>
  <c r="E444" i="5"/>
  <c r="C444" i="5"/>
  <c r="B444" i="5"/>
  <c r="A444" i="5"/>
  <c r="J443" i="5"/>
  <c r="I443" i="5"/>
  <c r="H443" i="5"/>
  <c r="G443" i="5"/>
  <c r="F443" i="5"/>
  <c r="E443" i="5"/>
  <c r="D443" i="5" s="1"/>
  <c r="C443" i="5"/>
  <c r="B443" i="5"/>
  <c r="A443" i="5"/>
  <c r="J442" i="5"/>
  <c r="I442" i="5"/>
  <c r="S442" i="5" s="1"/>
  <c r="H442" i="5"/>
  <c r="G442" i="5"/>
  <c r="F442" i="5"/>
  <c r="E442" i="5"/>
  <c r="C442" i="5"/>
  <c r="B442" i="5"/>
  <c r="A442" i="5"/>
  <c r="S441" i="5"/>
  <c r="J441" i="5"/>
  <c r="I441" i="5"/>
  <c r="R441" i="5" s="1"/>
  <c r="H441" i="5"/>
  <c r="G441" i="5"/>
  <c r="F441" i="5"/>
  <c r="E441" i="5"/>
  <c r="C441" i="5"/>
  <c r="B441" i="5"/>
  <c r="A441" i="5"/>
  <c r="S440" i="5"/>
  <c r="R440" i="5"/>
  <c r="J440" i="5"/>
  <c r="I440" i="5"/>
  <c r="H440" i="5"/>
  <c r="G440" i="5"/>
  <c r="F440" i="5"/>
  <c r="E440" i="5"/>
  <c r="C440" i="5"/>
  <c r="B440" i="5"/>
  <c r="A440" i="5"/>
  <c r="J439" i="5"/>
  <c r="R439" i="5" s="1"/>
  <c r="I439" i="5"/>
  <c r="H439" i="5"/>
  <c r="G439" i="5"/>
  <c r="F439" i="5"/>
  <c r="E439" i="5"/>
  <c r="C439" i="5"/>
  <c r="B439" i="5"/>
  <c r="A439" i="5"/>
  <c r="J438" i="5"/>
  <c r="I438" i="5"/>
  <c r="S438" i="5" s="1"/>
  <c r="H438" i="5"/>
  <c r="G438" i="5"/>
  <c r="F438" i="5"/>
  <c r="R438" i="5" s="1"/>
  <c r="E438" i="5"/>
  <c r="C438" i="5"/>
  <c r="B438" i="5"/>
  <c r="A438" i="5"/>
  <c r="J437" i="5"/>
  <c r="I437" i="5"/>
  <c r="H437" i="5"/>
  <c r="R437" i="5" s="1"/>
  <c r="G437" i="5"/>
  <c r="F437" i="5"/>
  <c r="E437" i="5"/>
  <c r="S437" i="5" s="1"/>
  <c r="C437" i="5"/>
  <c r="B437" i="5"/>
  <c r="A437" i="5"/>
  <c r="J436" i="5"/>
  <c r="I436" i="5"/>
  <c r="H436" i="5"/>
  <c r="G436" i="5"/>
  <c r="F436" i="5"/>
  <c r="E436" i="5"/>
  <c r="C436" i="5"/>
  <c r="B436" i="5"/>
  <c r="A436" i="5"/>
  <c r="J435" i="5"/>
  <c r="I435" i="5"/>
  <c r="H435" i="5"/>
  <c r="G435" i="5"/>
  <c r="F435" i="5"/>
  <c r="E435" i="5"/>
  <c r="S435" i="5" s="1"/>
  <c r="C435" i="5"/>
  <c r="B435" i="5"/>
  <c r="A435" i="5"/>
  <c r="J434" i="5"/>
  <c r="I434" i="5"/>
  <c r="H434" i="5"/>
  <c r="G434" i="5"/>
  <c r="F434" i="5"/>
  <c r="E434" i="5"/>
  <c r="C434" i="5"/>
  <c r="B434" i="5"/>
  <c r="A434" i="5"/>
  <c r="J433" i="5"/>
  <c r="I433" i="5"/>
  <c r="H433" i="5"/>
  <c r="G433" i="5"/>
  <c r="F433" i="5"/>
  <c r="E433" i="5"/>
  <c r="C433" i="5"/>
  <c r="B433" i="5"/>
  <c r="A433" i="5"/>
  <c r="J432" i="5"/>
  <c r="I432" i="5"/>
  <c r="H432" i="5"/>
  <c r="G432" i="5"/>
  <c r="F432" i="5"/>
  <c r="E432" i="5"/>
  <c r="C432" i="5"/>
  <c r="B432" i="5"/>
  <c r="A432" i="5"/>
  <c r="J431" i="5"/>
  <c r="I431" i="5"/>
  <c r="H431" i="5"/>
  <c r="G431" i="5"/>
  <c r="F431" i="5"/>
  <c r="E431" i="5"/>
  <c r="D431" i="5" s="1"/>
  <c r="C431" i="5"/>
  <c r="B431" i="5"/>
  <c r="A431" i="5"/>
  <c r="J430" i="5"/>
  <c r="I430" i="5"/>
  <c r="S430" i="5" s="1"/>
  <c r="H430" i="5"/>
  <c r="G430" i="5"/>
  <c r="F430" i="5"/>
  <c r="E430" i="5"/>
  <c r="C430" i="5"/>
  <c r="B430" i="5"/>
  <c r="A430" i="5"/>
  <c r="S429" i="5"/>
  <c r="J429" i="5"/>
  <c r="I429" i="5"/>
  <c r="R429" i="5" s="1"/>
  <c r="H429" i="5"/>
  <c r="G429" i="5"/>
  <c r="F429" i="5"/>
  <c r="E429" i="5"/>
  <c r="C429" i="5"/>
  <c r="B429" i="5"/>
  <c r="A429" i="5"/>
  <c r="S428" i="5"/>
  <c r="R428" i="5"/>
  <c r="N428" i="5"/>
  <c r="M428" i="5"/>
  <c r="J428" i="5"/>
  <c r="I428" i="5"/>
  <c r="H428" i="5"/>
  <c r="G428" i="5"/>
  <c r="F428" i="5"/>
  <c r="E428" i="5"/>
  <c r="D428" i="5"/>
  <c r="C428" i="5"/>
  <c r="B428" i="5"/>
  <c r="A428" i="5"/>
  <c r="P427" i="5"/>
  <c r="N427" i="5"/>
  <c r="M427" i="5"/>
  <c r="J427" i="5"/>
  <c r="I427" i="5"/>
  <c r="H427" i="5"/>
  <c r="G427" i="5"/>
  <c r="F427" i="5"/>
  <c r="E427" i="5"/>
  <c r="D427" i="5" s="1"/>
  <c r="C427" i="5"/>
  <c r="B427" i="5"/>
  <c r="A427" i="5"/>
  <c r="P426" i="5"/>
  <c r="N426" i="5"/>
  <c r="M426" i="5"/>
  <c r="J426" i="5"/>
  <c r="I426" i="5"/>
  <c r="H426" i="5"/>
  <c r="G426" i="5"/>
  <c r="D426" i="5" s="1"/>
  <c r="F426" i="5"/>
  <c r="E426" i="5"/>
  <c r="C426" i="5"/>
  <c r="B426" i="5"/>
  <c r="A426" i="5"/>
  <c r="K425" i="5"/>
  <c r="J425" i="5"/>
  <c r="I425" i="5"/>
  <c r="H425" i="5"/>
  <c r="G425" i="5"/>
  <c r="D425" i="5" s="1"/>
  <c r="F425" i="5"/>
  <c r="E425" i="5"/>
  <c r="R425" i="5" s="1"/>
  <c r="C425" i="5"/>
  <c r="B425" i="5"/>
  <c r="A425" i="5"/>
  <c r="K424" i="5"/>
  <c r="J424" i="5"/>
  <c r="I424" i="5"/>
  <c r="H424" i="5"/>
  <c r="G424" i="5"/>
  <c r="F424" i="5"/>
  <c r="E424" i="5"/>
  <c r="D424" i="5" s="1"/>
  <c r="C424" i="5"/>
  <c r="B424" i="5"/>
  <c r="A424" i="5"/>
  <c r="K423" i="5"/>
  <c r="J423" i="5"/>
  <c r="I423" i="5"/>
  <c r="R423" i="5" s="1"/>
  <c r="H423" i="5"/>
  <c r="G423" i="5"/>
  <c r="F423" i="5"/>
  <c r="E423" i="5"/>
  <c r="C423" i="5"/>
  <c r="B423" i="5"/>
  <c r="A423" i="5"/>
  <c r="O422" i="5"/>
  <c r="J422" i="5"/>
  <c r="I422" i="5"/>
  <c r="H422" i="5"/>
  <c r="G422" i="5"/>
  <c r="F422" i="5"/>
  <c r="E422" i="5"/>
  <c r="C422" i="5"/>
  <c r="B422" i="5"/>
  <c r="A422" i="5"/>
  <c r="O421" i="5"/>
  <c r="J421" i="5"/>
  <c r="I421" i="5"/>
  <c r="H421" i="5"/>
  <c r="G421" i="5"/>
  <c r="F421" i="5"/>
  <c r="E421" i="5"/>
  <c r="C421" i="5"/>
  <c r="B421" i="5"/>
  <c r="A421" i="5"/>
  <c r="J420" i="5"/>
  <c r="S420" i="5" s="1"/>
  <c r="I420" i="5"/>
  <c r="H420" i="5"/>
  <c r="G420" i="5"/>
  <c r="F420" i="5"/>
  <c r="D420" i="5" s="1"/>
  <c r="E420" i="5"/>
  <c r="C420" i="5"/>
  <c r="B420" i="5"/>
  <c r="A420" i="5"/>
  <c r="K419" i="5"/>
  <c r="S419" i="5" s="1"/>
  <c r="J419" i="5"/>
  <c r="I419" i="5"/>
  <c r="H419" i="5"/>
  <c r="G419" i="5"/>
  <c r="D419" i="5" s="1"/>
  <c r="F419" i="5"/>
  <c r="E419" i="5"/>
  <c r="C419" i="5"/>
  <c r="B419" i="5"/>
  <c r="A419" i="5"/>
  <c r="S418" i="5"/>
  <c r="R418" i="5"/>
  <c r="O418" i="5"/>
  <c r="K418" i="5"/>
  <c r="J418" i="5"/>
  <c r="I418" i="5"/>
  <c r="H418" i="5"/>
  <c r="G418" i="5"/>
  <c r="F418" i="5"/>
  <c r="E418" i="5"/>
  <c r="D418" i="5"/>
  <c r="C418" i="5"/>
  <c r="B418" i="5"/>
  <c r="A418" i="5"/>
  <c r="O417" i="5"/>
  <c r="J417" i="5"/>
  <c r="I417" i="5"/>
  <c r="H417" i="5"/>
  <c r="G417" i="5"/>
  <c r="F417" i="5"/>
  <c r="E417" i="5"/>
  <c r="S417" i="5" s="1"/>
  <c r="C417" i="5"/>
  <c r="B417" i="5"/>
  <c r="A417" i="5"/>
  <c r="O416" i="5"/>
  <c r="J416" i="5"/>
  <c r="I416" i="5"/>
  <c r="H416" i="5"/>
  <c r="G416" i="5"/>
  <c r="F416" i="5"/>
  <c r="E416" i="5"/>
  <c r="S416" i="5" s="1"/>
  <c r="D416" i="5"/>
  <c r="C416" i="5"/>
  <c r="B416" i="5"/>
  <c r="A416" i="5"/>
  <c r="O415" i="5"/>
  <c r="K415" i="5"/>
  <c r="J415" i="5"/>
  <c r="I415" i="5"/>
  <c r="H415" i="5"/>
  <c r="G415" i="5"/>
  <c r="F415" i="5"/>
  <c r="E415" i="5"/>
  <c r="C415" i="5"/>
  <c r="B415" i="5"/>
  <c r="A415" i="5"/>
  <c r="K414" i="5"/>
  <c r="J414" i="5"/>
  <c r="I414" i="5"/>
  <c r="H414" i="5"/>
  <c r="G414" i="5"/>
  <c r="F414" i="5"/>
  <c r="E414" i="5"/>
  <c r="C414" i="5"/>
  <c r="B414" i="5"/>
  <c r="A414" i="5"/>
  <c r="J413" i="5"/>
  <c r="I413" i="5"/>
  <c r="H413" i="5"/>
  <c r="G413" i="5"/>
  <c r="F413" i="5"/>
  <c r="E413" i="5"/>
  <c r="C413" i="5"/>
  <c r="B413" i="5"/>
  <c r="A413" i="5"/>
  <c r="O412" i="5"/>
  <c r="K412" i="5"/>
  <c r="J412" i="5"/>
  <c r="I412" i="5"/>
  <c r="H412" i="5"/>
  <c r="G412" i="5"/>
  <c r="F412" i="5"/>
  <c r="E412" i="5"/>
  <c r="C412" i="5"/>
  <c r="B412" i="5"/>
  <c r="A412" i="5"/>
  <c r="L411" i="5"/>
  <c r="J411" i="5"/>
  <c r="I411" i="5"/>
  <c r="H411" i="5"/>
  <c r="G411" i="5"/>
  <c r="F411" i="5"/>
  <c r="E411" i="5"/>
  <c r="C411" i="5"/>
  <c r="B411" i="5"/>
  <c r="A411" i="5"/>
  <c r="K410" i="5"/>
  <c r="J410" i="5"/>
  <c r="I410" i="5"/>
  <c r="H410" i="5"/>
  <c r="G410" i="5"/>
  <c r="F410" i="5"/>
  <c r="S410" i="5" s="1"/>
  <c r="E410" i="5"/>
  <c r="C410" i="5"/>
  <c r="B410" i="5"/>
  <c r="A410" i="5"/>
  <c r="O409" i="5"/>
  <c r="L409" i="5"/>
  <c r="K409" i="5"/>
  <c r="J409" i="5"/>
  <c r="I409" i="5"/>
  <c r="H409" i="5"/>
  <c r="G409" i="5"/>
  <c r="D409" i="5" s="1"/>
  <c r="F409" i="5"/>
  <c r="E409" i="5"/>
  <c r="C409" i="5"/>
  <c r="B409" i="5"/>
  <c r="A409" i="5"/>
  <c r="S408" i="5"/>
  <c r="R408" i="5"/>
  <c r="J408" i="5"/>
  <c r="I408" i="5"/>
  <c r="H408" i="5"/>
  <c r="G408" i="5"/>
  <c r="D408" i="5" s="1"/>
  <c r="F408" i="5"/>
  <c r="E408" i="5"/>
  <c r="C408" i="5"/>
  <c r="B408" i="5"/>
  <c r="A408" i="5"/>
  <c r="S407" i="5"/>
  <c r="R407" i="5"/>
  <c r="J407" i="5"/>
  <c r="I407" i="5"/>
  <c r="H407" i="5"/>
  <c r="G407" i="5"/>
  <c r="D407" i="5" s="1"/>
  <c r="F407" i="5"/>
  <c r="E407" i="5"/>
  <c r="C407" i="5"/>
  <c r="B407" i="5"/>
  <c r="A407" i="5"/>
  <c r="S406" i="5"/>
  <c r="R406" i="5"/>
  <c r="J406" i="5"/>
  <c r="I406" i="5"/>
  <c r="H406" i="5"/>
  <c r="G406" i="5"/>
  <c r="D406" i="5" s="1"/>
  <c r="F406" i="5"/>
  <c r="E406" i="5"/>
  <c r="C406" i="5"/>
  <c r="B406" i="5"/>
  <c r="A406" i="5"/>
  <c r="S405" i="5"/>
  <c r="R405" i="5"/>
  <c r="J405" i="5"/>
  <c r="I405" i="5"/>
  <c r="H405" i="5"/>
  <c r="G405" i="5"/>
  <c r="D405" i="5" s="1"/>
  <c r="F405" i="5"/>
  <c r="E405" i="5"/>
  <c r="C405" i="5"/>
  <c r="B405" i="5"/>
  <c r="A405" i="5"/>
  <c r="S404" i="5"/>
  <c r="R404" i="5"/>
  <c r="J404" i="5"/>
  <c r="I404" i="5"/>
  <c r="H404" i="5"/>
  <c r="G404" i="5"/>
  <c r="D404" i="5" s="1"/>
  <c r="F404" i="5"/>
  <c r="E404" i="5"/>
  <c r="C404" i="5"/>
  <c r="B404" i="5"/>
  <c r="A404" i="5"/>
  <c r="S403" i="5"/>
  <c r="R403" i="5"/>
  <c r="J403" i="5"/>
  <c r="I403" i="5"/>
  <c r="H403" i="5"/>
  <c r="G403" i="5"/>
  <c r="D403" i="5" s="1"/>
  <c r="F403" i="5"/>
  <c r="E403" i="5"/>
  <c r="C403" i="5"/>
  <c r="B403" i="5"/>
  <c r="A403" i="5"/>
  <c r="S402" i="5"/>
  <c r="R402" i="5"/>
  <c r="J402" i="5"/>
  <c r="I402" i="5"/>
  <c r="H402" i="5"/>
  <c r="G402" i="5"/>
  <c r="D402" i="5" s="1"/>
  <c r="F402" i="5"/>
  <c r="E402" i="5"/>
  <c r="C402" i="5"/>
  <c r="B402" i="5"/>
  <c r="A402" i="5"/>
  <c r="S401" i="5"/>
  <c r="R401" i="5"/>
  <c r="J401" i="5"/>
  <c r="I401" i="5"/>
  <c r="H401" i="5"/>
  <c r="G401" i="5"/>
  <c r="D401" i="5" s="1"/>
  <c r="F401" i="5"/>
  <c r="E401" i="5"/>
  <c r="C401" i="5"/>
  <c r="B401" i="5"/>
  <c r="A401" i="5"/>
  <c r="S400" i="5"/>
  <c r="R400" i="5"/>
  <c r="J400" i="5"/>
  <c r="I400" i="5"/>
  <c r="H400" i="5"/>
  <c r="G400" i="5"/>
  <c r="D400" i="5" s="1"/>
  <c r="F400" i="5"/>
  <c r="E400" i="5"/>
  <c r="C400" i="5"/>
  <c r="B400" i="5"/>
  <c r="A400" i="5"/>
  <c r="S399" i="5"/>
  <c r="R399" i="5"/>
  <c r="J399" i="5"/>
  <c r="I399" i="5"/>
  <c r="H399" i="5"/>
  <c r="G399" i="5"/>
  <c r="D399" i="5" s="1"/>
  <c r="F399" i="5"/>
  <c r="E399" i="5"/>
  <c r="C399" i="5"/>
  <c r="B399" i="5"/>
  <c r="A399" i="5"/>
  <c r="S398" i="5"/>
  <c r="R398" i="5"/>
  <c r="J398" i="5"/>
  <c r="I398" i="5"/>
  <c r="H398" i="5"/>
  <c r="G398" i="5"/>
  <c r="D398" i="5" s="1"/>
  <c r="F398" i="5"/>
  <c r="E398" i="5"/>
  <c r="C398" i="5"/>
  <c r="B398" i="5"/>
  <c r="A398" i="5"/>
  <c r="S397" i="5"/>
  <c r="R397" i="5"/>
  <c r="J397" i="5"/>
  <c r="I397" i="5"/>
  <c r="H397" i="5"/>
  <c r="G397" i="5"/>
  <c r="D397" i="5" s="1"/>
  <c r="F397" i="5"/>
  <c r="E397" i="5"/>
  <c r="C397" i="5"/>
  <c r="B397" i="5"/>
  <c r="A397" i="5"/>
  <c r="S396" i="5"/>
  <c r="R396" i="5"/>
  <c r="J396" i="5"/>
  <c r="I396" i="5"/>
  <c r="H396" i="5"/>
  <c r="G396" i="5"/>
  <c r="D396" i="5" s="1"/>
  <c r="F396" i="5"/>
  <c r="E396" i="5"/>
  <c r="C396" i="5"/>
  <c r="B396" i="5"/>
  <c r="A396" i="5"/>
  <c r="S395" i="5"/>
  <c r="R395" i="5"/>
  <c r="J395" i="5"/>
  <c r="I395" i="5"/>
  <c r="H395" i="5"/>
  <c r="G395" i="5"/>
  <c r="D395" i="5" s="1"/>
  <c r="F395" i="5"/>
  <c r="E395" i="5"/>
  <c r="C395" i="5"/>
  <c r="B395" i="5"/>
  <c r="A395" i="5"/>
  <c r="S394" i="5"/>
  <c r="R394" i="5"/>
  <c r="J394" i="5"/>
  <c r="I394" i="5"/>
  <c r="H394" i="5"/>
  <c r="G394" i="5"/>
  <c r="D394" i="5" s="1"/>
  <c r="F394" i="5"/>
  <c r="E394" i="5"/>
  <c r="C394" i="5"/>
  <c r="B394" i="5"/>
  <c r="A394" i="5"/>
  <c r="S393" i="5"/>
  <c r="R393" i="5"/>
  <c r="J393" i="5"/>
  <c r="I393" i="5"/>
  <c r="H393" i="5"/>
  <c r="G393" i="5"/>
  <c r="D393" i="5" s="1"/>
  <c r="F393" i="5"/>
  <c r="E393" i="5"/>
  <c r="C393" i="5"/>
  <c r="B393" i="5"/>
  <c r="A393" i="5"/>
  <c r="S392" i="5"/>
  <c r="R392" i="5"/>
  <c r="J392" i="5"/>
  <c r="I392" i="5"/>
  <c r="H392" i="5"/>
  <c r="G392" i="5"/>
  <c r="D392" i="5" s="1"/>
  <c r="F392" i="5"/>
  <c r="E392" i="5"/>
  <c r="C392" i="5"/>
  <c r="B392" i="5"/>
  <c r="A392" i="5"/>
  <c r="S391" i="5"/>
  <c r="R391" i="5"/>
  <c r="N391" i="5"/>
  <c r="M391" i="5"/>
  <c r="J391" i="5"/>
  <c r="I391" i="5"/>
  <c r="H391" i="5"/>
  <c r="G391" i="5"/>
  <c r="F391" i="5"/>
  <c r="E391" i="5"/>
  <c r="D391" i="5"/>
  <c r="C391" i="5"/>
  <c r="B391" i="5"/>
  <c r="A391" i="5"/>
  <c r="P390" i="5"/>
  <c r="N390" i="5"/>
  <c r="M390" i="5"/>
  <c r="J390" i="5"/>
  <c r="I390" i="5"/>
  <c r="H390" i="5"/>
  <c r="G390" i="5"/>
  <c r="F390" i="5"/>
  <c r="E390" i="5"/>
  <c r="D390" i="5"/>
  <c r="C390" i="5"/>
  <c r="B390" i="5"/>
  <c r="A390" i="5"/>
  <c r="P389" i="5"/>
  <c r="N389" i="5"/>
  <c r="M389" i="5"/>
  <c r="J389" i="5"/>
  <c r="I389" i="5"/>
  <c r="H389" i="5"/>
  <c r="G389" i="5"/>
  <c r="F389" i="5"/>
  <c r="S389" i="5" s="1"/>
  <c r="E389" i="5"/>
  <c r="R389" i="5" s="1"/>
  <c r="C389" i="5"/>
  <c r="B389" i="5"/>
  <c r="A389" i="5"/>
  <c r="K388" i="5"/>
  <c r="J388" i="5"/>
  <c r="I388" i="5"/>
  <c r="H388" i="5"/>
  <c r="G388" i="5"/>
  <c r="F388" i="5"/>
  <c r="E388" i="5"/>
  <c r="C388" i="5"/>
  <c r="B388" i="5"/>
  <c r="A388" i="5"/>
  <c r="K387" i="5"/>
  <c r="J387" i="5"/>
  <c r="I387" i="5"/>
  <c r="H387" i="5"/>
  <c r="G387" i="5"/>
  <c r="F387" i="5"/>
  <c r="E387" i="5"/>
  <c r="C387" i="5"/>
  <c r="B387" i="5"/>
  <c r="A387" i="5"/>
  <c r="K386" i="5"/>
  <c r="J386" i="5"/>
  <c r="I386" i="5"/>
  <c r="H386" i="5"/>
  <c r="G386" i="5"/>
  <c r="F386" i="5"/>
  <c r="E386" i="5"/>
  <c r="C386" i="5"/>
  <c r="B386" i="5"/>
  <c r="A386" i="5"/>
  <c r="O385" i="5"/>
  <c r="J385" i="5"/>
  <c r="I385" i="5"/>
  <c r="H385" i="5"/>
  <c r="G385" i="5"/>
  <c r="F385" i="5"/>
  <c r="E385" i="5"/>
  <c r="C385" i="5"/>
  <c r="B385" i="5"/>
  <c r="A385" i="5"/>
  <c r="R384" i="5"/>
  <c r="O384" i="5"/>
  <c r="S384" i="5" s="1"/>
  <c r="J384" i="5"/>
  <c r="I384" i="5"/>
  <c r="H384" i="5"/>
  <c r="G384" i="5"/>
  <c r="D384" i="5" s="1"/>
  <c r="F384" i="5"/>
  <c r="E384" i="5"/>
  <c r="C384" i="5"/>
  <c r="B384" i="5"/>
  <c r="A384" i="5"/>
  <c r="S383" i="5"/>
  <c r="R383" i="5"/>
  <c r="J383" i="5"/>
  <c r="I383" i="5"/>
  <c r="H383" i="5"/>
  <c r="G383" i="5"/>
  <c r="D383" i="5" s="1"/>
  <c r="F383" i="5"/>
  <c r="E383" i="5"/>
  <c r="C383" i="5"/>
  <c r="B383" i="5"/>
  <c r="A383" i="5"/>
  <c r="S382" i="5"/>
  <c r="R382" i="5"/>
  <c r="K382" i="5"/>
  <c r="J382" i="5"/>
  <c r="I382" i="5"/>
  <c r="D382" i="5" s="1"/>
  <c r="H382" i="5"/>
  <c r="G382" i="5"/>
  <c r="F382" i="5"/>
  <c r="E382" i="5"/>
  <c r="C382" i="5"/>
  <c r="B382" i="5"/>
  <c r="A382" i="5"/>
  <c r="S381" i="5"/>
  <c r="O381" i="5"/>
  <c r="K381" i="5"/>
  <c r="J381" i="5"/>
  <c r="I381" i="5"/>
  <c r="H381" i="5"/>
  <c r="G381" i="5"/>
  <c r="F381" i="5"/>
  <c r="E381" i="5"/>
  <c r="R381" i="5" s="1"/>
  <c r="C381" i="5"/>
  <c r="B381" i="5"/>
  <c r="A381" i="5"/>
  <c r="O380" i="5"/>
  <c r="J380" i="5"/>
  <c r="I380" i="5"/>
  <c r="H380" i="5"/>
  <c r="G380" i="5"/>
  <c r="F380" i="5"/>
  <c r="E380" i="5"/>
  <c r="S380" i="5" s="1"/>
  <c r="C380" i="5"/>
  <c r="B380" i="5"/>
  <c r="A380" i="5"/>
  <c r="O379" i="5"/>
  <c r="J379" i="5"/>
  <c r="I379" i="5"/>
  <c r="H379" i="5"/>
  <c r="G379" i="5"/>
  <c r="F379" i="5"/>
  <c r="E379" i="5"/>
  <c r="S379" i="5" s="1"/>
  <c r="D379" i="5"/>
  <c r="C379" i="5"/>
  <c r="B379" i="5"/>
  <c r="A379" i="5"/>
  <c r="O378" i="5"/>
  <c r="K378" i="5"/>
  <c r="J378" i="5"/>
  <c r="I378" i="5"/>
  <c r="H378" i="5"/>
  <c r="G378" i="5"/>
  <c r="F378" i="5"/>
  <c r="E378" i="5"/>
  <c r="C378" i="5"/>
  <c r="B378" i="5"/>
  <c r="A378" i="5"/>
  <c r="K377" i="5"/>
  <c r="J377" i="5"/>
  <c r="I377" i="5"/>
  <c r="H377" i="5"/>
  <c r="G377" i="5"/>
  <c r="F377" i="5"/>
  <c r="E377" i="5"/>
  <c r="C377" i="5"/>
  <c r="B377" i="5"/>
  <c r="A377" i="5"/>
  <c r="J376" i="5"/>
  <c r="I376" i="5"/>
  <c r="H376" i="5"/>
  <c r="G376" i="5"/>
  <c r="F376" i="5"/>
  <c r="E376" i="5"/>
  <c r="C376" i="5"/>
  <c r="B376" i="5"/>
  <c r="A376" i="5"/>
  <c r="O375" i="5"/>
  <c r="K375" i="5"/>
  <c r="J375" i="5"/>
  <c r="I375" i="5"/>
  <c r="H375" i="5"/>
  <c r="D375" i="5" s="1"/>
  <c r="G375" i="5"/>
  <c r="F375" i="5"/>
  <c r="E375" i="5"/>
  <c r="C375" i="5"/>
  <c r="B375" i="5"/>
  <c r="A375" i="5"/>
  <c r="L374" i="5"/>
  <c r="J374" i="5"/>
  <c r="I374" i="5"/>
  <c r="H374" i="5"/>
  <c r="G374" i="5"/>
  <c r="F374" i="5"/>
  <c r="E374" i="5"/>
  <c r="D374" i="5" s="1"/>
  <c r="C374" i="5"/>
  <c r="B374" i="5"/>
  <c r="A374" i="5"/>
  <c r="K373" i="5"/>
  <c r="J373" i="5"/>
  <c r="R373" i="5" s="1"/>
  <c r="I373" i="5"/>
  <c r="H373" i="5"/>
  <c r="G373" i="5"/>
  <c r="F373" i="5"/>
  <c r="S373" i="5" s="1"/>
  <c r="E373" i="5"/>
  <c r="D373" i="5" s="1"/>
  <c r="C373" i="5"/>
  <c r="B373" i="5"/>
  <c r="A373" i="5"/>
  <c r="O372" i="5"/>
  <c r="L372" i="5"/>
  <c r="K372" i="5"/>
  <c r="J372" i="5"/>
  <c r="I372" i="5"/>
  <c r="H372" i="5"/>
  <c r="G372" i="5"/>
  <c r="F372" i="5"/>
  <c r="E372" i="5"/>
  <c r="C372" i="5"/>
  <c r="B372" i="5"/>
  <c r="A372" i="5"/>
  <c r="R371" i="5"/>
  <c r="J371" i="5"/>
  <c r="I371" i="5"/>
  <c r="H371" i="5"/>
  <c r="G371" i="5"/>
  <c r="D371" i="5" s="1"/>
  <c r="F371" i="5"/>
  <c r="E371" i="5"/>
  <c r="C371" i="5"/>
  <c r="B371" i="5"/>
  <c r="A371" i="5"/>
  <c r="R370" i="5"/>
  <c r="J370" i="5"/>
  <c r="I370" i="5"/>
  <c r="H370" i="5"/>
  <c r="G370" i="5"/>
  <c r="F370" i="5"/>
  <c r="E370" i="5"/>
  <c r="C370" i="5"/>
  <c r="B370" i="5"/>
  <c r="A370" i="5"/>
  <c r="J369" i="5"/>
  <c r="I369" i="5"/>
  <c r="R369" i="5" s="1"/>
  <c r="H369" i="5"/>
  <c r="G369" i="5"/>
  <c r="F369" i="5"/>
  <c r="E369" i="5"/>
  <c r="C369" i="5"/>
  <c r="B369" i="5"/>
  <c r="A369" i="5"/>
  <c r="J368" i="5"/>
  <c r="I368" i="5"/>
  <c r="H368" i="5"/>
  <c r="R368" i="5" s="1"/>
  <c r="G368" i="5"/>
  <c r="F368" i="5"/>
  <c r="E368" i="5"/>
  <c r="C368" i="5"/>
  <c r="B368" i="5"/>
  <c r="A368" i="5"/>
  <c r="J367" i="5"/>
  <c r="I367" i="5"/>
  <c r="H367" i="5"/>
  <c r="G367" i="5"/>
  <c r="F367" i="5"/>
  <c r="E367" i="5"/>
  <c r="C367" i="5"/>
  <c r="B367" i="5"/>
  <c r="A367" i="5"/>
  <c r="J366" i="5"/>
  <c r="I366" i="5"/>
  <c r="H366" i="5"/>
  <c r="G366" i="5"/>
  <c r="F366" i="5"/>
  <c r="E366" i="5"/>
  <c r="C366" i="5"/>
  <c r="B366" i="5"/>
  <c r="A366" i="5"/>
  <c r="J365" i="5"/>
  <c r="I365" i="5"/>
  <c r="H365" i="5"/>
  <c r="G365" i="5"/>
  <c r="F365" i="5"/>
  <c r="E365" i="5"/>
  <c r="C365" i="5"/>
  <c r="B365" i="5"/>
  <c r="A365" i="5"/>
  <c r="J364" i="5"/>
  <c r="I364" i="5"/>
  <c r="H364" i="5"/>
  <c r="G364" i="5"/>
  <c r="F364" i="5"/>
  <c r="E364" i="5"/>
  <c r="C364" i="5"/>
  <c r="B364" i="5"/>
  <c r="A364" i="5"/>
  <c r="J363" i="5"/>
  <c r="I363" i="5"/>
  <c r="H363" i="5"/>
  <c r="G363" i="5"/>
  <c r="F363" i="5"/>
  <c r="E363" i="5"/>
  <c r="D363" i="5"/>
  <c r="C363" i="5"/>
  <c r="B363" i="5"/>
  <c r="A363" i="5"/>
  <c r="J362" i="5"/>
  <c r="I362" i="5"/>
  <c r="H362" i="5"/>
  <c r="G362" i="5"/>
  <c r="F362" i="5"/>
  <c r="E362" i="5"/>
  <c r="S362" i="5" s="1"/>
  <c r="D362" i="5"/>
  <c r="C362" i="5"/>
  <c r="B362" i="5"/>
  <c r="A362" i="5"/>
  <c r="J361" i="5"/>
  <c r="I361" i="5"/>
  <c r="H361" i="5"/>
  <c r="G361" i="5"/>
  <c r="F361" i="5"/>
  <c r="D361" i="5" s="1"/>
  <c r="E361" i="5"/>
  <c r="C361" i="5"/>
  <c r="B361" i="5"/>
  <c r="A361" i="5"/>
  <c r="J360" i="5"/>
  <c r="I360" i="5"/>
  <c r="H360" i="5"/>
  <c r="G360" i="5"/>
  <c r="F360" i="5"/>
  <c r="D360" i="5" s="1"/>
  <c r="E360" i="5"/>
  <c r="C360" i="5"/>
  <c r="B360" i="5"/>
  <c r="A360" i="5"/>
  <c r="J359" i="5"/>
  <c r="I359" i="5"/>
  <c r="H359" i="5"/>
  <c r="G359" i="5"/>
  <c r="F359" i="5"/>
  <c r="D359" i="5" s="1"/>
  <c r="E359" i="5"/>
  <c r="C359" i="5"/>
  <c r="B359" i="5"/>
  <c r="A359" i="5"/>
  <c r="J358" i="5"/>
  <c r="I358" i="5"/>
  <c r="H358" i="5"/>
  <c r="G358" i="5"/>
  <c r="F358" i="5"/>
  <c r="D358" i="5" s="1"/>
  <c r="E358" i="5"/>
  <c r="C358" i="5"/>
  <c r="B358" i="5"/>
  <c r="A358" i="5"/>
  <c r="J357" i="5"/>
  <c r="I357" i="5"/>
  <c r="H357" i="5"/>
  <c r="G357" i="5"/>
  <c r="F357" i="5"/>
  <c r="E357" i="5"/>
  <c r="S357" i="5" s="1"/>
  <c r="D357" i="5"/>
  <c r="C357" i="5"/>
  <c r="B357" i="5"/>
  <c r="A357" i="5"/>
  <c r="J356" i="5"/>
  <c r="I356" i="5"/>
  <c r="H356" i="5"/>
  <c r="G356" i="5"/>
  <c r="F356" i="5"/>
  <c r="E356" i="5"/>
  <c r="S356" i="5" s="1"/>
  <c r="D356" i="5"/>
  <c r="C356" i="5"/>
  <c r="B356" i="5"/>
  <c r="A356" i="5"/>
  <c r="J355" i="5"/>
  <c r="I355" i="5"/>
  <c r="H355" i="5"/>
  <c r="G355" i="5"/>
  <c r="F355" i="5"/>
  <c r="D355" i="5" s="1"/>
  <c r="E355" i="5"/>
  <c r="C355" i="5"/>
  <c r="B355" i="5"/>
  <c r="A355" i="5"/>
  <c r="N354" i="5"/>
  <c r="M354" i="5"/>
  <c r="J354" i="5"/>
  <c r="I354" i="5"/>
  <c r="H354" i="5"/>
  <c r="G354" i="5"/>
  <c r="F354" i="5"/>
  <c r="E354" i="5"/>
  <c r="C354" i="5"/>
  <c r="B354" i="5"/>
  <c r="A354" i="5"/>
  <c r="P353" i="5"/>
  <c r="N353" i="5"/>
  <c r="M353" i="5"/>
  <c r="J353" i="5"/>
  <c r="I353" i="5"/>
  <c r="H353" i="5"/>
  <c r="G353" i="5"/>
  <c r="F353" i="5"/>
  <c r="E353" i="5"/>
  <c r="C353" i="5"/>
  <c r="B353" i="5"/>
  <c r="A353" i="5"/>
  <c r="R352" i="5"/>
  <c r="P352" i="5"/>
  <c r="N352" i="5"/>
  <c r="M352" i="5"/>
  <c r="J352" i="5"/>
  <c r="I352" i="5"/>
  <c r="H352" i="5"/>
  <c r="G352" i="5"/>
  <c r="F352" i="5"/>
  <c r="E352" i="5"/>
  <c r="C352" i="5"/>
  <c r="B352" i="5"/>
  <c r="A352" i="5"/>
  <c r="S351" i="5"/>
  <c r="R351" i="5"/>
  <c r="K351" i="5"/>
  <c r="J351" i="5"/>
  <c r="I351" i="5"/>
  <c r="H351" i="5"/>
  <c r="D351" i="5" s="1"/>
  <c r="G351" i="5"/>
  <c r="F351" i="5"/>
  <c r="E351" i="5"/>
  <c r="C351" i="5"/>
  <c r="B351" i="5"/>
  <c r="A351" i="5"/>
  <c r="S350" i="5"/>
  <c r="K350" i="5"/>
  <c r="J350" i="5"/>
  <c r="I350" i="5"/>
  <c r="H350" i="5"/>
  <c r="G350" i="5"/>
  <c r="F350" i="5"/>
  <c r="E350" i="5"/>
  <c r="R350" i="5" s="1"/>
  <c r="D350" i="5"/>
  <c r="C350" i="5"/>
  <c r="B350" i="5"/>
  <c r="A350" i="5"/>
  <c r="K349" i="5"/>
  <c r="J349" i="5"/>
  <c r="I349" i="5"/>
  <c r="H349" i="5"/>
  <c r="G349" i="5"/>
  <c r="F349" i="5"/>
  <c r="E349" i="5"/>
  <c r="C349" i="5"/>
  <c r="B349" i="5"/>
  <c r="A349" i="5"/>
  <c r="O348" i="5"/>
  <c r="J348" i="5"/>
  <c r="I348" i="5"/>
  <c r="H348" i="5"/>
  <c r="G348" i="5"/>
  <c r="F348" i="5"/>
  <c r="D348" i="5" s="1"/>
  <c r="E348" i="5"/>
  <c r="S348" i="5" s="1"/>
  <c r="C348" i="5"/>
  <c r="B348" i="5"/>
  <c r="A348" i="5"/>
  <c r="O347" i="5"/>
  <c r="J347" i="5"/>
  <c r="I347" i="5"/>
  <c r="H347" i="5"/>
  <c r="G347" i="5"/>
  <c r="D347" i="5" s="1"/>
  <c r="F347" i="5"/>
  <c r="E347" i="5"/>
  <c r="C347" i="5"/>
  <c r="B347" i="5"/>
  <c r="A347" i="5"/>
  <c r="J346" i="5"/>
  <c r="I346" i="5"/>
  <c r="H346" i="5"/>
  <c r="G346" i="5"/>
  <c r="D346" i="5" s="1"/>
  <c r="F346" i="5"/>
  <c r="E346" i="5"/>
  <c r="C346" i="5"/>
  <c r="B346" i="5"/>
  <c r="A346" i="5"/>
  <c r="K345" i="5"/>
  <c r="J345" i="5"/>
  <c r="I345" i="5"/>
  <c r="H345" i="5"/>
  <c r="G345" i="5"/>
  <c r="F345" i="5"/>
  <c r="E345" i="5"/>
  <c r="C345" i="5"/>
  <c r="B345" i="5"/>
  <c r="A345" i="5"/>
  <c r="O344" i="5"/>
  <c r="K344" i="5"/>
  <c r="J344" i="5"/>
  <c r="I344" i="5"/>
  <c r="H344" i="5"/>
  <c r="G344" i="5"/>
  <c r="D344" i="5" s="1"/>
  <c r="F344" i="5"/>
  <c r="E344" i="5"/>
  <c r="S344" i="5" s="1"/>
  <c r="C344" i="5"/>
  <c r="B344" i="5"/>
  <c r="A344" i="5"/>
  <c r="O343" i="5"/>
  <c r="J343" i="5"/>
  <c r="I343" i="5"/>
  <c r="H343" i="5"/>
  <c r="G343" i="5"/>
  <c r="F343" i="5"/>
  <c r="E343" i="5"/>
  <c r="D343" i="5" s="1"/>
  <c r="C343" i="5"/>
  <c r="B343" i="5"/>
  <c r="A343" i="5"/>
  <c r="R342" i="5"/>
  <c r="O342" i="5"/>
  <c r="J342" i="5"/>
  <c r="I342" i="5"/>
  <c r="H342" i="5"/>
  <c r="G342" i="5"/>
  <c r="F342" i="5"/>
  <c r="E342" i="5"/>
  <c r="C342" i="5"/>
  <c r="B342" i="5"/>
  <c r="A342" i="5"/>
  <c r="S341" i="5"/>
  <c r="O341" i="5"/>
  <c r="K341" i="5"/>
  <c r="R341" i="5" s="1"/>
  <c r="J341" i="5"/>
  <c r="I341" i="5"/>
  <c r="H341" i="5"/>
  <c r="G341" i="5"/>
  <c r="F341" i="5"/>
  <c r="E341" i="5"/>
  <c r="C341" i="5"/>
  <c r="B341" i="5"/>
  <c r="A341" i="5"/>
  <c r="S340" i="5"/>
  <c r="R340" i="5"/>
  <c r="K340" i="5"/>
  <c r="J340" i="5"/>
  <c r="I340" i="5"/>
  <c r="H340" i="5"/>
  <c r="D340" i="5" s="1"/>
  <c r="G340" i="5"/>
  <c r="F340" i="5"/>
  <c r="E340" i="5"/>
  <c r="C340" i="5"/>
  <c r="B340" i="5"/>
  <c r="A340" i="5"/>
  <c r="S339" i="5"/>
  <c r="J339" i="5"/>
  <c r="I339" i="5"/>
  <c r="H339" i="5"/>
  <c r="R339" i="5" s="1"/>
  <c r="G339" i="5"/>
  <c r="F339" i="5"/>
  <c r="E339" i="5"/>
  <c r="C339" i="5"/>
  <c r="B339" i="5"/>
  <c r="A339" i="5"/>
  <c r="S338" i="5"/>
  <c r="O338" i="5"/>
  <c r="K338" i="5"/>
  <c r="J338" i="5"/>
  <c r="I338" i="5"/>
  <c r="H338" i="5"/>
  <c r="G338" i="5"/>
  <c r="F338" i="5"/>
  <c r="E338" i="5"/>
  <c r="R338" i="5" s="1"/>
  <c r="C338" i="5"/>
  <c r="B338" i="5"/>
  <c r="A338" i="5"/>
  <c r="L337" i="5"/>
  <c r="J337" i="5"/>
  <c r="I337" i="5"/>
  <c r="H337" i="5"/>
  <c r="G337" i="5"/>
  <c r="F337" i="5"/>
  <c r="D337" i="5" s="1"/>
  <c r="E337" i="5"/>
  <c r="C337" i="5"/>
  <c r="B337" i="5"/>
  <c r="A337" i="5"/>
  <c r="K336" i="5"/>
  <c r="J336" i="5"/>
  <c r="I336" i="5"/>
  <c r="H336" i="5"/>
  <c r="G336" i="5"/>
  <c r="F336" i="5"/>
  <c r="E336" i="5"/>
  <c r="D336" i="5" s="1"/>
  <c r="C336" i="5"/>
  <c r="B336" i="5"/>
  <c r="A336" i="5"/>
  <c r="O335" i="5"/>
  <c r="L335" i="5"/>
  <c r="K335" i="5"/>
  <c r="J335" i="5"/>
  <c r="I335" i="5"/>
  <c r="H335" i="5"/>
  <c r="G335" i="5"/>
  <c r="F335" i="5"/>
  <c r="E335" i="5"/>
  <c r="C335" i="5"/>
  <c r="B335" i="5"/>
  <c r="A335" i="5"/>
  <c r="J334" i="5"/>
  <c r="I334" i="5"/>
  <c r="H334" i="5"/>
  <c r="G334" i="5"/>
  <c r="D334" i="5" s="1"/>
  <c r="F334" i="5"/>
  <c r="E334" i="5"/>
  <c r="C334" i="5"/>
  <c r="B334" i="5"/>
  <c r="A334" i="5"/>
  <c r="J333" i="5"/>
  <c r="I333" i="5"/>
  <c r="H333" i="5"/>
  <c r="G333" i="5"/>
  <c r="D333" i="5" s="1"/>
  <c r="F333" i="5"/>
  <c r="R333" i="5" s="1"/>
  <c r="E333" i="5"/>
  <c r="S333" i="5" s="1"/>
  <c r="C333" i="5"/>
  <c r="B333" i="5"/>
  <c r="A333" i="5"/>
  <c r="J332" i="5"/>
  <c r="I332" i="5"/>
  <c r="H332" i="5"/>
  <c r="G332" i="5"/>
  <c r="F332" i="5"/>
  <c r="E332" i="5"/>
  <c r="C332" i="5"/>
  <c r="B332" i="5"/>
  <c r="A332" i="5"/>
  <c r="J331" i="5"/>
  <c r="I331" i="5"/>
  <c r="H331" i="5"/>
  <c r="G331" i="5"/>
  <c r="F331" i="5"/>
  <c r="E331" i="5"/>
  <c r="C331" i="5"/>
  <c r="B331" i="5"/>
  <c r="A331" i="5"/>
  <c r="J330" i="5"/>
  <c r="I330" i="5"/>
  <c r="H330" i="5"/>
  <c r="G330" i="5"/>
  <c r="F330" i="5"/>
  <c r="E330" i="5"/>
  <c r="C330" i="5"/>
  <c r="B330" i="5"/>
  <c r="A330" i="5"/>
  <c r="J329" i="5"/>
  <c r="I329" i="5"/>
  <c r="H329" i="5"/>
  <c r="G329" i="5"/>
  <c r="F329" i="5"/>
  <c r="E329" i="5"/>
  <c r="S329" i="5" s="1"/>
  <c r="C329" i="5"/>
  <c r="B329" i="5"/>
  <c r="A329" i="5"/>
  <c r="J328" i="5"/>
  <c r="I328" i="5"/>
  <c r="H328" i="5"/>
  <c r="G328" i="5"/>
  <c r="F328" i="5"/>
  <c r="E328" i="5"/>
  <c r="C328" i="5"/>
  <c r="B328" i="5"/>
  <c r="A328" i="5"/>
  <c r="J327" i="5"/>
  <c r="I327" i="5"/>
  <c r="H327" i="5"/>
  <c r="G327" i="5"/>
  <c r="F327" i="5"/>
  <c r="E327" i="5"/>
  <c r="C327" i="5"/>
  <c r="B327" i="5"/>
  <c r="A327" i="5"/>
  <c r="J326" i="5"/>
  <c r="I326" i="5"/>
  <c r="H326" i="5"/>
  <c r="G326" i="5"/>
  <c r="F326" i="5"/>
  <c r="E326" i="5"/>
  <c r="C326" i="5"/>
  <c r="B326" i="5"/>
  <c r="A326" i="5"/>
  <c r="J325" i="5"/>
  <c r="I325" i="5"/>
  <c r="H325" i="5"/>
  <c r="G325" i="5"/>
  <c r="F325" i="5"/>
  <c r="E325" i="5"/>
  <c r="S325" i="5" s="1"/>
  <c r="C325" i="5"/>
  <c r="B325" i="5"/>
  <c r="A325" i="5"/>
  <c r="J324" i="5"/>
  <c r="I324" i="5"/>
  <c r="H324" i="5"/>
  <c r="G324" i="5"/>
  <c r="F324" i="5"/>
  <c r="E324" i="5"/>
  <c r="D324" i="5"/>
  <c r="C324" i="5"/>
  <c r="B324" i="5"/>
  <c r="A324" i="5"/>
  <c r="J323" i="5"/>
  <c r="I323" i="5"/>
  <c r="H323" i="5"/>
  <c r="G323" i="5"/>
  <c r="D323" i="5" s="1"/>
  <c r="F323" i="5"/>
  <c r="E323" i="5"/>
  <c r="C323" i="5"/>
  <c r="B323" i="5"/>
  <c r="A323" i="5"/>
  <c r="J322" i="5"/>
  <c r="I322" i="5"/>
  <c r="H322" i="5"/>
  <c r="G322" i="5"/>
  <c r="F322" i="5"/>
  <c r="E322" i="5"/>
  <c r="C322" i="5"/>
  <c r="B322" i="5"/>
  <c r="A322" i="5"/>
  <c r="J321" i="5"/>
  <c r="I321" i="5"/>
  <c r="H321" i="5"/>
  <c r="G321" i="5"/>
  <c r="F321" i="5"/>
  <c r="E321" i="5"/>
  <c r="C321" i="5"/>
  <c r="B321" i="5"/>
  <c r="A321" i="5"/>
  <c r="J320" i="5"/>
  <c r="I320" i="5"/>
  <c r="H320" i="5"/>
  <c r="G320" i="5"/>
  <c r="R320" i="5" s="1"/>
  <c r="F320" i="5"/>
  <c r="E320" i="5"/>
  <c r="S320" i="5" s="1"/>
  <c r="C320" i="5"/>
  <c r="B320" i="5"/>
  <c r="A320" i="5"/>
  <c r="J319" i="5"/>
  <c r="I319" i="5"/>
  <c r="H319" i="5"/>
  <c r="G319" i="5"/>
  <c r="F319" i="5"/>
  <c r="E319" i="5"/>
  <c r="S319" i="5" s="1"/>
  <c r="D319" i="5"/>
  <c r="C319" i="5"/>
  <c r="B319" i="5"/>
  <c r="A319" i="5"/>
  <c r="J318" i="5"/>
  <c r="I318" i="5"/>
  <c r="D318" i="5" s="1"/>
  <c r="H318" i="5"/>
  <c r="G318" i="5"/>
  <c r="F318" i="5"/>
  <c r="E318" i="5"/>
  <c r="C318" i="5"/>
  <c r="B318" i="5"/>
  <c r="A318" i="5"/>
  <c r="N317" i="5"/>
  <c r="R317" i="5" s="1"/>
  <c r="M317" i="5"/>
  <c r="J317" i="5"/>
  <c r="I317" i="5"/>
  <c r="H317" i="5"/>
  <c r="G317" i="5"/>
  <c r="F317" i="5"/>
  <c r="E317" i="5"/>
  <c r="C317" i="5"/>
  <c r="B317" i="5"/>
  <c r="A317" i="5"/>
  <c r="S316" i="5"/>
  <c r="R316" i="5"/>
  <c r="P316" i="5"/>
  <c r="N316" i="5"/>
  <c r="M316" i="5"/>
  <c r="J316" i="5"/>
  <c r="I316" i="5"/>
  <c r="H316" i="5"/>
  <c r="G316" i="5"/>
  <c r="F316" i="5"/>
  <c r="E316" i="5"/>
  <c r="D316" i="5"/>
  <c r="C316" i="5"/>
  <c r="B316" i="5"/>
  <c r="A316" i="5"/>
  <c r="P315" i="5"/>
  <c r="N315" i="5"/>
  <c r="M315" i="5"/>
  <c r="J315" i="5"/>
  <c r="I315" i="5"/>
  <c r="H315" i="5"/>
  <c r="G315" i="5"/>
  <c r="F315" i="5"/>
  <c r="D315" i="5" s="1"/>
  <c r="E315" i="5"/>
  <c r="S315" i="5" s="1"/>
  <c r="C315" i="5"/>
  <c r="B315" i="5"/>
  <c r="A315" i="5"/>
  <c r="K314" i="5"/>
  <c r="J314" i="5"/>
  <c r="I314" i="5"/>
  <c r="H314" i="5"/>
  <c r="G314" i="5"/>
  <c r="F314" i="5"/>
  <c r="D314" i="5" s="1"/>
  <c r="E314" i="5"/>
  <c r="C314" i="5"/>
  <c r="B314" i="5"/>
  <c r="A314" i="5"/>
  <c r="K313" i="5"/>
  <c r="J313" i="5"/>
  <c r="I313" i="5"/>
  <c r="H313" i="5"/>
  <c r="G313" i="5"/>
  <c r="F313" i="5"/>
  <c r="E313" i="5"/>
  <c r="C313" i="5"/>
  <c r="B313" i="5"/>
  <c r="A313" i="5"/>
  <c r="K312" i="5"/>
  <c r="J312" i="5"/>
  <c r="I312" i="5"/>
  <c r="H312" i="5"/>
  <c r="G312" i="5"/>
  <c r="F312" i="5"/>
  <c r="E312" i="5"/>
  <c r="D312" i="5" s="1"/>
  <c r="C312" i="5"/>
  <c r="B312" i="5"/>
  <c r="A312" i="5"/>
  <c r="O311" i="5"/>
  <c r="D311" i="5" s="1"/>
  <c r="J311" i="5"/>
  <c r="I311" i="5"/>
  <c r="H311" i="5"/>
  <c r="G311" i="5"/>
  <c r="F311" i="5"/>
  <c r="E311" i="5"/>
  <c r="C311" i="5"/>
  <c r="B311" i="5"/>
  <c r="A311" i="5"/>
  <c r="O310" i="5"/>
  <c r="R310" i="5" s="1"/>
  <c r="J310" i="5"/>
  <c r="I310" i="5"/>
  <c r="H310" i="5"/>
  <c r="G310" i="5"/>
  <c r="F310" i="5"/>
  <c r="E310" i="5"/>
  <c r="C310" i="5"/>
  <c r="B310" i="5"/>
  <c r="A310" i="5"/>
  <c r="S309" i="5"/>
  <c r="R309" i="5"/>
  <c r="J309" i="5"/>
  <c r="I309" i="5"/>
  <c r="H309" i="5"/>
  <c r="G309" i="5"/>
  <c r="F309" i="5"/>
  <c r="E309" i="5"/>
  <c r="D309" i="5"/>
  <c r="C309" i="5"/>
  <c r="B309" i="5"/>
  <c r="A309" i="5"/>
  <c r="S308" i="5"/>
  <c r="R308" i="5"/>
  <c r="K308" i="5"/>
  <c r="J308" i="5"/>
  <c r="I308" i="5"/>
  <c r="H308" i="5"/>
  <c r="G308" i="5"/>
  <c r="F308" i="5"/>
  <c r="E308" i="5"/>
  <c r="D308" i="5" s="1"/>
  <c r="C308" i="5"/>
  <c r="B308" i="5"/>
  <c r="A308" i="5"/>
  <c r="S307" i="5"/>
  <c r="R307" i="5"/>
  <c r="O307" i="5"/>
  <c r="K307" i="5"/>
  <c r="J307" i="5"/>
  <c r="I307" i="5"/>
  <c r="H307" i="5"/>
  <c r="G307" i="5"/>
  <c r="F307" i="5"/>
  <c r="E307" i="5"/>
  <c r="C307" i="5"/>
  <c r="B307" i="5"/>
  <c r="A307" i="5"/>
  <c r="S306" i="5"/>
  <c r="R306" i="5"/>
  <c r="O306" i="5"/>
  <c r="J306" i="5"/>
  <c r="I306" i="5"/>
  <c r="H306" i="5"/>
  <c r="G306" i="5"/>
  <c r="F306" i="5"/>
  <c r="E306" i="5"/>
  <c r="D306" i="5"/>
  <c r="C306" i="5"/>
  <c r="B306" i="5"/>
  <c r="A306" i="5"/>
  <c r="O305" i="5"/>
  <c r="J305" i="5"/>
  <c r="I305" i="5"/>
  <c r="H305" i="5"/>
  <c r="G305" i="5"/>
  <c r="F305" i="5"/>
  <c r="E305" i="5"/>
  <c r="R305" i="5" s="1"/>
  <c r="D305" i="5"/>
  <c r="C305" i="5"/>
  <c r="B305" i="5"/>
  <c r="A305" i="5"/>
  <c r="O304" i="5"/>
  <c r="K304" i="5"/>
  <c r="J304" i="5"/>
  <c r="I304" i="5"/>
  <c r="H304" i="5"/>
  <c r="G304" i="5"/>
  <c r="F304" i="5"/>
  <c r="E304" i="5"/>
  <c r="D304" i="5" s="1"/>
  <c r="C304" i="5"/>
  <c r="B304" i="5"/>
  <c r="A304" i="5"/>
  <c r="K303" i="5"/>
  <c r="J303" i="5"/>
  <c r="I303" i="5"/>
  <c r="H303" i="5"/>
  <c r="G303" i="5"/>
  <c r="F303" i="5"/>
  <c r="E303" i="5"/>
  <c r="C303" i="5"/>
  <c r="B303" i="5"/>
  <c r="A303" i="5"/>
  <c r="J302" i="5"/>
  <c r="I302" i="5"/>
  <c r="H302" i="5"/>
  <c r="G302" i="5"/>
  <c r="F302" i="5"/>
  <c r="E302" i="5"/>
  <c r="D302" i="5"/>
  <c r="C302" i="5"/>
  <c r="B302" i="5"/>
  <c r="A302" i="5"/>
  <c r="O301" i="5"/>
  <c r="K301" i="5"/>
  <c r="J301" i="5"/>
  <c r="I301" i="5"/>
  <c r="H301" i="5"/>
  <c r="G301" i="5"/>
  <c r="F301" i="5"/>
  <c r="E301" i="5"/>
  <c r="C301" i="5"/>
  <c r="B301" i="5"/>
  <c r="A301" i="5"/>
  <c r="L300" i="5"/>
  <c r="J300" i="5"/>
  <c r="I300" i="5"/>
  <c r="H300" i="5"/>
  <c r="G300" i="5"/>
  <c r="F300" i="5"/>
  <c r="E300" i="5"/>
  <c r="S300" i="5" s="1"/>
  <c r="D300" i="5"/>
  <c r="C300" i="5"/>
  <c r="B300" i="5"/>
  <c r="A300" i="5"/>
  <c r="K299" i="5"/>
  <c r="J299" i="5"/>
  <c r="I299" i="5"/>
  <c r="H299" i="5"/>
  <c r="G299" i="5"/>
  <c r="F299" i="5"/>
  <c r="E299" i="5"/>
  <c r="S299" i="5" s="1"/>
  <c r="D299" i="5"/>
  <c r="C299" i="5"/>
  <c r="B299" i="5"/>
  <c r="A299" i="5"/>
  <c r="O298" i="5"/>
  <c r="L298" i="5"/>
  <c r="K298" i="5"/>
  <c r="J298" i="5"/>
  <c r="I298" i="5"/>
  <c r="H298" i="5"/>
  <c r="G298" i="5"/>
  <c r="F298" i="5"/>
  <c r="E298" i="5"/>
  <c r="C298" i="5"/>
  <c r="B298" i="5"/>
  <c r="A298" i="5"/>
  <c r="J297" i="5"/>
  <c r="I297" i="5"/>
  <c r="H297" i="5"/>
  <c r="G297" i="5"/>
  <c r="D297" i="5" s="1"/>
  <c r="F297" i="5"/>
  <c r="E297" i="5"/>
  <c r="C297" i="5"/>
  <c r="B297" i="5"/>
  <c r="A297" i="5"/>
  <c r="J296" i="5"/>
  <c r="I296" i="5"/>
  <c r="H296" i="5"/>
  <c r="G296" i="5"/>
  <c r="D296" i="5" s="1"/>
  <c r="F296" i="5"/>
  <c r="E296" i="5"/>
  <c r="C296" i="5"/>
  <c r="B296" i="5"/>
  <c r="A296" i="5"/>
  <c r="S295" i="5"/>
  <c r="R295" i="5"/>
  <c r="J295" i="5"/>
  <c r="I295" i="5"/>
  <c r="H295" i="5"/>
  <c r="G295" i="5"/>
  <c r="F295" i="5"/>
  <c r="E295" i="5"/>
  <c r="C295" i="5"/>
  <c r="B295" i="5"/>
  <c r="A295" i="5"/>
  <c r="S294" i="5"/>
  <c r="J294" i="5"/>
  <c r="R294" i="5" s="1"/>
  <c r="I294" i="5"/>
  <c r="H294" i="5"/>
  <c r="G294" i="5"/>
  <c r="F294" i="5"/>
  <c r="E294" i="5"/>
  <c r="C294" i="5"/>
  <c r="B294" i="5"/>
  <c r="A294" i="5"/>
  <c r="S293" i="5"/>
  <c r="R293" i="5"/>
  <c r="J293" i="5"/>
  <c r="I293" i="5"/>
  <c r="H293" i="5"/>
  <c r="G293" i="5"/>
  <c r="F293" i="5"/>
  <c r="E293" i="5"/>
  <c r="C293" i="5"/>
  <c r="B293" i="5"/>
  <c r="A293" i="5"/>
  <c r="S292" i="5"/>
  <c r="J292" i="5"/>
  <c r="R292" i="5" s="1"/>
  <c r="I292" i="5"/>
  <c r="H292" i="5"/>
  <c r="G292" i="5"/>
  <c r="F292" i="5"/>
  <c r="E292" i="5"/>
  <c r="C292" i="5"/>
  <c r="B292" i="5"/>
  <c r="A292" i="5"/>
  <c r="S291" i="5"/>
  <c r="R291" i="5"/>
  <c r="J291" i="5"/>
  <c r="I291" i="5"/>
  <c r="H291" i="5"/>
  <c r="G291" i="5"/>
  <c r="F291" i="5"/>
  <c r="E291" i="5"/>
  <c r="C291" i="5"/>
  <c r="B291" i="5"/>
  <c r="A291" i="5"/>
  <c r="R290" i="5"/>
  <c r="J290" i="5"/>
  <c r="I290" i="5"/>
  <c r="H290" i="5"/>
  <c r="G290" i="5"/>
  <c r="F290" i="5"/>
  <c r="E290" i="5"/>
  <c r="C290" i="5"/>
  <c r="B290" i="5"/>
  <c r="A290" i="5"/>
  <c r="J289" i="5"/>
  <c r="I289" i="5"/>
  <c r="H289" i="5"/>
  <c r="G289" i="5"/>
  <c r="F289" i="5"/>
  <c r="E289" i="5"/>
  <c r="C289" i="5"/>
  <c r="B289" i="5"/>
  <c r="A289" i="5"/>
  <c r="J288" i="5"/>
  <c r="I288" i="5"/>
  <c r="H288" i="5"/>
  <c r="G288" i="5"/>
  <c r="S288" i="5" s="1"/>
  <c r="F288" i="5"/>
  <c r="E288" i="5"/>
  <c r="C288" i="5"/>
  <c r="B288" i="5"/>
  <c r="A288" i="5"/>
  <c r="J287" i="5"/>
  <c r="I287" i="5"/>
  <c r="H287" i="5"/>
  <c r="G287" i="5"/>
  <c r="F287" i="5"/>
  <c r="E287" i="5"/>
  <c r="C287" i="5"/>
  <c r="B287" i="5"/>
  <c r="A287" i="5"/>
  <c r="J286" i="5"/>
  <c r="I286" i="5"/>
  <c r="H286" i="5"/>
  <c r="G286" i="5"/>
  <c r="F286" i="5"/>
  <c r="E286" i="5"/>
  <c r="C286" i="5"/>
  <c r="B286" i="5"/>
  <c r="A286" i="5"/>
  <c r="J285" i="5"/>
  <c r="I285" i="5"/>
  <c r="H285" i="5"/>
  <c r="G285" i="5"/>
  <c r="D285" i="5" s="1"/>
  <c r="F285" i="5"/>
  <c r="E285" i="5"/>
  <c r="C285" i="5"/>
  <c r="B285" i="5"/>
  <c r="A285" i="5"/>
  <c r="J284" i="5"/>
  <c r="I284" i="5"/>
  <c r="H284" i="5"/>
  <c r="G284" i="5"/>
  <c r="D284" i="5" s="1"/>
  <c r="F284" i="5"/>
  <c r="E284" i="5"/>
  <c r="C284" i="5"/>
  <c r="B284" i="5"/>
  <c r="A284" i="5"/>
  <c r="S283" i="5"/>
  <c r="R283" i="5"/>
  <c r="J283" i="5"/>
  <c r="I283" i="5"/>
  <c r="H283" i="5"/>
  <c r="G283" i="5"/>
  <c r="F283" i="5"/>
  <c r="E283" i="5"/>
  <c r="C283" i="5"/>
  <c r="B283" i="5"/>
  <c r="A283" i="5"/>
  <c r="S282" i="5"/>
  <c r="R282" i="5"/>
  <c r="J282" i="5"/>
  <c r="I282" i="5"/>
  <c r="H282" i="5"/>
  <c r="G282" i="5"/>
  <c r="F282" i="5"/>
  <c r="E282" i="5"/>
  <c r="C282" i="5"/>
  <c r="B282" i="5"/>
  <c r="A282" i="5"/>
  <c r="R281" i="5"/>
  <c r="J281" i="5"/>
  <c r="S281" i="5" s="1"/>
  <c r="I281" i="5"/>
  <c r="H281" i="5"/>
  <c r="G281" i="5"/>
  <c r="F281" i="5"/>
  <c r="E281" i="5"/>
  <c r="C281" i="5"/>
  <c r="B281" i="5"/>
  <c r="A281" i="5"/>
  <c r="S280" i="5"/>
  <c r="N280" i="5"/>
  <c r="R280" i="5" s="1"/>
  <c r="M280" i="5"/>
  <c r="J280" i="5"/>
  <c r="I280" i="5"/>
  <c r="H280" i="5"/>
  <c r="G280" i="5"/>
  <c r="F280" i="5"/>
  <c r="E280" i="5"/>
  <c r="C280" i="5"/>
  <c r="B280" i="5"/>
  <c r="A280" i="5"/>
  <c r="P279" i="5"/>
  <c r="N279" i="5"/>
  <c r="M279" i="5"/>
  <c r="J279" i="5"/>
  <c r="I279" i="5"/>
  <c r="H279" i="5"/>
  <c r="G279" i="5"/>
  <c r="F279" i="5"/>
  <c r="E279" i="5"/>
  <c r="D279" i="5"/>
  <c r="C279" i="5"/>
  <c r="B279" i="5"/>
  <c r="A279" i="5"/>
  <c r="P278" i="5"/>
  <c r="N278" i="5"/>
  <c r="M278" i="5"/>
  <c r="J278" i="5"/>
  <c r="I278" i="5"/>
  <c r="H278" i="5"/>
  <c r="G278" i="5"/>
  <c r="F278" i="5"/>
  <c r="E278" i="5"/>
  <c r="C278" i="5"/>
  <c r="B278" i="5"/>
  <c r="A278" i="5"/>
  <c r="K277" i="5"/>
  <c r="J277" i="5"/>
  <c r="I277" i="5"/>
  <c r="H277" i="5"/>
  <c r="G277" i="5"/>
  <c r="D277" i="5" s="1"/>
  <c r="F277" i="5"/>
  <c r="E277" i="5"/>
  <c r="R277" i="5" s="1"/>
  <c r="C277" i="5"/>
  <c r="B277" i="5"/>
  <c r="A277" i="5"/>
  <c r="K276" i="5"/>
  <c r="J276" i="5"/>
  <c r="I276" i="5"/>
  <c r="H276" i="5"/>
  <c r="G276" i="5"/>
  <c r="F276" i="5"/>
  <c r="E276" i="5"/>
  <c r="C276" i="5"/>
  <c r="B276" i="5"/>
  <c r="A276" i="5"/>
  <c r="K275" i="5"/>
  <c r="J275" i="5"/>
  <c r="I275" i="5"/>
  <c r="H275" i="5"/>
  <c r="G275" i="5"/>
  <c r="F275" i="5"/>
  <c r="S275" i="5" s="1"/>
  <c r="E275" i="5"/>
  <c r="C275" i="5"/>
  <c r="B275" i="5"/>
  <c r="A275" i="5"/>
  <c r="O274" i="5"/>
  <c r="J274" i="5"/>
  <c r="I274" i="5"/>
  <c r="H274" i="5"/>
  <c r="G274" i="5"/>
  <c r="F274" i="5"/>
  <c r="E274" i="5"/>
  <c r="C274" i="5"/>
  <c r="B274" i="5"/>
  <c r="A274" i="5"/>
  <c r="O273" i="5"/>
  <c r="J273" i="5"/>
  <c r="I273" i="5"/>
  <c r="H273" i="5"/>
  <c r="G273" i="5"/>
  <c r="F273" i="5"/>
  <c r="E273" i="5"/>
  <c r="C273" i="5"/>
  <c r="B273" i="5"/>
  <c r="A273" i="5"/>
  <c r="J272" i="5"/>
  <c r="I272" i="5"/>
  <c r="H272" i="5"/>
  <c r="G272" i="5"/>
  <c r="F272" i="5"/>
  <c r="E272" i="5"/>
  <c r="C272" i="5"/>
  <c r="B272" i="5"/>
  <c r="A272" i="5"/>
  <c r="K271" i="5"/>
  <c r="J271" i="5"/>
  <c r="I271" i="5"/>
  <c r="H271" i="5"/>
  <c r="G271" i="5"/>
  <c r="F271" i="5"/>
  <c r="E271" i="5"/>
  <c r="C271" i="5"/>
  <c r="B271" i="5"/>
  <c r="A271" i="5"/>
  <c r="O270" i="5"/>
  <c r="K270" i="5"/>
  <c r="J270" i="5"/>
  <c r="I270" i="5"/>
  <c r="H270" i="5"/>
  <c r="G270" i="5"/>
  <c r="F270" i="5"/>
  <c r="E270" i="5"/>
  <c r="C270" i="5"/>
  <c r="B270" i="5"/>
  <c r="A270" i="5"/>
  <c r="R269" i="5"/>
  <c r="O269" i="5"/>
  <c r="J269" i="5"/>
  <c r="I269" i="5"/>
  <c r="H269" i="5"/>
  <c r="S269" i="5" s="1"/>
  <c r="G269" i="5"/>
  <c r="F269" i="5"/>
  <c r="E269" i="5"/>
  <c r="D269" i="5" s="1"/>
  <c r="C269" i="5"/>
  <c r="B269" i="5"/>
  <c r="A269" i="5"/>
  <c r="S268" i="5"/>
  <c r="O268" i="5"/>
  <c r="J268" i="5"/>
  <c r="I268" i="5"/>
  <c r="H268" i="5"/>
  <c r="G268" i="5"/>
  <c r="F268" i="5"/>
  <c r="E268" i="5"/>
  <c r="D268" i="5" s="1"/>
  <c r="C268" i="5"/>
  <c r="B268" i="5"/>
  <c r="A268" i="5"/>
  <c r="O267" i="5"/>
  <c r="K267" i="5"/>
  <c r="J267" i="5"/>
  <c r="I267" i="5"/>
  <c r="H267" i="5"/>
  <c r="G267" i="5"/>
  <c r="F267" i="5"/>
  <c r="E267" i="5"/>
  <c r="D267" i="5" s="1"/>
  <c r="C267" i="5"/>
  <c r="B267" i="5"/>
  <c r="A267" i="5"/>
  <c r="K266" i="5"/>
  <c r="R266" i="5" s="1"/>
  <c r="J266" i="5"/>
  <c r="I266" i="5"/>
  <c r="H266" i="5"/>
  <c r="G266" i="5"/>
  <c r="F266" i="5"/>
  <c r="E266" i="5"/>
  <c r="C266" i="5"/>
  <c r="B266" i="5"/>
  <c r="A266" i="5"/>
  <c r="S265" i="5"/>
  <c r="R265" i="5"/>
  <c r="J265" i="5"/>
  <c r="I265" i="5"/>
  <c r="H265" i="5"/>
  <c r="G265" i="5"/>
  <c r="F265" i="5"/>
  <c r="E265" i="5"/>
  <c r="D265" i="5" s="1"/>
  <c r="C265" i="5"/>
  <c r="B265" i="5"/>
  <c r="A265" i="5"/>
  <c r="S264" i="5"/>
  <c r="R264" i="5"/>
  <c r="O264" i="5"/>
  <c r="K264" i="5"/>
  <c r="J264" i="5"/>
  <c r="I264" i="5"/>
  <c r="H264" i="5"/>
  <c r="G264" i="5"/>
  <c r="F264" i="5"/>
  <c r="E264" i="5"/>
  <c r="C264" i="5"/>
  <c r="B264" i="5"/>
  <c r="A264" i="5"/>
  <c r="S263" i="5"/>
  <c r="L263" i="5"/>
  <c r="J263" i="5"/>
  <c r="R263" i="5" s="1"/>
  <c r="I263" i="5"/>
  <c r="H263" i="5"/>
  <c r="G263" i="5"/>
  <c r="F263" i="5"/>
  <c r="E263" i="5"/>
  <c r="C263" i="5"/>
  <c r="B263" i="5"/>
  <c r="A263" i="5"/>
  <c r="S262" i="5"/>
  <c r="K262" i="5"/>
  <c r="J262" i="5"/>
  <c r="R262" i="5" s="1"/>
  <c r="I262" i="5"/>
  <c r="H262" i="5"/>
  <c r="G262" i="5"/>
  <c r="F262" i="5"/>
  <c r="E262" i="5"/>
  <c r="C262" i="5"/>
  <c r="B262" i="5"/>
  <c r="A262" i="5"/>
  <c r="O261" i="5"/>
  <c r="L261" i="5"/>
  <c r="K261" i="5"/>
  <c r="J261" i="5"/>
  <c r="I261" i="5"/>
  <c r="H261" i="5"/>
  <c r="G261" i="5"/>
  <c r="F261" i="5"/>
  <c r="E261" i="5"/>
  <c r="D261" i="5"/>
  <c r="C261" i="5"/>
  <c r="B261" i="5"/>
  <c r="A261" i="5"/>
  <c r="J260" i="5"/>
  <c r="I260" i="5"/>
  <c r="H260" i="5"/>
  <c r="G260" i="5"/>
  <c r="F260" i="5"/>
  <c r="E260" i="5"/>
  <c r="D260" i="5"/>
  <c r="C260" i="5"/>
  <c r="B260" i="5"/>
  <c r="A260" i="5"/>
  <c r="J259" i="5"/>
  <c r="I259" i="5"/>
  <c r="H259" i="5"/>
  <c r="G259" i="5"/>
  <c r="F259" i="5"/>
  <c r="E259" i="5"/>
  <c r="D259" i="5" s="1"/>
  <c r="C259" i="5"/>
  <c r="B259" i="5"/>
  <c r="A259" i="5"/>
  <c r="J258" i="5"/>
  <c r="I258" i="5"/>
  <c r="H258" i="5"/>
  <c r="G258" i="5"/>
  <c r="F258" i="5"/>
  <c r="E258" i="5"/>
  <c r="D258" i="5"/>
  <c r="C258" i="5"/>
  <c r="B258" i="5"/>
  <c r="A258" i="5"/>
  <c r="J257" i="5"/>
  <c r="I257" i="5"/>
  <c r="H257" i="5"/>
  <c r="G257" i="5"/>
  <c r="F257" i="5"/>
  <c r="E257" i="5"/>
  <c r="D257" i="5"/>
  <c r="C257" i="5"/>
  <c r="B257" i="5"/>
  <c r="A257" i="5"/>
  <c r="J256" i="5"/>
  <c r="I256" i="5"/>
  <c r="H256" i="5"/>
  <c r="G256" i="5"/>
  <c r="F256" i="5"/>
  <c r="E256" i="5"/>
  <c r="D256" i="5"/>
  <c r="C256" i="5"/>
  <c r="B256" i="5"/>
  <c r="A256" i="5"/>
  <c r="J255" i="5"/>
  <c r="I255" i="5"/>
  <c r="H255" i="5"/>
  <c r="G255" i="5"/>
  <c r="F255" i="5"/>
  <c r="E255" i="5"/>
  <c r="D255" i="5"/>
  <c r="C255" i="5"/>
  <c r="B255" i="5"/>
  <c r="A255" i="5"/>
  <c r="J254" i="5"/>
  <c r="I254" i="5"/>
  <c r="H254" i="5"/>
  <c r="G254" i="5"/>
  <c r="F254" i="5"/>
  <c r="E254" i="5"/>
  <c r="D254" i="5"/>
  <c r="C254" i="5"/>
  <c r="B254" i="5"/>
  <c r="A254" i="5"/>
  <c r="J253" i="5"/>
  <c r="I253" i="5"/>
  <c r="H253" i="5"/>
  <c r="G253" i="5"/>
  <c r="F253" i="5"/>
  <c r="E253" i="5"/>
  <c r="D253" i="5" s="1"/>
  <c r="C253" i="5"/>
  <c r="B253" i="5"/>
  <c r="A253" i="5"/>
  <c r="J252" i="5"/>
  <c r="I252" i="5"/>
  <c r="H252" i="5"/>
  <c r="G252" i="5"/>
  <c r="F252" i="5"/>
  <c r="E252" i="5"/>
  <c r="D252" i="5"/>
  <c r="C252" i="5"/>
  <c r="B252" i="5"/>
  <c r="A252" i="5"/>
  <c r="J251" i="5"/>
  <c r="I251" i="5"/>
  <c r="H251" i="5"/>
  <c r="G251" i="5"/>
  <c r="F251" i="5"/>
  <c r="E251" i="5"/>
  <c r="D251" i="5"/>
  <c r="C251" i="5"/>
  <c r="B251" i="5"/>
  <c r="A251" i="5"/>
  <c r="J250" i="5"/>
  <c r="I250" i="5"/>
  <c r="H250" i="5"/>
  <c r="G250" i="5"/>
  <c r="F250" i="5"/>
  <c r="E250" i="5"/>
  <c r="D250" i="5"/>
  <c r="C250" i="5"/>
  <c r="B250" i="5"/>
  <c r="A250" i="5"/>
  <c r="J249" i="5"/>
  <c r="I249" i="5"/>
  <c r="H249" i="5"/>
  <c r="G249" i="5"/>
  <c r="F249" i="5"/>
  <c r="E249" i="5"/>
  <c r="D249" i="5"/>
  <c r="C249" i="5"/>
  <c r="B249" i="5"/>
  <c r="A249" i="5"/>
  <c r="J248" i="5"/>
  <c r="I248" i="5"/>
  <c r="H248" i="5"/>
  <c r="G248" i="5"/>
  <c r="F248" i="5"/>
  <c r="E248" i="5"/>
  <c r="D248" i="5"/>
  <c r="C248" i="5"/>
  <c r="B248" i="5"/>
  <c r="A248" i="5"/>
  <c r="J247" i="5"/>
  <c r="I247" i="5"/>
  <c r="H247" i="5"/>
  <c r="G247" i="5"/>
  <c r="F247" i="5"/>
  <c r="E247" i="5"/>
  <c r="D247" i="5" s="1"/>
  <c r="C247" i="5"/>
  <c r="B247" i="5"/>
  <c r="A247" i="5"/>
  <c r="J246" i="5"/>
  <c r="I246" i="5"/>
  <c r="H246" i="5"/>
  <c r="G246" i="5"/>
  <c r="F246" i="5"/>
  <c r="E246" i="5"/>
  <c r="D246" i="5"/>
  <c r="C246" i="5"/>
  <c r="B246" i="5"/>
  <c r="A246" i="5"/>
  <c r="J245" i="5"/>
  <c r="I245" i="5"/>
  <c r="H245" i="5"/>
  <c r="G245" i="5"/>
  <c r="F245" i="5"/>
  <c r="E245" i="5"/>
  <c r="D245" i="5"/>
  <c r="C245" i="5"/>
  <c r="B245" i="5"/>
  <c r="A245" i="5"/>
  <c r="J244" i="5"/>
  <c r="I244" i="5"/>
  <c r="H244" i="5"/>
  <c r="G244" i="5"/>
  <c r="F244" i="5"/>
  <c r="E244" i="5"/>
  <c r="D244" i="5"/>
  <c r="C244" i="5"/>
  <c r="B244" i="5"/>
  <c r="A244" i="5"/>
  <c r="N243" i="5"/>
  <c r="M243" i="5"/>
  <c r="J243" i="5"/>
  <c r="I243" i="5"/>
  <c r="H243" i="5"/>
  <c r="G243" i="5"/>
  <c r="F243" i="5"/>
  <c r="D243" i="5" s="1"/>
  <c r="E243" i="5"/>
  <c r="S243" i="5" s="1"/>
  <c r="C243" i="5"/>
  <c r="B243" i="5"/>
  <c r="A243" i="5"/>
  <c r="P242" i="5"/>
  <c r="N242" i="5"/>
  <c r="M242" i="5"/>
  <c r="J242" i="5"/>
  <c r="I242" i="5"/>
  <c r="H242" i="5"/>
  <c r="G242" i="5"/>
  <c r="F242" i="5"/>
  <c r="E242" i="5"/>
  <c r="C242" i="5"/>
  <c r="B242" i="5"/>
  <c r="A242" i="5"/>
  <c r="P241" i="5"/>
  <c r="N241" i="5"/>
  <c r="M241" i="5"/>
  <c r="J241" i="5"/>
  <c r="I241" i="5"/>
  <c r="H241" i="5"/>
  <c r="G241" i="5"/>
  <c r="F241" i="5"/>
  <c r="E241" i="5"/>
  <c r="C241" i="5"/>
  <c r="B241" i="5"/>
  <c r="A241" i="5"/>
  <c r="K240" i="5"/>
  <c r="J240" i="5"/>
  <c r="I240" i="5"/>
  <c r="H240" i="5"/>
  <c r="D240" i="5" s="1"/>
  <c r="G240" i="5"/>
  <c r="F240" i="5"/>
  <c r="E240" i="5"/>
  <c r="C240" i="5"/>
  <c r="B240" i="5"/>
  <c r="A240" i="5"/>
  <c r="K239" i="5"/>
  <c r="R239" i="5" s="1"/>
  <c r="J239" i="5"/>
  <c r="I239" i="5"/>
  <c r="S239" i="5" s="1"/>
  <c r="H239" i="5"/>
  <c r="G239" i="5"/>
  <c r="F239" i="5"/>
  <c r="E239" i="5"/>
  <c r="D239" i="5" s="1"/>
  <c r="C239" i="5"/>
  <c r="B239" i="5"/>
  <c r="A239" i="5"/>
  <c r="S238" i="5"/>
  <c r="R238" i="5"/>
  <c r="K238" i="5"/>
  <c r="J238" i="5"/>
  <c r="I238" i="5"/>
  <c r="H238" i="5"/>
  <c r="G238" i="5"/>
  <c r="F238" i="5"/>
  <c r="E238" i="5"/>
  <c r="D238" i="5" s="1"/>
  <c r="C238" i="5"/>
  <c r="B238" i="5"/>
  <c r="A238" i="5"/>
  <c r="S237" i="5"/>
  <c r="O237" i="5"/>
  <c r="R237" i="5" s="1"/>
  <c r="J237" i="5"/>
  <c r="I237" i="5"/>
  <c r="H237" i="5"/>
  <c r="G237" i="5"/>
  <c r="F237" i="5"/>
  <c r="E237" i="5"/>
  <c r="C237" i="5"/>
  <c r="B237" i="5"/>
  <c r="A237" i="5"/>
  <c r="S236" i="5"/>
  <c r="R236" i="5"/>
  <c r="O236" i="5"/>
  <c r="J236" i="5"/>
  <c r="I236" i="5"/>
  <c r="H236" i="5"/>
  <c r="G236" i="5"/>
  <c r="F236" i="5"/>
  <c r="E236" i="5"/>
  <c r="D236" i="5"/>
  <c r="C236" i="5"/>
  <c r="B236" i="5"/>
  <c r="A236" i="5"/>
  <c r="S235" i="5"/>
  <c r="J235" i="5"/>
  <c r="I235" i="5"/>
  <c r="H235" i="5"/>
  <c r="G235" i="5"/>
  <c r="F235" i="5"/>
  <c r="E235" i="5"/>
  <c r="D235" i="5"/>
  <c r="C235" i="5"/>
  <c r="B235" i="5"/>
  <c r="A235" i="5"/>
  <c r="S234" i="5"/>
  <c r="K234" i="5"/>
  <c r="J234" i="5"/>
  <c r="I234" i="5"/>
  <c r="H234" i="5"/>
  <c r="G234" i="5"/>
  <c r="F234" i="5"/>
  <c r="E234" i="5"/>
  <c r="D234" i="5"/>
  <c r="C234" i="5"/>
  <c r="B234" i="5"/>
  <c r="A234" i="5"/>
  <c r="O233" i="5"/>
  <c r="K233" i="5"/>
  <c r="J233" i="5"/>
  <c r="D233" i="5" s="1"/>
  <c r="I233" i="5"/>
  <c r="H233" i="5"/>
  <c r="G233" i="5"/>
  <c r="F233" i="5"/>
  <c r="E233" i="5"/>
  <c r="C233" i="5"/>
  <c r="B233" i="5"/>
  <c r="A233" i="5"/>
  <c r="O232" i="5"/>
  <c r="J232" i="5"/>
  <c r="R232" i="5" s="1"/>
  <c r="I232" i="5"/>
  <c r="H232" i="5"/>
  <c r="G232" i="5"/>
  <c r="F232" i="5"/>
  <c r="E232" i="5"/>
  <c r="C232" i="5"/>
  <c r="B232" i="5"/>
  <c r="A232" i="5"/>
  <c r="R231" i="5"/>
  <c r="O231" i="5"/>
  <c r="S231" i="5" s="1"/>
  <c r="J231" i="5"/>
  <c r="I231" i="5"/>
  <c r="H231" i="5"/>
  <c r="G231" i="5"/>
  <c r="F231" i="5"/>
  <c r="E231" i="5"/>
  <c r="C231" i="5"/>
  <c r="B231" i="5"/>
  <c r="A231" i="5"/>
  <c r="R230" i="5"/>
  <c r="O230" i="5"/>
  <c r="S230" i="5" s="1"/>
  <c r="K230" i="5"/>
  <c r="J230" i="5"/>
  <c r="I230" i="5"/>
  <c r="H230" i="5"/>
  <c r="G230" i="5"/>
  <c r="F230" i="5"/>
  <c r="E230" i="5"/>
  <c r="C230" i="5"/>
  <c r="B230" i="5"/>
  <c r="A230" i="5"/>
  <c r="S229" i="5"/>
  <c r="R229" i="5"/>
  <c r="K229" i="5"/>
  <c r="J229" i="5"/>
  <c r="I229" i="5"/>
  <c r="H229" i="5"/>
  <c r="G229" i="5"/>
  <c r="F229" i="5"/>
  <c r="E229" i="5"/>
  <c r="D229" i="5"/>
  <c r="C229" i="5"/>
  <c r="B229" i="5"/>
  <c r="A229" i="5"/>
  <c r="S228" i="5"/>
  <c r="R228" i="5"/>
  <c r="J228" i="5"/>
  <c r="I228" i="5"/>
  <c r="H228" i="5"/>
  <c r="G228" i="5"/>
  <c r="F228" i="5"/>
  <c r="E228" i="5"/>
  <c r="D228" i="5"/>
  <c r="C228" i="5"/>
  <c r="B228" i="5"/>
  <c r="A228" i="5"/>
  <c r="O227" i="5"/>
  <c r="K227" i="5"/>
  <c r="J227" i="5"/>
  <c r="I227" i="5"/>
  <c r="H227" i="5"/>
  <c r="G227" i="5"/>
  <c r="F227" i="5"/>
  <c r="E227" i="5"/>
  <c r="C227" i="5"/>
  <c r="B227" i="5"/>
  <c r="A227" i="5"/>
  <c r="L226" i="5"/>
  <c r="J226" i="5"/>
  <c r="I226" i="5"/>
  <c r="H226" i="5"/>
  <c r="G226" i="5"/>
  <c r="F226" i="5"/>
  <c r="D226" i="5" s="1"/>
  <c r="E226" i="5"/>
  <c r="C226" i="5"/>
  <c r="B226" i="5"/>
  <c r="A226" i="5"/>
  <c r="K225" i="5"/>
  <c r="J225" i="5"/>
  <c r="I225" i="5"/>
  <c r="H225" i="5"/>
  <c r="G225" i="5"/>
  <c r="F225" i="5"/>
  <c r="E225" i="5"/>
  <c r="C225" i="5"/>
  <c r="B225" i="5"/>
  <c r="A225" i="5"/>
  <c r="O224" i="5"/>
  <c r="L224" i="5"/>
  <c r="K224" i="5"/>
  <c r="J224" i="5"/>
  <c r="I224" i="5"/>
  <c r="H224" i="5"/>
  <c r="G224" i="5"/>
  <c r="F224" i="5"/>
  <c r="E224" i="5"/>
  <c r="C224" i="5"/>
  <c r="B224" i="5"/>
  <c r="A224" i="5"/>
  <c r="J223" i="5"/>
  <c r="I223" i="5"/>
  <c r="H223" i="5"/>
  <c r="G223" i="5"/>
  <c r="F223" i="5"/>
  <c r="E223" i="5"/>
  <c r="D223" i="5" s="1"/>
  <c r="C223" i="5"/>
  <c r="B223" i="5"/>
  <c r="A223" i="5"/>
  <c r="J222" i="5"/>
  <c r="I222" i="5"/>
  <c r="H222" i="5"/>
  <c r="G222" i="5"/>
  <c r="F222" i="5"/>
  <c r="E222" i="5"/>
  <c r="D222" i="5" s="1"/>
  <c r="C222" i="5"/>
  <c r="B222" i="5"/>
  <c r="A222" i="5"/>
  <c r="J221" i="5"/>
  <c r="I221" i="5"/>
  <c r="H221" i="5"/>
  <c r="G221" i="5"/>
  <c r="F221" i="5"/>
  <c r="E221" i="5"/>
  <c r="C221" i="5"/>
  <c r="B221" i="5"/>
  <c r="A221" i="5"/>
  <c r="J220" i="5"/>
  <c r="I220" i="5"/>
  <c r="H220" i="5"/>
  <c r="G220" i="5"/>
  <c r="F220" i="5"/>
  <c r="E220" i="5"/>
  <c r="C220" i="5"/>
  <c r="B220" i="5"/>
  <c r="A220" i="5"/>
  <c r="J219" i="5"/>
  <c r="I219" i="5"/>
  <c r="H219" i="5"/>
  <c r="G219" i="5"/>
  <c r="F219" i="5"/>
  <c r="E219" i="5"/>
  <c r="C219" i="5"/>
  <c r="B219" i="5"/>
  <c r="A219" i="5"/>
  <c r="J218" i="5"/>
  <c r="I218" i="5"/>
  <c r="H218" i="5"/>
  <c r="G218" i="5"/>
  <c r="F218" i="5"/>
  <c r="E218" i="5"/>
  <c r="S218" i="5" s="1"/>
  <c r="D218" i="5"/>
  <c r="C218" i="5"/>
  <c r="B218" i="5"/>
  <c r="A218" i="5"/>
  <c r="R217" i="5"/>
  <c r="J217" i="5"/>
  <c r="I217" i="5"/>
  <c r="H217" i="5"/>
  <c r="G217" i="5"/>
  <c r="F217" i="5"/>
  <c r="E217" i="5"/>
  <c r="S217" i="5" s="1"/>
  <c r="D217" i="5"/>
  <c r="C217" i="5"/>
  <c r="B217" i="5"/>
  <c r="A217" i="5"/>
  <c r="R216" i="5"/>
  <c r="J216" i="5"/>
  <c r="D216" i="5" s="1"/>
  <c r="I216" i="5"/>
  <c r="H216" i="5"/>
  <c r="G216" i="5"/>
  <c r="F216" i="5"/>
  <c r="E216" i="5"/>
  <c r="C216" i="5"/>
  <c r="B216" i="5"/>
  <c r="A216" i="5"/>
  <c r="J215" i="5"/>
  <c r="I215" i="5"/>
  <c r="R215" i="5" s="1"/>
  <c r="H215" i="5"/>
  <c r="G215" i="5"/>
  <c r="F215" i="5"/>
  <c r="E215" i="5"/>
  <c r="D215" i="5" s="1"/>
  <c r="C215" i="5"/>
  <c r="B215" i="5"/>
  <c r="A215" i="5"/>
  <c r="R214" i="5"/>
  <c r="J214" i="5"/>
  <c r="I214" i="5"/>
  <c r="H214" i="5"/>
  <c r="G214" i="5"/>
  <c r="F214" i="5"/>
  <c r="E214" i="5"/>
  <c r="D214" i="5" s="1"/>
  <c r="C214" i="5"/>
  <c r="B214" i="5"/>
  <c r="A214" i="5"/>
  <c r="J213" i="5"/>
  <c r="R213" i="5" s="1"/>
  <c r="I213" i="5"/>
  <c r="H213" i="5"/>
  <c r="G213" i="5"/>
  <c r="F213" i="5"/>
  <c r="E213" i="5"/>
  <c r="D213" i="5" s="1"/>
  <c r="C213" i="5"/>
  <c r="B213" i="5"/>
  <c r="A213" i="5"/>
  <c r="J212" i="5"/>
  <c r="I212" i="5"/>
  <c r="H212" i="5"/>
  <c r="G212" i="5"/>
  <c r="F212" i="5"/>
  <c r="R212" i="5" s="1"/>
  <c r="E212" i="5"/>
  <c r="D212" i="5" s="1"/>
  <c r="C212" i="5"/>
  <c r="B212" i="5"/>
  <c r="A212" i="5"/>
  <c r="J211" i="5"/>
  <c r="I211" i="5"/>
  <c r="H211" i="5"/>
  <c r="G211" i="5"/>
  <c r="F211" i="5"/>
  <c r="E211" i="5"/>
  <c r="C211" i="5"/>
  <c r="B211" i="5"/>
  <c r="A211" i="5"/>
  <c r="J210" i="5"/>
  <c r="I210" i="5"/>
  <c r="H210" i="5"/>
  <c r="G210" i="5"/>
  <c r="F210" i="5"/>
  <c r="E210" i="5"/>
  <c r="D210" i="5" s="1"/>
  <c r="C210" i="5"/>
  <c r="B210" i="5"/>
  <c r="A210" i="5"/>
  <c r="J209" i="5"/>
  <c r="I209" i="5"/>
  <c r="H209" i="5"/>
  <c r="G209" i="5"/>
  <c r="F209" i="5"/>
  <c r="D209" i="5" s="1"/>
  <c r="E209" i="5"/>
  <c r="C209" i="5"/>
  <c r="B209" i="5"/>
  <c r="A209" i="5"/>
  <c r="J208" i="5"/>
  <c r="I208" i="5"/>
  <c r="H208" i="5"/>
  <c r="G208" i="5"/>
  <c r="F208" i="5"/>
  <c r="E208" i="5"/>
  <c r="C208" i="5"/>
  <c r="B208" i="5"/>
  <c r="A208" i="5"/>
  <c r="J207" i="5"/>
  <c r="I207" i="5"/>
  <c r="H207" i="5"/>
  <c r="G207" i="5"/>
  <c r="F207" i="5"/>
  <c r="E207" i="5"/>
  <c r="D207" i="5"/>
  <c r="C207" i="5"/>
  <c r="B207" i="5"/>
  <c r="A207" i="5"/>
  <c r="N206" i="5"/>
  <c r="M206" i="5"/>
  <c r="J206" i="5"/>
  <c r="I206" i="5"/>
  <c r="H206" i="5"/>
  <c r="G206" i="5"/>
  <c r="F206" i="5"/>
  <c r="E206" i="5"/>
  <c r="C206" i="5"/>
  <c r="B206" i="5"/>
  <c r="A206" i="5"/>
  <c r="P205" i="5"/>
  <c r="N205" i="5"/>
  <c r="M205" i="5"/>
  <c r="J205" i="5"/>
  <c r="I205" i="5"/>
  <c r="H205" i="5"/>
  <c r="G205" i="5"/>
  <c r="F205" i="5"/>
  <c r="E205" i="5"/>
  <c r="C205" i="5"/>
  <c r="B205" i="5"/>
  <c r="A205" i="5"/>
  <c r="P204" i="5"/>
  <c r="N204" i="5"/>
  <c r="M204" i="5"/>
  <c r="J204" i="5"/>
  <c r="I204" i="5"/>
  <c r="H204" i="5"/>
  <c r="G204" i="5"/>
  <c r="F204" i="5"/>
  <c r="E204" i="5"/>
  <c r="C204" i="5"/>
  <c r="B204" i="5"/>
  <c r="A204" i="5"/>
  <c r="R203" i="5"/>
  <c r="K203" i="5"/>
  <c r="J203" i="5"/>
  <c r="I203" i="5"/>
  <c r="H203" i="5"/>
  <c r="S203" i="5" s="1"/>
  <c r="G203" i="5"/>
  <c r="F203" i="5"/>
  <c r="E203" i="5"/>
  <c r="D203" i="5" s="1"/>
  <c r="C203" i="5"/>
  <c r="B203" i="5"/>
  <c r="A203" i="5"/>
  <c r="S202" i="5"/>
  <c r="K202" i="5"/>
  <c r="J202" i="5"/>
  <c r="I202" i="5"/>
  <c r="H202" i="5"/>
  <c r="G202" i="5"/>
  <c r="F202" i="5"/>
  <c r="E202" i="5"/>
  <c r="D202" i="5" s="1"/>
  <c r="C202" i="5"/>
  <c r="B202" i="5"/>
  <c r="A202" i="5"/>
  <c r="K201" i="5"/>
  <c r="J201" i="5"/>
  <c r="I201" i="5"/>
  <c r="H201" i="5"/>
  <c r="G201" i="5"/>
  <c r="F201" i="5"/>
  <c r="E201" i="5"/>
  <c r="D201" i="5" s="1"/>
  <c r="C201" i="5"/>
  <c r="B201" i="5"/>
  <c r="A201" i="5"/>
  <c r="O200" i="5"/>
  <c r="J200" i="5"/>
  <c r="I200" i="5"/>
  <c r="H200" i="5"/>
  <c r="G200" i="5"/>
  <c r="F200" i="5"/>
  <c r="E200" i="5"/>
  <c r="C200" i="5"/>
  <c r="B200" i="5"/>
  <c r="A200" i="5"/>
  <c r="O199" i="5"/>
  <c r="J199" i="5"/>
  <c r="I199" i="5"/>
  <c r="H199" i="5"/>
  <c r="G199" i="5"/>
  <c r="F199" i="5"/>
  <c r="R199" i="5" s="1"/>
  <c r="E199" i="5"/>
  <c r="D199" i="5" s="1"/>
  <c r="C199" i="5"/>
  <c r="B199" i="5"/>
  <c r="A199" i="5"/>
  <c r="J198" i="5"/>
  <c r="I198" i="5"/>
  <c r="H198" i="5"/>
  <c r="G198" i="5"/>
  <c r="F198" i="5"/>
  <c r="E198" i="5"/>
  <c r="C198" i="5"/>
  <c r="B198" i="5"/>
  <c r="A198" i="5"/>
  <c r="K197" i="5"/>
  <c r="J197" i="5"/>
  <c r="I197" i="5"/>
  <c r="H197" i="5"/>
  <c r="G197" i="5"/>
  <c r="F197" i="5"/>
  <c r="E197" i="5"/>
  <c r="C197" i="5"/>
  <c r="B197" i="5"/>
  <c r="A197" i="5"/>
  <c r="O196" i="5"/>
  <c r="K196" i="5"/>
  <c r="J196" i="5"/>
  <c r="I196" i="5"/>
  <c r="H196" i="5"/>
  <c r="G196" i="5"/>
  <c r="F196" i="5"/>
  <c r="E196" i="5"/>
  <c r="C196" i="5"/>
  <c r="B196" i="5"/>
  <c r="A196" i="5"/>
  <c r="R195" i="5"/>
  <c r="O195" i="5"/>
  <c r="J195" i="5"/>
  <c r="I195" i="5"/>
  <c r="H195" i="5"/>
  <c r="D195" i="5" s="1"/>
  <c r="G195" i="5"/>
  <c r="F195" i="5"/>
  <c r="E195" i="5"/>
  <c r="C195" i="5"/>
  <c r="B195" i="5"/>
  <c r="A195" i="5"/>
  <c r="S194" i="5"/>
  <c r="R194" i="5"/>
  <c r="O194" i="5"/>
  <c r="J194" i="5"/>
  <c r="I194" i="5"/>
  <c r="H194" i="5"/>
  <c r="G194" i="5"/>
  <c r="F194" i="5"/>
  <c r="E194" i="5"/>
  <c r="D194" i="5" s="1"/>
  <c r="C194" i="5"/>
  <c r="B194" i="5"/>
  <c r="A194" i="5"/>
  <c r="S193" i="5"/>
  <c r="O193" i="5"/>
  <c r="K193" i="5"/>
  <c r="R193" i="5" s="1"/>
  <c r="J193" i="5"/>
  <c r="I193" i="5"/>
  <c r="H193" i="5"/>
  <c r="G193" i="5"/>
  <c r="F193" i="5"/>
  <c r="E193" i="5"/>
  <c r="C193" i="5"/>
  <c r="B193" i="5"/>
  <c r="A193" i="5"/>
  <c r="S192" i="5"/>
  <c r="R192" i="5"/>
  <c r="K192" i="5"/>
  <c r="J192" i="5"/>
  <c r="I192" i="5"/>
  <c r="H192" i="5"/>
  <c r="G192" i="5"/>
  <c r="F192" i="5"/>
  <c r="E192" i="5"/>
  <c r="D192" i="5"/>
  <c r="C192" i="5"/>
  <c r="B192" i="5"/>
  <c r="A192" i="5"/>
  <c r="S191" i="5"/>
  <c r="J191" i="5"/>
  <c r="I191" i="5"/>
  <c r="H191" i="5"/>
  <c r="G191" i="5"/>
  <c r="F191" i="5"/>
  <c r="E191" i="5"/>
  <c r="R191" i="5" s="1"/>
  <c r="D191" i="5"/>
  <c r="C191" i="5"/>
  <c r="B191" i="5"/>
  <c r="A191" i="5"/>
  <c r="S190" i="5"/>
  <c r="O190" i="5"/>
  <c r="K190" i="5"/>
  <c r="J190" i="5"/>
  <c r="I190" i="5"/>
  <c r="H190" i="5"/>
  <c r="G190" i="5"/>
  <c r="F190" i="5"/>
  <c r="E190" i="5"/>
  <c r="R190" i="5" s="1"/>
  <c r="D190" i="5"/>
  <c r="C190" i="5"/>
  <c r="B190" i="5"/>
  <c r="A190" i="5"/>
  <c r="L189" i="5"/>
  <c r="D189" i="5" s="1"/>
  <c r="J189" i="5"/>
  <c r="I189" i="5"/>
  <c r="H189" i="5"/>
  <c r="G189" i="5"/>
  <c r="F189" i="5"/>
  <c r="E189" i="5"/>
  <c r="C189" i="5"/>
  <c r="B189" i="5"/>
  <c r="A189" i="5"/>
  <c r="R188" i="5"/>
  <c r="K188" i="5"/>
  <c r="D188" i="5" s="1"/>
  <c r="J188" i="5"/>
  <c r="I188" i="5"/>
  <c r="H188" i="5"/>
  <c r="G188" i="5"/>
  <c r="F188" i="5"/>
  <c r="E188" i="5"/>
  <c r="C188" i="5"/>
  <c r="B188" i="5"/>
  <c r="A188" i="5"/>
  <c r="S187" i="5"/>
  <c r="R187" i="5"/>
  <c r="O187" i="5"/>
  <c r="L187" i="5"/>
  <c r="K187" i="5"/>
  <c r="J187" i="5"/>
  <c r="I187" i="5"/>
  <c r="H187" i="5"/>
  <c r="G187" i="5"/>
  <c r="F187" i="5"/>
  <c r="D187" i="5" s="1"/>
  <c r="E187" i="5"/>
  <c r="C187" i="5"/>
  <c r="B187" i="5"/>
  <c r="A187" i="5"/>
  <c r="J186" i="5"/>
  <c r="I186" i="5"/>
  <c r="H186" i="5"/>
  <c r="G186" i="5"/>
  <c r="S186" i="5" s="1"/>
  <c r="F186" i="5"/>
  <c r="D186" i="5" s="1"/>
  <c r="E186" i="5"/>
  <c r="C186" i="5"/>
  <c r="B186" i="5"/>
  <c r="A186" i="5"/>
  <c r="S185" i="5"/>
  <c r="R185" i="5"/>
  <c r="J185" i="5"/>
  <c r="I185" i="5"/>
  <c r="H185" i="5"/>
  <c r="G185" i="5"/>
  <c r="F185" i="5"/>
  <c r="D185" i="5" s="1"/>
  <c r="E185" i="5"/>
  <c r="C185" i="5"/>
  <c r="B185" i="5"/>
  <c r="A185" i="5"/>
  <c r="S184" i="5"/>
  <c r="R184" i="5"/>
  <c r="J184" i="5"/>
  <c r="I184" i="5"/>
  <c r="H184" i="5"/>
  <c r="G184" i="5"/>
  <c r="F184" i="5"/>
  <c r="E184" i="5"/>
  <c r="C184" i="5"/>
  <c r="B184" i="5"/>
  <c r="A184" i="5"/>
  <c r="R183" i="5"/>
  <c r="J183" i="5"/>
  <c r="S183" i="5" s="1"/>
  <c r="I183" i="5"/>
  <c r="H183" i="5"/>
  <c r="G183" i="5"/>
  <c r="F183" i="5"/>
  <c r="E183" i="5"/>
  <c r="C183" i="5"/>
  <c r="B183" i="5"/>
  <c r="A183" i="5"/>
  <c r="S182" i="5"/>
  <c r="J182" i="5"/>
  <c r="I182" i="5"/>
  <c r="R182" i="5" s="1"/>
  <c r="H182" i="5"/>
  <c r="G182" i="5"/>
  <c r="F182" i="5"/>
  <c r="E182" i="5"/>
  <c r="C182" i="5"/>
  <c r="B182" i="5"/>
  <c r="A182" i="5"/>
  <c r="S181" i="5"/>
  <c r="R181" i="5"/>
  <c r="J181" i="5"/>
  <c r="I181" i="5"/>
  <c r="H181" i="5"/>
  <c r="G181" i="5"/>
  <c r="F181" i="5"/>
  <c r="E181" i="5"/>
  <c r="C181" i="5"/>
  <c r="B181" i="5"/>
  <c r="A181" i="5"/>
  <c r="J180" i="5"/>
  <c r="R180" i="5" s="1"/>
  <c r="I180" i="5"/>
  <c r="H180" i="5"/>
  <c r="G180" i="5"/>
  <c r="F180" i="5"/>
  <c r="E180" i="5"/>
  <c r="C180" i="5"/>
  <c r="B180" i="5"/>
  <c r="A180" i="5"/>
  <c r="J179" i="5"/>
  <c r="I179" i="5"/>
  <c r="H179" i="5"/>
  <c r="G179" i="5"/>
  <c r="F179" i="5"/>
  <c r="S179" i="5" s="1"/>
  <c r="E179" i="5"/>
  <c r="C179" i="5"/>
  <c r="B179" i="5"/>
  <c r="A179" i="5"/>
  <c r="J178" i="5"/>
  <c r="I178" i="5"/>
  <c r="H178" i="5"/>
  <c r="G178" i="5"/>
  <c r="F178" i="5"/>
  <c r="S178" i="5" s="1"/>
  <c r="E178" i="5"/>
  <c r="C178" i="5"/>
  <c r="B178" i="5"/>
  <c r="A178" i="5"/>
  <c r="J177" i="5"/>
  <c r="I177" i="5"/>
  <c r="H177" i="5"/>
  <c r="G177" i="5"/>
  <c r="F177" i="5"/>
  <c r="E177" i="5"/>
  <c r="C177" i="5"/>
  <c r="B177" i="5"/>
  <c r="A177" i="5"/>
  <c r="J176" i="5"/>
  <c r="I176" i="5"/>
  <c r="H176" i="5"/>
  <c r="G176" i="5"/>
  <c r="F176" i="5"/>
  <c r="E176" i="5"/>
  <c r="C176" i="5"/>
  <c r="B176" i="5"/>
  <c r="A176" i="5"/>
  <c r="J175" i="5"/>
  <c r="I175" i="5"/>
  <c r="H175" i="5"/>
  <c r="G175" i="5"/>
  <c r="F175" i="5"/>
  <c r="E175" i="5"/>
  <c r="C175" i="5"/>
  <c r="B175" i="5"/>
  <c r="A175" i="5"/>
  <c r="J174" i="5"/>
  <c r="I174" i="5"/>
  <c r="H174" i="5"/>
  <c r="G174" i="5"/>
  <c r="F174" i="5"/>
  <c r="E174" i="5"/>
  <c r="C174" i="5"/>
  <c r="B174" i="5"/>
  <c r="A174" i="5"/>
  <c r="J173" i="5"/>
  <c r="I173" i="5"/>
  <c r="H173" i="5"/>
  <c r="G173" i="5"/>
  <c r="F173" i="5"/>
  <c r="E173" i="5"/>
  <c r="C173" i="5"/>
  <c r="B173" i="5"/>
  <c r="A173" i="5"/>
  <c r="J172" i="5"/>
  <c r="I172" i="5"/>
  <c r="H172" i="5"/>
  <c r="G172" i="5"/>
  <c r="F172" i="5"/>
  <c r="E172" i="5"/>
  <c r="C172" i="5"/>
  <c r="B172" i="5"/>
  <c r="A172" i="5"/>
  <c r="J171" i="5"/>
  <c r="I171" i="5"/>
  <c r="H171" i="5"/>
  <c r="G171" i="5"/>
  <c r="F171" i="5"/>
  <c r="E171" i="5"/>
  <c r="C171" i="5"/>
  <c r="B171" i="5"/>
  <c r="A171" i="5"/>
  <c r="J170" i="5"/>
  <c r="I170" i="5"/>
  <c r="H170" i="5"/>
  <c r="G170" i="5"/>
  <c r="F170" i="5"/>
  <c r="E170" i="5"/>
  <c r="C170" i="5"/>
  <c r="B170" i="5"/>
  <c r="A170" i="5"/>
  <c r="N169" i="5"/>
  <c r="M169" i="5"/>
  <c r="J169" i="5"/>
  <c r="I169" i="5"/>
  <c r="H169" i="5"/>
  <c r="G169" i="5"/>
  <c r="F169" i="5"/>
  <c r="E169" i="5"/>
  <c r="D169" i="5" s="1"/>
  <c r="C169" i="5"/>
  <c r="B169" i="5"/>
  <c r="A169" i="5"/>
  <c r="P168" i="5"/>
  <c r="N168" i="5"/>
  <c r="M168" i="5"/>
  <c r="J168" i="5"/>
  <c r="I168" i="5"/>
  <c r="H168" i="5"/>
  <c r="G168" i="5"/>
  <c r="F168" i="5"/>
  <c r="E168" i="5"/>
  <c r="S168" i="5" s="1"/>
  <c r="C168" i="5"/>
  <c r="B168" i="5"/>
  <c r="A168" i="5"/>
  <c r="S167" i="5"/>
  <c r="R167" i="5"/>
  <c r="P167" i="5"/>
  <c r="N167" i="5"/>
  <c r="M167" i="5"/>
  <c r="D167" i="5" s="1"/>
  <c r="J167" i="5"/>
  <c r="I167" i="5"/>
  <c r="H167" i="5"/>
  <c r="G167" i="5"/>
  <c r="F167" i="5"/>
  <c r="E167" i="5"/>
  <c r="C167" i="5"/>
  <c r="B167" i="5"/>
  <c r="A167" i="5"/>
  <c r="S166" i="5"/>
  <c r="R166" i="5"/>
  <c r="K166" i="5"/>
  <c r="J166" i="5"/>
  <c r="I166" i="5"/>
  <c r="H166" i="5"/>
  <c r="G166" i="5"/>
  <c r="F166" i="5"/>
  <c r="E166" i="5"/>
  <c r="D166" i="5"/>
  <c r="C166" i="5"/>
  <c r="B166" i="5"/>
  <c r="A166" i="5"/>
  <c r="K165" i="5"/>
  <c r="J165" i="5"/>
  <c r="I165" i="5"/>
  <c r="H165" i="5"/>
  <c r="G165" i="5"/>
  <c r="F165" i="5"/>
  <c r="E165" i="5"/>
  <c r="D165" i="5"/>
  <c r="C165" i="5"/>
  <c r="B165" i="5"/>
  <c r="A165" i="5"/>
  <c r="K164" i="5"/>
  <c r="J164" i="5"/>
  <c r="I164" i="5"/>
  <c r="H164" i="5"/>
  <c r="G164" i="5"/>
  <c r="F164" i="5"/>
  <c r="E164" i="5"/>
  <c r="C164" i="5"/>
  <c r="B164" i="5"/>
  <c r="A164" i="5"/>
  <c r="O163" i="5"/>
  <c r="J163" i="5"/>
  <c r="I163" i="5"/>
  <c r="H163" i="5"/>
  <c r="G163" i="5"/>
  <c r="F163" i="5"/>
  <c r="E163" i="5"/>
  <c r="C163" i="5"/>
  <c r="B163" i="5"/>
  <c r="A163" i="5"/>
  <c r="O162" i="5"/>
  <c r="J162" i="5"/>
  <c r="I162" i="5"/>
  <c r="H162" i="5"/>
  <c r="G162" i="5"/>
  <c r="D162" i="5" s="1"/>
  <c r="F162" i="5"/>
  <c r="E162" i="5"/>
  <c r="C162" i="5"/>
  <c r="B162" i="5"/>
  <c r="A162" i="5"/>
  <c r="J161" i="5"/>
  <c r="I161" i="5"/>
  <c r="H161" i="5"/>
  <c r="G161" i="5"/>
  <c r="D161" i="5" s="1"/>
  <c r="F161" i="5"/>
  <c r="E161" i="5"/>
  <c r="C161" i="5"/>
  <c r="B161" i="5"/>
  <c r="A161" i="5"/>
  <c r="K160" i="5"/>
  <c r="J160" i="5"/>
  <c r="I160" i="5"/>
  <c r="H160" i="5"/>
  <c r="G160" i="5"/>
  <c r="F160" i="5"/>
  <c r="E160" i="5"/>
  <c r="D160" i="5" s="1"/>
  <c r="C160" i="5"/>
  <c r="B160" i="5"/>
  <c r="A160" i="5"/>
  <c r="O159" i="5"/>
  <c r="K159" i="5"/>
  <c r="J159" i="5"/>
  <c r="I159" i="5"/>
  <c r="H159" i="5"/>
  <c r="G159" i="5"/>
  <c r="F159" i="5"/>
  <c r="E159" i="5"/>
  <c r="D159" i="5" s="1"/>
  <c r="C159" i="5"/>
  <c r="B159" i="5"/>
  <c r="A159" i="5"/>
  <c r="O158" i="5"/>
  <c r="J158" i="5"/>
  <c r="I158" i="5"/>
  <c r="H158" i="5"/>
  <c r="G158" i="5"/>
  <c r="F158" i="5"/>
  <c r="E158" i="5"/>
  <c r="D158" i="5" s="1"/>
  <c r="C158" i="5"/>
  <c r="B158" i="5"/>
  <c r="A158" i="5"/>
  <c r="R157" i="5"/>
  <c r="O157" i="5"/>
  <c r="J157" i="5"/>
  <c r="I157" i="5"/>
  <c r="H157" i="5"/>
  <c r="S157" i="5" s="1"/>
  <c r="G157" i="5"/>
  <c r="F157" i="5"/>
  <c r="D157" i="5" s="1"/>
  <c r="E157" i="5"/>
  <c r="C157" i="5"/>
  <c r="B157" i="5"/>
  <c r="A157" i="5"/>
  <c r="S156" i="5"/>
  <c r="O156" i="5"/>
  <c r="K156" i="5"/>
  <c r="J156" i="5"/>
  <c r="I156" i="5"/>
  <c r="H156" i="5"/>
  <c r="G156" i="5"/>
  <c r="F156" i="5"/>
  <c r="E156" i="5"/>
  <c r="C156" i="5"/>
  <c r="B156" i="5"/>
  <c r="A156" i="5"/>
  <c r="S155" i="5"/>
  <c r="K155" i="5"/>
  <c r="J155" i="5"/>
  <c r="R155" i="5" s="1"/>
  <c r="I155" i="5"/>
  <c r="H155" i="5"/>
  <c r="G155" i="5"/>
  <c r="F155" i="5"/>
  <c r="E155" i="5"/>
  <c r="C155" i="5"/>
  <c r="B155" i="5"/>
  <c r="A155" i="5"/>
  <c r="R154" i="5"/>
  <c r="J154" i="5"/>
  <c r="S154" i="5" s="1"/>
  <c r="I154" i="5"/>
  <c r="H154" i="5"/>
  <c r="G154" i="5"/>
  <c r="F154" i="5"/>
  <c r="E154" i="5"/>
  <c r="C154" i="5"/>
  <c r="B154" i="5"/>
  <c r="A154" i="5"/>
  <c r="R153" i="5"/>
  <c r="O153" i="5"/>
  <c r="K153" i="5"/>
  <c r="J153" i="5"/>
  <c r="I153" i="5"/>
  <c r="H153" i="5"/>
  <c r="G153" i="5"/>
  <c r="F153" i="5"/>
  <c r="E153" i="5"/>
  <c r="C153" i="5"/>
  <c r="B153" i="5"/>
  <c r="A153" i="5"/>
  <c r="S152" i="5"/>
  <c r="R152" i="5"/>
  <c r="L152" i="5"/>
  <c r="J152" i="5"/>
  <c r="I152" i="5"/>
  <c r="H152" i="5"/>
  <c r="G152" i="5"/>
  <c r="F152" i="5"/>
  <c r="E152" i="5"/>
  <c r="D152" i="5"/>
  <c r="C152" i="5"/>
  <c r="B152" i="5"/>
  <c r="A152" i="5"/>
  <c r="K151" i="5"/>
  <c r="J151" i="5"/>
  <c r="I151" i="5"/>
  <c r="H151" i="5"/>
  <c r="G151" i="5"/>
  <c r="F151" i="5"/>
  <c r="E151" i="5"/>
  <c r="D151" i="5" s="1"/>
  <c r="C151" i="5"/>
  <c r="B151" i="5"/>
  <c r="A151" i="5"/>
  <c r="O150" i="5"/>
  <c r="L150" i="5"/>
  <c r="K150" i="5"/>
  <c r="J150" i="5"/>
  <c r="I150" i="5"/>
  <c r="H150" i="5"/>
  <c r="G150" i="5"/>
  <c r="F150" i="5"/>
  <c r="E150" i="5"/>
  <c r="C150" i="5"/>
  <c r="B150" i="5"/>
  <c r="A150" i="5"/>
  <c r="J149" i="5"/>
  <c r="I149" i="5"/>
  <c r="H149" i="5"/>
  <c r="G149" i="5"/>
  <c r="F149" i="5"/>
  <c r="E149" i="5"/>
  <c r="C149" i="5"/>
  <c r="B149" i="5"/>
  <c r="A149" i="5"/>
  <c r="J148" i="5"/>
  <c r="I148" i="5"/>
  <c r="H148" i="5"/>
  <c r="G148" i="5"/>
  <c r="F148" i="5"/>
  <c r="E148" i="5"/>
  <c r="D148" i="5" s="1"/>
  <c r="C148" i="5"/>
  <c r="B148" i="5"/>
  <c r="A148" i="5"/>
  <c r="J147" i="5"/>
  <c r="I147" i="5"/>
  <c r="H147" i="5"/>
  <c r="G147" i="5"/>
  <c r="F147" i="5"/>
  <c r="E147" i="5"/>
  <c r="D147" i="5" s="1"/>
  <c r="C147" i="5"/>
  <c r="B147" i="5"/>
  <c r="A147" i="5"/>
  <c r="J146" i="5"/>
  <c r="I146" i="5"/>
  <c r="H146" i="5"/>
  <c r="G146" i="5"/>
  <c r="F146" i="5"/>
  <c r="E146" i="5"/>
  <c r="C146" i="5"/>
  <c r="B146" i="5"/>
  <c r="A146" i="5"/>
  <c r="J145" i="5"/>
  <c r="I145" i="5"/>
  <c r="H145" i="5"/>
  <c r="G145" i="5"/>
  <c r="F145" i="5"/>
  <c r="E145" i="5"/>
  <c r="C145" i="5"/>
  <c r="B145" i="5"/>
  <c r="A145" i="5"/>
  <c r="J144" i="5"/>
  <c r="I144" i="5"/>
  <c r="H144" i="5"/>
  <c r="G144" i="5"/>
  <c r="F144" i="5"/>
  <c r="E144" i="5"/>
  <c r="D144" i="5" s="1"/>
  <c r="C144" i="5"/>
  <c r="B144" i="5"/>
  <c r="A144" i="5"/>
  <c r="J143" i="5"/>
  <c r="I143" i="5"/>
  <c r="H143" i="5"/>
  <c r="G143" i="5"/>
  <c r="F143" i="5"/>
  <c r="E143" i="5"/>
  <c r="D143" i="5" s="1"/>
  <c r="C143" i="5"/>
  <c r="B143" i="5"/>
  <c r="A143" i="5"/>
  <c r="J142" i="5"/>
  <c r="I142" i="5"/>
  <c r="H142" i="5"/>
  <c r="G142" i="5"/>
  <c r="F142" i="5"/>
  <c r="E142" i="5"/>
  <c r="C142" i="5"/>
  <c r="B142" i="5"/>
  <c r="A142" i="5"/>
  <c r="J141" i="5"/>
  <c r="I141" i="5"/>
  <c r="H141" i="5"/>
  <c r="G141" i="5"/>
  <c r="F141" i="5"/>
  <c r="E141" i="5"/>
  <c r="C141" i="5"/>
  <c r="B141" i="5"/>
  <c r="A141" i="5"/>
  <c r="J140" i="5"/>
  <c r="I140" i="5"/>
  <c r="H140" i="5"/>
  <c r="G140" i="5"/>
  <c r="F140" i="5"/>
  <c r="E140" i="5"/>
  <c r="D140" i="5" s="1"/>
  <c r="C140" i="5"/>
  <c r="B140" i="5"/>
  <c r="A140" i="5"/>
  <c r="J139" i="5"/>
  <c r="I139" i="5"/>
  <c r="H139" i="5"/>
  <c r="G139" i="5"/>
  <c r="F139" i="5"/>
  <c r="E139" i="5"/>
  <c r="D139" i="5" s="1"/>
  <c r="C139" i="5"/>
  <c r="B139" i="5"/>
  <c r="A139" i="5"/>
  <c r="J138" i="5"/>
  <c r="I138" i="5"/>
  <c r="H138" i="5"/>
  <c r="G138" i="5"/>
  <c r="F138" i="5"/>
  <c r="E138" i="5"/>
  <c r="C138" i="5"/>
  <c r="B138" i="5"/>
  <c r="A138" i="5"/>
  <c r="J137" i="5"/>
  <c r="I137" i="5"/>
  <c r="H137" i="5"/>
  <c r="G137" i="5"/>
  <c r="F137" i="5"/>
  <c r="E137" i="5"/>
  <c r="C137" i="5"/>
  <c r="B137" i="5"/>
  <c r="A137" i="5"/>
  <c r="J136" i="5"/>
  <c r="I136" i="5"/>
  <c r="H136" i="5"/>
  <c r="G136" i="5"/>
  <c r="F136" i="5"/>
  <c r="E136" i="5"/>
  <c r="D136" i="5" s="1"/>
  <c r="C136" i="5"/>
  <c r="B136" i="5"/>
  <c r="A136" i="5"/>
  <c r="J135" i="5"/>
  <c r="I135" i="5"/>
  <c r="H135" i="5"/>
  <c r="G135" i="5"/>
  <c r="F135" i="5"/>
  <c r="E135" i="5"/>
  <c r="D135" i="5" s="1"/>
  <c r="C135" i="5"/>
  <c r="B135" i="5"/>
  <c r="A135" i="5"/>
  <c r="J134" i="5"/>
  <c r="I134" i="5"/>
  <c r="H134" i="5"/>
  <c r="G134" i="5"/>
  <c r="F134" i="5"/>
  <c r="E134" i="5"/>
  <c r="C134" i="5"/>
  <c r="B134" i="5"/>
  <c r="A134" i="5"/>
  <c r="J133" i="5"/>
  <c r="I133" i="5"/>
  <c r="H133" i="5"/>
  <c r="G133" i="5"/>
  <c r="F133" i="5"/>
  <c r="E133" i="5"/>
  <c r="C133" i="5"/>
  <c r="B133" i="5"/>
  <c r="A133" i="5"/>
  <c r="N132" i="5"/>
  <c r="M132" i="5"/>
  <c r="J132" i="5"/>
  <c r="I132" i="5"/>
  <c r="H132" i="5"/>
  <c r="G132" i="5"/>
  <c r="F132" i="5"/>
  <c r="E132" i="5"/>
  <c r="C132" i="5"/>
  <c r="B132" i="5"/>
  <c r="A132" i="5"/>
  <c r="P131" i="5"/>
  <c r="N131" i="5"/>
  <c r="M131" i="5"/>
  <c r="J131" i="5"/>
  <c r="I131" i="5"/>
  <c r="H131" i="5"/>
  <c r="S131" i="5" s="1"/>
  <c r="G131" i="5"/>
  <c r="F131" i="5"/>
  <c r="D131" i="5" s="1"/>
  <c r="E131" i="5"/>
  <c r="C131" i="5"/>
  <c r="B131" i="5"/>
  <c r="A131" i="5"/>
  <c r="S130" i="5"/>
  <c r="R130" i="5"/>
  <c r="P130" i="5"/>
  <c r="N130" i="5"/>
  <c r="M130" i="5"/>
  <c r="D130" i="5" s="1"/>
  <c r="J130" i="5"/>
  <c r="I130" i="5"/>
  <c r="H130" i="5"/>
  <c r="G130" i="5"/>
  <c r="F130" i="5"/>
  <c r="E130" i="5"/>
  <c r="C130" i="5"/>
  <c r="B130" i="5"/>
  <c r="A130" i="5"/>
  <c r="S129" i="5"/>
  <c r="R129" i="5"/>
  <c r="K129" i="5"/>
  <c r="J129" i="5"/>
  <c r="I129" i="5"/>
  <c r="H129" i="5"/>
  <c r="G129" i="5"/>
  <c r="F129" i="5"/>
  <c r="E129" i="5"/>
  <c r="D129" i="5"/>
  <c r="C129" i="5"/>
  <c r="B129" i="5"/>
  <c r="A129" i="5"/>
  <c r="K128" i="5"/>
  <c r="J128" i="5"/>
  <c r="I128" i="5"/>
  <c r="H128" i="5"/>
  <c r="G128" i="5"/>
  <c r="F128" i="5"/>
  <c r="E128" i="5"/>
  <c r="D128" i="5"/>
  <c r="C128" i="5"/>
  <c r="B128" i="5"/>
  <c r="A128" i="5"/>
  <c r="K127" i="5"/>
  <c r="J127" i="5"/>
  <c r="I127" i="5"/>
  <c r="H127" i="5"/>
  <c r="G127" i="5"/>
  <c r="F127" i="5"/>
  <c r="E127" i="5"/>
  <c r="C127" i="5"/>
  <c r="B127" i="5"/>
  <c r="A127" i="5"/>
  <c r="O126" i="5"/>
  <c r="J126" i="5"/>
  <c r="I126" i="5"/>
  <c r="H126" i="5"/>
  <c r="G126" i="5"/>
  <c r="F126" i="5"/>
  <c r="E126" i="5"/>
  <c r="S126" i="5" s="1"/>
  <c r="C126" i="5"/>
  <c r="B126" i="5"/>
  <c r="A126" i="5"/>
  <c r="O125" i="5"/>
  <c r="J125" i="5"/>
  <c r="I125" i="5"/>
  <c r="H125" i="5"/>
  <c r="G125" i="5"/>
  <c r="F125" i="5"/>
  <c r="E125" i="5"/>
  <c r="D125" i="5" s="1"/>
  <c r="C125" i="5"/>
  <c r="B125" i="5"/>
  <c r="A125" i="5"/>
  <c r="J124" i="5"/>
  <c r="I124" i="5"/>
  <c r="H124" i="5"/>
  <c r="G124" i="5"/>
  <c r="F124" i="5"/>
  <c r="E124" i="5"/>
  <c r="C124" i="5"/>
  <c r="B124" i="5"/>
  <c r="A124" i="5"/>
  <c r="K123" i="5"/>
  <c r="J123" i="5"/>
  <c r="I123" i="5"/>
  <c r="H123" i="5"/>
  <c r="G123" i="5"/>
  <c r="F123" i="5"/>
  <c r="E123" i="5"/>
  <c r="C123" i="5"/>
  <c r="B123" i="5"/>
  <c r="A123" i="5"/>
  <c r="O122" i="5"/>
  <c r="K122" i="5"/>
  <c r="J122" i="5"/>
  <c r="I122" i="5"/>
  <c r="H122" i="5"/>
  <c r="G122" i="5"/>
  <c r="F122" i="5"/>
  <c r="E122" i="5"/>
  <c r="C122" i="5"/>
  <c r="B122" i="5"/>
  <c r="A122" i="5"/>
  <c r="O121" i="5"/>
  <c r="J121" i="5"/>
  <c r="I121" i="5"/>
  <c r="H121" i="5"/>
  <c r="G121" i="5"/>
  <c r="R121" i="5" s="1"/>
  <c r="F121" i="5"/>
  <c r="S121" i="5" s="1"/>
  <c r="E121" i="5"/>
  <c r="D121" i="5" s="1"/>
  <c r="C121" i="5"/>
  <c r="B121" i="5"/>
  <c r="A121" i="5"/>
  <c r="R120" i="5"/>
  <c r="O120" i="5"/>
  <c r="J120" i="5"/>
  <c r="I120" i="5"/>
  <c r="H120" i="5"/>
  <c r="S120" i="5" s="1"/>
  <c r="G120" i="5"/>
  <c r="F120" i="5"/>
  <c r="D120" i="5" s="1"/>
  <c r="E120" i="5"/>
  <c r="C120" i="5"/>
  <c r="B120" i="5"/>
  <c r="A120" i="5"/>
  <c r="S119" i="5"/>
  <c r="R119" i="5"/>
  <c r="O119" i="5"/>
  <c r="K119" i="5"/>
  <c r="J119" i="5"/>
  <c r="I119" i="5"/>
  <c r="D119" i="5" s="1"/>
  <c r="H119" i="5"/>
  <c r="G119" i="5"/>
  <c r="F119" i="5"/>
  <c r="E119" i="5"/>
  <c r="C119" i="5"/>
  <c r="B119" i="5"/>
  <c r="A119" i="5"/>
  <c r="R118" i="5"/>
  <c r="K118" i="5"/>
  <c r="S118" i="5" s="1"/>
  <c r="J118" i="5"/>
  <c r="I118" i="5"/>
  <c r="H118" i="5"/>
  <c r="G118" i="5"/>
  <c r="F118" i="5"/>
  <c r="E118" i="5"/>
  <c r="C118" i="5"/>
  <c r="B118" i="5"/>
  <c r="A118" i="5"/>
  <c r="S117" i="5"/>
  <c r="R117" i="5"/>
  <c r="J117" i="5"/>
  <c r="I117" i="5"/>
  <c r="H117" i="5"/>
  <c r="G117" i="5"/>
  <c r="F117" i="5"/>
  <c r="E117" i="5"/>
  <c r="D117" i="5"/>
  <c r="C117" i="5"/>
  <c r="B117" i="5"/>
  <c r="A117" i="5"/>
  <c r="O116" i="5"/>
  <c r="K116" i="5"/>
  <c r="J116" i="5"/>
  <c r="I116" i="5"/>
  <c r="H116" i="5"/>
  <c r="G116" i="5"/>
  <c r="F116" i="5"/>
  <c r="E116" i="5"/>
  <c r="D116" i="5"/>
  <c r="C116" i="5"/>
  <c r="B116" i="5"/>
  <c r="A116" i="5"/>
  <c r="L115" i="5"/>
  <c r="J115" i="5"/>
  <c r="I115" i="5"/>
  <c r="H115" i="5"/>
  <c r="G115" i="5"/>
  <c r="F115" i="5"/>
  <c r="E115" i="5"/>
  <c r="C115" i="5"/>
  <c r="B115" i="5"/>
  <c r="A115" i="5"/>
  <c r="K114" i="5"/>
  <c r="J114" i="5"/>
  <c r="I114" i="5"/>
  <c r="H114" i="5"/>
  <c r="G114" i="5"/>
  <c r="F114" i="5"/>
  <c r="E114" i="5"/>
  <c r="S114" i="5" s="1"/>
  <c r="C114" i="5"/>
  <c r="B114" i="5"/>
  <c r="A114" i="5"/>
  <c r="O113" i="5"/>
  <c r="L113" i="5"/>
  <c r="K113" i="5"/>
  <c r="J113" i="5"/>
  <c r="I113" i="5"/>
  <c r="H113" i="5"/>
  <c r="G113" i="5"/>
  <c r="F113" i="5"/>
  <c r="E113" i="5"/>
  <c r="C113" i="5"/>
  <c r="B113" i="5"/>
  <c r="A113" i="5"/>
  <c r="J112" i="5"/>
  <c r="I112" i="5"/>
  <c r="H112" i="5"/>
  <c r="G112" i="5"/>
  <c r="F112" i="5"/>
  <c r="E112" i="5"/>
  <c r="C112" i="5"/>
  <c r="B112" i="5"/>
  <c r="A112" i="5"/>
  <c r="J111" i="5"/>
  <c r="I111" i="5"/>
  <c r="H111" i="5"/>
  <c r="G111" i="5"/>
  <c r="F111" i="5"/>
  <c r="E111" i="5"/>
  <c r="C111" i="5"/>
  <c r="B111" i="5"/>
  <c r="A111" i="5"/>
  <c r="J110" i="5"/>
  <c r="I110" i="5"/>
  <c r="H110" i="5"/>
  <c r="G110" i="5"/>
  <c r="F110" i="5"/>
  <c r="R110" i="5" s="1"/>
  <c r="E110" i="5"/>
  <c r="D110" i="5" s="1"/>
  <c r="C110" i="5"/>
  <c r="B110" i="5"/>
  <c r="A110" i="5"/>
  <c r="J109" i="5"/>
  <c r="I109" i="5"/>
  <c r="H109" i="5"/>
  <c r="G109" i="5"/>
  <c r="F109" i="5"/>
  <c r="E109" i="5"/>
  <c r="C109" i="5"/>
  <c r="B109" i="5"/>
  <c r="A109" i="5"/>
  <c r="J108" i="5"/>
  <c r="I108" i="5"/>
  <c r="H108" i="5"/>
  <c r="G108" i="5"/>
  <c r="F108" i="5"/>
  <c r="E108" i="5"/>
  <c r="C108" i="5"/>
  <c r="B108" i="5"/>
  <c r="A108" i="5"/>
  <c r="J107" i="5"/>
  <c r="I107" i="5"/>
  <c r="H107" i="5"/>
  <c r="G107" i="5"/>
  <c r="F107" i="5"/>
  <c r="E107" i="5"/>
  <c r="C107" i="5"/>
  <c r="B107" i="5"/>
  <c r="A107" i="5"/>
  <c r="J106" i="5"/>
  <c r="I106" i="5"/>
  <c r="H106" i="5"/>
  <c r="G106" i="5"/>
  <c r="F106" i="5"/>
  <c r="R106" i="5" s="1"/>
  <c r="E106" i="5"/>
  <c r="D106" i="5" s="1"/>
  <c r="C106" i="5"/>
  <c r="B106" i="5"/>
  <c r="A106" i="5"/>
  <c r="J105" i="5"/>
  <c r="I105" i="5"/>
  <c r="H105" i="5"/>
  <c r="G105" i="5"/>
  <c r="F105" i="5"/>
  <c r="E105" i="5"/>
  <c r="C105" i="5"/>
  <c r="B105" i="5"/>
  <c r="A105" i="5"/>
  <c r="J104" i="5"/>
  <c r="I104" i="5"/>
  <c r="H104" i="5"/>
  <c r="G104" i="5"/>
  <c r="F104" i="5"/>
  <c r="E104" i="5"/>
  <c r="C104" i="5"/>
  <c r="B104" i="5"/>
  <c r="A104" i="5"/>
  <c r="J103" i="5"/>
  <c r="I103" i="5"/>
  <c r="H103" i="5"/>
  <c r="G103" i="5"/>
  <c r="F103" i="5"/>
  <c r="E103" i="5"/>
  <c r="C103" i="5"/>
  <c r="B103" i="5"/>
  <c r="A103" i="5"/>
  <c r="J102" i="5"/>
  <c r="I102" i="5"/>
  <c r="H102" i="5"/>
  <c r="G102" i="5"/>
  <c r="F102" i="5"/>
  <c r="R102" i="5" s="1"/>
  <c r="E102" i="5"/>
  <c r="D102" i="5" s="1"/>
  <c r="C102" i="5"/>
  <c r="B102" i="5"/>
  <c r="A102" i="5"/>
  <c r="J101" i="5"/>
  <c r="I101" i="5"/>
  <c r="H101" i="5"/>
  <c r="G101" i="5"/>
  <c r="F101" i="5"/>
  <c r="E101" i="5"/>
  <c r="C101" i="5"/>
  <c r="B101" i="5"/>
  <c r="A101" i="5"/>
  <c r="J100" i="5"/>
  <c r="I100" i="5"/>
  <c r="H100" i="5"/>
  <c r="G100" i="5"/>
  <c r="F100" i="5"/>
  <c r="E100" i="5"/>
  <c r="C100" i="5"/>
  <c r="B100" i="5"/>
  <c r="A100" i="5"/>
  <c r="J99" i="5"/>
  <c r="I99" i="5"/>
  <c r="R99" i="5" s="1"/>
  <c r="H99" i="5"/>
  <c r="G99" i="5"/>
  <c r="F99" i="5"/>
  <c r="E99" i="5"/>
  <c r="C99" i="5"/>
  <c r="B99" i="5"/>
  <c r="A99" i="5"/>
  <c r="J98" i="5"/>
  <c r="I98" i="5"/>
  <c r="R98" i="5" s="1"/>
  <c r="H98" i="5"/>
  <c r="G98" i="5"/>
  <c r="F98" i="5"/>
  <c r="E98" i="5"/>
  <c r="C98" i="5"/>
  <c r="B98" i="5"/>
  <c r="A98" i="5"/>
  <c r="R97" i="5"/>
  <c r="J97" i="5"/>
  <c r="I97" i="5"/>
  <c r="H97" i="5"/>
  <c r="G97" i="5"/>
  <c r="F97" i="5"/>
  <c r="E97" i="5"/>
  <c r="D97" i="5" s="1"/>
  <c r="C97" i="5"/>
  <c r="B97" i="5"/>
  <c r="A97" i="5"/>
  <c r="J96" i="5"/>
  <c r="R96" i="5" s="1"/>
  <c r="I96" i="5"/>
  <c r="H96" i="5"/>
  <c r="G96" i="5"/>
  <c r="F96" i="5"/>
  <c r="E96" i="5"/>
  <c r="C96" i="5"/>
  <c r="B96" i="5"/>
  <c r="A96" i="5"/>
  <c r="R95" i="5"/>
  <c r="N95" i="5"/>
  <c r="M95" i="5"/>
  <c r="J95" i="5"/>
  <c r="I95" i="5"/>
  <c r="H95" i="5"/>
  <c r="G95" i="5"/>
  <c r="F95" i="5"/>
  <c r="E95" i="5"/>
  <c r="C95" i="5"/>
  <c r="B95" i="5"/>
  <c r="A95" i="5"/>
  <c r="P94" i="5"/>
  <c r="N94" i="5"/>
  <c r="S94" i="5" s="1"/>
  <c r="M94" i="5"/>
  <c r="J94" i="5"/>
  <c r="I94" i="5"/>
  <c r="H94" i="5"/>
  <c r="G94" i="5"/>
  <c r="F94" i="5"/>
  <c r="E94" i="5"/>
  <c r="D94" i="5"/>
  <c r="C94" i="5"/>
  <c r="B94" i="5"/>
  <c r="A94" i="5"/>
  <c r="P93" i="5"/>
  <c r="N93" i="5"/>
  <c r="M93" i="5"/>
  <c r="J93" i="5"/>
  <c r="I93" i="5"/>
  <c r="H93" i="5"/>
  <c r="G93" i="5"/>
  <c r="S93" i="5" s="1"/>
  <c r="F93" i="5"/>
  <c r="E93" i="5"/>
  <c r="R93" i="5" s="1"/>
  <c r="C93" i="5"/>
  <c r="B93" i="5"/>
  <c r="A93" i="5"/>
  <c r="K92" i="5"/>
  <c r="J92" i="5"/>
  <c r="I92" i="5"/>
  <c r="H92" i="5"/>
  <c r="G92" i="5"/>
  <c r="F92" i="5"/>
  <c r="D92" i="5" s="1"/>
  <c r="E92" i="5"/>
  <c r="S92" i="5" s="1"/>
  <c r="C92" i="5"/>
  <c r="B92" i="5"/>
  <c r="A92" i="5"/>
  <c r="K91" i="5"/>
  <c r="J91" i="5"/>
  <c r="I91" i="5"/>
  <c r="H91" i="5"/>
  <c r="G91" i="5"/>
  <c r="F91" i="5"/>
  <c r="E91" i="5"/>
  <c r="D91" i="5"/>
  <c r="C91" i="5"/>
  <c r="B91" i="5"/>
  <c r="A91" i="5"/>
  <c r="K90" i="5"/>
  <c r="J90" i="5"/>
  <c r="I90" i="5"/>
  <c r="H90" i="5"/>
  <c r="G90" i="5"/>
  <c r="F90" i="5"/>
  <c r="E90" i="5"/>
  <c r="C90" i="5"/>
  <c r="B90" i="5"/>
  <c r="A90" i="5"/>
  <c r="O89" i="5"/>
  <c r="J89" i="5"/>
  <c r="I89" i="5"/>
  <c r="H89" i="5"/>
  <c r="G89" i="5"/>
  <c r="F89" i="5"/>
  <c r="E89" i="5"/>
  <c r="C89" i="5"/>
  <c r="B89" i="5"/>
  <c r="A89" i="5"/>
  <c r="R88" i="5"/>
  <c r="O88" i="5"/>
  <c r="J88" i="5"/>
  <c r="I88" i="5"/>
  <c r="H88" i="5"/>
  <c r="G88" i="5"/>
  <c r="F88" i="5"/>
  <c r="E88" i="5"/>
  <c r="C88" i="5"/>
  <c r="B88" i="5"/>
  <c r="A88" i="5"/>
  <c r="S87" i="5"/>
  <c r="R87" i="5"/>
  <c r="J87" i="5"/>
  <c r="I87" i="5"/>
  <c r="H87" i="5"/>
  <c r="G87" i="5"/>
  <c r="F87" i="5"/>
  <c r="E87" i="5"/>
  <c r="C87" i="5"/>
  <c r="B87" i="5"/>
  <c r="A87" i="5"/>
  <c r="K86" i="5"/>
  <c r="R86" i="5" s="1"/>
  <c r="J86" i="5"/>
  <c r="I86" i="5"/>
  <c r="H86" i="5"/>
  <c r="G86" i="5"/>
  <c r="F86" i="5"/>
  <c r="E86" i="5"/>
  <c r="C86" i="5"/>
  <c r="B86" i="5"/>
  <c r="A86" i="5"/>
  <c r="R85" i="5"/>
  <c r="O85" i="5"/>
  <c r="K85" i="5"/>
  <c r="J85" i="5"/>
  <c r="S85" i="5" s="1"/>
  <c r="I85" i="5"/>
  <c r="H85" i="5"/>
  <c r="G85" i="5"/>
  <c r="F85" i="5"/>
  <c r="E85" i="5"/>
  <c r="C85" i="5"/>
  <c r="B85" i="5"/>
  <c r="A85" i="5"/>
  <c r="O84" i="5"/>
  <c r="J84" i="5"/>
  <c r="I84" i="5"/>
  <c r="H84" i="5"/>
  <c r="G84" i="5"/>
  <c r="F84" i="5"/>
  <c r="E84" i="5"/>
  <c r="C84" i="5"/>
  <c r="B84" i="5"/>
  <c r="A84" i="5"/>
  <c r="S83" i="5"/>
  <c r="R83" i="5"/>
  <c r="O83" i="5"/>
  <c r="J83" i="5"/>
  <c r="I83" i="5"/>
  <c r="H83" i="5"/>
  <c r="G83" i="5"/>
  <c r="F83" i="5"/>
  <c r="E83" i="5"/>
  <c r="D83" i="5"/>
  <c r="C83" i="5"/>
  <c r="B83" i="5"/>
  <c r="A83" i="5"/>
  <c r="S82" i="5"/>
  <c r="O82" i="5"/>
  <c r="K82" i="5"/>
  <c r="J82" i="5"/>
  <c r="I82" i="5"/>
  <c r="H82" i="5"/>
  <c r="G82" i="5"/>
  <c r="F82" i="5"/>
  <c r="E82" i="5"/>
  <c r="C82" i="5"/>
  <c r="B82" i="5"/>
  <c r="A82" i="5"/>
  <c r="K81" i="5"/>
  <c r="J81" i="5"/>
  <c r="I81" i="5"/>
  <c r="H81" i="5"/>
  <c r="G81" i="5"/>
  <c r="F81" i="5"/>
  <c r="D81" i="5" s="1"/>
  <c r="E81" i="5"/>
  <c r="C81" i="5"/>
  <c r="B81" i="5"/>
  <c r="A81" i="5"/>
  <c r="J80" i="5"/>
  <c r="I80" i="5"/>
  <c r="H80" i="5"/>
  <c r="G80" i="5"/>
  <c r="F80" i="5"/>
  <c r="D80" i="5" s="1"/>
  <c r="E80" i="5"/>
  <c r="S80" i="5" s="1"/>
  <c r="C80" i="5"/>
  <c r="B80" i="5"/>
  <c r="A80" i="5"/>
  <c r="O79" i="5"/>
  <c r="K79" i="5"/>
  <c r="J79" i="5"/>
  <c r="I79" i="5"/>
  <c r="H79" i="5"/>
  <c r="G79" i="5"/>
  <c r="F79" i="5"/>
  <c r="E79" i="5"/>
  <c r="C79" i="5"/>
  <c r="B79" i="5"/>
  <c r="A79" i="5"/>
  <c r="L78" i="5"/>
  <c r="J78" i="5"/>
  <c r="I78" i="5"/>
  <c r="H78" i="5"/>
  <c r="G78" i="5"/>
  <c r="F78" i="5"/>
  <c r="E78" i="5"/>
  <c r="C78" i="5"/>
  <c r="B78" i="5"/>
  <c r="A78" i="5"/>
  <c r="K77" i="5"/>
  <c r="J77" i="5"/>
  <c r="I77" i="5"/>
  <c r="H77" i="5"/>
  <c r="G77" i="5"/>
  <c r="R77" i="5" s="1"/>
  <c r="F77" i="5"/>
  <c r="D77" i="5" s="1"/>
  <c r="E77" i="5"/>
  <c r="C77" i="5"/>
  <c r="B77" i="5"/>
  <c r="A77" i="5"/>
  <c r="O76" i="5"/>
  <c r="L76" i="5"/>
  <c r="K76" i="5"/>
  <c r="J76" i="5"/>
  <c r="S76" i="5" s="1"/>
  <c r="I76" i="5"/>
  <c r="D76" i="5" s="1"/>
  <c r="H76" i="5"/>
  <c r="G76" i="5"/>
  <c r="F76" i="5"/>
  <c r="E76" i="5"/>
  <c r="C76" i="5"/>
  <c r="B76" i="5"/>
  <c r="A76" i="5"/>
  <c r="J75" i="5"/>
  <c r="S75" i="5" s="1"/>
  <c r="I75" i="5"/>
  <c r="D75" i="5" s="1"/>
  <c r="H75" i="5"/>
  <c r="G75" i="5"/>
  <c r="F75" i="5"/>
  <c r="E75" i="5"/>
  <c r="C75" i="5"/>
  <c r="B75" i="5"/>
  <c r="A75" i="5"/>
  <c r="R74" i="5"/>
  <c r="J74" i="5"/>
  <c r="S74" i="5" s="1"/>
  <c r="I74" i="5"/>
  <c r="H74" i="5"/>
  <c r="G74" i="5"/>
  <c r="F74" i="5"/>
  <c r="E74" i="5"/>
  <c r="C74" i="5"/>
  <c r="B74" i="5"/>
  <c r="A74" i="5"/>
  <c r="J73" i="5"/>
  <c r="S73" i="5" s="1"/>
  <c r="I73" i="5"/>
  <c r="H73" i="5"/>
  <c r="G73" i="5"/>
  <c r="F73" i="5"/>
  <c r="E73" i="5"/>
  <c r="C73" i="5"/>
  <c r="B73" i="5"/>
  <c r="A73" i="5"/>
  <c r="R72" i="5"/>
  <c r="J72" i="5"/>
  <c r="S72" i="5" s="1"/>
  <c r="I72" i="5"/>
  <c r="D72" i="5" s="1"/>
  <c r="H72" i="5"/>
  <c r="G72" i="5"/>
  <c r="F72" i="5"/>
  <c r="E72" i="5"/>
  <c r="C72" i="5"/>
  <c r="B72" i="5"/>
  <c r="A72" i="5"/>
  <c r="J71" i="5"/>
  <c r="I71" i="5"/>
  <c r="H71" i="5"/>
  <c r="G71" i="5"/>
  <c r="F71" i="5"/>
  <c r="E71" i="5"/>
  <c r="C71" i="5"/>
  <c r="B71" i="5"/>
  <c r="A71" i="5"/>
  <c r="R70" i="5"/>
  <c r="J70" i="5"/>
  <c r="S70" i="5" s="1"/>
  <c r="I70" i="5"/>
  <c r="D70" i="5" s="1"/>
  <c r="H70" i="5"/>
  <c r="G70" i="5"/>
  <c r="F70" i="5"/>
  <c r="E70" i="5"/>
  <c r="C70" i="5"/>
  <c r="B70" i="5"/>
  <c r="A70" i="5"/>
  <c r="J69" i="5"/>
  <c r="I69" i="5"/>
  <c r="H69" i="5"/>
  <c r="G69" i="5"/>
  <c r="F69" i="5"/>
  <c r="E69" i="5"/>
  <c r="C69" i="5"/>
  <c r="B69" i="5"/>
  <c r="A69" i="5"/>
  <c r="R68" i="5"/>
  <c r="J68" i="5"/>
  <c r="I68" i="5"/>
  <c r="H68" i="5"/>
  <c r="G68" i="5"/>
  <c r="F68" i="5"/>
  <c r="E68" i="5"/>
  <c r="C68" i="5"/>
  <c r="B68" i="5"/>
  <c r="A68" i="5"/>
  <c r="J67" i="5"/>
  <c r="I67" i="5"/>
  <c r="H67" i="5"/>
  <c r="G67" i="5"/>
  <c r="F67" i="5"/>
  <c r="E67" i="5"/>
  <c r="C67" i="5"/>
  <c r="B67" i="5"/>
  <c r="A67" i="5"/>
  <c r="R66" i="5"/>
  <c r="J66" i="5"/>
  <c r="I66" i="5"/>
  <c r="H66" i="5"/>
  <c r="G66" i="5"/>
  <c r="F66" i="5"/>
  <c r="E66" i="5"/>
  <c r="C66" i="5"/>
  <c r="B66" i="5"/>
  <c r="A66" i="5"/>
  <c r="J65" i="5"/>
  <c r="I65" i="5"/>
  <c r="H65" i="5"/>
  <c r="G65" i="5"/>
  <c r="F65" i="5"/>
  <c r="E65" i="5"/>
  <c r="C65" i="5"/>
  <c r="B65" i="5"/>
  <c r="A65" i="5"/>
  <c r="R64" i="5"/>
  <c r="J64" i="5"/>
  <c r="I64" i="5"/>
  <c r="H64" i="5"/>
  <c r="G64" i="5"/>
  <c r="F64" i="5"/>
  <c r="E64" i="5"/>
  <c r="C64" i="5"/>
  <c r="B64" i="5"/>
  <c r="A64" i="5"/>
  <c r="J63" i="5"/>
  <c r="I63" i="5"/>
  <c r="H63" i="5"/>
  <c r="G63" i="5"/>
  <c r="F63" i="5"/>
  <c r="E63" i="5"/>
  <c r="C63" i="5"/>
  <c r="B63" i="5"/>
  <c r="A63" i="5"/>
  <c r="R62" i="5"/>
  <c r="J62" i="5"/>
  <c r="I62" i="5"/>
  <c r="H62" i="5"/>
  <c r="G62" i="5"/>
  <c r="F62" i="5"/>
  <c r="E62" i="5"/>
  <c r="C62" i="5"/>
  <c r="B62" i="5"/>
  <c r="A62" i="5"/>
  <c r="J61" i="5"/>
  <c r="I61" i="5"/>
  <c r="H61" i="5"/>
  <c r="G61" i="5"/>
  <c r="F61" i="5"/>
  <c r="E61" i="5"/>
  <c r="C61" i="5"/>
  <c r="B61" i="5"/>
  <c r="A61" i="5"/>
  <c r="R60" i="5"/>
  <c r="J60" i="5"/>
  <c r="I60" i="5"/>
  <c r="H60" i="5"/>
  <c r="G60" i="5"/>
  <c r="F60" i="5"/>
  <c r="E60" i="5"/>
  <c r="C60" i="5"/>
  <c r="B60" i="5"/>
  <c r="A60" i="5"/>
  <c r="J59" i="5"/>
  <c r="I59" i="5"/>
  <c r="H59" i="5"/>
  <c r="G59" i="5"/>
  <c r="F59" i="5"/>
  <c r="E59" i="5"/>
  <c r="C59" i="5"/>
  <c r="B59" i="5"/>
  <c r="A59" i="5"/>
  <c r="R58" i="5"/>
  <c r="N58" i="5"/>
  <c r="M58" i="5"/>
  <c r="J58" i="5"/>
  <c r="I58" i="5"/>
  <c r="H58" i="5"/>
  <c r="G58" i="5"/>
  <c r="F58" i="5"/>
  <c r="E58" i="5"/>
  <c r="D58" i="5" s="1"/>
  <c r="C58" i="5"/>
  <c r="B58" i="5"/>
  <c r="A58" i="5"/>
  <c r="P57" i="5"/>
  <c r="N57" i="5"/>
  <c r="M57" i="5"/>
  <c r="J57" i="5"/>
  <c r="I57" i="5"/>
  <c r="H57" i="5"/>
  <c r="D57" i="5" s="1"/>
  <c r="G57" i="5"/>
  <c r="F57" i="5"/>
  <c r="E57" i="5"/>
  <c r="C57" i="5"/>
  <c r="B57" i="5"/>
  <c r="A57" i="5"/>
  <c r="P56" i="5"/>
  <c r="N56" i="5"/>
  <c r="M56" i="5"/>
  <c r="J56" i="5"/>
  <c r="I56" i="5"/>
  <c r="H56" i="5"/>
  <c r="G56" i="5"/>
  <c r="F56" i="5"/>
  <c r="E56" i="5"/>
  <c r="C56" i="5"/>
  <c r="B56" i="5"/>
  <c r="A56" i="5"/>
  <c r="R55" i="5"/>
  <c r="K55" i="5"/>
  <c r="J55" i="5"/>
  <c r="I55" i="5"/>
  <c r="H55" i="5"/>
  <c r="G55" i="5"/>
  <c r="F55" i="5"/>
  <c r="E55" i="5"/>
  <c r="C55" i="5"/>
  <c r="B55" i="5"/>
  <c r="A55" i="5"/>
  <c r="S54" i="5"/>
  <c r="R54" i="5"/>
  <c r="K54" i="5"/>
  <c r="J54" i="5"/>
  <c r="I54" i="5"/>
  <c r="H54" i="5"/>
  <c r="G54" i="5"/>
  <c r="F54" i="5"/>
  <c r="E54" i="5"/>
  <c r="C54" i="5"/>
  <c r="B54" i="5"/>
  <c r="A54" i="5"/>
  <c r="S53" i="5"/>
  <c r="R53" i="5"/>
  <c r="K53" i="5"/>
  <c r="J53" i="5"/>
  <c r="I53" i="5"/>
  <c r="H53" i="5"/>
  <c r="G53" i="5"/>
  <c r="F53" i="5"/>
  <c r="E53" i="5"/>
  <c r="C53" i="5"/>
  <c r="B53" i="5"/>
  <c r="A53" i="5"/>
  <c r="O52" i="5"/>
  <c r="S52" i="5" s="1"/>
  <c r="J52" i="5"/>
  <c r="I52" i="5"/>
  <c r="H52" i="5"/>
  <c r="G52" i="5"/>
  <c r="F52" i="5"/>
  <c r="E52" i="5"/>
  <c r="C52" i="5"/>
  <c r="B52" i="5"/>
  <c r="A52" i="5"/>
  <c r="O51" i="5"/>
  <c r="S51" i="5" s="1"/>
  <c r="J51" i="5"/>
  <c r="I51" i="5"/>
  <c r="H51" i="5"/>
  <c r="G51" i="5"/>
  <c r="F51" i="5"/>
  <c r="E51" i="5"/>
  <c r="C51" i="5"/>
  <c r="B51" i="5"/>
  <c r="A51" i="5"/>
  <c r="S50" i="5"/>
  <c r="R50" i="5"/>
  <c r="J50" i="5"/>
  <c r="I50" i="5"/>
  <c r="H50" i="5"/>
  <c r="G50" i="5"/>
  <c r="F50" i="5"/>
  <c r="E50" i="5"/>
  <c r="D50" i="5"/>
  <c r="C50" i="5"/>
  <c r="B50" i="5"/>
  <c r="A50" i="5"/>
  <c r="S49" i="5"/>
  <c r="R49" i="5"/>
  <c r="K49" i="5"/>
  <c r="J49" i="5"/>
  <c r="I49" i="5"/>
  <c r="H49" i="5"/>
  <c r="G49" i="5"/>
  <c r="F49" i="5"/>
  <c r="E49" i="5"/>
  <c r="D49" i="5" s="1"/>
  <c r="C49" i="5"/>
  <c r="B49" i="5"/>
  <c r="A49" i="5"/>
  <c r="S48" i="5"/>
  <c r="O48" i="5"/>
  <c r="K48" i="5"/>
  <c r="J48" i="5"/>
  <c r="I48" i="5"/>
  <c r="H48" i="5"/>
  <c r="G48" i="5"/>
  <c r="F48" i="5"/>
  <c r="E48" i="5"/>
  <c r="C48" i="5"/>
  <c r="B48" i="5"/>
  <c r="A48" i="5"/>
  <c r="O47" i="5"/>
  <c r="J47" i="5"/>
  <c r="I47" i="5"/>
  <c r="H47" i="5"/>
  <c r="G47" i="5"/>
  <c r="F47" i="5"/>
  <c r="D47" i="5" s="1"/>
  <c r="E47" i="5"/>
  <c r="C47" i="5"/>
  <c r="B47" i="5"/>
  <c r="A47" i="5"/>
  <c r="O46" i="5"/>
  <c r="J46" i="5"/>
  <c r="I46" i="5"/>
  <c r="H46" i="5"/>
  <c r="G46" i="5"/>
  <c r="F46" i="5"/>
  <c r="E46" i="5"/>
  <c r="C46" i="5"/>
  <c r="B46" i="5"/>
  <c r="A46" i="5"/>
  <c r="O45" i="5"/>
  <c r="K45" i="5"/>
  <c r="J45" i="5"/>
  <c r="I45" i="5"/>
  <c r="H45" i="5"/>
  <c r="G45" i="5"/>
  <c r="F45" i="5"/>
  <c r="E45" i="5"/>
  <c r="C45" i="5"/>
  <c r="B45" i="5"/>
  <c r="A45" i="5"/>
  <c r="K44" i="5"/>
  <c r="J44" i="5"/>
  <c r="I44" i="5"/>
  <c r="H44" i="5"/>
  <c r="G44" i="5"/>
  <c r="R44" i="5" s="1"/>
  <c r="F44" i="5"/>
  <c r="E44" i="5"/>
  <c r="C44" i="5"/>
  <c r="B44" i="5"/>
  <c r="A44" i="5"/>
  <c r="J43" i="5"/>
  <c r="I43" i="5"/>
  <c r="H43" i="5"/>
  <c r="G43" i="5"/>
  <c r="F43" i="5"/>
  <c r="E43" i="5"/>
  <c r="C43" i="5"/>
  <c r="B43" i="5"/>
  <c r="A43" i="5"/>
  <c r="O42" i="5"/>
  <c r="K42" i="5"/>
  <c r="J42" i="5"/>
  <c r="I42" i="5"/>
  <c r="S42" i="5" s="1"/>
  <c r="H42" i="5"/>
  <c r="G42" i="5"/>
  <c r="F42" i="5"/>
  <c r="E42" i="5"/>
  <c r="C42" i="5"/>
  <c r="B42" i="5"/>
  <c r="A42" i="5"/>
  <c r="L41" i="5"/>
  <c r="J41" i="5"/>
  <c r="I41" i="5"/>
  <c r="H41" i="5"/>
  <c r="G41" i="5"/>
  <c r="F41" i="5"/>
  <c r="E41" i="5"/>
  <c r="C41" i="5"/>
  <c r="B41" i="5"/>
  <c r="A41" i="5"/>
  <c r="R40" i="5"/>
  <c r="K40" i="5"/>
  <c r="S40" i="5" s="1"/>
  <c r="J40" i="5"/>
  <c r="I40" i="5"/>
  <c r="H40" i="5"/>
  <c r="G40" i="5"/>
  <c r="F40" i="5"/>
  <c r="E40" i="5"/>
  <c r="D40" i="5"/>
  <c r="C40" i="5"/>
  <c r="B40" i="5"/>
  <c r="A40" i="5"/>
  <c r="O39" i="5"/>
  <c r="L39" i="5"/>
  <c r="K39" i="5"/>
  <c r="J39" i="5"/>
  <c r="I39" i="5"/>
  <c r="H39" i="5"/>
  <c r="G39" i="5"/>
  <c r="F39" i="5"/>
  <c r="E39" i="5"/>
  <c r="D39" i="5" s="1"/>
  <c r="C39" i="5"/>
  <c r="B39" i="5"/>
  <c r="A39" i="5"/>
  <c r="J38" i="5"/>
  <c r="I38" i="5"/>
  <c r="H38" i="5"/>
  <c r="G38" i="5"/>
  <c r="F38" i="5"/>
  <c r="E38" i="5"/>
  <c r="C38" i="5"/>
  <c r="B38" i="5"/>
  <c r="A38" i="5"/>
  <c r="J37" i="5"/>
  <c r="I37" i="5"/>
  <c r="H37" i="5"/>
  <c r="G37" i="5"/>
  <c r="F37" i="5"/>
  <c r="E37" i="5"/>
  <c r="C37" i="5"/>
  <c r="B37" i="5"/>
  <c r="A37" i="5"/>
  <c r="J36" i="5"/>
  <c r="I36" i="5"/>
  <c r="H36" i="5"/>
  <c r="G36" i="5"/>
  <c r="F36" i="5"/>
  <c r="E36" i="5"/>
  <c r="C36" i="5"/>
  <c r="B36" i="5"/>
  <c r="A36" i="5"/>
  <c r="J35" i="5"/>
  <c r="I35" i="5"/>
  <c r="H35" i="5"/>
  <c r="G35" i="5"/>
  <c r="F35" i="5"/>
  <c r="E35" i="5"/>
  <c r="C35" i="5"/>
  <c r="B35" i="5"/>
  <c r="A35" i="5"/>
  <c r="J34" i="5"/>
  <c r="I34" i="5"/>
  <c r="H34" i="5"/>
  <c r="G34" i="5"/>
  <c r="F34" i="5"/>
  <c r="E34" i="5"/>
  <c r="C34" i="5"/>
  <c r="B34" i="5"/>
  <c r="A34" i="5"/>
  <c r="J33" i="5"/>
  <c r="I33" i="5"/>
  <c r="H33" i="5"/>
  <c r="G33" i="5"/>
  <c r="F33" i="5"/>
  <c r="E33" i="5"/>
  <c r="C33" i="5"/>
  <c r="B33" i="5"/>
  <c r="A33" i="5"/>
  <c r="J32" i="5"/>
  <c r="I32" i="5"/>
  <c r="H32" i="5"/>
  <c r="G32" i="5"/>
  <c r="F32" i="5"/>
  <c r="E32" i="5"/>
  <c r="C32" i="5"/>
  <c r="B32" i="5"/>
  <c r="A32" i="5"/>
  <c r="J31" i="5"/>
  <c r="I31" i="5"/>
  <c r="H31" i="5"/>
  <c r="G31" i="5"/>
  <c r="F31" i="5"/>
  <c r="E31" i="5"/>
  <c r="C31" i="5"/>
  <c r="B31" i="5"/>
  <c r="A31" i="5"/>
  <c r="J30" i="5"/>
  <c r="I30" i="5"/>
  <c r="H30" i="5"/>
  <c r="G30" i="5"/>
  <c r="F30" i="5"/>
  <c r="E30" i="5"/>
  <c r="C30" i="5"/>
  <c r="B30" i="5"/>
  <c r="A30" i="5"/>
  <c r="J29" i="5"/>
  <c r="I29" i="5"/>
  <c r="H29" i="5"/>
  <c r="G29" i="5"/>
  <c r="F29" i="5"/>
  <c r="E29" i="5"/>
  <c r="C29" i="5"/>
  <c r="B29" i="5"/>
  <c r="A29" i="5"/>
  <c r="J28" i="5"/>
  <c r="I28" i="5"/>
  <c r="H28" i="5"/>
  <c r="G28" i="5"/>
  <c r="F28" i="5"/>
  <c r="E28" i="5"/>
  <c r="C28" i="5"/>
  <c r="B28" i="5"/>
  <c r="A28" i="5"/>
  <c r="J27" i="5"/>
  <c r="I27" i="5"/>
  <c r="H27" i="5"/>
  <c r="G27" i="5"/>
  <c r="F27" i="5"/>
  <c r="E27" i="5"/>
  <c r="C27" i="5"/>
  <c r="B27" i="5"/>
  <c r="A27" i="5"/>
  <c r="J26" i="5"/>
  <c r="I26" i="5"/>
  <c r="H26" i="5"/>
  <c r="G26" i="5"/>
  <c r="F26" i="5"/>
  <c r="E26" i="5"/>
  <c r="C26" i="5"/>
  <c r="B26" i="5"/>
  <c r="A26" i="5"/>
  <c r="J25" i="5"/>
  <c r="I25" i="5"/>
  <c r="H25" i="5"/>
  <c r="G25" i="5"/>
  <c r="F25" i="5"/>
  <c r="E25" i="5"/>
  <c r="C25" i="5"/>
  <c r="B25" i="5"/>
  <c r="A25" i="5"/>
  <c r="J24" i="5"/>
  <c r="I24" i="5"/>
  <c r="H24" i="5"/>
  <c r="G24" i="5"/>
  <c r="F24" i="5"/>
  <c r="E24" i="5"/>
  <c r="C24" i="5"/>
  <c r="B24" i="5"/>
  <c r="A24" i="5"/>
  <c r="J23" i="5"/>
  <c r="I23" i="5"/>
  <c r="H23" i="5"/>
  <c r="G23" i="5"/>
  <c r="F23" i="5"/>
  <c r="E23" i="5"/>
  <c r="D23" i="5" s="1"/>
  <c r="C23" i="5"/>
  <c r="B23" i="5"/>
  <c r="A23" i="5"/>
  <c r="J22" i="5"/>
  <c r="I22" i="5"/>
  <c r="H22" i="5"/>
  <c r="G22" i="5"/>
  <c r="D22" i="5" s="1"/>
  <c r="F22" i="5"/>
  <c r="E22" i="5"/>
  <c r="C22" i="5"/>
  <c r="B22" i="5"/>
  <c r="A22" i="5"/>
  <c r="N21" i="5"/>
  <c r="M21" i="5"/>
  <c r="J21" i="5"/>
  <c r="I21" i="5"/>
  <c r="H21" i="5"/>
  <c r="G21" i="5"/>
  <c r="D21" i="5" s="1"/>
  <c r="F21" i="5"/>
  <c r="E21" i="5"/>
  <c r="C21" i="5"/>
  <c r="B21" i="5"/>
  <c r="A21" i="5"/>
  <c r="P20" i="5"/>
  <c r="N20" i="5"/>
  <c r="M20" i="5"/>
  <c r="J20" i="5"/>
  <c r="I20" i="5"/>
  <c r="H20" i="5"/>
  <c r="G20" i="5"/>
  <c r="F20" i="5"/>
  <c r="E20" i="5"/>
  <c r="C20" i="5"/>
  <c r="B20" i="5"/>
  <c r="A20" i="5"/>
  <c r="P19" i="5"/>
  <c r="N19" i="5"/>
  <c r="M19" i="5"/>
  <c r="J19" i="5"/>
  <c r="I19" i="5"/>
  <c r="H19" i="5"/>
  <c r="G19" i="5"/>
  <c r="F19" i="5"/>
  <c r="E19" i="5"/>
  <c r="C19" i="5"/>
  <c r="B19" i="5"/>
  <c r="A19" i="5"/>
  <c r="K18" i="5"/>
  <c r="D18" i="5" s="1"/>
  <c r="J18" i="5"/>
  <c r="I18" i="5"/>
  <c r="H18" i="5"/>
  <c r="G18" i="5"/>
  <c r="F18" i="5"/>
  <c r="E18" i="5"/>
  <c r="C18" i="5"/>
  <c r="B18" i="5"/>
  <c r="A18" i="5"/>
  <c r="S17" i="5"/>
  <c r="R17" i="5"/>
  <c r="K17" i="5"/>
  <c r="J17" i="5"/>
  <c r="I17" i="5"/>
  <c r="H17" i="5"/>
  <c r="G17" i="5"/>
  <c r="F17" i="5"/>
  <c r="E17" i="5"/>
  <c r="D17" i="5" s="1"/>
  <c r="C17" i="5"/>
  <c r="B17" i="5"/>
  <c r="A17" i="5"/>
  <c r="S16" i="5"/>
  <c r="K16" i="5"/>
  <c r="J16" i="5"/>
  <c r="I16" i="5"/>
  <c r="H16" i="5"/>
  <c r="G16" i="5"/>
  <c r="F16" i="5"/>
  <c r="E16" i="5"/>
  <c r="D16" i="5" s="1"/>
  <c r="C16" i="5"/>
  <c r="B16" i="5"/>
  <c r="A16" i="5"/>
  <c r="S15" i="5"/>
  <c r="O15" i="5"/>
  <c r="J15" i="5"/>
  <c r="I15" i="5"/>
  <c r="H15" i="5"/>
  <c r="G15" i="5"/>
  <c r="F15" i="5"/>
  <c r="E15" i="5"/>
  <c r="D15" i="5" s="1"/>
  <c r="C15" i="5"/>
  <c r="B15" i="5"/>
  <c r="A15" i="5"/>
  <c r="O14" i="5"/>
  <c r="J14" i="5"/>
  <c r="I14" i="5"/>
  <c r="H14" i="5"/>
  <c r="G14" i="5"/>
  <c r="F14" i="5"/>
  <c r="E14" i="5"/>
  <c r="D14" i="5" s="1"/>
  <c r="C14" i="5"/>
  <c r="B14" i="5"/>
  <c r="A14" i="5"/>
  <c r="J13" i="5"/>
  <c r="I13" i="5"/>
  <c r="H13" i="5"/>
  <c r="G13" i="5"/>
  <c r="F13" i="5"/>
  <c r="E13" i="5"/>
  <c r="D13" i="5" s="1"/>
  <c r="C13" i="5"/>
  <c r="B13" i="5"/>
  <c r="A13" i="5"/>
  <c r="K12" i="5"/>
  <c r="J12" i="5"/>
  <c r="I12" i="5"/>
  <c r="H12" i="5"/>
  <c r="G12" i="5"/>
  <c r="D12" i="5" s="1"/>
  <c r="F12" i="5"/>
  <c r="E12" i="5"/>
  <c r="C12" i="5"/>
  <c r="B12" i="5"/>
  <c r="A12" i="5"/>
  <c r="O11" i="5"/>
  <c r="K11" i="5"/>
  <c r="J11" i="5"/>
  <c r="I11" i="5"/>
  <c r="H11" i="5"/>
  <c r="G11" i="5"/>
  <c r="F11" i="5"/>
  <c r="E11" i="5"/>
  <c r="C11" i="5"/>
  <c r="B11" i="5"/>
  <c r="A11" i="5"/>
  <c r="O10" i="5"/>
  <c r="J10" i="5"/>
  <c r="I10" i="5"/>
  <c r="H10" i="5"/>
  <c r="G10" i="5"/>
  <c r="F10" i="5"/>
  <c r="S10" i="5" s="1"/>
  <c r="E10" i="5"/>
  <c r="C10" i="5"/>
  <c r="B10" i="5"/>
  <c r="A10" i="5"/>
  <c r="O9" i="5"/>
  <c r="J9" i="5"/>
  <c r="I9" i="5"/>
  <c r="H9" i="5"/>
  <c r="G9" i="5"/>
  <c r="F9" i="5"/>
  <c r="E9" i="5"/>
  <c r="C9" i="5"/>
  <c r="B9" i="5"/>
  <c r="A9" i="5"/>
  <c r="O8" i="5"/>
  <c r="K8" i="5"/>
  <c r="J8" i="5"/>
  <c r="I8" i="5"/>
  <c r="D8" i="5" s="1"/>
  <c r="H8" i="5"/>
  <c r="G8" i="5"/>
  <c r="F8" i="5"/>
  <c r="E8" i="5"/>
  <c r="C8" i="5"/>
  <c r="B8" i="5"/>
  <c r="A8" i="5"/>
  <c r="K7" i="5"/>
  <c r="J7" i="5"/>
  <c r="R7" i="5" s="1"/>
  <c r="I7" i="5"/>
  <c r="H7" i="5"/>
  <c r="G7" i="5"/>
  <c r="F7" i="5"/>
  <c r="E7" i="5"/>
  <c r="D7" i="5" s="1"/>
  <c r="C7" i="5"/>
  <c r="B7" i="5"/>
  <c r="A7" i="5"/>
  <c r="J6" i="5"/>
  <c r="S6" i="5" s="1"/>
  <c r="I6" i="5"/>
  <c r="H6" i="5"/>
  <c r="G6" i="5"/>
  <c r="F6" i="5"/>
  <c r="E6" i="5"/>
  <c r="D6" i="5" s="1"/>
  <c r="C6" i="5"/>
  <c r="B6" i="5"/>
  <c r="A6" i="5"/>
  <c r="O5" i="5"/>
  <c r="S5" i="5" s="1"/>
  <c r="K5" i="5"/>
  <c r="J5" i="5"/>
  <c r="I5" i="5"/>
  <c r="H5" i="5"/>
  <c r="G5" i="5"/>
  <c r="R5" i="5" s="1"/>
  <c r="F5" i="5"/>
  <c r="E5" i="5"/>
  <c r="D5" i="5" s="1"/>
  <c r="C5" i="5"/>
  <c r="B5" i="5"/>
  <c r="A5" i="5"/>
  <c r="S4" i="5"/>
  <c r="L4" i="5"/>
  <c r="J4" i="5"/>
  <c r="I4" i="5"/>
  <c r="H4" i="5"/>
  <c r="G4" i="5"/>
  <c r="F4" i="5"/>
  <c r="E4" i="5"/>
  <c r="D4" i="5" s="1"/>
  <c r="C4" i="5"/>
  <c r="B4" i="5"/>
  <c r="A4" i="5"/>
  <c r="K3" i="5"/>
  <c r="J3" i="5"/>
  <c r="I3" i="5"/>
  <c r="H3" i="5"/>
  <c r="G3" i="5"/>
  <c r="F3" i="5"/>
  <c r="D3" i="5"/>
  <c r="C3" i="5"/>
  <c r="B3" i="5"/>
  <c r="A3" i="5"/>
  <c r="O2" i="5"/>
  <c r="L2" i="5"/>
  <c r="K2" i="5"/>
  <c r="J2" i="5"/>
  <c r="I2" i="5"/>
  <c r="H2" i="5"/>
  <c r="G2" i="5"/>
  <c r="F2" i="5"/>
  <c r="E2" i="5"/>
  <c r="C2" i="5"/>
  <c r="B2" i="5"/>
  <c r="A2" i="5"/>
  <c r="J1111" i="4"/>
  <c r="R1111" i="4" s="1"/>
  <c r="I1111" i="4"/>
  <c r="H1111" i="4"/>
  <c r="G1111" i="4"/>
  <c r="F1111" i="4"/>
  <c r="S1111" i="4" s="1"/>
  <c r="E1111" i="4"/>
  <c r="C1111" i="4"/>
  <c r="B1111" i="4"/>
  <c r="A1111" i="4"/>
  <c r="J1110" i="4"/>
  <c r="I1110" i="4"/>
  <c r="H1110" i="4"/>
  <c r="G1110" i="4"/>
  <c r="F1110" i="4"/>
  <c r="S1110" i="4" s="1"/>
  <c r="E1110" i="4"/>
  <c r="R1110" i="4" s="1"/>
  <c r="C1110" i="4"/>
  <c r="B1110" i="4"/>
  <c r="A1110" i="4"/>
  <c r="J1109" i="4"/>
  <c r="I1109" i="4"/>
  <c r="H1109" i="4"/>
  <c r="G1109" i="4"/>
  <c r="F1109" i="4"/>
  <c r="E1109" i="4"/>
  <c r="C1109" i="4"/>
  <c r="B1109" i="4"/>
  <c r="A1109" i="4"/>
  <c r="J1108" i="4"/>
  <c r="I1108" i="4"/>
  <c r="H1108" i="4"/>
  <c r="G1108" i="4"/>
  <c r="F1108" i="4"/>
  <c r="E1108" i="4"/>
  <c r="S1108" i="4" s="1"/>
  <c r="C1108" i="4"/>
  <c r="B1108" i="4"/>
  <c r="A1108" i="4"/>
  <c r="J1107" i="4"/>
  <c r="I1107" i="4"/>
  <c r="H1107" i="4"/>
  <c r="G1107" i="4"/>
  <c r="F1107" i="4"/>
  <c r="E1107" i="4"/>
  <c r="C1107" i="4"/>
  <c r="B1107" i="4"/>
  <c r="A1107" i="4"/>
  <c r="J1106" i="4"/>
  <c r="I1106" i="4"/>
  <c r="H1106" i="4"/>
  <c r="G1106" i="4"/>
  <c r="F1106" i="4"/>
  <c r="E1106" i="4"/>
  <c r="C1106" i="4"/>
  <c r="B1106" i="4"/>
  <c r="A1106" i="4"/>
  <c r="J1105" i="4"/>
  <c r="I1105" i="4"/>
  <c r="H1105" i="4"/>
  <c r="G1105" i="4"/>
  <c r="F1105" i="4"/>
  <c r="E1105" i="4"/>
  <c r="D1105" i="4" s="1"/>
  <c r="C1105" i="4"/>
  <c r="B1105" i="4"/>
  <c r="A1105" i="4"/>
  <c r="S1104" i="4"/>
  <c r="J1104" i="4"/>
  <c r="I1104" i="4"/>
  <c r="H1104" i="4"/>
  <c r="G1104" i="4"/>
  <c r="F1104" i="4"/>
  <c r="R1104" i="4" s="1"/>
  <c r="E1104" i="4"/>
  <c r="C1104" i="4"/>
  <c r="B1104" i="4"/>
  <c r="A1104" i="4"/>
  <c r="R1103" i="4"/>
  <c r="J1103" i="4"/>
  <c r="I1103" i="4"/>
  <c r="H1103" i="4"/>
  <c r="G1103" i="4"/>
  <c r="F1103" i="4"/>
  <c r="E1103" i="4"/>
  <c r="D1103" i="4" s="1"/>
  <c r="C1103" i="4"/>
  <c r="B1103" i="4"/>
  <c r="A1103" i="4"/>
  <c r="J1102" i="4"/>
  <c r="I1102" i="4"/>
  <c r="S1102" i="4" s="1"/>
  <c r="H1102" i="4"/>
  <c r="G1102" i="4"/>
  <c r="F1102" i="4"/>
  <c r="E1102" i="4"/>
  <c r="C1102" i="4"/>
  <c r="B1102" i="4"/>
  <c r="A1102" i="4"/>
  <c r="S1101" i="4"/>
  <c r="J1101" i="4"/>
  <c r="I1101" i="4"/>
  <c r="H1101" i="4"/>
  <c r="R1101" i="4" s="1"/>
  <c r="G1101" i="4"/>
  <c r="F1101" i="4"/>
  <c r="E1101" i="4"/>
  <c r="C1101" i="4"/>
  <c r="B1101" i="4"/>
  <c r="A1101" i="4"/>
  <c r="S1100" i="4"/>
  <c r="R1100" i="4"/>
  <c r="J1100" i="4"/>
  <c r="I1100" i="4"/>
  <c r="H1100" i="4"/>
  <c r="G1100" i="4"/>
  <c r="F1100" i="4"/>
  <c r="E1100" i="4"/>
  <c r="C1100" i="4"/>
  <c r="B1100" i="4"/>
  <c r="A1100" i="4"/>
  <c r="J1099" i="4"/>
  <c r="R1099" i="4" s="1"/>
  <c r="I1099" i="4"/>
  <c r="H1099" i="4"/>
  <c r="G1099" i="4"/>
  <c r="F1099" i="4"/>
  <c r="E1099" i="4"/>
  <c r="C1099" i="4"/>
  <c r="B1099" i="4"/>
  <c r="A1099" i="4"/>
  <c r="J1098" i="4"/>
  <c r="I1098" i="4"/>
  <c r="H1098" i="4"/>
  <c r="G1098" i="4"/>
  <c r="F1098" i="4"/>
  <c r="S1098" i="4" s="1"/>
  <c r="E1098" i="4"/>
  <c r="R1098" i="4" s="1"/>
  <c r="C1098" i="4"/>
  <c r="B1098" i="4"/>
  <c r="A1098" i="4"/>
  <c r="J1097" i="4"/>
  <c r="I1097" i="4"/>
  <c r="H1097" i="4"/>
  <c r="G1097" i="4"/>
  <c r="F1097" i="4"/>
  <c r="E1097" i="4"/>
  <c r="S1097" i="4" s="1"/>
  <c r="C1097" i="4"/>
  <c r="B1097" i="4"/>
  <c r="A1097" i="4"/>
  <c r="J1096" i="4"/>
  <c r="I1096" i="4"/>
  <c r="H1096" i="4"/>
  <c r="G1096" i="4"/>
  <c r="F1096" i="4"/>
  <c r="E1096" i="4"/>
  <c r="S1096" i="4" s="1"/>
  <c r="C1096" i="4"/>
  <c r="B1096" i="4"/>
  <c r="A1096" i="4"/>
  <c r="J1095" i="4"/>
  <c r="I1095" i="4"/>
  <c r="H1095" i="4"/>
  <c r="G1095" i="4"/>
  <c r="F1095" i="4"/>
  <c r="E1095" i="4"/>
  <c r="S1095" i="4" s="1"/>
  <c r="C1095" i="4"/>
  <c r="B1095" i="4"/>
  <c r="A1095" i="4"/>
  <c r="N1094" i="4"/>
  <c r="M1094" i="4"/>
  <c r="J1094" i="4"/>
  <c r="I1094" i="4"/>
  <c r="H1094" i="4"/>
  <c r="G1094" i="4"/>
  <c r="F1094" i="4"/>
  <c r="E1094" i="4"/>
  <c r="C1094" i="4"/>
  <c r="B1094" i="4"/>
  <c r="A1094" i="4"/>
  <c r="P1093" i="4"/>
  <c r="N1093" i="4"/>
  <c r="M1093" i="4"/>
  <c r="J1093" i="4"/>
  <c r="I1093" i="4"/>
  <c r="H1093" i="4"/>
  <c r="G1093" i="4"/>
  <c r="F1093" i="4"/>
  <c r="E1093" i="4"/>
  <c r="D1093" i="4" s="1"/>
  <c r="C1093" i="4"/>
  <c r="B1093" i="4"/>
  <c r="A1093" i="4"/>
  <c r="P1092" i="4"/>
  <c r="S1092" i="4" s="1"/>
  <c r="N1092" i="4"/>
  <c r="M1092" i="4"/>
  <c r="J1092" i="4"/>
  <c r="I1092" i="4"/>
  <c r="H1092" i="4"/>
  <c r="D1092" i="4" s="1"/>
  <c r="G1092" i="4"/>
  <c r="F1092" i="4"/>
  <c r="E1092" i="4"/>
  <c r="C1092" i="4"/>
  <c r="B1092" i="4"/>
  <c r="A1092" i="4"/>
  <c r="K1091" i="4"/>
  <c r="J1091" i="4"/>
  <c r="I1091" i="4"/>
  <c r="H1091" i="4"/>
  <c r="G1091" i="4"/>
  <c r="F1091" i="4"/>
  <c r="E1091" i="4"/>
  <c r="D1091" i="4" s="1"/>
  <c r="C1091" i="4"/>
  <c r="B1091" i="4"/>
  <c r="A1091" i="4"/>
  <c r="K1090" i="4"/>
  <c r="J1090" i="4"/>
  <c r="I1090" i="4"/>
  <c r="H1090" i="4"/>
  <c r="G1090" i="4"/>
  <c r="F1090" i="4"/>
  <c r="D1090" i="4" s="1"/>
  <c r="E1090" i="4"/>
  <c r="C1090" i="4"/>
  <c r="B1090" i="4"/>
  <c r="A1090" i="4"/>
  <c r="K1089" i="4"/>
  <c r="J1089" i="4"/>
  <c r="I1089" i="4"/>
  <c r="H1089" i="4"/>
  <c r="G1089" i="4"/>
  <c r="F1089" i="4"/>
  <c r="E1089" i="4"/>
  <c r="D1089" i="4" s="1"/>
  <c r="C1089" i="4"/>
  <c r="B1089" i="4"/>
  <c r="A1089" i="4"/>
  <c r="O1088" i="4"/>
  <c r="J1088" i="4"/>
  <c r="I1088" i="4"/>
  <c r="H1088" i="4"/>
  <c r="G1088" i="4"/>
  <c r="F1088" i="4"/>
  <c r="R1088" i="4" s="1"/>
  <c r="E1088" i="4"/>
  <c r="C1088" i="4"/>
  <c r="B1088" i="4"/>
  <c r="A1088" i="4"/>
  <c r="O1087" i="4"/>
  <c r="J1087" i="4"/>
  <c r="I1087" i="4"/>
  <c r="R1087" i="4" s="1"/>
  <c r="H1087" i="4"/>
  <c r="G1087" i="4"/>
  <c r="F1087" i="4"/>
  <c r="E1087" i="4"/>
  <c r="C1087" i="4"/>
  <c r="B1087" i="4"/>
  <c r="A1087" i="4"/>
  <c r="J1086" i="4"/>
  <c r="I1086" i="4"/>
  <c r="H1086" i="4"/>
  <c r="R1086" i="4" s="1"/>
  <c r="G1086" i="4"/>
  <c r="F1086" i="4"/>
  <c r="S1086" i="4" s="1"/>
  <c r="E1086" i="4"/>
  <c r="C1086" i="4"/>
  <c r="B1086" i="4"/>
  <c r="A1086" i="4"/>
  <c r="K1085" i="4"/>
  <c r="J1085" i="4"/>
  <c r="I1085" i="4"/>
  <c r="H1085" i="4"/>
  <c r="G1085" i="4"/>
  <c r="S1085" i="4" s="1"/>
  <c r="F1085" i="4"/>
  <c r="E1085" i="4"/>
  <c r="C1085" i="4"/>
  <c r="B1085" i="4"/>
  <c r="A1085" i="4"/>
  <c r="O1084" i="4"/>
  <c r="K1084" i="4"/>
  <c r="J1084" i="4"/>
  <c r="I1084" i="4"/>
  <c r="H1084" i="4"/>
  <c r="G1084" i="4"/>
  <c r="F1084" i="4"/>
  <c r="E1084" i="4"/>
  <c r="C1084" i="4"/>
  <c r="B1084" i="4"/>
  <c r="A1084" i="4"/>
  <c r="O1083" i="4"/>
  <c r="J1083" i="4"/>
  <c r="I1083" i="4"/>
  <c r="H1083" i="4"/>
  <c r="G1083" i="4"/>
  <c r="F1083" i="4"/>
  <c r="E1083" i="4"/>
  <c r="C1083" i="4"/>
  <c r="B1083" i="4"/>
  <c r="A1083" i="4"/>
  <c r="O1082" i="4"/>
  <c r="J1082" i="4"/>
  <c r="I1082" i="4"/>
  <c r="H1082" i="4"/>
  <c r="G1082" i="4"/>
  <c r="F1082" i="4"/>
  <c r="E1082" i="4"/>
  <c r="C1082" i="4"/>
  <c r="B1082" i="4"/>
  <c r="A1082" i="4"/>
  <c r="S1081" i="4"/>
  <c r="R1081" i="4"/>
  <c r="O1081" i="4"/>
  <c r="K1081" i="4"/>
  <c r="J1081" i="4"/>
  <c r="I1081" i="4"/>
  <c r="H1081" i="4"/>
  <c r="G1081" i="4"/>
  <c r="F1081" i="4"/>
  <c r="E1081" i="4"/>
  <c r="D1081" i="4"/>
  <c r="C1081" i="4"/>
  <c r="B1081" i="4"/>
  <c r="A1081" i="4"/>
  <c r="K1080" i="4"/>
  <c r="J1080" i="4"/>
  <c r="I1080" i="4"/>
  <c r="H1080" i="4"/>
  <c r="D1080" i="4" s="1"/>
  <c r="G1080" i="4"/>
  <c r="F1080" i="4"/>
  <c r="E1080" i="4"/>
  <c r="C1080" i="4"/>
  <c r="B1080" i="4"/>
  <c r="A1080" i="4"/>
  <c r="J1079" i="4"/>
  <c r="I1079" i="4"/>
  <c r="H1079" i="4"/>
  <c r="G1079" i="4"/>
  <c r="F1079" i="4"/>
  <c r="D1079" i="4" s="1"/>
  <c r="E1079" i="4"/>
  <c r="C1079" i="4"/>
  <c r="B1079" i="4"/>
  <c r="A1079" i="4"/>
  <c r="O1078" i="4"/>
  <c r="K1078" i="4"/>
  <c r="J1078" i="4"/>
  <c r="I1078" i="4"/>
  <c r="H1078" i="4"/>
  <c r="G1078" i="4"/>
  <c r="F1078" i="4"/>
  <c r="E1078" i="4"/>
  <c r="C1078" i="4"/>
  <c r="B1078" i="4"/>
  <c r="A1078" i="4"/>
  <c r="L1077" i="4"/>
  <c r="J1077" i="4"/>
  <c r="I1077" i="4"/>
  <c r="H1077" i="4"/>
  <c r="G1077" i="4"/>
  <c r="R1077" i="4" s="1"/>
  <c r="F1077" i="4"/>
  <c r="E1077" i="4"/>
  <c r="C1077" i="4"/>
  <c r="B1077" i="4"/>
  <c r="A1077" i="4"/>
  <c r="K1076" i="4"/>
  <c r="J1076" i="4"/>
  <c r="S1076" i="4" s="1"/>
  <c r="I1076" i="4"/>
  <c r="H1076" i="4"/>
  <c r="G1076" i="4"/>
  <c r="R1076" i="4" s="1"/>
  <c r="F1076" i="4"/>
  <c r="E1076" i="4"/>
  <c r="C1076" i="4"/>
  <c r="B1076" i="4"/>
  <c r="A1076" i="4"/>
  <c r="O1075" i="4"/>
  <c r="L1075" i="4"/>
  <c r="S1075" i="4" s="1"/>
  <c r="K1075" i="4"/>
  <c r="J1075" i="4"/>
  <c r="I1075" i="4"/>
  <c r="D1075" i="4" s="1"/>
  <c r="H1075" i="4"/>
  <c r="G1075" i="4"/>
  <c r="F1075" i="4"/>
  <c r="E1075" i="4"/>
  <c r="C1075" i="4"/>
  <c r="B1075" i="4"/>
  <c r="A1075" i="4"/>
  <c r="S1074" i="4"/>
  <c r="J1074" i="4"/>
  <c r="I1074" i="4"/>
  <c r="R1074" i="4" s="1"/>
  <c r="H1074" i="4"/>
  <c r="G1074" i="4"/>
  <c r="F1074" i="4"/>
  <c r="E1074" i="4"/>
  <c r="C1074" i="4"/>
  <c r="B1074" i="4"/>
  <c r="A1074" i="4"/>
  <c r="S1073" i="4"/>
  <c r="J1073" i="4"/>
  <c r="I1073" i="4"/>
  <c r="R1073" i="4" s="1"/>
  <c r="H1073" i="4"/>
  <c r="G1073" i="4"/>
  <c r="F1073" i="4"/>
  <c r="E1073" i="4"/>
  <c r="C1073" i="4"/>
  <c r="B1073" i="4"/>
  <c r="A1073" i="4"/>
  <c r="S1072" i="4"/>
  <c r="J1072" i="4"/>
  <c r="I1072" i="4"/>
  <c r="R1072" i="4" s="1"/>
  <c r="H1072" i="4"/>
  <c r="G1072" i="4"/>
  <c r="F1072" i="4"/>
  <c r="E1072" i="4"/>
  <c r="C1072" i="4"/>
  <c r="B1072" i="4"/>
  <c r="A1072" i="4"/>
  <c r="S1071" i="4"/>
  <c r="J1071" i="4"/>
  <c r="I1071" i="4"/>
  <c r="R1071" i="4" s="1"/>
  <c r="H1071" i="4"/>
  <c r="G1071" i="4"/>
  <c r="F1071" i="4"/>
  <c r="E1071" i="4"/>
  <c r="C1071" i="4"/>
  <c r="B1071" i="4"/>
  <c r="A1071" i="4"/>
  <c r="S1070" i="4"/>
  <c r="J1070" i="4"/>
  <c r="I1070" i="4"/>
  <c r="R1070" i="4" s="1"/>
  <c r="H1070" i="4"/>
  <c r="G1070" i="4"/>
  <c r="F1070" i="4"/>
  <c r="E1070" i="4"/>
  <c r="C1070" i="4"/>
  <c r="B1070" i="4"/>
  <c r="A1070" i="4"/>
  <c r="S1069" i="4"/>
  <c r="J1069" i="4"/>
  <c r="I1069" i="4"/>
  <c r="R1069" i="4" s="1"/>
  <c r="H1069" i="4"/>
  <c r="G1069" i="4"/>
  <c r="F1069" i="4"/>
  <c r="E1069" i="4"/>
  <c r="C1069" i="4"/>
  <c r="B1069" i="4"/>
  <c r="A1069" i="4"/>
  <c r="S1068" i="4"/>
  <c r="J1068" i="4"/>
  <c r="I1068" i="4"/>
  <c r="R1068" i="4" s="1"/>
  <c r="H1068" i="4"/>
  <c r="G1068" i="4"/>
  <c r="F1068" i="4"/>
  <c r="E1068" i="4"/>
  <c r="C1068" i="4"/>
  <c r="B1068" i="4"/>
  <c r="A1068" i="4"/>
  <c r="S1067" i="4"/>
  <c r="J1067" i="4"/>
  <c r="I1067" i="4"/>
  <c r="R1067" i="4" s="1"/>
  <c r="H1067" i="4"/>
  <c r="G1067" i="4"/>
  <c r="F1067" i="4"/>
  <c r="E1067" i="4"/>
  <c r="C1067" i="4"/>
  <c r="B1067" i="4"/>
  <c r="A1067" i="4"/>
  <c r="S1066" i="4"/>
  <c r="J1066" i="4"/>
  <c r="I1066" i="4"/>
  <c r="R1066" i="4" s="1"/>
  <c r="H1066" i="4"/>
  <c r="G1066" i="4"/>
  <c r="F1066" i="4"/>
  <c r="E1066" i="4"/>
  <c r="C1066" i="4"/>
  <c r="B1066" i="4"/>
  <c r="A1066" i="4"/>
  <c r="S1065" i="4"/>
  <c r="J1065" i="4"/>
  <c r="I1065" i="4"/>
  <c r="R1065" i="4" s="1"/>
  <c r="H1065" i="4"/>
  <c r="G1065" i="4"/>
  <c r="F1065" i="4"/>
  <c r="E1065" i="4"/>
  <c r="C1065" i="4"/>
  <c r="B1065" i="4"/>
  <c r="A1065" i="4"/>
  <c r="S1064" i="4"/>
  <c r="J1064" i="4"/>
  <c r="I1064" i="4"/>
  <c r="R1064" i="4" s="1"/>
  <c r="H1064" i="4"/>
  <c r="G1064" i="4"/>
  <c r="F1064" i="4"/>
  <c r="E1064" i="4"/>
  <c r="C1064" i="4"/>
  <c r="B1064" i="4"/>
  <c r="A1064" i="4"/>
  <c r="S1063" i="4"/>
  <c r="J1063" i="4"/>
  <c r="I1063" i="4"/>
  <c r="R1063" i="4" s="1"/>
  <c r="H1063" i="4"/>
  <c r="G1063" i="4"/>
  <c r="F1063" i="4"/>
  <c r="E1063" i="4"/>
  <c r="C1063" i="4"/>
  <c r="B1063" i="4"/>
  <c r="A1063" i="4"/>
  <c r="S1062" i="4"/>
  <c r="J1062" i="4"/>
  <c r="I1062" i="4"/>
  <c r="R1062" i="4" s="1"/>
  <c r="H1062" i="4"/>
  <c r="G1062" i="4"/>
  <c r="F1062" i="4"/>
  <c r="E1062" i="4"/>
  <c r="C1062" i="4"/>
  <c r="B1062" i="4"/>
  <c r="A1062" i="4"/>
  <c r="S1061" i="4"/>
  <c r="J1061" i="4"/>
  <c r="I1061" i="4"/>
  <c r="R1061" i="4" s="1"/>
  <c r="H1061" i="4"/>
  <c r="G1061" i="4"/>
  <c r="F1061" i="4"/>
  <c r="E1061" i="4"/>
  <c r="C1061" i="4"/>
  <c r="B1061" i="4"/>
  <c r="A1061" i="4"/>
  <c r="S1060" i="4"/>
  <c r="J1060" i="4"/>
  <c r="I1060" i="4"/>
  <c r="R1060" i="4" s="1"/>
  <c r="H1060" i="4"/>
  <c r="G1060" i="4"/>
  <c r="F1060" i="4"/>
  <c r="E1060" i="4"/>
  <c r="C1060" i="4"/>
  <c r="B1060" i="4"/>
  <c r="A1060" i="4"/>
  <c r="S1059" i="4"/>
  <c r="J1059" i="4"/>
  <c r="I1059" i="4"/>
  <c r="R1059" i="4" s="1"/>
  <c r="H1059" i="4"/>
  <c r="G1059" i="4"/>
  <c r="F1059" i="4"/>
  <c r="E1059" i="4"/>
  <c r="C1059" i="4"/>
  <c r="B1059" i="4"/>
  <c r="A1059" i="4"/>
  <c r="S1058" i="4"/>
  <c r="J1058" i="4"/>
  <c r="I1058" i="4"/>
  <c r="R1058" i="4" s="1"/>
  <c r="H1058" i="4"/>
  <c r="G1058" i="4"/>
  <c r="F1058" i="4"/>
  <c r="E1058" i="4"/>
  <c r="C1058" i="4"/>
  <c r="B1058" i="4"/>
  <c r="A1058" i="4"/>
  <c r="S1057" i="4"/>
  <c r="N1057" i="4"/>
  <c r="M1057" i="4"/>
  <c r="J1057" i="4"/>
  <c r="I1057" i="4"/>
  <c r="H1057" i="4"/>
  <c r="G1057" i="4"/>
  <c r="F1057" i="4"/>
  <c r="E1057" i="4"/>
  <c r="R1057" i="4" s="1"/>
  <c r="C1057" i="4"/>
  <c r="B1057" i="4"/>
  <c r="A1057" i="4"/>
  <c r="P1056" i="4"/>
  <c r="N1056" i="4"/>
  <c r="M1056" i="4"/>
  <c r="J1056" i="4"/>
  <c r="I1056" i="4"/>
  <c r="H1056" i="4"/>
  <c r="G1056" i="4"/>
  <c r="F1056" i="4"/>
  <c r="E1056" i="4"/>
  <c r="C1056" i="4"/>
  <c r="B1056" i="4"/>
  <c r="A1056" i="4"/>
  <c r="P1055" i="4"/>
  <c r="N1055" i="4"/>
  <c r="M1055" i="4"/>
  <c r="J1055" i="4"/>
  <c r="I1055" i="4"/>
  <c r="H1055" i="4"/>
  <c r="G1055" i="4"/>
  <c r="F1055" i="4"/>
  <c r="E1055" i="4"/>
  <c r="C1055" i="4"/>
  <c r="B1055" i="4"/>
  <c r="A1055" i="4"/>
  <c r="K1054" i="4"/>
  <c r="J1054" i="4"/>
  <c r="I1054" i="4"/>
  <c r="H1054" i="4"/>
  <c r="G1054" i="4"/>
  <c r="F1054" i="4"/>
  <c r="E1054" i="4"/>
  <c r="C1054" i="4"/>
  <c r="B1054" i="4"/>
  <c r="A1054" i="4"/>
  <c r="K1053" i="4"/>
  <c r="J1053" i="4"/>
  <c r="I1053" i="4"/>
  <c r="H1053" i="4"/>
  <c r="G1053" i="4"/>
  <c r="S1053" i="4" s="1"/>
  <c r="F1053" i="4"/>
  <c r="E1053" i="4"/>
  <c r="C1053" i="4"/>
  <c r="B1053" i="4"/>
  <c r="A1053" i="4"/>
  <c r="K1052" i="4"/>
  <c r="J1052" i="4"/>
  <c r="I1052" i="4"/>
  <c r="H1052" i="4"/>
  <c r="S1052" i="4" s="1"/>
  <c r="G1052" i="4"/>
  <c r="F1052" i="4"/>
  <c r="E1052" i="4"/>
  <c r="C1052" i="4"/>
  <c r="B1052" i="4"/>
  <c r="A1052" i="4"/>
  <c r="O1051" i="4"/>
  <c r="J1051" i="4"/>
  <c r="I1051" i="4"/>
  <c r="D1051" i="4" s="1"/>
  <c r="H1051" i="4"/>
  <c r="G1051" i="4"/>
  <c r="F1051" i="4"/>
  <c r="E1051" i="4"/>
  <c r="C1051" i="4"/>
  <c r="B1051" i="4"/>
  <c r="A1051" i="4"/>
  <c r="O1050" i="4"/>
  <c r="J1050" i="4"/>
  <c r="D1050" i="4" s="1"/>
  <c r="I1050" i="4"/>
  <c r="H1050" i="4"/>
  <c r="G1050" i="4"/>
  <c r="F1050" i="4"/>
  <c r="E1050" i="4"/>
  <c r="S1050" i="4" s="1"/>
  <c r="C1050" i="4"/>
  <c r="B1050" i="4"/>
  <c r="A1050" i="4"/>
  <c r="J1049" i="4"/>
  <c r="D1049" i="4" s="1"/>
  <c r="I1049" i="4"/>
  <c r="H1049" i="4"/>
  <c r="G1049" i="4"/>
  <c r="F1049" i="4"/>
  <c r="E1049" i="4"/>
  <c r="S1049" i="4" s="1"/>
  <c r="C1049" i="4"/>
  <c r="B1049" i="4"/>
  <c r="A1049" i="4"/>
  <c r="K1048" i="4"/>
  <c r="J1048" i="4"/>
  <c r="I1048" i="4"/>
  <c r="H1048" i="4"/>
  <c r="G1048" i="4"/>
  <c r="F1048" i="4"/>
  <c r="E1048" i="4"/>
  <c r="D1048" i="4" s="1"/>
  <c r="C1048" i="4"/>
  <c r="B1048" i="4"/>
  <c r="A1048" i="4"/>
  <c r="R1047" i="4"/>
  <c r="O1047" i="4"/>
  <c r="K1047" i="4"/>
  <c r="J1047" i="4"/>
  <c r="I1047" i="4"/>
  <c r="H1047" i="4"/>
  <c r="G1047" i="4"/>
  <c r="F1047" i="4"/>
  <c r="D1047" i="4" s="1"/>
  <c r="E1047" i="4"/>
  <c r="C1047" i="4"/>
  <c r="B1047" i="4"/>
  <c r="A1047" i="4"/>
  <c r="O1046" i="4"/>
  <c r="J1046" i="4"/>
  <c r="I1046" i="4"/>
  <c r="H1046" i="4"/>
  <c r="G1046" i="4"/>
  <c r="F1046" i="4"/>
  <c r="E1046" i="4"/>
  <c r="D1046" i="4" s="1"/>
  <c r="C1046" i="4"/>
  <c r="B1046" i="4"/>
  <c r="A1046" i="4"/>
  <c r="O1045" i="4"/>
  <c r="J1045" i="4"/>
  <c r="I1045" i="4"/>
  <c r="H1045" i="4"/>
  <c r="G1045" i="4"/>
  <c r="F1045" i="4"/>
  <c r="E1045" i="4"/>
  <c r="C1045" i="4"/>
  <c r="B1045" i="4"/>
  <c r="A1045" i="4"/>
  <c r="O1044" i="4"/>
  <c r="K1044" i="4"/>
  <c r="J1044" i="4"/>
  <c r="I1044" i="4"/>
  <c r="H1044" i="4"/>
  <c r="G1044" i="4"/>
  <c r="F1044" i="4"/>
  <c r="E1044" i="4"/>
  <c r="C1044" i="4"/>
  <c r="B1044" i="4"/>
  <c r="A1044" i="4"/>
  <c r="K1043" i="4"/>
  <c r="J1043" i="4"/>
  <c r="I1043" i="4"/>
  <c r="H1043" i="4"/>
  <c r="G1043" i="4"/>
  <c r="F1043" i="4"/>
  <c r="E1043" i="4"/>
  <c r="C1043" i="4"/>
  <c r="B1043" i="4"/>
  <c r="A1043" i="4"/>
  <c r="J1042" i="4"/>
  <c r="I1042" i="4"/>
  <c r="H1042" i="4"/>
  <c r="G1042" i="4"/>
  <c r="F1042" i="4"/>
  <c r="E1042" i="4"/>
  <c r="C1042" i="4"/>
  <c r="B1042" i="4"/>
  <c r="A1042" i="4"/>
  <c r="O1041" i="4"/>
  <c r="K1041" i="4"/>
  <c r="J1041" i="4"/>
  <c r="I1041" i="4"/>
  <c r="H1041" i="4"/>
  <c r="G1041" i="4"/>
  <c r="F1041" i="4"/>
  <c r="E1041" i="4"/>
  <c r="C1041" i="4"/>
  <c r="B1041" i="4"/>
  <c r="A1041" i="4"/>
  <c r="L1040" i="4"/>
  <c r="J1040" i="4"/>
  <c r="I1040" i="4"/>
  <c r="D1040" i="4" s="1"/>
  <c r="H1040" i="4"/>
  <c r="G1040" i="4"/>
  <c r="F1040" i="4"/>
  <c r="E1040" i="4"/>
  <c r="C1040" i="4"/>
  <c r="B1040" i="4"/>
  <c r="A1040" i="4"/>
  <c r="K1039" i="4"/>
  <c r="J1039" i="4"/>
  <c r="R1039" i="4" s="1"/>
  <c r="I1039" i="4"/>
  <c r="H1039" i="4"/>
  <c r="G1039" i="4"/>
  <c r="F1039" i="4"/>
  <c r="E1039" i="4"/>
  <c r="D1039" i="4" s="1"/>
  <c r="C1039" i="4"/>
  <c r="B1039" i="4"/>
  <c r="A1039" i="4"/>
  <c r="O1038" i="4"/>
  <c r="S1038" i="4" s="1"/>
  <c r="L1038" i="4"/>
  <c r="K1038" i="4"/>
  <c r="J1038" i="4"/>
  <c r="I1038" i="4"/>
  <c r="H1038" i="4"/>
  <c r="D1038" i="4" s="1"/>
  <c r="G1038" i="4"/>
  <c r="F1038" i="4"/>
  <c r="E1038" i="4"/>
  <c r="C1038" i="4"/>
  <c r="B1038" i="4"/>
  <c r="A1038" i="4"/>
  <c r="R1037" i="4"/>
  <c r="J1037" i="4"/>
  <c r="I1037" i="4"/>
  <c r="H1037" i="4"/>
  <c r="G1037" i="4"/>
  <c r="F1037" i="4"/>
  <c r="E1037" i="4"/>
  <c r="D1037" i="4" s="1"/>
  <c r="C1037" i="4"/>
  <c r="B1037" i="4"/>
  <c r="A1037" i="4"/>
  <c r="R1036" i="4"/>
  <c r="J1036" i="4"/>
  <c r="I1036" i="4"/>
  <c r="H1036" i="4"/>
  <c r="G1036" i="4"/>
  <c r="F1036" i="4"/>
  <c r="D1036" i="4" s="1"/>
  <c r="E1036" i="4"/>
  <c r="C1036" i="4"/>
  <c r="B1036" i="4"/>
  <c r="A1036" i="4"/>
  <c r="J1035" i="4"/>
  <c r="I1035" i="4"/>
  <c r="H1035" i="4"/>
  <c r="G1035" i="4"/>
  <c r="F1035" i="4"/>
  <c r="R1035" i="4" s="1"/>
  <c r="E1035" i="4"/>
  <c r="D1035" i="4" s="1"/>
  <c r="C1035" i="4"/>
  <c r="B1035" i="4"/>
  <c r="A1035" i="4"/>
  <c r="J1034" i="4"/>
  <c r="I1034" i="4"/>
  <c r="H1034" i="4"/>
  <c r="R1034" i="4" s="1"/>
  <c r="G1034" i="4"/>
  <c r="F1034" i="4"/>
  <c r="E1034" i="4"/>
  <c r="D1034" i="4" s="1"/>
  <c r="C1034" i="4"/>
  <c r="B1034" i="4"/>
  <c r="A1034" i="4"/>
  <c r="J1033" i="4"/>
  <c r="I1033" i="4"/>
  <c r="H1033" i="4"/>
  <c r="G1033" i="4"/>
  <c r="D1033" i="4" s="1"/>
  <c r="F1033" i="4"/>
  <c r="E1033" i="4"/>
  <c r="C1033" i="4"/>
  <c r="B1033" i="4"/>
  <c r="A1033" i="4"/>
  <c r="J1032" i="4"/>
  <c r="I1032" i="4"/>
  <c r="H1032" i="4"/>
  <c r="G1032" i="4"/>
  <c r="F1032" i="4"/>
  <c r="E1032" i="4"/>
  <c r="C1032" i="4"/>
  <c r="B1032" i="4"/>
  <c r="A1032" i="4"/>
  <c r="J1031" i="4"/>
  <c r="I1031" i="4"/>
  <c r="H1031" i="4"/>
  <c r="G1031" i="4"/>
  <c r="F1031" i="4"/>
  <c r="E1031" i="4"/>
  <c r="C1031" i="4"/>
  <c r="B1031" i="4"/>
  <c r="A1031" i="4"/>
  <c r="J1030" i="4"/>
  <c r="I1030" i="4"/>
  <c r="H1030" i="4"/>
  <c r="G1030" i="4"/>
  <c r="F1030" i="4"/>
  <c r="E1030" i="4"/>
  <c r="S1030" i="4" s="1"/>
  <c r="D1030" i="4"/>
  <c r="C1030" i="4"/>
  <c r="B1030" i="4"/>
  <c r="A1030" i="4"/>
  <c r="J1029" i="4"/>
  <c r="I1029" i="4"/>
  <c r="H1029" i="4"/>
  <c r="G1029" i="4"/>
  <c r="F1029" i="4"/>
  <c r="E1029" i="4"/>
  <c r="D1029" i="4"/>
  <c r="C1029" i="4"/>
  <c r="B1029" i="4"/>
  <c r="A1029" i="4"/>
  <c r="J1028" i="4"/>
  <c r="I1028" i="4"/>
  <c r="H1028" i="4"/>
  <c r="G1028" i="4"/>
  <c r="F1028" i="4"/>
  <c r="E1028" i="4"/>
  <c r="S1028" i="4" s="1"/>
  <c r="C1028" i="4"/>
  <c r="B1028" i="4"/>
  <c r="A1028" i="4"/>
  <c r="J1027" i="4"/>
  <c r="I1027" i="4"/>
  <c r="H1027" i="4"/>
  <c r="G1027" i="4"/>
  <c r="F1027" i="4"/>
  <c r="E1027" i="4"/>
  <c r="D1027" i="4"/>
  <c r="C1027" i="4"/>
  <c r="B1027" i="4"/>
  <c r="A1027" i="4"/>
  <c r="R1026" i="4"/>
  <c r="J1026" i="4"/>
  <c r="I1026" i="4"/>
  <c r="H1026" i="4"/>
  <c r="D1026" i="4" s="1"/>
  <c r="G1026" i="4"/>
  <c r="F1026" i="4"/>
  <c r="E1026" i="4"/>
  <c r="C1026" i="4"/>
  <c r="B1026" i="4"/>
  <c r="A1026" i="4"/>
  <c r="R1025" i="4"/>
  <c r="J1025" i="4"/>
  <c r="I1025" i="4"/>
  <c r="H1025" i="4"/>
  <c r="G1025" i="4"/>
  <c r="F1025" i="4"/>
  <c r="E1025" i="4"/>
  <c r="D1025" i="4" s="1"/>
  <c r="C1025" i="4"/>
  <c r="B1025" i="4"/>
  <c r="A1025" i="4"/>
  <c r="J1024" i="4"/>
  <c r="R1024" i="4" s="1"/>
  <c r="I1024" i="4"/>
  <c r="H1024" i="4"/>
  <c r="G1024" i="4"/>
  <c r="F1024" i="4"/>
  <c r="D1024" i="4" s="1"/>
  <c r="E1024" i="4"/>
  <c r="C1024" i="4"/>
  <c r="B1024" i="4"/>
  <c r="A1024" i="4"/>
  <c r="J1023" i="4"/>
  <c r="I1023" i="4"/>
  <c r="H1023" i="4"/>
  <c r="G1023" i="4"/>
  <c r="F1023" i="4"/>
  <c r="R1023" i="4" s="1"/>
  <c r="E1023" i="4"/>
  <c r="D1023" i="4" s="1"/>
  <c r="C1023" i="4"/>
  <c r="B1023" i="4"/>
  <c r="A1023" i="4"/>
  <c r="J1022" i="4"/>
  <c r="I1022" i="4"/>
  <c r="H1022" i="4"/>
  <c r="R1022" i="4" s="1"/>
  <c r="G1022" i="4"/>
  <c r="F1022" i="4"/>
  <c r="E1022" i="4"/>
  <c r="C1022" i="4"/>
  <c r="B1022" i="4"/>
  <c r="A1022" i="4"/>
  <c r="J1021" i="4"/>
  <c r="I1021" i="4"/>
  <c r="H1021" i="4"/>
  <c r="G1021" i="4"/>
  <c r="D1021" i="4" s="1"/>
  <c r="F1021" i="4"/>
  <c r="R1021" i="4" s="1"/>
  <c r="E1021" i="4"/>
  <c r="C1021" i="4"/>
  <c r="B1021" i="4"/>
  <c r="A1021" i="4"/>
  <c r="N1020" i="4"/>
  <c r="M1020" i="4"/>
  <c r="J1020" i="4"/>
  <c r="I1020" i="4"/>
  <c r="H1020" i="4"/>
  <c r="G1020" i="4"/>
  <c r="F1020" i="4"/>
  <c r="E1020" i="4"/>
  <c r="D1020" i="4" s="1"/>
  <c r="C1020" i="4"/>
  <c r="B1020" i="4"/>
  <c r="A1020" i="4"/>
  <c r="P1019" i="4"/>
  <c r="N1019" i="4"/>
  <c r="M1019" i="4"/>
  <c r="J1019" i="4"/>
  <c r="I1019" i="4"/>
  <c r="H1019" i="4"/>
  <c r="G1019" i="4"/>
  <c r="F1019" i="4"/>
  <c r="D1019" i="4" s="1"/>
  <c r="E1019" i="4"/>
  <c r="C1019" i="4"/>
  <c r="B1019" i="4"/>
  <c r="A1019" i="4"/>
  <c r="P1018" i="4"/>
  <c r="N1018" i="4"/>
  <c r="M1018" i="4"/>
  <c r="J1018" i="4"/>
  <c r="I1018" i="4"/>
  <c r="H1018" i="4"/>
  <c r="G1018" i="4"/>
  <c r="F1018" i="4"/>
  <c r="E1018" i="4"/>
  <c r="C1018" i="4"/>
  <c r="B1018" i="4"/>
  <c r="A1018" i="4"/>
  <c r="K1017" i="4"/>
  <c r="J1017" i="4"/>
  <c r="I1017" i="4"/>
  <c r="H1017" i="4"/>
  <c r="G1017" i="4"/>
  <c r="F1017" i="4"/>
  <c r="E1017" i="4"/>
  <c r="S1017" i="4" s="1"/>
  <c r="C1017" i="4"/>
  <c r="B1017" i="4"/>
  <c r="A1017" i="4"/>
  <c r="K1016" i="4"/>
  <c r="J1016" i="4"/>
  <c r="I1016" i="4"/>
  <c r="H1016" i="4"/>
  <c r="G1016" i="4"/>
  <c r="F1016" i="4"/>
  <c r="R1016" i="4" s="1"/>
  <c r="E1016" i="4"/>
  <c r="S1016" i="4" s="1"/>
  <c r="D1016" i="4"/>
  <c r="C1016" i="4"/>
  <c r="B1016" i="4"/>
  <c r="A1016" i="4"/>
  <c r="K1015" i="4"/>
  <c r="J1015" i="4"/>
  <c r="I1015" i="4"/>
  <c r="H1015" i="4"/>
  <c r="G1015" i="4"/>
  <c r="F1015" i="4"/>
  <c r="E1015" i="4"/>
  <c r="S1015" i="4" s="1"/>
  <c r="D1015" i="4"/>
  <c r="C1015" i="4"/>
  <c r="B1015" i="4"/>
  <c r="A1015" i="4"/>
  <c r="O1014" i="4"/>
  <c r="J1014" i="4"/>
  <c r="I1014" i="4"/>
  <c r="H1014" i="4"/>
  <c r="G1014" i="4"/>
  <c r="F1014" i="4"/>
  <c r="E1014" i="4"/>
  <c r="R1014" i="4" s="1"/>
  <c r="D1014" i="4"/>
  <c r="C1014" i="4"/>
  <c r="B1014" i="4"/>
  <c r="A1014" i="4"/>
  <c r="O1013" i="4"/>
  <c r="J1013" i="4"/>
  <c r="I1013" i="4"/>
  <c r="H1013" i="4"/>
  <c r="G1013" i="4"/>
  <c r="F1013" i="4"/>
  <c r="E1013" i="4"/>
  <c r="S1013" i="4" s="1"/>
  <c r="D1013" i="4"/>
  <c r="C1013" i="4"/>
  <c r="B1013" i="4"/>
  <c r="A1013" i="4"/>
  <c r="J1012" i="4"/>
  <c r="I1012" i="4"/>
  <c r="H1012" i="4"/>
  <c r="G1012" i="4"/>
  <c r="F1012" i="4"/>
  <c r="E1012" i="4"/>
  <c r="S1012" i="4" s="1"/>
  <c r="D1012" i="4"/>
  <c r="C1012" i="4"/>
  <c r="B1012" i="4"/>
  <c r="A1012" i="4"/>
  <c r="K1011" i="4"/>
  <c r="J1011" i="4"/>
  <c r="I1011" i="4"/>
  <c r="H1011" i="4"/>
  <c r="G1011" i="4"/>
  <c r="F1011" i="4"/>
  <c r="E1011" i="4"/>
  <c r="C1011" i="4"/>
  <c r="B1011" i="4"/>
  <c r="A1011" i="4"/>
  <c r="O1010" i="4"/>
  <c r="K1010" i="4"/>
  <c r="J1010" i="4"/>
  <c r="I1010" i="4"/>
  <c r="H1010" i="4"/>
  <c r="G1010" i="4"/>
  <c r="F1010" i="4"/>
  <c r="E1010" i="4"/>
  <c r="C1010" i="4"/>
  <c r="B1010" i="4"/>
  <c r="A1010" i="4"/>
  <c r="O1009" i="4"/>
  <c r="J1009" i="4"/>
  <c r="I1009" i="4"/>
  <c r="H1009" i="4"/>
  <c r="G1009" i="4"/>
  <c r="F1009" i="4"/>
  <c r="E1009" i="4"/>
  <c r="C1009" i="4"/>
  <c r="B1009" i="4"/>
  <c r="A1009" i="4"/>
  <c r="O1008" i="4"/>
  <c r="J1008" i="4"/>
  <c r="I1008" i="4"/>
  <c r="H1008" i="4"/>
  <c r="G1008" i="4"/>
  <c r="D1008" i="4" s="1"/>
  <c r="F1008" i="4"/>
  <c r="E1008" i="4"/>
  <c r="S1008" i="4" s="1"/>
  <c r="C1008" i="4"/>
  <c r="B1008" i="4"/>
  <c r="A1008" i="4"/>
  <c r="O1007" i="4"/>
  <c r="K1007" i="4"/>
  <c r="J1007" i="4"/>
  <c r="I1007" i="4"/>
  <c r="H1007" i="4"/>
  <c r="G1007" i="4"/>
  <c r="F1007" i="4"/>
  <c r="E1007" i="4"/>
  <c r="C1007" i="4"/>
  <c r="B1007" i="4"/>
  <c r="A1007" i="4"/>
  <c r="K1006" i="4"/>
  <c r="J1006" i="4"/>
  <c r="S1006" i="4" s="1"/>
  <c r="I1006" i="4"/>
  <c r="H1006" i="4"/>
  <c r="G1006" i="4"/>
  <c r="F1006" i="4"/>
  <c r="E1006" i="4"/>
  <c r="C1006" i="4"/>
  <c r="B1006" i="4"/>
  <c r="A1006" i="4"/>
  <c r="J1005" i="4"/>
  <c r="R1005" i="4" s="1"/>
  <c r="I1005" i="4"/>
  <c r="H1005" i="4"/>
  <c r="G1005" i="4"/>
  <c r="D1005" i="4" s="1"/>
  <c r="F1005" i="4"/>
  <c r="E1005" i="4"/>
  <c r="C1005" i="4"/>
  <c r="B1005" i="4"/>
  <c r="A1005" i="4"/>
  <c r="O1004" i="4"/>
  <c r="R1004" i="4" s="1"/>
  <c r="K1004" i="4"/>
  <c r="J1004" i="4"/>
  <c r="I1004" i="4"/>
  <c r="D1004" i="4" s="1"/>
  <c r="H1004" i="4"/>
  <c r="G1004" i="4"/>
  <c r="F1004" i="4"/>
  <c r="E1004" i="4"/>
  <c r="C1004" i="4"/>
  <c r="B1004" i="4"/>
  <c r="A1004" i="4"/>
  <c r="S1003" i="4"/>
  <c r="L1003" i="4"/>
  <c r="J1003" i="4"/>
  <c r="I1003" i="4"/>
  <c r="H1003" i="4"/>
  <c r="D1003" i="4" s="1"/>
  <c r="G1003" i="4"/>
  <c r="F1003" i="4"/>
  <c r="E1003" i="4"/>
  <c r="C1003" i="4"/>
  <c r="B1003" i="4"/>
  <c r="A1003" i="4"/>
  <c r="R1002" i="4"/>
  <c r="K1002" i="4"/>
  <c r="J1002" i="4"/>
  <c r="I1002" i="4"/>
  <c r="H1002" i="4"/>
  <c r="D1002" i="4" s="1"/>
  <c r="G1002" i="4"/>
  <c r="F1002" i="4"/>
  <c r="E1002" i="4"/>
  <c r="C1002" i="4"/>
  <c r="B1002" i="4"/>
  <c r="A1002" i="4"/>
  <c r="S1001" i="4"/>
  <c r="O1001" i="4"/>
  <c r="L1001" i="4"/>
  <c r="K1001" i="4"/>
  <c r="J1001" i="4"/>
  <c r="I1001" i="4"/>
  <c r="H1001" i="4"/>
  <c r="G1001" i="4"/>
  <c r="F1001" i="4"/>
  <c r="E1001" i="4"/>
  <c r="C1001" i="4"/>
  <c r="B1001" i="4"/>
  <c r="A1001" i="4"/>
  <c r="J1000" i="4"/>
  <c r="I1000" i="4"/>
  <c r="H1000" i="4"/>
  <c r="G1000" i="4"/>
  <c r="F1000" i="4"/>
  <c r="E1000" i="4"/>
  <c r="D1000" i="4" s="1"/>
  <c r="C1000" i="4"/>
  <c r="B1000" i="4"/>
  <c r="A1000" i="4"/>
  <c r="J999" i="4"/>
  <c r="S999" i="4" s="1"/>
  <c r="I999" i="4"/>
  <c r="R999" i="4" s="1"/>
  <c r="H999" i="4"/>
  <c r="G999" i="4"/>
  <c r="F999" i="4"/>
  <c r="E999" i="4"/>
  <c r="C999" i="4"/>
  <c r="B999" i="4"/>
  <c r="A999" i="4"/>
  <c r="S998" i="4"/>
  <c r="J998" i="4"/>
  <c r="I998" i="4"/>
  <c r="R998" i="4" s="1"/>
  <c r="H998" i="4"/>
  <c r="G998" i="4"/>
  <c r="F998" i="4"/>
  <c r="E998" i="4"/>
  <c r="C998" i="4"/>
  <c r="B998" i="4"/>
  <c r="A998" i="4"/>
  <c r="S997" i="4"/>
  <c r="R997" i="4"/>
  <c r="J997" i="4"/>
  <c r="I997" i="4"/>
  <c r="H997" i="4"/>
  <c r="G997" i="4"/>
  <c r="F997" i="4"/>
  <c r="E997" i="4"/>
  <c r="C997" i="4"/>
  <c r="B997" i="4"/>
  <c r="A997" i="4"/>
  <c r="J996" i="4"/>
  <c r="I996" i="4"/>
  <c r="H996" i="4"/>
  <c r="G996" i="4"/>
  <c r="F996" i="4"/>
  <c r="E996" i="4"/>
  <c r="C996" i="4"/>
  <c r="B996" i="4"/>
  <c r="A996" i="4"/>
  <c r="J995" i="4"/>
  <c r="I995" i="4"/>
  <c r="H995" i="4"/>
  <c r="G995" i="4"/>
  <c r="F995" i="4"/>
  <c r="E995" i="4"/>
  <c r="C995" i="4"/>
  <c r="B995" i="4"/>
  <c r="A995" i="4"/>
  <c r="J994" i="4"/>
  <c r="I994" i="4"/>
  <c r="H994" i="4"/>
  <c r="R994" i="4" s="1"/>
  <c r="G994" i="4"/>
  <c r="F994" i="4"/>
  <c r="E994" i="4"/>
  <c r="C994" i="4"/>
  <c r="B994" i="4"/>
  <c r="A994" i="4"/>
  <c r="J993" i="4"/>
  <c r="I993" i="4"/>
  <c r="H993" i="4"/>
  <c r="G993" i="4"/>
  <c r="F993" i="4"/>
  <c r="E993" i="4"/>
  <c r="S993" i="4" s="1"/>
  <c r="C993" i="4"/>
  <c r="B993" i="4"/>
  <c r="A993" i="4"/>
  <c r="J992" i="4"/>
  <c r="I992" i="4"/>
  <c r="H992" i="4"/>
  <c r="G992" i="4"/>
  <c r="F992" i="4"/>
  <c r="E992" i="4"/>
  <c r="C992" i="4"/>
  <c r="B992" i="4"/>
  <c r="A992" i="4"/>
  <c r="J991" i="4"/>
  <c r="I991" i="4"/>
  <c r="H991" i="4"/>
  <c r="G991" i="4"/>
  <c r="F991" i="4"/>
  <c r="E991" i="4"/>
  <c r="C991" i="4"/>
  <c r="B991" i="4"/>
  <c r="A991" i="4"/>
  <c r="J990" i="4"/>
  <c r="I990" i="4"/>
  <c r="H990" i="4"/>
  <c r="G990" i="4"/>
  <c r="F990" i="4"/>
  <c r="E990" i="4"/>
  <c r="D990" i="4" s="1"/>
  <c r="C990" i="4"/>
  <c r="B990" i="4"/>
  <c r="A990" i="4"/>
  <c r="J989" i="4"/>
  <c r="I989" i="4"/>
  <c r="H989" i="4"/>
  <c r="G989" i="4"/>
  <c r="F989" i="4"/>
  <c r="E989" i="4"/>
  <c r="C989" i="4"/>
  <c r="B989" i="4"/>
  <c r="A989" i="4"/>
  <c r="J988" i="4"/>
  <c r="I988" i="4"/>
  <c r="H988" i="4"/>
  <c r="G988" i="4"/>
  <c r="F988" i="4"/>
  <c r="E988" i="4"/>
  <c r="D988" i="4" s="1"/>
  <c r="C988" i="4"/>
  <c r="B988" i="4"/>
  <c r="A988" i="4"/>
  <c r="J987" i="4"/>
  <c r="S987" i="4" s="1"/>
  <c r="I987" i="4"/>
  <c r="R987" i="4" s="1"/>
  <c r="H987" i="4"/>
  <c r="G987" i="4"/>
  <c r="F987" i="4"/>
  <c r="E987" i="4"/>
  <c r="C987" i="4"/>
  <c r="B987" i="4"/>
  <c r="A987" i="4"/>
  <c r="S986" i="4"/>
  <c r="J986" i="4"/>
  <c r="I986" i="4"/>
  <c r="R986" i="4" s="1"/>
  <c r="H986" i="4"/>
  <c r="G986" i="4"/>
  <c r="F986" i="4"/>
  <c r="E986" i="4"/>
  <c r="C986" i="4"/>
  <c r="B986" i="4"/>
  <c r="A986" i="4"/>
  <c r="S985" i="4"/>
  <c r="R985" i="4"/>
  <c r="J985" i="4"/>
  <c r="I985" i="4"/>
  <c r="H985" i="4"/>
  <c r="G985" i="4"/>
  <c r="F985" i="4"/>
  <c r="E985" i="4"/>
  <c r="C985" i="4"/>
  <c r="B985" i="4"/>
  <c r="A985" i="4"/>
  <c r="J984" i="4"/>
  <c r="I984" i="4"/>
  <c r="H984" i="4"/>
  <c r="G984" i="4"/>
  <c r="F984" i="4"/>
  <c r="E984" i="4"/>
  <c r="C984" i="4"/>
  <c r="B984" i="4"/>
  <c r="A984" i="4"/>
  <c r="N983" i="4"/>
  <c r="M983" i="4"/>
  <c r="J983" i="4"/>
  <c r="I983" i="4"/>
  <c r="H983" i="4"/>
  <c r="G983" i="4"/>
  <c r="F983" i="4"/>
  <c r="E983" i="4"/>
  <c r="D983" i="4" s="1"/>
  <c r="C983" i="4"/>
  <c r="B983" i="4"/>
  <c r="A983" i="4"/>
  <c r="S982" i="4"/>
  <c r="R982" i="4"/>
  <c r="P982" i="4"/>
  <c r="N982" i="4"/>
  <c r="M982" i="4"/>
  <c r="J982" i="4"/>
  <c r="I982" i="4"/>
  <c r="H982" i="4"/>
  <c r="G982" i="4"/>
  <c r="F982" i="4"/>
  <c r="E982" i="4"/>
  <c r="D982" i="4" s="1"/>
  <c r="C982" i="4"/>
  <c r="B982" i="4"/>
  <c r="A982" i="4"/>
  <c r="P981" i="4"/>
  <c r="N981" i="4"/>
  <c r="M981" i="4"/>
  <c r="J981" i="4"/>
  <c r="I981" i="4"/>
  <c r="H981" i="4"/>
  <c r="G981" i="4"/>
  <c r="F981" i="4"/>
  <c r="E981" i="4"/>
  <c r="C981" i="4"/>
  <c r="B981" i="4"/>
  <c r="A981" i="4"/>
  <c r="K980" i="4"/>
  <c r="J980" i="4"/>
  <c r="I980" i="4"/>
  <c r="H980" i="4"/>
  <c r="G980" i="4"/>
  <c r="F980" i="4"/>
  <c r="E980" i="4"/>
  <c r="C980" i="4"/>
  <c r="B980" i="4"/>
  <c r="A980" i="4"/>
  <c r="K979" i="4"/>
  <c r="J979" i="4"/>
  <c r="I979" i="4"/>
  <c r="H979" i="4"/>
  <c r="G979" i="4"/>
  <c r="F979" i="4"/>
  <c r="E979" i="4"/>
  <c r="C979" i="4"/>
  <c r="B979" i="4"/>
  <c r="A979" i="4"/>
  <c r="K978" i="4"/>
  <c r="J978" i="4"/>
  <c r="I978" i="4"/>
  <c r="H978" i="4"/>
  <c r="G978" i="4"/>
  <c r="D978" i="4" s="1"/>
  <c r="F978" i="4"/>
  <c r="E978" i="4"/>
  <c r="S978" i="4" s="1"/>
  <c r="C978" i="4"/>
  <c r="B978" i="4"/>
  <c r="A978" i="4"/>
  <c r="O977" i="4"/>
  <c r="J977" i="4"/>
  <c r="I977" i="4"/>
  <c r="H977" i="4"/>
  <c r="G977" i="4"/>
  <c r="F977" i="4"/>
  <c r="E977" i="4"/>
  <c r="S977" i="4" s="1"/>
  <c r="C977" i="4"/>
  <c r="B977" i="4"/>
  <c r="A977" i="4"/>
  <c r="O976" i="4"/>
  <c r="J976" i="4"/>
  <c r="I976" i="4"/>
  <c r="H976" i="4"/>
  <c r="G976" i="4"/>
  <c r="F976" i="4"/>
  <c r="E976" i="4"/>
  <c r="C976" i="4"/>
  <c r="B976" i="4"/>
  <c r="A976" i="4"/>
  <c r="J975" i="4"/>
  <c r="I975" i="4"/>
  <c r="H975" i="4"/>
  <c r="R975" i="4" s="1"/>
  <c r="G975" i="4"/>
  <c r="F975" i="4"/>
  <c r="S975" i="4" s="1"/>
  <c r="E975" i="4"/>
  <c r="C975" i="4"/>
  <c r="B975" i="4"/>
  <c r="A975" i="4"/>
  <c r="K974" i="4"/>
  <c r="J974" i="4"/>
  <c r="I974" i="4"/>
  <c r="R974" i="4" s="1"/>
  <c r="H974" i="4"/>
  <c r="G974" i="4"/>
  <c r="F974" i="4"/>
  <c r="E974" i="4"/>
  <c r="D974" i="4" s="1"/>
  <c r="C974" i="4"/>
  <c r="B974" i="4"/>
  <c r="A974" i="4"/>
  <c r="O973" i="4"/>
  <c r="K973" i="4"/>
  <c r="J973" i="4"/>
  <c r="I973" i="4"/>
  <c r="H973" i="4"/>
  <c r="G973" i="4"/>
  <c r="F973" i="4"/>
  <c r="E973" i="4"/>
  <c r="D973" i="4" s="1"/>
  <c r="C973" i="4"/>
  <c r="B973" i="4"/>
  <c r="A973" i="4"/>
  <c r="S972" i="4"/>
  <c r="R972" i="4"/>
  <c r="O972" i="4"/>
  <c r="J972" i="4"/>
  <c r="I972" i="4"/>
  <c r="H972" i="4"/>
  <c r="D972" i="4" s="1"/>
  <c r="G972" i="4"/>
  <c r="F972" i="4"/>
  <c r="E972" i="4"/>
  <c r="C972" i="4"/>
  <c r="B972" i="4"/>
  <c r="A972" i="4"/>
  <c r="S971" i="4"/>
  <c r="R971" i="4"/>
  <c r="O971" i="4"/>
  <c r="J971" i="4"/>
  <c r="I971" i="4"/>
  <c r="H971" i="4"/>
  <c r="G971" i="4"/>
  <c r="F971" i="4"/>
  <c r="E971" i="4"/>
  <c r="D971" i="4"/>
  <c r="C971" i="4"/>
  <c r="B971" i="4"/>
  <c r="A971" i="4"/>
  <c r="O970" i="4"/>
  <c r="K970" i="4"/>
  <c r="J970" i="4"/>
  <c r="I970" i="4"/>
  <c r="H970" i="4"/>
  <c r="G970" i="4"/>
  <c r="F970" i="4"/>
  <c r="E970" i="4"/>
  <c r="S970" i="4" s="1"/>
  <c r="D970" i="4"/>
  <c r="C970" i="4"/>
  <c r="B970" i="4"/>
  <c r="A970" i="4"/>
  <c r="K969" i="4"/>
  <c r="J969" i="4"/>
  <c r="I969" i="4"/>
  <c r="H969" i="4"/>
  <c r="G969" i="4"/>
  <c r="F969" i="4"/>
  <c r="E969" i="4"/>
  <c r="D969" i="4"/>
  <c r="C969" i="4"/>
  <c r="B969" i="4"/>
  <c r="A969" i="4"/>
  <c r="J968" i="4"/>
  <c r="I968" i="4"/>
  <c r="H968" i="4"/>
  <c r="G968" i="4"/>
  <c r="F968" i="4"/>
  <c r="E968" i="4"/>
  <c r="S968" i="4" s="1"/>
  <c r="D968" i="4"/>
  <c r="C968" i="4"/>
  <c r="B968" i="4"/>
  <c r="A968" i="4"/>
  <c r="O967" i="4"/>
  <c r="K967" i="4"/>
  <c r="J967" i="4"/>
  <c r="I967" i="4"/>
  <c r="H967" i="4"/>
  <c r="G967" i="4"/>
  <c r="F967" i="4"/>
  <c r="E967" i="4"/>
  <c r="C967" i="4"/>
  <c r="B967" i="4"/>
  <c r="A967" i="4"/>
  <c r="L966" i="4"/>
  <c r="J966" i="4"/>
  <c r="I966" i="4"/>
  <c r="H966" i="4"/>
  <c r="G966" i="4"/>
  <c r="F966" i="4"/>
  <c r="E966" i="4"/>
  <c r="C966" i="4"/>
  <c r="B966" i="4"/>
  <c r="A966" i="4"/>
  <c r="K965" i="4"/>
  <c r="J965" i="4"/>
  <c r="I965" i="4"/>
  <c r="H965" i="4"/>
  <c r="G965" i="4"/>
  <c r="F965" i="4"/>
  <c r="E965" i="4"/>
  <c r="C965" i="4"/>
  <c r="B965" i="4"/>
  <c r="A965" i="4"/>
  <c r="O964" i="4"/>
  <c r="L964" i="4"/>
  <c r="K964" i="4"/>
  <c r="J964" i="4"/>
  <c r="I964" i="4"/>
  <c r="H964" i="4"/>
  <c r="G964" i="4"/>
  <c r="F964" i="4"/>
  <c r="E964" i="4"/>
  <c r="C964" i="4"/>
  <c r="B964" i="4"/>
  <c r="A964" i="4"/>
  <c r="J963" i="4"/>
  <c r="I963" i="4"/>
  <c r="H963" i="4"/>
  <c r="G963" i="4"/>
  <c r="F963" i="4"/>
  <c r="E963" i="4"/>
  <c r="D963" i="4" s="1"/>
  <c r="C963" i="4"/>
  <c r="B963" i="4"/>
  <c r="A963" i="4"/>
  <c r="J962" i="4"/>
  <c r="I962" i="4"/>
  <c r="H962" i="4"/>
  <c r="G962" i="4"/>
  <c r="F962" i="4"/>
  <c r="E962" i="4"/>
  <c r="D962" i="4" s="1"/>
  <c r="C962" i="4"/>
  <c r="B962" i="4"/>
  <c r="A962" i="4"/>
  <c r="J961" i="4"/>
  <c r="I961" i="4"/>
  <c r="H961" i="4"/>
  <c r="G961" i="4"/>
  <c r="F961" i="4"/>
  <c r="E961" i="4"/>
  <c r="D961" i="4" s="1"/>
  <c r="C961" i="4"/>
  <c r="B961" i="4"/>
  <c r="A961" i="4"/>
  <c r="J960" i="4"/>
  <c r="I960" i="4"/>
  <c r="H960" i="4"/>
  <c r="G960" i="4"/>
  <c r="F960" i="4"/>
  <c r="E960" i="4"/>
  <c r="C960" i="4"/>
  <c r="B960" i="4"/>
  <c r="A960" i="4"/>
  <c r="J959" i="4"/>
  <c r="I959" i="4"/>
  <c r="H959" i="4"/>
  <c r="G959" i="4"/>
  <c r="F959" i="4"/>
  <c r="E959" i="4"/>
  <c r="D959" i="4" s="1"/>
  <c r="C959" i="4"/>
  <c r="B959" i="4"/>
  <c r="A959" i="4"/>
  <c r="J958" i="4"/>
  <c r="I958" i="4"/>
  <c r="H958" i="4"/>
  <c r="G958" i="4"/>
  <c r="F958" i="4"/>
  <c r="E958" i="4"/>
  <c r="D958" i="4" s="1"/>
  <c r="C958" i="4"/>
  <c r="B958" i="4"/>
  <c r="A958" i="4"/>
  <c r="J957" i="4"/>
  <c r="I957" i="4"/>
  <c r="H957" i="4"/>
  <c r="G957" i="4"/>
  <c r="F957" i="4"/>
  <c r="E957" i="4"/>
  <c r="D957" i="4" s="1"/>
  <c r="C957" i="4"/>
  <c r="B957" i="4"/>
  <c r="A957" i="4"/>
  <c r="J956" i="4"/>
  <c r="I956" i="4"/>
  <c r="H956" i="4"/>
  <c r="G956" i="4"/>
  <c r="F956" i="4"/>
  <c r="E956" i="4"/>
  <c r="C956" i="4"/>
  <c r="B956" i="4"/>
  <c r="A956" i="4"/>
  <c r="J955" i="4"/>
  <c r="I955" i="4"/>
  <c r="H955" i="4"/>
  <c r="G955" i="4"/>
  <c r="F955" i="4"/>
  <c r="E955" i="4"/>
  <c r="D955" i="4" s="1"/>
  <c r="C955" i="4"/>
  <c r="B955" i="4"/>
  <c r="A955" i="4"/>
  <c r="J954" i="4"/>
  <c r="I954" i="4"/>
  <c r="H954" i="4"/>
  <c r="G954" i="4"/>
  <c r="F954" i="4"/>
  <c r="E954" i="4"/>
  <c r="D954" i="4" s="1"/>
  <c r="C954" i="4"/>
  <c r="B954" i="4"/>
  <c r="A954" i="4"/>
  <c r="J953" i="4"/>
  <c r="I953" i="4"/>
  <c r="H953" i="4"/>
  <c r="G953" i="4"/>
  <c r="F953" i="4"/>
  <c r="E953" i="4"/>
  <c r="D953" i="4" s="1"/>
  <c r="C953" i="4"/>
  <c r="B953" i="4"/>
  <c r="A953" i="4"/>
  <c r="J952" i="4"/>
  <c r="I952" i="4"/>
  <c r="H952" i="4"/>
  <c r="G952" i="4"/>
  <c r="F952" i="4"/>
  <c r="E952" i="4"/>
  <c r="C952" i="4"/>
  <c r="B952" i="4"/>
  <c r="A952" i="4"/>
  <c r="J951" i="4"/>
  <c r="I951" i="4"/>
  <c r="H951" i="4"/>
  <c r="G951" i="4"/>
  <c r="F951" i="4"/>
  <c r="E951" i="4"/>
  <c r="D951" i="4" s="1"/>
  <c r="C951" i="4"/>
  <c r="B951" i="4"/>
  <c r="A951" i="4"/>
  <c r="J950" i="4"/>
  <c r="I950" i="4"/>
  <c r="H950" i="4"/>
  <c r="G950" i="4"/>
  <c r="F950" i="4"/>
  <c r="E950" i="4"/>
  <c r="D950" i="4" s="1"/>
  <c r="C950" i="4"/>
  <c r="B950" i="4"/>
  <c r="A950" i="4"/>
  <c r="J949" i="4"/>
  <c r="I949" i="4"/>
  <c r="H949" i="4"/>
  <c r="G949" i="4"/>
  <c r="F949" i="4"/>
  <c r="E949" i="4"/>
  <c r="D949" i="4" s="1"/>
  <c r="C949" i="4"/>
  <c r="B949" i="4"/>
  <c r="A949" i="4"/>
  <c r="J948" i="4"/>
  <c r="I948" i="4"/>
  <c r="H948" i="4"/>
  <c r="G948" i="4"/>
  <c r="F948" i="4"/>
  <c r="E948" i="4"/>
  <c r="C948" i="4"/>
  <c r="B948" i="4"/>
  <c r="A948" i="4"/>
  <c r="J947" i="4"/>
  <c r="I947" i="4"/>
  <c r="H947" i="4"/>
  <c r="G947" i="4"/>
  <c r="F947" i="4"/>
  <c r="E947" i="4"/>
  <c r="D947" i="4" s="1"/>
  <c r="C947" i="4"/>
  <c r="B947" i="4"/>
  <c r="A947" i="4"/>
  <c r="N946" i="4"/>
  <c r="M946" i="4"/>
  <c r="J946" i="4"/>
  <c r="I946" i="4"/>
  <c r="H946" i="4"/>
  <c r="G946" i="4"/>
  <c r="F946" i="4"/>
  <c r="E946" i="4"/>
  <c r="D946" i="4" s="1"/>
  <c r="C946" i="4"/>
  <c r="B946" i="4"/>
  <c r="A946" i="4"/>
  <c r="S945" i="4"/>
  <c r="R945" i="4"/>
  <c r="P945" i="4"/>
  <c r="N945" i="4"/>
  <c r="M945" i="4"/>
  <c r="J945" i="4"/>
  <c r="I945" i="4"/>
  <c r="H945" i="4"/>
  <c r="G945" i="4"/>
  <c r="F945" i="4"/>
  <c r="E945" i="4"/>
  <c r="D945" i="4"/>
  <c r="C945" i="4"/>
  <c r="B945" i="4"/>
  <c r="A945" i="4"/>
  <c r="P944" i="4"/>
  <c r="N944" i="4"/>
  <c r="M944" i="4"/>
  <c r="J944" i="4"/>
  <c r="I944" i="4"/>
  <c r="H944" i="4"/>
  <c r="G944" i="4"/>
  <c r="F944" i="4"/>
  <c r="E944" i="4"/>
  <c r="C944" i="4"/>
  <c r="B944" i="4"/>
  <c r="A944" i="4"/>
  <c r="K943" i="4"/>
  <c r="J943" i="4"/>
  <c r="I943" i="4"/>
  <c r="H943" i="4"/>
  <c r="G943" i="4"/>
  <c r="F943" i="4"/>
  <c r="E943" i="4"/>
  <c r="D943" i="4" s="1"/>
  <c r="C943" i="4"/>
  <c r="B943" i="4"/>
  <c r="A943" i="4"/>
  <c r="K942" i="4"/>
  <c r="J942" i="4"/>
  <c r="I942" i="4"/>
  <c r="H942" i="4"/>
  <c r="G942" i="4"/>
  <c r="D942" i="4" s="1"/>
  <c r="F942" i="4"/>
  <c r="E942" i="4"/>
  <c r="S942" i="4" s="1"/>
  <c r="C942" i="4"/>
  <c r="B942" i="4"/>
  <c r="A942" i="4"/>
  <c r="K941" i="4"/>
  <c r="J941" i="4"/>
  <c r="I941" i="4"/>
  <c r="H941" i="4"/>
  <c r="G941" i="4"/>
  <c r="F941" i="4"/>
  <c r="E941" i="4"/>
  <c r="D941" i="4" s="1"/>
  <c r="C941" i="4"/>
  <c r="B941" i="4"/>
  <c r="A941" i="4"/>
  <c r="O940" i="4"/>
  <c r="J940" i="4"/>
  <c r="I940" i="4"/>
  <c r="R940" i="4" s="1"/>
  <c r="H940" i="4"/>
  <c r="G940" i="4"/>
  <c r="F940" i="4"/>
  <c r="E940" i="4"/>
  <c r="D940" i="4" s="1"/>
  <c r="C940" i="4"/>
  <c r="B940" i="4"/>
  <c r="A940" i="4"/>
  <c r="O939" i="4"/>
  <c r="J939" i="4"/>
  <c r="I939" i="4"/>
  <c r="H939" i="4"/>
  <c r="G939" i="4"/>
  <c r="F939" i="4"/>
  <c r="E939" i="4"/>
  <c r="C939" i="4"/>
  <c r="B939" i="4"/>
  <c r="A939" i="4"/>
  <c r="J938" i="4"/>
  <c r="I938" i="4"/>
  <c r="H938" i="4"/>
  <c r="G938" i="4"/>
  <c r="F938" i="4"/>
  <c r="D938" i="4" s="1"/>
  <c r="E938" i="4"/>
  <c r="C938" i="4"/>
  <c r="B938" i="4"/>
  <c r="A938" i="4"/>
  <c r="K937" i="4"/>
  <c r="J937" i="4"/>
  <c r="I937" i="4"/>
  <c r="H937" i="4"/>
  <c r="G937" i="4"/>
  <c r="F937" i="4"/>
  <c r="E937" i="4"/>
  <c r="D937" i="4" s="1"/>
  <c r="C937" i="4"/>
  <c r="B937" i="4"/>
  <c r="A937" i="4"/>
  <c r="S936" i="4"/>
  <c r="R936" i="4"/>
  <c r="O936" i="4"/>
  <c r="K936" i="4"/>
  <c r="J936" i="4"/>
  <c r="I936" i="4"/>
  <c r="H936" i="4"/>
  <c r="G936" i="4"/>
  <c r="F936" i="4"/>
  <c r="E936" i="4"/>
  <c r="D936" i="4"/>
  <c r="C936" i="4"/>
  <c r="B936" i="4"/>
  <c r="A936" i="4"/>
  <c r="O935" i="4"/>
  <c r="J935" i="4"/>
  <c r="I935" i="4"/>
  <c r="H935" i="4"/>
  <c r="G935" i="4"/>
  <c r="F935" i="4"/>
  <c r="E935" i="4"/>
  <c r="S935" i="4" s="1"/>
  <c r="D935" i="4"/>
  <c r="C935" i="4"/>
  <c r="B935" i="4"/>
  <c r="A935" i="4"/>
  <c r="O934" i="4"/>
  <c r="J934" i="4"/>
  <c r="I934" i="4"/>
  <c r="H934" i="4"/>
  <c r="G934" i="4"/>
  <c r="F934" i="4"/>
  <c r="E934" i="4"/>
  <c r="S934" i="4" s="1"/>
  <c r="D934" i="4"/>
  <c r="C934" i="4"/>
  <c r="B934" i="4"/>
  <c r="A934" i="4"/>
  <c r="O933" i="4"/>
  <c r="K933" i="4"/>
  <c r="J933" i="4"/>
  <c r="I933" i="4"/>
  <c r="H933" i="4"/>
  <c r="G933" i="4"/>
  <c r="F933" i="4"/>
  <c r="E933" i="4"/>
  <c r="C933" i="4"/>
  <c r="B933" i="4"/>
  <c r="A933" i="4"/>
  <c r="K932" i="4"/>
  <c r="J932" i="4"/>
  <c r="I932" i="4"/>
  <c r="H932" i="4"/>
  <c r="G932" i="4"/>
  <c r="F932" i="4"/>
  <c r="E932" i="4"/>
  <c r="D932" i="4" s="1"/>
  <c r="C932" i="4"/>
  <c r="B932" i="4"/>
  <c r="A932" i="4"/>
  <c r="J931" i="4"/>
  <c r="I931" i="4"/>
  <c r="H931" i="4"/>
  <c r="G931" i="4"/>
  <c r="F931" i="4"/>
  <c r="E931" i="4"/>
  <c r="C931" i="4"/>
  <c r="B931" i="4"/>
  <c r="A931" i="4"/>
  <c r="O930" i="4"/>
  <c r="K930" i="4"/>
  <c r="J930" i="4"/>
  <c r="I930" i="4"/>
  <c r="H930" i="4"/>
  <c r="G930" i="4"/>
  <c r="F930" i="4"/>
  <c r="E930" i="4"/>
  <c r="C930" i="4"/>
  <c r="B930" i="4"/>
  <c r="A930" i="4"/>
  <c r="L929" i="4"/>
  <c r="J929" i="4"/>
  <c r="I929" i="4"/>
  <c r="R929" i="4" s="1"/>
  <c r="H929" i="4"/>
  <c r="G929" i="4"/>
  <c r="F929" i="4"/>
  <c r="E929" i="4"/>
  <c r="C929" i="4"/>
  <c r="B929" i="4"/>
  <c r="A929" i="4"/>
  <c r="K928" i="4"/>
  <c r="J928" i="4"/>
  <c r="I928" i="4"/>
  <c r="H928" i="4"/>
  <c r="G928" i="4"/>
  <c r="F928" i="4"/>
  <c r="D928" i="4" s="1"/>
  <c r="E928" i="4"/>
  <c r="C928" i="4"/>
  <c r="B928" i="4"/>
  <c r="A928" i="4"/>
  <c r="O927" i="4"/>
  <c r="L927" i="4"/>
  <c r="K927" i="4"/>
  <c r="J927" i="4"/>
  <c r="I927" i="4"/>
  <c r="H927" i="4"/>
  <c r="G927" i="4"/>
  <c r="F927" i="4"/>
  <c r="E927" i="4"/>
  <c r="C927" i="4"/>
  <c r="B927" i="4"/>
  <c r="A927" i="4"/>
  <c r="J926" i="4"/>
  <c r="S926" i="4" s="1"/>
  <c r="I926" i="4"/>
  <c r="H926" i="4"/>
  <c r="G926" i="4"/>
  <c r="F926" i="4"/>
  <c r="E926" i="4"/>
  <c r="D926" i="4"/>
  <c r="C926" i="4"/>
  <c r="B926" i="4"/>
  <c r="A926" i="4"/>
  <c r="J925" i="4"/>
  <c r="S925" i="4" s="1"/>
  <c r="I925" i="4"/>
  <c r="H925" i="4"/>
  <c r="G925" i="4"/>
  <c r="F925" i="4"/>
  <c r="E925" i="4"/>
  <c r="D925" i="4"/>
  <c r="C925" i="4"/>
  <c r="B925" i="4"/>
  <c r="A925" i="4"/>
  <c r="J924" i="4"/>
  <c r="S924" i="4" s="1"/>
  <c r="I924" i="4"/>
  <c r="H924" i="4"/>
  <c r="G924" i="4"/>
  <c r="F924" i="4"/>
  <c r="E924" i="4"/>
  <c r="D924" i="4"/>
  <c r="C924" i="4"/>
  <c r="B924" i="4"/>
  <c r="A924" i="4"/>
  <c r="J923" i="4"/>
  <c r="S923" i="4" s="1"/>
  <c r="I923" i="4"/>
  <c r="H923" i="4"/>
  <c r="G923" i="4"/>
  <c r="F923" i="4"/>
  <c r="E923" i="4"/>
  <c r="D923" i="4"/>
  <c r="C923" i="4"/>
  <c r="B923" i="4"/>
  <c r="A923" i="4"/>
  <c r="J922" i="4"/>
  <c r="S922" i="4" s="1"/>
  <c r="I922" i="4"/>
  <c r="H922" i="4"/>
  <c r="G922" i="4"/>
  <c r="F922" i="4"/>
  <c r="E922" i="4"/>
  <c r="D922" i="4"/>
  <c r="C922" i="4"/>
  <c r="B922" i="4"/>
  <c r="A922" i="4"/>
  <c r="J921" i="4"/>
  <c r="S921" i="4" s="1"/>
  <c r="I921" i="4"/>
  <c r="H921" i="4"/>
  <c r="G921" i="4"/>
  <c r="F921" i="4"/>
  <c r="E921" i="4"/>
  <c r="D921" i="4"/>
  <c r="C921" i="4"/>
  <c r="B921" i="4"/>
  <c r="A921" i="4"/>
  <c r="J920" i="4"/>
  <c r="S920" i="4" s="1"/>
  <c r="I920" i="4"/>
  <c r="H920" i="4"/>
  <c r="G920" i="4"/>
  <c r="F920" i="4"/>
  <c r="E920" i="4"/>
  <c r="D920" i="4"/>
  <c r="C920" i="4"/>
  <c r="B920" i="4"/>
  <c r="A920" i="4"/>
  <c r="J919" i="4"/>
  <c r="S919" i="4" s="1"/>
  <c r="I919" i="4"/>
  <c r="H919" i="4"/>
  <c r="G919" i="4"/>
  <c r="F919" i="4"/>
  <c r="E919" i="4"/>
  <c r="D919" i="4"/>
  <c r="C919" i="4"/>
  <c r="B919" i="4"/>
  <c r="A919" i="4"/>
  <c r="J918" i="4"/>
  <c r="S918" i="4" s="1"/>
  <c r="I918" i="4"/>
  <c r="H918" i="4"/>
  <c r="G918" i="4"/>
  <c r="F918" i="4"/>
  <c r="E918" i="4"/>
  <c r="D918" i="4"/>
  <c r="C918" i="4"/>
  <c r="B918" i="4"/>
  <c r="A918" i="4"/>
  <c r="J917" i="4"/>
  <c r="S917" i="4" s="1"/>
  <c r="I917" i="4"/>
  <c r="H917" i="4"/>
  <c r="G917" i="4"/>
  <c r="F917" i="4"/>
  <c r="E917" i="4"/>
  <c r="D917" i="4"/>
  <c r="C917" i="4"/>
  <c r="B917" i="4"/>
  <c r="A917" i="4"/>
  <c r="J916" i="4"/>
  <c r="S916" i="4" s="1"/>
  <c r="I916" i="4"/>
  <c r="H916" i="4"/>
  <c r="G916" i="4"/>
  <c r="F916" i="4"/>
  <c r="E916" i="4"/>
  <c r="D916" i="4"/>
  <c r="C916" i="4"/>
  <c r="B916" i="4"/>
  <c r="A916" i="4"/>
  <c r="J915" i="4"/>
  <c r="S915" i="4" s="1"/>
  <c r="I915" i="4"/>
  <c r="H915" i="4"/>
  <c r="G915" i="4"/>
  <c r="F915" i="4"/>
  <c r="E915" i="4"/>
  <c r="D915" i="4"/>
  <c r="C915" i="4"/>
  <c r="B915" i="4"/>
  <c r="A915" i="4"/>
  <c r="J914" i="4"/>
  <c r="S914" i="4" s="1"/>
  <c r="I914" i="4"/>
  <c r="H914" i="4"/>
  <c r="G914" i="4"/>
  <c r="F914" i="4"/>
  <c r="E914" i="4"/>
  <c r="D914" i="4"/>
  <c r="C914" i="4"/>
  <c r="B914" i="4"/>
  <c r="A914" i="4"/>
  <c r="J913" i="4"/>
  <c r="S913" i="4" s="1"/>
  <c r="I913" i="4"/>
  <c r="H913" i="4"/>
  <c r="G913" i="4"/>
  <c r="F913" i="4"/>
  <c r="E913" i="4"/>
  <c r="D913" i="4"/>
  <c r="C913" i="4"/>
  <c r="B913" i="4"/>
  <c r="A913" i="4"/>
  <c r="J912" i="4"/>
  <c r="S912" i="4" s="1"/>
  <c r="I912" i="4"/>
  <c r="H912" i="4"/>
  <c r="G912" i="4"/>
  <c r="F912" i="4"/>
  <c r="E912" i="4"/>
  <c r="D912" i="4"/>
  <c r="C912" i="4"/>
  <c r="B912" i="4"/>
  <c r="A912" i="4"/>
  <c r="J911" i="4"/>
  <c r="S911" i="4" s="1"/>
  <c r="I911" i="4"/>
  <c r="H911" i="4"/>
  <c r="G911" i="4"/>
  <c r="F911" i="4"/>
  <c r="E911" i="4"/>
  <c r="D911" i="4"/>
  <c r="C911" i="4"/>
  <c r="B911" i="4"/>
  <c r="A911" i="4"/>
  <c r="J910" i="4"/>
  <c r="S910" i="4" s="1"/>
  <c r="I910" i="4"/>
  <c r="H910" i="4"/>
  <c r="G910" i="4"/>
  <c r="F910" i="4"/>
  <c r="E910" i="4"/>
  <c r="D910" i="4"/>
  <c r="C910" i="4"/>
  <c r="B910" i="4"/>
  <c r="A910" i="4"/>
  <c r="N909" i="4"/>
  <c r="M909" i="4"/>
  <c r="J909" i="4"/>
  <c r="I909" i="4"/>
  <c r="H909" i="4"/>
  <c r="G909" i="4"/>
  <c r="F909" i="4"/>
  <c r="E909" i="4"/>
  <c r="S909" i="4" s="1"/>
  <c r="D909" i="4"/>
  <c r="C909" i="4"/>
  <c r="B909" i="4"/>
  <c r="A909" i="4"/>
  <c r="P908" i="4"/>
  <c r="N908" i="4"/>
  <c r="M908" i="4"/>
  <c r="J908" i="4"/>
  <c r="I908" i="4"/>
  <c r="H908" i="4"/>
  <c r="G908" i="4"/>
  <c r="F908" i="4"/>
  <c r="E908" i="4"/>
  <c r="C908" i="4"/>
  <c r="B908" i="4"/>
  <c r="A908" i="4"/>
  <c r="P907" i="4"/>
  <c r="N907" i="4"/>
  <c r="M907" i="4"/>
  <c r="J907" i="4"/>
  <c r="I907" i="4"/>
  <c r="H907" i="4"/>
  <c r="G907" i="4"/>
  <c r="F907" i="4"/>
  <c r="E907" i="4"/>
  <c r="C907" i="4"/>
  <c r="B907" i="4"/>
  <c r="A907" i="4"/>
  <c r="K906" i="4"/>
  <c r="J906" i="4"/>
  <c r="I906" i="4"/>
  <c r="H906" i="4"/>
  <c r="G906" i="4"/>
  <c r="F906" i="4"/>
  <c r="D906" i="4" s="1"/>
  <c r="E906" i="4"/>
  <c r="C906" i="4"/>
  <c r="B906" i="4"/>
  <c r="A906" i="4"/>
  <c r="K905" i="4"/>
  <c r="J905" i="4"/>
  <c r="I905" i="4"/>
  <c r="H905" i="4"/>
  <c r="G905" i="4"/>
  <c r="F905" i="4"/>
  <c r="E905" i="4"/>
  <c r="D905" i="4" s="1"/>
  <c r="C905" i="4"/>
  <c r="B905" i="4"/>
  <c r="A905" i="4"/>
  <c r="S904" i="4"/>
  <c r="R904" i="4"/>
  <c r="K904" i="4"/>
  <c r="J904" i="4"/>
  <c r="I904" i="4"/>
  <c r="H904" i="4"/>
  <c r="D904" i="4" s="1"/>
  <c r="G904" i="4"/>
  <c r="F904" i="4"/>
  <c r="E904" i="4"/>
  <c r="C904" i="4"/>
  <c r="B904" i="4"/>
  <c r="A904" i="4"/>
  <c r="S903" i="4"/>
  <c r="O903" i="4"/>
  <c r="J903" i="4"/>
  <c r="R903" i="4" s="1"/>
  <c r="I903" i="4"/>
  <c r="H903" i="4"/>
  <c r="G903" i="4"/>
  <c r="F903" i="4"/>
  <c r="E903" i="4"/>
  <c r="D903" i="4"/>
  <c r="C903" i="4"/>
  <c r="B903" i="4"/>
  <c r="A903" i="4"/>
  <c r="O902" i="4"/>
  <c r="J902" i="4"/>
  <c r="I902" i="4"/>
  <c r="H902" i="4"/>
  <c r="G902" i="4"/>
  <c r="F902" i="4"/>
  <c r="E902" i="4"/>
  <c r="S902" i="4" s="1"/>
  <c r="D902" i="4"/>
  <c r="C902" i="4"/>
  <c r="B902" i="4"/>
  <c r="A902" i="4"/>
  <c r="J901" i="4"/>
  <c r="I901" i="4"/>
  <c r="H901" i="4"/>
  <c r="G901" i="4"/>
  <c r="F901" i="4"/>
  <c r="E901" i="4"/>
  <c r="S901" i="4" s="1"/>
  <c r="D901" i="4"/>
  <c r="C901" i="4"/>
  <c r="B901" i="4"/>
  <c r="A901" i="4"/>
  <c r="K900" i="4"/>
  <c r="J900" i="4"/>
  <c r="I900" i="4"/>
  <c r="H900" i="4"/>
  <c r="G900" i="4"/>
  <c r="F900" i="4"/>
  <c r="E900" i="4"/>
  <c r="S900" i="4" s="1"/>
  <c r="D900" i="4"/>
  <c r="C900" i="4"/>
  <c r="B900" i="4"/>
  <c r="A900" i="4"/>
  <c r="O899" i="4"/>
  <c r="K899" i="4"/>
  <c r="J899" i="4"/>
  <c r="I899" i="4"/>
  <c r="H899" i="4"/>
  <c r="G899" i="4"/>
  <c r="F899" i="4"/>
  <c r="E899" i="4"/>
  <c r="C899" i="4"/>
  <c r="B899" i="4"/>
  <c r="A899" i="4"/>
  <c r="O898" i="4"/>
  <c r="J898" i="4"/>
  <c r="I898" i="4"/>
  <c r="H898" i="4"/>
  <c r="G898" i="4"/>
  <c r="F898" i="4"/>
  <c r="D898" i="4" s="1"/>
  <c r="E898" i="4"/>
  <c r="C898" i="4"/>
  <c r="B898" i="4"/>
  <c r="A898" i="4"/>
  <c r="O897" i="4"/>
  <c r="J897" i="4"/>
  <c r="I897" i="4"/>
  <c r="H897" i="4"/>
  <c r="G897" i="4"/>
  <c r="D897" i="4" s="1"/>
  <c r="F897" i="4"/>
  <c r="E897" i="4"/>
  <c r="C897" i="4"/>
  <c r="B897" i="4"/>
  <c r="A897" i="4"/>
  <c r="O896" i="4"/>
  <c r="K896" i="4"/>
  <c r="J896" i="4"/>
  <c r="I896" i="4"/>
  <c r="H896" i="4"/>
  <c r="G896" i="4"/>
  <c r="F896" i="4"/>
  <c r="E896" i="4"/>
  <c r="D896" i="4" s="1"/>
  <c r="C896" i="4"/>
  <c r="B896" i="4"/>
  <c r="A896" i="4"/>
  <c r="K895" i="4"/>
  <c r="J895" i="4"/>
  <c r="I895" i="4"/>
  <c r="H895" i="4"/>
  <c r="G895" i="4"/>
  <c r="F895" i="4"/>
  <c r="D895" i="4" s="1"/>
  <c r="E895" i="4"/>
  <c r="C895" i="4"/>
  <c r="B895" i="4"/>
  <c r="A895" i="4"/>
  <c r="J894" i="4"/>
  <c r="I894" i="4"/>
  <c r="H894" i="4"/>
  <c r="G894" i="4"/>
  <c r="F894" i="4"/>
  <c r="D894" i="4" s="1"/>
  <c r="E894" i="4"/>
  <c r="C894" i="4"/>
  <c r="B894" i="4"/>
  <c r="A894" i="4"/>
  <c r="O893" i="4"/>
  <c r="K893" i="4"/>
  <c r="J893" i="4"/>
  <c r="I893" i="4"/>
  <c r="H893" i="4"/>
  <c r="G893" i="4"/>
  <c r="F893" i="4"/>
  <c r="E893" i="4"/>
  <c r="C893" i="4"/>
  <c r="B893" i="4"/>
  <c r="A893" i="4"/>
  <c r="S892" i="4"/>
  <c r="L892" i="4"/>
  <c r="J892" i="4"/>
  <c r="R892" i="4" s="1"/>
  <c r="I892" i="4"/>
  <c r="H892" i="4"/>
  <c r="G892" i="4"/>
  <c r="F892" i="4"/>
  <c r="E892" i="4"/>
  <c r="D892" i="4"/>
  <c r="C892" i="4"/>
  <c r="B892" i="4"/>
  <c r="A892" i="4"/>
  <c r="K891" i="4"/>
  <c r="J891" i="4"/>
  <c r="I891" i="4"/>
  <c r="H891" i="4"/>
  <c r="G891" i="4"/>
  <c r="F891" i="4"/>
  <c r="E891" i="4"/>
  <c r="S891" i="4" s="1"/>
  <c r="D891" i="4"/>
  <c r="C891" i="4"/>
  <c r="B891" i="4"/>
  <c r="A891" i="4"/>
  <c r="O890" i="4"/>
  <c r="L890" i="4"/>
  <c r="K890" i="4"/>
  <c r="J890" i="4"/>
  <c r="I890" i="4"/>
  <c r="H890" i="4"/>
  <c r="G890" i="4"/>
  <c r="F890" i="4"/>
  <c r="E890" i="4"/>
  <c r="C890" i="4"/>
  <c r="B890" i="4"/>
  <c r="A890" i="4"/>
  <c r="J889" i="4"/>
  <c r="I889" i="4"/>
  <c r="H889" i="4"/>
  <c r="G889" i="4"/>
  <c r="F889" i="4"/>
  <c r="E889" i="4"/>
  <c r="C889" i="4"/>
  <c r="B889" i="4"/>
  <c r="A889" i="4"/>
  <c r="J888" i="4"/>
  <c r="I888" i="4"/>
  <c r="H888" i="4"/>
  <c r="G888" i="4"/>
  <c r="F888" i="4"/>
  <c r="E888" i="4"/>
  <c r="C888" i="4"/>
  <c r="B888" i="4"/>
  <c r="A888" i="4"/>
  <c r="J887" i="4"/>
  <c r="I887" i="4"/>
  <c r="H887" i="4"/>
  <c r="G887" i="4"/>
  <c r="F887" i="4"/>
  <c r="E887" i="4"/>
  <c r="C887" i="4"/>
  <c r="B887" i="4"/>
  <c r="A887" i="4"/>
  <c r="J886" i="4"/>
  <c r="I886" i="4"/>
  <c r="H886" i="4"/>
  <c r="G886" i="4"/>
  <c r="F886" i="4"/>
  <c r="E886" i="4"/>
  <c r="C886" i="4"/>
  <c r="B886" i="4"/>
  <c r="A886" i="4"/>
  <c r="J885" i="4"/>
  <c r="I885" i="4"/>
  <c r="H885" i="4"/>
  <c r="G885" i="4"/>
  <c r="F885" i="4"/>
  <c r="E885" i="4"/>
  <c r="C885" i="4"/>
  <c r="B885" i="4"/>
  <c r="A885" i="4"/>
  <c r="J884" i="4"/>
  <c r="I884" i="4"/>
  <c r="H884" i="4"/>
  <c r="G884" i="4"/>
  <c r="F884" i="4"/>
  <c r="E884" i="4"/>
  <c r="C884" i="4"/>
  <c r="B884" i="4"/>
  <c r="A884" i="4"/>
  <c r="J883" i="4"/>
  <c r="I883" i="4"/>
  <c r="H883" i="4"/>
  <c r="G883" i="4"/>
  <c r="F883" i="4"/>
  <c r="E883" i="4"/>
  <c r="C883" i="4"/>
  <c r="B883" i="4"/>
  <c r="A883" i="4"/>
  <c r="J882" i="4"/>
  <c r="I882" i="4"/>
  <c r="H882" i="4"/>
  <c r="G882" i="4"/>
  <c r="F882" i="4"/>
  <c r="E882" i="4"/>
  <c r="C882" i="4"/>
  <c r="B882" i="4"/>
  <c r="A882" i="4"/>
  <c r="J881" i="4"/>
  <c r="I881" i="4"/>
  <c r="H881" i="4"/>
  <c r="G881" i="4"/>
  <c r="F881" i="4"/>
  <c r="E881" i="4"/>
  <c r="C881" i="4"/>
  <c r="B881" i="4"/>
  <c r="A881" i="4"/>
  <c r="J880" i="4"/>
  <c r="I880" i="4"/>
  <c r="H880" i="4"/>
  <c r="G880" i="4"/>
  <c r="F880" i="4"/>
  <c r="E880" i="4"/>
  <c r="C880" i="4"/>
  <c r="B880" i="4"/>
  <c r="A880" i="4"/>
  <c r="J879" i="4"/>
  <c r="I879" i="4"/>
  <c r="H879" i="4"/>
  <c r="G879" i="4"/>
  <c r="F879" i="4"/>
  <c r="E879" i="4"/>
  <c r="C879" i="4"/>
  <c r="B879" i="4"/>
  <c r="A879" i="4"/>
  <c r="J878" i="4"/>
  <c r="I878" i="4"/>
  <c r="H878" i="4"/>
  <c r="G878" i="4"/>
  <c r="F878" i="4"/>
  <c r="E878" i="4"/>
  <c r="C878" i="4"/>
  <c r="B878" i="4"/>
  <c r="A878" i="4"/>
  <c r="J877" i="4"/>
  <c r="I877" i="4"/>
  <c r="H877" i="4"/>
  <c r="G877" i="4"/>
  <c r="F877" i="4"/>
  <c r="E877" i="4"/>
  <c r="C877" i="4"/>
  <c r="B877" i="4"/>
  <c r="A877" i="4"/>
  <c r="J876" i="4"/>
  <c r="I876" i="4"/>
  <c r="H876" i="4"/>
  <c r="G876" i="4"/>
  <c r="F876" i="4"/>
  <c r="E876" i="4"/>
  <c r="C876" i="4"/>
  <c r="B876" i="4"/>
  <c r="A876" i="4"/>
  <c r="J875" i="4"/>
  <c r="I875" i="4"/>
  <c r="H875" i="4"/>
  <c r="G875" i="4"/>
  <c r="F875" i="4"/>
  <c r="E875" i="4"/>
  <c r="C875" i="4"/>
  <c r="B875" i="4"/>
  <c r="A875" i="4"/>
  <c r="J874" i="4"/>
  <c r="I874" i="4"/>
  <c r="H874" i="4"/>
  <c r="G874" i="4"/>
  <c r="F874" i="4"/>
  <c r="E874" i="4"/>
  <c r="C874" i="4"/>
  <c r="B874" i="4"/>
  <c r="A874" i="4"/>
  <c r="J873" i="4"/>
  <c r="I873" i="4"/>
  <c r="H873" i="4"/>
  <c r="G873" i="4"/>
  <c r="F873" i="4"/>
  <c r="E873" i="4"/>
  <c r="C873" i="4"/>
  <c r="B873" i="4"/>
  <c r="A873" i="4"/>
  <c r="N872" i="4"/>
  <c r="M872" i="4"/>
  <c r="J872" i="4"/>
  <c r="I872" i="4"/>
  <c r="H872" i="4"/>
  <c r="G872" i="4"/>
  <c r="F872" i="4"/>
  <c r="E872" i="4"/>
  <c r="C872" i="4"/>
  <c r="B872" i="4"/>
  <c r="A872" i="4"/>
  <c r="P871" i="4"/>
  <c r="N871" i="4"/>
  <c r="M871" i="4"/>
  <c r="J871" i="4"/>
  <c r="I871" i="4"/>
  <c r="H871" i="4"/>
  <c r="G871" i="4"/>
  <c r="F871" i="4"/>
  <c r="D871" i="4" s="1"/>
  <c r="E871" i="4"/>
  <c r="C871" i="4"/>
  <c r="B871" i="4"/>
  <c r="A871" i="4"/>
  <c r="P870" i="4"/>
  <c r="N870" i="4"/>
  <c r="M870" i="4"/>
  <c r="J870" i="4"/>
  <c r="I870" i="4"/>
  <c r="H870" i="4"/>
  <c r="G870" i="4"/>
  <c r="F870" i="4"/>
  <c r="E870" i="4"/>
  <c r="C870" i="4"/>
  <c r="B870" i="4"/>
  <c r="A870" i="4"/>
  <c r="K869" i="4"/>
  <c r="J869" i="4"/>
  <c r="I869" i="4"/>
  <c r="H869" i="4"/>
  <c r="G869" i="4"/>
  <c r="F869" i="4"/>
  <c r="E869" i="4"/>
  <c r="S869" i="4" s="1"/>
  <c r="D869" i="4"/>
  <c r="C869" i="4"/>
  <c r="B869" i="4"/>
  <c r="A869" i="4"/>
  <c r="K868" i="4"/>
  <c r="J868" i="4"/>
  <c r="I868" i="4"/>
  <c r="H868" i="4"/>
  <c r="G868" i="4"/>
  <c r="F868" i="4"/>
  <c r="E868" i="4"/>
  <c r="S868" i="4" s="1"/>
  <c r="D868" i="4"/>
  <c r="C868" i="4"/>
  <c r="B868" i="4"/>
  <c r="A868" i="4"/>
  <c r="K867" i="4"/>
  <c r="J867" i="4"/>
  <c r="I867" i="4"/>
  <c r="H867" i="4"/>
  <c r="G867" i="4"/>
  <c r="F867" i="4"/>
  <c r="E867" i="4"/>
  <c r="S867" i="4" s="1"/>
  <c r="D867" i="4"/>
  <c r="C867" i="4"/>
  <c r="B867" i="4"/>
  <c r="A867" i="4"/>
  <c r="O866" i="4"/>
  <c r="J866" i="4"/>
  <c r="I866" i="4"/>
  <c r="H866" i="4"/>
  <c r="G866" i="4"/>
  <c r="F866" i="4"/>
  <c r="E866" i="4"/>
  <c r="C866" i="4"/>
  <c r="B866" i="4"/>
  <c r="A866" i="4"/>
  <c r="O865" i="4"/>
  <c r="J865" i="4"/>
  <c r="I865" i="4"/>
  <c r="H865" i="4"/>
  <c r="G865" i="4"/>
  <c r="F865" i="4"/>
  <c r="D865" i="4" s="1"/>
  <c r="E865" i="4"/>
  <c r="S865" i="4" s="1"/>
  <c r="C865" i="4"/>
  <c r="B865" i="4"/>
  <c r="A865" i="4"/>
  <c r="J864" i="4"/>
  <c r="I864" i="4"/>
  <c r="H864" i="4"/>
  <c r="G864" i="4"/>
  <c r="F864" i="4"/>
  <c r="D864" i="4" s="1"/>
  <c r="E864" i="4"/>
  <c r="C864" i="4"/>
  <c r="B864" i="4"/>
  <c r="A864" i="4"/>
  <c r="K863" i="4"/>
  <c r="J863" i="4"/>
  <c r="I863" i="4"/>
  <c r="H863" i="4"/>
  <c r="G863" i="4"/>
  <c r="D863" i="4" s="1"/>
  <c r="F863" i="4"/>
  <c r="E863" i="4"/>
  <c r="C863" i="4"/>
  <c r="B863" i="4"/>
  <c r="A863" i="4"/>
  <c r="O862" i="4"/>
  <c r="K862" i="4"/>
  <c r="J862" i="4"/>
  <c r="I862" i="4"/>
  <c r="H862" i="4"/>
  <c r="G862" i="4"/>
  <c r="F862" i="4"/>
  <c r="E862" i="4"/>
  <c r="D862" i="4" s="1"/>
  <c r="C862" i="4"/>
  <c r="B862" i="4"/>
  <c r="A862" i="4"/>
  <c r="O861" i="4"/>
  <c r="J861" i="4"/>
  <c r="I861" i="4"/>
  <c r="H861" i="4"/>
  <c r="G861" i="4"/>
  <c r="F861" i="4"/>
  <c r="D861" i="4" s="1"/>
  <c r="E861" i="4"/>
  <c r="C861" i="4"/>
  <c r="B861" i="4"/>
  <c r="A861" i="4"/>
  <c r="O860" i="4"/>
  <c r="J860" i="4"/>
  <c r="I860" i="4"/>
  <c r="H860" i="4"/>
  <c r="G860" i="4"/>
  <c r="F860" i="4"/>
  <c r="E860" i="4"/>
  <c r="D860" i="4" s="1"/>
  <c r="C860" i="4"/>
  <c r="B860" i="4"/>
  <c r="A860" i="4"/>
  <c r="S859" i="4"/>
  <c r="R859" i="4"/>
  <c r="O859" i="4"/>
  <c r="K859" i="4"/>
  <c r="J859" i="4"/>
  <c r="I859" i="4"/>
  <c r="H859" i="4"/>
  <c r="G859" i="4"/>
  <c r="F859" i="4"/>
  <c r="E859" i="4"/>
  <c r="D859" i="4"/>
  <c r="C859" i="4"/>
  <c r="B859" i="4"/>
  <c r="A859" i="4"/>
  <c r="K858" i="4"/>
  <c r="J858" i="4"/>
  <c r="I858" i="4"/>
  <c r="H858" i="4"/>
  <c r="G858" i="4"/>
  <c r="F858" i="4"/>
  <c r="E858" i="4"/>
  <c r="S858" i="4" s="1"/>
  <c r="D858" i="4"/>
  <c r="C858" i="4"/>
  <c r="B858" i="4"/>
  <c r="A858" i="4"/>
  <c r="J857" i="4"/>
  <c r="I857" i="4"/>
  <c r="H857" i="4"/>
  <c r="G857" i="4"/>
  <c r="F857" i="4"/>
  <c r="E857" i="4"/>
  <c r="S857" i="4" s="1"/>
  <c r="D857" i="4"/>
  <c r="C857" i="4"/>
  <c r="B857" i="4"/>
  <c r="A857" i="4"/>
  <c r="O856" i="4"/>
  <c r="K856" i="4"/>
  <c r="J856" i="4"/>
  <c r="I856" i="4"/>
  <c r="H856" i="4"/>
  <c r="G856" i="4"/>
  <c r="F856" i="4"/>
  <c r="E856" i="4"/>
  <c r="S856" i="4" s="1"/>
  <c r="D856" i="4"/>
  <c r="C856" i="4"/>
  <c r="B856" i="4"/>
  <c r="A856" i="4"/>
  <c r="L855" i="4"/>
  <c r="J855" i="4"/>
  <c r="I855" i="4"/>
  <c r="H855" i="4"/>
  <c r="G855" i="4"/>
  <c r="F855" i="4"/>
  <c r="E855" i="4"/>
  <c r="C855" i="4"/>
  <c r="B855" i="4"/>
  <c r="A855" i="4"/>
  <c r="K854" i="4"/>
  <c r="J854" i="4"/>
  <c r="I854" i="4"/>
  <c r="H854" i="4"/>
  <c r="G854" i="4"/>
  <c r="F854" i="4"/>
  <c r="D854" i="4" s="1"/>
  <c r="E854" i="4"/>
  <c r="C854" i="4"/>
  <c r="B854" i="4"/>
  <c r="A854" i="4"/>
  <c r="O853" i="4"/>
  <c r="L853" i="4"/>
  <c r="K853" i="4"/>
  <c r="J853" i="4"/>
  <c r="I853" i="4"/>
  <c r="H853" i="4"/>
  <c r="G853" i="4"/>
  <c r="F853" i="4"/>
  <c r="E853" i="4"/>
  <c r="C853" i="4"/>
  <c r="B853" i="4"/>
  <c r="A853" i="4"/>
  <c r="J852" i="4"/>
  <c r="I852" i="4"/>
  <c r="H852" i="4"/>
  <c r="G852" i="4"/>
  <c r="F852" i="4"/>
  <c r="E852" i="4"/>
  <c r="D852" i="4" s="1"/>
  <c r="C852" i="4"/>
  <c r="B852" i="4"/>
  <c r="A852" i="4"/>
  <c r="J851" i="4"/>
  <c r="I851" i="4"/>
  <c r="H851" i="4"/>
  <c r="G851" i="4"/>
  <c r="F851" i="4"/>
  <c r="E851" i="4"/>
  <c r="D851" i="4" s="1"/>
  <c r="C851" i="4"/>
  <c r="B851" i="4"/>
  <c r="A851" i="4"/>
  <c r="J850" i="4"/>
  <c r="I850" i="4"/>
  <c r="H850" i="4"/>
  <c r="G850" i="4"/>
  <c r="F850" i="4"/>
  <c r="E850" i="4"/>
  <c r="D850" i="4" s="1"/>
  <c r="C850" i="4"/>
  <c r="B850" i="4"/>
  <c r="A850" i="4"/>
  <c r="J849" i="4"/>
  <c r="I849" i="4"/>
  <c r="H849" i="4"/>
  <c r="G849" i="4"/>
  <c r="F849" i="4"/>
  <c r="E849" i="4"/>
  <c r="C849" i="4"/>
  <c r="B849" i="4"/>
  <c r="A849" i="4"/>
  <c r="J848" i="4"/>
  <c r="I848" i="4"/>
  <c r="H848" i="4"/>
  <c r="G848" i="4"/>
  <c r="F848" i="4"/>
  <c r="E848" i="4"/>
  <c r="D848" i="4" s="1"/>
  <c r="C848" i="4"/>
  <c r="B848" i="4"/>
  <c r="A848" i="4"/>
  <c r="J847" i="4"/>
  <c r="I847" i="4"/>
  <c r="H847" i="4"/>
  <c r="G847" i="4"/>
  <c r="F847" i="4"/>
  <c r="E847" i="4"/>
  <c r="D847" i="4" s="1"/>
  <c r="C847" i="4"/>
  <c r="B847" i="4"/>
  <c r="A847" i="4"/>
  <c r="J846" i="4"/>
  <c r="I846" i="4"/>
  <c r="H846" i="4"/>
  <c r="G846" i="4"/>
  <c r="F846" i="4"/>
  <c r="E846" i="4"/>
  <c r="D846" i="4" s="1"/>
  <c r="C846" i="4"/>
  <c r="B846" i="4"/>
  <c r="A846" i="4"/>
  <c r="J845" i="4"/>
  <c r="I845" i="4"/>
  <c r="H845" i="4"/>
  <c r="G845" i="4"/>
  <c r="F845" i="4"/>
  <c r="E845" i="4"/>
  <c r="C845" i="4"/>
  <c r="B845" i="4"/>
  <c r="A845" i="4"/>
  <c r="J844" i="4"/>
  <c r="I844" i="4"/>
  <c r="H844" i="4"/>
  <c r="G844" i="4"/>
  <c r="F844" i="4"/>
  <c r="E844" i="4"/>
  <c r="D844" i="4" s="1"/>
  <c r="C844" i="4"/>
  <c r="B844" i="4"/>
  <c r="A844" i="4"/>
  <c r="J843" i="4"/>
  <c r="I843" i="4"/>
  <c r="H843" i="4"/>
  <c r="G843" i="4"/>
  <c r="F843" i="4"/>
  <c r="E843" i="4"/>
  <c r="D843" i="4" s="1"/>
  <c r="C843" i="4"/>
  <c r="B843" i="4"/>
  <c r="A843" i="4"/>
  <c r="J842" i="4"/>
  <c r="I842" i="4"/>
  <c r="H842" i="4"/>
  <c r="G842" i="4"/>
  <c r="F842" i="4"/>
  <c r="E842" i="4"/>
  <c r="D842" i="4" s="1"/>
  <c r="C842" i="4"/>
  <c r="B842" i="4"/>
  <c r="A842" i="4"/>
  <c r="J841" i="4"/>
  <c r="I841" i="4"/>
  <c r="H841" i="4"/>
  <c r="G841" i="4"/>
  <c r="F841" i="4"/>
  <c r="E841" i="4"/>
  <c r="C841" i="4"/>
  <c r="B841" i="4"/>
  <c r="A841" i="4"/>
  <c r="J840" i="4"/>
  <c r="I840" i="4"/>
  <c r="H840" i="4"/>
  <c r="G840" i="4"/>
  <c r="F840" i="4"/>
  <c r="E840" i="4"/>
  <c r="D840" i="4" s="1"/>
  <c r="C840" i="4"/>
  <c r="B840" i="4"/>
  <c r="A840" i="4"/>
  <c r="J839" i="4"/>
  <c r="I839" i="4"/>
  <c r="H839" i="4"/>
  <c r="G839" i="4"/>
  <c r="F839" i="4"/>
  <c r="E839" i="4"/>
  <c r="D839" i="4" s="1"/>
  <c r="C839" i="4"/>
  <c r="B839" i="4"/>
  <c r="A839" i="4"/>
  <c r="J838" i="4"/>
  <c r="I838" i="4"/>
  <c r="H838" i="4"/>
  <c r="G838" i="4"/>
  <c r="F838" i="4"/>
  <c r="E838" i="4"/>
  <c r="D838" i="4" s="1"/>
  <c r="C838" i="4"/>
  <c r="B838" i="4"/>
  <c r="A838" i="4"/>
  <c r="J837" i="4"/>
  <c r="I837" i="4"/>
  <c r="H837" i="4"/>
  <c r="G837" i="4"/>
  <c r="F837" i="4"/>
  <c r="E837" i="4"/>
  <c r="C837" i="4"/>
  <c r="B837" i="4"/>
  <c r="A837" i="4"/>
  <c r="J836" i="4"/>
  <c r="I836" i="4"/>
  <c r="H836" i="4"/>
  <c r="G836" i="4"/>
  <c r="F836" i="4"/>
  <c r="E836" i="4"/>
  <c r="D836" i="4" s="1"/>
  <c r="C836" i="4"/>
  <c r="B836" i="4"/>
  <c r="A836" i="4"/>
  <c r="N835" i="4"/>
  <c r="M835" i="4"/>
  <c r="J835" i="4"/>
  <c r="I835" i="4"/>
  <c r="H835" i="4"/>
  <c r="G835" i="4"/>
  <c r="F835" i="4"/>
  <c r="E835" i="4"/>
  <c r="D835" i="4" s="1"/>
  <c r="C835" i="4"/>
  <c r="B835" i="4"/>
  <c r="A835" i="4"/>
  <c r="S834" i="4"/>
  <c r="R834" i="4"/>
  <c r="P834" i="4"/>
  <c r="N834" i="4"/>
  <c r="M834" i="4"/>
  <c r="J834" i="4"/>
  <c r="I834" i="4"/>
  <c r="H834" i="4"/>
  <c r="G834" i="4"/>
  <c r="F834" i="4"/>
  <c r="E834" i="4"/>
  <c r="D834" i="4"/>
  <c r="C834" i="4"/>
  <c r="B834" i="4"/>
  <c r="A834" i="4"/>
  <c r="P833" i="4"/>
  <c r="N833" i="4"/>
  <c r="M833" i="4"/>
  <c r="J833" i="4"/>
  <c r="I833" i="4"/>
  <c r="H833" i="4"/>
  <c r="G833" i="4"/>
  <c r="F833" i="4"/>
  <c r="E833" i="4"/>
  <c r="C833" i="4"/>
  <c r="B833" i="4"/>
  <c r="A833" i="4"/>
  <c r="K832" i="4"/>
  <c r="J832" i="4"/>
  <c r="I832" i="4"/>
  <c r="H832" i="4"/>
  <c r="G832" i="4"/>
  <c r="F832" i="4"/>
  <c r="D832" i="4" s="1"/>
  <c r="E832" i="4"/>
  <c r="S832" i="4" s="1"/>
  <c r="C832" i="4"/>
  <c r="B832" i="4"/>
  <c r="A832" i="4"/>
  <c r="K831" i="4"/>
  <c r="J831" i="4"/>
  <c r="I831" i="4"/>
  <c r="H831" i="4"/>
  <c r="G831" i="4"/>
  <c r="D831" i="4" s="1"/>
  <c r="F831" i="4"/>
  <c r="E831" i="4"/>
  <c r="C831" i="4"/>
  <c r="B831" i="4"/>
  <c r="A831" i="4"/>
  <c r="K830" i="4"/>
  <c r="J830" i="4"/>
  <c r="I830" i="4"/>
  <c r="H830" i="4"/>
  <c r="G830" i="4"/>
  <c r="F830" i="4"/>
  <c r="E830" i="4"/>
  <c r="D830" i="4" s="1"/>
  <c r="C830" i="4"/>
  <c r="B830" i="4"/>
  <c r="A830" i="4"/>
  <c r="O829" i="4"/>
  <c r="J829" i="4"/>
  <c r="I829" i="4"/>
  <c r="R829" i="4" s="1"/>
  <c r="H829" i="4"/>
  <c r="G829" i="4"/>
  <c r="F829" i="4"/>
  <c r="E829" i="4"/>
  <c r="D829" i="4" s="1"/>
  <c r="C829" i="4"/>
  <c r="B829" i="4"/>
  <c r="A829" i="4"/>
  <c r="O828" i="4"/>
  <c r="J828" i="4"/>
  <c r="I828" i="4"/>
  <c r="H828" i="4"/>
  <c r="G828" i="4"/>
  <c r="F828" i="4"/>
  <c r="E828" i="4"/>
  <c r="C828" i="4"/>
  <c r="B828" i="4"/>
  <c r="A828" i="4"/>
  <c r="J827" i="4"/>
  <c r="I827" i="4"/>
  <c r="H827" i="4"/>
  <c r="G827" i="4"/>
  <c r="F827" i="4"/>
  <c r="D827" i="4" s="1"/>
  <c r="E827" i="4"/>
  <c r="C827" i="4"/>
  <c r="B827" i="4"/>
  <c r="A827" i="4"/>
  <c r="K826" i="4"/>
  <c r="J826" i="4"/>
  <c r="I826" i="4"/>
  <c r="H826" i="4"/>
  <c r="G826" i="4"/>
  <c r="F826" i="4"/>
  <c r="E826" i="4"/>
  <c r="D826" i="4" s="1"/>
  <c r="C826" i="4"/>
  <c r="B826" i="4"/>
  <c r="A826" i="4"/>
  <c r="S825" i="4"/>
  <c r="R825" i="4"/>
  <c r="O825" i="4"/>
  <c r="K825" i="4"/>
  <c r="J825" i="4"/>
  <c r="I825" i="4"/>
  <c r="H825" i="4"/>
  <c r="G825" i="4"/>
  <c r="F825" i="4"/>
  <c r="E825" i="4"/>
  <c r="D825" i="4"/>
  <c r="C825" i="4"/>
  <c r="B825" i="4"/>
  <c r="A825" i="4"/>
  <c r="O824" i="4"/>
  <c r="J824" i="4"/>
  <c r="I824" i="4"/>
  <c r="H824" i="4"/>
  <c r="G824" i="4"/>
  <c r="F824" i="4"/>
  <c r="E824" i="4"/>
  <c r="S824" i="4" s="1"/>
  <c r="D824" i="4"/>
  <c r="C824" i="4"/>
  <c r="B824" i="4"/>
  <c r="A824" i="4"/>
  <c r="O823" i="4"/>
  <c r="J823" i="4"/>
  <c r="I823" i="4"/>
  <c r="H823" i="4"/>
  <c r="G823" i="4"/>
  <c r="F823" i="4"/>
  <c r="E823" i="4"/>
  <c r="C823" i="4"/>
  <c r="B823" i="4"/>
  <c r="A823" i="4"/>
  <c r="O822" i="4"/>
  <c r="K822" i="4"/>
  <c r="J822" i="4"/>
  <c r="I822" i="4"/>
  <c r="H822" i="4"/>
  <c r="G822" i="4"/>
  <c r="F822" i="4"/>
  <c r="E822" i="4"/>
  <c r="C822" i="4"/>
  <c r="B822" i="4"/>
  <c r="A822" i="4"/>
  <c r="K821" i="4"/>
  <c r="J821" i="4"/>
  <c r="I821" i="4"/>
  <c r="H821" i="4"/>
  <c r="G821" i="4"/>
  <c r="F821" i="4"/>
  <c r="D821" i="4" s="1"/>
  <c r="E821" i="4"/>
  <c r="C821" i="4"/>
  <c r="B821" i="4"/>
  <c r="A821" i="4"/>
  <c r="J820" i="4"/>
  <c r="I820" i="4"/>
  <c r="H820" i="4"/>
  <c r="G820" i="4"/>
  <c r="F820" i="4"/>
  <c r="E820" i="4"/>
  <c r="C820" i="4"/>
  <c r="B820" i="4"/>
  <c r="A820" i="4"/>
  <c r="O819" i="4"/>
  <c r="K819" i="4"/>
  <c r="J819" i="4"/>
  <c r="I819" i="4"/>
  <c r="H819" i="4"/>
  <c r="G819" i="4"/>
  <c r="F819" i="4"/>
  <c r="E819" i="4"/>
  <c r="C819" i="4"/>
  <c r="B819" i="4"/>
  <c r="A819" i="4"/>
  <c r="L818" i="4"/>
  <c r="J818" i="4"/>
  <c r="I818" i="4"/>
  <c r="R818" i="4" s="1"/>
  <c r="H818" i="4"/>
  <c r="G818" i="4"/>
  <c r="F818" i="4"/>
  <c r="E818" i="4"/>
  <c r="C818" i="4"/>
  <c r="B818" i="4"/>
  <c r="A818" i="4"/>
  <c r="K817" i="4"/>
  <c r="J817" i="4"/>
  <c r="S817" i="4" s="1"/>
  <c r="I817" i="4"/>
  <c r="H817" i="4"/>
  <c r="G817" i="4"/>
  <c r="F817" i="4"/>
  <c r="D817" i="4" s="1"/>
  <c r="E817" i="4"/>
  <c r="C817" i="4"/>
  <c r="B817" i="4"/>
  <c r="A817" i="4"/>
  <c r="S816" i="4"/>
  <c r="O816" i="4"/>
  <c r="L816" i="4"/>
  <c r="K816" i="4"/>
  <c r="J816" i="4"/>
  <c r="I816" i="4"/>
  <c r="H816" i="4"/>
  <c r="G816" i="4"/>
  <c r="F816" i="4"/>
  <c r="E816" i="4"/>
  <c r="C816" i="4"/>
  <c r="B816" i="4"/>
  <c r="A816" i="4"/>
  <c r="J815" i="4"/>
  <c r="S815" i="4" s="1"/>
  <c r="I815" i="4"/>
  <c r="H815" i="4"/>
  <c r="G815" i="4"/>
  <c r="F815" i="4"/>
  <c r="E815" i="4"/>
  <c r="D815" i="4"/>
  <c r="C815" i="4"/>
  <c r="B815" i="4"/>
  <c r="A815" i="4"/>
  <c r="J814" i="4"/>
  <c r="S814" i="4" s="1"/>
  <c r="I814" i="4"/>
  <c r="H814" i="4"/>
  <c r="G814" i="4"/>
  <c r="F814" i="4"/>
  <c r="E814" i="4"/>
  <c r="D814" i="4"/>
  <c r="C814" i="4"/>
  <c r="B814" i="4"/>
  <c r="A814" i="4"/>
  <c r="J813" i="4"/>
  <c r="S813" i="4" s="1"/>
  <c r="I813" i="4"/>
  <c r="H813" i="4"/>
  <c r="G813" i="4"/>
  <c r="F813" i="4"/>
  <c r="E813" i="4"/>
  <c r="D813" i="4"/>
  <c r="C813" i="4"/>
  <c r="B813" i="4"/>
  <c r="A813" i="4"/>
  <c r="J812" i="4"/>
  <c r="S812" i="4" s="1"/>
  <c r="I812" i="4"/>
  <c r="H812" i="4"/>
  <c r="G812" i="4"/>
  <c r="F812" i="4"/>
  <c r="E812" i="4"/>
  <c r="D812" i="4"/>
  <c r="C812" i="4"/>
  <c r="B812" i="4"/>
  <c r="A812" i="4"/>
  <c r="J811" i="4"/>
  <c r="S811" i="4" s="1"/>
  <c r="I811" i="4"/>
  <c r="H811" i="4"/>
  <c r="G811" i="4"/>
  <c r="F811" i="4"/>
  <c r="E811" i="4"/>
  <c r="D811" i="4"/>
  <c r="C811" i="4"/>
  <c r="B811" i="4"/>
  <c r="A811" i="4"/>
  <c r="R810" i="4"/>
  <c r="J810" i="4"/>
  <c r="S810" i="4" s="1"/>
  <c r="I810" i="4"/>
  <c r="H810" i="4"/>
  <c r="G810" i="4"/>
  <c r="F810" i="4"/>
  <c r="E810" i="4"/>
  <c r="D810" i="4"/>
  <c r="C810" i="4"/>
  <c r="B810" i="4"/>
  <c r="A810" i="4"/>
  <c r="R809" i="4"/>
  <c r="J809" i="4"/>
  <c r="S809" i="4" s="1"/>
  <c r="I809" i="4"/>
  <c r="H809" i="4"/>
  <c r="G809" i="4"/>
  <c r="F809" i="4"/>
  <c r="E809" i="4"/>
  <c r="D809" i="4"/>
  <c r="C809" i="4"/>
  <c r="B809" i="4"/>
  <c r="A809" i="4"/>
  <c r="R808" i="4"/>
  <c r="J808" i="4"/>
  <c r="S808" i="4" s="1"/>
  <c r="I808" i="4"/>
  <c r="H808" i="4"/>
  <c r="G808" i="4"/>
  <c r="F808" i="4"/>
  <c r="E808" i="4"/>
  <c r="D808" i="4"/>
  <c r="C808" i="4"/>
  <c r="B808" i="4"/>
  <c r="A808" i="4"/>
  <c r="R807" i="4"/>
  <c r="J807" i="4"/>
  <c r="S807" i="4" s="1"/>
  <c r="I807" i="4"/>
  <c r="H807" i="4"/>
  <c r="G807" i="4"/>
  <c r="F807" i="4"/>
  <c r="E807" i="4"/>
  <c r="D807" i="4"/>
  <c r="C807" i="4"/>
  <c r="B807" i="4"/>
  <c r="A807" i="4"/>
  <c r="R806" i="4"/>
  <c r="J806" i="4"/>
  <c r="S806" i="4" s="1"/>
  <c r="I806" i="4"/>
  <c r="H806" i="4"/>
  <c r="G806" i="4"/>
  <c r="F806" i="4"/>
  <c r="E806" i="4"/>
  <c r="D806" i="4"/>
  <c r="C806" i="4"/>
  <c r="B806" i="4"/>
  <c r="A806" i="4"/>
  <c r="R805" i="4"/>
  <c r="J805" i="4"/>
  <c r="S805" i="4" s="1"/>
  <c r="I805" i="4"/>
  <c r="H805" i="4"/>
  <c r="G805" i="4"/>
  <c r="F805" i="4"/>
  <c r="E805" i="4"/>
  <c r="D805" i="4"/>
  <c r="C805" i="4"/>
  <c r="B805" i="4"/>
  <c r="A805" i="4"/>
  <c r="R804" i="4"/>
  <c r="J804" i="4"/>
  <c r="S804" i="4" s="1"/>
  <c r="I804" i="4"/>
  <c r="H804" i="4"/>
  <c r="G804" i="4"/>
  <c r="F804" i="4"/>
  <c r="E804" i="4"/>
  <c r="D804" i="4"/>
  <c r="C804" i="4"/>
  <c r="B804" i="4"/>
  <c r="A804" i="4"/>
  <c r="R803" i="4"/>
  <c r="J803" i="4"/>
  <c r="S803" i="4" s="1"/>
  <c r="I803" i="4"/>
  <c r="H803" i="4"/>
  <c r="G803" i="4"/>
  <c r="F803" i="4"/>
  <c r="E803" i="4"/>
  <c r="D803" i="4"/>
  <c r="C803" i="4"/>
  <c r="B803" i="4"/>
  <c r="A803" i="4"/>
  <c r="R802" i="4"/>
  <c r="J802" i="4"/>
  <c r="S802" i="4" s="1"/>
  <c r="I802" i="4"/>
  <c r="H802" i="4"/>
  <c r="G802" i="4"/>
  <c r="F802" i="4"/>
  <c r="E802" i="4"/>
  <c r="D802" i="4"/>
  <c r="C802" i="4"/>
  <c r="B802" i="4"/>
  <c r="A802" i="4"/>
  <c r="R801" i="4"/>
  <c r="J801" i="4"/>
  <c r="S801" i="4" s="1"/>
  <c r="I801" i="4"/>
  <c r="H801" i="4"/>
  <c r="G801" i="4"/>
  <c r="F801" i="4"/>
  <c r="E801" i="4"/>
  <c r="D801" i="4"/>
  <c r="C801" i="4"/>
  <c r="B801" i="4"/>
  <c r="A801" i="4"/>
  <c r="R800" i="4"/>
  <c r="J800" i="4"/>
  <c r="S800" i="4" s="1"/>
  <c r="I800" i="4"/>
  <c r="H800" i="4"/>
  <c r="G800" i="4"/>
  <c r="F800" i="4"/>
  <c r="E800" i="4"/>
  <c r="D800" i="4"/>
  <c r="C800" i="4"/>
  <c r="B800" i="4"/>
  <c r="A800" i="4"/>
  <c r="R799" i="4"/>
  <c r="J799" i="4"/>
  <c r="S799" i="4" s="1"/>
  <c r="I799" i="4"/>
  <c r="H799" i="4"/>
  <c r="G799" i="4"/>
  <c r="F799" i="4"/>
  <c r="E799" i="4"/>
  <c r="D799" i="4"/>
  <c r="C799" i="4"/>
  <c r="B799" i="4"/>
  <c r="A799" i="4"/>
  <c r="N798" i="4"/>
  <c r="M798" i="4"/>
  <c r="J798" i="4"/>
  <c r="I798" i="4"/>
  <c r="H798" i="4"/>
  <c r="G798" i="4"/>
  <c r="F798" i="4"/>
  <c r="E798" i="4"/>
  <c r="D798" i="4" s="1"/>
  <c r="C798" i="4"/>
  <c r="B798" i="4"/>
  <c r="A798" i="4"/>
  <c r="P797" i="4"/>
  <c r="N797" i="4"/>
  <c r="M797" i="4"/>
  <c r="J797" i="4"/>
  <c r="I797" i="4"/>
  <c r="H797" i="4"/>
  <c r="G797" i="4"/>
  <c r="F797" i="4"/>
  <c r="E797" i="4"/>
  <c r="C797" i="4"/>
  <c r="B797" i="4"/>
  <c r="A797" i="4"/>
  <c r="P796" i="4"/>
  <c r="N796" i="4"/>
  <c r="M796" i="4"/>
  <c r="J796" i="4"/>
  <c r="I796" i="4"/>
  <c r="H796" i="4"/>
  <c r="G796" i="4"/>
  <c r="F796" i="4"/>
  <c r="E796" i="4"/>
  <c r="C796" i="4"/>
  <c r="B796" i="4"/>
  <c r="A796" i="4"/>
  <c r="K795" i="4"/>
  <c r="J795" i="4"/>
  <c r="I795" i="4"/>
  <c r="H795" i="4"/>
  <c r="G795" i="4"/>
  <c r="F795" i="4"/>
  <c r="E795" i="4"/>
  <c r="C795" i="4"/>
  <c r="B795" i="4"/>
  <c r="A795" i="4"/>
  <c r="K794" i="4"/>
  <c r="S794" i="4" s="1"/>
  <c r="J794" i="4"/>
  <c r="I794" i="4"/>
  <c r="H794" i="4"/>
  <c r="G794" i="4"/>
  <c r="F794" i="4"/>
  <c r="E794" i="4"/>
  <c r="C794" i="4"/>
  <c r="B794" i="4"/>
  <c r="A794" i="4"/>
  <c r="S793" i="4"/>
  <c r="R793" i="4"/>
  <c r="K793" i="4"/>
  <c r="J793" i="4"/>
  <c r="I793" i="4"/>
  <c r="H793" i="4"/>
  <c r="D793" i="4" s="1"/>
  <c r="G793" i="4"/>
  <c r="F793" i="4"/>
  <c r="E793" i="4"/>
  <c r="C793" i="4"/>
  <c r="B793" i="4"/>
  <c r="A793" i="4"/>
  <c r="S792" i="4"/>
  <c r="O792" i="4"/>
  <c r="J792" i="4"/>
  <c r="R792" i="4" s="1"/>
  <c r="I792" i="4"/>
  <c r="H792" i="4"/>
  <c r="G792" i="4"/>
  <c r="F792" i="4"/>
  <c r="E792" i="4"/>
  <c r="D792" i="4"/>
  <c r="C792" i="4"/>
  <c r="B792" i="4"/>
  <c r="A792" i="4"/>
  <c r="O791" i="4"/>
  <c r="J791" i="4"/>
  <c r="I791" i="4"/>
  <c r="H791" i="4"/>
  <c r="G791" i="4"/>
  <c r="F791" i="4"/>
  <c r="E791" i="4"/>
  <c r="S791" i="4" s="1"/>
  <c r="D791" i="4"/>
  <c r="C791" i="4"/>
  <c r="B791" i="4"/>
  <c r="A791" i="4"/>
  <c r="J790" i="4"/>
  <c r="I790" i="4"/>
  <c r="H790" i="4"/>
  <c r="G790" i="4"/>
  <c r="F790" i="4"/>
  <c r="E790" i="4"/>
  <c r="S790" i="4" s="1"/>
  <c r="D790" i="4"/>
  <c r="C790" i="4"/>
  <c r="B790" i="4"/>
  <c r="A790" i="4"/>
  <c r="K789" i="4"/>
  <c r="J789" i="4"/>
  <c r="I789" i="4"/>
  <c r="H789" i="4"/>
  <c r="G789" i="4"/>
  <c r="F789" i="4"/>
  <c r="E789" i="4"/>
  <c r="C789" i="4"/>
  <c r="B789" i="4"/>
  <c r="A789" i="4"/>
  <c r="O788" i="4"/>
  <c r="K788" i="4"/>
  <c r="J788" i="4"/>
  <c r="I788" i="4"/>
  <c r="H788" i="4"/>
  <c r="G788" i="4"/>
  <c r="F788" i="4"/>
  <c r="E788" i="4"/>
  <c r="C788" i="4"/>
  <c r="B788" i="4"/>
  <c r="A788" i="4"/>
  <c r="O787" i="4"/>
  <c r="J787" i="4"/>
  <c r="I787" i="4"/>
  <c r="H787" i="4"/>
  <c r="G787" i="4"/>
  <c r="F787" i="4"/>
  <c r="D787" i="4" s="1"/>
  <c r="E787" i="4"/>
  <c r="S787" i="4" s="1"/>
  <c r="C787" i="4"/>
  <c r="B787" i="4"/>
  <c r="A787" i="4"/>
  <c r="O786" i="4"/>
  <c r="J786" i="4"/>
  <c r="I786" i="4"/>
  <c r="H786" i="4"/>
  <c r="G786" i="4"/>
  <c r="F786" i="4"/>
  <c r="E786" i="4"/>
  <c r="C786" i="4"/>
  <c r="B786" i="4"/>
  <c r="A786" i="4"/>
  <c r="O785" i="4"/>
  <c r="K785" i="4"/>
  <c r="J785" i="4"/>
  <c r="I785" i="4"/>
  <c r="H785" i="4"/>
  <c r="G785" i="4"/>
  <c r="F785" i="4"/>
  <c r="E785" i="4"/>
  <c r="C785" i="4"/>
  <c r="B785" i="4"/>
  <c r="A785" i="4"/>
  <c r="K784" i="4"/>
  <c r="R784" i="4" s="1"/>
  <c r="J784" i="4"/>
  <c r="I784" i="4"/>
  <c r="H784" i="4"/>
  <c r="G784" i="4"/>
  <c r="F784" i="4"/>
  <c r="E784" i="4"/>
  <c r="C784" i="4"/>
  <c r="B784" i="4"/>
  <c r="A784" i="4"/>
  <c r="J783" i="4"/>
  <c r="I783" i="4"/>
  <c r="H783" i="4"/>
  <c r="G783" i="4"/>
  <c r="F783" i="4"/>
  <c r="E783" i="4"/>
  <c r="C783" i="4"/>
  <c r="B783" i="4"/>
  <c r="A783" i="4"/>
  <c r="O782" i="4"/>
  <c r="S782" i="4" s="1"/>
  <c r="K782" i="4"/>
  <c r="J782" i="4"/>
  <c r="I782" i="4"/>
  <c r="H782" i="4"/>
  <c r="D782" i="4" s="1"/>
  <c r="G782" i="4"/>
  <c r="F782" i="4"/>
  <c r="E782" i="4"/>
  <c r="C782" i="4"/>
  <c r="B782" i="4"/>
  <c r="A782" i="4"/>
  <c r="S781" i="4"/>
  <c r="L781" i="4"/>
  <c r="J781" i="4"/>
  <c r="R781" i="4" s="1"/>
  <c r="I781" i="4"/>
  <c r="H781" i="4"/>
  <c r="G781" i="4"/>
  <c r="F781" i="4"/>
  <c r="E781" i="4"/>
  <c r="D781" i="4"/>
  <c r="C781" i="4"/>
  <c r="B781" i="4"/>
  <c r="A781" i="4"/>
  <c r="K780" i="4"/>
  <c r="J780" i="4"/>
  <c r="I780" i="4"/>
  <c r="H780" i="4"/>
  <c r="G780" i="4"/>
  <c r="F780" i="4"/>
  <c r="E780" i="4"/>
  <c r="D780" i="4" s="1"/>
  <c r="C780" i="4"/>
  <c r="B780" i="4"/>
  <c r="A780" i="4"/>
  <c r="O779" i="4"/>
  <c r="L779" i="4"/>
  <c r="K779" i="4"/>
  <c r="J779" i="4"/>
  <c r="I779" i="4"/>
  <c r="H779" i="4"/>
  <c r="G779" i="4"/>
  <c r="F779" i="4"/>
  <c r="E779" i="4"/>
  <c r="C779" i="4"/>
  <c r="B779" i="4"/>
  <c r="A779" i="4"/>
  <c r="J778" i="4"/>
  <c r="I778" i="4"/>
  <c r="H778" i="4"/>
  <c r="G778" i="4"/>
  <c r="F778" i="4"/>
  <c r="E778" i="4"/>
  <c r="C778" i="4"/>
  <c r="B778" i="4"/>
  <c r="A778" i="4"/>
  <c r="J777" i="4"/>
  <c r="I777" i="4"/>
  <c r="H777" i="4"/>
  <c r="G777" i="4"/>
  <c r="F777" i="4"/>
  <c r="E777" i="4"/>
  <c r="C777" i="4"/>
  <c r="B777" i="4"/>
  <c r="A777" i="4"/>
  <c r="J776" i="4"/>
  <c r="I776" i="4"/>
  <c r="H776" i="4"/>
  <c r="G776" i="4"/>
  <c r="F776" i="4"/>
  <c r="E776" i="4"/>
  <c r="C776" i="4"/>
  <c r="B776" i="4"/>
  <c r="A776" i="4"/>
  <c r="J775" i="4"/>
  <c r="I775" i="4"/>
  <c r="H775" i="4"/>
  <c r="G775" i="4"/>
  <c r="F775" i="4"/>
  <c r="E775" i="4"/>
  <c r="C775" i="4"/>
  <c r="B775" i="4"/>
  <c r="A775" i="4"/>
  <c r="J774" i="4"/>
  <c r="I774" i="4"/>
  <c r="H774" i="4"/>
  <c r="G774" i="4"/>
  <c r="F774" i="4"/>
  <c r="E774" i="4"/>
  <c r="C774" i="4"/>
  <c r="B774" i="4"/>
  <c r="A774" i="4"/>
  <c r="J773" i="4"/>
  <c r="I773" i="4"/>
  <c r="H773" i="4"/>
  <c r="G773" i="4"/>
  <c r="F773" i="4"/>
  <c r="E773" i="4"/>
  <c r="C773" i="4"/>
  <c r="B773" i="4"/>
  <c r="A773" i="4"/>
  <c r="J772" i="4"/>
  <c r="I772" i="4"/>
  <c r="H772" i="4"/>
  <c r="G772" i="4"/>
  <c r="F772" i="4"/>
  <c r="E772" i="4"/>
  <c r="C772" i="4"/>
  <c r="B772" i="4"/>
  <c r="A772" i="4"/>
  <c r="J771" i="4"/>
  <c r="I771" i="4"/>
  <c r="H771" i="4"/>
  <c r="G771" i="4"/>
  <c r="F771" i="4"/>
  <c r="E771" i="4"/>
  <c r="C771" i="4"/>
  <c r="B771" i="4"/>
  <c r="A771" i="4"/>
  <c r="J770" i="4"/>
  <c r="I770" i="4"/>
  <c r="H770" i="4"/>
  <c r="G770" i="4"/>
  <c r="F770" i="4"/>
  <c r="E770" i="4"/>
  <c r="C770" i="4"/>
  <c r="B770" i="4"/>
  <c r="A770" i="4"/>
  <c r="J769" i="4"/>
  <c r="I769" i="4"/>
  <c r="H769" i="4"/>
  <c r="G769" i="4"/>
  <c r="F769" i="4"/>
  <c r="E769" i="4"/>
  <c r="C769" i="4"/>
  <c r="B769" i="4"/>
  <c r="A769" i="4"/>
  <c r="J768" i="4"/>
  <c r="I768" i="4"/>
  <c r="H768" i="4"/>
  <c r="G768" i="4"/>
  <c r="F768" i="4"/>
  <c r="E768" i="4"/>
  <c r="C768" i="4"/>
  <c r="B768" i="4"/>
  <c r="A768" i="4"/>
  <c r="J767" i="4"/>
  <c r="I767" i="4"/>
  <c r="H767" i="4"/>
  <c r="G767" i="4"/>
  <c r="F767" i="4"/>
  <c r="E767" i="4"/>
  <c r="C767" i="4"/>
  <c r="B767" i="4"/>
  <c r="A767" i="4"/>
  <c r="J766" i="4"/>
  <c r="I766" i="4"/>
  <c r="H766" i="4"/>
  <c r="G766" i="4"/>
  <c r="F766" i="4"/>
  <c r="E766" i="4"/>
  <c r="C766" i="4"/>
  <c r="B766" i="4"/>
  <c r="A766" i="4"/>
  <c r="J765" i="4"/>
  <c r="I765" i="4"/>
  <c r="H765" i="4"/>
  <c r="G765" i="4"/>
  <c r="F765" i="4"/>
  <c r="E765" i="4"/>
  <c r="C765" i="4"/>
  <c r="B765" i="4"/>
  <c r="A765" i="4"/>
  <c r="J764" i="4"/>
  <c r="I764" i="4"/>
  <c r="H764" i="4"/>
  <c r="G764" i="4"/>
  <c r="F764" i="4"/>
  <c r="E764" i="4"/>
  <c r="C764" i="4"/>
  <c r="B764" i="4"/>
  <c r="A764" i="4"/>
  <c r="J763" i="4"/>
  <c r="I763" i="4"/>
  <c r="H763" i="4"/>
  <c r="G763" i="4"/>
  <c r="F763" i="4"/>
  <c r="E763" i="4"/>
  <c r="C763" i="4"/>
  <c r="B763" i="4"/>
  <c r="A763" i="4"/>
  <c r="J762" i="4"/>
  <c r="I762" i="4"/>
  <c r="H762" i="4"/>
  <c r="G762" i="4"/>
  <c r="F762" i="4"/>
  <c r="E762" i="4"/>
  <c r="C762" i="4"/>
  <c r="B762" i="4"/>
  <c r="A762" i="4"/>
  <c r="N761" i="4"/>
  <c r="M761" i="4"/>
  <c r="J761" i="4"/>
  <c r="I761" i="4"/>
  <c r="H761" i="4"/>
  <c r="G761" i="4"/>
  <c r="F761" i="4"/>
  <c r="E761" i="4"/>
  <c r="C761" i="4"/>
  <c r="B761" i="4"/>
  <c r="A761" i="4"/>
  <c r="P760" i="4"/>
  <c r="N760" i="4"/>
  <c r="M760" i="4"/>
  <c r="J760" i="4"/>
  <c r="I760" i="4"/>
  <c r="H760" i="4"/>
  <c r="G760" i="4"/>
  <c r="F760" i="4"/>
  <c r="D760" i="4" s="1"/>
  <c r="E760" i="4"/>
  <c r="C760" i="4"/>
  <c r="B760" i="4"/>
  <c r="A760" i="4"/>
  <c r="P759" i="4"/>
  <c r="N759" i="4"/>
  <c r="M759" i="4"/>
  <c r="D759" i="4" s="1"/>
  <c r="J759" i="4"/>
  <c r="I759" i="4"/>
  <c r="H759" i="4"/>
  <c r="G759" i="4"/>
  <c r="F759" i="4"/>
  <c r="E759" i="4"/>
  <c r="C759" i="4"/>
  <c r="B759" i="4"/>
  <c r="A759" i="4"/>
  <c r="K758" i="4"/>
  <c r="J758" i="4"/>
  <c r="I758" i="4"/>
  <c r="H758" i="4"/>
  <c r="G758" i="4"/>
  <c r="F758" i="4"/>
  <c r="E758" i="4"/>
  <c r="S758" i="4" s="1"/>
  <c r="C758" i="4"/>
  <c r="B758" i="4"/>
  <c r="A758" i="4"/>
  <c r="K757" i="4"/>
  <c r="J757" i="4"/>
  <c r="I757" i="4"/>
  <c r="H757" i="4"/>
  <c r="G757" i="4"/>
  <c r="F757" i="4"/>
  <c r="E757" i="4"/>
  <c r="R757" i="4" s="1"/>
  <c r="C757" i="4"/>
  <c r="B757" i="4"/>
  <c r="A757" i="4"/>
  <c r="K756" i="4"/>
  <c r="J756" i="4"/>
  <c r="I756" i="4"/>
  <c r="H756" i="4"/>
  <c r="G756" i="4"/>
  <c r="D756" i="4" s="1"/>
  <c r="F756" i="4"/>
  <c r="E756" i="4"/>
  <c r="C756" i="4"/>
  <c r="B756" i="4"/>
  <c r="A756" i="4"/>
  <c r="O755" i="4"/>
  <c r="J755" i="4"/>
  <c r="I755" i="4"/>
  <c r="H755" i="4"/>
  <c r="G755" i="4"/>
  <c r="F755" i="4"/>
  <c r="E755" i="4"/>
  <c r="C755" i="4"/>
  <c r="B755" i="4"/>
  <c r="A755" i="4"/>
  <c r="O754" i="4"/>
  <c r="J754" i="4"/>
  <c r="I754" i="4"/>
  <c r="H754" i="4"/>
  <c r="G754" i="4"/>
  <c r="F754" i="4"/>
  <c r="E754" i="4"/>
  <c r="S754" i="4" s="1"/>
  <c r="D754" i="4"/>
  <c r="C754" i="4"/>
  <c r="B754" i="4"/>
  <c r="A754" i="4"/>
  <c r="J753" i="4"/>
  <c r="I753" i="4"/>
  <c r="H753" i="4"/>
  <c r="G753" i="4"/>
  <c r="F753" i="4"/>
  <c r="E753" i="4"/>
  <c r="S753" i="4" s="1"/>
  <c r="D753" i="4"/>
  <c r="C753" i="4"/>
  <c r="B753" i="4"/>
  <c r="A753" i="4"/>
  <c r="K752" i="4"/>
  <c r="J752" i="4"/>
  <c r="I752" i="4"/>
  <c r="H752" i="4"/>
  <c r="G752" i="4"/>
  <c r="F752" i="4"/>
  <c r="E752" i="4"/>
  <c r="C752" i="4"/>
  <c r="B752" i="4"/>
  <c r="A752" i="4"/>
  <c r="O751" i="4"/>
  <c r="K751" i="4"/>
  <c r="J751" i="4"/>
  <c r="I751" i="4"/>
  <c r="H751" i="4"/>
  <c r="G751" i="4"/>
  <c r="F751" i="4"/>
  <c r="E751" i="4"/>
  <c r="C751" i="4"/>
  <c r="B751" i="4"/>
  <c r="A751" i="4"/>
  <c r="S750" i="4"/>
  <c r="R750" i="4"/>
  <c r="O750" i="4"/>
  <c r="J750" i="4"/>
  <c r="I750" i="4"/>
  <c r="H750" i="4"/>
  <c r="G750" i="4"/>
  <c r="F750" i="4"/>
  <c r="E750" i="4"/>
  <c r="C750" i="4"/>
  <c r="B750" i="4"/>
  <c r="A750" i="4"/>
  <c r="R749" i="4"/>
  <c r="O749" i="4"/>
  <c r="J749" i="4"/>
  <c r="I749" i="4"/>
  <c r="S749" i="4" s="1"/>
  <c r="H749" i="4"/>
  <c r="G749" i="4"/>
  <c r="F749" i="4"/>
  <c r="E749" i="4"/>
  <c r="C749" i="4"/>
  <c r="B749" i="4"/>
  <c r="A749" i="4"/>
  <c r="S748" i="4"/>
  <c r="R748" i="4"/>
  <c r="O748" i="4"/>
  <c r="K748" i="4"/>
  <c r="D748" i="4" s="1"/>
  <c r="J748" i="4"/>
  <c r="I748" i="4"/>
  <c r="H748" i="4"/>
  <c r="G748" i="4"/>
  <c r="F748" i="4"/>
  <c r="E748" i="4"/>
  <c r="C748" i="4"/>
  <c r="B748" i="4"/>
  <c r="A748" i="4"/>
  <c r="R747" i="4"/>
  <c r="K747" i="4"/>
  <c r="J747" i="4"/>
  <c r="I747" i="4"/>
  <c r="H747" i="4"/>
  <c r="G747" i="4"/>
  <c r="F747" i="4"/>
  <c r="E747" i="4"/>
  <c r="S747" i="4" s="1"/>
  <c r="D747" i="4"/>
  <c r="C747" i="4"/>
  <c r="B747" i="4"/>
  <c r="A747" i="4"/>
  <c r="S746" i="4"/>
  <c r="J746" i="4"/>
  <c r="I746" i="4"/>
  <c r="H746" i="4"/>
  <c r="G746" i="4"/>
  <c r="F746" i="4"/>
  <c r="E746" i="4"/>
  <c r="R746" i="4" s="1"/>
  <c r="C746" i="4"/>
  <c r="B746" i="4"/>
  <c r="A746" i="4"/>
  <c r="S745" i="4"/>
  <c r="O745" i="4"/>
  <c r="K745" i="4"/>
  <c r="J745" i="4"/>
  <c r="I745" i="4"/>
  <c r="H745" i="4"/>
  <c r="G745" i="4"/>
  <c r="F745" i="4"/>
  <c r="E745" i="4"/>
  <c r="D745" i="4"/>
  <c r="C745" i="4"/>
  <c r="B745" i="4"/>
  <c r="A745" i="4"/>
  <c r="L744" i="4"/>
  <c r="J744" i="4"/>
  <c r="I744" i="4"/>
  <c r="H744" i="4"/>
  <c r="G744" i="4"/>
  <c r="F744" i="4"/>
  <c r="E744" i="4"/>
  <c r="C744" i="4"/>
  <c r="B744" i="4"/>
  <c r="A744" i="4"/>
  <c r="K743" i="4"/>
  <c r="J743" i="4"/>
  <c r="I743" i="4"/>
  <c r="H743" i="4"/>
  <c r="G743" i="4"/>
  <c r="F743" i="4"/>
  <c r="D743" i="4" s="1"/>
  <c r="E743" i="4"/>
  <c r="C743" i="4"/>
  <c r="B743" i="4"/>
  <c r="A743" i="4"/>
  <c r="O742" i="4"/>
  <c r="L742" i="4"/>
  <c r="K742" i="4"/>
  <c r="J742" i="4"/>
  <c r="I742" i="4"/>
  <c r="H742" i="4"/>
  <c r="G742" i="4"/>
  <c r="F742" i="4"/>
  <c r="E742" i="4"/>
  <c r="C742" i="4"/>
  <c r="B742" i="4"/>
  <c r="A742" i="4"/>
  <c r="J741" i="4"/>
  <c r="I741" i="4"/>
  <c r="H741" i="4"/>
  <c r="G741" i="4"/>
  <c r="S741" i="4" s="1"/>
  <c r="F741" i="4"/>
  <c r="E741" i="4"/>
  <c r="C741" i="4"/>
  <c r="B741" i="4"/>
  <c r="A741" i="4"/>
  <c r="J740" i="4"/>
  <c r="I740" i="4"/>
  <c r="R740" i="4" s="1"/>
  <c r="H740" i="4"/>
  <c r="G740" i="4"/>
  <c r="S740" i="4" s="1"/>
  <c r="F740" i="4"/>
  <c r="E740" i="4"/>
  <c r="C740" i="4"/>
  <c r="B740" i="4"/>
  <c r="A740" i="4"/>
  <c r="J739" i="4"/>
  <c r="I739" i="4"/>
  <c r="H739" i="4"/>
  <c r="G739" i="4"/>
  <c r="S739" i="4" s="1"/>
  <c r="F739" i="4"/>
  <c r="E739" i="4"/>
  <c r="D739" i="4" s="1"/>
  <c r="C739" i="4"/>
  <c r="B739" i="4"/>
  <c r="A739" i="4"/>
  <c r="J738" i="4"/>
  <c r="I738" i="4"/>
  <c r="H738" i="4"/>
  <c r="G738" i="4"/>
  <c r="F738" i="4"/>
  <c r="E738" i="4"/>
  <c r="C738" i="4"/>
  <c r="B738" i="4"/>
  <c r="A738" i="4"/>
  <c r="J737" i="4"/>
  <c r="I737" i="4"/>
  <c r="H737" i="4"/>
  <c r="G737" i="4"/>
  <c r="S737" i="4" s="1"/>
  <c r="F737" i="4"/>
  <c r="E737" i="4"/>
  <c r="C737" i="4"/>
  <c r="B737" i="4"/>
  <c r="A737" i="4"/>
  <c r="J736" i="4"/>
  <c r="I736" i="4"/>
  <c r="H736" i="4"/>
  <c r="G736" i="4"/>
  <c r="S736" i="4" s="1"/>
  <c r="F736" i="4"/>
  <c r="E736" i="4"/>
  <c r="D736" i="4" s="1"/>
  <c r="C736" i="4"/>
  <c r="B736" i="4"/>
  <c r="A736" i="4"/>
  <c r="J735" i="4"/>
  <c r="I735" i="4"/>
  <c r="H735" i="4"/>
  <c r="G735" i="4"/>
  <c r="S735" i="4" s="1"/>
  <c r="F735" i="4"/>
  <c r="E735" i="4"/>
  <c r="D735" i="4" s="1"/>
  <c r="C735" i="4"/>
  <c r="B735" i="4"/>
  <c r="A735" i="4"/>
  <c r="S734" i="4"/>
  <c r="R734" i="4"/>
  <c r="J734" i="4"/>
  <c r="I734" i="4"/>
  <c r="H734" i="4"/>
  <c r="G734" i="4"/>
  <c r="F734" i="4"/>
  <c r="E734" i="4"/>
  <c r="D734" i="4" s="1"/>
  <c r="C734" i="4"/>
  <c r="B734" i="4"/>
  <c r="A734" i="4"/>
  <c r="S733" i="4"/>
  <c r="R733" i="4"/>
  <c r="J733" i="4"/>
  <c r="I733" i="4"/>
  <c r="H733" i="4"/>
  <c r="G733" i="4"/>
  <c r="F733" i="4"/>
  <c r="E733" i="4"/>
  <c r="D733" i="4" s="1"/>
  <c r="C733" i="4"/>
  <c r="B733" i="4"/>
  <c r="A733" i="4"/>
  <c r="J732" i="4"/>
  <c r="S732" i="4" s="1"/>
  <c r="I732" i="4"/>
  <c r="H732" i="4"/>
  <c r="G732" i="4"/>
  <c r="F732" i="4"/>
  <c r="E732" i="4"/>
  <c r="C732" i="4"/>
  <c r="B732" i="4"/>
  <c r="A732" i="4"/>
  <c r="S731" i="4"/>
  <c r="J731" i="4"/>
  <c r="I731" i="4"/>
  <c r="R731" i="4" s="1"/>
  <c r="H731" i="4"/>
  <c r="G731" i="4"/>
  <c r="F731" i="4"/>
  <c r="E731" i="4"/>
  <c r="C731" i="4"/>
  <c r="B731" i="4"/>
  <c r="A731" i="4"/>
  <c r="S730" i="4"/>
  <c r="R730" i="4"/>
  <c r="J730" i="4"/>
  <c r="I730" i="4"/>
  <c r="H730" i="4"/>
  <c r="G730" i="4"/>
  <c r="F730" i="4"/>
  <c r="E730" i="4"/>
  <c r="C730" i="4"/>
  <c r="B730" i="4"/>
  <c r="A730" i="4"/>
  <c r="J729" i="4"/>
  <c r="I729" i="4"/>
  <c r="H729" i="4"/>
  <c r="G729" i="4"/>
  <c r="F729" i="4"/>
  <c r="E729" i="4"/>
  <c r="C729" i="4"/>
  <c r="B729" i="4"/>
  <c r="A729" i="4"/>
  <c r="J728" i="4"/>
  <c r="I728" i="4"/>
  <c r="H728" i="4"/>
  <c r="G728" i="4"/>
  <c r="F728" i="4"/>
  <c r="E728" i="4"/>
  <c r="C728" i="4"/>
  <c r="B728" i="4"/>
  <c r="A728" i="4"/>
  <c r="J727" i="4"/>
  <c r="I727" i="4"/>
  <c r="H727" i="4"/>
  <c r="G727" i="4"/>
  <c r="R727" i="4" s="1"/>
  <c r="F727" i="4"/>
  <c r="S727" i="4" s="1"/>
  <c r="E727" i="4"/>
  <c r="D727" i="4" s="1"/>
  <c r="C727" i="4"/>
  <c r="B727" i="4"/>
  <c r="A727" i="4"/>
  <c r="J726" i="4"/>
  <c r="I726" i="4"/>
  <c r="H726" i="4"/>
  <c r="G726" i="4"/>
  <c r="F726" i="4"/>
  <c r="E726" i="4"/>
  <c r="C726" i="4"/>
  <c r="B726" i="4"/>
  <c r="A726" i="4"/>
  <c r="J725" i="4"/>
  <c r="I725" i="4"/>
  <c r="H725" i="4"/>
  <c r="G725" i="4"/>
  <c r="F725" i="4"/>
  <c r="E725" i="4"/>
  <c r="C725" i="4"/>
  <c r="B725" i="4"/>
  <c r="A725" i="4"/>
  <c r="N724" i="4"/>
  <c r="M724" i="4"/>
  <c r="J724" i="4"/>
  <c r="I724" i="4"/>
  <c r="H724" i="4"/>
  <c r="S724" i="4" s="1"/>
  <c r="G724" i="4"/>
  <c r="F724" i="4"/>
  <c r="E724" i="4"/>
  <c r="C724" i="4"/>
  <c r="B724" i="4"/>
  <c r="A724" i="4"/>
  <c r="P723" i="4"/>
  <c r="N723" i="4"/>
  <c r="M723" i="4"/>
  <c r="J723" i="4"/>
  <c r="I723" i="4"/>
  <c r="H723" i="4"/>
  <c r="G723" i="4"/>
  <c r="F723" i="4"/>
  <c r="E723" i="4"/>
  <c r="D723" i="4" s="1"/>
  <c r="C723" i="4"/>
  <c r="B723" i="4"/>
  <c r="A723" i="4"/>
  <c r="S722" i="4"/>
  <c r="R722" i="4"/>
  <c r="P722" i="4"/>
  <c r="N722" i="4"/>
  <c r="M722" i="4"/>
  <c r="J722" i="4"/>
  <c r="I722" i="4"/>
  <c r="H722" i="4"/>
  <c r="G722" i="4"/>
  <c r="F722" i="4"/>
  <c r="E722" i="4"/>
  <c r="C722" i="4"/>
  <c r="B722" i="4"/>
  <c r="A722" i="4"/>
  <c r="K721" i="4"/>
  <c r="J721" i="4"/>
  <c r="I721" i="4"/>
  <c r="H721" i="4"/>
  <c r="G721" i="4"/>
  <c r="F721" i="4"/>
  <c r="D721" i="4" s="1"/>
  <c r="E721" i="4"/>
  <c r="C721" i="4"/>
  <c r="B721" i="4"/>
  <c r="A721" i="4"/>
  <c r="K720" i="4"/>
  <c r="J720" i="4"/>
  <c r="I720" i="4"/>
  <c r="H720" i="4"/>
  <c r="G720" i="4"/>
  <c r="F720" i="4"/>
  <c r="E720" i="4"/>
  <c r="C720" i="4"/>
  <c r="B720" i="4"/>
  <c r="A720" i="4"/>
  <c r="K719" i="4"/>
  <c r="J719" i="4"/>
  <c r="I719" i="4"/>
  <c r="H719" i="4"/>
  <c r="G719" i="4"/>
  <c r="F719" i="4"/>
  <c r="E719" i="4"/>
  <c r="C719" i="4"/>
  <c r="B719" i="4"/>
  <c r="A719" i="4"/>
  <c r="O718" i="4"/>
  <c r="J718" i="4"/>
  <c r="I718" i="4"/>
  <c r="H718" i="4"/>
  <c r="G718" i="4"/>
  <c r="F718" i="4"/>
  <c r="E718" i="4"/>
  <c r="C718" i="4"/>
  <c r="B718" i="4"/>
  <c r="A718" i="4"/>
  <c r="O717" i="4"/>
  <c r="J717" i="4"/>
  <c r="I717" i="4"/>
  <c r="H717" i="4"/>
  <c r="G717" i="4"/>
  <c r="F717" i="4"/>
  <c r="E717" i="4"/>
  <c r="C717" i="4"/>
  <c r="B717" i="4"/>
  <c r="A717" i="4"/>
  <c r="J716" i="4"/>
  <c r="I716" i="4"/>
  <c r="H716" i="4"/>
  <c r="G716" i="4"/>
  <c r="S716" i="4" s="1"/>
  <c r="F716" i="4"/>
  <c r="D716" i="4" s="1"/>
  <c r="E716" i="4"/>
  <c r="C716" i="4"/>
  <c r="B716" i="4"/>
  <c r="A716" i="4"/>
  <c r="K715" i="4"/>
  <c r="J715" i="4"/>
  <c r="I715" i="4"/>
  <c r="H715" i="4"/>
  <c r="S715" i="4" s="1"/>
  <c r="G715" i="4"/>
  <c r="F715" i="4"/>
  <c r="E715" i="4"/>
  <c r="C715" i="4"/>
  <c r="B715" i="4"/>
  <c r="A715" i="4"/>
  <c r="O714" i="4"/>
  <c r="K714" i="4"/>
  <c r="J714" i="4"/>
  <c r="S714" i="4" s="1"/>
  <c r="I714" i="4"/>
  <c r="H714" i="4"/>
  <c r="G714" i="4"/>
  <c r="F714" i="4"/>
  <c r="E714" i="4"/>
  <c r="D714" i="4"/>
  <c r="C714" i="4"/>
  <c r="B714" i="4"/>
  <c r="A714" i="4"/>
  <c r="O713" i="4"/>
  <c r="J713" i="4"/>
  <c r="I713" i="4"/>
  <c r="H713" i="4"/>
  <c r="G713" i="4"/>
  <c r="F713" i="4"/>
  <c r="E713" i="4"/>
  <c r="S713" i="4" s="1"/>
  <c r="D713" i="4"/>
  <c r="C713" i="4"/>
  <c r="B713" i="4"/>
  <c r="A713" i="4"/>
  <c r="O712" i="4"/>
  <c r="J712" i="4"/>
  <c r="I712" i="4"/>
  <c r="H712" i="4"/>
  <c r="G712" i="4"/>
  <c r="F712" i="4"/>
  <c r="E712" i="4"/>
  <c r="D712" i="4" s="1"/>
  <c r="C712" i="4"/>
  <c r="B712" i="4"/>
  <c r="A712" i="4"/>
  <c r="O711" i="4"/>
  <c r="K711" i="4"/>
  <c r="J711" i="4"/>
  <c r="I711" i="4"/>
  <c r="H711" i="4"/>
  <c r="G711" i="4"/>
  <c r="F711" i="4"/>
  <c r="E711" i="4"/>
  <c r="S711" i="4" s="1"/>
  <c r="C711" i="4"/>
  <c r="B711" i="4"/>
  <c r="A711" i="4"/>
  <c r="K710" i="4"/>
  <c r="J710" i="4"/>
  <c r="I710" i="4"/>
  <c r="H710" i="4"/>
  <c r="G710" i="4"/>
  <c r="D710" i="4" s="1"/>
  <c r="F710" i="4"/>
  <c r="E710" i="4"/>
  <c r="C710" i="4"/>
  <c r="B710" i="4"/>
  <c r="A710" i="4"/>
  <c r="J709" i="4"/>
  <c r="I709" i="4"/>
  <c r="H709" i="4"/>
  <c r="G709" i="4"/>
  <c r="F709" i="4"/>
  <c r="D709" i="4" s="1"/>
  <c r="E709" i="4"/>
  <c r="S709" i="4" s="1"/>
  <c r="C709" i="4"/>
  <c r="B709" i="4"/>
  <c r="A709" i="4"/>
  <c r="O708" i="4"/>
  <c r="K708" i="4"/>
  <c r="J708" i="4"/>
  <c r="I708" i="4"/>
  <c r="H708" i="4"/>
  <c r="G708" i="4"/>
  <c r="F708" i="4"/>
  <c r="E708" i="4"/>
  <c r="C708" i="4"/>
  <c r="B708" i="4"/>
  <c r="A708" i="4"/>
  <c r="L707" i="4"/>
  <c r="J707" i="4"/>
  <c r="I707" i="4"/>
  <c r="H707" i="4"/>
  <c r="G707" i="4"/>
  <c r="F707" i="4"/>
  <c r="R707" i="4" s="1"/>
  <c r="E707" i="4"/>
  <c r="C707" i="4"/>
  <c r="B707" i="4"/>
  <c r="A707" i="4"/>
  <c r="S706" i="4"/>
  <c r="K706" i="4"/>
  <c r="J706" i="4"/>
  <c r="I706" i="4"/>
  <c r="H706" i="4"/>
  <c r="G706" i="4"/>
  <c r="R706" i="4" s="1"/>
  <c r="F706" i="4"/>
  <c r="D706" i="4" s="1"/>
  <c r="E706" i="4"/>
  <c r="C706" i="4"/>
  <c r="B706" i="4"/>
  <c r="A706" i="4"/>
  <c r="S705" i="4"/>
  <c r="R705" i="4"/>
  <c r="O705" i="4"/>
  <c r="L705" i="4"/>
  <c r="K705" i="4"/>
  <c r="J705" i="4"/>
  <c r="I705" i="4"/>
  <c r="H705" i="4"/>
  <c r="G705" i="4"/>
  <c r="F705" i="4"/>
  <c r="E705" i="4"/>
  <c r="D705" i="4"/>
  <c r="C705" i="4"/>
  <c r="B705" i="4"/>
  <c r="A705" i="4"/>
  <c r="J704" i="4"/>
  <c r="S704" i="4" s="1"/>
  <c r="I704" i="4"/>
  <c r="H704" i="4"/>
  <c r="G704" i="4"/>
  <c r="F704" i="4"/>
  <c r="E704" i="4"/>
  <c r="D704" i="4"/>
  <c r="C704" i="4"/>
  <c r="B704" i="4"/>
  <c r="A704" i="4"/>
  <c r="J703" i="4"/>
  <c r="S703" i="4" s="1"/>
  <c r="I703" i="4"/>
  <c r="H703" i="4"/>
  <c r="G703" i="4"/>
  <c r="F703" i="4"/>
  <c r="E703" i="4"/>
  <c r="D703" i="4"/>
  <c r="C703" i="4"/>
  <c r="B703" i="4"/>
  <c r="A703" i="4"/>
  <c r="R702" i="4"/>
  <c r="J702" i="4"/>
  <c r="S702" i="4" s="1"/>
  <c r="I702" i="4"/>
  <c r="H702" i="4"/>
  <c r="G702" i="4"/>
  <c r="F702" i="4"/>
  <c r="E702" i="4"/>
  <c r="D702" i="4"/>
  <c r="C702" i="4"/>
  <c r="B702" i="4"/>
  <c r="A702" i="4"/>
  <c r="R701" i="4"/>
  <c r="J701" i="4"/>
  <c r="S701" i="4" s="1"/>
  <c r="I701" i="4"/>
  <c r="H701" i="4"/>
  <c r="G701" i="4"/>
  <c r="F701" i="4"/>
  <c r="E701" i="4"/>
  <c r="D701" i="4"/>
  <c r="C701" i="4"/>
  <c r="B701" i="4"/>
  <c r="A701" i="4"/>
  <c r="J700" i="4"/>
  <c r="S700" i="4" s="1"/>
  <c r="I700" i="4"/>
  <c r="H700" i="4"/>
  <c r="G700" i="4"/>
  <c r="F700" i="4"/>
  <c r="E700" i="4"/>
  <c r="C700" i="4"/>
  <c r="B700" i="4"/>
  <c r="A700" i="4"/>
  <c r="R699" i="4"/>
  <c r="J699" i="4"/>
  <c r="S699" i="4" s="1"/>
  <c r="I699" i="4"/>
  <c r="H699" i="4"/>
  <c r="G699" i="4"/>
  <c r="F699" i="4"/>
  <c r="E699" i="4"/>
  <c r="C699" i="4"/>
  <c r="B699" i="4"/>
  <c r="A699" i="4"/>
  <c r="R698" i="4"/>
  <c r="J698" i="4"/>
  <c r="S698" i="4" s="1"/>
  <c r="I698" i="4"/>
  <c r="H698" i="4"/>
  <c r="G698" i="4"/>
  <c r="F698" i="4"/>
  <c r="E698" i="4"/>
  <c r="C698" i="4"/>
  <c r="B698" i="4"/>
  <c r="A698" i="4"/>
  <c r="J697" i="4"/>
  <c r="I697" i="4"/>
  <c r="H697" i="4"/>
  <c r="G697" i="4"/>
  <c r="F697" i="4"/>
  <c r="E697" i="4"/>
  <c r="C697" i="4"/>
  <c r="B697" i="4"/>
  <c r="A697" i="4"/>
  <c r="J696" i="4"/>
  <c r="I696" i="4"/>
  <c r="H696" i="4"/>
  <c r="G696" i="4"/>
  <c r="F696" i="4"/>
  <c r="E696" i="4"/>
  <c r="C696" i="4"/>
  <c r="B696" i="4"/>
  <c r="A696" i="4"/>
  <c r="J695" i="4"/>
  <c r="I695" i="4"/>
  <c r="H695" i="4"/>
  <c r="G695" i="4"/>
  <c r="F695" i="4"/>
  <c r="E695" i="4"/>
  <c r="C695" i="4"/>
  <c r="B695" i="4"/>
  <c r="A695" i="4"/>
  <c r="J694" i="4"/>
  <c r="I694" i="4"/>
  <c r="H694" i="4"/>
  <c r="G694" i="4"/>
  <c r="F694" i="4"/>
  <c r="E694" i="4"/>
  <c r="C694" i="4"/>
  <c r="B694" i="4"/>
  <c r="A694" i="4"/>
  <c r="J693" i="4"/>
  <c r="I693" i="4"/>
  <c r="H693" i="4"/>
  <c r="G693" i="4"/>
  <c r="F693" i="4"/>
  <c r="E693" i="4"/>
  <c r="C693" i="4"/>
  <c r="B693" i="4"/>
  <c r="A693" i="4"/>
  <c r="J692" i="4"/>
  <c r="I692" i="4"/>
  <c r="H692" i="4"/>
  <c r="G692" i="4"/>
  <c r="F692" i="4"/>
  <c r="E692" i="4"/>
  <c r="C692" i="4"/>
  <c r="B692" i="4"/>
  <c r="A692" i="4"/>
  <c r="J691" i="4"/>
  <c r="I691" i="4"/>
  <c r="H691" i="4"/>
  <c r="G691" i="4"/>
  <c r="F691" i="4"/>
  <c r="E691" i="4"/>
  <c r="C691" i="4"/>
  <c r="B691" i="4"/>
  <c r="A691" i="4"/>
  <c r="J690" i="4"/>
  <c r="I690" i="4"/>
  <c r="H690" i="4"/>
  <c r="G690" i="4"/>
  <c r="F690" i="4"/>
  <c r="E690" i="4"/>
  <c r="C690" i="4"/>
  <c r="B690" i="4"/>
  <c r="A690" i="4"/>
  <c r="J689" i="4"/>
  <c r="I689" i="4"/>
  <c r="H689" i="4"/>
  <c r="G689" i="4"/>
  <c r="F689" i="4"/>
  <c r="E689" i="4"/>
  <c r="C689" i="4"/>
  <c r="B689" i="4"/>
  <c r="A689" i="4"/>
  <c r="J688" i="4"/>
  <c r="I688" i="4"/>
  <c r="H688" i="4"/>
  <c r="G688" i="4"/>
  <c r="F688" i="4"/>
  <c r="E688" i="4"/>
  <c r="C688" i="4"/>
  <c r="B688" i="4"/>
  <c r="A688" i="4"/>
  <c r="N687" i="4"/>
  <c r="M687" i="4"/>
  <c r="J687" i="4"/>
  <c r="I687" i="4"/>
  <c r="H687" i="4"/>
  <c r="G687" i="4"/>
  <c r="F687" i="4"/>
  <c r="E687" i="4"/>
  <c r="D687" i="4" s="1"/>
  <c r="C687" i="4"/>
  <c r="B687" i="4"/>
  <c r="A687" i="4"/>
  <c r="S686" i="4"/>
  <c r="P686" i="4"/>
  <c r="N686" i="4"/>
  <c r="M686" i="4"/>
  <c r="J686" i="4"/>
  <c r="I686" i="4"/>
  <c r="H686" i="4"/>
  <c r="G686" i="4"/>
  <c r="F686" i="4"/>
  <c r="E686" i="4"/>
  <c r="R686" i="4" s="1"/>
  <c r="C686" i="4"/>
  <c r="B686" i="4"/>
  <c r="A686" i="4"/>
  <c r="P685" i="4"/>
  <c r="N685" i="4"/>
  <c r="M685" i="4"/>
  <c r="J685" i="4"/>
  <c r="I685" i="4"/>
  <c r="H685" i="4"/>
  <c r="G685" i="4"/>
  <c r="F685" i="4"/>
  <c r="E685" i="4"/>
  <c r="C685" i="4"/>
  <c r="B685" i="4"/>
  <c r="A685" i="4"/>
  <c r="R684" i="4"/>
  <c r="K684" i="4"/>
  <c r="S684" i="4" s="1"/>
  <c r="J684" i="4"/>
  <c r="I684" i="4"/>
  <c r="H684" i="4"/>
  <c r="G684" i="4"/>
  <c r="F684" i="4"/>
  <c r="D684" i="4" s="1"/>
  <c r="E684" i="4"/>
  <c r="C684" i="4"/>
  <c r="B684" i="4"/>
  <c r="A684" i="4"/>
  <c r="S683" i="4"/>
  <c r="R683" i="4"/>
  <c r="K683" i="4"/>
  <c r="J683" i="4"/>
  <c r="I683" i="4"/>
  <c r="H683" i="4"/>
  <c r="G683" i="4"/>
  <c r="F683" i="4"/>
  <c r="E683" i="4"/>
  <c r="D683" i="4" s="1"/>
  <c r="C683" i="4"/>
  <c r="B683" i="4"/>
  <c r="A683" i="4"/>
  <c r="S682" i="4"/>
  <c r="R682" i="4"/>
  <c r="K682" i="4"/>
  <c r="J682" i="4"/>
  <c r="I682" i="4"/>
  <c r="H682" i="4"/>
  <c r="G682" i="4"/>
  <c r="F682" i="4"/>
  <c r="D682" i="4" s="1"/>
  <c r="E682" i="4"/>
  <c r="C682" i="4"/>
  <c r="B682" i="4"/>
  <c r="A682" i="4"/>
  <c r="S681" i="4"/>
  <c r="R681" i="4"/>
  <c r="O681" i="4"/>
  <c r="J681" i="4"/>
  <c r="I681" i="4"/>
  <c r="H681" i="4"/>
  <c r="G681" i="4"/>
  <c r="F681" i="4"/>
  <c r="E681" i="4"/>
  <c r="D681" i="4"/>
  <c r="C681" i="4"/>
  <c r="B681" i="4"/>
  <c r="A681" i="4"/>
  <c r="O680" i="4"/>
  <c r="J680" i="4"/>
  <c r="I680" i="4"/>
  <c r="H680" i="4"/>
  <c r="G680" i="4"/>
  <c r="F680" i="4"/>
  <c r="E680" i="4"/>
  <c r="S680" i="4" s="1"/>
  <c r="D680" i="4"/>
  <c r="C680" i="4"/>
  <c r="B680" i="4"/>
  <c r="A680" i="4"/>
  <c r="J679" i="4"/>
  <c r="I679" i="4"/>
  <c r="H679" i="4"/>
  <c r="G679" i="4"/>
  <c r="F679" i="4"/>
  <c r="E679" i="4"/>
  <c r="S679" i="4" s="1"/>
  <c r="D679" i="4"/>
  <c r="C679" i="4"/>
  <c r="B679" i="4"/>
  <c r="A679" i="4"/>
  <c r="K678" i="4"/>
  <c r="J678" i="4"/>
  <c r="I678" i="4"/>
  <c r="H678" i="4"/>
  <c r="G678" i="4"/>
  <c r="F678" i="4"/>
  <c r="E678" i="4"/>
  <c r="C678" i="4"/>
  <c r="B678" i="4"/>
  <c r="A678" i="4"/>
  <c r="O677" i="4"/>
  <c r="K677" i="4"/>
  <c r="J677" i="4"/>
  <c r="I677" i="4"/>
  <c r="H677" i="4"/>
  <c r="G677" i="4"/>
  <c r="D677" i="4" s="1"/>
  <c r="F677" i="4"/>
  <c r="E677" i="4"/>
  <c r="S677" i="4" s="1"/>
  <c r="C677" i="4"/>
  <c r="B677" i="4"/>
  <c r="A677" i="4"/>
  <c r="O676" i="4"/>
  <c r="J676" i="4"/>
  <c r="I676" i="4"/>
  <c r="H676" i="4"/>
  <c r="G676" i="4"/>
  <c r="F676" i="4"/>
  <c r="E676" i="4"/>
  <c r="D676" i="4" s="1"/>
  <c r="C676" i="4"/>
  <c r="B676" i="4"/>
  <c r="A676" i="4"/>
  <c r="O675" i="4"/>
  <c r="J675" i="4"/>
  <c r="I675" i="4"/>
  <c r="H675" i="4"/>
  <c r="G675" i="4"/>
  <c r="F675" i="4"/>
  <c r="E675" i="4"/>
  <c r="C675" i="4"/>
  <c r="B675" i="4"/>
  <c r="A675" i="4"/>
  <c r="O674" i="4"/>
  <c r="K674" i="4"/>
  <c r="J674" i="4"/>
  <c r="I674" i="4"/>
  <c r="H674" i="4"/>
  <c r="G674" i="4"/>
  <c r="F674" i="4"/>
  <c r="E674" i="4"/>
  <c r="C674" i="4"/>
  <c r="B674" i="4"/>
  <c r="A674" i="4"/>
  <c r="K673" i="4"/>
  <c r="J673" i="4"/>
  <c r="I673" i="4"/>
  <c r="H673" i="4"/>
  <c r="G673" i="4"/>
  <c r="F673" i="4"/>
  <c r="D673" i="4" s="1"/>
  <c r="E673" i="4"/>
  <c r="C673" i="4"/>
  <c r="B673" i="4"/>
  <c r="A673" i="4"/>
  <c r="J672" i="4"/>
  <c r="I672" i="4"/>
  <c r="H672" i="4"/>
  <c r="G672" i="4"/>
  <c r="F672" i="4"/>
  <c r="E672" i="4"/>
  <c r="C672" i="4"/>
  <c r="B672" i="4"/>
  <c r="A672" i="4"/>
  <c r="S671" i="4"/>
  <c r="O671" i="4"/>
  <c r="K671" i="4"/>
  <c r="J671" i="4"/>
  <c r="I671" i="4"/>
  <c r="H671" i="4"/>
  <c r="R671" i="4" s="1"/>
  <c r="G671" i="4"/>
  <c r="F671" i="4"/>
  <c r="D671" i="4" s="1"/>
  <c r="E671" i="4"/>
  <c r="C671" i="4"/>
  <c r="B671" i="4"/>
  <c r="A671" i="4"/>
  <c r="S670" i="4"/>
  <c r="L670" i="4"/>
  <c r="J670" i="4"/>
  <c r="R670" i="4" s="1"/>
  <c r="I670" i="4"/>
  <c r="H670" i="4"/>
  <c r="G670" i="4"/>
  <c r="F670" i="4"/>
  <c r="E670" i="4"/>
  <c r="D670" i="4"/>
  <c r="C670" i="4"/>
  <c r="B670" i="4"/>
  <c r="A670" i="4"/>
  <c r="K669" i="4"/>
  <c r="J669" i="4"/>
  <c r="I669" i="4"/>
  <c r="H669" i="4"/>
  <c r="G669" i="4"/>
  <c r="F669" i="4"/>
  <c r="E669" i="4"/>
  <c r="D669" i="4" s="1"/>
  <c r="C669" i="4"/>
  <c r="B669" i="4"/>
  <c r="A669" i="4"/>
  <c r="O668" i="4"/>
  <c r="L668" i="4"/>
  <c r="K668" i="4"/>
  <c r="J668" i="4"/>
  <c r="I668" i="4"/>
  <c r="H668" i="4"/>
  <c r="G668" i="4"/>
  <c r="F668" i="4"/>
  <c r="E668" i="4"/>
  <c r="D668" i="4" s="1"/>
  <c r="C668" i="4"/>
  <c r="B668" i="4"/>
  <c r="A668" i="4"/>
  <c r="J667" i="4"/>
  <c r="I667" i="4"/>
  <c r="H667" i="4"/>
  <c r="G667" i="4"/>
  <c r="D667" i="4" s="1"/>
  <c r="F667" i="4"/>
  <c r="E667" i="4"/>
  <c r="C667" i="4"/>
  <c r="B667" i="4"/>
  <c r="A667" i="4"/>
  <c r="J666" i="4"/>
  <c r="I666" i="4"/>
  <c r="H666" i="4"/>
  <c r="G666" i="4"/>
  <c r="F666" i="4"/>
  <c r="E666" i="4"/>
  <c r="C666" i="4"/>
  <c r="B666" i="4"/>
  <c r="A666" i="4"/>
  <c r="J665" i="4"/>
  <c r="I665" i="4"/>
  <c r="H665" i="4"/>
  <c r="G665" i="4"/>
  <c r="F665" i="4"/>
  <c r="E665" i="4"/>
  <c r="D665" i="4"/>
  <c r="C665" i="4"/>
  <c r="B665" i="4"/>
  <c r="A665" i="4"/>
  <c r="J664" i="4"/>
  <c r="I664" i="4"/>
  <c r="H664" i="4"/>
  <c r="G664" i="4"/>
  <c r="F664" i="4"/>
  <c r="E664" i="4"/>
  <c r="D664" i="4"/>
  <c r="C664" i="4"/>
  <c r="B664" i="4"/>
  <c r="A664" i="4"/>
  <c r="J663" i="4"/>
  <c r="I663" i="4"/>
  <c r="H663" i="4"/>
  <c r="G663" i="4"/>
  <c r="F663" i="4"/>
  <c r="E663" i="4"/>
  <c r="D663" i="4" s="1"/>
  <c r="C663" i="4"/>
  <c r="B663" i="4"/>
  <c r="A663" i="4"/>
  <c r="J662" i="4"/>
  <c r="I662" i="4"/>
  <c r="H662" i="4"/>
  <c r="G662" i="4"/>
  <c r="F662" i="4"/>
  <c r="E662" i="4"/>
  <c r="D662" i="4" s="1"/>
  <c r="C662" i="4"/>
  <c r="B662" i="4"/>
  <c r="A662" i="4"/>
  <c r="J661" i="4"/>
  <c r="I661" i="4"/>
  <c r="H661" i="4"/>
  <c r="G661" i="4"/>
  <c r="F661" i="4"/>
  <c r="E661" i="4"/>
  <c r="C661" i="4"/>
  <c r="B661" i="4"/>
  <c r="A661" i="4"/>
  <c r="J660" i="4"/>
  <c r="I660" i="4"/>
  <c r="H660" i="4"/>
  <c r="G660" i="4"/>
  <c r="D660" i="4" s="1"/>
  <c r="F660" i="4"/>
  <c r="E660" i="4"/>
  <c r="R660" i="4" s="1"/>
  <c r="C660" i="4"/>
  <c r="B660" i="4"/>
  <c r="A660" i="4"/>
  <c r="J659" i="4"/>
  <c r="I659" i="4"/>
  <c r="H659" i="4"/>
  <c r="G659" i="4"/>
  <c r="F659" i="4"/>
  <c r="E659" i="4"/>
  <c r="C659" i="4"/>
  <c r="B659" i="4"/>
  <c r="A659" i="4"/>
  <c r="J658" i="4"/>
  <c r="I658" i="4"/>
  <c r="H658" i="4"/>
  <c r="G658" i="4"/>
  <c r="F658" i="4"/>
  <c r="E658" i="4"/>
  <c r="C658" i="4"/>
  <c r="B658" i="4"/>
  <c r="A658" i="4"/>
  <c r="J657" i="4"/>
  <c r="I657" i="4"/>
  <c r="H657" i="4"/>
  <c r="G657" i="4"/>
  <c r="F657" i="4"/>
  <c r="E657" i="4"/>
  <c r="S657" i="4" s="1"/>
  <c r="D657" i="4"/>
  <c r="C657" i="4"/>
  <c r="B657" i="4"/>
  <c r="A657" i="4"/>
  <c r="J656" i="4"/>
  <c r="I656" i="4"/>
  <c r="H656" i="4"/>
  <c r="G656" i="4"/>
  <c r="F656" i="4"/>
  <c r="E656" i="4"/>
  <c r="D656" i="4"/>
  <c r="C656" i="4"/>
  <c r="B656" i="4"/>
  <c r="A656" i="4"/>
  <c r="R655" i="4"/>
  <c r="J655" i="4"/>
  <c r="I655" i="4"/>
  <c r="H655" i="4"/>
  <c r="G655" i="4"/>
  <c r="F655" i="4"/>
  <c r="E655" i="4"/>
  <c r="S655" i="4" s="1"/>
  <c r="C655" i="4"/>
  <c r="B655" i="4"/>
  <c r="A655" i="4"/>
  <c r="R654" i="4"/>
  <c r="J654" i="4"/>
  <c r="I654" i="4"/>
  <c r="H654" i="4"/>
  <c r="G654" i="4"/>
  <c r="F654" i="4"/>
  <c r="E654" i="4"/>
  <c r="D654" i="4"/>
  <c r="C654" i="4"/>
  <c r="B654" i="4"/>
  <c r="A654" i="4"/>
  <c r="R653" i="4"/>
  <c r="J653" i="4"/>
  <c r="I653" i="4"/>
  <c r="H653" i="4"/>
  <c r="G653" i="4"/>
  <c r="F653" i="4"/>
  <c r="E653" i="4"/>
  <c r="D653" i="4" s="1"/>
  <c r="C653" i="4"/>
  <c r="B653" i="4"/>
  <c r="A653" i="4"/>
  <c r="R652" i="4"/>
  <c r="J652" i="4"/>
  <c r="I652" i="4"/>
  <c r="H652" i="4"/>
  <c r="G652" i="4"/>
  <c r="F652" i="4"/>
  <c r="E652" i="4"/>
  <c r="D652" i="4" s="1"/>
  <c r="C652" i="4"/>
  <c r="B652" i="4"/>
  <c r="A652" i="4"/>
  <c r="R651" i="4"/>
  <c r="J651" i="4"/>
  <c r="I651" i="4"/>
  <c r="H651" i="4"/>
  <c r="G651" i="4"/>
  <c r="F651" i="4"/>
  <c r="D651" i="4" s="1"/>
  <c r="E651" i="4"/>
  <c r="C651" i="4"/>
  <c r="B651" i="4"/>
  <c r="A651" i="4"/>
  <c r="N650" i="4"/>
  <c r="M650" i="4"/>
  <c r="J650" i="4"/>
  <c r="I650" i="4"/>
  <c r="H650" i="4"/>
  <c r="R650" i="4" s="1"/>
  <c r="G650" i="4"/>
  <c r="F650" i="4"/>
  <c r="E650" i="4"/>
  <c r="D650" i="4" s="1"/>
  <c r="C650" i="4"/>
  <c r="B650" i="4"/>
  <c r="A650" i="4"/>
  <c r="P649" i="4"/>
  <c r="N649" i="4"/>
  <c r="M649" i="4"/>
  <c r="J649" i="4"/>
  <c r="I649" i="4"/>
  <c r="H649" i="4"/>
  <c r="G649" i="4"/>
  <c r="F649" i="4"/>
  <c r="D649" i="4" s="1"/>
  <c r="E649" i="4"/>
  <c r="C649" i="4"/>
  <c r="B649" i="4"/>
  <c r="A649" i="4"/>
  <c r="S648" i="4"/>
  <c r="P648" i="4"/>
  <c r="N648" i="4"/>
  <c r="R648" i="4" s="1"/>
  <c r="M648" i="4"/>
  <c r="J648" i="4"/>
  <c r="I648" i="4"/>
  <c r="H648" i="4"/>
  <c r="G648" i="4"/>
  <c r="F648" i="4"/>
  <c r="E648" i="4"/>
  <c r="D648" i="4"/>
  <c r="C648" i="4"/>
  <c r="B648" i="4"/>
  <c r="A648" i="4"/>
  <c r="K647" i="4"/>
  <c r="J647" i="4"/>
  <c r="I647" i="4"/>
  <c r="H647" i="4"/>
  <c r="G647" i="4"/>
  <c r="F647" i="4"/>
  <c r="E647" i="4"/>
  <c r="S647" i="4" s="1"/>
  <c r="D647" i="4"/>
  <c r="C647" i="4"/>
  <c r="B647" i="4"/>
  <c r="A647" i="4"/>
  <c r="K646" i="4"/>
  <c r="J646" i="4"/>
  <c r="I646" i="4"/>
  <c r="H646" i="4"/>
  <c r="G646" i="4"/>
  <c r="F646" i="4"/>
  <c r="E646" i="4"/>
  <c r="C646" i="4"/>
  <c r="B646" i="4"/>
  <c r="A646" i="4"/>
  <c r="K645" i="4"/>
  <c r="J645" i="4"/>
  <c r="I645" i="4"/>
  <c r="H645" i="4"/>
  <c r="G645" i="4"/>
  <c r="F645" i="4"/>
  <c r="E645" i="4"/>
  <c r="C645" i="4"/>
  <c r="B645" i="4"/>
  <c r="A645" i="4"/>
  <c r="O644" i="4"/>
  <c r="J644" i="4"/>
  <c r="I644" i="4"/>
  <c r="H644" i="4"/>
  <c r="G644" i="4"/>
  <c r="F644" i="4"/>
  <c r="E644" i="4"/>
  <c r="C644" i="4"/>
  <c r="B644" i="4"/>
  <c r="A644" i="4"/>
  <c r="O643" i="4"/>
  <c r="J643" i="4"/>
  <c r="I643" i="4"/>
  <c r="H643" i="4"/>
  <c r="G643" i="4"/>
  <c r="F643" i="4"/>
  <c r="E643" i="4"/>
  <c r="C643" i="4"/>
  <c r="B643" i="4"/>
  <c r="A643" i="4"/>
  <c r="J642" i="4"/>
  <c r="I642" i="4"/>
  <c r="H642" i="4"/>
  <c r="G642" i="4"/>
  <c r="F642" i="4"/>
  <c r="E642" i="4"/>
  <c r="C642" i="4"/>
  <c r="B642" i="4"/>
  <c r="A642" i="4"/>
  <c r="K641" i="4"/>
  <c r="J641" i="4"/>
  <c r="I641" i="4"/>
  <c r="H641" i="4"/>
  <c r="G641" i="4"/>
  <c r="F641" i="4"/>
  <c r="E641" i="4"/>
  <c r="C641" i="4"/>
  <c r="B641" i="4"/>
  <c r="A641" i="4"/>
  <c r="O640" i="4"/>
  <c r="K640" i="4"/>
  <c r="J640" i="4"/>
  <c r="I640" i="4"/>
  <c r="H640" i="4"/>
  <c r="G640" i="4"/>
  <c r="F640" i="4"/>
  <c r="E640" i="4"/>
  <c r="C640" i="4"/>
  <c r="B640" i="4"/>
  <c r="A640" i="4"/>
  <c r="O639" i="4"/>
  <c r="J639" i="4"/>
  <c r="I639" i="4"/>
  <c r="H639" i="4"/>
  <c r="G639" i="4"/>
  <c r="F639" i="4"/>
  <c r="D639" i="4" s="1"/>
  <c r="E639" i="4"/>
  <c r="C639" i="4"/>
  <c r="B639" i="4"/>
  <c r="A639" i="4"/>
  <c r="O638" i="4"/>
  <c r="J638" i="4"/>
  <c r="I638" i="4"/>
  <c r="H638" i="4"/>
  <c r="G638" i="4"/>
  <c r="F638" i="4"/>
  <c r="E638" i="4"/>
  <c r="S638" i="4" s="1"/>
  <c r="C638" i="4"/>
  <c r="B638" i="4"/>
  <c r="A638" i="4"/>
  <c r="O637" i="4"/>
  <c r="K637" i="4"/>
  <c r="J637" i="4"/>
  <c r="I637" i="4"/>
  <c r="H637" i="4"/>
  <c r="G637" i="4"/>
  <c r="F637" i="4"/>
  <c r="E637" i="4"/>
  <c r="C637" i="4"/>
  <c r="B637" i="4"/>
  <c r="A637" i="4"/>
  <c r="K636" i="4"/>
  <c r="J636" i="4"/>
  <c r="I636" i="4"/>
  <c r="H636" i="4"/>
  <c r="G636" i="4"/>
  <c r="F636" i="4"/>
  <c r="E636" i="4"/>
  <c r="C636" i="4"/>
  <c r="B636" i="4"/>
  <c r="A636" i="4"/>
  <c r="J635" i="4"/>
  <c r="I635" i="4"/>
  <c r="H635" i="4"/>
  <c r="G635" i="4"/>
  <c r="F635" i="4"/>
  <c r="E635" i="4"/>
  <c r="D635" i="4" s="1"/>
  <c r="C635" i="4"/>
  <c r="B635" i="4"/>
  <c r="A635" i="4"/>
  <c r="O634" i="4"/>
  <c r="K634" i="4"/>
  <c r="J634" i="4"/>
  <c r="I634" i="4"/>
  <c r="H634" i="4"/>
  <c r="G634" i="4"/>
  <c r="R634" i="4" s="1"/>
  <c r="F634" i="4"/>
  <c r="E634" i="4"/>
  <c r="C634" i="4"/>
  <c r="B634" i="4"/>
  <c r="A634" i="4"/>
  <c r="L633" i="4"/>
  <c r="J633" i="4"/>
  <c r="I633" i="4"/>
  <c r="H633" i="4"/>
  <c r="G633" i="4"/>
  <c r="S633" i="4" s="1"/>
  <c r="F633" i="4"/>
  <c r="D633" i="4" s="1"/>
  <c r="E633" i="4"/>
  <c r="C633" i="4"/>
  <c r="B633" i="4"/>
  <c r="A633" i="4"/>
  <c r="K632" i="4"/>
  <c r="J632" i="4"/>
  <c r="I632" i="4"/>
  <c r="H632" i="4"/>
  <c r="G632" i="4"/>
  <c r="R632" i="4" s="1"/>
  <c r="F632" i="4"/>
  <c r="D632" i="4" s="1"/>
  <c r="E632" i="4"/>
  <c r="C632" i="4"/>
  <c r="B632" i="4"/>
  <c r="A632" i="4"/>
  <c r="O631" i="4"/>
  <c r="L631" i="4"/>
  <c r="K631" i="4"/>
  <c r="J631" i="4"/>
  <c r="I631" i="4"/>
  <c r="H631" i="4"/>
  <c r="G631" i="4"/>
  <c r="F631" i="4"/>
  <c r="E631" i="4"/>
  <c r="C631" i="4"/>
  <c r="B631" i="4"/>
  <c r="A631" i="4"/>
  <c r="S630" i="4"/>
  <c r="R630" i="4"/>
  <c r="J630" i="4"/>
  <c r="I630" i="4"/>
  <c r="H630" i="4"/>
  <c r="G630" i="4"/>
  <c r="F630" i="4"/>
  <c r="E630" i="4"/>
  <c r="C630" i="4"/>
  <c r="B630" i="4"/>
  <c r="A630" i="4"/>
  <c r="J629" i="4"/>
  <c r="R629" i="4" s="1"/>
  <c r="I629" i="4"/>
  <c r="H629" i="4"/>
  <c r="G629" i="4"/>
  <c r="F629" i="4"/>
  <c r="E629" i="4"/>
  <c r="C629" i="4"/>
  <c r="B629" i="4"/>
  <c r="A629" i="4"/>
  <c r="J628" i="4"/>
  <c r="I628" i="4"/>
  <c r="H628" i="4"/>
  <c r="G628" i="4"/>
  <c r="F628" i="4"/>
  <c r="E628" i="4"/>
  <c r="C628" i="4"/>
  <c r="B628" i="4"/>
  <c r="A628" i="4"/>
  <c r="J627" i="4"/>
  <c r="I627" i="4"/>
  <c r="H627" i="4"/>
  <c r="G627" i="4"/>
  <c r="F627" i="4"/>
  <c r="E627" i="4"/>
  <c r="S627" i="4" s="1"/>
  <c r="C627" i="4"/>
  <c r="B627" i="4"/>
  <c r="A627" i="4"/>
  <c r="J626" i="4"/>
  <c r="I626" i="4"/>
  <c r="H626" i="4"/>
  <c r="G626" i="4"/>
  <c r="F626" i="4"/>
  <c r="E626" i="4"/>
  <c r="S626" i="4" s="1"/>
  <c r="C626" i="4"/>
  <c r="B626" i="4"/>
  <c r="A626" i="4"/>
  <c r="J625" i="4"/>
  <c r="I625" i="4"/>
  <c r="H625" i="4"/>
  <c r="G625" i="4"/>
  <c r="F625" i="4"/>
  <c r="E625" i="4"/>
  <c r="S625" i="4" s="1"/>
  <c r="C625" i="4"/>
  <c r="B625" i="4"/>
  <c r="A625" i="4"/>
  <c r="J624" i="4"/>
  <c r="I624" i="4"/>
  <c r="H624" i="4"/>
  <c r="G624" i="4"/>
  <c r="F624" i="4"/>
  <c r="E624" i="4"/>
  <c r="C624" i="4"/>
  <c r="B624" i="4"/>
  <c r="A624" i="4"/>
  <c r="J623" i="4"/>
  <c r="I623" i="4"/>
  <c r="H623" i="4"/>
  <c r="G623" i="4"/>
  <c r="F623" i="4"/>
  <c r="E623" i="4"/>
  <c r="D623" i="4" s="1"/>
  <c r="C623" i="4"/>
  <c r="B623" i="4"/>
  <c r="A623" i="4"/>
  <c r="S622" i="4"/>
  <c r="J622" i="4"/>
  <c r="I622" i="4"/>
  <c r="H622" i="4"/>
  <c r="G622" i="4"/>
  <c r="F622" i="4"/>
  <c r="E622" i="4"/>
  <c r="C622" i="4"/>
  <c r="B622" i="4"/>
  <c r="A622" i="4"/>
  <c r="R621" i="4"/>
  <c r="J621" i="4"/>
  <c r="I621" i="4"/>
  <c r="H621" i="4"/>
  <c r="G621" i="4"/>
  <c r="F621" i="4"/>
  <c r="E621" i="4"/>
  <c r="D621" i="4" s="1"/>
  <c r="C621" i="4"/>
  <c r="B621" i="4"/>
  <c r="A621" i="4"/>
  <c r="J620" i="4"/>
  <c r="S620" i="4" s="1"/>
  <c r="I620" i="4"/>
  <c r="R620" i="4" s="1"/>
  <c r="H620" i="4"/>
  <c r="G620" i="4"/>
  <c r="F620" i="4"/>
  <c r="E620" i="4"/>
  <c r="C620" i="4"/>
  <c r="B620" i="4"/>
  <c r="A620" i="4"/>
  <c r="S619" i="4"/>
  <c r="J619" i="4"/>
  <c r="I619" i="4"/>
  <c r="R619" i="4" s="1"/>
  <c r="H619" i="4"/>
  <c r="G619" i="4"/>
  <c r="F619" i="4"/>
  <c r="E619" i="4"/>
  <c r="C619" i="4"/>
  <c r="B619" i="4"/>
  <c r="A619" i="4"/>
  <c r="S618" i="4"/>
  <c r="R618" i="4"/>
  <c r="J618" i="4"/>
  <c r="I618" i="4"/>
  <c r="H618" i="4"/>
  <c r="G618" i="4"/>
  <c r="F618" i="4"/>
  <c r="E618" i="4"/>
  <c r="C618" i="4"/>
  <c r="B618" i="4"/>
  <c r="A618" i="4"/>
  <c r="J617" i="4"/>
  <c r="R617" i="4" s="1"/>
  <c r="I617" i="4"/>
  <c r="H617" i="4"/>
  <c r="G617" i="4"/>
  <c r="S617" i="4" s="1"/>
  <c r="F617" i="4"/>
  <c r="E617" i="4"/>
  <c r="C617" i="4"/>
  <c r="B617" i="4"/>
  <c r="A617" i="4"/>
  <c r="J616" i="4"/>
  <c r="I616" i="4"/>
  <c r="H616" i="4"/>
  <c r="G616" i="4"/>
  <c r="F616" i="4"/>
  <c r="E616" i="4"/>
  <c r="C616" i="4"/>
  <c r="B616" i="4"/>
  <c r="A616" i="4"/>
  <c r="J615" i="4"/>
  <c r="I615" i="4"/>
  <c r="H615" i="4"/>
  <c r="G615" i="4"/>
  <c r="F615" i="4"/>
  <c r="E615" i="4"/>
  <c r="C615" i="4"/>
  <c r="B615" i="4"/>
  <c r="A615" i="4"/>
  <c r="J614" i="4"/>
  <c r="I614" i="4"/>
  <c r="H614" i="4"/>
  <c r="G614" i="4"/>
  <c r="F614" i="4"/>
  <c r="E614" i="4"/>
  <c r="C614" i="4"/>
  <c r="B614" i="4"/>
  <c r="A614" i="4"/>
  <c r="N613" i="4"/>
  <c r="M613" i="4"/>
  <c r="J613" i="4"/>
  <c r="I613" i="4"/>
  <c r="H613" i="4"/>
  <c r="G613" i="4"/>
  <c r="F613" i="4"/>
  <c r="E613" i="4"/>
  <c r="C613" i="4"/>
  <c r="B613" i="4"/>
  <c r="A613" i="4"/>
  <c r="P612" i="4"/>
  <c r="N612" i="4"/>
  <c r="M612" i="4"/>
  <c r="J612" i="4"/>
  <c r="I612" i="4"/>
  <c r="H612" i="4"/>
  <c r="D612" i="4" s="1"/>
  <c r="G612" i="4"/>
  <c r="F612" i="4"/>
  <c r="E612" i="4"/>
  <c r="C612" i="4"/>
  <c r="B612" i="4"/>
  <c r="A612" i="4"/>
  <c r="P611" i="4"/>
  <c r="N611" i="4"/>
  <c r="M611" i="4"/>
  <c r="J611" i="4"/>
  <c r="I611" i="4"/>
  <c r="H611" i="4"/>
  <c r="G611" i="4"/>
  <c r="F611" i="4"/>
  <c r="E611" i="4"/>
  <c r="C611" i="4"/>
  <c r="B611" i="4"/>
  <c r="A611" i="4"/>
  <c r="R610" i="4"/>
  <c r="K610" i="4"/>
  <c r="J610" i="4"/>
  <c r="I610" i="4"/>
  <c r="H610" i="4"/>
  <c r="G610" i="4"/>
  <c r="F610" i="4"/>
  <c r="E610" i="4"/>
  <c r="D610" i="4"/>
  <c r="C610" i="4"/>
  <c r="B610" i="4"/>
  <c r="A610" i="4"/>
  <c r="K609" i="4"/>
  <c r="J609" i="4"/>
  <c r="S609" i="4" s="1"/>
  <c r="I609" i="4"/>
  <c r="H609" i="4"/>
  <c r="G609" i="4"/>
  <c r="F609" i="4"/>
  <c r="E609" i="4"/>
  <c r="C609" i="4"/>
  <c r="B609" i="4"/>
  <c r="A609" i="4"/>
  <c r="K608" i="4"/>
  <c r="J608" i="4"/>
  <c r="I608" i="4"/>
  <c r="H608" i="4"/>
  <c r="G608" i="4"/>
  <c r="F608" i="4"/>
  <c r="E608" i="4"/>
  <c r="D608" i="4" s="1"/>
  <c r="C608" i="4"/>
  <c r="B608" i="4"/>
  <c r="A608" i="4"/>
  <c r="R607" i="4"/>
  <c r="O607" i="4"/>
  <c r="J607" i="4"/>
  <c r="I607" i="4"/>
  <c r="H607" i="4"/>
  <c r="G607" i="4"/>
  <c r="F607" i="4"/>
  <c r="E607" i="4"/>
  <c r="C607" i="4"/>
  <c r="B607" i="4"/>
  <c r="A607" i="4"/>
  <c r="S606" i="4"/>
  <c r="R606" i="4"/>
  <c r="O606" i="4"/>
  <c r="J606" i="4"/>
  <c r="I606" i="4"/>
  <c r="H606" i="4"/>
  <c r="G606" i="4"/>
  <c r="F606" i="4"/>
  <c r="D606" i="4" s="1"/>
  <c r="E606" i="4"/>
  <c r="C606" i="4"/>
  <c r="B606" i="4"/>
  <c r="A606" i="4"/>
  <c r="S605" i="4"/>
  <c r="J605" i="4"/>
  <c r="I605" i="4"/>
  <c r="R605" i="4" s="1"/>
  <c r="H605" i="4"/>
  <c r="G605" i="4"/>
  <c r="F605" i="4"/>
  <c r="D605" i="4" s="1"/>
  <c r="E605" i="4"/>
  <c r="C605" i="4"/>
  <c r="B605" i="4"/>
  <c r="A605" i="4"/>
  <c r="S604" i="4"/>
  <c r="K604" i="4"/>
  <c r="J604" i="4"/>
  <c r="R604" i="4" s="1"/>
  <c r="I604" i="4"/>
  <c r="H604" i="4"/>
  <c r="G604" i="4"/>
  <c r="F604" i="4"/>
  <c r="E604" i="4"/>
  <c r="C604" i="4"/>
  <c r="B604" i="4"/>
  <c r="A604" i="4"/>
  <c r="S603" i="4"/>
  <c r="O603" i="4"/>
  <c r="K603" i="4"/>
  <c r="J603" i="4"/>
  <c r="I603" i="4"/>
  <c r="H603" i="4"/>
  <c r="G603" i="4"/>
  <c r="F603" i="4"/>
  <c r="E603" i="4"/>
  <c r="R603" i="4" s="1"/>
  <c r="C603" i="4"/>
  <c r="B603" i="4"/>
  <c r="A603" i="4"/>
  <c r="R602" i="4"/>
  <c r="O602" i="4"/>
  <c r="J602" i="4"/>
  <c r="I602" i="4"/>
  <c r="H602" i="4"/>
  <c r="G602" i="4"/>
  <c r="F602" i="4"/>
  <c r="E602" i="4"/>
  <c r="S602" i="4" s="1"/>
  <c r="D602" i="4"/>
  <c r="C602" i="4"/>
  <c r="B602" i="4"/>
  <c r="A602" i="4"/>
  <c r="O601" i="4"/>
  <c r="J601" i="4"/>
  <c r="I601" i="4"/>
  <c r="H601" i="4"/>
  <c r="G601" i="4"/>
  <c r="F601" i="4"/>
  <c r="E601" i="4"/>
  <c r="S601" i="4" s="1"/>
  <c r="D601" i="4"/>
  <c r="C601" i="4"/>
  <c r="B601" i="4"/>
  <c r="A601" i="4"/>
  <c r="O600" i="4"/>
  <c r="K600" i="4"/>
  <c r="J600" i="4"/>
  <c r="I600" i="4"/>
  <c r="H600" i="4"/>
  <c r="G600" i="4"/>
  <c r="F600" i="4"/>
  <c r="E600" i="4"/>
  <c r="D600" i="4" s="1"/>
  <c r="C600" i="4"/>
  <c r="B600" i="4"/>
  <c r="A600" i="4"/>
  <c r="K599" i="4"/>
  <c r="J599" i="4"/>
  <c r="I599" i="4"/>
  <c r="H599" i="4"/>
  <c r="G599" i="4"/>
  <c r="F599" i="4"/>
  <c r="E599" i="4"/>
  <c r="D599" i="4" s="1"/>
  <c r="C599" i="4"/>
  <c r="B599" i="4"/>
  <c r="A599" i="4"/>
  <c r="J598" i="4"/>
  <c r="I598" i="4"/>
  <c r="H598" i="4"/>
  <c r="G598" i="4"/>
  <c r="F598" i="4"/>
  <c r="E598" i="4"/>
  <c r="C598" i="4"/>
  <c r="B598" i="4"/>
  <c r="A598" i="4"/>
  <c r="O597" i="4"/>
  <c r="K597" i="4"/>
  <c r="J597" i="4"/>
  <c r="I597" i="4"/>
  <c r="H597" i="4"/>
  <c r="G597" i="4"/>
  <c r="F597" i="4"/>
  <c r="E597" i="4"/>
  <c r="C597" i="4"/>
  <c r="B597" i="4"/>
  <c r="A597" i="4"/>
  <c r="L596" i="4"/>
  <c r="J596" i="4"/>
  <c r="I596" i="4"/>
  <c r="H596" i="4"/>
  <c r="G596" i="4"/>
  <c r="F596" i="4"/>
  <c r="E596" i="4"/>
  <c r="C596" i="4"/>
  <c r="B596" i="4"/>
  <c r="A596" i="4"/>
  <c r="K595" i="4"/>
  <c r="J595" i="4"/>
  <c r="I595" i="4"/>
  <c r="H595" i="4"/>
  <c r="G595" i="4"/>
  <c r="D595" i="4" s="1"/>
  <c r="F595" i="4"/>
  <c r="E595" i="4"/>
  <c r="C595" i="4"/>
  <c r="B595" i="4"/>
  <c r="A595" i="4"/>
  <c r="O594" i="4"/>
  <c r="L594" i="4"/>
  <c r="K594" i="4"/>
  <c r="J594" i="4"/>
  <c r="I594" i="4"/>
  <c r="H594" i="4"/>
  <c r="G594" i="4"/>
  <c r="D594" i="4" s="1"/>
  <c r="F594" i="4"/>
  <c r="E594" i="4"/>
  <c r="C594" i="4"/>
  <c r="B594" i="4"/>
  <c r="A594" i="4"/>
  <c r="J593" i="4"/>
  <c r="R593" i="4" s="1"/>
  <c r="I593" i="4"/>
  <c r="H593" i="4"/>
  <c r="G593" i="4"/>
  <c r="D593" i="4" s="1"/>
  <c r="F593" i="4"/>
  <c r="E593" i="4"/>
  <c r="C593" i="4"/>
  <c r="B593" i="4"/>
  <c r="A593" i="4"/>
  <c r="J592" i="4"/>
  <c r="R592" i="4" s="1"/>
  <c r="I592" i="4"/>
  <c r="H592" i="4"/>
  <c r="G592" i="4"/>
  <c r="D592" i="4" s="1"/>
  <c r="F592" i="4"/>
  <c r="E592" i="4"/>
  <c r="C592" i="4"/>
  <c r="B592" i="4"/>
  <c r="A592" i="4"/>
  <c r="J591" i="4"/>
  <c r="R591" i="4" s="1"/>
  <c r="I591" i="4"/>
  <c r="H591" i="4"/>
  <c r="G591" i="4"/>
  <c r="F591" i="4"/>
  <c r="E591" i="4"/>
  <c r="C591" i="4"/>
  <c r="B591" i="4"/>
  <c r="A591" i="4"/>
  <c r="J590" i="4"/>
  <c r="R590" i="4" s="1"/>
  <c r="I590" i="4"/>
  <c r="H590" i="4"/>
  <c r="G590" i="4"/>
  <c r="D590" i="4" s="1"/>
  <c r="F590" i="4"/>
  <c r="E590" i="4"/>
  <c r="C590" i="4"/>
  <c r="B590" i="4"/>
  <c r="A590" i="4"/>
  <c r="J589" i="4"/>
  <c r="R589" i="4" s="1"/>
  <c r="I589" i="4"/>
  <c r="H589" i="4"/>
  <c r="G589" i="4"/>
  <c r="D589" i="4" s="1"/>
  <c r="F589" i="4"/>
  <c r="E589" i="4"/>
  <c r="C589" i="4"/>
  <c r="B589" i="4"/>
  <c r="A589" i="4"/>
  <c r="J588" i="4"/>
  <c r="R588" i="4" s="1"/>
  <c r="I588" i="4"/>
  <c r="H588" i="4"/>
  <c r="G588" i="4"/>
  <c r="D588" i="4" s="1"/>
  <c r="F588" i="4"/>
  <c r="E588" i="4"/>
  <c r="C588" i="4"/>
  <c r="B588" i="4"/>
  <c r="A588" i="4"/>
  <c r="J587" i="4"/>
  <c r="R587" i="4" s="1"/>
  <c r="I587" i="4"/>
  <c r="H587" i="4"/>
  <c r="G587" i="4"/>
  <c r="F587" i="4"/>
  <c r="E587" i="4"/>
  <c r="C587" i="4"/>
  <c r="B587" i="4"/>
  <c r="A587" i="4"/>
  <c r="J586" i="4"/>
  <c r="R586" i="4" s="1"/>
  <c r="I586" i="4"/>
  <c r="H586" i="4"/>
  <c r="G586" i="4"/>
  <c r="D586" i="4" s="1"/>
  <c r="F586" i="4"/>
  <c r="E586" i="4"/>
  <c r="C586" i="4"/>
  <c r="B586" i="4"/>
  <c r="A586" i="4"/>
  <c r="J585" i="4"/>
  <c r="R585" i="4" s="1"/>
  <c r="I585" i="4"/>
  <c r="H585" i="4"/>
  <c r="G585" i="4"/>
  <c r="D585" i="4" s="1"/>
  <c r="F585" i="4"/>
  <c r="E585" i="4"/>
  <c r="C585" i="4"/>
  <c r="B585" i="4"/>
  <c r="A585" i="4"/>
  <c r="J584" i="4"/>
  <c r="R584" i="4" s="1"/>
  <c r="I584" i="4"/>
  <c r="H584" i="4"/>
  <c r="G584" i="4"/>
  <c r="D584" i="4" s="1"/>
  <c r="F584" i="4"/>
  <c r="E584" i="4"/>
  <c r="C584" i="4"/>
  <c r="B584" i="4"/>
  <c r="A584" i="4"/>
  <c r="J583" i="4"/>
  <c r="R583" i="4" s="1"/>
  <c r="I583" i="4"/>
  <c r="H583" i="4"/>
  <c r="G583" i="4"/>
  <c r="F583" i="4"/>
  <c r="E583" i="4"/>
  <c r="C583" i="4"/>
  <c r="B583" i="4"/>
  <c r="A583" i="4"/>
  <c r="J582" i="4"/>
  <c r="R582" i="4" s="1"/>
  <c r="I582" i="4"/>
  <c r="H582" i="4"/>
  <c r="G582" i="4"/>
  <c r="D582" i="4" s="1"/>
  <c r="F582" i="4"/>
  <c r="E582" i="4"/>
  <c r="C582" i="4"/>
  <c r="B582" i="4"/>
  <c r="A582" i="4"/>
  <c r="J581" i="4"/>
  <c r="R581" i="4" s="1"/>
  <c r="I581" i="4"/>
  <c r="H581" i="4"/>
  <c r="G581" i="4"/>
  <c r="D581" i="4" s="1"/>
  <c r="F581" i="4"/>
  <c r="E581" i="4"/>
  <c r="C581" i="4"/>
  <c r="B581" i="4"/>
  <c r="A581" i="4"/>
  <c r="J580" i="4"/>
  <c r="R580" i="4" s="1"/>
  <c r="I580" i="4"/>
  <c r="H580" i="4"/>
  <c r="G580" i="4"/>
  <c r="D580" i="4" s="1"/>
  <c r="F580" i="4"/>
  <c r="E580" i="4"/>
  <c r="C580" i="4"/>
  <c r="B580" i="4"/>
  <c r="A580" i="4"/>
  <c r="J579" i="4"/>
  <c r="R579" i="4" s="1"/>
  <c r="I579" i="4"/>
  <c r="H579" i="4"/>
  <c r="G579" i="4"/>
  <c r="F579" i="4"/>
  <c r="E579" i="4"/>
  <c r="C579" i="4"/>
  <c r="B579" i="4"/>
  <c r="A579" i="4"/>
  <c r="J578" i="4"/>
  <c r="R578" i="4" s="1"/>
  <c r="I578" i="4"/>
  <c r="H578" i="4"/>
  <c r="G578" i="4"/>
  <c r="D578" i="4" s="1"/>
  <c r="F578" i="4"/>
  <c r="E578" i="4"/>
  <c r="C578" i="4"/>
  <c r="B578" i="4"/>
  <c r="A578" i="4"/>
  <c r="J577" i="4"/>
  <c r="R577" i="4" s="1"/>
  <c r="I577" i="4"/>
  <c r="H577" i="4"/>
  <c r="G577" i="4"/>
  <c r="D577" i="4" s="1"/>
  <c r="F577" i="4"/>
  <c r="E577" i="4"/>
  <c r="C577" i="4"/>
  <c r="B577" i="4"/>
  <c r="A577" i="4"/>
  <c r="N576" i="4"/>
  <c r="R576" i="4" s="1"/>
  <c r="M576" i="4"/>
  <c r="J576" i="4"/>
  <c r="I576" i="4"/>
  <c r="S576" i="4" s="1"/>
  <c r="H576" i="4"/>
  <c r="G576" i="4"/>
  <c r="F576" i="4"/>
  <c r="E576" i="4"/>
  <c r="D576" i="4" s="1"/>
  <c r="C576" i="4"/>
  <c r="B576" i="4"/>
  <c r="A576" i="4"/>
  <c r="S575" i="4"/>
  <c r="P575" i="4"/>
  <c r="N575" i="4"/>
  <c r="M575" i="4"/>
  <c r="J575" i="4"/>
  <c r="I575" i="4"/>
  <c r="H575" i="4"/>
  <c r="G575" i="4"/>
  <c r="F575" i="4"/>
  <c r="R575" i="4" s="1"/>
  <c r="E575" i="4"/>
  <c r="D575" i="4"/>
  <c r="C575" i="4"/>
  <c r="B575" i="4"/>
  <c r="A575" i="4"/>
  <c r="P574" i="4"/>
  <c r="N574" i="4"/>
  <c r="M574" i="4"/>
  <c r="J574" i="4"/>
  <c r="I574" i="4"/>
  <c r="H574" i="4"/>
  <c r="G574" i="4"/>
  <c r="F574" i="4"/>
  <c r="E574" i="4"/>
  <c r="C574" i="4"/>
  <c r="B574" i="4"/>
  <c r="A574" i="4"/>
  <c r="K573" i="4"/>
  <c r="J573" i="4"/>
  <c r="I573" i="4"/>
  <c r="H573" i="4"/>
  <c r="G573" i="4"/>
  <c r="F573" i="4"/>
  <c r="E573" i="4"/>
  <c r="C573" i="4"/>
  <c r="B573" i="4"/>
  <c r="A573" i="4"/>
  <c r="K572" i="4"/>
  <c r="J572" i="4"/>
  <c r="I572" i="4"/>
  <c r="H572" i="4"/>
  <c r="G572" i="4"/>
  <c r="F572" i="4"/>
  <c r="E572" i="4"/>
  <c r="S572" i="4" s="1"/>
  <c r="C572" i="4"/>
  <c r="B572" i="4"/>
  <c r="A572" i="4"/>
  <c r="K571" i="4"/>
  <c r="J571" i="4"/>
  <c r="I571" i="4"/>
  <c r="H571" i="4"/>
  <c r="G571" i="4"/>
  <c r="F571" i="4"/>
  <c r="E571" i="4"/>
  <c r="C571" i="4"/>
  <c r="B571" i="4"/>
  <c r="A571" i="4"/>
  <c r="O570" i="4"/>
  <c r="J570" i="4"/>
  <c r="I570" i="4"/>
  <c r="H570" i="4"/>
  <c r="G570" i="4"/>
  <c r="D570" i="4" s="1"/>
  <c r="F570" i="4"/>
  <c r="E570" i="4"/>
  <c r="C570" i="4"/>
  <c r="B570" i="4"/>
  <c r="A570" i="4"/>
  <c r="O569" i="4"/>
  <c r="J569" i="4"/>
  <c r="I569" i="4"/>
  <c r="H569" i="4"/>
  <c r="G569" i="4"/>
  <c r="F569" i="4"/>
  <c r="E569" i="4"/>
  <c r="C569" i="4"/>
  <c r="B569" i="4"/>
  <c r="A569" i="4"/>
  <c r="J568" i="4"/>
  <c r="I568" i="4"/>
  <c r="H568" i="4"/>
  <c r="G568" i="4"/>
  <c r="F568" i="4"/>
  <c r="E568" i="4"/>
  <c r="C568" i="4"/>
  <c r="B568" i="4"/>
  <c r="A568" i="4"/>
  <c r="K567" i="4"/>
  <c r="J567" i="4"/>
  <c r="I567" i="4"/>
  <c r="H567" i="4"/>
  <c r="G567" i="4"/>
  <c r="F567" i="4"/>
  <c r="R567" i="4" s="1"/>
  <c r="E567" i="4"/>
  <c r="C567" i="4"/>
  <c r="B567" i="4"/>
  <c r="A567" i="4"/>
  <c r="O566" i="4"/>
  <c r="K566" i="4"/>
  <c r="J566" i="4"/>
  <c r="I566" i="4"/>
  <c r="H566" i="4"/>
  <c r="S566" i="4" s="1"/>
  <c r="G566" i="4"/>
  <c r="F566" i="4"/>
  <c r="E566" i="4"/>
  <c r="D566" i="4" s="1"/>
  <c r="C566" i="4"/>
  <c r="B566" i="4"/>
  <c r="A566" i="4"/>
  <c r="R565" i="4"/>
  <c r="O565" i="4"/>
  <c r="J565" i="4"/>
  <c r="I565" i="4"/>
  <c r="H565" i="4"/>
  <c r="G565" i="4"/>
  <c r="F565" i="4"/>
  <c r="E565" i="4"/>
  <c r="D565" i="4" s="1"/>
  <c r="C565" i="4"/>
  <c r="B565" i="4"/>
  <c r="A565" i="4"/>
  <c r="O564" i="4"/>
  <c r="S564" i="4" s="1"/>
  <c r="J564" i="4"/>
  <c r="I564" i="4"/>
  <c r="H564" i="4"/>
  <c r="G564" i="4"/>
  <c r="F564" i="4"/>
  <c r="E564" i="4"/>
  <c r="C564" i="4"/>
  <c r="B564" i="4"/>
  <c r="A564" i="4"/>
  <c r="R563" i="4"/>
  <c r="O563" i="4"/>
  <c r="K563" i="4"/>
  <c r="J563" i="4"/>
  <c r="I563" i="4"/>
  <c r="H563" i="4"/>
  <c r="G563" i="4"/>
  <c r="F563" i="4"/>
  <c r="E563" i="4"/>
  <c r="C563" i="4"/>
  <c r="B563" i="4"/>
  <c r="A563" i="4"/>
  <c r="S562" i="4"/>
  <c r="R562" i="4"/>
  <c r="K562" i="4"/>
  <c r="J562" i="4"/>
  <c r="I562" i="4"/>
  <c r="H562" i="4"/>
  <c r="G562" i="4"/>
  <c r="F562" i="4"/>
  <c r="D562" i="4" s="1"/>
  <c r="E562" i="4"/>
  <c r="C562" i="4"/>
  <c r="B562" i="4"/>
  <c r="A562" i="4"/>
  <c r="S561" i="4"/>
  <c r="J561" i="4"/>
  <c r="I561" i="4"/>
  <c r="R561" i="4" s="1"/>
  <c r="H561" i="4"/>
  <c r="G561" i="4"/>
  <c r="F561" i="4"/>
  <c r="D561" i="4" s="1"/>
  <c r="E561" i="4"/>
  <c r="C561" i="4"/>
  <c r="B561" i="4"/>
  <c r="A561" i="4"/>
  <c r="S560" i="4"/>
  <c r="O560" i="4"/>
  <c r="K560" i="4"/>
  <c r="R560" i="4" s="1"/>
  <c r="J560" i="4"/>
  <c r="I560" i="4"/>
  <c r="H560" i="4"/>
  <c r="G560" i="4"/>
  <c r="F560" i="4"/>
  <c r="E560" i="4"/>
  <c r="C560" i="4"/>
  <c r="B560" i="4"/>
  <c r="A560" i="4"/>
  <c r="R559" i="4"/>
  <c r="L559" i="4"/>
  <c r="J559" i="4"/>
  <c r="I559" i="4"/>
  <c r="H559" i="4"/>
  <c r="G559" i="4"/>
  <c r="F559" i="4"/>
  <c r="E559" i="4"/>
  <c r="S559" i="4" s="1"/>
  <c r="D559" i="4"/>
  <c r="C559" i="4"/>
  <c r="B559" i="4"/>
  <c r="A559" i="4"/>
  <c r="K558" i="4"/>
  <c r="J558" i="4"/>
  <c r="I558" i="4"/>
  <c r="H558" i="4"/>
  <c r="G558" i="4"/>
  <c r="F558" i="4"/>
  <c r="E558" i="4"/>
  <c r="D558" i="4"/>
  <c r="C558" i="4"/>
  <c r="B558" i="4"/>
  <c r="A558" i="4"/>
  <c r="O557" i="4"/>
  <c r="L557" i="4"/>
  <c r="K557" i="4"/>
  <c r="J557" i="4"/>
  <c r="I557" i="4"/>
  <c r="H557" i="4"/>
  <c r="G557" i="4"/>
  <c r="F557" i="4"/>
  <c r="E557" i="4"/>
  <c r="C557" i="4"/>
  <c r="B557" i="4"/>
  <c r="A557" i="4"/>
  <c r="J556" i="4"/>
  <c r="I556" i="4"/>
  <c r="H556" i="4"/>
  <c r="G556" i="4"/>
  <c r="F556" i="4"/>
  <c r="E556" i="4"/>
  <c r="D556" i="4" s="1"/>
  <c r="C556" i="4"/>
  <c r="B556" i="4"/>
  <c r="A556" i="4"/>
  <c r="J555" i="4"/>
  <c r="I555" i="4"/>
  <c r="H555" i="4"/>
  <c r="G555" i="4"/>
  <c r="F555" i="4"/>
  <c r="E555" i="4"/>
  <c r="C555" i="4"/>
  <c r="B555" i="4"/>
  <c r="A555" i="4"/>
  <c r="J554" i="4"/>
  <c r="I554" i="4"/>
  <c r="H554" i="4"/>
  <c r="G554" i="4"/>
  <c r="F554" i="4"/>
  <c r="E554" i="4"/>
  <c r="D554" i="4"/>
  <c r="C554" i="4"/>
  <c r="B554" i="4"/>
  <c r="A554" i="4"/>
  <c r="J553" i="4"/>
  <c r="I553" i="4"/>
  <c r="H553" i="4"/>
  <c r="G553" i="4"/>
  <c r="F553" i="4"/>
  <c r="E553" i="4"/>
  <c r="D553" i="4"/>
  <c r="C553" i="4"/>
  <c r="B553" i="4"/>
  <c r="A553" i="4"/>
  <c r="R552" i="4"/>
  <c r="J552" i="4"/>
  <c r="I552" i="4"/>
  <c r="H552" i="4"/>
  <c r="G552" i="4"/>
  <c r="F552" i="4"/>
  <c r="E552" i="4"/>
  <c r="S552" i="4" s="1"/>
  <c r="C552" i="4"/>
  <c r="B552" i="4"/>
  <c r="A552" i="4"/>
  <c r="J551" i="4"/>
  <c r="I551" i="4"/>
  <c r="R551" i="4" s="1"/>
  <c r="H551" i="4"/>
  <c r="G551" i="4"/>
  <c r="F551" i="4"/>
  <c r="E551" i="4"/>
  <c r="D551" i="4"/>
  <c r="C551" i="4"/>
  <c r="B551" i="4"/>
  <c r="A551" i="4"/>
  <c r="J550" i="4"/>
  <c r="I550" i="4"/>
  <c r="R550" i="4" s="1"/>
  <c r="H550" i="4"/>
  <c r="G550" i="4"/>
  <c r="F550" i="4"/>
  <c r="E550" i="4"/>
  <c r="D550" i="4" s="1"/>
  <c r="C550" i="4"/>
  <c r="B550" i="4"/>
  <c r="A550" i="4"/>
  <c r="R549" i="4"/>
  <c r="J549" i="4"/>
  <c r="I549" i="4"/>
  <c r="H549" i="4"/>
  <c r="G549" i="4"/>
  <c r="F549" i="4"/>
  <c r="E549" i="4"/>
  <c r="D549" i="4" s="1"/>
  <c r="C549" i="4"/>
  <c r="B549" i="4"/>
  <c r="A549" i="4"/>
  <c r="R548" i="4"/>
  <c r="J548" i="4"/>
  <c r="I548" i="4"/>
  <c r="H548" i="4"/>
  <c r="G548" i="4"/>
  <c r="F548" i="4"/>
  <c r="D548" i="4" s="1"/>
  <c r="E548" i="4"/>
  <c r="C548" i="4"/>
  <c r="B548" i="4"/>
  <c r="A548" i="4"/>
  <c r="J547" i="4"/>
  <c r="I547" i="4"/>
  <c r="H547" i="4"/>
  <c r="G547" i="4"/>
  <c r="F547" i="4"/>
  <c r="E547" i="4"/>
  <c r="C547" i="4"/>
  <c r="B547" i="4"/>
  <c r="A547" i="4"/>
  <c r="J546" i="4"/>
  <c r="I546" i="4"/>
  <c r="H546" i="4"/>
  <c r="G546" i="4"/>
  <c r="F546" i="4"/>
  <c r="E546" i="4"/>
  <c r="C546" i="4"/>
  <c r="B546" i="4"/>
  <c r="A546" i="4"/>
  <c r="J545" i="4"/>
  <c r="I545" i="4"/>
  <c r="H545" i="4"/>
  <c r="G545" i="4"/>
  <c r="D545" i="4" s="1"/>
  <c r="F545" i="4"/>
  <c r="E545" i="4"/>
  <c r="C545" i="4"/>
  <c r="B545" i="4"/>
  <c r="A545" i="4"/>
  <c r="J544" i="4"/>
  <c r="I544" i="4"/>
  <c r="H544" i="4"/>
  <c r="G544" i="4"/>
  <c r="F544" i="4"/>
  <c r="E544" i="4"/>
  <c r="C544" i="4"/>
  <c r="B544" i="4"/>
  <c r="A544" i="4"/>
  <c r="J543" i="4"/>
  <c r="I543" i="4"/>
  <c r="H543" i="4"/>
  <c r="G543" i="4"/>
  <c r="F543" i="4"/>
  <c r="E543" i="4"/>
  <c r="C543" i="4"/>
  <c r="B543" i="4"/>
  <c r="A543" i="4"/>
  <c r="J542" i="4"/>
  <c r="I542" i="4"/>
  <c r="H542" i="4"/>
  <c r="G542" i="4"/>
  <c r="F542" i="4"/>
  <c r="E542" i="4"/>
  <c r="D542" i="4" s="1"/>
  <c r="C542" i="4"/>
  <c r="B542" i="4"/>
  <c r="A542" i="4"/>
  <c r="J541" i="4"/>
  <c r="I541" i="4"/>
  <c r="H541" i="4"/>
  <c r="G541" i="4"/>
  <c r="F541" i="4"/>
  <c r="E541" i="4"/>
  <c r="D541" i="4"/>
  <c r="C541" i="4"/>
  <c r="B541" i="4"/>
  <c r="A541" i="4"/>
  <c r="R540" i="4"/>
  <c r="J540" i="4"/>
  <c r="I540" i="4"/>
  <c r="H540" i="4"/>
  <c r="G540" i="4"/>
  <c r="F540" i="4"/>
  <c r="E540" i="4"/>
  <c r="S540" i="4" s="1"/>
  <c r="C540" i="4"/>
  <c r="B540" i="4"/>
  <c r="A540" i="4"/>
  <c r="N539" i="4"/>
  <c r="M539" i="4"/>
  <c r="J539" i="4"/>
  <c r="I539" i="4"/>
  <c r="H539" i="4"/>
  <c r="G539" i="4"/>
  <c r="F539" i="4"/>
  <c r="E539" i="4"/>
  <c r="D539" i="4"/>
  <c r="C539" i="4"/>
  <c r="B539" i="4"/>
  <c r="A539" i="4"/>
  <c r="P538" i="4"/>
  <c r="N538" i="4"/>
  <c r="M538" i="4"/>
  <c r="J538" i="4"/>
  <c r="I538" i="4"/>
  <c r="H538" i="4"/>
  <c r="G538" i="4"/>
  <c r="F538" i="4"/>
  <c r="E538" i="4"/>
  <c r="C538" i="4"/>
  <c r="B538" i="4"/>
  <c r="A538" i="4"/>
  <c r="P537" i="4"/>
  <c r="N537" i="4"/>
  <c r="M537" i="4"/>
  <c r="J537" i="4"/>
  <c r="I537" i="4"/>
  <c r="H537" i="4"/>
  <c r="G537" i="4"/>
  <c r="F537" i="4"/>
  <c r="E537" i="4"/>
  <c r="C537" i="4"/>
  <c r="B537" i="4"/>
  <c r="A537" i="4"/>
  <c r="K536" i="4"/>
  <c r="J536" i="4"/>
  <c r="I536" i="4"/>
  <c r="H536" i="4"/>
  <c r="G536" i="4"/>
  <c r="F536" i="4"/>
  <c r="R536" i="4" s="1"/>
  <c r="E536" i="4"/>
  <c r="D536" i="4" s="1"/>
  <c r="C536" i="4"/>
  <c r="B536" i="4"/>
  <c r="A536" i="4"/>
  <c r="K535" i="4"/>
  <c r="J535" i="4"/>
  <c r="I535" i="4"/>
  <c r="H535" i="4"/>
  <c r="G535" i="4"/>
  <c r="F535" i="4"/>
  <c r="E535" i="4"/>
  <c r="C535" i="4"/>
  <c r="B535" i="4"/>
  <c r="A535" i="4"/>
  <c r="R534" i="4"/>
  <c r="K534" i="4"/>
  <c r="J534" i="4"/>
  <c r="I534" i="4"/>
  <c r="H534" i="4"/>
  <c r="S534" i="4" s="1"/>
  <c r="G534" i="4"/>
  <c r="F534" i="4"/>
  <c r="E534" i="4"/>
  <c r="D534" i="4" s="1"/>
  <c r="C534" i="4"/>
  <c r="B534" i="4"/>
  <c r="A534" i="4"/>
  <c r="S533" i="4"/>
  <c r="O533" i="4"/>
  <c r="J533" i="4"/>
  <c r="I533" i="4"/>
  <c r="H533" i="4"/>
  <c r="G533" i="4"/>
  <c r="F533" i="4"/>
  <c r="E533" i="4"/>
  <c r="C533" i="4"/>
  <c r="B533" i="4"/>
  <c r="A533" i="4"/>
  <c r="O532" i="4"/>
  <c r="R532" i="4" s="1"/>
  <c r="J532" i="4"/>
  <c r="I532" i="4"/>
  <c r="H532" i="4"/>
  <c r="G532" i="4"/>
  <c r="F532" i="4"/>
  <c r="E532" i="4"/>
  <c r="C532" i="4"/>
  <c r="B532" i="4"/>
  <c r="A532" i="4"/>
  <c r="S531" i="4"/>
  <c r="R531" i="4"/>
  <c r="J531" i="4"/>
  <c r="I531" i="4"/>
  <c r="H531" i="4"/>
  <c r="G531" i="4"/>
  <c r="F531" i="4"/>
  <c r="E531" i="4"/>
  <c r="D531" i="4" s="1"/>
  <c r="C531" i="4"/>
  <c r="B531" i="4"/>
  <c r="A531" i="4"/>
  <c r="S530" i="4"/>
  <c r="R530" i="4"/>
  <c r="K530" i="4"/>
  <c r="J530" i="4"/>
  <c r="I530" i="4"/>
  <c r="H530" i="4"/>
  <c r="G530" i="4"/>
  <c r="F530" i="4"/>
  <c r="E530" i="4"/>
  <c r="D530" i="4" s="1"/>
  <c r="C530" i="4"/>
  <c r="B530" i="4"/>
  <c r="A530" i="4"/>
  <c r="S529" i="4"/>
  <c r="O529" i="4"/>
  <c r="K529" i="4"/>
  <c r="J529" i="4"/>
  <c r="I529" i="4"/>
  <c r="H529" i="4"/>
  <c r="G529" i="4"/>
  <c r="F529" i="4"/>
  <c r="E529" i="4"/>
  <c r="C529" i="4"/>
  <c r="B529" i="4"/>
  <c r="A529" i="4"/>
  <c r="O528" i="4"/>
  <c r="S528" i="4" s="1"/>
  <c r="J528" i="4"/>
  <c r="R528" i="4" s="1"/>
  <c r="I528" i="4"/>
  <c r="H528" i="4"/>
  <c r="G528" i="4"/>
  <c r="F528" i="4"/>
  <c r="E528" i="4"/>
  <c r="C528" i="4"/>
  <c r="B528" i="4"/>
  <c r="A528" i="4"/>
  <c r="R527" i="4"/>
  <c r="O527" i="4"/>
  <c r="J527" i="4"/>
  <c r="I527" i="4"/>
  <c r="H527" i="4"/>
  <c r="G527" i="4"/>
  <c r="F527" i="4"/>
  <c r="E527" i="4"/>
  <c r="S527" i="4" s="1"/>
  <c r="D527" i="4"/>
  <c r="C527" i="4"/>
  <c r="B527" i="4"/>
  <c r="A527" i="4"/>
  <c r="O526" i="4"/>
  <c r="K526" i="4"/>
  <c r="J526" i="4"/>
  <c r="I526" i="4"/>
  <c r="H526" i="4"/>
  <c r="G526" i="4"/>
  <c r="F526" i="4"/>
  <c r="E526" i="4"/>
  <c r="C526" i="4"/>
  <c r="B526" i="4"/>
  <c r="A526" i="4"/>
  <c r="K525" i="4"/>
  <c r="J525" i="4"/>
  <c r="I525" i="4"/>
  <c r="H525" i="4"/>
  <c r="G525" i="4"/>
  <c r="F525" i="4"/>
  <c r="E525" i="4"/>
  <c r="D525" i="4" s="1"/>
  <c r="C525" i="4"/>
  <c r="B525" i="4"/>
  <c r="A525" i="4"/>
  <c r="J524" i="4"/>
  <c r="I524" i="4"/>
  <c r="H524" i="4"/>
  <c r="G524" i="4"/>
  <c r="F524" i="4"/>
  <c r="E524" i="4"/>
  <c r="D524" i="4" s="1"/>
  <c r="C524" i="4"/>
  <c r="B524" i="4"/>
  <c r="A524" i="4"/>
  <c r="O523" i="4"/>
  <c r="K523" i="4"/>
  <c r="J523" i="4"/>
  <c r="I523" i="4"/>
  <c r="H523" i="4"/>
  <c r="G523" i="4"/>
  <c r="F523" i="4"/>
  <c r="E523" i="4"/>
  <c r="C523" i="4"/>
  <c r="B523" i="4"/>
  <c r="A523" i="4"/>
  <c r="L522" i="4"/>
  <c r="J522" i="4"/>
  <c r="I522" i="4"/>
  <c r="H522" i="4"/>
  <c r="G522" i="4"/>
  <c r="F522" i="4"/>
  <c r="E522" i="4"/>
  <c r="C522" i="4"/>
  <c r="B522" i="4"/>
  <c r="A522" i="4"/>
  <c r="K521" i="4"/>
  <c r="J521" i="4"/>
  <c r="I521" i="4"/>
  <c r="H521" i="4"/>
  <c r="G521" i="4"/>
  <c r="F521" i="4"/>
  <c r="E521" i="4"/>
  <c r="C521" i="4"/>
  <c r="B521" i="4"/>
  <c r="A521" i="4"/>
  <c r="O520" i="4"/>
  <c r="L520" i="4"/>
  <c r="K520" i="4"/>
  <c r="J520" i="4"/>
  <c r="I520" i="4"/>
  <c r="H520" i="4"/>
  <c r="G520" i="4"/>
  <c r="F520" i="4"/>
  <c r="E520" i="4"/>
  <c r="C520" i="4"/>
  <c r="B520" i="4"/>
  <c r="A520" i="4"/>
  <c r="J519" i="4"/>
  <c r="R519" i="4" s="1"/>
  <c r="I519" i="4"/>
  <c r="H519" i="4"/>
  <c r="G519" i="4"/>
  <c r="S519" i="4" s="1"/>
  <c r="F519" i="4"/>
  <c r="E519" i="4"/>
  <c r="C519" i="4"/>
  <c r="B519" i="4"/>
  <c r="A519" i="4"/>
  <c r="J518" i="4"/>
  <c r="I518" i="4"/>
  <c r="H518" i="4"/>
  <c r="G518" i="4"/>
  <c r="F518" i="4"/>
  <c r="S518" i="4" s="1"/>
  <c r="E518" i="4"/>
  <c r="C518" i="4"/>
  <c r="B518" i="4"/>
  <c r="A518" i="4"/>
  <c r="J517" i="4"/>
  <c r="I517" i="4"/>
  <c r="H517" i="4"/>
  <c r="G517" i="4"/>
  <c r="F517" i="4"/>
  <c r="E517" i="4"/>
  <c r="C517" i="4"/>
  <c r="B517" i="4"/>
  <c r="A517" i="4"/>
  <c r="J516" i="4"/>
  <c r="I516" i="4"/>
  <c r="H516" i="4"/>
  <c r="G516" i="4"/>
  <c r="F516" i="4"/>
  <c r="E516" i="4"/>
  <c r="C516" i="4"/>
  <c r="B516" i="4"/>
  <c r="A516" i="4"/>
  <c r="J515" i="4"/>
  <c r="I515" i="4"/>
  <c r="H515" i="4"/>
  <c r="G515" i="4"/>
  <c r="F515" i="4"/>
  <c r="E515" i="4"/>
  <c r="C515" i="4"/>
  <c r="B515" i="4"/>
  <c r="A515" i="4"/>
  <c r="J514" i="4"/>
  <c r="I514" i="4"/>
  <c r="H514" i="4"/>
  <c r="G514" i="4"/>
  <c r="F514" i="4"/>
  <c r="E514" i="4"/>
  <c r="C514" i="4"/>
  <c r="B514" i="4"/>
  <c r="A514" i="4"/>
  <c r="J513" i="4"/>
  <c r="I513" i="4"/>
  <c r="H513" i="4"/>
  <c r="G513" i="4"/>
  <c r="F513" i="4"/>
  <c r="E513" i="4"/>
  <c r="C513" i="4"/>
  <c r="B513" i="4"/>
  <c r="A513" i="4"/>
  <c r="S512" i="4"/>
  <c r="J512" i="4"/>
  <c r="I512" i="4"/>
  <c r="H512" i="4"/>
  <c r="G512" i="4"/>
  <c r="F512" i="4"/>
  <c r="E512" i="4"/>
  <c r="C512" i="4"/>
  <c r="B512" i="4"/>
  <c r="A512" i="4"/>
  <c r="R511" i="4"/>
  <c r="J511" i="4"/>
  <c r="I511" i="4"/>
  <c r="H511" i="4"/>
  <c r="G511" i="4"/>
  <c r="F511" i="4"/>
  <c r="E511" i="4"/>
  <c r="D511" i="4" s="1"/>
  <c r="C511" i="4"/>
  <c r="B511" i="4"/>
  <c r="A511" i="4"/>
  <c r="J510" i="4"/>
  <c r="S510" i="4" s="1"/>
  <c r="I510" i="4"/>
  <c r="R510" i="4" s="1"/>
  <c r="H510" i="4"/>
  <c r="G510" i="4"/>
  <c r="F510" i="4"/>
  <c r="E510" i="4"/>
  <c r="C510" i="4"/>
  <c r="B510" i="4"/>
  <c r="A510" i="4"/>
  <c r="S509" i="4"/>
  <c r="J509" i="4"/>
  <c r="I509" i="4"/>
  <c r="R509" i="4" s="1"/>
  <c r="H509" i="4"/>
  <c r="G509" i="4"/>
  <c r="F509" i="4"/>
  <c r="E509" i="4"/>
  <c r="C509" i="4"/>
  <c r="B509" i="4"/>
  <c r="A509" i="4"/>
  <c r="S508" i="4"/>
  <c r="R508" i="4"/>
  <c r="J508" i="4"/>
  <c r="I508" i="4"/>
  <c r="H508" i="4"/>
  <c r="G508" i="4"/>
  <c r="F508" i="4"/>
  <c r="E508" i="4"/>
  <c r="C508" i="4"/>
  <c r="B508" i="4"/>
  <c r="A508" i="4"/>
  <c r="R507" i="4"/>
  <c r="J507" i="4"/>
  <c r="I507" i="4"/>
  <c r="H507" i="4"/>
  <c r="G507" i="4"/>
  <c r="F507" i="4"/>
  <c r="E507" i="4"/>
  <c r="C507" i="4"/>
  <c r="B507" i="4"/>
  <c r="A507" i="4"/>
  <c r="J506" i="4"/>
  <c r="I506" i="4"/>
  <c r="H506" i="4"/>
  <c r="G506" i="4"/>
  <c r="F506" i="4"/>
  <c r="E506" i="4"/>
  <c r="C506" i="4"/>
  <c r="B506" i="4"/>
  <c r="A506" i="4"/>
  <c r="J505" i="4"/>
  <c r="I505" i="4"/>
  <c r="H505" i="4"/>
  <c r="G505" i="4"/>
  <c r="F505" i="4"/>
  <c r="E505" i="4"/>
  <c r="C505" i="4"/>
  <c r="B505" i="4"/>
  <c r="A505" i="4"/>
  <c r="J504" i="4"/>
  <c r="I504" i="4"/>
  <c r="H504" i="4"/>
  <c r="G504" i="4"/>
  <c r="F504" i="4"/>
  <c r="E504" i="4"/>
  <c r="S504" i="4" s="1"/>
  <c r="C504" i="4"/>
  <c r="B504" i="4"/>
  <c r="A504" i="4"/>
  <c r="J503" i="4"/>
  <c r="I503" i="4"/>
  <c r="H503" i="4"/>
  <c r="G503" i="4"/>
  <c r="F503" i="4"/>
  <c r="E503" i="4"/>
  <c r="C503" i="4"/>
  <c r="B503" i="4"/>
  <c r="A503" i="4"/>
  <c r="N502" i="4"/>
  <c r="M502" i="4"/>
  <c r="J502" i="4"/>
  <c r="I502" i="4"/>
  <c r="H502" i="4"/>
  <c r="G502" i="4"/>
  <c r="F502" i="4"/>
  <c r="E502" i="4"/>
  <c r="C502" i="4"/>
  <c r="B502" i="4"/>
  <c r="A502" i="4"/>
  <c r="P501" i="4"/>
  <c r="N501" i="4"/>
  <c r="M501" i="4"/>
  <c r="J501" i="4"/>
  <c r="I501" i="4"/>
  <c r="H501" i="4"/>
  <c r="G501" i="4"/>
  <c r="F501" i="4"/>
  <c r="E501" i="4"/>
  <c r="C501" i="4"/>
  <c r="B501" i="4"/>
  <c r="A501" i="4"/>
  <c r="R500" i="4"/>
  <c r="P500" i="4"/>
  <c r="N500" i="4"/>
  <c r="M500" i="4"/>
  <c r="J500" i="4"/>
  <c r="I500" i="4"/>
  <c r="H500" i="4"/>
  <c r="G500" i="4"/>
  <c r="F500" i="4"/>
  <c r="E500" i="4"/>
  <c r="C500" i="4"/>
  <c r="B500" i="4"/>
  <c r="A500" i="4"/>
  <c r="K499" i="4"/>
  <c r="J499" i="4"/>
  <c r="R499" i="4" s="1"/>
  <c r="I499" i="4"/>
  <c r="H499" i="4"/>
  <c r="G499" i="4"/>
  <c r="F499" i="4"/>
  <c r="E499" i="4"/>
  <c r="C499" i="4"/>
  <c r="B499" i="4"/>
  <c r="A499" i="4"/>
  <c r="K498" i="4"/>
  <c r="J498" i="4"/>
  <c r="I498" i="4"/>
  <c r="H498" i="4"/>
  <c r="G498" i="4"/>
  <c r="F498" i="4"/>
  <c r="E498" i="4"/>
  <c r="S498" i="4" s="1"/>
  <c r="C498" i="4"/>
  <c r="B498" i="4"/>
  <c r="A498" i="4"/>
  <c r="R497" i="4"/>
  <c r="K497" i="4"/>
  <c r="J497" i="4"/>
  <c r="I497" i="4"/>
  <c r="H497" i="4"/>
  <c r="G497" i="4"/>
  <c r="F497" i="4"/>
  <c r="E497" i="4"/>
  <c r="S497" i="4" s="1"/>
  <c r="D497" i="4"/>
  <c r="C497" i="4"/>
  <c r="B497" i="4"/>
  <c r="A497" i="4"/>
  <c r="O496" i="4"/>
  <c r="J496" i="4"/>
  <c r="I496" i="4"/>
  <c r="H496" i="4"/>
  <c r="G496" i="4"/>
  <c r="F496" i="4"/>
  <c r="E496" i="4"/>
  <c r="C496" i="4"/>
  <c r="B496" i="4"/>
  <c r="A496" i="4"/>
  <c r="S495" i="4"/>
  <c r="O495" i="4"/>
  <c r="J495" i="4"/>
  <c r="I495" i="4"/>
  <c r="H495" i="4"/>
  <c r="G495" i="4"/>
  <c r="F495" i="4"/>
  <c r="R495" i="4" s="1"/>
  <c r="E495" i="4"/>
  <c r="D495" i="4"/>
  <c r="C495" i="4"/>
  <c r="B495" i="4"/>
  <c r="A495" i="4"/>
  <c r="J494" i="4"/>
  <c r="I494" i="4"/>
  <c r="H494" i="4"/>
  <c r="G494" i="4"/>
  <c r="F494" i="4"/>
  <c r="S494" i="4" s="1"/>
  <c r="E494" i="4"/>
  <c r="D494" i="4"/>
  <c r="C494" i="4"/>
  <c r="B494" i="4"/>
  <c r="A494" i="4"/>
  <c r="K493" i="4"/>
  <c r="J493" i="4"/>
  <c r="I493" i="4"/>
  <c r="H493" i="4"/>
  <c r="G493" i="4"/>
  <c r="F493" i="4"/>
  <c r="E493" i="4"/>
  <c r="C493" i="4"/>
  <c r="B493" i="4"/>
  <c r="A493" i="4"/>
  <c r="O492" i="4"/>
  <c r="K492" i="4"/>
  <c r="J492" i="4"/>
  <c r="I492" i="4"/>
  <c r="H492" i="4"/>
  <c r="G492" i="4"/>
  <c r="D492" i="4" s="1"/>
  <c r="F492" i="4"/>
  <c r="E492" i="4"/>
  <c r="S492" i="4" s="1"/>
  <c r="C492" i="4"/>
  <c r="B492" i="4"/>
  <c r="A492" i="4"/>
  <c r="O491" i="4"/>
  <c r="J491" i="4"/>
  <c r="I491" i="4"/>
  <c r="H491" i="4"/>
  <c r="G491" i="4"/>
  <c r="F491" i="4"/>
  <c r="E491" i="4"/>
  <c r="C491" i="4"/>
  <c r="B491" i="4"/>
  <c r="A491" i="4"/>
  <c r="O490" i="4"/>
  <c r="J490" i="4"/>
  <c r="I490" i="4"/>
  <c r="H490" i="4"/>
  <c r="G490" i="4"/>
  <c r="F490" i="4"/>
  <c r="R490" i="4" s="1"/>
  <c r="E490" i="4"/>
  <c r="C490" i="4"/>
  <c r="B490" i="4"/>
  <c r="A490" i="4"/>
  <c r="O489" i="4"/>
  <c r="K489" i="4"/>
  <c r="J489" i="4"/>
  <c r="I489" i="4"/>
  <c r="H489" i="4"/>
  <c r="G489" i="4"/>
  <c r="F489" i="4"/>
  <c r="E489" i="4"/>
  <c r="D489" i="4" s="1"/>
  <c r="C489" i="4"/>
  <c r="B489" i="4"/>
  <c r="A489" i="4"/>
  <c r="K488" i="4"/>
  <c r="R488" i="4" s="1"/>
  <c r="J488" i="4"/>
  <c r="I488" i="4"/>
  <c r="H488" i="4"/>
  <c r="G488" i="4"/>
  <c r="F488" i="4"/>
  <c r="E488" i="4"/>
  <c r="C488" i="4"/>
  <c r="B488" i="4"/>
  <c r="A488" i="4"/>
  <c r="S487" i="4"/>
  <c r="R487" i="4"/>
  <c r="J487" i="4"/>
  <c r="I487" i="4"/>
  <c r="H487" i="4"/>
  <c r="G487" i="4"/>
  <c r="F487" i="4"/>
  <c r="E487" i="4"/>
  <c r="D487" i="4" s="1"/>
  <c r="C487" i="4"/>
  <c r="B487" i="4"/>
  <c r="A487" i="4"/>
  <c r="S486" i="4"/>
  <c r="R486" i="4"/>
  <c r="O486" i="4"/>
  <c r="K486" i="4"/>
  <c r="J486" i="4"/>
  <c r="D486" i="4" s="1"/>
  <c r="I486" i="4"/>
  <c r="H486" i="4"/>
  <c r="G486" i="4"/>
  <c r="F486" i="4"/>
  <c r="E486" i="4"/>
  <c r="C486" i="4"/>
  <c r="B486" i="4"/>
  <c r="A486" i="4"/>
  <c r="L485" i="4"/>
  <c r="J485" i="4"/>
  <c r="I485" i="4"/>
  <c r="H485" i="4"/>
  <c r="G485" i="4"/>
  <c r="F485" i="4"/>
  <c r="E485" i="4"/>
  <c r="C485" i="4"/>
  <c r="B485" i="4"/>
  <c r="A485" i="4"/>
  <c r="K484" i="4"/>
  <c r="S484" i="4" s="1"/>
  <c r="J484" i="4"/>
  <c r="I484" i="4"/>
  <c r="H484" i="4"/>
  <c r="G484" i="4"/>
  <c r="F484" i="4"/>
  <c r="E484" i="4"/>
  <c r="C484" i="4"/>
  <c r="B484" i="4"/>
  <c r="A484" i="4"/>
  <c r="O483" i="4"/>
  <c r="L483" i="4"/>
  <c r="K483" i="4"/>
  <c r="J483" i="4"/>
  <c r="I483" i="4"/>
  <c r="H483" i="4"/>
  <c r="G483" i="4"/>
  <c r="F483" i="4"/>
  <c r="E483" i="4"/>
  <c r="C483" i="4"/>
  <c r="B483" i="4"/>
  <c r="A483" i="4"/>
  <c r="J482" i="4"/>
  <c r="I482" i="4"/>
  <c r="H482" i="4"/>
  <c r="G482" i="4"/>
  <c r="F482" i="4"/>
  <c r="E482" i="4"/>
  <c r="C482" i="4"/>
  <c r="B482" i="4"/>
  <c r="A482" i="4"/>
  <c r="J481" i="4"/>
  <c r="I481" i="4"/>
  <c r="H481" i="4"/>
  <c r="G481" i="4"/>
  <c r="F481" i="4"/>
  <c r="E481" i="4"/>
  <c r="C481" i="4"/>
  <c r="B481" i="4"/>
  <c r="A481" i="4"/>
  <c r="J480" i="4"/>
  <c r="I480" i="4"/>
  <c r="H480" i="4"/>
  <c r="G480" i="4"/>
  <c r="F480" i="4"/>
  <c r="E480" i="4"/>
  <c r="C480" i="4"/>
  <c r="B480" i="4"/>
  <c r="A480" i="4"/>
  <c r="J479" i="4"/>
  <c r="I479" i="4"/>
  <c r="H479" i="4"/>
  <c r="G479" i="4"/>
  <c r="F479" i="4"/>
  <c r="E479" i="4"/>
  <c r="C479" i="4"/>
  <c r="B479" i="4"/>
  <c r="A479" i="4"/>
  <c r="J478" i="4"/>
  <c r="I478" i="4"/>
  <c r="H478" i="4"/>
  <c r="G478" i="4"/>
  <c r="F478" i="4"/>
  <c r="E478" i="4"/>
  <c r="C478" i="4"/>
  <c r="B478" i="4"/>
  <c r="A478" i="4"/>
  <c r="J477" i="4"/>
  <c r="I477" i="4"/>
  <c r="H477" i="4"/>
  <c r="G477" i="4"/>
  <c r="F477" i="4"/>
  <c r="E477" i="4"/>
  <c r="C477" i="4"/>
  <c r="B477" i="4"/>
  <c r="A477" i="4"/>
  <c r="J476" i="4"/>
  <c r="I476" i="4"/>
  <c r="H476" i="4"/>
  <c r="G476" i="4"/>
  <c r="F476" i="4"/>
  <c r="E476" i="4"/>
  <c r="C476" i="4"/>
  <c r="B476" i="4"/>
  <c r="A476" i="4"/>
  <c r="J475" i="4"/>
  <c r="I475" i="4"/>
  <c r="H475" i="4"/>
  <c r="G475" i="4"/>
  <c r="F475" i="4"/>
  <c r="E475" i="4"/>
  <c r="C475" i="4"/>
  <c r="B475" i="4"/>
  <c r="A475" i="4"/>
  <c r="J474" i="4"/>
  <c r="I474" i="4"/>
  <c r="H474" i="4"/>
  <c r="G474" i="4"/>
  <c r="F474" i="4"/>
  <c r="E474" i="4"/>
  <c r="C474" i="4"/>
  <c r="B474" i="4"/>
  <c r="A474" i="4"/>
  <c r="J473" i="4"/>
  <c r="I473" i="4"/>
  <c r="H473" i="4"/>
  <c r="G473" i="4"/>
  <c r="F473" i="4"/>
  <c r="E473" i="4"/>
  <c r="C473" i="4"/>
  <c r="B473" i="4"/>
  <c r="A473" i="4"/>
  <c r="J472" i="4"/>
  <c r="I472" i="4"/>
  <c r="H472" i="4"/>
  <c r="G472" i="4"/>
  <c r="F472" i="4"/>
  <c r="E472" i="4"/>
  <c r="C472" i="4"/>
  <c r="B472" i="4"/>
  <c r="A472" i="4"/>
  <c r="J471" i="4"/>
  <c r="I471" i="4"/>
  <c r="H471" i="4"/>
  <c r="G471" i="4"/>
  <c r="F471" i="4"/>
  <c r="E471" i="4"/>
  <c r="C471" i="4"/>
  <c r="B471" i="4"/>
  <c r="A471" i="4"/>
  <c r="J470" i="4"/>
  <c r="I470" i="4"/>
  <c r="H470" i="4"/>
  <c r="G470" i="4"/>
  <c r="F470" i="4"/>
  <c r="E470" i="4"/>
  <c r="C470" i="4"/>
  <c r="B470" i="4"/>
  <c r="A470" i="4"/>
  <c r="J469" i="4"/>
  <c r="I469" i="4"/>
  <c r="H469" i="4"/>
  <c r="G469" i="4"/>
  <c r="F469" i="4"/>
  <c r="E469" i="4"/>
  <c r="C469" i="4"/>
  <c r="B469" i="4"/>
  <c r="A469" i="4"/>
  <c r="J468" i="4"/>
  <c r="I468" i="4"/>
  <c r="H468" i="4"/>
  <c r="G468" i="4"/>
  <c r="F468" i="4"/>
  <c r="E468" i="4"/>
  <c r="C468" i="4"/>
  <c r="B468" i="4"/>
  <c r="A468" i="4"/>
  <c r="J467" i="4"/>
  <c r="I467" i="4"/>
  <c r="H467" i="4"/>
  <c r="G467" i="4"/>
  <c r="F467" i="4"/>
  <c r="E467" i="4"/>
  <c r="C467" i="4"/>
  <c r="B467" i="4"/>
  <c r="A467" i="4"/>
  <c r="J466" i="4"/>
  <c r="I466" i="4"/>
  <c r="H466" i="4"/>
  <c r="G466" i="4"/>
  <c r="F466" i="4"/>
  <c r="E466" i="4"/>
  <c r="C466" i="4"/>
  <c r="B466" i="4"/>
  <c r="A466" i="4"/>
  <c r="N465" i="4"/>
  <c r="M465" i="4"/>
  <c r="J465" i="4"/>
  <c r="I465" i="4"/>
  <c r="H465" i="4"/>
  <c r="G465" i="4"/>
  <c r="D465" i="4" s="1"/>
  <c r="F465" i="4"/>
  <c r="E465" i="4"/>
  <c r="C465" i="4"/>
  <c r="B465" i="4"/>
  <c r="A465" i="4"/>
  <c r="P464" i="4"/>
  <c r="N464" i="4"/>
  <c r="M464" i="4"/>
  <c r="J464" i="4"/>
  <c r="I464" i="4"/>
  <c r="H464" i="4"/>
  <c r="G464" i="4"/>
  <c r="F464" i="4"/>
  <c r="E464" i="4"/>
  <c r="C464" i="4"/>
  <c r="B464" i="4"/>
  <c r="A464" i="4"/>
  <c r="R463" i="4"/>
  <c r="P463" i="4"/>
  <c r="N463" i="4"/>
  <c r="M463" i="4"/>
  <c r="J463" i="4"/>
  <c r="I463" i="4"/>
  <c r="H463" i="4"/>
  <c r="G463" i="4"/>
  <c r="F463" i="4"/>
  <c r="E463" i="4"/>
  <c r="C463" i="4"/>
  <c r="B463" i="4"/>
  <c r="A463" i="4"/>
  <c r="S462" i="4"/>
  <c r="K462" i="4"/>
  <c r="J462" i="4"/>
  <c r="R462" i="4" s="1"/>
  <c r="I462" i="4"/>
  <c r="D462" i="4" s="1"/>
  <c r="H462" i="4"/>
  <c r="G462" i="4"/>
  <c r="F462" i="4"/>
  <c r="E462" i="4"/>
  <c r="C462" i="4"/>
  <c r="B462" i="4"/>
  <c r="A462" i="4"/>
  <c r="K461" i="4"/>
  <c r="J461" i="4"/>
  <c r="I461" i="4"/>
  <c r="H461" i="4"/>
  <c r="G461" i="4"/>
  <c r="F461" i="4"/>
  <c r="E461" i="4"/>
  <c r="C461" i="4"/>
  <c r="B461" i="4"/>
  <c r="A461" i="4"/>
  <c r="S460" i="4"/>
  <c r="R460" i="4"/>
  <c r="K460" i="4"/>
  <c r="J460" i="4"/>
  <c r="I460" i="4"/>
  <c r="H460" i="4"/>
  <c r="G460" i="4"/>
  <c r="F460" i="4"/>
  <c r="E460" i="4"/>
  <c r="D460" i="4"/>
  <c r="C460" i="4"/>
  <c r="B460" i="4"/>
  <c r="A460" i="4"/>
  <c r="S459" i="4"/>
  <c r="O459" i="4"/>
  <c r="J459" i="4"/>
  <c r="I459" i="4"/>
  <c r="H459" i="4"/>
  <c r="G459" i="4"/>
  <c r="F459" i="4"/>
  <c r="E459" i="4"/>
  <c r="R459" i="4" s="1"/>
  <c r="D459" i="4"/>
  <c r="C459" i="4"/>
  <c r="B459" i="4"/>
  <c r="A459" i="4"/>
  <c r="O458" i="4"/>
  <c r="J458" i="4"/>
  <c r="I458" i="4"/>
  <c r="H458" i="4"/>
  <c r="G458" i="4"/>
  <c r="F458" i="4"/>
  <c r="E458" i="4"/>
  <c r="C458" i="4"/>
  <c r="B458" i="4"/>
  <c r="A458" i="4"/>
  <c r="J457" i="4"/>
  <c r="I457" i="4"/>
  <c r="H457" i="4"/>
  <c r="G457" i="4"/>
  <c r="F457" i="4"/>
  <c r="E457" i="4"/>
  <c r="C457" i="4"/>
  <c r="B457" i="4"/>
  <c r="A457" i="4"/>
  <c r="K456" i="4"/>
  <c r="J456" i="4"/>
  <c r="I456" i="4"/>
  <c r="H456" i="4"/>
  <c r="G456" i="4"/>
  <c r="F456" i="4"/>
  <c r="E456" i="4"/>
  <c r="D456" i="4" s="1"/>
  <c r="C456" i="4"/>
  <c r="B456" i="4"/>
  <c r="A456" i="4"/>
  <c r="O455" i="4"/>
  <c r="K455" i="4"/>
  <c r="J455" i="4"/>
  <c r="I455" i="4"/>
  <c r="H455" i="4"/>
  <c r="G455" i="4"/>
  <c r="F455" i="4"/>
  <c r="E455" i="4"/>
  <c r="C455" i="4"/>
  <c r="B455" i="4"/>
  <c r="A455" i="4"/>
  <c r="O454" i="4"/>
  <c r="J454" i="4"/>
  <c r="I454" i="4"/>
  <c r="H454" i="4"/>
  <c r="G454" i="4"/>
  <c r="F454" i="4"/>
  <c r="E454" i="4"/>
  <c r="D454" i="4" s="1"/>
  <c r="C454" i="4"/>
  <c r="B454" i="4"/>
  <c r="A454" i="4"/>
  <c r="O453" i="4"/>
  <c r="J453" i="4"/>
  <c r="I453" i="4"/>
  <c r="H453" i="4"/>
  <c r="G453" i="4"/>
  <c r="F453" i="4"/>
  <c r="E453" i="4"/>
  <c r="C453" i="4"/>
  <c r="B453" i="4"/>
  <c r="A453" i="4"/>
  <c r="O452" i="4"/>
  <c r="R452" i="4" s="1"/>
  <c r="K452" i="4"/>
  <c r="J452" i="4"/>
  <c r="I452" i="4"/>
  <c r="H452" i="4"/>
  <c r="G452" i="4"/>
  <c r="F452" i="4"/>
  <c r="E452" i="4"/>
  <c r="C452" i="4"/>
  <c r="B452" i="4"/>
  <c r="A452" i="4"/>
  <c r="S451" i="4"/>
  <c r="K451" i="4"/>
  <c r="J451" i="4"/>
  <c r="R451" i="4" s="1"/>
  <c r="I451" i="4"/>
  <c r="H451" i="4"/>
  <c r="G451" i="4"/>
  <c r="F451" i="4"/>
  <c r="E451" i="4"/>
  <c r="C451" i="4"/>
  <c r="B451" i="4"/>
  <c r="A451" i="4"/>
  <c r="J450" i="4"/>
  <c r="I450" i="4"/>
  <c r="D450" i="4" s="1"/>
  <c r="H450" i="4"/>
  <c r="G450" i="4"/>
  <c r="F450" i="4"/>
  <c r="E450" i="4"/>
  <c r="C450" i="4"/>
  <c r="B450" i="4"/>
  <c r="A450" i="4"/>
  <c r="O449" i="4"/>
  <c r="R449" i="4" s="1"/>
  <c r="K449" i="4"/>
  <c r="J449" i="4"/>
  <c r="I449" i="4"/>
  <c r="H449" i="4"/>
  <c r="G449" i="4"/>
  <c r="F449" i="4"/>
  <c r="E449" i="4"/>
  <c r="C449" i="4"/>
  <c r="B449" i="4"/>
  <c r="A449" i="4"/>
  <c r="S448" i="4"/>
  <c r="L448" i="4"/>
  <c r="J448" i="4"/>
  <c r="I448" i="4"/>
  <c r="H448" i="4"/>
  <c r="G448" i="4"/>
  <c r="F448" i="4"/>
  <c r="E448" i="4"/>
  <c r="R448" i="4" s="1"/>
  <c r="C448" i="4"/>
  <c r="B448" i="4"/>
  <c r="A448" i="4"/>
  <c r="K447" i="4"/>
  <c r="J447" i="4"/>
  <c r="I447" i="4"/>
  <c r="H447" i="4"/>
  <c r="G447" i="4"/>
  <c r="F447" i="4"/>
  <c r="E447" i="4"/>
  <c r="D447" i="4"/>
  <c r="C447" i="4"/>
  <c r="B447" i="4"/>
  <c r="A447" i="4"/>
  <c r="O446" i="4"/>
  <c r="L446" i="4"/>
  <c r="K446" i="4"/>
  <c r="J446" i="4"/>
  <c r="I446" i="4"/>
  <c r="H446" i="4"/>
  <c r="G446" i="4"/>
  <c r="F446" i="4"/>
  <c r="E446" i="4"/>
  <c r="C446" i="4"/>
  <c r="B446" i="4"/>
  <c r="A446" i="4"/>
  <c r="J445" i="4"/>
  <c r="I445" i="4"/>
  <c r="H445" i="4"/>
  <c r="G445" i="4"/>
  <c r="F445" i="4"/>
  <c r="E445" i="4"/>
  <c r="C445" i="4"/>
  <c r="B445" i="4"/>
  <c r="A445" i="4"/>
  <c r="J444" i="4"/>
  <c r="I444" i="4"/>
  <c r="H444" i="4"/>
  <c r="G444" i="4"/>
  <c r="F444" i="4"/>
  <c r="E444" i="4"/>
  <c r="C444" i="4"/>
  <c r="B444" i="4"/>
  <c r="A444" i="4"/>
  <c r="J443" i="4"/>
  <c r="I443" i="4"/>
  <c r="H443" i="4"/>
  <c r="G443" i="4"/>
  <c r="F443" i="4"/>
  <c r="E443" i="4"/>
  <c r="C443" i="4"/>
  <c r="B443" i="4"/>
  <c r="A443" i="4"/>
  <c r="J442" i="4"/>
  <c r="I442" i="4"/>
  <c r="H442" i="4"/>
  <c r="G442" i="4"/>
  <c r="F442" i="4"/>
  <c r="E442" i="4"/>
  <c r="C442" i="4"/>
  <c r="B442" i="4"/>
  <c r="A442" i="4"/>
  <c r="J441" i="4"/>
  <c r="I441" i="4"/>
  <c r="H441" i="4"/>
  <c r="G441" i="4"/>
  <c r="F441" i="4"/>
  <c r="E441" i="4"/>
  <c r="C441" i="4"/>
  <c r="B441" i="4"/>
  <c r="A441" i="4"/>
  <c r="J440" i="4"/>
  <c r="I440" i="4"/>
  <c r="H440" i="4"/>
  <c r="G440" i="4"/>
  <c r="F440" i="4"/>
  <c r="E440" i="4"/>
  <c r="C440" i="4"/>
  <c r="B440" i="4"/>
  <c r="A440" i="4"/>
  <c r="J439" i="4"/>
  <c r="I439" i="4"/>
  <c r="H439" i="4"/>
  <c r="G439" i="4"/>
  <c r="F439" i="4"/>
  <c r="R439" i="4" s="1"/>
  <c r="E439" i="4"/>
  <c r="C439" i="4"/>
  <c r="B439" i="4"/>
  <c r="A439" i="4"/>
  <c r="J438" i="4"/>
  <c r="I438" i="4"/>
  <c r="R438" i="4" s="1"/>
  <c r="H438" i="4"/>
  <c r="G438" i="4"/>
  <c r="F438" i="4"/>
  <c r="E438" i="4"/>
  <c r="C438" i="4"/>
  <c r="B438" i="4"/>
  <c r="A438" i="4"/>
  <c r="R437" i="4"/>
  <c r="J437" i="4"/>
  <c r="I437" i="4"/>
  <c r="H437" i="4"/>
  <c r="G437" i="4"/>
  <c r="F437" i="4"/>
  <c r="E437" i="4"/>
  <c r="C437" i="4"/>
  <c r="B437" i="4"/>
  <c r="A437" i="4"/>
  <c r="J436" i="4"/>
  <c r="I436" i="4"/>
  <c r="H436" i="4"/>
  <c r="G436" i="4"/>
  <c r="F436" i="4"/>
  <c r="E436" i="4"/>
  <c r="C436" i="4"/>
  <c r="B436" i="4"/>
  <c r="A436" i="4"/>
  <c r="J435" i="4"/>
  <c r="I435" i="4"/>
  <c r="H435" i="4"/>
  <c r="G435" i="4"/>
  <c r="F435" i="4"/>
  <c r="E435" i="4"/>
  <c r="R435" i="4" s="1"/>
  <c r="C435" i="4"/>
  <c r="B435" i="4"/>
  <c r="A435" i="4"/>
  <c r="J434" i="4"/>
  <c r="I434" i="4"/>
  <c r="H434" i="4"/>
  <c r="G434" i="4"/>
  <c r="F434" i="4"/>
  <c r="E434" i="4"/>
  <c r="C434" i="4"/>
  <c r="B434" i="4"/>
  <c r="A434" i="4"/>
  <c r="J433" i="4"/>
  <c r="I433" i="4"/>
  <c r="H433" i="4"/>
  <c r="G433" i="4"/>
  <c r="F433" i="4"/>
  <c r="R433" i="4" s="1"/>
  <c r="E433" i="4"/>
  <c r="C433" i="4"/>
  <c r="B433" i="4"/>
  <c r="A433" i="4"/>
  <c r="J432" i="4"/>
  <c r="I432" i="4"/>
  <c r="R432" i="4" s="1"/>
  <c r="H432" i="4"/>
  <c r="G432" i="4"/>
  <c r="F432" i="4"/>
  <c r="E432" i="4"/>
  <c r="C432" i="4"/>
  <c r="B432" i="4"/>
  <c r="A432" i="4"/>
  <c r="R431" i="4"/>
  <c r="J431" i="4"/>
  <c r="I431" i="4"/>
  <c r="H431" i="4"/>
  <c r="G431" i="4"/>
  <c r="F431" i="4"/>
  <c r="E431" i="4"/>
  <c r="C431" i="4"/>
  <c r="B431" i="4"/>
  <c r="A431" i="4"/>
  <c r="J430" i="4"/>
  <c r="I430" i="4"/>
  <c r="H430" i="4"/>
  <c r="G430" i="4"/>
  <c r="F430" i="4"/>
  <c r="E430" i="4"/>
  <c r="R430" i="4" s="1"/>
  <c r="C430" i="4"/>
  <c r="B430" i="4"/>
  <c r="A430" i="4"/>
  <c r="J429" i="4"/>
  <c r="I429" i="4"/>
  <c r="H429" i="4"/>
  <c r="G429" i="4"/>
  <c r="F429" i="4"/>
  <c r="E429" i="4"/>
  <c r="C429" i="4"/>
  <c r="B429" i="4"/>
  <c r="A429" i="4"/>
  <c r="N428" i="4"/>
  <c r="M428" i="4"/>
  <c r="J428" i="4"/>
  <c r="I428" i="4"/>
  <c r="H428" i="4"/>
  <c r="G428" i="4"/>
  <c r="F428" i="4"/>
  <c r="R428" i="4" s="1"/>
  <c r="E428" i="4"/>
  <c r="C428" i="4"/>
  <c r="B428" i="4"/>
  <c r="A428" i="4"/>
  <c r="P427" i="4"/>
  <c r="N427" i="4"/>
  <c r="M427" i="4"/>
  <c r="J427" i="4"/>
  <c r="I427" i="4"/>
  <c r="H427" i="4"/>
  <c r="G427" i="4"/>
  <c r="F427" i="4"/>
  <c r="E427" i="4"/>
  <c r="C427" i="4"/>
  <c r="B427" i="4"/>
  <c r="A427" i="4"/>
  <c r="R426" i="4"/>
  <c r="P426" i="4"/>
  <c r="N426" i="4"/>
  <c r="M426" i="4"/>
  <c r="J426" i="4"/>
  <c r="I426" i="4"/>
  <c r="H426" i="4"/>
  <c r="G426" i="4"/>
  <c r="F426" i="4"/>
  <c r="E426" i="4"/>
  <c r="C426" i="4"/>
  <c r="B426" i="4"/>
  <c r="A426" i="4"/>
  <c r="S425" i="4"/>
  <c r="K425" i="4"/>
  <c r="J425" i="4"/>
  <c r="I425" i="4"/>
  <c r="H425" i="4"/>
  <c r="G425" i="4"/>
  <c r="F425" i="4"/>
  <c r="E425" i="4"/>
  <c r="D425" i="4"/>
  <c r="C425" i="4"/>
  <c r="B425" i="4"/>
  <c r="A425" i="4"/>
  <c r="K424" i="4"/>
  <c r="J424" i="4"/>
  <c r="I424" i="4"/>
  <c r="H424" i="4"/>
  <c r="G424" i="4"/>
  <c r="F424" i="4"/>
  <c r="E424" i="4"/>
  <c r="D424" i="4" s="1"/>
  <c r="C424" i="4"/>
  <c r="B424" i="4"/>
  <c r="A424" i="4"/>
  <c r="K423" i="4"/>
  <c r="J423" i="4"/>
  <c r="I423" i="4"/>
  <c r="H423" i="4"/>
  <c r="G423" i="4"/>
  <c r="F423" i="4"/>
  <c r="D423" i="4" s="1"/>
  <c r="E423" i="4"/>
  <c r="C423" i="4"/>
  <c r="B423" i="4"/>
  <c r="A423" i="4"/>
  <c r="O422" i="4"/>
  <c r="J422" i="4"/>
  <c r="I422" i="4"/>
  <c r="H422" i="4"/>
  <c r="G422" i="4"/>
  <c r="F422" i="4"/>
  <c r="E422" i="4"/>
  <c r="D422" i="4" s="1"/>
  <c r="C422" i="4"/>
  <c r="B422" i="4"/>
  <c r="A422" i="4"/>
  <c r="O421" i="4"/>
  <c r="J421" i="4"/>
  <c r="I421" i="4"/>
  <c r="H421" i="4"/>
  <c r="G421" i="4"/>
  <c r="F421" i="4"/>
  <c r="R421" i="4" s="1"/>
  <c r="E421" i="4"/>
  <c r="C421" i="4"/>
  <c r="B421" i="4"/>
  <c r="A421" i="4"/>
  <c r="J420" i="4"/>
  <c r="I420" i="4"/>
  <c r="S420" i="4" s="1"/>
  <c r="H420" i="4"/>
  <c r="G420" i="4"/>
  <c r="F420" i="4"/>
  <c r="E420" i="4"/>
  <c r="C420" i="4"/>
  <c r="B420" i="4"/>
  <c r="A420" i="4"/>
  <c r="K419" i="4"/>
  <c r="J419" i="4"/>
  <c r="I419" i="4"/>
  <c r="H419" i="4"/>
  <c r="G419" i="4"/>
  <c r="F419" i="4"/>
  <c r="E419" i="4"/>
  <c r="C419" i="4"/>
  <c r="B419" i="4"/>
  <c r="A419" i="4"/>
  <c r="O418" i="4"/>
  <c r="K418" i="4"/>
  <c r="J418" i="4"/>
  <c r="R418" i="4" s="1"/>
  <c r="I418" i="4"/>
  <c r="H418" i="4"/>
  <c r="G418" i="4"/>
  <c r="F418" i="4"/>
  <c r="E418" i="4"/>
  <c r="C418" i="4"/>
  <c r="B418" i="4"/>
  <c r="A418" i="4"/>
  <c r="O417" i="4"/>
  <c r="J417" i="4"/>
  <c r="I417" i="4"/>
  <c r="H417" i="4"/>
  <c r="G417" i="4"/>
  <c r="F417" i="4"/>
  <c r="E417" i="4"/>
  <c r="C417" i="4"/>
  <c r="B417" i="4"/>
  <c r="A417" i="4"/>
  <c r="R416" i="4"/>
  <c r="O416" i="4"/>
  <c r="S416" i="4" s="1"/>
  <c r="J416" i="4"/>
  <c r="D416" i="4" s="1"/>
  <c r="I416" i="4"/>
  <c r="H416" i="4"/>
  <c r="G416" i="4"/>
  <c r="F416" i="4"/>
  <c r="E416" i="4"/>
  <c r="C416" i="4"/>
  <c r="B416" i="4"/>
  <c r="A416" i="4"/>
  <c r="S415" i="4"/>
  <c r="R415" i="4"/>
  <c r="O415" i="4"/>
  <c r="K415" i="4"/>
  <c r="J415" i="4"/>
  <c r="I415" i="4"/>
  <c r="H415" i="4"/>
  <c r="G415" i="4"/>
  <c r="F415" i="4"/>
  <c r="E415" i="4"/>
  <c r="D415" i="4"/>
  <c r="C415" i="4"/>
  <c r="B415" i="4"/>
  <c r="A415" i="4"/>
  <c r="S414" i="4"/>
  <c r="K414" i="4"/>
  <c r="J414" i="4"/>
  <c r="I414" i="4"/>
  <c r="H414" i="4"/>
  <c r="G414" i="4"/>
  <c r="F414" i="4"/>
  <c r="E414" i="4"/>
  <c r="D414" i="4"/>
  <c r="C414" i="4"/>
  <c r="B414" i="4"/>
  <c r="A414" i="4"/>
  <c r="J413" i="4"/>
  <c r="I413" i="4"/>
  <c r="H413" i="4"/>
  <c r="G413" i="4"/>
  <c r="F413" i="4"/>
  <c r="D413" i="4" s="1"/>
  <c r="E413" i="4"/>
  <c r="C413" i="4"/>
  <c r="B413" i="4"/>
  <c r="A413" i="4"/>
  <c r="O412" i="4"/>
  <c r="K412" i="4"/>
  <c r="J412" i="4"/>
  <c r="I412" i="4"/>
  <c r="H412" i="4"/>
  <c r="G412" i="4"/>
  <c r="F412" i="4"/>
  <c r="D412" i="4" s="1"/>
  <c r="E412" i="4"/>
  <c r="C412" i="4"/>
  <c r="B412" i="4"/>
  <c r="A412" i="4"/>
  <c r="L411" i="4"/>
  <c r="J411" i="4"/>
  <c r="I411" i="4"/>
  <c r="H411" i="4"/>
  <c r="G411" i="4"/>
  <c r="F411" i="4"/>
  <c r="E411" i="4"/>
  <c r="D411" i="4" s="1"/>
  <c r="C411" i="4"/>
  <c r="B411" i="4"/>
  <c r="A411" i="4"/>
  <c r="K410" i="4"/>
  <c r="J410" i="4"/>
  <c r="I410" i="4"/>
  <c r="H410" i="4"/>
  <c r="G410" i="4"/>
  <c r="F410" i="4"/>
  <c r="E410" i="4"/>
  <c r="C410" i="4"/>
  <c r="B410" i="4"/>
  <c r="A410" i="4"/>
  <c r="O409" i="4"/>
  <c r="L409" i="4"/>
  <c r="K409" i="4"/>
  <c r="J409" i="4"/>
  <c r="I409" i="4"/>
  <c r="H409" i="4"/>
  <c r="G409" i="4"/>
  <c r="F409" i="4"/>
  <c r="E409" i="4"/>
  <c r="C409" i="4"/>
  <c r="B409" i="4"/>
  <c r="A409" i="4"/>
  <c r="S408" i="4"/>
  <c r="R408" i="4"/>
  <c r="J408" i="4"/>
  <c r="I408" i="4"/>
  <c r="H408" i="4"/>
  <c r="G408" i="4"/>
  <c r="F408" i="4"/>
  <c r="E408" i="4"/>
  <c r="C408" i="4"/>
  <c r="B408" i="4"/>
  <c r="A408" i="4"/>
  <c r="J407" i="4"/>
  <c r="S407" i="4" s="1"/>
  <c r="I407" i="4"/>
  <c r="H407" i="4"/>
  <c r="G407" i="4"/>
  <c r="F407" i="4"/>
  <c r="E407" i="4"/>
  <c r="C407" i="4"/>
  <c r="B407" i="4"/>
  <c r="A407" i="4"/>
  <c r="J406" i="4"/>
  <c r="I406" i="4"/>
  <c r="H406" i="4"/>
  <c r="G406" i="4"/>
  <c r="F406" i="4"/>
  <c r="E406" i="4"/>
  <c r="C406" i="4"/>
  <c r="B406" i="4"/>
  <c r="A406" i="4"/>
  <c r="J405" i="4"/>
  <c r="I405" i="4"/>
  <c r="H405" i="4"/>
  <c r="G405" i="4"/>
  <c r="F405" i="4"/>
  <c r="E405" i="4"/>
  <c r="C405" i="4"/>
  <c r="B405" i="4"/>
  <c r="A405" i="4"/>
  <c r="J404" i="4"/>
  <c r="I404" i="4"/>
  <c r="H404" i="4"/>
  <c r="G404" i="4"/>
  <c r="F404" i="4"/>
  <c r="E404" i="4"/>
  <c r="C404" i="4"/>
  <c r="B404" i="4"/>
  <c r="A404" i="4"/>
  <c r="J403" i="4"/>
  <c r="I403" i="4"/>
  <c r="H403" i="4"/>
  <c r="S403" i="4" s="1"/>
  <c r="G403" i="4"/>
  <c r="F403" i="4"/>
  <c r="E403" i="4"/>
  <c r="C403" i="4"/>
  <c r="B403" i="4"/>
  <c r="A403" i="4"/>
  <c r="J402" i="4"/>
  <c r="I402" i="4"/>
  <c r="H402" i="4"/>
  <c r="S402" i="4" s="1"/>
  <c r="G402" i="4"/>
  <c r="F402" i="4"/>
  <c r="E402" i="4"/>
  <c r="D402" i="4" s="1"/>
  <c r="C402" i="4"/>
  <c r="B402" i="4"/>
  <c r="A402" i="4"/>
  <c r="S401" i="4"/>
  <c r="R401" i="4"/>
  <c r="J401" i="4"/>
  <c r="I401" i="4"/>
  <c r="H401" i="4"/>
  <c r="G401" i="4"/>
  <c r="F401" i="4"/>
  <c r="E401" i="4"/>
  <c r="D401" i="4" s="1"/>
  <c r="C401" i="4"/>
  <c r="B401" i="4"/>
  <c r="A401" i="4"/>
  <c r="S400" i="4"/>
  <c r="R400" i="4"/>
  <c r="J400" i="4"/>
  <c r="I400" i="4"/>
  <c r="H400" i="4"/>
  <c r="G400" i="4"/>
  <c r="F400" i="4"/>
  <c r="E400" i="4"/>
  <c r="D400" i="4" s="1"/>
  <c r="C400" i="4"/>
  <c r="B400" i="4"/>
  <c r="A400" i="4"/>
  <c r="J399" i="4"/>
  <c r="S399" i="4" s="1"/>
  <c r="I399" i="4"/>
  <c r="H399" i="4"/>
  <c r="G399" i="4"/>
  <c r="F399" i="4"/>
  <c r="E399" i="4"/>
  <c r="D399" i="4" s="1"/>
  <c r="C399" i="4"/>
  <c r="B399" i="4"/>
  <c r="A399" i="4"/>
  <c r="J398" i="4"/>
  <c r="I398" i="4"/>
  <c r="S398" i="4" s="1"/>
  <c r="H398" i="4"/>
  <c r="G398" i="4"/>
  <c r="F398" i="4"/>
  <c r="E398" i="4"/>
  <c r="C398" i="4"/>
  <c r="B398" i="4"/>
  <c r="A398" i="4"/>
  <c r="S397" i="4"/>
  <c r="J397" i="4"/>
  <c r="I397" i="4"/>
  <c r="H397" i="4"/>
  <c r="R397" i="4" s="1"/>
  <c r="G397" i="4"/>
  <c r="F397" i="4"/>
  <c r="E397" i="4"/>
  <c r="C397" i="4"/>
  <c r="B397" i="4"/>
  <c r="A397" i="4"/>
  <c r="S396" i="4"/>
  <c r="R396" i="4"/>
  <c r="J396" i="4"/>
  <c r="I396" i="4"/>
  <c r="H396" i="4"/>
  <c r="G396" i="4"/>
  <c r="F396" i="4"/>
  <c r="E396" i="4"/>
  <c r="C396" i="4"/>
  <c r="B396" i="4"/>
  <c r="A396" i="4"/>
  <c r="R395" i="4"/>
  <c r="J395" i="4"/>
  <c r="S395" i="4" s="1"/>
  <c r="I395" i="4"/>
  <c r="H395" i="4"/>
  <c r="G395" i="4"/>
  <c r="F395" i="4"/>
  <c r="E395" i="4"/>
  <c r="C395" i="4"/>
  <c r="B395" i="4"/>
  <c r="A395" i="4"/>
  <c r="J394" i="4"/>
  <c r="I394" i="4"/>
  <c r="H394" i="4"/>
  <c r="G394" i="4"/>
  <c r="F394" i="4"/>
  <c r="E394" i="4"/>
  <c r="C394" i="4"/>
  <c r="B394" i="4"/>
  <c r="A394" i="4"/>
  <c r="J393" i="4"/>
  <c r="I393" i="4"/>
  <c r="H393" i="4"/>
  <c r="G393" i="4"/>
  <c r="F393" i="4"/>
  <c r="E393" i="4"/>
  <c r="C393" i="4"/>
  <c r="B393" i="4"/>
  <c r="A393" i="4"/>
  <c r="J392" i="4"/>
  <c r="I392" i="4"/>
  <c r="H392" i="4"/>
  <c r="G392" i="4"/>
  <c r="F392" i="4"/>
  <c r="E392" i="4"/>
  <c r="C392" i="4"/>
  <c r="B392" i="4"/>
  <c r="A392" i="4"/>
  <c r="N391" i="4"/>
  <c r="M391" i="4"/>
  <c r="J391" i="4"/>
  <c r="D391" i="4" s="1"/>
  <c r="I391" i="4"/>
  <c r="H391" i="4"/>
  <c r="G391" i="4"/>
  <c r="F391" i="4"/>
  <c r="E391" i="4"/>
  <c r="S391" i="4" s="1"/>
  <c r="C391" i="4"/>
  <c r="B391" i="4"/>
  <c r="A391" i="4"/>
  <c r="R390" i="4"/>
  <c r="P390" i="4"/>
  <c r="N390" i="4"/>
  <c r="M390" i="4"/>
  <c r="J390" i="4"/>
  <c r="I390" i="4"/>
  <c r="H390" i="4"/>
  <c r="G390" i="4"/>
  <c r="F390" i="4"/>
  <c r="D390" i="4" s="1"/>
  <c r="E390" i="4"/>
  <c r="C390" i="4"/>
  <c r="B390" i="4"/>
  <c r="A390" i="4"/>
  <c r="P389" i="4"/>
  <c r="N389" i="4"/>
  <c r="M389" i="4"/>
  <c r="J389" i="4"/>
  <c r="I389" i="4"/>
  <c r="H389" i="4"/>
  <c r="G389" i="4"/>
  <c r="F389" i="4"/>
  <c r="E389" i="4"/>
  <c r="D389" i="4" s="1"/>
  <c r="C389" i="4"/>
  <c r="B389" i="4"/>
  <c r="A389" i="4"/>
  <c r="R388" i="4"/>
  <c r="K388" i="4"/>
  <c r="J388" i="4"/>
  <c r="I388" i="4"/>
  <c r="H388" i="4"/>
  <c r="G388" i="4"/>
  <c r="F388" i="4"/>
  <c r="E388" i="4"/>
  <c r="C388" i="4"/>
  <c r="B388" i="4"/>
  <c r="A388" i="4"/>
  <c r="S387" i="4"/>
  <c r="R387" i="4"/>
  <c r="K387" i="4"/>
  <c r="J387" i="4"/>
  <c r="I387" i="4"/>
  <c r="H387" i="4"/>
  <c r="G387" i="4"/>
  <c r="F387" i="4"/>
  <c r="E387" i="4"/>
  <c r="C387" i="4"/>
  <c r="B387" i="4"/>
  <c r="A387" i="4"/>
  <c r="S386" i="4"/>
  <c r="R386" i="4"/>
  <c r="K386" i="4"/>
  <c r="J386" i="4"/>
  <c r="I386" i="4"/>
  <c r="H386" i="4"/>
  <c r="G386" i="4"/>
  <c r="F386" i="4"/>
  <c r="E386" i="4"/>
  <c r="C386" i="4"/>
  <c r="B386" i="4"/>
  <c r="A386" i="4"/>
  <c r="S385" i="4"/>
  <c r="R385" i="4"/>
  <c r="O385" i="4"/>
  <c r="J385" i="4"/>
  <c r="I385" i="4"/>
  <c r="H385" i="4"/>
  <c r="G385" i="4"/>
  <c r="F385" i="4"/>
  <c r="E385" i="4"/>
  <c r="C385" i="4"/>
  <c r="B385" i="4"/>
  <c r="A385" i="4"/>
  <c r="S384" i="4"/>
  <c r="R384" i="4"/>
  <c r="O384" i="4"/>
  <c r="J384" i="4"/>
  <c r="I384" i="4"/>
  <c r="D384" i="4" s="1"/>
  <c r="H384" i="4"/>
  <c r="G384" i="4"/>
  <c r="F384" i="4"/>
  <c r="E384" i="4"/>
  <c r="C384" i="4"/>
  <c r="B384" i="4"/>
  <c r="A384" i="4"/>
  <c r="S383" i="4"/>
  <c r="R383" i="4"/>
  <c r="J383" i="4"/>
  <c r="I383" i="4"/>
  <c r="D383" i="4" s="1"/>
  <c r="H383" i="4"/>
  <c r="G383" i="4"/>
  <c r="F383" i="4"/>
  <c r="E383" i="4"/>
  <c r="C383" i="4"/>
  <c r="B383" i="4"/>
  <c r="A383" i="4"/>
  <c r="S382" i="4"/>
  <c r="R382" i="4"/>
  <c r="K382" i="4"/>
  <c r="J382" i="4"/>
  <c r="I382" i="4"/>
  <c r="H382" i="4"/>
  <c r="G382" i="4"/>
  <c r="F382" i="4"/>
  <c r="E382" i="4"/>
  <c r="D382" i="4"/>
  <c r="C382" i="4"/>
  <c r="B382" i="4"/>
  <c r="A382" i="4"/>
  <c r="O381" i="4"/>
  <c r="K381" i="4"/>
  <c r="J381" i="4"/>
  <c r="I381" i="4"/>
  <c r="H381" i="4"/>
  <c r="G381" i="4"/>
  <c r="F381" i="4"/>
  <c r="E381" i="4"/>
  <c r="S381" i="4" s="1"/>
  <c r="D381" i="4"/>
  <c r="C381" i="4"/>
  <c r="B381" i="4"/>
  <c r="A381" i="4"/>
  <c r="O380" i="4"/>
  <c r="J380" i="4"/>
  <c r="I380" i="4"/>
  <c r="H380" i="4"/>
  <c r="G380" i="4"/>
  <c r="F380" i="4"/>
  <c r="E380" i="4"/>
  <c r="D380" i="4"/>
  <c r="C380" i="4"/>
  <c r="B380" i="4"/>
  <c r="A380" i="4"/>
  <c r="O379" i="4"/>
  <c r="J379" i="4"/>
  <c r="I379" i="4"/>
  <c r="H379" i="4"/>
  <c r="G379" i="4"/>
  <c r="F379" i="4"/>
  <c r="E379" i="4"/>
  <c r="D379" i="4" s="1"/>
  <c r="C379" i="4"/>
  <c r="B379" i="4"/>
  <c r="A379" i="4"/>
  <c r="O378" i="4"/>
  <c r="K378" i="4"/>
  <c r="J378" i="4"/>
  <c r="I378" i="4"/>
  <c r="H378" i="4"/>
  <c r="G378" i="4"/>
  <c r="F378" i="4"/>
  <c r="E378" i="4"/>
  <c r="D378" i="4" s="1"/>
  <c r="C378" i="4"/>
  <c r="B378" i="4"/>
  <c r="A378" i="4"/>
  <c r="K377" i="4"/>
  <c r="J377" i="4"/>
  <c r="I377" i="4"/>
  <c r="H377" i="4"/>
  <c r="G377" i="4"/>
  <c r="F377" i="4"/>
  <c r="E377" i="4"/>
  <c r="C377" i="4"/>
  <c r="B377" i="4"/>
  <c r="A377" i="4"/>
  <c r="J376" i="4"/>
  <c r="I376" i="4"/>
  <c r="S376" i="4" s="1"/>
  <c r="H376" i="4"/>
  <c r="G376" i="4"/>
  <c r="F376" i="4"/>
  <c r="E376" i="4"/>
  <c r="C376" i="4"/>
  <c r="B376" i="4"/>
  <c r="A376" i="4"/>
  <c r="S375" i="4"/>
  <c r="O375" i="4"/>
  <c r="K375" i="4"/>
  <c r="J375" i="4"/>
  <c r="R375" i="4" s="1"/>
  <c r="I375" i="4"/>
  <c r="H375" i="4"/>
  <c r="G375" i="4"/>
  <c r="F375" i="4"/>
  <c r="E375" i="4"/>
  <c r="D375" i="4" s="1"/>
  <c r="C375" i="4"/>
  <c r="B375" i="4"/>
  <c r="A375" i="4"/>
  <c r="L374" i="4"/>
  <c r="J374" i="4"/>
  <c r="S374" i="4" s="1"/>
  <c r="I374" i="4"/>
  <c r="H374" i="4"/>
  <c r="G374" i="4"/>
  <c r="F374" i="4"/>
  <c r="E374" i="4"/>
  <c r="D374" i="4" s="1"/>
  <c r="C374" i="4"/>
  <c r="B374" i="4"/>
  <c r="A374" i="4"/>
  <c r="K373" i="4"/>
  <c r="J373" i="4"/>
  <c r="S373" i="4" s="1"/>
  <c r="I373" i="4"/>
  <c r="H373" i="4"/>
  <c r="G373" i="4"/>
  <c r="F373" i="4"/>
  <c r="E373" i="4"/>
  <c r="D373" i="4"/>
  <c r="C373" i="4"/>
  <c r="B373" i="4"/>
  <c r="A373" i="4"/>
  <c r="O372" i="4"/>
  <c r="L372" i="4"/>
  <c r="K372" i="4"/>
  <c r="J372" i="4"/>
  <c r="I372" i="4"/>
  <c r="H372" i="4"/>
  <c r="G372" i="4"/>
  <c r="F372" i="4"/>
  <c r="E372" i="4"/>
  <c r="C372" i="4"/>
  <c r="B372" i="4"/>
  <c r="A372" i="4"/>
  <c r="J371" i="4"/>
  <c r="I371" i="4"/>
  <c r="H371" i="4"/>
  <c r="G371" i="4"/>
  <c r="F371" i="4"/>
  <c r="E371" i="4"/>
  <c r="D371" i="4" s="1"/>
  <c r="C371" i="4"/>
  <c r="B371" i="4"/>
  <c r="A371" i="4"/>
  <c r="J370" i="4"/>
  <c r="I370" i="4"/>
  <c r="H370" i="4"/>
  <c r="G370" i="4"/>
  <c r="F370" i="4"/>
  <c r="E370" i="4"/>
  <c r="D370" i="4"/>
  <c r="C370" i="4"/>
  <c r="B370" i="4"/>
  <c r="A370" i="4"/>
  <c r="J369" i="4"/>
  <c r="I369" i="4"/>
  <c r="H369" i="4"/>
  <c r="G369" i="4"/>
  <c r="F369" i="4"/>
  <c r="E369" i="4"/>
  <c r="S369" i="4" s="1"/>
  <c r="D369" i="4"/>
  <c r="C369" i="4"/>
  <c r="B369" i="4"/>
  <c r="A369" i="4"/>
  <c r="J368" i="4"/>
  <c r="I368" i="4"/>
  <c r="H368" i="4"/>
  <c r="G368" i="4"/>
  <c r="F368" i="4"/>
  <c r="E368" i="4"/>
  <c r="S368" i="4" s="1"/>
  <c r="D368" i="4"/>
  <c r="C368" i="4"/>
  <c r="B368" i="4"/>
  <c r="A368" i="4"/>
  <c r="J367" i="4"/>
  <c r="I367" i="4"/>
  <c r="H367" i="4"/>
  <c r="G367" i="4"/>
  <c r="F367" i="4"/>
  <c r="E367" i="4"/>
  <c r="S367" i="4" s="1"/>
  <c r="D367" i="4"/>
  <c r="C367" i="4"/>
  <c r="B367" i="4"/>
  <c r="A367" i="4"/>
  <c r="J366" i="4"/>
  <c r="I366" i="4"/>
  <c r="H366" i="4"/>
  <c r="G366" i="4"/>
  <c r="F366" i="4"/>
  <c r="E366" i="4"/>
  <c r="S366" i="4" s="1"/>
  <c r="D366" i="4"/>
  <c r="C366" i="4"/>
  <c r="B366" i="4"/>
  <c r="A366" i="4"/>
  <c r="J365" i="4"/>
  <c r="I365" i="4"/>
  <c r="H365" i="4"/>
  <c r="G365" i="4"/>
  <c r="F365" i="4"/>
  <c r="E365" i="4"/>
  <c r="S365" i="4" s="1"/>
  <c r="D365" i="4"/>
  <c r="C365" i="4"/>
  <c r="B365" i="4"/>
  <c r="A365" i="4"/>
  <c r="J364" i="4"/>
  <c r="I364" i="4"/>
  <c r="H364" i="4"/>
  <c r="G364" i="4"/>
  <c r="F364" i="4"/>
  <c r="E364" i="4"/>
  <c r="S364" i="4" s="1"/>
  <c r="D364" i="4"/>
  <c r="C364" i="4"/>
  <c r="B364" i="4"/>
  <c r="A364" i="4"/>
  <c r="J363" i="4"/>
  <c r="I363" i="4"/>
  <c r="H363" i="4"/>
  <c r="G363" i="4"/>
  <c r="F363" i="4"/>
  <c r="E363" i="4"/>
  <c r="S363" i="4" s="1"/>
  <c r="D363" i="4"/>
  <c r="C363" i="4"/>
  <c r="B363" i="4"/>
  <c r="A363" i="4"/>
  <c r="J362" i="4"/>
  <c r="I362" i="4"/>
  <c r="H362" i="4"/>
  <c r="G362" i="4"/>
  <c r="F362" i="4"/>
  <c r="E362" i="4"/>
  <c r="S362" i="4" s="1"/>
  <c r="D362" i="4"/>
  <c r="C362" i="4"/>
  <c r="B362" i="4"/>
  <c r="A362" i="4"/>
  <c r="J361" i="4"/>
  <c r="I361" i="4"/>
  <c r="H361" i="4"/>
  <c r="G361" i="4"/>
  <c r="F361" i="4"/>
  <c r="E361" i="4"/>
  <c r="S361" i="4" s="1"/>
  <c r="D361" i="4"/>
  <c r="C361" i="4"/>
  <c r="B361" i="4"/>
  <c r="A361" i="4"/>
  <c r="J360" i="4"/>
  <c r="I360" i="4"/>
  <c r="H360" i="4"/>
  <c r="G360" i="4"/>
  <c r="F360" i="4"/>
  <c r="E360" i="4"/>
  <c r="S360" i="4" s="1"/>
  <c r="D360" i="4"/>
  <c r="C360" i="4"/>
  <c r="B360" i="4"/>
  <c r="A360" i="4"/>
  <c r="J359" i="4"/>
  <c r="I359" i="4"/>
  <c r="H359" i="4"/>
  <c r="G359" i="4"/>
  <c r="F359" i="4"/>
  <c r="E359" i="4"/>
  <c r="S359" i="4" s="1"/>
  <c r="D359" i="4"/>
  <c r="C359" i="4"/>
  <c r="B359" i="4"/>
  <c r="A359" i="4"/>
  <c r="J358" i="4"/>
  <c r="I358" i="4"/>
  <c r="H358" i="4"/>
  <c r="G358" i="4"/>
  <c r="F358" i="4"/>
  <c r="E358" i="4"/>
  <c r="S358" i="4" s="1"/>
  <c r="D358" i="4"/>
  <c r="C358" i="4"/>
  <c r="B358" i="4"/>
  <c r="A358" i="4"/>
  <c r="J357" i="4"/>
  <c r="I357" i="4"/>
  <c r="H357" i="4"/>
  <c r="G357" i="4"/>
  <c r="F357" i="4"/>
  <c r="R357" i="4" s="1"/>
  <c r="E357" i="4"/>
  <c r="S357" i="4" s="1"/>
  <c r="D357" i="4"/>
  <c r="C357" i="4"/>
  <c r="B357" i="4"/>
  <c r="A357" i="4"/>
  <c r="J356" i="4"/>
  <c r="I356" i="4"/>
  <c r="H356" i="4"/>
  <c r="G356" i="4"/>
  <c r="F356" i="4"/>
  <c r="R356" i="4" s="1"/>
  <c r="E356" i="4"/>
  <c r="S356" i="4" s="1"/>
  <c r="D356" i="4"/>
  <c r="C356" i="4"/>
  <c r="B356" i="4"/>
  <c r="A356" i="4"/>
  <c r="J355" i="4"/>
  <c r="I355" i="4"/>
  <c r="H355" i="4"/>
  <c r="G355" i="4"/>
  <c r="F355" i="4"/>
  <c r="R355" i="4" s="1"/>
  <c r="E355" i="4"/>
  <c r="S355" i="4" s="1"/>
  <c r="D355" i="4"/>
  <c r="C355" i="4"/>
  <c r="B355" i="4"/>
  <c r="A355" i="4"/>
  <c r="N354" i="4"/>
  <c r="M354" i="4"/>
  <c r="J354" i="4"/>
  <c r="I354" i="4"/>
  <c r="H354" i="4"/>
  <c r="G354" i="4"/>
  <c r="F354" i="4"/>
  <c r="E354" i="4"/>
  <c r="C354" i="4"/>
  <c r="B354" i="4"/>
  <c r="A354" i="4"/>
  <c r="P353" i="4"/>
  <c r="N353" i="4"/>
  <c r="M353" i="4"/>
  <c r="J353" i="4"/>
  <c r="I353" i="4"/>
  <c r="H353" i="4"/>
  <c r="G353" i="4"/>
  <c r="F353" i="4"/>
  <c r="E353" i="4"/>
  <c r="C353" i="4"/>
  <c r="B353" i="4"/>
  <c r="A353" i="4"/>
  <c r="P352" i="4"/>
  <c r="N352" i="4"/>
  <c r="M352" i="4"/>
  <c r="R352" i="4" s="1"/>
  <c r="J352" i="4"/>
  <c r="I352" i="4"/>
  <c r="H352" i="4"/>
  <c r="G352" i="4"/>
  <c r="F352" i="4"/>
  <c r="D352" i="4" s="1"/>
  <c r="E352" i="4"/>
  <c r="C352" i="4"/>
  <c r="B352" i="4"/>
  <c r="A352" i="4"/>
  <c r="S351" i="4"/>
  <c r="R351" i="4"/>
  <c r="K351" i="4"/>
  <c r="J351" i="4"/>
  <c r="I351" i="4"/>
  <c r="H351" i="4"/>
  <c r="G351" i="4"/>
  <c r="F351" i="4"/>
  <c r="E351" i="4"/>
  <c r="D351" i="4" s="1"/>
  <c r="C351" i="4"/>
  <c r="B351" i="4"/>
  <c r="A351" i="4"/>
  <c r="S350" i="4"/>
  <c r="K350" i="4"/>
  <c r="J350" i="4"/>
  <c r="I350" i="4"/>
  <c r="R350" i="4" s="1"/>
  <c r="H350" i="4"/>
  <c r="G350" i="4"/>
  <c r="F350" i="4"/>
  <c r="E350" i="4"/>
  <c r="D350" i="4"/>
  <c r="C350" i="4"/>
  <c r="B350" i="4"/>
  <c r="A350" i="4"/>
  <c r="K349" i="4"/>
  <c r="J349" i="4"/>
  <c r="I349" i="4"/>
  <c r="H349" i="4"/>
  <c r="G349" i="4"/>
  <c r="F349" i="4"/>
  <c r="E349" i="4"/>
  <c r="S349" i="4" s="1"/>
  <c r="C349" i="4"/>
  <c r="B349" i="4"/>
  <c r="A349" i="4"/>
  <c r="O348" i="4"/>
  <c r="J348" i="4"/>
  <c r="I348" i="4"/>
  <c r="H348" i="4"/>
  <c r="G348" i="4"/>
  <c r="F348" i="4"/>
  <c r="E348" i="4"/>
  <c r="S348" i="4" s="1"/>
  <c r="D348" i="4"/>
  <c r="C348" i="4"/>
  <c r="B348" i="4"/>
  <c r="A348" i="4"/>
  <c r="O347" i="4"/>
  <c r="J347" i="4"/>
  <c r="I347" i="4"/>
  <c r="H347" i="4"/>
  <c r="G347" i="4"/>
  <c r="F347" i="4"/>
  <c r="E347" i="4"/>
  <c r="D347" i="4"/>
  <c r="C347" i="4"/>
  <c r="B347" i="4"/>
  <c r="A347" i="4"/>
  <c r="J346" i="4"/>
  <c r="I346" i="4"/>
  <c r="H346" i="4"/>
  <c r="G346" i="4"/>
  <c r="F346" i="4"/>
  <c r="E346" i="4"/>
  <c r="D346" i="4"/>
  <c r="C346" i="4"/>
  <c r="B346" i="4"/>
  <c r="A346" i="4"/>
  <c r="K345" i="4"/>
  <c r="J345" i="4"/>
  <c r="I345" i="4"/>
  <c r="H345" i="4"/>
  <c r="G345" i="4"/>
  <c r="F345" i="4"/>
  <c r="E345" i="4"/>
  <c r="C345" i="4"/>
  <c r="B345" i="4"/>
  <c r="A345" i="4"/>
  <c r="O344" i="4"/>
  <c r="K344" i="4"/>
  <c r="J344" i="4"/>
  <c r="I344" i="4"/>
  <c r="H344" i="4"/>
  <c r="G344" i="4"/>
  <c r="F344" i="4"/>
  <c r="E344" i="4"/>
  <c r="C344" i="4"/>
  <c r="B344" i="4"/>
  <c r="A344" i="4"/>
  <c r="O343" i="4"/>
  <c r="J343" i="4"/>
  <c r="I343" i="4"/>
  <c r="H343" i="4"/>
  <c r="G343" i="4"/>
  <c r="F343" i="4"/>
  <c r="E343" i="4"/>
  <c r="C343" i="4"/>
  <c r="B343" i="4"/>
  <c r="A343" i="4"/>
  <c r="O342" i="4"/>
  <c r="J342" i="4"/>
  <c r="I342" i="4"/>
  <c r="H342" i="4"/>
  <c r="G342" i="4"/>
  <c r="F342" i="4"/>
  <c r="E342" i="4"/>
  <c r="C342" i="4"/>
  <c r="B342" i="4"/>
  <c r="A342" i="4"/>
  <c r="O341" i="4"/>
  <c r="K341" i="4"/>
  <c r="J341" i="4"/>
  <c r="I341" i="4"/>
  <c r="H341" i="4"/>
  <c r="G341" i="4"/>
  <c r="R341" i="4" s="1"/>
  <c r="F341" i="4"/>
  <c r="D341" i="4" s="1"/>
  <c r="E341" i="4"/>
  <c r="C341" i="4"/>
  <c r="B341" i="4"/>
  <c r="A341" i="4"/>
  <c r="S340" i="4"/>
  <c r="R340" i="4"/>
  <c r="K340" i="4"/>
  <c r="J340" i="4"/>
  <c r="I340" i="4"/>
  <c r="H340" i="4"/>
  <c r="G340" i="4"/>
  <c r="F340" i="4"/>
  <c r="E340" i="4"/>
  <c r="D340" i="4" s="1"/>
  <c r="C340" i="4"/>
  <c r="B340" i="4"/>
  <c r="A340" i="4"/>
  <c r="S339" i="4"/>
  <c r="J339" i="4"/>
  <c r="I339" i="4"/>
  <c r="H339" i="4"/>
  <c r="R339" i="4" s="1"/>
  <c r="G339" i="4"/>
  <c r="F339" i="4"/>
  <c r="E339" i="4"/>
  <c r="D339" i="4" s="1"/>
  <c r="C339" i="4"/>
  <c r="B339" i="4"/>
  <c r="A339" i="4"/>
  <c r="S338" i="4"/>
  <c r="O338" i="4"/>
  <c r="K338" i="4"/>
  <c r="J338" i="4"/>
  <c r="I338" i="4"/>
  <c r="H338" i="4"/>
  <c r="G338" i="4"/>
  <c r="F338" i="4"/>
  <c r="E338" i="4"/>
  <c r="R338" i="4" s="1"/>
  <c r="C338" i="4"/>
  <c r="B338" i="4"/>
  <c r="A338" i="4"/>
  <c r="L337" i="4"/>
  <c r="J337" i="4"/>
  <c r="I337" i="4"/>
  <c r="H337" i="4"/>
  <c r="G337" i="4"/>
  <c r="F337" i="4"/>
  <c r="E337" i="4"/>
  <c r="S337" i="4" s="1"/>
  <c r="D337" i="4"/>
  <c r="C337" i="4"/>
  <c r="B337" i="4"/>
  <c r="A337" i="4"/>
  <c r="K336" i="4"/>
  <c r="J336" i="4"/>
  <c r="I336" i="4"/>
  <c r="H336" i="4"/>
  <c r="G336" i="4"/>
  <c r="F336" i="4"/>
  <c r="E336" i="4"/>
  <c r="D336" i="4"/>
  <c r="C336" i="4"/>
  <c r="B336" i="4"/>
  <c r="A336" i="4"/>
  <c r="O335" i="4"/>
  <c r="L335" i="4"/>
  <c r="K335" i="4"/>
  <c r="J335" i="4"/>
  <c r="I335" i="4"/>
  <c r="H335" i="4"/>
  <c r="G335" i="4"/>
  <c r="F335" i="4"/>
  <c r="E335" i="4"/>
  <c r="D335" i="4" s="1"/>
  <c r="C335" i="4"/>
  <c r="B335" i="4"/>
  <c r="A335" i="4"/>
  <c r="J334" i="4"/>
  <c r="I334" i="4"/>
  <c r="H334" i="4"/>
  <c r="G334" i="4"/>
  <c r="F334" i="4"/>
  <c r="E334" i="4"/>
  <c r="C334" i="4"/>
  <c r="B334" i="4"/>
  <c r="A334" i="4"/>
  <c r="J333" i="4"/>
  <c r="I333" i="4"/>
  <c r="H333" i="4"/>
  <c r="G333" i="4"/>
  <c r="F333" i="4"/>
  <c r="E333" i="4"/>
  <c r="C333" i="4"/>
  <c r="B333" i="4"/>
  <c r="A333" i="4"/>
  <c r="J332" i="4"/>
  <c r="I332" i="4"/>
  <c r="H332" i="4"/>
  <c r="G332" i="4"/>
  <c r="F332" i="4"/>
  <c r="E332" i="4"/>
  <c r="D332" i="4" s="1"/>
  <c r="C332" i="4"/>
  <c r="B332" i="4"/>
  <c r="A332" i="4"/>
  <c r="J331" i="4"/>
  <c r="I331" i="4"/>
  <c r="H331" i="4"/>
  <c r="G331" i="4"/>
  <c r="F331" i="4"/>
  <c r="E331" i="4"/>
  <c r="D331" i="4" s="1"/>
  <c r="C331" i="4"/>
  <c r="B331" i="4"/>
  <c r="A331" i="4"/>
  <c r="J330" i="4"/>
  <c r="I330" i="4"/>
  <c r="H330" i="4"/>
  <c r="G330" i="4"/>
  <c r="F330" i="4"/>
  <c r="E330" i="4"/>
  <c r="C330" i="4"/>
  <c r="B330" i="4"/>
  <c r="A330" i="4"/>
  <c r="J329" i="4"/>
  <c r="I329" i="4"/>
  <c r="H329" i="4"/>
  <c r="G329" i="4"/>
  <c r="F329" i="4"/>
  <c r="E329" i="4"/>
  <c r="C329" i="4"/>
  <c r="B329" i="4"/>
  <c r="A329" i="4"/>
  <c r="J328" i="4"/>
  <c r="I328" i="4"/>
  <c r="H328" i="4"/>
  <c r="G328" i="4"/>
  <c r="F328" i="4"/>
  <c r="E328" i="4"/>
  <c r="D328" i="4" s="1"/>
  <c r="C328" i="4"/>
  <c r="B328" i="4"/>
  <c r="A328" i="4"/>
  <c r="J327" i="4"/>
  <c r="I327" i="4"/>
  <c r="H327" i="4"/>
  <c r="G327" i="4"/>
  <c r="F327" i="4"/>
  <c r="E327" i="4"/>
  <c r="D327" i="4" s="1"/>
  <c r="C327" i="4"/>
  <c r="B327" i="4"/>
  <c r="A327" i="4"/>
  <c r="J326" i="4"/>
  <c r="I326" i="4"/>
  <c r="H326" i="4"/>
  <c r="G326" i="4"/>
  <c r="F326" i="4"/>
  <c r="E326" i="4"/>
  <c r="C326" i="4"/>
  <c r="B326" i="4"/>
  <c r="A326" i="4"/>
  <c r="J325" i="4"/>
  <c r="I325" i="4"/>
  <c r="H325" i="4"/>
  <c r="G325" i="4"/>
  <c r="F325" i="4"/>
  <c r="E325" i="4"/>
  <c r="C325" i="4"/>
  <c r="B325" i="4"/>
  <c r="A325" i="4"/>
  <c r="J324" i="4"/>
  <c r="I324" i="4"/>
  <c r="H324" i="4"/>
  <c r="G324" i="4"/>
  <c r="F324" i="4"/>
  <c r="E324" i="4"/>
  <c r="D324" i="4" s="1"/>
  <c r="C324" i="4"/>
  <c r="B324" i="4"/>
  <c r="A324" i="4"/>
  <c r="J323" i="4"/>
  <c r="I323" i="4"/>
  <c r="H323" i="4"/>
  <c r="G323" i="4"/>
  <c r="F323" i="4"/>
  <c r="E323" i="4"/>
  <c r="D323" i="4" s="1"/>
  <c r="C323" i="4"/>
  <c r="B323" i="4"/>
  <c r="A323" i="4"/>
  <c r="J322" i="4"/>
  <c r="I322" i="4"/>
  <c r="H322" i="4"/>
  <c r="G322" i="4"/>
  <c r="F322" i="4"/>
  <c r="E322" i="4"/>
  <c r="C322" i="4"/>
  <c r="B322" i="4"/>
  <c r="A322" i="4"/>
  <c r="J321" i="4"/>
  <c r="I321" i="4"/>
  <c r="H321" i="4"/>
  <c r="G321" i="4"/>
  <c r="F321" i="4"/>
  <c r="E321" i="4"/>
  <c r="C321" i="4"/>
  <c r="B321" i="4"/>
  <c r="A321" i="4"/>
  <c r="J320" i="4"/>
  <c r="I320" i="4"/>
  <c r="H320" i="4"/>
  <c r="G320" i="4"/>
  <c r="F320" i="4"/>
  <c r="E320" i="4"/>
  <c r="D320" i="4" s="1"/>
  <c r="C320" i="4"/>
  <c r="B320" i="4"/>
  <c r="A320" i="4"/>
  <c r="J319" i="4"/>
  <c r="I319" i="4"/>
  <c r="H319" i="4"/>
  <c r="G319" i="4"/>
  <c r="F319" i="4"/>
  <c r="E319" i="4"/>
  <c r="D319" i="4" s="1"/>
  <c r="C319" i="4"/>
  <c r="B319" i="4"/>
  <c r="A319" i="4"/>
  <c r="J318" i="4"/>
  <c r="I318" i="4"/>
  <c r="H318" i="4"/>
  <c r="G318" i="4"/>
  <c r="F318" i="4"/>
  <c r="E318" i="4"/>
  <c r="C318" i="4"/>
  <c r="B318" i="4"/>
  <c r="A318" i="4"/>
  <c r="N317" i="4"/>
  <c r="M317" i="4"/>
  <c r="J317" i="4"/>
  <c r="I317" i="4"/>
  <c r="H317" i="4"/>
  <c r="G317" i="4"/>
  <c r="F317" i="4"/>
  <c r="E317" i="4"/>
  <c r="C317" i="4"/>
  <c r="B317" i="4"/>
  <c r="A317" i="4"/>
  <c r="P316" i="4"/>
  <c r="N316" i="4"/>
  <c r="S316" i="4" s="1"/>
  <c r="M316" i="4"/>
  <c r="J316" i="4"/>
  <c r="I316" i="4"/>
  <c r="H316" i="4"/>
  <c r="G316" i="4"/>
  <c r="F316" i="4"/>
  <c r="E316" i="4"/>
  <c r="C316" i="4"/>
  <c r="B316" i="4"/>
  <c r="A316" i="4"/>
  <c r="P315" i="4"/>
  <c r="N315" i="4"/>
  <c r="M315" i="4"/>
  <c r="D315" i="4" s="1"/>
  <c r="J315" i="4"/>
  <c r="I315" i="4"/>
  <c r="H315" i="4"/>
  <c r="G315" i="4"/>
  <c r="F315" i="4"/>
  <c r="E315" i="4"/>
  <c r="C315" i="4"/>
  <c r="B315" i="4"/>
  <c r="A315" i="4"/>
  <c r="R314" i="4"/>
  <c r="K314" i="4"/>
  <c r="J314" i="4"/>
  <c r="I314" i="4"/>
  <c r="H314" i="4"/>
  <c r="G314" i="4"/>
  <c r="F314" i="4"/>
  <c r="E314" i="4"/>
  <c r="S314" i="4" s="1"/>
  <c r="D314" i="4"/>
  <c r="C314" i="4"/>
  <c r="B314" i="4"/>
  <c r="A314" i="4"/>
  <c r="S313" i="4"/>
  <c r="K313" i="4"/>
  <c r="J313" i="4"/>
  <c r="I313" i="4"/>
  <c r="H313" i="4"/>
  <c r="G313" i="4"/>
  <c r="F313" i="4"/>
  <c r="E313" i="4"/>
  <c r="C313" i="4"/>
  <c r="B313" i="4"/>
  <c r="A313" i="4"/>
  <c r="K312" i="4"/>
  <c r="J312" i="4"/>
  <c r="I312" i="4"/>
  <c r="H312" i="4"/>
  <c r="G312" i="4"/>
  <c r="F312" i="4"/>
  <c r="E312" i="4"/>
  <c r="C312" i="4"/>
  <c r="B312" i="4"/>
  <c r="A312" i="4"/>
  <c r="O311" i="4"/>
  <c r="J311" i="4"/>
  <c r="I311" i="4"/>
  <c r="H311" i="4"/>
  <c r="G311" i="4"/>
  <c r="F311" i="4"/>
  <c r="E311" i="4"/>
  <c r="C311" i="4"/>
  <c r="B311" i="4"/>
  <c r="A311" i="4"/>
  <c r="O310" i="4"/>
  <c r="J310" i="4"/>
  <c r="I310" i="4"/>
  <c r="H310" i="4"/>
  <c r="D310" i="4" s="1"/>
  <c r="G310" i="4"/>
  <c r="F310" i="4"/>
  <c r="E310" i="4"/>
  <c r="S310" i="4" s="1"/>
  <c r="C310" i="4"/>
  <c r="B310" i="4"/>
  <c r="A310" i="4"/>
  <c r="J309" i="4"/>
  <c r="I309" i="4"/>
  <c r="H309" i="4"/>
  <c r="R309" i="4" s="1"/>
  <c r="G309" i="4"/>
  <c r="F309" i="4"/>
  <c r="E309" i="4"/>
  <c r="S309" i="4" s="1"/>
  <c r="D309" i="4"/>
  <c r="C309" i="4"/>
  <c r="B309" i="4"/>
  <c r="A309" i="4"/>
  <c r="K308" i="4"/>
  <c r="J308" i="4"/>
  <c r="I308" i="4"/>
  <c r="H308" i="4"/>
  <c r="G308" i="4"/>
  <c r="F308" i="4"/>
  <c r="E308" i="4"/>
  <c r="C308" i="4"/>
  <c r="B308" i="4"/>
  <c r="A308" i="4"/>
  <c r="S307" i="4"/>
  <c r="O307" i="4"/>
  <c r="K307" i="4"/>
  <c r="J307" i="4"/>
  <c r="I307" i="4"/>
  <c r="H307" i="4"/>
  <c r="G307" i="4"/>
  <c r="R307" i="4" s="1"/>
  <c r="F307" i="4"/>
  <c r="D307" i="4" s="1"/>
  <c r="E307" i="4"/>
  <c r="C307" i="4"/>
  <c r="B307" i="4"/>
  <c r="A307" i="4"/>
  <c r="O306" i="4"/>
  <c r="J306" i="4"/>
  <c r="I306" i="4"/>
  <c r="H306" i="4"/>
  <c r="S306" i="4" s="1"/>
  <c r="G306" i="4"/>
  <c r="F306" i="4"/>
  <c r="E306" i="4"/>
  <c r="C306" i="4"/>
  <c r="B306" i="4"/>
  <c r="A306" i="4"/>
  <c r="S305" i="4"/>
  <c r="O305" i="4"/>
  <c r="J305" i="4"/>
  <c r="I305" i="4"/>
  <c r="R305" i="4" s="1"/>
  <c r="H305" i="4"/>
  <c r="G305" i="4"/>
  <c r="F305" i="4"/>
  <c r="E305" i="4"/>
  <c r="D305" i="4"/>
  <c r="C305" i="4"/>
  <c r="B305" i="4"/>
  <c r="A305" i="4"/>
  <c r="O304" i="4"/>
  <c r="K304" i="4"/>
  <c r="J304" i="4"/>
  <c r="I304" i="4"/>
  <c r="H304" i="4"/>
  <c r="G304" i="4"/>
  <c r="F304" i="4"/>
  <c r="E304" i="4"/>
  <c r="S304" i="4" s="1"/>
  <c r="D304" i="4"/>
  <c r="C304" i="4"/>
  <c r="B304" i="4"/>
  <c r="A304" i="4"/>
  <c r="K303" i="4"/>
  <c r="J303" i="4"/>
  <c r="I303" i="4"/>
  <c r="H303" i="4"/>
  <c r="G303" i="4"/>
  <c r="F303" i="4"/>
  <c r="E303" i="4"/>
  <c r="S303" i="4" s="1"/>
  <c r="C303" i="4"/>
  <c r="B303" i="4"/>
  <c r="A303" i="4"/>
  <c r="J302" i="4"/>
  <c r="I302" i="4"/>
  <c r="H302" i="4"/>
  <c r="G302" i="4"/>
  <c r="F302" i="4"/>
  <c r="S302" i="4" s="1"/>
  <c r="E302" i="4"/>
  <c r="D302" i="4"/>
  <c r="C302" i="4"/>
  <c r="B302" i="4"/>
  <c r="A302" i="4"/>
  <c r="O301" i="4"/>
  <c r="K301" i="4"/>
  <c r="J301" i="4"/>
  <c r="I301" i="4"/>
  <c r="H301" i="4"/>
  <c r="G301" i="4"/>
  <c r="S301" i="4" s="1"/>
  <c r="F301" i="4"/>
  <c r="E301" i="4"/>
  <c r="D301" i="4" s="1"/>
  <c r="C301" i="4"/>
  <c r="B301" i="4"/>
  <c r="A301" i="4"/>
  <c r="L300" i="4"/>
  <c r="J300" i="4"/>
  <c r="I300" i="4"/>
  <c r="H300" i="4"/>
  <c r="G300" i="4"/>
  <c r="F300" i="4"/>
  <c r="E300" i="4"/>
  <c r="D300" i="4" s="1"/>
  <c r="C300" i="4"/>
  <c r="B300" i="4"/>
  <c r="A300" i="4"/>
  <c r="K299" i="4"/>
  <c r="J299" i="4"/>
  <c r="I299" i="4"/>
  <c r="H299" i="4"/>
  <c r="D299" i="4" s="1"/>
  <c r="G299" i="4"/>
  <c r="F299" i="4"/>
  <c r="E299" i="4"/>
  <c r="C299" i="4"/>
  <c r="B299" i="4"/>
  <c r="A299" i="4"/>
  <c r="R298" i="4"/>
  <c r="O298" i="4"/>
  <c r="L298" i="4"/>
  <c r="K298" i="4"/>
  <c r="J298" i="4"/>
  <c r="I298" i="4"/>
  <c r="H298" i="4"/>
  <c r="G298" i="4"/>
  <c r="F298" i="4"/>
  <c r="E298" i="4"/>
  <c r="C298" i="4"/>
  <c r="B298" i="4"/>
  <c r="A298" i="4"/>
  <c r="S297" i="4"/>
  <c r="R297" i="4"/>
  <c r="J297" i="4"/>
  <c r="I297" i="4"/>
  <c r="H297" i="4"/>
  <c r="G297" i="4"/>
  <c r="F297" i="4"/>
  <c r="E297" i="4"/>
  <c r="C297" i="4"/>
  <c r="B297" i="4"/>
  <c r="A297" i="4"/>
  <c r="S296" i="4"/>
  <c r="R296" i="4"/>
  <c r="J296" i="4"/>
  <c r="I296" i="4"/>
  <c r="H296" i="4"/>
  <c r="G296" i="4"/>
  <c r="F296" i="4"/>
  <c r="D296" i="4" s="1"/>
  <c r="E296" i="4"/>
  <c r="C296" i="4"/>
  <c r="B296" i="4"/>
  <c r="A296" i="4"/>
  <c r="S295" i="4"/>
  <c r="R295" i="4"/>
  <c r="J295" i="4"/>
  <c r="I295" i="4"/>
  <c r="H295" i="4"/>
  <c r="G295" i="4"/>
  <c r="F295" i="4"/>
  <c r="E295" i="4"/>
  <c r="C295" i="4"/>
  <c r="B295" i="4"/>
  <c r="A295" i="4"/>
  <c r="S294" i="4"/>
  <c r="R294" i="4"/>
  <c r="J294" i="4"/>
  <c r="I294" i="4"/>
  <c r="H294" i="4"/>
  <c r="G294" i="4"/>
  <c r="F294" i="4"/>
  <c r="D294" i="4" s="1"/>
  <c r="E294" i="4"/>
  <c r="C294" i="4"/>
  <c r="B294" i="4"/>
  <c r="A294" i="4"/>
  <c r="S293" i="4"/>
  <c r="R293" i="4"/>
  <c r="J293" i="4"/>
  <c r="I293" i="4"/>
  <c r="H293" i="4"/>
  <c r="G293" i="4"/>
  <c r="F293" i="4"/>
  <c r="D293" i="4" s="1"/>
  <c r="E293" i="4"/>
  <c r="C293" i="4"/>
  <c r="B293" i="4"/>
  <c r="A293" i="4"/>
  <c r="J292" i="4"/>
  <c r="I292" i="4"/>
  <c r="H292" i="4"/>
  <c r="G292" i="4"/>
  <c r="S292" i="4" s="1"/>
  <c r="F292" i="4"/>
  <c r="E292" i="4"/>
  <c r="C292" i="4"/>
  <c r="B292" i="4"/>
  <c r="A292" i="4"/>
  <c r="J291" i="4"/>
  <c r="I291" i="4"/>
  <c r="H291" i="4"/>
  <c r="G291" i="4"/>
  <c r="S291" i="4" s="1"/>
  <c r="F291" i="4"/>
  <c r="E291" i="4"/>
  <c r="C291" i="4"/>
  <c r="B291" i="4"/>
  <c r="A291" i="4"/>
  <c r="J290" i="4"/>
  <c r="I290" i="4"/>
  <c r="H290" i="4"/>
  <c r="G290" i="4"/>
  <c r="S290" i="4" s="1"/>
  <c r="F290" i="4"/>
  <c r="E290" i="4"/>
  <c r="C290" i="4"/>
  <c r="B290" i="4"/>
  <c r="A290" i="4"/>
  <c r="J289" i="4"/>
  <c r="I289" i="4"/>
  <c r="H289" i="4"/>
  <c r="G289" i="4"/>
  <c r="S289" i="4" s="1"/>
  <c r="F289" i="4"/>
  <c r="D289" i="4" s="1"/>
  <c r="E289" i="4"/>
  <c r="C289" i="4"/>
  <c r="B289" i="4"/>
  <c r="A289" i="4"/>
  <c r="J288" i="4"/>
  <c r="I288" i="4"/>
  <c r="H288" i="4"/>
  <c r="G288" i="4"/>
  <c r="S288" i="4" s="1"/>
  <c r="F288" i="4"/>
  <c r="E288" i="4"/>
  <c r="C288" i="4"/>
  <c r="B288" i="4"/>
  <c r="A288" i="4"/>
  <c r="S287" i="4"/>
  <c r="R287" i="4"/>
  <c r="J287" i="4"/>
  <c r="I287" i="4"/>
  <c r="H287" i="4"/>
  <c r="G287" i="4"/>
  <c r="F287" i="4"/>
  <c r="D287" i="4" s="1"/>
  <c r="E287" i="4"/>
  <c r="C287" i="4"/>
  <c r="B287" i="4"/>
  <c r="A287" i="4"/>
  <c r="S286" i="4"/>
  <c r="R286" i="4"/>
  <c r="J286" i="4"/>
  <c r="I286" i="4"/>
  <c r="H286" i="4"/>
  <c r="G286" i="4"/>
  <c r="F286" i="4"/>
  <c r="D286" i="4" s="1"/>
  <c r="E286" i="4"/>
  <c r="C286" i="4"/>
  <c r="B286" i="4"/>
  <c r="A286" i="4"/>
  <c r="S285" i="4"/>
  <c r="J285" i="4"/>
  <c r="R285" i="4" s="1"/>
  <c r="I285" i="4"/>
  <c r="H285" i="4"/>
  <c r="G285" i="4"/>
  <c r="F285" i="4"/>
  <c r="E285" i="4"/>
  <c r="C285" i="4"/>
  <c r="B285" i="4"/>
  <c r="A285" i="4"/>
  <c r="S284" i="4"/>
  <c r="R284" i="4"/>
  <c r="J284" i="4"/>
  <c r="I284" i="4"/>
  <c r="H284" i="4"/>
  <c r="G284" i="4"/>
  <c r="F284" i="4"/>
  <c r="E284" i="4"/>
  <c r="C284" i="4"/>
  <c r="B284" i="4"/>
  <c r="A284" i="4"/>
  <c r="S283" i="4"/>
  <c r="R283" i="4"/>
  <c r="J283" i="4"/>
  <c r="I283" i="4"/>
  <c r="H283" i="4"/>
  <c r="G283" i="4"/>
  <c r="F283" i="4"/>
  <c r="E283" i="4"/>
  <c r="C283" i="4"/>
  <c r="B283" i="4"/>
  <c r="A283" i="4"/>
  <c r="R282" i="4"/>
  <c r="J282" i="4"/>
  <c r="I282" i="4"/>
  <c r="H282" i="4"/>
  <c r="G282" i="4"/>
  <c r="S282" i="4" s="1"/>
  <c r="F282" i="4"/>
  <c r="E282" i="4"/>
  <c r="C282" i="4"/>
  <c r="B282" i="4"/>
  <c r="A282" i="4"/>
  <c r="J281" i="4"/>
  <c r="S281" i="4" s="1"/>
  <c r="I281" i="4"/>
  <c r="H281" i="4"/>
  <c r="G281" i="4"/>
  <c r="F281" i="4"/>
  <c r="E281" i="4"/>
  <c r="C281" i="4"/>
  <c r="B281" i="4"/>
  <c r="A281" i="4"/>
  <c r="N280" i="4"/>
  <c r="M280" i="4"/>
  <c r="J280" i="4"/>
  <c r="I280" i="4"/>
  <c r="D280" i="4" s="1"/>
  <c r="H280" i="4"/>
  <c r="G280" i="4"/>
  <c r="F280" i="4"/>
  <c r="E280" i="4"/>
  <c r="C280" i="4"/>
  <c r="B280" i="4"/>
  <c r="A280" i="4"/>
  <c r="P279" i="4"/>
  <c r="N279" i="4"/>
  <c r="D279" i="4" s="1"/>
  <c r="M279" i="4"/>
  <c r="J279" i="4"/>
  <c r="I279" i="4"/>
  <c r="H279" i="4"/>
  <c r="G279" i="4"/>
  <c r="F279" i="4"/>
  <c r="E279" i="4"/>
  <c r="C279" i="4"/>
  <c r="B279" i="4"/>
  <c r="A279" i="4"/>
  <c r="S278" i="4"/>
  <c r="P278" i="4"/>
  <c r="N278" i="4"/>
  <c r="M278" i="4"/>
  <c r="J278" i="4"/>
  <c r="I278" i="4"/>
  <c r="H278" i="4"/>
  <c r="G278" i="4"/>
  <c r="F278" i="4"/>
  <c r="E278" i="4"/>
  <c r="D278" i="4" s="1"/>
  <c r="C278" i="4"/>
  <c r="B278" i="4"/>
  <c r="A278" i="4"/>
  <c r="K277" i="4"/>
  <c r="J277" i="4"/>
  <c r="I277" i="4"/>
  <c r="H277" i="4"/>
  <c r="D277" i="4" s="1"/>
  <c r="G277" i="4"/>
  <c r="F277" i="4"/>
  <c r="E277" i="4"/>
  <c r="C277" i="4"/>
  <c r="B277" i="4"/>
  <c r="A277" i="4"/>
  <c r="R276" i="4"/>
  <c r="K276" i="4"/>
  <c r="J276" i="4"/>
  <c r="I276" i="4"/>
  <c r="H276" i="4"/>
  <c r="G276" i="4"/>
  <c r="F276" i="4"/>
  <c r="E276" i="4"/>
  <c r="C276" i="4"/>
  <c r="B276" i="4"/>
  <c r="A276" i="4"/>
  <c r="S275" i="4"/>
  <c r="R275" i="4"/>
  <c r="K275" i="4"/>
  <c r="J275" i="4"/>
  <c r="I275" i="4"/>
  <c r="H275" i="4"/>
  <c r="G275" i="4"/>
  <c r="F275" i="4"/>
  <c r="E275" i="4"/>
  <c r="C275" i="4"/>
  <c r="B275" i="4"/>
  <c r="A275" i="4"/>
  <c r="S274" i="4"/>
  <c r="R274" i="4"/>
  <c r="O274" i="4"/>
  <c r="J274" i="4"/>
  <c r="I274" i="4"/>
  <c r="H274" i="4"/>
  <c r="G274" i="4"/>
  <c r="F274" i="4"/>
  <c r="E274" i="4"/>
  <c r="C274" i="4"/>
  <c r="B274" i="4"/>
  <c r="A274" i="4"/>
  <c r="S273" i="4"/>
  <c r="R273" i="4"/>
  <c r="O273" i="4"/>
  <c r="J273" i="4"/>
  <c r="I273" i="4"/>
  <c r="H273" i="4"/>
  <c r="G273" i="4"/>
  <c r="F273" i="4"/>
  <c r="E273" i="4"/>
  <c r="C273" i="4"/>
  <c r="B273" i="4"/>
  <c r="A273" i="4"/>
  <c r="S272" i="4"/>
  <c r="R272" i="4"/>
  <c r="J272" i="4"/>
  <c r="I272" i="4"/>
  <c r="H272" i="4"/>
  <c r="G272" i="4"/>
  <c r="F272" i="4"/>
  <c r="E272" i="4"/>
  <c r="C272" i="4"/>
  <c r="B272" i="4"/>
  <c r="A272" i="4"/>
  <c r="S271" i="4"/>
  <c r="R271" i="4"/>
  <c r="K271" i="4"/>
  <c r="J271" i="4"/>
  <c r="I271" i="4"/>
  <c r="D271" i="4" s="1"/>
  <c r="H271" i="4"/>
  <c r="G271" i="4"/>
  <c r="F271" i="4"/>
  <c r="E271" i="4"/>
  <c r="C271" i="4"/>
  <c r="B271" i="4"/>
  <c r="A271" i="4"/>
  <c r="S270" i="4"/>
  <c r="O270" i="4"/>
  <c r="K270" i="4"/>
  <c r="D270" i="4" s="1"/>
  <c r="J270" i="4"/>
  <c r="I270" i="4"/>
  <c r="H270" i="4"/>
  <c r="G270" i="4"/>
  <c r="F270" i="4"/>
  <c r="E270" i="4"/>
  <c r="C270" i="4"/>
  <c r="B270" i="4"/>
  <c r="A270" i="4"/>
  <c r="R269" i="4"/>
  <c r="O269" i="4"/>
  <c r="J269" i="4"/>
  <c r="I269" i="4"/>
  <c r="H269" i="4"/>
  <c r="G269" i="4"/>
  <c r="F269" i="4"/>
  <c r="E269" i="4"/>
  <c r="S269" i="4" s="1"/>
  <c r="D269" i="4"/>
  <c r="C269" i="4"/>
  <c r="B269" i="4"/>
  <c r="A269" i="4"/>
  <c r="S268" i="4"/>
  <c r="O268" i="4"/>
  <c r="J268" i="4"/>
  <c r="I268" i="4"/>
  <c r="H268" i="4"/>
  <c r="D268" i="4" s="1"/>
  <c r="G268" i="4"/>
  <c r="F268" i="4"/>
  <c r="E268" i="4"/>
  <c r="C268" i="4"/>
  <c r="B268" i="4"/>
  <c r="A268" i="4"/>
  <c r="O267" i="4"/>
  <c r="K267" i="4"/>
  <c r="J267" i="4"/>
  <c r="I267" i="4"/>
  <c r="H267" i="4"/>
  <c r="G267" i="4"/>
  <c r="F267" i="4"/>
  <c r="E267" i="4"/>
  <c r="C267" i="4"/>
  <c r="B267" i="4"/>
  <c r="A267" i="4"/>
  <c r="K266" i="4"/>
  <c r="J266" i="4"/>
  <c r="I266" i="4"/>
  <c r="H266" i="4"/>
  <c r="G266" i="4"/>
  <c r="D266" i="4" s="1"/>
  <c r="F266" i="4"/>
  <c r="E266" i="4"/>
  <c r="C266" i="4"/>
  <c r="B266" i="4"/>
  <c r="A266" i="4"/>
  <c r="J265" i="4"/>
  <c r="I265" i="4"/>
  <c r="H265" i="4"/>
  <c r="R265" i="4" s="1"/>
  <c r="G265" i="4"/>
  <c r="D265" i="4" s="1"/>
  <c r="F265" i="4"/>
  <c r="E265" i="4"/>
  <c r="C265" i="4"/>
  <c r="B265" i="4"/>
  <c r="A265" i="4"/>
  <c r="O264" i="4"/>
  <c r="K264" i="4"/>
  <c r="J264" i="4"/>
  <c r="R264" i="4" s="1"/>
  <c r="I264" i="4"/>
  <c r="H264" i="4"/>
  <c r="G264" i="4"/>
  <c r="F264" i="4"/>
  <c r="E264" i="4"/>
  <c r="C264" i="4"/>
  <c r="B264" i="4"/>
  <c r="A264" i="4"/>
  <c r="L263" i="4"/>
  <c r="J263" i="4"/>
  <c r="S263" i="4" s="1"/>
  <c r="I263" i="4"/>
  <c r="H263" i="4"/>
  <c r="G263" i="4"/>
  <c r="F263" i="4"/>
  <c r="E263" i="4"/>
  <c r="C263" i="4"/>
  <c r="B263" i="4"/>
  <c r="A263" i="4"/>
  <c r="K262" i="4"/>
  <c r="S262" i="4" s="1"/>
  <c r="J262" i="4"/>
  <c r="I262" i="4"/>
  <c r="H262" i="4"/>
  <c r="G262" i="4"/>
  <c r="F262" i="4"/>
  <c r="E262" i="4"/>
  <c r="C262" i="4"/>
  <c r="B262" i="4"/>
  <c r="A262" i="4"/>
  <c r="S261" i="4"/>
  <c r="R261" i="4"/>
  <c r="O261" i="4"/>
  <c r="L261" i="4"/>
  <c r="K261" i="4"/>
  <c r="D261" i="4" s="1"/>
  <c r="J261" i="4"/>
  <c r="I261" i="4"/>
  <c r="H261" i="4"/>
  <c r="G261" i="4"/>
  <c r="F261" i="4"/>
  <c r="E261" i="4"/>
  <c r="C261" i="4"/>
  <c r="B261" i="4"/>
  <c r="A261" i="4"/>
  <c r="R260" i="4"/>
  <c r="J260" i="4"/>
  <c r="I260" i="4"/>
  <c r="H260" i="4"/>
  <c r="G260" i="4"/>
  <c r="F260" i="4"/>
  <c r="E260" i="4"/>
  <c r="S260" i="4" s="1"/>
  <c r="D260" i="4"/>
  <c r="C260" i="4"/>
  <c r="B260" i="4"/>
  <c r="A260" i="4"/>
  <c r="R259" i="4"/>
  <c r="J259" i="4"/>
  <c r="I259" i="4"/>
  <c r="H259" i="4"/>
  <c r="G259" i="4"/>
  <c r="F259" i="4"/>
  <c r="D259" i="4" s="1"/>
  <c r="E259" i="4"/>
  <c r="C259" i="4"/>
  <c r="B259" i="4"/>
  <c r="A259" i="4"/>
  <c r="R258" i="4"/>
  <c r="J258" i="4"/>
  <c r="I258" i="4"/>
  <c r="H258" i="4"/>
  <c r="G258" i="4"/>
  <c r="F258" i="4"/>
  <c r="E258" i="4"/>
  <c r="S258" i="4" s="1"/>
  <c r="C258" i="4"/>
  <c r="B258" i="4"/>
  <c r="A258" i="4"/>
  <c r="R257" i="4"/>
  <c r="J257" i="4"/>
  <c r="I257" i="4"/>
  <c r="H257" i="4"/>
  <c r="G257" i="4"/>
  <c r="F257" i="4"/>
  <c r="E257" i="4"/>
  <c r="S257" i="4" s="1"/>
  <c r="D257" i="4"/>
  <c r="C257" i="4"/>
  <c r="B257" i="4"/>
  <c r="A257" i="4"/>
  <c r="J256" i="4"/>
  <c r="I256" i="4"/>
  <c r="H256" i="4"/>
  <c r="G256" i="4"/>
  <c r="F256" i="4"/>
  <c r="D256" i="4" s="1"/>
  <c r="E256" i="4"/>
  <c r="R256" i="4" s="1"/>
  <c r="C256" i="4"/>
  <c r="B256" i="4"/>
  <c r="A256" i="4"/>
  <c r="J255" i="4"/>
  <c r="I255" i="4"/>
  <c r="H255" i="4"/>
  <c r="G255" i="4"/>
  <c r="F255" i="4"/>
  <c r="E255" i="4"/>
  <c r="D255" i="4" s="1"/>
  <c r="C255" i="4"/>
  <c r="B255" i="4"/>
  <c r="A255" i="4"/>
  <c r="J254" i="4"/>
  <c r="I254" i="4"/>
  <c r="H254" i="4"/>
  <c r="G254" i="4"/>
  <c r="F254" i="4"/>
  <c r="E254" i="4"/>
  <c r="C254" i="4"/>
  <c r="B254" i="4"/>
  <c r="A254" i="4"/>
  <c r="J253" i="4"/>
  <c r="I253" i="4"/>
  <c r="H253" i="4"/>
  <c r="G253" i="4"/>
  <c r="F253" i="4"/>
  <c r="E253" i="4"/>
  <c r="S253" i="4" s="1"/>
  <c r="C253" i="4"/>
  <c r="B253" i="4"/>
  <c r="A253" i="4"/>
  <c r="J252" i="4"/>
  <c r="I252" i="4"/>
  <c r="H252" i="4"/>
  <c r="G252" i="4"/>
  <c r="F252" i="4"/>
  <c r="E252" i="4"/>
  <c r="D252" i="4"/>
  <c r="C252" i="4"/>
  <c r="B252" i="4"/>
  <c r="A252" i="4"/>
  <c r="J251" i="4"/>
  <c r="I251" i="4"/>
  <c r="H251" i="4"/>
  <c r="G251" i="4"/>
  <c r="F251" i="4"/>
  <c r="E251" i="4"/>
  <c r="S251" i="4" s="1"/>
  <c r="C251" i="4"/>
  <c r="B251" i="4"/>
  <c r="A251" i="4"/>
  <c r="R250" i="4"/>
  <c r="J250" i="4"/>
  <c r="I250" i="4"/>
  <c r="H250" i="4"/>
  <c r="G250" i="4"/>
  <c r="F250" i="4"/>
  <c r="E250" i="4"/>
  <c r="S250" i="4" s="1"/>
  <c r="D250" i="4"/>
  <c r="C250" i="4"/>
  <c r="B250" i="4"/>
  <c r="A250" i="4"/>
  <c r="R249" i="4"/>
  <c r="J249" i="4"/>
  <c r="I249" i="4"/>
  <c r="H249" i="4"/>
  <c r="G249" i="4"/>
  <c r="F249" i="4"/>
  <c r="E249" i="4"/>
  <c r="S249" i="4" s="1"/>
  <c r="D249" i="4"/>
  <c r="C249" i="4"/>
  <c r="B249" i="4"/>
  <c r="A249" i="4"/>
  <c r="R248" i="4"/>
  <c r="J248" i="4"/>
  <c r="I248" i="4"/>
  <c r="H248" i="4"/>
  <c r="G248" i="4"/>
  <c r="F248" i="4"/>
  <c r="E248" i="4"/>
  <c r="S248" i="4" s="1"/>
  <c r="D248" i="4"/>
  <c r="C248" i="4"/>
  <c r="B248" i="4"/>
  <c r="A248" i="4"/>
  <c r="R247" i="4"/>
  <c r="J247" i="4"/>
  <c r="I247" i="4"/>
  <c r="H247" i="4"/>
  <c r="G247" i="4"/>
  <c r="F247" i="4"/>
  <c r="D247" i="4" s="1"/>
  <c r="E247" i="4"/>
  <c r="C247" i="4"/>
  <c r="B247" i="4"/>
  <c r="A247" i="4"/>
  <c r="R246" i="4"/>
  <c r="J246" i="4"/>
  <c r="I246" i="4"/>
  <c r="H246" i="4"/>
  <c r="G246" i="4"/>
  <c r="F246" i="4"/>
  <c r="E246" i="4"/>
  <c r="S246" i="4" s="1"/>
  <c r="C246" i="4"/>
  <c r="B246" i="4"/>
  <c r="A246" i="4"/>
  <c r="R245" i="4"/>
  <c r="J245" i="4"/>
  <c r="I245" i="4"/>
  <c r="H245" i="4"/>
  <c r="G245" i="4"/>
  <c r="F245" i="4"/>
  <c r="E245" i="4"/>
  <c r="S245" i="4" s="1"/>
  <c r="D245" i="4"/>
  <c r="C245" i="4"/>
  <c r="B245" i="4"/>
  <c r="A245" i="4"/>
  <c r="J244" i="4"/>
  <c r="I244" i="4"/>
  <c r="H244" i="4"/>
  <c r="G244" i="4"/>
  <c r="F244" i="4"/>
  <c r="D244" i="4" s="1"/>
  <c r="E244" i="4"/>
  <c r="R244" i="4" s="1"/>
  <c r="C244" i="4"/>
  <c r="B244" i="4"/>
  <c r="A244" i="4"/>
  <c r="N243" i="4"/>
  <c r="M243" i="4"/>
  <c r="J243" i="4"/>
  <c r="I243" i="4"/>
  <c r="H243" i="4"/>
  <c r="D243" i="4" s="1"/>
  <c r="G243" i="4"/>
  <c r="F243" i="4"/>
  <c r="E243" i="4"/>
  <c r="R243" i="4" s="1"/>
  <c r="C243" i="4"/>
  <c r="B243" i="4"/>
  <c r="A243" i="4"/>
  <c r="P242" i="4"/>
  <c r="N242" i="4"/>
  <c r="M242" i="4"/>
  <c r="J242" i="4"/>
  <c r="I242" i="4"/>
  <c r="H242" i="4"/>
  <c r="G242" i="4"/>
  <c r="F242" i="4"/>
  <c r="D242" i="4" s="1"/>
  <c r="E242" i="4"/>
  <c r="C242" i="4"/>
  <c r="B242" i="4"/>
  <c r="A242" i="4"/>
  <c r="P241" i="4"/>
  <c r="N241" i="4"/>
  <c r="M241" i="4"/>
  <c r="R241" i="4" s="1"/>
  <c r="J241" i="4"/>
  <c r="I241" i="4"/>
  <c r="H241" i="4"/>
  <c r="G241" i="4"/>
  <c r="F241" i="4"/>
  <c r="E241" i="4"/>
  <c r="C241" i="4"/>
  <c r="B241" i="4"/>
  <c r="A241" i="4"/>
  <c r="R240" i="4"/>
  <c r="K240" i="4"/>
  <c r="S240" i="4" s="1"/>
  <c r="J240" i="4"/>
  <c r="I240" i="4"/>
  <c r="H240" i="4"/>
  <c r="G240" i="4"/>
  <c r="F240" i="4"/>
  <c r="E240" i="4"/>
  <c r="C240" i="4"/>
  <c r="B240" i="4"/>
  <c r="A240" i="4"/>
  <c r="R239" i="4"/>
  <c r="K239" i="4"/>
  <c r="S239" i="4" s="1"/>
  <c r="J239" i="4"/>
  <c r="I239" i="4"/>
  <c r="D239" i="4" s="1"/>
  <c r="H239" i="4"/>
  <c r="G239" i="4"/>
  <c r="F239" i="4"/>
  <c r="E239" i="4"/>
  <c r="C239" i="4"/>
  <c r="B239" i="4"/>
  <c r="A239" i="4"/>
  <c r="S238" i="4"/>
  <c r="R238" i="4"/>
  <c r="K238" i="4"/>
  <c r="J238" i="4"/>
  <c r="D238" i="4" s="1"/>
  <c r="I238" i="4"/>
  <c r="H238" i="4"/>
  <c r="G238" i="4"/>
  <c r="F238" i="4"/>
  <c r="E238" i="4"/>
  <c r="C238" i="4"/>
  <c r="B238" i="4"/>
  <c r="A238" i="4"/>
  <c r="S237" i="4"/>
  <c r="O237" i="4"/>
  <c r="D237" i="4" s="1"/>
  <c r="J237" i="4"/>
  <c r="I237" i="4"/>
  <c r="H237" i="4"/>
  <c r="G237" i="4"/>
  <c r="F237" i="4"/>
  <c r="E237" i="4"/>
  <c r="C237" i="4"/>
  <c r="B237" i="4"/>
  <c r="A237" i="4"/>
  <c r="R236" i="4"/>
  <c r="O236" i="4"/>
  <c r="J236" i="4"/>
  <c r="I236" i="4"/>
  <c r="H236" i="4"/>
  <c r="G236" i="4"/>
  <c r="F236" i="4"/>
  <c r="E236" i="4"/>
  <c r="S236" i="4" s="1"/>
  <c r="D236" i="4"/>
  <c r="C236" i="4"/>
  <c r="B236" i="4"/>
  <c r="A236" i="4"/>
  <c r="S235" i="4"/>
  <c r="J235" i="4"/>
  <c r="I235" i="4"/>
  <c r="H235" i="4"/>
  <c r="G235" i="4"/>
  <c r="D235" i="4" s="1"/>
  <c r="F235" i="4"/>
  <c r="E235" i="4"/>
  <c r="C235" i="4"/>
  <c r="B235" i="4"/>
  <c r="A235" i="4"/>
  <c r="S234" i="4"/>
  <c r="K234" i="4"/>
  <c r="J234" i="4"/>
  <c r="I234" i="4"/>
  <c r="H234" i="4"/>
  <c r="G234" i="4"/>
  <c r="D234" i="4" s="1"/>
  <c r="F234" i="4"/>
  <c r="E234" i="4"/>
  <c r="C234" i="4"/>
  <c r="B234" i="4"/>
  <c r="A234" i="4"/>
  <c r="O233" i="4"/>
  <c r="K233" i="4"/>
  <c r="J233" i="4"/>
  <c r="I233" i="4"/>
  <c r="H233" i="4"/>
  <c r="G233" i="4"/>
  <c r="F233" i="4"/>
  <c r="E233" i="4"/>
  <c r="C233" i="4"/>
  <c r="B233" i="4"/>
  <c r="A233" i="4"/>
  <c r="O232" i="4"/>
  <c r="J232" i="4"/>
  <c r="I232" i="4"/>
  <c r="H232" i="4"/>
  <c r="G232" i="4"/>
  <c r="F232" i="4"/>
  <c r="D232" i="4" s="1"/>
  <c r="E232" i="4"/>
  <c r="C232" i="4"/>
  <c r="B232" i="4"/>
  <c r="A232" i="4"/>
  <c r="O231" i="4"/>
  <c r="J231" i="4"/>
  <c r="I231" i="4"/>
  <c r="R231" i="4" s="1"/>
  <c r="H231" i="4"/>
  <c r="G231" i="4"/>
  <c r="F231" i="4"/>
  <c r="E231" i="4"/>
  <c r="C231" i="4"/>
  <c r="B231" i="4"/>
  <c r="A231" i="4"/>
  <c r="O230" i="4"/>
  <c r="K230" i="4"/>
  <c r="J230" i="4"/>
  <c r="R230" i="4" s="1"/>
  <c r="I230" i="4"/>
  <c r="H230" i="4"/>
  <c r="G230" i="4"/>
  <c r="S230" i="4" s="1"/>
  <c r="F230" i="4"/>
  <c r="E230" i="4"/>
  <c r="C230" i="4"/>
  <c r="B230" i="4"/>
  <c r="A230" i="4"/>
  <c r="K229" i="4"/>
  <c r="J229" i="4"/>
  <c r="S229" i="4" s="1"/>
  <c r="I229" i="4"/>
  <c r="H229" i="4"/>
  <c r="G229" i="4"/>
  <c r="F229" i="4"/>
  <c r="E229" i="4"/>
  <c r="C229" i="4"/>
  <c r="B229" i="4"/>
  <c r="A229" i="4"/>
  <c r="J228" i="4"/>
  <c r="S228" i="4" s="1"/>
  <c r="I228" i="4"/>
  <c r="H228" i="4"/>
  <c r="G228" i="4"/>
  <c r="F228" i="4"/>
  <c r="E228" i="4"/>
  <c r="C228" i="4"/>
  <c r="B228" i="4"/>
  <c r="A228" i="4"/>
  <c r="O227" i="4"/>
  <c r="K227" i="4"/>
  <c r="J227" i="4"/>
  <c r="D227" i="4" s="1"/>
  <c r="I227" i="4"/>
  <c r="H227" i="4"/>
  <c r="G227" i="4"/>
  <c r="F227" i="4"/>
  <c r="E227" i="4"/>
  <c r="C227" i="4"/>
  <c r="B227" i="4"/>
  <c r="A227" i="4"/>
  <c r="L226" i="4"/>
  <c r="S226" i="4" s="1"/>
  <c r="J226" i="4"/>
  <c r="I226" i="4"/>
  <c r="H226" i="4"/>
  <c r="G226" i="4"/>
  <c r="F226" i="4"/>
  <c r="D226" i="4" s="1"/>
  <c r="E226" i="4"/>
  <c r="C226" i="4"/>
  <c r="B226" i="4"/>
  <c r="A226" i="4"/>
  <c r="R225" i="4"/>
  <c r="K225" i="4"/>
  <c r="J225" i="4"/>
  <c r="I225" i="4"/>
  <c r="H225" i="4"/>
  <c r="G225" i="4"/>
  <c r="F225" i="4"/>
  <c r="D225" i="4" s="1"/>
  <c r="E225" i="4"/>
  <c r="C225" i="4"/>
  <c r="B225" i="4"/>
  <c r="A225" i="4"/>
  <c r="S224" i="4"/>
  <c r="O224" i="4"/>
  <c r="L224" i="4"/>
  <c r="K224" i="4"/>
  <c r="J224" i="4"/>
  <c r="I224" i="4"/>
  <c r="H224" i="4"/>
  <c r="D224" i="4" s="1"/>
  <c r="G224" i="4"/>
  <c r="F224" i="4"/>
  <c r="E224" i="4"/>
  <c r="C224" i="4"/>
  <c r="B224" i="4"/>
  <c r="A224" i="4"/>
  <c r="J223" i="4"/>
  <c r="I223" i="4"/>
  <c r="H223" i="4"/>
  <c r="G223" i="4"/>
  <c r="F223" i="4"/>
  <c r="D223" i="4" s="1"/>
  <c r="E223" i="4"/>
  <c r="C223" i="4"/>
  <c r="B223" i="4"/>
  <c r="A223" i="4"/>
  <c r="J222" i="4"/>
  <c r="I222" i="4"/>
  <c r="H222" i="4"/>
  <c r="D222" i="4" s="1"/>
  <c r="G222" i="4"/>
  <c r="F222" i="4"/>
  <c r="E222" i="4"/>
  <c r="C222" i="4"/>
  <c r="B222" i="4"/>
  <c r="A222" i="4"/>
  <c r="J221" i="4"/>
  <c r="I221" i="4"/>
  <c r="H221" i="4"/>
  <c r="G221" i="4"/>
  <c r="F221" i="4"/>
  <c r="E221" i="4"/>
  <c r="D221" i="4" s="1"/>
  <c r="C221" i="4"/>
  <c r="B221" i="4"/>
  <c r="A221" i="4"/>
  <c r="J220" i="4"/>
  <c r="I220" i="4"/>
  <c r="H220" i="4"/>
  <c r="G220" i="4"/>
  <c r="F220" i="4"/>
  <c r="E220" i="4"/>
  <c r="D220" i="4" s="1"/>
  <c r="C220" i="4"/>
  <c r="B220" i="4"/>
  <c r="A220" i="4"/>
  <c r="J219" i="4"/>
  <c r="I219" i="4"/>
  <c r="H219" i="4"/>
  <c r="G219" i="4"/>
  <c r="F219" i="4"/>
  <c r="E219" i="4"/>
  <c r="D219" i="4" s="1"/>
  <c r="C219" i="4"/>
  <c r="B219" i="4"/>
  <c r="A219" i="4"/>
  <c r="J218" i="4"/>
  <c r="I218" i="4"/>
  <c r="H218" i="4"/>
  <c r="D218" i="4" s="1"/>
  <c r="G218" i="4"/>
  <c r="F218" i="4"/>
  <c r="E218" i="4"/>
  <c r="C218" i="4"/>
  <c r="B218" i="4"/>
  <c r="A218" i="4"/>
  <c r="J217" i="4"/>
  <c r="I217" i="4"/>
  <c r="H217" i="4"/>
  <c r="G217" i="4"/>
  <c r="F217" i="4"/>
  <c r="D217" i="4" s="1"/>
  <c r="E217" i="4"/>
  <c r="C217" i="4"/>
  <c r="B217" i="4"/>
  <c r="A217" i="4"/>
  <c r="J216" i="4"/>
  <c r="I216" i="4"/>
  <c r="H216" i="4"/>
  <c r="D216" i="4" s="1"/>
  <c r="G216" i="4"/>
  <c r="F216" i="4"/>
  <c r="E216" i="4"/>
  <c r="C216" i="4"/>
  <c r="B216" i="4"/>
  <c r="A216" i="4"/>
  <c r="J215" i="4"/>
  <c r="I215" i="4"/>
  <c r="H215" i="4"/>
  <c r="G215" i="4"/>
  <c r="F215" i="4"/>
  <c r="E215" i="4"/>
  <c r="D215" i="4" s="1"/>
  <c r="C215" i="4"/>
  <c r="B215" i="4"/>
  <c r="A215" i="4"/>
  <c r="J214" i="4"/>
  <c r="I214" i="4"/>
  <c r="H214" i="4"/>
  <c r="G214" i="4"/>
  <c r="F214" i="4"/>
  <c r="E214" i="4"/>
  <c r="D214" i="4" s="1"/>
  <c r="C214" i="4"/>
  <c r="B214" i="4"/>
  <c r="A214" i="4"/>
  <c r="J213" i="4"/>
  <c r="I213" i="4"/>
  <c r="H213" i="4"/>
  <c r="G213" i="4"/>
  <c r="F213" i="4"/>
  <c r="E213" i="4"/>
  <c r="D213" i="4" s="1"/>
  <c r="C213" i="4"/>
  <c r="B213" i="4"/>
  <c r="A213" i="4"/>
  <c r="J212" i="4"/>
  <c r="I212" i="4"/>
  <c r="H212" i="4"/>
  <c r="D212" i="4" s="1"/>
  <c r="G212" i="4"/>
  <c r="F212" i="4"/>
  <c r="E212" i="4"/>
  <c r="C212" i="4"/>
  <c r="B212" i="4"/>
  <c r="A212" i="4"/>
  <c r="J211" i="4"/>
  <c r="I211" i="4"/>
  <c r="H211" i="4"/>
  <c r="G211" i="4"/>
  <c r="F211" i="4"/>
  <c r="D211" i="4" s="1"/>
  <c r="E211" i="4"/>
  <c r="C211" i="4"/>
  <c r="B211" i="4"/>
  <c r="A211" i="4"/>
  <c r="J210" i="4"/>
  <c r="I210" i="4"/>
  <c r="H210" i="4"/>
  <c r="D210" i="4" s="1"/>
  <c r="G210" i="4"/>
  <c r="F210" i="4"/>
  <c r="E210" i="4"/>
  <c r="C210" i="4"/>
  <c r="B210" i="4"/>
  <c r="A210" i="4"/>
  <c r="J209" i="4"/>
  <c r="I209" i="4"/>
  <c r="H209" i="4"/>
  <c r="G209" i="4"/>
  <c r="F209" i="4"/>
  <c r="E209" i="4"/>
  <c r="D209" i="4" s="1"/>
  <c r="C209" i="4"/>
  <c r="B209" i="4"/>
  <c r="A209" i="4"/>
  <c r="J208" i="4"/>
  <c r="I208" i="4"/>
  <c r="H208" i="4"/>
  <c r="G208" i="4"/>
  <c r="F208" i="4"/>
  <c r="E208" i="4"/>
  <c r="D208" i="4" s="1"/>
  <c r="C208" i="4"/>
  <c r="B208" i="4"/>
  <c r="A208" i="4"/>
  <c r="J207" i="4"/>
  <c r="I207" i="4"/>
  <c r="H207" i="4"/>
  <c r="G207" i="4"/>
  <c r="F207" i="4"/>
  <c r="E207" i="4"/>
  <c r="D207" i="4" s="1"/>
  <c r="C207" i="4"/>
  <c r="B207" i="4"/>
  <c r="A207" i="4"/>
  <c r="N206" i="4"/>
  <c r="M206" i="4"/>
  <c r="J206" i="4"/>
  <c r="I206" i="4"/>
  <c r="H206" i="4"/>
  <c r="G206" i="4"/>
  <c r="F206" i="4"/>
  <c r="E206" i="4"/>
  <c r="C206" i="4"/>
  <c r="B206" i="4"/>
  <c r="A206" i="4"/>
  <c r="P205" i="4"/>
  <c r="N205" i="4"/>
  <c r="S205" i="4" s="1"/>
  <c r="M205" i="4"/>
  <c r="J205" i="4"/>
  <c r="I205" i="4"/>
  <c r="H205" i="4"/>
  <c r="G205" i="4"/>
  <c r="F205" i="4"/>
  <c r="E205" i="4"/>
  <c r="C205" i="4"/>
  <c r="B205" i="4"/>
  <c r="A205" i="4"/>
  <c r="P204" i="4"/>
  <c r="N204" i="4"/>
  <c r="M204" i="4"/>
  <c r="J204" i="4"/>
  <c r="I204" i="4"/>
  <c r="H204" i="4"/>
  <c r="G204" i="4"/>
  <c r="F204" i="4"/>
  <c r="S204" i="4" s="1"/>
  <c r="E204" i="4"/>
  <c r="D204" i="4" s="1"/>
  <c r="C204" i="4"/>
  <c r="B204" i="4"/>
  <c r="A204" i="4"/>
  <c r="K203" i="4"/>
  <c r="J203" i="4"/>
  <c r="I203" i="4"/>
  <c r="H203" i="4"/>
  <c r="G203" i="4"/>
  <c r="D203" i="4" s="1"/>
  <c r="F203" i="4"/>
  <c r="E203" i="4"/>
  <c r="S203" i="4" s="1"/>
  <c r="C203" i="4"/>
  <c r="B203" i="4"/>
  <c r="A203" i="4"/>
  <c r="K202" i="4"/>
  <c r="J202" i="4"/>
  <c r="I202" i="4"/>
  <c r="H202" i="4"/>
  <c r="G202" i="4"/>
  <c r="D202" i="4" s="1"/>
  <c r="F202" i="4"/>
  <c r="E202" i="4"/>
  <c r="S202" i="4" s="1"/>
  <c r="C202" i="4"/>
  <c r="B202" i="4"/>
  <c r="A202" i="4"/>
  <c r="K201" i="4"/>
  <c r="J201" i="4"/>
  <c r="I201" i="4"/>
  <c r="H201" i="4"/>
  <c r="G201" i="4"/>
  <c r="F201" i="4"/>
  <c r="E201" i="4"/>
  <c r="D201" i="4" s="1"/>
  <c r="C201" i="4"/>
  <c r="B201" i="4"/>
  <c r="A201" i="4"/>
  <c r="O200" i="4"/>
  <c r="J200" i="4"/>
  <c r="I200" i="4"/>
  <c r="H200" i="4"/>
  <c r="G200" i="4"/>
  <c r="F200" i="4"/>
  <c r="E200" i="4"/>
  <c r="C200" i="4"/>
  <c r="B200" i="4"/>
  <c r="A200" i="4"/>
  <c r="O199" i="4"/>
  <c r="J199" i="4"/>
  <c r="I199" i="4"/>
  <c r="H199" i="4"/>
  <c r="G199" i="4"/>
  <c r="F199" i="4"/>
  <c r="E199" i="4"/>
  <c r="D199" i="4" s="1"/>
  <c r="C199" i="4"/>
  <c r="B199" i="4"/>
  <c r="A199" i="4"/>
  <c r="J198" i="4"/>
  <c r="I198" i="4"/>
  <c r="H198" i="4"/>
  <c r="G198" i="4"/>
  <c r="F198" i="4"/>
  <c r="R198" i="4" s="1"/>
  <c r="E198" i="4"/>
  <c r="D198" i="4"/>
  <c r="C198" i="4"/>
  <c r="B198" i="4"/>
  <c r="A198" i="4"/>
  <c r="K197" i="4"/>
  <c r="J197" i="4"/>
  <c r="I197" i="4"/>
  <c r="H197" i="4"/>
  <c r="G197" i="4"/>
  <c r="F197" i="4"/>
  <c r="E197" i="4"/>
  <c r="C197" i="4"/>
  <c r="B197" i="4"/>
  <c r="A197" i="4"/>
  <c r="O196" i="4"/>
  <c r="K196" i="4"/>
  <c r="J196" i="4"/>
  <c r="I196" i="4"/>
  <c r="H196" i="4"/>
  <c r="G196" i="4"/>
  <c r="S196" i="4" s="1"/>
  <c r="F196" i="4"/>
  <c r="E196" i="4"/>
  <c r="C196" i="4"/>
  <c r="B196" i="4"/>
  <c r="A196" i="4"/>
  <c r="S195" i="4"/>
  <c r="R195" i="4"/>
  <c r="O195" i="4"/>
  <c r="J195" i="4"/>
  <c r="I195" i="4"/>
  <c r="H195" i="4"/>
  <c r="D195" i="4" s="1"/>
  <c r="G195" i="4"/>
  <c r="F195" i="4"/>
  <c r="E195" i="4"/>
  <c r="C195" i="4"/>
  <c r="B195" i="4"/>
  <c r="A195" i="4"/>
  <c r="S194" i="4"/>
  <c r="R194" i="4"/>
  <c r="O194" i="4"/>
  <c r="J194" i="4"/>
  <c r="I194" i="4"/>
  <c r="H194" i="4"/>
  <c r="G194" i="4"/>
  <c r="F194" i="4"/>
  <c r="E194" i="4"/>
  <c r="D194" i="4"/>
  <c r="C194" i="4"/>
  <c r="B194" i="4"/>
  <c r="A194" i="4"/>
  <c r="O193" i="4"/>
  <c r="K193" i="4"/>
  <c r="J193" i="4"/>
  <c r="I193" i="4"/>
  <c r="H193" i="4"/>
  <c r="G193" i="4"/>
  <c r="F193" i="4"/>
  <c r="S193" i="4" s="1"/>
  <c r="E193" i="4"/>
  <c r="D193" i="4" s="1"/>
  <c r="C193" i="4"/>
  <c r="B193" i="4"/>
  <c r="A193" i="4"/>
  <c r="K192" i="4"/>
  <c r="J192" i="4"/>
  <c r="I192" i="4"/>
  <c r="H192" i="4"/>
  <c r="G192" i="4"/>
  <c r="D192" i="4" s="1"/>
  <c r="F192" i="4"/>
  <c r="E192" i="4"/>
  <c r="S192" i="4" s="1"/>
  <c r="C192" i="4"/>
  <c r="B192" i="4"/>
  <c r="A192" i="4"/>
  <c r="J191" i="4"/>
  <c r="I191" i="4"/>
  <c r="H191" i="4"/>
  <c r="G191" i="4"/>
  <c r="F191" i="4"/>
  <c r="E191" i="4"/>
  <c r="D191" i="4" s="1"/>
  <c r="C191" i="4"/>
  <c r="B191" i="4"/>
  <c r="A191" i="4"/>
  <c r="O190" i="4"/>
  <c r="K190" i="4"/>
  <c r="J190" i="4"/>
  <c r="I190" i="4"/>
  <c r="H190" i="4"/>
  <c r="G190" i="4"/>
  <c r="D190" i="4" s="1"/>
  <c r="F190" i="4"/>
  <c r="E190" i="4"/>
  <c r="S190" i="4" s="1"/>
  <c r="C190" i="4"/>
  <c r="B190" i="4"/>
  <c r="A190" i="4"/>
  <c r="L189" i="4"/>
  <c r="J189" i="4"/>
  <c r="I189" i="4"/>
  <c r="H189" i="4"/>
  <c r="G189" i="4"/>
  <c r="F189" i="4"/>
  <c r="E189" i="4"/>
  <c r="D189" i="4" s="1"/>
  <c r="C189" i="4"/>
  <c r="B189" i="4"/>
  <c r="A189" i="4"/>
  <c r="K188" i="4"/>
  <c r="J188" i="4"/>
  <c r="I188" i="4"/>
  <c r="H188" i="4"/>
  <c r="G188" i="4"/>
  <c r="F188" i="4"/>
  <c r="E188" i="4"/>
  <c r="C188" i="4"/>
  <c r="B188" i="4"/>
  <c r="A188" i="4"/>
  <c r="O187" i="4"/>
  <c r="L187" i="4"/>
  <c r="K187" i="4"/>
  <c r="J187" i="4"/>
  <c r="I187" i="4"/>
  <c r="H187" i="4"/>
  <c r="G187" i="4"/>
  <c r="F187" i="4"/>
  <c r="E187" i="4"/>
  <c r="C187" i="4"/>
  <c r="B187" i="4"/>
  <c r="A187" i="4"/>
  <c r="J186" i="4"/>
  <c r="I186" i="4"/>
  <c r="H186" i="4"/>
  <c r="G186" i="4"/>
  <c r="S186" i="4" s="1"/>
  <c r="F186" i="4"/>
  <c r="E186" i="4"/>
  <c r="C186" i="4"/>
  <c r="B186" i="4"/>
  <c r="A186" i="4"/>
  <c r="J185" i="4"/>
  <c r="I185" i="4"/>
  <c r="H185" i="4"/>
  <c r="G185" i="4"/>
  <c r="S185" i="4" s="1"/>
  <c r="F185" i="4"/>
  <c r="D185" i="4" s="1"/>
  <c r="E185" i="4"/>
  <c r="C185" i="4"/>
  <c r="B185" i="4"/>
  <c r="A185" i="4"/>
  <c r="S184" i="4"/>
  <c r="J184" i="4"/>
  <c r="I184" i="4"/>
  <c r="H184" i="4"/>
  <c r="G184" i="4"/>
  <c r="R184" i="4" s="1"/>
  <c r="F184" i="4"/>
  <c r="E184" i="4"/>
  <c r="C184" i="4"/>
  <c r="B184" i="4"/>
  <c r="A184" i="4"/>
  <c r="S183" i="4"/>
  <c r="R183" i="4"/>
  <c r="J183" i="4"/>
  <c r="I183" i="4"/>
  <c r="H183" i="4"/>
  <c r="G183" i="4"/>
  <c r="F183" i="4"/>
  <c r="D183" i="4" s="1"/>
  <c r="E183" i="4"/>
  <c r="C183" i="4"/>
  <c r="B183" i="4"/>
  <c r="A183" i="4"/>
  <c r="J182" i="4"/>
  <c r="S182" i="4" s="1"/>
  <c r="I182" i="4"/>
  <c r="H182" i="4"/>
  <c r="G182" i="4"/>
  <c r="F182" i="4"/>
  <c r="E182" i="4"/>
  <c r="C182" i="4"/>
  <c r="B182" i="4"/>
  <c r="A182" i="4"/>
  <c r="J181" i="4"/>
  <c r="I181" i="4"/>
  <c r="S181" i="4" s="1"/>
  <c r="H181" i="4"/>
  <c r="G181" i="4"/>
  <c r="F181" i="4"/>
  <c r="E181" i="4"/>
  <c r="C181" i="4"/>
  <c r="B181" i="4"/>
  <c r="A181" i="4"/>
  <c r="S180" i="4"/>
  <c r="J180" i="4"/>
  <c r="I180" i="4"/>
  <c r="H180" i="4"/>
  <c r="R180" i="4" s="1"/>
  <c r="G180" i="4"/>
  <c r="F180" i="4"/>
  <c r="E180" i="4"/>
  <c r="C180" i="4"/>
  <c r="B180" i="4"/>
  <c r="A180" i="4"/>
  <c r="S179" i="4"/>
  <c r="R179" i="4"/>
  <c r="J179" i="4"/>
  <c r="I179" i="4"/>
  <c r="H179" i="4"/>
  <c r="G179" i="4"/>
  <c r="F179" i="4"/>
  <c r="E179" i="4"/>
  <c r="C179" i="4"/>
  <c r="B179" i="4"/>
  <c r="A179" i="4"/>
  <c r="R178" i="4"/>
  <c r="J178" i="4"/>
  <c r="I178" i="4"/>
  <c r="H178" i="4"/>
  <c r="G178" i="4"/>
  <c r="S178" i="4" s="1"/>
  <c r="F178" i="4"/>
  <c r="E178" i="4"/>
  <c r="C178" i="4"/>
  <c r="B178" i="4"/>
  <c r="A178" i="4"/>
  <c r="J177" i="4"/>
  <c r="I177" i="4"/>
  <c r="S177" i="4" s="1"/>
  <c r="H177" i="4"/>
  <c r="G177" i="4"/>
  <c r="F177" i="4"/>
  <c r="E177" i="4"/>
  <c r="C177" i="4"/>
  <c r="B177" i="4"/>
  <c r="A177" i="4"/>
  <c r="J176" i="4"/>
  <c r="I176" i="4"/>
  <c r="H176" i="4"/>
  <c r="R176" i="4" s="1"/>
  <c r="G176" i="4"/>
  <c r="S176" i="4" s="1"/>
  <c r="F176" i="4"/>
  <c r="E176" i="4"/>
  <c r="C176" i="4"/>
  <c r="B176" i="4"/>
  <c r="A176" i="4"/>
  <c r="J175" i="4"/>
  <c r="I175" i="4"/>
  <c r="H175" i="4"/>
  <c r="G175" i="4"/>
  <c r="S175" i="4" s="1"/>
  <c r="F175" i="4"/>
  <c r="E175" i="4"/>
  <c r="C175" i="4"/>
  <c r="B175" i="4"/>
  <c r="A175" i="4"/>
  <c r="J174" i="4"/>
  <c r="I174" i="4"/>
  <c r="H174" i="4"/>
  <c r="G174" i="4"/>
  <c r="S174" i="4" s="1"/>
  <c r="F174" i="4"/>
  <c r="E174" i="4"/>
  <c r="C174" i="4"/>
  <c r="B174" i="4"/>
  <c r="A174" i="4"/>
  <c r="J173" i="4"/>
  <c r="I173" i="4"/>
  <c r="H173" i="4"/>
  <c r="G173" i="4"/>
  <c r="S173" i="4" s="1"/>
  <c r="F173" i="4"/>
  <c r="D173" i="4" s="1"/>
  <c r="E173" i="4"/>
  <c r="C173" i="4"/>
  <c r="B173" i="4"/>
  <c r="A173" i="4"/>
  <c r="S172" i="4"/>
  <c r="J172" i="4"/>
  <c r="I172" i="4"/>
  <c r="H172" i="4"/>
  <c r="G172" i="4"/>
  <c r="R172" i="4" s="1"/>
  <c r="F172" i="4"/>
  <c r="E172" i="4"/>
  <c r="C172" i="4"/>
  <c r="B172" i="4"/>
  <c r="A172" i="4"/>
  <c r="S171" i="4"/>
  <c r="R171" i="4"/>
  <c r="J171" i="4"/>
  <c r="I171" i="4"/>
  <c r="H171" i="4"/>
  <c r="G171" i="4"/>
  <c r="F171" i="4"/>
  <c r="D171" i="4" s="1"/>
  <c r="E171" i="4"/>
  <c r="C171" i="4"/>
  <c r="B171" i="4"/>
  <c r="A171" i="4"/>
  <c r="J170" i="4"/>
  <c r="S170" i="4" s="1"/>
  <c r="I170" i="4"/>
  <c r="H170" i="4"/>
  <c r="G170" i="4"/>
  <c r="F170" i="4"/>
  <c r="E170" i="4"/>
  <c r="C170" i="4"/>
  <c r="B170" i="4"/>
  <c r="A170" i="4"/>
  <c r="N169" i="4"/>
  <c r="M169" i="4"/>
  <c r="S169" i="4" s="1"/>
  <c r="J169" i="4"/>
  <c r="I169" i="4"/>
  <c r="H169" i="4"/>
  <c r="G169" i="4"/>
  <c r="F169" i="4"/>
  <c r="E169" i="4"/>
  <c r="D169" i="4"/>
  <c r="C169" i="4"/>
  <c r="B169" i="4"/>
  <c r="A169" i="4"/>
  <c r="P168" i="4"/>
  <c r="N168" i="4"/>
  <c r="M168" i="4"/>
  <c r="J168" i="4"/>
  <c r="I168" i="4"/>
  <c r="H168" i="4"/>
  <c r="G168" i="4"/>
  <c r="F168" i="4"/>
  <c r="S168" i="4" s="1"/>
  <c r="E168" i="4"/>
  <c r="D168" i="4" s="1"/>
  <c r="C168" i="4"/>
  <c r="B168" i="4"/>
  <c r="A168" i="4"/>
  <c r="P167" i="4"/>
  <c r="N167" i="4"/>
  <c r="M167" i="4"/>
  <c r="J167" i="4"/>
  <c r="I167" i="4"/>
  <c r="H167" i="4"/>
  <c r="D167" i="4" s="1"/>
  <c r="G167" i="4"/>
  <c r="F167" i="4"/>
  <c r="E167" i="4"/>
  <c r="S167" i="4" s="1"/>
  <c r="C167" i="4"/>
  <c r="B167" i="4"/>
  <c r="A167" i="4"/>
  <c r="K166" i="4"/>
  <c r="J166" i="4"/>
  <c r="I166" i="4"/>
  <c r="H166" i="4"/>
  <c r="G166" i="4"/>
  <c r="D166" i="4" s="1"/>
  <c r="F166" i="4"/>
  <c r="E166" i="4"/>
  <c r="C166" i="4"/>
  <c r="B166" i="4"/>
  <c r="A166" i="4"/>
  <c r="K165" i="4"/>
  <c r="J165" i="4"/>
  <c r="I165" i="4"/>
  <c r="H165" i="4"/>
  <c r="G165" i="4"/>
  <c r="F165" i="4"/>
  <c r="E165" i="4"/>
  <c r="R165" i="4" s="1"/>
  <c r="C165" i="4"/>
  <c r="B165" i="4"/>
  <c r="A165" i="4"/>
  <c r="K164" i="4"/>
  <c r="J164" i="4"/>
  <c r="I164" i="4"/>
  <c r="H164" i="4"/>
  <c r="G164" i="4"/>
  <c r="F164" i="4"/>
  <c r="S164" i="4" s="1"/>
  <c r="E164" i="4"/>
  <c r="C164" i="4"/>
  <c r="B164" i="4"/>
  <c r="A164" i="4"/>
  <c r="O163" i="4"/>
  <c r="J163" i="4"/>
  <c r="I163" i="4"/>
  <c r="H163" i="4"/>
  <c r="G163" i="4"/>
  <c r="S163" i="4" s="1"/>
  <c r="F163" i="4"/>
  <c r="E163" i="4"/>
  <c r="C163" i="4"/>
  <c r="B163" i="4"/>
  <c r="A163" i="4"/>
  <c r="O162" i="4"/>
  <c r="J162" i="4"/>
  <c r="I162" i="4"/>
  <c r="H162" i="4"/>
  <c r="D162" i="4" s="1"/>
  <c r="G162" i="4"/>
  <c r="F162" i="4"/>
  <c r="E162" i="4"/>
  <c r="C162" i="4"/>
  <c r="B162" i="4"/>
  <c r="A162" i="4"/>
  <c r="J161" i="4"/>
  <c r="I161" i="4"/>
  <c r="H161" i="4"/>
  <c r="G161" i="4"/>
  <c r="F161" i="4"/>
  <c r="E161" i="4"/>
  <c r="C161" i="4"/>
  <c r="B161" i="4"/>
  <c r="A161" i="4"/>
  <c r="K160" i="4"/>
  <c r="J160" i="4"/>
  <c r="I160" i="4"/>
  <c r="D160" i="4" s="1"/>
  <c r="H160" i="4"/>
  <c r="G160" i="4"/>
  <c r="F160" i="4"/>
  <c r="E160" i="4"/>
  <c r="C160" i="4"/>
  <c r="B160" i="4"/>
  <c r="A160" i="4"/>
  <c r="O159" i="4"/>
  <c r="K159" i="4"/>
  <c r="J159" i="4"/>
  <c r="I159" i="4"/>
  <c r="H159" i="4"/>
  <c r="G159" i="4"/>
  <c r="F159" i="4"/>
  <c r="E159" i="4"/>
  <c r="S159" i="4" s="1"/>
  <c r="D159" i="4"/>
  <c r="C159" i="4"/>
  <c r="B159" i="4"/>
  <c r="A159" i="4"/>
  <c r="O158" i="4"/>
  <c r="J158" i="4"/>
  <c r="I158" i="4"/>
  <c r="H158" i="4"/>
  <c r="G158" i="4"/>
  <c r="F158" i="4"/>
  <c r="E158" i="4"/>
  <c r="D158" i="4" s="1"/>
  <c r="C158" i="4"/>
  <c r="B158" i="4"/>
  <c r="A158" i="4"/>
  <c r="O157" i="4"/>
  <c r="J157" i="4"/>
  <c r="I157" i="4"/>
  <c r="H157" i="4"/>
  <c r="G157" i="4"/>
  <c r="F157" i="4"/>
  <c r="E157" i="4"/>
  <c r="R157" i="4" s="1"/>
  <c r="C157" i="4"/>
  <c r="B157" i="4"/>
  <c r="A157" i="4"/>
  <c r="O156" i="4"/>
  <c r="K156" i="4"/>
  <c r="J156" i="4"/>
  <c r="I156" i="4"/>
  <c r="H156" i="4"/>
  <c r="G156" i="4"/>
  <c r="F156" i="4"/>
  <c r="E156" i="4"/>
  <c r="D156" i="4" s="1"/>
  <c r="C156" i="4"/>
  <c r="B156" i="4"/>
  <c r="A156" i="4"/>
  <c r="K155" i="4"/>
  <c r="J155" i="4"/>
  <c r="I155" i="4"/>
  <c r="H155" i="4"/>
  <c r="D155" i="4" s="1"/>
  <c r="G155" i="4"/>
  <c r="F155" i="4"/>
  <c r="E155" i="4"/>
  <c r="C155" i="4"/>
  <c r="B155" i="4"/>
  <c r="A155" i="4"/>
  <c r="J154" i="4"/>
  <c r="I154" i="4"/>
  <c r="H154" i="4"/>
  <c r="G154" i="4"/>
  <c r="D154" i="4" s="1"/>
  <c r="F154" i="4"/>
  <c r="E154" i="4"/>
  <c r="R154" i="4" s="1"/>
  <c r="C154" i="4"/>
  <c r="B154" i="4"/>
  <c r="A154" i="4"/>
  <c r="O153" i="4"/>
  <c r="K153" i="4"/>
  <c r="J153" i="4"/>
  <c r="I153" i="4"/>
  <c r="H153" i="4"/>
  <c r="G153" i="4"/>
  <c r="F153" i="4"/>
  <c r="R153" i="4" s="1"/>
  <c r="E153" i="4"/>
  <c r="C153" i="4"/>
  <c r="B153" i="4"/>
  <c r="A153" i="4"/>
  <c r="L152" i="4"/>
  <c r="J152" i="4"/>
  <c r="I152" i="4"/>
  <c r="H152" i="4"/>
  <c r="G152" i="4"/>
  <c r="S152" i="4" s="1"/>
  <c r="F152" i="4"/>
  <c r="E152" i="4"/>
  <c r="C152" i="4"/>
  <c r="B152" i="4"/>
  <c r="A152" i="4"/>
  <c r="K151" i="4"/>
  <c r="J151" i="4"/>
  <c r="I151" i="4"/>
  <c r="H151" i="4"/>
  <c r="G151" i="4"/>
  <c r="F151" i="4"/>
  <c r="E151" i="4"/>
  <c r="C151" i="4"/>
  <c r="B151" i="4"/>
  <c r="A151" i="4"/>
  <c r="O150" i="4"/>
  <c r="L150" i="4"/>
  <c r="K150" i="4"/>
  <c r="J150" i="4"/>
  <c r="I150" i="4"/>
  <c r="H150" i="4"/>
  <c r="G150" i="4"/>
  <c r="F150" i="4"/>
  <c r="D150" i="4" s="1"/>
  <c r="E150" i="4"/>
  <c r="C150" i="4"/>
  <c r="B150" i="4"/>
  <c r="A150" i="4"/>
  <c r="R149" i="4"/>
  <c r="J149" i="4"/>
  <c r="I149" i="4"/>
  <c r="H149" i="4"/>
  <c r="G149" i="4"/>
  <c r="F149" i="4"/>
  <c r="D149" i="4" s="1"/>
  <c r="E149" i="4"/>
  <c r="C149" i="4"/>
  <c r="B149" i="4"/>
  <c r="A149" i="4"/>
  <c r="R148" i="4"/>
  <c r="J148" i="4"/>
  <c r="I148" i="4"/>
  <c r="H148" i="4"/>
  <c r="G148" i="4"/>
  <c r="F148" i="4"/>
  <c r="D148" i="4" s="1"/>
  <c r="E148" i="4"/>
  <c r="C148" i="4"/>
  <c r="B148" i="4"/>
  <c r="A148" i="4"/>
  <c r="R147" i="4"/>
  <c r="J147" i="4"/>
  <c r="I147" i="4"/>
  <c r="H147" i="4"/>
  <c r="G147" i="4"/>
  <c r="F147" i="4"/>
  <c r="D147" i="4" s="1"/>
  <c r="E147" i="4"/>
  <c r="C147" i="4"/>
  <c r="B147" i="4"/>
  <c r="A147" i="4"/>
  <c r="R146" i="4"/>
  <c r="J146" i="4"/>
  <c r="I146" i="4"/>
  <c r="H146" i="4"/>
  <c r="G146" i="4"/>
  <c r="F146" i="4"/>
  <c r="D146" i="4" s="1"/>
  <c r="E146" i="4"/>
  <c r="C146" i="4"/>
  <c r="B146" i="4"/>
  <c r="A146" i="4"/>
  <c r="R145" i="4"/>
  <c r="J145" i="4"/>
  <c r="I145" i="4"/>
  <c r="H145" i="4"/>
  <c r="G145" i="4"/>
  <c r="F145" i="4"/>
  <c r="D145" i="4" s="1"/>
  <c r="E145" i="4"/>
  <c r="C145" i="4"/>
  <c r="B145" i="4"/>
  <c r="A145" i="4"/>
  <c r="R144" i="4"/>
  <c r="J144" i="4"/>
  <c r="I144" i="4"/>
  <c r="H144" i="4"/>
  <c r="G144" i="4"/>
  <c r="F144" i="4"/>
  <c r="D144" i="4" s="1"/>
  <c r="E144" i="4"/>
  <c r="C144" i="4"/>
  <c r="B144" i="4"/>
  <c r="A144" i="4"/>
  <c r="R143" i="4"/>
  <c r="J143" i="4"/>
  <c r="I143" i="4"/>
  <c r="H143" i="4"/>
  <c r="G143" i="4"/>
  <c r="F143" i="4"/>
  <c r="D143" i="4" s="1"/>
  <c r="E143" i="4"/>
  <c r="C143" i="4"/>
  <c r="B143" i="4"/>
  <c r="A143" i="4"/>
  <c r="R142" i="4"/>
  <c r="J142" i="4"/>
  <c r="I142" i="4"/>
  <c r="H142" i="4"/>
  <c r="G142" i="4"/>
  <c r="F142" i="4"/>
  <c r="D142" i="4" s="1"/>
  <c r="E142" i="4"/>
  <c r="C142" i="4"/>
  <c r="B142" i="4"/>
  <c r="A142" i="4"/>
  <c r="R141" i="4"/>
  <c r="J141" i="4"/>
  <c r="I141" i="4"/>
  <c r="H141" i="4"/>
  <c r="G141" i="4"/>
  <c r="F141" i="4"/>
  <c r="D141" i="4" s="1"/>
  <c r="E141" i="4"/>
  <c r="C141" i="4"/>
  <c r="B141" i="4"/>
  <c r="A141" i="4"/>
  <c r="R140" i="4"/>
  <c r="J140" i="4"/>
  <c r="I140" i="4"/>
  <c r="H140" i="4"/>
  <c r="G140" i="4"/>
  <c r="F140" i="4"/>
  <c r="D140" i="4" s="1"/>
  <c r="E140" i="4"/>
  <c r="C140" i="4"/>
  <c r="B140" i="4"/>
  <c r="A140" i="4"/>
  <c r="R139" i="4"/>
  <c r="J139" i="4"/>
  <c r="I139" i="4"/>
  <c r="H139" i="4"/>
  <c r="G139" i="4"/>
  <c r="F139" i="4"/>
  <c r="D139" i="4" s="1"/>
  <c r="E139" i="4"/>
  <c r="C139" i="4"/>
  <c r="B139" i="4"/>
  <c r="A139" i="4"/>
  <c r="R138" i="4"/>
  <c r="J138" i="4"/>
  <c r="I138" i="4"/>
  <c r="H138" i="4"/>
  <c r="G138" i="4"/>
  <c r="F138" i="4"/>
  <c r="D138" i="4" s="1"/>
  <c r="E138" i="4"/>
  <c r="C138" i="4"/>
  <c r="B138" i="4"/>
  <c r="A138" i="4"/>
  <c r="R137" i="4"/>
  <c r="J137" i="4"/>
  <c r="I137" i="4"/>
  <c r="H137" i="4"/>
  <c r="G137" i="4"/>
  <c r="F137" i="4"/>
  <c r="D137" i="4" s="1"/>
  <c r="E137" i="4"/>
  <c r="C137" i="4"/>
  <c r="B137" i="4"/>
  <c r="A137" i="4"/>
  <c r="R136" i="4"/>
  <c r="J136" i="4"/>
  <c r="I136" i="4"/>
  <c r="H136" i="4"/>
  <c r="G136" i="4"/>
  <c r="F136" i="4"/>
  <c r="D136" i="4" s="1"/>
  <c r="E136" i="4"/>
  <c r="C136" i="4"/>
  <c r="B136" i="4"/>
  <c r="A136" i="4"/>
  <c r="R135" i="4"/>
  <c r="J135" i="4"/>
  <c r="I135" i="4"/>
  <c r="H135" i="4"/>
  <c r="G135" i="4"/>
  <c r="F135" i="4"/>
  <c r="D135" i="4" s="1"/>
  <c r="E135" i="4"/>
  <c r="C135" i="4"/>
  <c r="B135" i="4"/>
  <c r="A135" i="4"/>
  <c r="R134" i="4"/>
  <c r="J134" i="4"/>
  <c r="I134" i="4"/>
  <c r="H134" i="4"/>
  <c r="G134" i="4"/>
  <c r="F134" i="4"/>
  <c r="D134" i="4" s="1"/>
  <c r="E134" i="4"/>
  <c r="C134" i="4"/>
  <c r="B134" i="4"/>
  <c r="A134" i="4"/>
  <c r="R133" i="4"/>
  <c r="J133" i="4"/>
  <c r="I133" i="4"/>
  <c r="H133" i="4"/>
  <c r="G133" i="4"/>
  <c r="F133" i="4"/>
  <c r="D133" i="4" s="1"/>
  <c r="E133" i="4"/>
  <c r="C133" i="4"/>
  <c r="B133" i="4"/>
  <c r="A133" i="4"/>
  <c r="R132" i="4"/>
  <c r="N132" i="4"/>
  <c r="M132" i="4"/>
  <c r="J132" i="4"/>
  <c r="I132" i="4"/>
  <c r="H132" i="4"/>
  <c r="D132" i="4" s="1"/>
  <c r="G132" i="4"/>
  <c r="F132" i="4"/>
  <c r="E132" i="4"/>
  <c r="C132" i="4"/>
  <c r="B132" i="4"/>
  <c r="A132" i="4"/>
  <c r="P131" i="4"/>
  <c r="N131" i="4"/>
  <c r="M131" i="4"/>
  <c r="J131" i="4"/>
  <c r="I131" i="4"/>
  <c r="H131" i="4"/>
  <c r="G131" i="4"/>
  <c r="F131" i="4"/>
  <c r="E131" i="4"/>
  <c r="D131" i="4"/>
  <c r="C131" i="4"/>
  <c r="B131" i="4"/>
  <c r="A131" i="4"/>
  <c r="P130" i="4"/>
  <c r="N130" i="4"/>
  <c r="M130" i="4"/>
  <c r="R130" i="4" s="1"/>
  <c r="J130" i="4"/>
  <c r="I130" i="4"/>
  <c r="H130" i="4"/>
  <c r="G130" i="4"/>
  <c r="F130" i="4"/>
  <c r="D130" i="4" s="1"/>
  <c r="E130" i="4"/>
  <c r="C130" i="4"/>
  <c r="B130" i="4"/>
  <c r="A130" i="4"/>
  <c r="K129" i="4"/>
  <c r="S129" i="4" s="1"/>
  <c r="J129" i="4"/>
  <c r="I129" i="4"/>
  <c r="H129" i="4"/>
  <c r="G129" i="4"/>
  <c r="F129" i="4"/>
  <c r="E129" i="4"/>
  <c r="C129" i="4"/>
  <c r="B129" i="4"/>
  <c r="A129" i="4"/>
  <c r="K128" i="4"/>
  <c r="S128" i="4" s="1"/>
  <c r="J128" i="4"/>
  <c r="I128" i="4"/>
  <c r="H128" i="4"/>
  <c r="G128" i="4"/>
  <c r="F128" i="4"/>
  <c r="E128" i="4"/>
  <c r="D128" i="4"/>
  <c r="C128" i="4"/>
  <c r="B128" i="4"/>
  <c r="A128" i="4"/>
  <c r="K127" i="4"/>
  <c r="J127" i="4"/>
  <c r="I127" i="4"/>
  <c r="H127" i="4"/>
  <c r="G127" i="4"/>
  <c r="F127" i="4"/>
  <c r="E127" i="4"/>
  <c r="S127" i="4" s="1"/>
  <c r="C127" i="4"/>
  <c r="B127" i="4"/>
  <c r="A127" i="4"/>
  <c r="O126" i="4"/>
  <c r="J126" i="4"/>
  <c r="I126" i="4"/>
  <c r="H126" i="4"/>
  <c r="G126" i="4"/>
  <c r="F126" i="4"/>
  <c r="S126" i="4" s="1"/>
  <c r="E126" i="4"/>
  <c r="D126" i="4" s="1"/>
  <c r="C126" i="4"/>
  <c r="B126" i="4"/>
  <c r="A126" i="4"/>
  <c r="O125" i="4"/>
  <c r="J125" i="4"/>
  <c r="I125" i="4"/>
  <c r="H125" i="4"/>
  <c r="G125" i="4"/>
  <c r="F125" i="4"/>
  <c r="E125" i="4"/>
  <c r="D125" i="4" s="1"/>
  <c r="C125" i="4"/>
  <c r="B125" i="4"/>
  <c r="A125" i="4"/>
  <c r="J124" i="4"/>
  <c r="I124" i="4"/>
  <c r="H124" i="4"/>
  <c r="G124" i="4"/>
  <c r="F124" i="4"/>
  <c r="E124" i="4"/>
  <c r="C124" i="4"/>
  <c r="B124" i="4"/>
  <c r="A124" i="4"/>
  <c r="K123" i="4"/>
  <c r="J123" i="4"/>
  <c r="I123" i="4"/>
  <c r="H123" i="4"/>
  <c r="G123" i="4"/>
  <c r="F123" i="4"/>
  <c r="E123" i="4"/>
  <c r="C123" i="4"/>
  <c r="B123" i="4"/>
  <c r="A123" i="4"/>
  <c r="O122" i="4"/>
  <c r="K122" i="4"/>
  <c r="J122" i="4"/>
  <c r="I122" i="4"/>
  <c r="H122" i="4"/>
  <c r="G122" i="4"/>
  <c r="F122" i="4"/>
  <c r="E122" i="4"/>
  <c r="C122" i="4"/>
  <c r="B122" i="4"/>
  <c r="A122" i="4"/>
  <c r="O121" i="4"/>
  <c r="J121" i="4"/>
  <c r="I121" i="4"/>
  <c r="H121" i="4"/>
  <c r="G121" i="4"/>
  <c r="F121" i="4"/>
  <c r="E121" i="4"/>
  <c r="D121" i="4" s="1"/>
  <c r="C121" i="4"/>
  <c r="B121" i="4"/>
  <c r="A121" i="4"/>
  <c r="O120" i="4"/>
  <c r="J120" i="4"/>
  <c r="I120" i="4"/>
  <c r="H120" i="4"/>
  <c r="G120" i="4"/>
  <c r="F120" i="4"/>
  <c r="E120" i="4"/>
  <c r="C120" i="4"/>
  <c r="B120" i="4"/>
  <c r="A120" i="4"/>
  <c r="O119" i="4"/>
  <c r="K119" i="4"/>
  <c r="J119" i="4"/>
  <c r="I119" i="4"/>
  <c r="H119" i="4"/>
  <c r="S119" i="4" s="1"/>
  <c r="G119" i="4"/>
  <c r="F119" i="4"/>
  <c r="D119" i="4" s="1"/>
  <c r="E119" i="4"/>
  <c r="C119" i="4"/>
  <c r="B119" i="4"/>
  <c r="A119" i="4"/>
  <c r="S118" i="4"/>
  <c r="K118" i="4"/>
  <c r="J118" i="4"/>
  <c r="I118" i="4"/>
  <c r="H118" i="4"/>
  <c r="D118" i="4" s="1"/>
  <c r="G118" i="4"/>
  <c r="F118" i="4"/>
  <c r="E118" i="4"/>
  <c r="C118" i="4"/>
  <c r="B118" i="4"/>
  <c r="A118" i="4"/>
  <c r="S117" i="4"/>
  <c r="J117" i="4"/>
  <c r="I117" i="4"/>
  <c r="H117" i="4"/>
  <c r="D117" i="4" s="1"/>
  <c r="G117" i="4"/>
  <c r="F117" i="4"/>
  <c r="E117" i="4"/>
  <c r="C117" i="4"/>
  <c r="B117" i="4"/>
  <c r="A117" i="4"/>
  <c r="R116" i="4"/>
  <c r="O116" i="4"/>
  <c r="K116" i="4"/>
  <c r="J116" i="4"/>
  <c r="I116" i="4"/>
  <c r="H116" i="4"/>
  <c r="G116" i="4"/>
  <c r="F116" i="4"/>
  <c r="E116" i="4"/>
  <c r="D116" i="4" s="1"/>
  <c r="C116" i="4"/>
  <c r="B116" i="4"/>
  <c r="A116" i="4"/>
  <c r="L115" i="4"/>
  <c r="J115" i="4"/>
  <c r="I115" i="4"/>
  <c r="H115" i="4"/>
  <c r="G115" i="4"/>
  <c r="F115" i="4"/>
  <c r="D115" i="4" s="1"/>
  <c r="E115" i="4"/>
  <c r="S115" i="4" s="1"/>
  <c r="C115" i="4"/>
  <c r="B115" i="4"/>
  <c r="A115" i="4"/>
  <c r="K114" i="4"/>
  <c r="J114" i="4"/>
  <c r="I114" i="4"/>
  <c r="H114" i="4"/>
  <c r="G114" i="4"/>
  <c r="D114" i="4" s="1"/>
  <c r="F114" i="4"/>
  <c r="E114" i="4"/>
  <c r="S114" i="4" s="1"/>
  <c r="C114" i="4"/>
  <c r="B114" i="4"/>
  <c r="A114" i="4"/>
  <c r="O113" i="4"/>
  <c r="L113" i="4"/>
  <c r="K113" i="4"/>
  <c r="J113" i="4"/>
  <c r="I113" i="4"/>
  <c r="H113" i="4"/>
  <c r="G113" i="4"/>
  <c r="F113" i="4"/>
  <c r="E113" i="4"/>
  <c r="D113" i="4" s="1"/>
  <c r="C113" i="4"/>
  <c r="B113" i="4"/>
  <c r="A113" i="4"/>
  <c r="J112" i="4"/>
  <c r="I112" i="4"/>
  <c r="H112" i="4"/>
  <c r="G112" i="4"/>
  <c r="D112" i="4" s="1"/>
  <c r="F112" i="4"/>
  <c r="E112" i="4"/>
  <c r="C112" i="4"/>
  <c r="B112" i="4"/>
  <c r="A112" i="4"/>
  <c r="J111" i="4"/>
  <c r="I111" i="4"/>
  <c r="H111" i="4"/>
  <c r="G111" i="4"/>
  <c r="F111" i="4"/>
  <c r="D111" i="4" s="1"/>
  <c r="E111" i="4"/>
  <c r="R111" i="4" s="1"/>
  <c r="C111" i="4"/>
  <c r="B111" i="4"/>
  <c r="A111" i="4"/>
  <c r="J110" i="4"/>
  <c r="I110" i="4"/>
  <c r="H110" i="4"/>
  <c r="G110" i="4"/>
  <c r="F110" i="4"/>
  <c r="E110" i="4"/>
  <c r="C110" i="4"/>
  <c r="B110" i="4"/>
  <c r="A110" i="4"/>
  <c r="J109" i="4"/>
  <c r="I109" i="4"/>
  <c r="H109" i="4"/>
  <c r="G109" i="4"/>
  <c r="F109" i="4"/>
  <c r="E109" i="4"/>
  <c r="S109" i="4" s="1"/>
  <c r="C109" i="4"/>
  <c r="B109" i="4"/>
  <c r="A109" i="4"/>
  <c r="R108" i="4"/>
  <c r="J108" i="4"/>
  <c r="I108" i="4"/>
  <c r="H108" i="4"/>
  <c r="G108" i="4"/>
  <c r="F108" i="4"/>
  <c r="E108" i="4"/>
  <c r="D108" i="4"/>
  <c r="C108" i="4"/>
  <c r="B108" i="4"/>
  <c r="A108" i="4"/>
  <c r="J107" i="4"/>
  <c r="I107" i="4"/>
  <c r="H107" i="4"/>
  <c r="G107" i="4"/>
  <c r="F107" i="4"/>
  <c r="E107" i="4"/>
  <c r="D107" i="4" s="1"/>
  <c r="C107" i="4"/>
  <c r="B107" i="4"/>
  <c r="A107" i="4"/>
  <c r="J106" i="4"/>
  <c r="I106" i="4"/>
  <c r="R106" i="4" s="1"/>
  <c r="H106" i="4"/>
  <c r="G106" i="4"/>
  <c r="F106" i="4"/>
  <c r="E106" i="4"/>
  <c r="C106" i="4"/>
  <c r="B106" i="4"/>
  <c r="A106" i="4"/>
  <c r="J105" i="4"/>
  <c r="I105" i="4"/>
  <c r="H105" i="4"/>
  <c r="R105" i="4" s="1"/>
  <c r="G105" i="4"/>
  <c r="F105" i="4"/>
  <c r="E105" i="4"/>
  <c r="C105" i="4"/>
  <c r="B105" i="4"/>
  <c r="A105" i="4"/>
  <c r="J104" i="4"/>
  <c r="I104" i="4"/>
  <c r="H104" i="4"/>
  <c r="G104" i="4"/>
  <c r="R104" i="4" s="1"/>
  <c r="F104" i="4"/>
  <c r="E104" i="4"/>
  <c r="D104" i="4" s="1"/>
  <c r="C104" i="4"/>
  <c r="B104" i="4"/>
  <c r="A104" i="4"/>
  <c r="R103" i="4"/>
  <c r="J103" i="4"/>
  <c r="I103" i="4"/>
  <c r="H103" i="4"/>
  <c r="G103" i="4"/>
  <c r="F103" i="4"/>
  <c r="D103" i="4" s="1"/>
  <c r="E103" i="4"/>
  <c r="C103" i="4"/>
  <c r="B103" i="4"/>
  <c r="A103" i="4"/>
  <c r="J102" i="4"/>
  <c r="I102" i="4"/>
  <c r="H102" i="4"/>
  <c r="G102" i="4"/>
  <c r="F102" i="4"/>
  <c r="E102" i="4"/>
  <c r="D102" i="4" s="1"/>
  <c r="C102" i="4"/>
  <c r="B102" i="4"/>
  <c r="A102" i="4"/>
  <c r="J101" i="4"/>
  <c r="I101" i="4"/>
  <c r="D101" i="4" s="1"/>
  <c r="H101" i="4"/>
  <c r="G101" i="4"/>
  <c r="F101" i="4"/>
  <c r="E101" i="4"/>
  <c r="C101" i="4"/>
  <c r="B101" i="4"/>
  <c r="A101" i="4"/>
  <c r="J100" i="4"/>
  <c r="I100" i="4"/>
  <c r="H100" i="4"/>
  <c r="G100" i="4"/>
  <c r="F100" i="4"/>
  <c r="E100" i="4"/>
  <c r="D100" i="4" s="1"/>
  <c r="C100" i="4"/>
  <c r="B100" i="4"/>
  <c r="A100" i="4"/>
  <c r="J99" i="4"/>
  <c r="I99" i="4"/>
  <c r="H99" i="4"/>
  <c r="G99" i="4"/>
  <c r="D99" i="4" s="1"/>
  <c r="F99" i="4"/>
  <c r="E99" i="4"/>
  <c r="R99" i="4" s="1"/>
  <c r="C99" i="4"/>
  <c r="B99" i="4"/>
  <c r="A99" i="4"/>
  <c r="J98" i="4"/>
  <c r="I98" i="4"/>
  <c r="H98" i="4"/>
  <c r="G98" i="4"/>
  <c r="F98" i="4"/>
  <c r="E98" i="4"/>
  <c r="C98" i="4"/>
  <c r="B98" i="4"/>
  <c r="A98" i="4"/>
  <c r="J97" i="4"/>
  <c r="I97" i="4"/>
  <c r="H97" i="4"/>
  <c r="G97" i="4"/>
  <c r="F97" i="4"/>
  <c r="E97" i="4"/>
  <c r="S97" i="4" s="1"/>
  <c r="C97" i="4"/>
  <c r="B97" i="4"/>
  <c r="A97" i="4"/>
  <c r="R96" i="4"/>
  <c r="J96" i="4"/>
  <c r="I96" i="4"/>
  <c r="H96" i="4"/>
  <c r="G96" i="4"/>
  <c r="F96" i="4"/>
  <c r="E96" i="4"/>
  <c r="D96" i="4"/>
  <c r="C96" i="4"/>
  <c r="B96" i="4"/>
  <c r="A96" i="4"/>
  <c r="N95" i="4"/>
  <c r="M95" i="4"/>
  <c r="J95" i="4"/>
  <c r="I95" i="4"/>
  <c r="H95" i="4"/>
  <c r="G95" i="4"/>
  <c r="F95" i="4"/>
  <c r="E95" i="4"/>
  <c r="C95" i="4"/>
  <c r="B95" i="4"/>
  <c r="A95" i="4"/>
  <c r="R94" i="4"/>
  <c r="P94" i="4"/>
  <c r="N94" i="4"/>
  <c r="M94" i="4"/>
  <c r="J94" i="4"/>
  <c r="I94" i="4"/>
  <c r="D94" i="4" s="1"/>
  <c r="H94" i="4"/>
  <c r="G94" i="4"/>
  <c r="F94" i="4"/>
  <c r="E94" i="4"/>
  <c r="C94" i="4"/>
  <c r="B94" i="4"/>
  <c r="A94" i="4"/>
  <c r="P93" i="4"/>
  <c r="N93" i="4"/>
  <c r="M93" i="4"/>
  <c r="J93" i="4"/>
  <c r="I93" i="4"/>
  <c r="H93" i="4"/>
  <c r="G93" i="4"/>
  <c r="F93" i="4"/>
  <c r="E93" i="4"/>
  <c r="D93" i="4" s="1"/>
  <c r="C93" i="4"/>
  <c r="B93" i="4"/>
  <c r="A93" i="4"/>
  <c r="K92" i="4"/>
  <c r="J92" i="4"/>
  <c r="I92" i="4"/>
  <c r="H92" i="4"/>
  <c r="G92" i="4"/>
  <c r="F92" i="4"/>
  <c r="D92" i="4" s="1"/>
  <c r="E92" i="4"/>
  <c r="C92" i="4"/>
  <c r="B92" i="4"/>
  <c r="A92" i="4"/>
  <c r="K91" i="4"/>
  <c r="J91" i="4"/>
  <c r="I91" i="4"/>
  <c r="H91" i="4"/>
  <c r="G91" i="4"/>
  <c r="F91" i="4"/>
  <c r="D91" i="4" s="1"/>
  <c r="E91" i="4"/>
  <c r="C91" i="4"/>
  <c r="B91" i="4"/>
  <c r="A91" i="4"/>
  <c r="K90" i="4"/>
  <c r="J90" i="4"/>
  <c r="I90" i="4"/>
  <c r="H90" i="4"/>
  <c r="G90" i="4"/>
  <c r="F90" i="4"/>
  <c r="E90" i="4"/>
  <c r="D90" i="4" s="1"/>
  <c r="C90" i="4"/>
  <c r="B90" i="4"/>
  <c r="A90" i="4"/>
  <c r="O89" i="4"/>
  <c r="J89" i="4"/>
  <c r="I89" i="4"/>
  <c r="D89" i="4" s="1"/>
  <c r="H89" i="4"/>
  <c r="G89" i="4"/>
  <c r="F89" i="4"/>
  <c r="E89" i="4"/>
  <c r="C89" i="4"/>
  <c r="B89" i="4"/>
  <c r="A89" i="4"/>
  <c r="O88" i="4"/>
  <c r="J88" i="4"/>
  <c r="I88" i="4"/>
  <c r="D88" i="4" s="1"/>
  <c r="H88" i="4"/>
  <c r="G88" i="4"/>
  <c r="F88" i="4"/>
  <c r="E88" i="4"/>
  <c r="R88" i="4" s="1"/>
  <c r="C88" i="4"/>
  <c r="B88" i="4"/>
  <c r="A88" i="4"/>
  <c r="J87" i="4"/>
  <c r="I87" i="4"/>
  <c r="D87" i="4" s="1"/>
  <c r="H87" i="4"/>
  <c r="G87" i="4"/>
  <c r="F87" i="4"/>
  <c r="E87" i="4"/>
  <c r="S87" i="4" s="1"/>
  <c r="C87" i="4"/>
  <c r="B87" i="4"/>
  <c r="A87" i="4"/>
  <c r="K86" i="4"/>
  <c r="J86" i="4"/>
  <c r="I86" i="4"/>
  <c r="H86" i="4"/>
  <c r="G86" i="4"/>
  <c r="F86" i="4"/>
  <c r="E86" i="4"/>
  <c r="S86" i="4" s="1"/>
  <c r="C86" i="4"/>
  <c r="B86" i="4"/>
  <c r="A86" i="4"/>
  <c r="O85" i="4"/>
  <c r="K85" i="4"/>
  <c r="R85" i="4" s="1"/>
  <c r="J85" i="4"/>
  <c r="I85" i="4"/>
  <c r="H85" i="4"/>
  <c r="G85" i="4"/>
  <c r="S85" i="4" s="1"/>
  <c r="F85" i="4"/>
  <c r="E85" i="4"/>
  <c r="C85" i="4"/>
  <c r="B85" i="4"/>
  <c r="A85" i="4"/>
  <c r="O84" i="4"/>
  <c r="S84" i="4" s="1"/>
  <c r="J84" i="4"/>
  <c r="I84" i="4"/>
  <c r="H84" i="4"/>
  <c r="D84" i="4" s="1"/>
  <c r="G84" i="4"/>
  <c r="F84" i="4"/>
  <c r="E84" i="4"/>
  <c r="C84" i="4"/>
  <c r="B84" i="4"/>
  <c r="A84" i="4"/>
  <c r="R83" i="4"/>
  <c r="O83" i="4"/>
  <c r="J83" i="4"/>
  <c r="I83" i="4"/>
  <c r="S83" i="4" s="1"/>
  <c r="H83" i="4"/>
  <c r="G83" i="4"/>
  <c r="F83" i="4"/>
  <c r="E83" i="4"/>
  <c r="D83" i="4" s="1"/>
  <c r="C83" i="4"/>
  <c r="B83" i="4"/>
  <c r="A83" i="4"/>
  <c r="S82" i="4"/>
  <c r="O82" i="4"/>
  <c r="K82" i="4"/>
  <c r="R82" i="4" s="1"/>
  <c r="J82" i="4"/>
  <c r="I82" i="4"/>
  <c r="H82" i="4"/>
  <c r="G82" i="4"/>
  <c r="F82" i="4"/>
  <c r="E82" i="4"/>
  <c r="D82" i="4"/>
  <c r="C82" i="4"/>
  <c r="B82" i="4"/>
  <c r="A82" i="4"/>
  <c r="K81" i="4"/>
  <c r="J81" i="4"/>
  <c r="I81" i="4"/>
  <c r="H81" i="4"/>
  <c r="G81" i="4"/>
  <c r="F81" i="4"/>
  <c r="E81" i="4"/>
  <c r="S81" i="4" s="1"/>
  <c r="C81" i="4"/>
  <c r="B81" i="4"/>
  <c r="A81" i="4"/>
  <c r="S80" i="4"/>
  <c r="J80" i="4"/>
  <c r="I80" i="4"/>
  <c r="H80" i="4"/>
  <c r="G80" i="4"/>
  <c r="F80" i="4"/>
  <c r="E80" i="4"/>
  <c r="R80" i="4" s="1"/>
  <c r="D80" i="4"/>
  <c r="C80" i="4"/>
  <c r="B80" i="4"/>
  <c r="A80" i="4"/>
  <c r="O79" i="4"/>
  <c r="K79" i="4"/>
  <c r="J79" i="4"/>
  <c r="I79" i="4"/>
  <c r="H79" i="4"/>
  <c r="G79" i="4"/>
  <c r="F79" i="4"/>
  <c r="E79" i="4"/>
  <c r="D79" i="4" s="1"/>
  <c r="C79" i="4"/>
  <c r="B79" i="4"/>
  <c r="A79" i="4"/>
  <c r="L78" i="4"/>
  <c r="J78" i="4"/>
  <c r="I78" i="4"/>
  <c r="D78" i="4" s="1"/>
  <c r="H78" i="4"/>
  <c r="G78" i="4"/>
  <c r="F78" i="4"/>
  <c r="E78" i="4"/>
  <c r="C78" i="4"/>
  <c r="B78" i="4"/>
  <c r="A78" i="4"/>
  <c r="K77" i="4"/>
  <c r="J77" i="4"/>
  <c r="I77" i="4"/>
  <c r="R77" i="4" s="1"/>
  <c r="H77" i="4"/>
  <c r="G77" i="4"/>
  <c r="F77" i="4"/>
  <c r="E77" i="4"/>
  <c r="C77" i="4"/>
  <c r="B77" i="4"/>
  <c r="A77" i="4"/>
  <c r="O76" i="4"/>
  <c r="L76" i="4"/>
  <c r="K76" i="4"/>
  <c r="J76" i="4"/>
  <c r="I76" i="4"/>
  <c r="H76" i="4"/>
  <c r="G76" i="4"/>
  <c r="S76" i="4" s="1"/>
  <c r="F76" i="4"/>
  <c r="E76" i="4"/>
  <c r="C76" i="4"/>
  <c r="B76" i="4"/>
  <c r="A76" i="4"/>
  <c r="S75" i="4"/>
  <c r="R75" i="4"/>
  <c r="J75" i="4"/>
  <c r="I75" i="4"/>
  <c r="H75" i="4"/>
  <c r="G75" i="4"/>
  <c r="F75" i="4"/>
  <c r="D75" i="4" s="1"/>
  <c r="E75" i="4"/>
  <c r="C75" i="4"/>
  <c r="B75" i="4"/>
  <c r="A75" i="4"/>
  <c r="J74" i="4"/>
  <c r="S74" i="4" s="1"/>
  <c r="I74" i="4"/>
  <c r="H74" i="4"/>
  <c r="G74" i="4"/>
  <c r="F74" i="4"/>
  <c r="E74" i="4"/>
  <c r="C74" i="4"/>
  <c r="B74" i="4"/>
  <c r="A74" i="4"/>
  <c r="J73" i="4"/>
  <c r="I73" i="4"/>
  <c r="S73" i="4" s="1"/>
  <c r="H73" i="4"/>
  <c r="G73" i="4"/>
  <c r="F73" i="4"/>
  <c r="E73" i="4"/>
  <c r="C73" i="4"/>
  <c r="B73" i="4"/>
  <c r="A73" i="4"/>
  <c r="J72" i="4"/>
  <c r="I72" i="4"/>
  <c r="H72" i="4"/>
  <c r="R72" i="4" s="1"/>
  <c r="G72" i="4"/>
  <c r="F72" i="4"/>
  <c r="E72" i="4"/>
  <c r="C72" i="4"/>
  <c r="B72" i="4"/>
  <c r="A72" i="4"/>
  <c r="S71" i="4"/>
  <c r="J71" i="4"/>
  <c r="I71" i="4"/>
  <c r="H71" i="4"/>
  <c r="G71" i="4"/>
  <c r="R71" i="4" s="1"/>
  <c r="F71" i="4"/>
  <c r="E71" i="4"/>
  <c r="C71" i="4"/>
  <c r="B71" i="4"/>
  <c r="A71" i="4"/>
  <c r="R70" i="4"/>
  <c r="J70" i="4"/>
  <c r="I70" i="4"/>
  <c r="H70" i="4"/>
  <c r="G70" i="4"/>
  <c r="S70" i="4" s="1"/>
  <c r="F70" i="4"/>
  <c r="D70" i="4" s="1"/>
  <c r="E70" i="4"/>
  <c r="C70" i="4"/>
  <c r="B70" i="4"/>
  <c r="A70" i="4"/>
  <c r="J69" i="4"/>
  <c r="S69" i="4" s="1"/>
  <c r="I69" i="4"/>
  <c r="H69" i="4"/>
  <c r="G69" i="4"/>
  <c r="R69" i="4" s="1"/>
  <c r="F69" i="4"/>
  <c r="E69" i="4"/>
  <c r="C69" i="4"/>
  <c r="B69" i="4"/>
  <c r="A69" i="4"/>
  <c r="J68" i="4"/>
  <c r="I68" i="4"/>
  <c r="R68" i="4" s="1"/>
  <c r="H68" i="4"/>
  <c r="G68" i="4"/>
  <c r="S68" i="4" s="1"/>
  <c r="F68" i="4"/>
  <c r="E68" i="4"/>
  <c r="C68" i="4"/>
  <c r="B68" i="4"/>
  <c r="A68" i="4"/>
  <c r="J67" i="4"/>
  <c r="I67" i="4"/>
  <c r="H67" i="4"/>
  <c r="G67" i="4"/>
  <c r="S67" i="4" s="1"/>
  <c r="F67" i="4"/>
  <c r="E67" i="4"/>
  <c r="C67" i="4"/>
  <c r="B67" i="4"/>
  <c r="A67" i="4"/>
  <c r="J66" i="4"/>
  <c r="I66" i="4"/>
  <c r="H66" i="4"/>
  <c r="G66" i="4"/>
  <c r="S66" i="4" s="1"/>
  <c r="F66" i="4"/>
  <c r="E66" i="4"/>
  <c r="C66" i="4"/>
  <c r="B66" i="4"/>
  <c r="A66" i="4"/>
  <c r="J65" i="4"/>
  <c r="I65" i="4"/>
  <c r="H65" i="4"/>
  <c r="G65" i="4"/>
  <c r="S65" i="4" s="1"/>
  <c r="F65" i="4"/>
  <c r="D65" i="4" s="1"/>
  <c r="E65" i="4"/>
  <c r="C65" i="4"/>
  <c r="B65" i="4"/>
  <c r="A65" i="4"/>
  <c r="J64" i="4"/>
  <c r="I64" i="4"/>
  <c r="H64" i="4"/>
  <c r="G64" i="4"/>
  <c r="S64" i="4" s="1"/>
  <c r="F64" i="4"/>
  <c r="E64" i="4"/>
  <c r="C64" i="4"/>
  <c r="B64" i="4"/>
  <c r="A64" i="4"/>
  <c r="S63" i="4"/>
  <c r="R63" i="4"/>
  <c r="J63" i="4"/>
  <c r="I63" i="4"/>
  <c r="H63" i="4"/>
  <c r="G63" i="4"/>
  <c r="F63" i="4"/>
  <c r="D63" i="4" s="1"/>
  <c r="E63" i="4"/>
  <c r="C63" i="4"/>
  <c r="B63" i="4"/>
  <c r="A63" i="4"/>
  <c r="J62" i="4"/>
  <c r="S62" i="4" s="1"/>
  <c r="I62" i="4"/>
  <c r="H62" i="4"/>
  <c r="G62" i="4"/>
  <c r="F62" i="4"/>
  <c r="E62" i="4"/>
  <c r="C62" i="4"/>
  <c r="B62" i="4"/>
  <c r="A62" i="4"/>
  <c r="J61" i="4"/>
  <c r="I61" i="4"/>
  <c r="S61" i="4" s="1"/>
  <c r="H61" i="4"/>
  <c r="G61" i="4"/>
  <c r="F61" i="4"/>
  <c r="E61" i="4"/>
  <c r="C61" i="4"/>
  <c r="B61" i="4"/>
  <c r="A61" i="4"/>
  <c r="J60" i="4"/>
  <c r="I60" i="4"/>
  <c r="H60" i="4"/>
  <c r="R60" i="4" s="1"/>
  <c r="G60" i="4"/>
  <c r="F60" i="4"/>
  <c r="E60" i="4"/>
  <c r="C60" i="4"/>
  <c r="B60" i="4"/>
  <c r="A60" i="4"/>
  <c r="S59" i="4"/>
  <c r="J59" i="4"/>
  <c r="I59" i="4"/>
  <c r="H59" i="4"/>
  <c r="G59" i="4"/>
  <c r="R59" i="4" s="1"/>
  <c r="F59" i="4"/>
  <c r="E59" i="4"/>
  <c r="C59" i="4"/>
  <c r="B59" i="4"/>
  <c r="A59" i="4"/>
  <c r="R58" i="4"/>
  <c r="N58" i="4"/>
  <c r="M58" i="4"/>
  <c r="J58" i="4"/>
  <c r="I58" i="4"/>
  <c r="D58" i="4" s="1"/>
  <c r="H58" i="4"/>
  <c r="G58" i="4"/>
  <c r="F58" i="4"/>
  <c r="E58" i="4"/>
  <c r="C58" i="4"/>
  <c r="B58" i="4"/>
  <c r="A58" i="4"/>
  <c r="P57" i="4"/>
  <c r="N57" i="4"/>
  <c r="M57" i="4"/>
  <c r="J57" i="4"/>
  <c r="I57" i="4"/>
  <c r="H57" i="4"/>
  <c r="G57" i="4"/>
  <c r="F57" i="4"/>
  <c r="S57" i="4" s="1"/>
  <c r="E57" i="4"/>
  <c r="R57" i="4" s="1"/>
  <c r="D57" i="4"/>
  <c r="C57" i="4"/>
  <c r="B57" i="4"/>
  <c r="A57" i="4"/>
  <c r="P56" i="4"/>
  <c r="N56" i="4"/>
  <c r="M56" i="4"/>
  <c r="J56" i="4"/>
  <c r="I56" i="4"/>
  <c r="H56" i="4"/>
  <c r="G56" i="4"/>
  <c r="F56" i="4"/>
  <c r="E56" i="4"/>
  <c r="C56" i="4"/>
  <c r="B56" i="4"/>
  <c r="A56" i="4"/>
  <c r="K55" i="4"/>
  <c r="J55" i="4"/>
  <c r="I55" i="4"/>
  <c r="H55" i="4"/>
  <c r="G55" i="4"/>
  <c r="F55" i="4"/>
  <c r="E55" i="4"/>
  <c r="C55" i="4"/>
  <c r="B55" i="4"/>
  <c r="A55" i="4"/>
  <c r="K54" i="4"/>
  <c r="J54" i="4"/>
  <c r="I54" i="4"/>
  <c r="H54" i="4"/>
  <c r="G54" i="4"/>
  <c r="F54" i="4"/>
  <c r="E54" i="4"/>
  <c r="S54" i="4" s="1"/>
  <c r="C54" i="4"/>
  <c r="B54" i="4"/>
  <c r="A54" i="4"/>
  <c r="K53" i="4"/>
  <c r="J53" i="4"/>
  <c r="I53" i="4"/>
  <c r="H53" i="4"/>
  <c r="G53" i="4"/>
  <c r="F53" i="4"/>
  <c r="S53" i="4" s="1"/>
  <c r="E53" i="4"/>
  <c r="C53" i="4"/>
  <c r="B53" i="4"/>
  <c r="A53" i="4"/>
  <c r="O52" i="4"/>
  <c r="J52" i="4"/>
  <c r="I52" i="4"/>
  <c r="H52" i="4"/>
  <c r="G52" i="4"/>
  <c r="S52" i="4" s="1"/>
  <c r="F52" i="4"/>
  <c r="E52" i="4"/>
  <c r="C52" i="4"/>
  <c r="B52" i="4"/>
  <c r="A52" i="4"/>
  <c r="O51" i="4"/>
  <c r="J51" i="4"/>
  <c r="I51" i="4"/>
  <c r="H51" i="4"/>
  <c r="G51" i="4"/>
  <c r="D51" i="4" s="1"/>
  <c r="F51" i="4"/>
  <c r="E51" i="4"/>
  <c r="C51" i="4"/>
  <c r="B51" i="4"/>
  <c r="A51" i="4"/>
  <c r="J50" i="4"/>
  <c r="I50" i="4"/>
  <c r="H50" i="4"/>
  <c r="G50" i="4"/>
  <c r="D50" i="4" s="1"/>
  <c r="F50" i="4"/>
  <c r="E50" i="4"/>
  <c r="C50" i="4"/>
  <c r="B50" i="4"/>
  <c r="A50" i="4"/>
  <c r="K49" i="4"/>
  <c r="J49" i="4"/>
  <c r="I49" i="4"/>
  <c r="H49" i="4"/>
  <c r="G49" i="4"/>
  <c r="F49" i="4"/>
  <c r="E49" i="4"/>
  <c r="D49" i="4" s="1"/>
  <c r="C49" i="4"/>
  <c r="B49" i="4"/>
  <c r="A49" i="4"/>
  <c r="O48" i="4"/>
  <c r="K48" i="4"/>
  <c r="J48" i="4"/>
  <c r="I48" i="4"/>
  <c r="H48" i="4"/>
  <c r="G48" i="4"/>
  <c r="F48" i="4"/>
  <c r="E48" i="4"/>
  <c r="D48" i="4" s="1"/>
  <c r="C48" i="4"/>
  <c r="B48" i="4"/>
  <c r="A48" i="4"/>
  <c r="O47" i="4"/>
  <c r="J47" i="4"/>
  <c r="I47" i="4"/>
  <c r="H47" i="4"/>
  <c r="G47" i="4"/>
  <c r="F47" i="4"/>
  <c r="D47" i="4" s="1"/>
  <c r="E47" i="4"/>
  <c r="C47" i="4"/>
  <c r="B47" i="4"/>
  <c r="A47" i="4"/>
  <c r="R46" i="4"/>
  <c r="O46" i="4"/>
  <c r="J46" i="4"/>
  <c r="I46" i="4"/>
  <c r="H46" i="4"/>
  <c r="G46" i="4"/>
  <c r="S46" i="4" s="1"/>
  <c r="F46" i="4"/>
  <c r="E46" i="4"/>
  <c r="D46" i="4" s="1"/>
  <c r="C46" i="4"/>
  <c r="B46" i="4"/>
  <c r="A46" i="4"/>
  <c r="S45" i="4"/>
  <c r="O45" i="4"/>
  <c r="K45" i="4"/>
  <c r="J45" i="4"/>
  <c r="I45" i="4"/>
  <c r="H45" i="4"/>
  <c r="D45" i="4" s="1"/>
  <c r="G45" i="4"/>
  <c r="F45" i="4"/>
  <c r="E45" i="4"/>
  <c r="C45" i="4"/>
  <c r="B45" i="4"/>
  <c r="A45" i="4"/>
  <c r="K44" i="4"/>
  <c r="J44" i="4"/>
  <c r="I44" i="4"/>
  <c r="H44" i="4"/>
  <c r="D44" i="4" s="1"/>
  <c r="G44" i="4"/>
  <c r="F44" i="4"/>
  <c r="E44" i="4"/>
  <c r="C44" i="4"/>
  <c r="B44" i="4"/>
  <c r="A44" i="4"/>
  <c r="J43" i="4"/>
  <c r="I43" i="4"/>
  <c r="H43" i="4"/>
  <c r="R43" i="4" s="1"/>
  <c r="G43" i="4"/>
  <c r="F43" i="4"/>
  <c r="E43" i="4"/>
  <c r="C43" i="4"/>
  <c r="B43" i="4"/>
  <c r="A43" i="4"/>
  <c r="O42" i="4"/>
  <c r="K42" i="4"/>
  <c r="J42" i="4"/>
  <c r="I42" i="4"/>
  <c r="H42" i="4"/>
  <c r="G42" i="4"/>
  <c r="F42" i="4"/>
  <c r="E42" i="4"/>
  <c r="D42" i="4" s="1"/>
  <c r="C42" i="4"/>
  <c r="B42" i="4"/>
  <c r="A42" i="4"/>
  <c r="L41" i="4"/>
  <c r="J41" i="4"/>
  <c r="S41" i="4" s="1"/>
  <c r="I41" i="4"/>
  <c r="H41" i="4"/>
  <c r="G41" i="4"/>
  <c r="F41" i="4"/>
  <c r="E41" i="4"/>
  <c r="C41" i="4"/>
  <c r="B41" i="4"/>
  <c r="A41" i="4"/>
  <c r="K40" i="4"/>
  <c r="J40" i="4"/>
  <c r="S40" i="4" s="1"/>
  <c r="I40" i="4"/>
  <c r="H40" i="4"/>
  <c r="G40" i="4"/>
  <c r="F40" i="4"/>
  <c r="E40" i="4"/>
  <c r="C40" i="4"/>
  <c r="B40" i="4"/>
  <c r="A40" i="4"/>
  <c r="O39" i="4"/>
  <c r="L39" i="4"/>
  <c r="K39" i="4"/>
  <c r="J39" i="4"/>
  <c r="I39" i="4"/>
  <c r="H39" i="4"/>
  <c r="G39" i="4"/>
  <c r="F39" i="4"/>
  <c r="S39" i="4" s="1"/>
  <c r="E39" i="4"/>
  <c r="D39" i="4" s="1"/>
  <c r="C39" i="4"/>
  <c r="B39" i="4"/>
  <c r="A39" i="4"/>
  <c r="J38" i="4"/>
  <c r="I38" i="4"/>
  <c r="H38" i="4"/>
  <c r="G38" i="4"/>
  <c r="F38" i="4"/>
  <c r="E38" i="4"/>
  <c r="D38" i="4" s="1"/>
  <c r="C38" i="4"/>
  <c r="B38" i="4"/>
  <c r="A38" i="4"/>
  <c r="J37" i="4"/>
  <c r="I37" i="4"/>
  <c r="H37" i="4"/>
  <c r="G37" i="4"/>
  <c r="F37" i="4"/>
  <c r="E37" i="4"/>
  <c r="D37" i="4" s="1"/>
  <c r="C37" i="4"/>
  <c r="B37" i="4"/>
  <c r="A37" i="4"/>
  <c r="J36" i="4"/>
  <c r="I36" i="4"/>
  <c r="H36" i="4"/>
  <c r="G36" i="4"/>
  <c r="F36" i="4"/>
  <c r="E36" i="4"/>
  <c r="D36" i="4" s="1"/>
  <c r="C36" i="4"/>
  <c r="B36" i="4"/>
  <c r="A36" i="4"/>
  <c r="J35" i="4"/>
  <c r="I35" i="4"/>
  <c r="H35" i="4"/>
  <c r="G35" i="4"/>
  <c r="F35" i="4"/>
  <c r="E35" i="4"/>
  <c r="D35" i="4" s="1"/>
  <c r="C35" i="4"/>
  <c r="B35" i="4"/>
  <c r="A35" i="4"/>
  <c r="J34" i="4"/>
  <c r="I34" i="4"/>
  <c r="H34" i="4"/>
  <c r="G34" i="4"/>
  <c r="F34" i="4"/>
  <c r="E34" i="4"/>
  <c r="D34" i="4" s="1"/>
  <c r="C34" i="4"/>
  <c r="B34" i="4"/>
  <c r="A34" i="4"/>
  <c r="J33" i="4"/>
  <c r="I33" i="4"/>
  <c r="H33" i="4"/>
  <c r="G33" i="4"/>
  <c r="F33" i="4"/>
  <c r="E33" i="4"/>
  <c r="D33" i="4" s="1"/>
  <c r="C33" i="4"/>
  <c r="B33" i="4"/>
  <c r="A33" i="4"/>
  <c r="J32" i="4"/>
  <c r="I32" i="4"/>
  <c r="H32" i="4"/>
  <c r="G32" i="4"/>
  <c r="F32" i="4"/>
  <c r="E32" i="4"/>
  <c r="D32" i="4" s="1"/>
  <c r="C32" i="4"/>
  <c r="B32" i="4"/>
  <c r="A32" i="4"/>
  <c r="J31" i="4"/>
  <c r="I31" i="4"/>
  <c r="H31" i="4"/>
  <c r="G31" i="4"/>
  <c r="F31" i="4"/>
  <c r="E31" i="4"/>
  <c r="D31" i="4" s="1"/>
  <c r="C31" i="4"/>
  <c r="B31" i="4"/>
  <c r="A31" i="4"/>
  <c r="J30" i="4"/>
  <c r="I30" i="4"/>
  <c r="H30" i="4"/>
  <c r="G30" i="4"/>
  <c r="F30" i="4"/>
  <c r="E30" i="4"/>
  <c r="D30" i="4" s="1"/>
  <c r="C30" i="4"/>
  <c r="B30" i="4"/>
  <c r="A30" i="4"/>
  <c r="J29" i="4"/>
  <c r="I29" i="4"/>
  <c r="H29" i="4"/>
  <c r="G29" i="4"/>
  <c r="F29" i="4"/>
  <c r="E29" i="4"/>
  <c r="D29" i="4" s="1"/>
  <c r="C29" i="4"/>
  <c r="B29" i="4"/>
  <c r="A29" i="4"/>
  <c r="J28" i="4"/>
  <c r="I28" i="4"/>
  <c r="H28" i="4"/>
  <c r="G28" i="4"/>
  <c r="F28" i="4"/>
  <c r="E28" i="4"/>
  <c r="D28" i="4" s="1"/>
  <c r="C28" i="4"/>
  <c r="B28" i="4"/>
  <c r="A28" i="4"/>
  <c r="J27" i="4"/>
  <c r="I27" i="4"/>
  <c r="H27" i="4"/>
  <c r="G27" i="4"/>
  <c r="F27" i="4"/>
  <c r="E27" i="4"/>
  <c r="D27" i="4" s="1"/>
  <c r="C27" i="4"/>
  <c r="B27" i="4"/>
  <c r="A27" i="4"/>
  <c r="J26" i="4"/>
  <c r="I26" i="4"/>
  <c r="H26" i="4"/>
  <c r="G26" i="4"/>
  <c r="F26" i="4"/>
  <c r="E26" i="4"/>
  <c r="D26" i="4" s="1"/>
  <c r="C26" i="4"/>
  <c r="B26" i="4"/>
  <c r="A26" i="4"/>
  <c r="J25" i="4"/>
  <c r="I25" i="4"/>
  <c r="H25" i="4"/>
  <c r="G25" i="4"/>
  <c r="F25" i="4"/>
  <c r="E25" i="4"/>
  <c r="D25" i="4" s="1"/>
  <c r="C25" i="4"/>
  <c r="B25" i="4"/>
  <c r="A25" i="4"/>
  <c r="J24" i="4"/>
  <c r="I24" i="4"/>
  <c r="H24" i="4"/>
  <c r="G24" i="4"/>
  <c r="F24" i="4"/>
  <c r="E24" i="4"/>
  <c r="D24" i="4" s="1"/>
  <c r="C24" i="4"/>
  <c r="B24" i="4"/>
  <c r="A24" i="4"/>
  <c r="J23" i="4"/>
  <c r="I23" i="4"/>
  <c r="H23" i="4"/>
  <c r="G23" i="4"/>
  <c r="F23" i="4"/>
  <c r="E23" i="4"/>
  <c r="D23" i="4" s="1"/>
  <c r="C23" i="4"/>
  <c r="B23" i="4"/>
  <c r="A23" i="4"/>
  <c r="J22" i="4"/>
  <c r="I22" i="4"/>
  <c r="H22" i="4"/>
  <c r="G22" i="4"/>
  <c r="F22" i="4"/>
  <c r="E22" i="4"/>
  <c r="D22" i="4" s="1"/>
  <c r="C22" i="4"/>
  <c r="B22" i="4"/>
  <c r="A22" i="4"/>
  <c r="N21" i="4"/>
  <c r="M21" i="4"/>
  <c r="J21" i="4"/>
  <c r="I21" i="4"/>
  <c r="H21" i="4"/>
  <c r="G21" i="4"/>
  <c r="F21" i="4"/>
  <c r="E21" i="4"/>
  <c r="D21" i="4" s="1"/>
  <c r="C21" i="4"/>
  <c r="B21" i="4"/>
  <c r="A21" i="4"/>
  <c r="P20" i="4"/>
  <c r="N20" i="4"/>
  <c r="M20" i="4"/>
  <c r="J20" i="4"/>
  <c r="I20" i="4"/>
  <c r="H20" i="4"/>
  <c r="G20" i="4"/>
  <c r="F20" i="4"/>
  <c r="E20" i="4"/>
  <c r="D20" i="4" s="1"/>
  <c r="C20" i="4"/>
  <c r="B20" i="4"/>
  <c r="A20" i="4"/>
  <c r="P19" i="4"/>
  <c r="N19" i="4"/>
  <c r="M19" i="4"/>
  <c r="J19" i="4"/>
  <c r="I19" i="4"/>
  <c r="H19" i="4"/>
  <c r="S19" i="4" s="1"/>
  <c r="G19" i="4"/>
  <c r="F19" i="4"/>
  <c r="E19" i="4"/>
  <c r="C19" i="4"/>
  <c r="B19" i="4"/>
  <c r="A19" i="4"/>
  <c r="S18" i="4"/>
  <c r="K18" i="4"/>
  <c r="J18" i="4"/>
  <c r="I18" i="4"/>
  <c r="H18" i="4"/>
  <c r="D18" i="4" s="1"/>
  <c r="G18" i="4"/>
  <c r="F18" i="4"/>
  <c r="E18" i="4"/>
  <c r="C18" i="4"/>
  <c r="B18" i="4"/>
  <c r="A18" i="4"/>
  <c r="K17" i="4"/>
  <c r="J17" i="4"/>
  <c r="I17" i="4"/>
  <c r="R17" i="4" s="1"/>
  <c r="H17" i="4"/>
  <c r="G17" i="4"/>
  <c r="F17" i="4"/>
  <c r="E17" i="4"/>
  <c r="C17" i="4"/>
  <c r="B17" i="4"/>
  <c r="A17" i="4"/>
  <c r="K16" i="4"/>
  <c r="J16" i="4"/>
  <c r="R16" i="4" s="1"/>
  <c r="I16" i="4"/>
  <c r="H16" i="4"/>
  <c r="G16" i="4"/>
  <c r="F16" i="4"/>
  <c r="E16" i="4"/>
  <c r="S16" i="4" s="1"/>
  <c r="C16" i="4"/>
  <c r="B16" i="4"/>
  <c r="A16" i="4"/>
  <c r="S15" i="4"/>
  <c r="O15" i="4"/>
  <c r="J15" i="4"/>
  <c r="I15" i="4"/>
  <c r="H15" i="4"/>
  <c r="G15" i="4"/>
  <c r="F15" i="4"/>
  <c r="R15" i="4" s="1"/>
  <c r="E15" i="4"/>
  <c r="D15" i="4"/>
  <c r="C15" i="4"/>
  <c r="B15" i="4"/>
  <c r="A15" i="4"/>
  <c r="O14" i="4"/>
  <c r="J14" i="4"/>
  <c r="I14" i="4"/>
  <c r="H14" i="4"/>
  <c r="G14" i="4"/>
  <c r="F14" i="4"/>
  <c r="E14" i="4"/>
  <c r="S14" i="4" s="1"/>
  <c r="C14" i="4"/>
  <c r="B14" i="4"/>
  <c r="A14" i="4"/>
  <c r="J13" i="4"/>
  <c r="I13" i="4"/>
  <c r="H13" i="4"/>
  <c r="G13" i="4"/>
  <c r="F13" i="4"/>
  <c r="E13" i="4"/>
  <c r="S13" i="4" s="1"/>
  <c r="C13" i="4"/>
  <c r="B13" i="4"/>
  <c r="A13" i="4"/>
  <c r="K12" i="4"/>
  <c r="J12" i="4"/>
  <c r="I12" i="4"/>
  <c r="H12" i="4"/>
  <c r="G12" i="4"/>
  <c r="F12" i="4"/>
  <c r="S12" i="4" s="1"/>
  <c r="E12" i="4"/>
  <c r="D12" i="4" s="1"/>
  <c r="C12" i="4"/>
  <c r="B12" i="4"/>
  <c r="A12" i="4"/>
  <c r="O11" i="4"/>
  <c r="K11" i="4"/>
  <c r="J11" i="4"/>
  <c r="I11" i="4"/>
  <c r="H11" i="4"/>
  <c r="G11" i="4"/>
  <c r="D11" i="4" s="1"/>
  <c r="F11" i="4"/>
  <c r="E11" i="4"/>
  <c r="S11" i="4" s="1"/>
  <c r="C11" i="4"/>
  <c r="B11" i="4"/>
  <c r="A11" i="4"/>
  <c r="O10" i="4"/>
  <c r="J10" i="4"/>
  <c r="I10" i="4"/>
  <c r="H10" i="4"/>
  <c r="G10" i="4"/>
  <c r="D10" i="4" s="1"/>
  <c r="F10" i="4"/>
  <c r="E10" i="4"/>
  <c r="R10" i="4" s="1"/>
  <c r="C10" i="4"/>
  <c r="B10" i="4"/>
  <c r="A10" i="4"/>
  <c r="O9" i="4"/>
  <c r="J9" i="4"/>
  <c r="I9" i="4"/>
  <c r="H9" i="4"/>
  <c r="G9" i="4"/>
  <c r="F9" i="4"/>
  <c r="E9" i="4"/>
  <c r="D9" i="4" s="1"/>
  <c r="C9" i="4"/>
  <c r="B9" i="4"/>
  <c r="A9" i="4"/>
  <c r="O8" i="4"/>
  <c r="K8" i="4"/>
  <c r="J8" i="4"/>
  <c r="I8" i="4"/>
  <c r="H8" i="4"/>
  <c r="G8" i="4"/>
  <c r="F8" i="4"/>
  <c r="S8" i="4" s="1"/>
  <c r="E8" i="4"/>
  <c r="C8" i="4"/>
  <c r="B8" i="4"/>
  <c r="A8" i="4"/>
  <c r="K7" i="4"/>
  <c r="J7" i="4"/>
  <c r="I7" i="4"/>
  <c r="H7" i="4"/>
  <c r="G7" i="4"/>
  <c r="D7" i="4" s="1"/>
  <c r="F7" i="4"/>
  <c r="E7" i="4"/>
  <c r="C7" i="4"/>
  <c r="B7" i="4"/>
  <c r="A7" i="4"/>
  <c r="J6" i="4"/>
  <c r="I6" i="4"/>
  <c r="H6" i="4"/>
  <c r="G6" i="4"/>
  <c r="D6" i="4" s="1"/>
  <c r="F6" i="4"/>
  <c r="E6" i="4"/>
  <c r="C6" i="4"/>
  <c r="B6" i="4"/>
  <c r="A6" i="4"/>
  <c r="O5" i="4"/>
  <c r="K5" i="4"/>
  <c r="J5" i="4"/>
  <c r="I5" i="4"/>
  <c r="S5" i="4" s="1"/>
  <c r="H5" i="4"/>
  <c r="G5" i="4"/>
  <c r="F5" i="4"/>
  <c r="E5" i="4"/>
  <c r="D5" i="4" s="1"/>
  <c r="C5" i="4"/>
  <c r="B5" i="4"/>
  <c r="A5" i="4"/>
  <c r="S4" i="4"/>
  <c r="L4" i="4"/>
  <c r="J4" i="4"/>
  <c r="R4" i="4" s="1"/>
  <c r="I4" i="4"/>
  <c r="H4" i="4"/>
  <c r="G4" i="4"/>
  <c r="F4" i="4"/>
  <c r="D4" i="4" s="1"/>
  <c r="E4" i="4"/>
  <c r="C4" i="4"/>
  <c r="B4" i="4"/>
  <c r="A4" i="4"/>
  <c r="K3" i="4"/>
  <c r="J3" i="4"/>
  <c r="I3" i="4"/>
  <c r="H3" i="4"/>
  <c r="G3" i="4"/>
  <c r="F3" i="4"/>
  <c r="E3" i="4"/>
  <c r="C3" i="4"/>
  <c r="B3" i="4"/>
  <c r="A3" i="4"/>
  <c r="O2" i="4"/>
  <c r="L2" i="4"/>
  <c r="K2" i="4"/>
  <c r="J2" i="4"/>
  <c r="I2" i="4"/>
  <c r="H2" i="4"/>
  <c r="G2" i="4"/>
  <c r="F2" i="4"/>
  <c r="E2" i="4"/>
  <c r="C2" i="4"/>
  <c r="B2" i="4"/>
  <c r="A2" i="4"/>
  <c r="S1111" i="3"/>
  <c r="R1111" i="3"/>
  <c r="D1111" i="3"/>
  <c r="C1111" i="3"/>
  <c r="B1111" i="3"/>
  <c r="A1111" i="3"/>
  <c r="S1110" i="3"/>
  <c r="R1110" i="3"/>
  <c r="D1110" i="3"/>
  <c r="C1110" i="3"/>
  <c r="B1110" i="3"/>
  <c r="A1110" i="3"/>
  <c r="S1109" i="3"/>
  <c r="R1109" i="3"/>
  <c r="D1109" i="3"/>
  <c r="C1109" i="3"/>
  <c r="B1109" i="3"/>
  <c r="A1109" i="3"/>
  <c r="S1108" i="3"/>
  <c r="R1108" i="3"/>
  <c r="D1108" i="3"/>
  <c r="C1108" i="3"/>
  <c r="B1108" i="3"/>
  <c r="A1108" i="3"/>
  <c r="S1107" i="3"/>
  <c r="R1107" i="3"/>
  <c r="D1107" i="3"/>
  <c r="C1107" i="3"/>
  <c r="B1107" i="3"/>
  <c r="A1107" i="3"/>
  <c r="S1106" i="3"/>
  <c r="R1106" i="3"/>
  <c r="D1106" i="3"/>
  <c r="C1106" i="3"/>
  <c r="B1106" i="3"/>
  <c r="A1106" i="3"/>
  <c r="S1105" i="3"/>
  <c r="R1105" i="3"/>
  <c r="D1105" i="3"/>
  <c r="C1105" i="3"/>
  <c r="B1105" i="3"/>
  <c r="A1105" i="3"/>
  <c r="S1104" i="3"/>
  <c r="R1104" i="3"/>
  <c r="D1104" i="3"/>
  <c r="C1104" i="3"/>
  <c r="B1104" i="3"/>
  <c r="A1104" i="3"/>
  <c r="S1103" i="3"/>
  <c r="R1103" i="3"/>
  <c r="D1103" i="3"/>
  <c r="C1103" i="3"/>
  <c r="B1103" i="3"/>
  <c r="A1103" i="3"/>
  <c r="S1102" i="3"/>
  <c r="R1102" i="3"/>
  <c r="D1102" i="3"/>
  <c r="C1102" i="3"/>
  <c r="B1102" i="3"/>
  <c r="A1102" i="3"/>
  <c r="S1101" i="3"/>
  <c r="R1101" i="3"/>
  <c r="D1101" i="3"/>
  <c r="C1101" i="3"/>
  <c r="B1101" i="3"/>
  <c r="A1101" i="3"/>
  <c r="S1100" i="3"/>
  <c r="R1100" i="3"/>
  <c r="D1100" i="3"/>
  <c r="C1100" i="3"/>
  <c r="B1100" i="3"/>
  <c r="A1100" i="3"/>
  <c r="S1099" i="3"/>
  <c r="R1099" i="3"/>
  <c r="D1099" i="3"/>
  <c r="C1099" i="3"/>
  <c r="B1099" i="3"/>
  <c r="A1099" i="3"/>
  <c r="S1098" i="3"/>
  <c r="R1098" i="3"/>
  <c r="D1098" i="3"/>
  <c r="C1098" i="3"/>
  <c r="B1098" i="3"/>
  <c r="A1098" i="3"/>
  <c r="S1097" i="3"/>
  <c r="R1097" i="3"/>
  <c r="D1097" i="3"/>
  <c r="C1097" i="3"/>
  <c r="B1097" i="3"/>
  <c r="A1097" i="3"/>
  <c r="S1096" i="3"/>
  <c r="R1096" i="3"/>
  <c r="D1096" i="3"/>
  <c r="C1096" i="3"/>
  <c r="B1096" i="3"/>
  <c r="A1096" i="3"/>
  <c r="S1095" i="3"/>
  <c r="R1095" i="3"/>
  <c r="D1095" i="3"/>
  <c r="C1095" i="3"/>
  <c r="B1095" i="3"/>
  <c r="A1095" i="3"/>
  <c r="S1094" i="3"/>
  <c r="R1094" i="3"/>
  <c r="D1094" i="3"/>
  <c r="C1094" i="3"/>
  <c r="B1094" i="3"/>
  <c r="A1094" i="3"/>
  <c r="S1093" i="3"/>
  <c r="R1093" i="3"/>
  <c r="D1093" i="3"/>
  <c r="C1093" i="3"/>
  <c r="B1093" i="3"/>
  <c r="A1093" i="3"/>
  <c r="S1092" i="3"/>
  <c r="R1092" i="3"/>
  <c r="D1092" i="3"/>
  <c r="C1092" i="3"/>
  <c r="B1092" i="3"/>
  <c r="A1092" i="3"/>
  <c r="S1091" i="3"/>
  <c r="R1091" i="3"/>
  <c r="D1091" i="3"/>
  <c r="C1091" i="3"/>
  <c r="B1091" i="3"/>
  <c r="A1091" i="3"/>
  <c r="S1090" i="3"/>
  <c r="R1090" i="3"/>
  <c r="D1090" i="3"/>
  <c r="C1090" i="3"/>
  <c r="B1090" i="3"/>
  <c r="A1090" i="3"/>
  <c r="S1089" i="3"/>
  <c r="R1089" i="3"/>
  <c r="D1089" i="3"/>
  <c r="C1089" i="3"/>
  <c r="B1089" i="3"/>
  <c r="A1089" i="3"/>
  <c r="S1088" i="3"/>
  <c r="R1088" i="3"/>
  <c r="D1088" i="3"/>
  <c r="C1088" i="3"/>
  <c r="B1088" i="3"/>
  <c r="A1088" i="3"/>
  <c r="S1087" i="3"/>
  <c r="R1087" i="3"/>
  <c r="D1087" i="3"/>
  <c r="C1087" i="3"/>
  <c r="B1087" i="3"/>
  <c r="A1087" i="3"/>
  <c r="S1086" i="3"/>
  <c r="R1086" i="3"/>
  <c r="D1086" i="3"/>
  <c r="C1086" i="3"/>
  <c r="B1086" i="3"/>
  <c r="A1086" i="3"/>
  <c r="S1085" i="3"/>
  <c r="R1085" i="3"/>
  <c r="D1085" i="3"/>
  <c r="C1085" i="3"/>
  <c r="B1085" i="3"/>
  <c r="A1085" i="3"/>
  <c r="S1084" i="3"/>
  <c r="R1084" i="3"/>
  <c r="D1084" i="3"/>
  <c r="C1084" i="3"/>
  <c r="B1084" i="3"/>
  <c r="A1084" i="3"/>
  <c r="S1083" i="3"/>
  <c r="R1083" i="3"/>
  <c r="D1083" i="3"/>
  <c r="C1083" i="3"/>
  <c r="B1083" i="3"/>
  <c r="A1083" i="3"/>
  <c r="S1082" i="3"/>
  <c r="R1082" i="3"/>
  <c r="D1082" i="3"/>
  <c r="C1082" i="3"/>
  <c r="B1082" i="3"/>
  <c r="A1082" i="3"/>
  <c r="S1081" i="3"/>
  <c r="R1081" i="3"/>
  <c r="D1081" i="3"/>
  <c r="C1081" i="3"/>
  <c r="B1081" i="3"/>
  <c r="A1081" i="3"/>
  <c r="S1080" i="3"/>
  <c r="R1080" i="3"/>
  <c r="D1080" i="3"/>
  <c r="C1080" i="3"/>
  <c r="B1080" i="3"/>
  <c r="A1080" i="3"/>
  <c r="S1079" i="3"/>
  <c r="R1079" i="3"/>
  <c r="D1079" i="3"/>
  <c r="C1079" i="3"/>
  <c r="B1079" i="3"/>
  <c r="A1079" i="3"/>
  <c r="S1078" i="3"/>
  <c r="R1078" i="3"/>
  <c r="D1078" i="3"/>
  <c r="C1078" i="3"/>
  <c r="B1078" i="3"/>
  <c r="A1078" i="3"/>
  <c r="S1077" i="3"/>
  <c r="R1077" i="3"/>
  <c r="D1077" i="3"/>
  <c r="C1077" i="3"/>
  <c r="B1077" i="3"/>
  <c r="A1077" i="3"/>
  <c r="S1076" i="3"/>
  <c r="R1076" i="3"/>
  <c r="D1076" i="3"/>
  <c r="C1076" i="3"/>
  <c r="B1076" i="3"/>
  <c r="A1076" i="3"/>
  <c r="S1075" i="3"/>
  <c r="R1075" i="3"/>
  <c r="D1075" i="3"/>
  <c r="C1075" i="3"/>
  <c r="B1075" i="3"/>
  <c r="A1075" i="3"/>
  <c r="S1074" i="3"/>
  <c r="R1074" i="3"/>
  <c r="D1074" i="3"/>
  <c r="C1074" i="3"/>
  <c r="B1074" i="3"/>
  <c r="A1074" i="3"/>
  <c r="S1073" i="3"/>
  <c r="R1073" i="3"/>
  <c r="D1073" i="3"/>
  <c r="C1073" i="3"/>
  <c r="B1073" i="3"/>
  <c r="A1073" i="3"/>
  <c r="S1072" i="3"/>
  <c r="R1072" i="3"/>
  <c r="D1072" i="3"/>
  <c r="C1072" i="3"/>
  <c r="B1072" i="3"/>
  <c r="A1072" i="3"/>
  <c r="S1071" i="3"/>
  <c r="R1071" i="3"/>
  <c r="D1071" i="3"/>
  <c r="C1071" i="3"/>
  <c r="B1071" i="3"/>
  <c r="A1071" i="3"/>
  <c r="S1070" i="3"/>
  <c r="R1070" i="3"/>
  <c r="D1070" i="3"/>
  <c r="C1070" i="3"/>
  <c r="B1070" i="3"/>
  <c r="A1070" i="3"/>
  <c r="S1069" i="3"/>
  <c r="R1069" i="3"/>
  <c r="D1069" i="3"/>
  <c r="C1069" i="3"/>
  <c r="B1069" i="3"/>
  <c r="A1069" i="3"/>
  <c r="S1068" i="3"/>
  <c r="R1068" i="3"/>
  <c r="D1068" i="3"/>
  <c r="C1068" i="3"/>
  <c r="B1068" i="3"/>
  <c r="A1068" i="3"/>
  <c r="S1067" i="3"/>
  <c r="R1067" i="3"/>
  <c r="D1067" i="3"/>
  <c r="C1067" i="3"/>
  <c r="B1067" i="3"/>
  <c r="A1067" i="3"/>
  <c r="S1066" i="3"/>
  <c r="R1066" i="3"/>
  <c r="D1066" i="3"/>
  <c r="C1066" i="3"/>
  <c r="B1066" i="3"/>
  <c r="A1066" i="3"/>
  <c r="S1065" i="3"/>
  <c r="R1065" i="3"/>
  <c r="D1065" i="3"/>
  <c r="C1065" i="3"/>
  <c r="B1065" i="3"/>
  <c r="A1065" i="3"/>
  <c r="S1064" i="3"/>
  <c r="R1064" i="3"/>
  <c r="D1064" i="3"/>
  <c r="C1064" i="3"/>
  <c r="B1064" i="3"/>
  <c r="A1064" i="3"/>
  <c r="S1063" i="3"/>
  <c r="R1063" i="3"/>
  <c r="D1063" i="3"/>
  <c r="C1063" i="3"/>
  <c r="B1063" i="3"/>
  <c r="A1063" i="3"/>
  <c r="S1062" i="3"/>
  <c r="R1062" i="3"/>
  <c r="D1062" i="3"/>
  <c r="C1062" i="3"/>
  <c r="B1062" i="3"/>
  <c r="A1062" i="3"/>
  <c r="S1061" i="3"/>
  <c r="R1061" i="3"/>
  <c r="D1061" i="3"/>
  <c r="C1061" i="3"/>
  <c r="B1061" i="3"/>
  <c r="A1061" i="3"/>
  <c r="S1060" i="3"/>
  <c r="R1060" i="3"/>
  <c r="D1060" i="3"/>
  <c r="C1060" i="3"/>
  <c r="B1060" i="3"/>
  <c r="A1060" i="3"/>
  <c r="S1059" i="3"/>
  <c r="R1059" i="3"/>
  <c r="D1059" i="3"/>
  <c r="C1059" i="3"/>
  <c r="B1059" i="3"/>
  <c r="A1059" i="3"/>
  <c r="S1058" i="3"/>
  <c r="R1058" i="3"/>
  <c r="D1058" i="3"/>
  <c r="C1058" i="3"/>
  <c r="B1058" i="3"/>
  <c r="A1058" i="3"/>
  <c r="S1057" i="3"/>
  <c r="R1057" i="3"/>
  <c r="D1057" i="3"/>
  <c r="C1057" i="3"/>
  <c r="B1057" i="3"/>
  <c r="A1057" i="3"/>
  <c r="S1056" i="3"/>
  <c r="R1056" i="3"/>
  <c r="D1056" i="3"/>
  <c r="C1056" i="3"/>
  <c r="B1056" i="3"/>
  <c r="A1056" i="3"/>
  <c r="S1055" i="3"/>
  <c r="R1055" i="3"/>
  <c r="D1055" i="3"/>
  <c r="C1055" i="3"/>
  <c r="B1055" i="3"/>
  <c r="A1055" i="3"/>
  <c r="S1054" i="3"/>
  <c r="R1054" i="3"/>
  <c r="D1054" i="3"/>
  <c r="C1054" i="3"/>
  <c r="B1054" i="3"/>
  <c r="A1054" i="3"/>
  <c r="S1053" i="3"/>
  <c r="R1053" i="3"/>
  <c r="D1053" i="3"/>
  <c r="C1053" i="3"/>
  <c r="B1053" i="3"/>
  <c r="A1053" i="3"/>
  <c r="S1052" i="3"/>
  <c r="R1052" i="3"/>
  <c r="D1052" i="3"/>
  <c r="C1052" i="3"/>
  <c r="B1052" i="3"/>
  <c r="A1052" i="3"/>
  <c r="S1051" i="3"/>
  <c r="R1051" i="3"/>
  <c r="D1051" i="3"/>
  <c r="C1051" i="3"/>
  <c r="B1051" i="3"/>
  <c r="A1051" i="3"/>
  <c r="S1050" i="3"/>
  <c r="R1050" i="3"/>
  <c r="D1050" i="3"/>
  <c r="C1050" i="3"/>
  <c r="B1050" i="3"/>
  <c r="A1050" i="3"/>
  <c r="S1049" i="3"/>
  <c r="R1049" i="3"/>
  <c r="D1049" i="3"/>
  <c r="C1049" i="3"/>
  <c r="B1049" i="3"/>
  <c r="A1049" i="3"/>
  <c r="S1048" i="3"/>
  <c r="R1048" i="3"/>
  <c r="D1048" i="3"/>
  <c r="C1048" i="3"/>
  <c r="B1048" i="3"/>
  <c r="A1048" i="3"/>
  <c r="S1047" i="3"/>
  <c r="R1047" i="3"/>
  <c r="D1047" i="3"/>
  <c r="C1047" i="3"/>
  <c r="B1047" i="3"/>
  <c r="A1047" i="3"/>
  <c r="S1046" i="3"/>
  <c r="R1046" i="3"/>
  <c r="D1046" i="3"/>
  <c r="C1046" i="3"/>
  <c r="B1046" i="3"/>
  <c r="A1046" i="3"/>
  <c r="S1045" i="3"/>
  <c r="R1045" i="3"/>
  <c r="D1045" i="3"/>
  <c r="C1045" i="3"/>
  <c r="B1045" i="3"/>
  <c r="A1045" i="3"/>
  <c r="S1044" i="3"/>
  <c r="R1044" i="3"/>
  <c r="D1044" i="3"/>
  <c r="C1044" i="3"/>
  <c r="B1044" i="3"/>
  <c r="A1044" i="3"/>
  <c r="S1043" i="3"/>
  <c r="R1043" i="3"/>
  <c r="D1043" i="3"/>
  <c r="C1043" i="3"/>
  <c r="B1043" i="3"/>
  <c r="A1043" i="3"/>
  <c r="S1042" i="3"/>
  <c r="R1042" i="3"/>
  <c r="D1042" i="3"/>
  <c r="C1042" i="3"/>
  <c r="B1042" i="3"/>
  <c r="A1042" i="3"/>
  <c r="S1041" i="3"/>
  <c r="R1041" i="3"/>
  <c r="D1041" i="3"/>
  <c r="C1041" i="3"/>
  <c r="B1041" i="3"/>
  <c r="A1041" i="3"/>
  <c r="S1040" i="3"/>
  <c r="R1040" i="3"/>
  <c r="D1040" i="3"/>
  <c r="C1040" i="3"/>
  <c r="B1040" i="3"/>
  <c r="A1040" i="3"/>
  <c r="S1039" i="3"/>
  <c r="R1039" i="3"/>
  <c r="D1039" i="3"/>
  <c r="C1039" i="3"/>
  <c r="B1039" i="3"/>
  <c r="A1039" i="3"/>
  <c r="S1038" i="3"/>
  <c r="R1038" i="3"/>
  <c r="D1038" i="3"/>
  <c r="C1038" i="3"/>
  <c r="B1038" i="3"/>
  <c r="A1038" i="3"/>
  <c r="S1037" i="3"/>
  <c r="R1037" i="3"/>
  <c r="D1037" i="3"/>
  <c r="C1037" i="3"/>
  <c r="B1037" i="3"/>
  <c r="A1037" i="3"/>
  <c r="S1036" i="3"/>
  <c r="R1036" i="3"/>
  <c r="D1036" i="3"/>
  <c r="C1036" i="3"/>
  <c r="B1036" i="3"/>
  <c r="A1036" i="3"/>
  <c r="S1035" i="3"/>
  <c r="R1035" i="3"/>
  <c r="D1035" i="3"/>
  <c r="C1035" i="3"/>
  <c r="B1035" i="3"/>
  <c r="A1035" i="3"/>
  <c r="S1034" i="3"/>
  <c r="R1034" i="3"/>
  <c r="D1034" i="3"/>
  <c r="C1034" i="3"/>
  <c r="B1034" i="3"/>
  <c r="A1034" i="3"/>
  <c r="S1033" i="3"/>
  <c r="R1033" i="3"/>
  <c r="D1033" i="3"/>
  <c r="C1033" i="3"/>
  <c r="B1033" i="3"/>
  <c r="A1033" i="3"/>
  <c r="S1032" i="3"/>
  <c r="R1032" i="3"/>
  <c r="D1032" i="3"/>
  <c r="C1032" i="3"/>
  <c r="B1032" i="3"/>
  <c r="A1032" i="3"/>
  <c r="S1031" i="3"/>
  <c r="R1031" i="3"/>
  <c r="D1031" i="3"/>
  <c r="C1031" i="3"/>
  <c r="B1031" i="3"/>
  <c r="A1031" i="3"/>
  <c r="S1030" i="3"/>
  <c r="R1030" i="3"/>
  <c r="D1030" i="3"/>
  <c r="C1030" i="3"/>
  <c r="B1030" i="3"/>
  <c r="A1030" i="3"/>
  <c r="S1029" i="3"/>
  <c r="R1029" i="3"/>
  <c r="D1029" i="3"/>
  <c r="C1029" i="3"/>
  <c r="B1029" i="3"/>
  <c r="A1029" i="3"/>
  <c r="S1028" i="3"/>
  <c r="R1028" i="3"/>
  <c r="D1028" i="3"/>
  <c r="C1028" i="3"/>
  <c r="B1028" i="3"/>
  <c r="A1028" i="3"/>
  <c r="S1027" i="3"/>
  <c r="R1027" i="3"/>
  <c r="D1027" i="3"/>
  <c r="C1027" i="3"/>
  <c r="B1027" i="3"/>
  <c r="A1027" i="3"/>
  <c r="S1026" i="3"/>
  <c r="R1026" i="3"/>
  <c r="D1026" i="3"/>
  <c r="C1026" i="3"/>
  <c r="B1026" i="3"/>
  <c r="A1026" i="3"/>
  <c r="S1025" i="3"/>
  <c r="R1025" i="3"/>
  <c r="D1025" i="3"/>
  <c r="C1025" i="3"/>
  <c r="B1025" i="3"/>
  <c r="A1025" i="3"/>
  <c r="S1024" i="3"/>
  <c r="R1024" i="3"/>
  <c r="D1024" i="3"/>
  <c r="C1024" i="3"/>
  <c r="B1024" i="3"/>
  <c r="A1024" i="3"/>
  <c r="S1023" i="3"/>
  <c r="R1023" i="3"/>
  <c r="D1023" i="3"/>
  <c r="C1023" i="3"/>
  <c r="B1023" i="3"/>
  <c r="A1023" i="3"/>
  <c r="S1022" i="3"/>
  <c r="R1022" i="3"/>
  <c r="D1022" i="3"/>
  <c r="C1022" i="3"/>
  <c r="B1022" i="3"/>
  <c r="A1022" i="3"/>
  <c r="S1021" i="3"/>
  <c r="R1021" i="3"/>
  <c r="D1021" i="3"/>
  <c r="C1021" i="3"/>
  <c r="B1021" i="3"/>
  <c r="A1021" i="3"/>
  <c r="S1020" i="3"/>
  <c r="R1020" i="3"/>
  <c r="D1020" i="3"/>
  <c r="C1020" i="3"/>
  <c r="B1020" i="3"/>
  <c r="A1020" i="3"/>
  <c r="S1019" i="3"/>
  <c r="R1019" i="3"/>
  <c r="D1019" i="3"/>
  <c r="C1019" i="3"/>
  <c r="B1019" i="3"/>
  <c r="A1019" i="3"/>
  <c r="S1018" i="3"/>
  <c r="R1018" i="3"/>
  <c r="D1018" i="3"/>
  <c r="C1018" i="3"/>
  <c r="B1018" i="3"/>
  <c r="A1018" i="3"/>
  <c r="S1017" i="3"/>
  <c r="R1017" i="3"/>
  <c r="D1017" i="3"/>
  <c r="C1017" i="3"/>
  <c r="B1017" i="3"/>
  <c r="A1017" i="3"/>
  <c r="S1016" i="3"/>
  <c r="R1016" i="3"/>
  <c r="D1016" i="3"/>
  <c r="C1016" i="3"/>
  <c r="B1016" i="3"/>
  <c r="A1016" i="3"/>
  <c r="S1015" i="3"/>
  <c r="R1015" i="3"/>
  <c r="D1015" i="3"/>
  <c r="C1015" i="3"/>
  <c r="B1015" i="3"/>
  <c r="A1015" i="3"/>
  <c r="S1014" i="3"/>
  <c r="R1014" i="3"/>
  <c r="D1014" i="3"/>
  <c r="C1014" i="3"/>
  <c r="B1014" i="3"/>
  <c r="A1014" i="3"/>
  <c r="S1013" i="3"/>
  <c r="R1013" i="3"/>
  <c r="D1013" i="3"/>
  <c r="C1013" i="3"/>
  <c r="B1013" i="3"/>
  <c r="A1013" i="3"/>
  <c r="S1012" i="3"/>
  <c r="R1012" i="3"/>
  <c r="D1012" i="3"/>
  <c r="C1012" i="3"/>
  <c r="B1012" i="3"/>
  <c r="A1012" i="3"/>
  <c r="S1011" i="3"/>
  <c r="R1011" i="3"/>
  <c r="D1011" i="3"/>
  <c r="C1011" i="3"/>
  <c r="B1011" i="3"/>
  <c r="A1011" i="3"/>
  <c r="S1010" i="3"/>
  <c r="R1010" i="3"/>
  <c r="D1010" i="3"/>
  <c r="C1010" i="3"/>
  <c r="B1010" i="3"/>
  <c r="A1010" i="3"/>
  <c r="S1009" i="3"/>
  <c r="R1009" i="3"/>
  <c r="D1009" i="3"/>
  <c r="C1009" i="3"/>
  <c r="B1009" i="3"/>
  <c r="A1009" i="3"/>
  <c r="S1008" i="3"/>
  <c r="R1008" i="3"/>
  <c r="D1008" i="3"/>
  <c r="C1008" i="3"/>
  <c r="B1008" i="3"/>
  <c r="A1008" i="3"/>
  <c r="S1007" i="3"/>
  <c r="R1007" i="3"/>
  <c r="D1007" i="3"/>
  <c r="C1007" i="3"/>
  <c r="B1007" i="3"/>
  <c r="A1007" i="3"/>
  <c r="S1006" i="3"/>
  <c r="R1006" i="3"/>
  <c r="D1006" i="3"/>
  <c r="C1006" i="3"/>
  <c r="B1006" i="3"/>
  <c r="A1006" i="3"/>
  <c r="S1005" i="3"/>
  <c r="R1005" i="3"/>
  <c r="D1005" i="3"/>
  <c r="C1005" i="3"/>
  <c r="B1005" i="3"/>
  <c r="A1005" i="3"/>
  <c r="S1004" i="3"/>
  <c r="R1004" i="3"/>
  <c r="D1004" i="3"/>
  <c r="C1004" i="3"/>
  <c r="B1004" i="3"/>
  <c r="A1004" i="3"/>
  <c r="S1003" i="3"/>
  <c r="R1003" i="3"/>
  <c r="D1003" i="3"/>
  <c r="C1003" i="3"/>
  <c r="B1003" i="3"/>
  <c r="A1003" i="3"/>
  <c r="S1002" i="3"/>
  <c r="R1002" i="3"/>
  <c r="D1002" i="3"/>
  <c r="C1002" i="3"/>
  <c r="B1002" i="3"/>
  <c r="A1002" i="3"/>
  <c r="S1001" i="3"/>
  <c r="R1001" i="3"/>
  <c r="D1001" i="3"/>
  <c r="C1001" i="3"/>
  <c r="B1001" i="3"/>
  <c r="A1001" i="3"/>
  <c r="S1000" i="3"/>
  <c r="R1000" i="3"/>
  <c r="D1000" i="3"/>
  <c r="C1000" i="3"/>
  <c r="B1000" i="3"/>
  <c r="A1000" i="3"/>
  <c r="S999" i="3"/>
  <c r="R999" i="3"/>
  <c r="D999" i="3"/>
  <c r="C999" i="3"/>
  <c r="B999" i="3"/>
  <c r="A999" i="3"/>
  <c r="S998" i="3"/>
  <c r="R998" i="3"/>
  <c r="D998" i="3"/>
  <c r="C998" i="3"/>
  <c r="B998" i="3"/>
  <c r="A998" i="3"/>
  <c r="S997" i="3"/>
  <c r="R997" i="3"/>
  <c r="D997" i="3"/>
  <c r="C997" i="3"/>
  <c r="B997" i="3"/>
  <c r="A997" i="3"/>
  <c r="S996" i="3"/>
  <c r="R996" i="3"/>
  <c r="D996" i="3"/>
  <c r="C996" i="3"/>
  <c r="B996" i="3"/>
  <c r="A996" i="3"/>
  <c r="S995" i="3"/>
  <c r="R995" i="3"/>
  <c r="D995" i="3"/>
  <c r="C995" i="3"/>
  <c r="B995" i="3"/>
  <c r="A995" i="3"/>
  <c r="S994" i="3"/>
  <c r="R994" i="3"/>
  <c r="D994" i="3"/>
  <c r="C994" i="3"/>
  <c r="B994" i="3"/>
  <c r="A994" i="3"/>
  <c r="S993" i="3"/>
  <c r="R993" i="3"/>
  <c r="D993" i="3"/>
  <c r="C993" i="3"/>
  <c r="B993" i="3"/>
  <c r="A993" i="3"/>
  <c r="S992" i="3"/>
  <c r="R992" i="3"/>
  <c r="D992" i="3"/>
  <c r="C992" i="3"/>
  <c r="B992" i="3"/>
  <c r="A992" i="3"/>
  <c r="S991" i="3"/>
  <c r="R991" i="3"/>
  <c r="D991" i="3"/>
  <c r="C991" i="3"/>
  <c r="B991" i="3"/>
  <c r="A991" i="3"/>
  <c r="S990" i="3"/>
  <c r="R990" i="3"/>
  <c r="D990" i="3"/>
  <c r="C990" i="3"/>
  <c r="B990" i="3"/>
  <c r="A990" i="3"/>
  <c r="S989" i="3"/>
  <c r="R989" i="3"/>
  <c r="D989" i="3"/>
  <c r="C989" i="3"/>
  <c r="B989" i="3"/>
  <c r="A989" i="3"/>
  <c r="S988" i="3"/>
  <c r="R988" i="3"/>
  <c r="D988" i="3"/>
  <c r="C988" i="3"/>
  <c r="B988" i="3"/>
  <c r="A988" i="3"/>
  <c r="S987" i="3"/>
  <c r="R987" i="3"/>
  <c r="D987" i="3"/>
  <c r="C987" i="3"/>
  <c r="B987" i="3"/>
  <c r="A987" i="3"/>
  <c r="S986" i="3"/>
  <c r="R986" i="3"/>
  <c r="D986" i="3"/>
  <c r="C986" i="3"/>
  <c r="B986" i="3"/>
  <c r="A986" i="3"/>
  <c r="S985" i="3"/>
  <c r="R985" i="3"/>
  <c r="D985" i="3"/>
  <c r="C985" i="3"/>
  <c r="B985" i="3"/>
  <c r="A985" i="3"/>
  <c r="S984" i="3"/>
  <c r="R984" i="3"/>
  <c r="D984" i="3"/>
  <c r="C984" i="3"/>
  <c r="B984" i="3"/>
  <c r="A984" i="3"/>
  <c r="S983" i="3"/>
  <c r="R983" i="3"/>
  <c r="D983" i="3"/>
  <c r="C983" i="3"/>
  <c r="B983" i="3"/>
  <c r="A983" i="3"/>
  <c r="S982" i="3"/>
  <c r="R982" i="3"/>
  <c r="D982" i="3"/>
  <c r="C982" i="3"/>
  <c r="B982" i="3"/>
  <c r="A982" i="3"/>
  <c r="S981" i="3"/>
  <c r="R981" i="3"/>
  <c r="D981" i="3"/>
  <c r="C981" i="3"/>
  <c r="B981" i="3"/>
  <c r="A981" i="3"/>
  <c r="S980" i="3"/>
  <c r="R980" i="3"/>
  <c r="D980" i="3"/>
  <c r="C980" i="3"/>
  <c r="B980" i="3"/>
  <c r="A980" i="3"/>
  <c r="S979" i="3"/>
  <c r="R979" i="3"/>
  <c r="D979" i="3"/>
  <c r="C979" i="3"/>
  <c r="B979" i="3"/>
  <c r="A979" i="3"/>
  <c r="S978" i="3"/>
  <c r="R978" i="3"/>
  <c r="D978" i="3"/>
  <c r="C978" i="3"/>
  <c r="B978" i="3"/>
  <c r="A978" i="3"/>
  <c r="S977" i="3"/>
  <c r="R977" i="3"/>
  <c r="D977" i="3"/>
  <c r="C977" i="3"/>
  <c r="B977" i="3"/>
  <c r="A977" i="3"/>
  <c r="S976" i="3"/>
  <c r="R976" i="3"/>
  <c r="D976" i="3"/>
  <c r="C976" i="3"/>
  <c r="B976" i="3"/>
  <c r="A976" i="3"/>
  <c r="S975" i="3"/>
  <c r="R975" i="3"/>
  <c r="D975" i="3"/>
  <c r="C975" i="3"/>
  <c r="B975" i="3"/>
  <c r="A975" i="3"/>
  <c r="S974" i="3"/>
  <c r="R974" i="3"/>
  <c r="D974" i="3"/>
  <c r="C974" i="3"/>
  <c r="B974" i="3"/>
  <c r="A974" i="3"/>
  <c r="S973" i="3"/>
  <c r="R973" i="3"/>
  <c r="D973" i="3"/>
  <c r="C973" i="3"/>
  <c r="B973" i="3"/>
  <c r="A973" i="3"/>
  <c r="S972" i="3"/>
  <c r="R972" i="3"/>
  <c r="D972" i="3"/>
  <c r="C972" i="3"/>
  <c r="B972" i="3"/>
  <c r="A972" i="3"/>
  <c r="S971" i="3"/>
  <c r="R971" i="3"/>
  <c r="D971" i="3"/>
  <c r="C971" i="3"/>
  <c r="B971" i="3"/>
  <c r="A971" i="3"/>
  <c r="S970" i="3"/>
  <c r="R970" i="3"/>
  <c r="D970" i="3"/>
  <c r="C970" i="3"/>
  <c r="B970" i="3"/>
  <c r="A970" i="3"/>
  <c r="S969" i="3"/>
  <c r="R969" i="3"/>
  <c r="D969" i="3"/>
  <c r="C969" i="3"/>
  <c r="B969" i="3"/>
  <c r="A969" i="3"/>
  <c r="S968" i="3"/>
  <c r="R968" i="3"/>
  <c r="D968" i="3"/>
  <c r="C968" i="3"/>
  <c r="B968" i="3"/>
  <c r="A968" i="3"/>
  <c r="S967" i="3"/>
  <c r="R967" i="3"/>
  <c r="D967" i="3"/>
  <c r="C967" i="3"/>
  <c r="B967" i="3"/>
  <c r="A967" i="3"/>
  <c r="S966" i="3"/>
  <c r="R966" i="3"/>
  <c r="D966" i="3"/>
  <c r="C966" i="3"/>
  <c r="B966" i="3"/>
  <c r="A966" i="3"/>
  <c r="S965" i="3"/>
  <c r="R965" i="3"/>
  <c r="D965" i="3"/>
  <c r="C965" i="3"/>
  <c r="B965" i="3"/>
  <c r="A965" i="3"/>
  <c r="S964" i="3"/>
  <c r="R964" i="3"/>
  <c r="D964" i="3"/>
  <c r="C964" i="3"/>
  <c r="B964" i="3"/>
  <c r="A964" i="3"/>
  <c r="S963" i="3"/>
  <c r="R963" i="3"/>
  <c r="D963" i="3"/>
  <c r="C963" i="3"/>
  <c r="B963" i="3"/>
  <c r="A963" i="3"/>
  <c r="S962" i="3"/>
  <c r="R962" i="3"/>
  <c r="D962" i="3"/>
  <c r="C962" i="3"/>
  <c r="B962" i="3"/>
  <c r="A962" i="3"/>
  <c r="S961" i="3"/>
  <c r="R961" i="3"/>
  <c r="D961" i="3"/>
  <c r="C961" i="3"/>
  <c r="B961" i="3"/>
  <c r="A961" i="3"/>
  <c r="S960" i="3"/>
  <c r="R960" i="3"/>
  <c r="D960" i="3"/>
  <c r="C960" i="3"/>
  <c r="B960" i="3"/>
  <c r="A960" i="3"/>
  <c r="S959" i="3"/>
  <c r="R959" i="3"/>
  <c r="D959" i="3"/>
  <c r="C959" i="3"/>
  <c r="B959" i="3"/>
  <c r="A959" i="3"/>
  <c r="S958" i="3"/>
  <c r="R958" i="3"/>
  <c r="D958" i="3"/>
  <c r="C958" i="3"/>
  <c r="B958" i="3"/>
  <c r="A958" i="3"/>
  <c r="S957" i="3"/>
  <c r="R957" i="3"/>
  <c r="D957" i="3"/>
  <c r="C957" i="3"/>
  <c r="B957" i="3"/>
  <c r="A957" i="3"/>
  <c r="S956" i="3"/>
  <c r="R956" i="3"/>
  <c r="D956" i="3"/>
  <c r="C956" i="3"/>
  <c r="B956" i="3"/>
  <c r="A956" i="3"/>
  <c r="S955" i="3"/>
  <c r="R955" i="3"/>
  <c r="D955" i="3"/>
  <c r="C955" i="3"/>
  <c r="B955" i="3"/>
  <c r="A955" i="3"/>
  <c r="S954" i="3"/>
  <c r="R954" i="3"/>
  <c r="D954" i="3"/>
  <c r="C954" i="3"/>
  <c r="B954" i="3"/>
  <c r="A954" i="3"/>
  <c r="S953" i="3"/>
  <c r="R953" i="3"/>
  <c r="D953" i="3"/>
  <c r="C953" i="3"/>
  <c r="B953" i="3"/>
  <c r="A953" i="3"/>
  <c r="S952" i="3"/>
  <c r="R952" i="3"/>
  <c r="D952" i="3"/>
  <c r="C952" i="3"/>
  <c r="B952" i="3"/>
  <c r="A952" i="3"/>
  <c r="S951" i="3"/>
  <c r="R951" i="3"/>
  <c r="D951" i="3"/>
  <c r="C951" i="3"/>
  <c r="B951" i="3"/>
  <c r="A951" i="3"/>
  <c r="S950" i="3"/>
  <c r="R950" i="3"/>
  <c r="D950" i="3"/>
  <c r="C950" i="3"/>
  <c r="B950" i="3"/>
  <c r="A950" i="3"/>
  <c r="S949" i="3"/>
  <c r="R949" i="3"/>
  <c r="D949" i="3"/>
  <c r="C949" i="3"/>
  <c r="B949" i="3"/>
  <c r="A949" i="3"/>
  <c r="S948" i="3"/>
  <c r="R948" i="3"/>
  <c r="D948" i="3"/>
  <c r="C948" i="3"/>
  <c r="B948" i="3"/>
  <c r="A948" i="3"/>
  <c r="S947" i="3"/>
  <c r="R947" i="3"/>
  <c r="D947" i="3"/>
  <c r="C947" i="3"/>
  <c r="B947" i="3"/>
  <c r="A947" i="3"/>
  <c r="S946" i="3"/>
  <c r="R946" i="3"/>
  <c r="D946" i="3"/>
  <c r="C946" i="3"/>
  <c r="B946" i="3"/>
  <c r="A946" i="3"/>
  <c r="S945" i="3"/>
  <c r="R945" i="3"/>
  <c r="D945" i="3"/>
  <c r="C945" i="3"/>
  <c r="B945" i="3"/>
  <c r="A945" i="3"/>
  <c r="S944" i="3"/>
  <c r="R944" i="3"/>
  <c r="D944" i="3"/>
  <c r="C944" i="3"/>
  <c r="B944" i="3"/>
  <c r="A944" i="3"/>
  <c r="S943" i="3"/>
  <c r="R943" i="3"/>
  <c r="D943" i="3"/>
  <c r="C943" i="3"/>
  <c r="B943" i="3"/>
  <c r="A943" i="3"/>
  <c r="S942" i="3"/>
  <c r="R942" i="3"/>
  <c r="D942" i="3"/>
  <c r="C942" i="3"/>
  <c r="B942" i="3"/>
  <c r="A942" i="3"/>
  <c r="S941" i="3"/>
  <c r="R941" i="3"/>
  <c r="D941" i="3"/>
  <c r="C941" i="3"/>
  <c r="B941" i="3"/>
  <c r="A941" i="3"/>
  <c r="S940" i="3"/>
  <c r="R940" i="3"/>
  <c r="D940" i="3"/>
  <c r="C940" i="3"/>
  <c r="B940" i="3"/>
  <c r="A940" i="3"/>
  <c r="S939" i="3"/>
  <c r="R939" i="3"/>
  <c r="D939" i="3"/>
  <c r="C939" i="3"/>
  <c r="B939" i="3"/>
  <c r="A939" i="3"/>
  <c r="S938" i="3"/>
  <c r="R938" i="3"/>
  <c r="D938" i="3"/>
  <c r="C938" i="3"/>
  <c r="B938" i="3"/>
  <c r="A938" i="3"/>
  <c r="S937" i="3"/>
  <c r="R937" i="3"/>
  <c r="D937" i="3"/>
  <c r="C937" i="3"/>
  <c r="B937" i="3"/>
  <c r="A937" i="3"/>
  <c r="S936" i="3"/>
  <c r="R936" i="3"/>
  <c r="D936" i="3"/>
  <c r="C936" i="3"/>
  <c r="B936" i="3"/>
  <c r="A936" i="3"/>
  <c r="S935" i="3"/>
  <c r="R935" i="3"/>
  <c r="D935" i="3"/>
  <c r="C935" i="3"/>
  <c r="B935" i="3"/>
  <c r="A935" i="3"/>
  <c r="S934" i="3"/>
  <c r="R934" i="3"/>
  <c r="D934" i="3"/>
  <c r="C934" i="3"/>
  <c r="B934" i="3"/>
  <c r="A934" i="3"/>
  <c r="S933" i="3"/>
  <c r="R933" i="3"/>
  <c r="D933" i="3"/>
  <c r="C933" i="3"/>
  <c r="B933" i="3"/>
  <c r="A933" i="3"/>
  <c r="S932" i="3"/>
  <c r="R932" i="3"/>
  <c r="D932" i="3"/>
  <c r="C932" i="3"/>
  <c r="B932" i="3"/>
  <c r="A932" i="3"/>
  <c r="S931" i="3"/>
  <c r="R931" i="3"/>
  <c r="D931" i="3"/>
  <c r="C931" i="3"/>
  <c r="B931" i="3"/>
  <c r="A931" i="3"/>
  <c r="S930" i="3"/>
  <c r="R930" i="3"/>
  <c r="D930" i="3"/>
  <c r="C930" i="3"/>
  <c r="B930" i="3"/>
  <c r="A930" i="3"/>
  <c r="S929" i="3"/>
  <c r="R929" i="3"/>
  <c r="D929" i="3"/>
  <c r="C929" i="3"/>
  <c r="B929" i="3"/>
  <c r="A929" i="3"/>
  <c r="S928" i="3"/>
  <c r="R928" i="3"/>
  <c r="D928" i="3"/>
  <c r="C928" i="3"/>
  <c r="B928" i="3"/>
  <c r="A928" i="3"/>
  <c r="S927" i="3"/>
  <c r="R927" i="3"/>
  <c r="D927" i="3"/>
  <c r="C927" i="3"/>
  <c r="B927" i="3"/>
  <c r="A927" i="3"/>
  <c r="S926" i="3"/>
  <c r="R926" i="3"/>
  <c r="D926" i="3"/>
  <c r="C926" i="3"/>
  <c r="B926" i="3"/>
  <c r="A926" i="3"/>
  <c r="S925" i="3"/>
  <c r="R925" i="3"/>
  <c r="D925" i="3"/>
  <c r="C925" i="3"/>
  <c r="B925" i="3"/>
  <c r="A925" i="3"/>
  <c r="S924" i="3"/>
  <c r="R924" i="3"/>
  <c r="D924" i="3"/>
  <c r="C924" i="3"/>
  <c r="B924" i="3"/>
  <c r="A924" i="3"/>
  <c r="S923" i="3"/>
  <c r="R923" i="3"/>
  <c r="D923" i="3"/>
  <c r="C923" i="3"/>
  <c r="B923" i="3"/>
  <c r="A923" i="3"/>
  <c r="S922" i="3"/>
  <c r="R922" i="3"/>
  <c r="D922" i="3"/>
  <c r="C922" i="3"/>
  <c r="B922" i="3"/>
  <c r="A922" i="3"/>
  <c r="S921" i="3"/>
  <c r="R921" i="3"/>
  <c r="D921" i="3"/>
  <c r="C921" i="3"/>
  <c r="B921" i="3"/>
  <c r="A921" i="3"/>
  <c r="S920" i="3"/>
  <c r="R920" i="3"/>
  <c r="D920" i="3"/>
  <c r="C920" i="3"/>
  <c r="B920" i="3"/>
  <c r="A920" i="3"/>
  <c r="S919" i="3"/>
  <c r="R919" i="3"/>
  <c r="D919" i="3"/>
  <c r="C919" i="3"/>
  <c r="B919" i="3"/>
  <c r="A919" i="3"/>
  <c r="S918" i="3"/>
  <c r="R918" i="3"/>
  <c r="D918" i="3"/>
  <c r="C918" i="3"/>
  <c r="B918" i="3"/>
  <c r="A918" i="3"/>
  <c r="S917" i="3"/>
  <c r="R917" i="3"/>
  <c r="D917" i="3"/>
  <c r="C917" i="3"/>
  <c r="B917" i="3"/>
  <c r="A917" i="3"/>
  <c r="S916" i="3"/>
  <c r="R916" i="3"/>
  <c r="D916" i="3"/>
  <c r="C916" i="3"/>
  <c r="B916" i="3"/>
  <c r="A916" i="3"/>
  <c r="S915" i="3"/>
  <c r="R915" i="3"/>
  <c r="D915" i="3"/>
  <c r="C915" i="3"/>
  <c r="B915" i="3"/>
  <c r="A915" i="3"/>
  <c r="S914" i="3"/>
  <c r="R914" i="3"/>
  <c r="D914" i="3"/>
  <c r="C914" i="3"/>
  <c r="B914" i="3"/>
  <c r="A914" i="3"/>
  <c r="S913" i="3"/>
  <c r="R913" i="3"/>
  <c r="D913" i="3"/>
  <c r="C913" i="3"/>
  <c r="B913" i="3"/>
  <c r="A913" i="3"/>
  <c r="S912" i="3"/>
  <c r="R912" i="3"/>
  <c r="D912" i="3"/>
  <c r="C912" i="3"/>
  <c r="B912" i="3"/>
  <c r="A912" i="3"/>
  <c r="S911" i="3"/>
  <c r="R911" i="3"/>
  <c r="D911" i="3"/>
  <c r="C911" i="3"/>
  <c r="B911" i="3"/>
  <c r="A911" i="3"/>
  <c r="S910" i="3"/>
  <c r="R910" i="3"/>
  <c r="D910" i="3"/>
  <c r="C910" i="3"/>
  <c r="B910" i="3"/>
  <c r="A910" i="3"/>
  <c r="S909" i="3"/>
  <c r="R909" i="3"/>
  <c r="D909" i="3"/>
  <c r="C909" i="3"/>
  <c r="B909" i="3"/>
  <c r="A909" i="3"/>
  <c r="S908" i="3"/>
  <c r="R908" i="3"/>
  <c r="D908" i="3"/>
  <c r="C908" i="3"/>
  <c r="B908" i="3"/>
  <c r="A908" i="3"/>
  <c r="S907" i="3"/>
  <c r="R907" i="3"/>
  <c r="D907" i="3"/>
  <c r="C907" i="3"/>
  <c r="B907" i="3"/>
  <c r="A907" i="3"/>
  <c r="S906" i="3"/>
  <c r="R906" i="3"/>
  <c r="D906" i="3"/>
  <c r="C906" i="3"/>
  <c r="B906" i="3"/>
  <c r="A906" i="3"/>
  <c r="S905" i="3"/>
  <c r="R905" i="3"/>
  <c r="D905" i="3"/>
  <c r="C905" i="3"/>
  <c r="B905" i="3"/>
  <c r="A905" i="3"/>
  <c r="S904" i="3"/>
  <c r="R904" i="3"/>
  <c r="D904" i="3"/>
  <c r="C904" i="3"/>
  <c r="B904" i="3"/>
  <c r="A904" i="3"/>
  <c r="S903" i="3"/>
  <c r="R903" i="3"/>
  <c r="D903" i="3"/>
  <c r="C903" i="3"/>
  <c r="B903" i="3"/>
  <c r="A903" i="3"/>
  <c r="S902" i="3"/>
  <c r="R902" i="3"/>
  <c r="D902" i="3"/>
  <c r="C902" i="3"/>
  <c r="B902" i="3"/>
  <c r="A902" i="3"/>
  <c r="S901" i="3"/>
  <c r="R901" i="3"/>
  <c r="D901" i="3"/>
  <c r="C901" i="3"/>
  <c r="B901" i="3"/>
  <c r="A901" i="3"/>
  <c r="S900" i="3"/>
  <c r="R900" i="3"/>
  <c r="D900" i="3"/>
  <c r="C900" i="3"/>
  <c r="B900" i="3"/>
  <c r="A900" i="3"/>
  <c r="S899" i="3"/>
  <c r="R899" i="3"/>
  <c r="D899" i="3"/>
  <c r="C899" i="3"/>
  <c r="B899" i="3"/>
  <c r="A899" i="3"/>
  <c r="S898" i="3"/>
  <c r="R898" i="3"/>
  <c r="D898" i="3"/>
  <c r="C898" i="3"/>
  <c r="B898" i="3"/>
  <c r="A898" i="3"/>
  <c r="S897" i="3"/>
  <c r="R897" i="3"/>
  <c r="D897" i="3"/>
  <c r="C897" i="3"/>
  <c r="B897" i="3"/>
  <c r="A897" i="3"/>
  <c r="S896" i="3"/>
  <c r="R896" i="3"/>
  <c r="D896" i="3"/>
  <c r="C896" i="3"/>
  <c r="B896" i="3"/>
  <c r="A896" i="3"/>
  <c r="S895" i="3"/>
  <c r="R895" i="3"/>
  <c r="D895" i="3"/>
  <c r="C895" i="3"/>
  <c r="B895" i="3"/>
  <c r="A895" i="3"/>
  <c r="S894" i="3"/>
  <c r="R894" i="3"/>
  <c r="D894" i="3"/>
  <c r="C894" i="3"/>
  <c r="B894" i="3"/>
  <c r="A894" i="3"/>
  <c r="S893" i="3"/>
  <c r="R893" i="3"/>
  <c r="D893" i="3"/>
  <c r="C893" i="3"/>
  <c r="B893" i="3"/>
  <c r="A893" i="3"/>
  <c r="S892" i="3"/>
  <c r="R892" i="3"/>
  <c r="D892" i="3"/>
  <c r="C892" i="3"/>
  <c r="B892" i="3"/>
  <c r="A892" i="3"/>
  <c r="S891" i="3"/>
  <c r="R891" i="3"/>
  <c r="D891" i="3"/>
  <c r="C891" i="3"/>
  <c r="B891" i="3"/>
  <c r="A891" i="3"/>
  <c r="S890" i="3"/>
  <c r="R890" i="3"/>
  <c r="D890" i="3"/>
  <c r="C890" i="3"/>
  <c r="B890" i="3"/>
  <c r="A890" i="3"/>
  <c r="S889" i="3"/>
  <c r="R889" i="3"/>
  <c r="D889" i="3"/>
  <c r="C889" i="3"/>
  <c r="B889" i="3"/>
  <c r="A889" i="3"/>
  <c r="S888" i="3"/>
  <c r="R888" i="3"/>
  <c r="D888" i="3"/>
  <c r="C888" i="3"/>
  <c r="B888" i="3"/>
  <c r="A888" i="3"/>
  <c r="S887" i="3"/>
  <c r="R887" i="3"/>
  <c r="D887" i="3"/>
  <c r="C887" i="3"/>
  <c r="B887" i="3"/>
  <c r="A887" i="3"/>
  <c r="S886" i="3"/>
  <c r="R886" i="3"/>
  <c r="D886" i="3"/>
  <c r="C886" i="3"/>
  <c r="B886" i="3"/>
  <c r="A886" i="3"/>
  <c r="S885" i="3"/>
  <c r="R885" i="3"/>
  <c r="D885" i="3"/>
  <c r="C885" i="3"/>
  <c r="B885" i="3"/>
  <c r="A885" i="3"/>
  <c r="S884" i="3"/>
  <c r="R884" i="3"/>
  <c r="D884" i="3"/>
  <c r="C884" i="3"/>
  <c r="B884" i="3"/>
  <c r="A884" i="3"/>
  <c r="S883" i="3"/>
  <c r="R883" i="3"/>
  <c r="D883" i="3"/>
  <c r="C883" i="3"/>
  <c r="B883" i="3"/>
  <c r="A883" i="3"/>
  <c r="S882" i="3"/>
  <c r="R882" i="3"/>
  <c r="D882" i="3"/>
  <c r="C882" i="3"/>
  <c r="B882" i="3"/>
  <c r="A882" i="3"/>
  <c r="S881" i="3"/>
  <c r="R881" i="3"/>
  <c r="D881" i="3"/>
  <c r="C881" i="3"/>
  <c r="B881" i="3"/>
  <c r="A881" i="3"/>
  <c r="S880" i="3"/>
  <c r="R880" i="3"/>
  <c r="D880" i="3"/>
  <c r="C880" i="3"/>
  <c r="B880" i="3"/>
  <c r="A880" i="3"/>
  <c r="S879" i="3"/>
  <c r="R879" i="3"/>
  <c r="D879" i="3"/>
  <c r="C879" i="3"/>
  <c r="B879" i="3"/>
  <c r="A879" i="3"/>
  <c r="S878" i="3"/>
  <c r="R878" i="3"/>
  <c r="D878" i="3"/>
  <c r="C878" i="3"/>
  <c r="B878" i="3"/>
  <c r="A878" i="3"/>
  <c r="S877" i="3"/>
  <c r="R877" i="3"/>
  <c r="D877" i="3"/>
  <c r="C877" i="3"/>
  <c r="B877" i="3"/>
  <c r="A877" i="3"/>
  <c r="S876" i="3"/>
  <c r="R876" i="3"/>
  <c r="D876" i="3"/>
  <c r="C876" i="3"/>
  <c r="B876" i="3"/>
  <c r="A876" i="3"/>
  <c r="S875" i="3"/>
  <c r="R875" i="3"/>
  <c r="D875" i="3"/>
  <c r="C875" i="3"/>
  <c r="B875" i="3"/>
  <c r="A875" i="3"/>
  <c r="S874" i="3"/>
  <c r="R874" i="3"/>
  <c r="D874" i="3"/>
  <c r="C874" i="3"/>
  <c r="B874" i="3"/>
  <c r="A874" i="3"/>
  <c r="S873" i="3"/>
  <c r="R873" i="3"/>
  <c r="D873" i="3"/>
  <c r="C873" i="3"/>
  <c r="B873" i="3"/>
  <c r="A873" i="3"/>
  <c r="S872" i="3"/>
  <c r="R872" i="3"/>
  <c r="D872" i="3"/>
  <c r="C872" i="3"/>
  <c r="B872" i="3"/>
  <c r="A872" i="3"/>
  <c r="S871" i="3"/>
  <c r="R871" i="3"/>
  <c r="D871" i="3"/>
  <c r="C871" i="3"/>
  <c r="B871" i="3"/>
  <c r="A871" i="3"/>
  <c r="S870" i="3"/>
  <c r="R870" i="3"/>
  <c r="D870" i="3"/>
  <c r="C870" i="3"/>
  <c r="B870" i="3"/>
  <c r="A870" i="3"/>
  <c r="S869" i="3"/>
  <c r="R869" i="3"/>
  <c r="D869" i="3"/>
  <c r="C869" i="3"/>
  <c r="B869" i="3"/>
  <c r="A869" i="3"/>
  <c r="S868" i="3"/>
  <c r="R868" i="3"/>
  <c r="D868" i="3"/>
  <c r="C868" i="3"/>
  <c r="B868" i="3"/>
  <c r="A868" i="3"/>
  <c r="S867" i="3"/>
  <c r="R867" i="3"/>
  <c r="D867" i="3"/>
  <c r="C867" i="3"/>
  <c r="B867" i="3"/>
  <c r="A867" i="3"/>
  <c r="S866" i="3"/>
  <c r="R866" i="3"/>
  <c r="D866" i="3"/>
  <c r="C866" i="3"/>
  <c r="B866" i="3"/>
  <c r="A866" i="3"/>
  <c r="S865" i="3"/>
  <c r="R865" i="3"/>
  <c r="D865" i="3"/>
  <c r="C865" i="3"/>
  <c r="B865" i="3"/>
  <c r="A865" i="3"/>
  <c r="S864" i="3"/>
  <c r="R864" i="3"/>
  <c r="D864" i="3"/>
  <c r="C864" i="3"/>
  <c r="B864" i="3"/>
  <c r="A864" i="3"/>
  <c r="S863" i="3"/>
  <c r="R863" i="3"/>
  <c r="D863" i="3"/>
  <c r="C863" i="3"/>
  <c r="B863" i="3"/>
  <c r="A863" i="3"/>
  <c r="S862" i="3"/>
  <c r="R862" i="3"/>
  <c r="D862" i="3"/>
  <c r="C862" i="3"/>
  <c r="B862" i="3"/>
  <c r="A862" i="3"/>
  <c r="S861" i="3"/>
  <c r="R861" i="3"/>
  <c r="D861" i="3"/>
  <c r="C861" i="3"/>
  <c r="B861" i="3"/>
  <c r="A861" i="3"/>
  <c r="S860" i="3"/>
  <c r="R860" i="3"/>
  <c r="D860" i="3"/>
  <c r="C860" i="3"/>
  <c r="B860" i="3"/>
  <c r="A860" i="3"/>
  <c r="S859" i="3"/>
  <c r="R859" i="3"/>
  <c r="D859" i="3"/>
  <c r="C859" i="3"/>
  <c r="B859" i="3"/>
  <c r="A859" i="3"/>
  <c r="S858" i="3"/>
  <c r="R858" i="3"/>
  <c r="D858" i="3"/>
  <c r="C858" i="3"/>
  <c r="B858" i="3"/>
  <c r="A858" i="3"/>
  <c r="S857" i="3"/>
  <c r="R857" i="3"/>
  <c r="D857" i="3"/>
  <c r="C857" i="3"/>
  <c r="B857" i="3"/>
  <c r="A857" i="3"/>
  <c r="S856" i="3"/>
  <c r="R856" i="3"/>
  <c r="D856" i="3"/>
  <c r="C856" i="3"/>
  <c r="B856" i="3"/>
  <c r="A856" i="3"/>
  <c r="S855" i="3"/>
  <c r="R855" i="3"/>
  <c r="D855" i="3"/>
  <c r="C855" i="3"/>
  <c r="B855" i="3"/>
  <c r="A855" i="3"/>
  <c r="S854" i="3"/>
  <c r="R854" i="3"/>
  <c r="D854" i="3"/>
  <c r="C854" i="3"/>
  <c r="B854" i="3"/>
  <c r="A854" i="3"/>
  <c r="S853" i="3"/>
  <c r="R853" i="3"/>
  <c r="D853" i="3"/>
  <c r="C853" i="3"/>
  <c r="B853" i="3"/>
  <c r="A853" i="3"/>
  <c r="S852" i="3"/>
  <c r="R852" i="3"/>
  <c r="D852" i="3"/>
  <c r="C852" i="3"/>
  <c r="B852" i="3"/>
  <c r="A852" i="3"/>
  <c r="S851" i="3"/>
  <c r="R851" i="3"/>
  <c r="D851" i="3"/>
  <c r="C851" i="3"/>
  <c r="B851" i="3"/>
  <c r="A851" i="3"/>
  <c r="S850" i="3"/>
  <c r="R850" i="3"/>
  <c r="D850" i="3"/>
  <c r="C850" i="3"/>
  <c r="B850" i="3"/>
  <c r="A850" i="3"/>
  <c r="S849" i="3"/>
  <c r="R849" i="3"/>
  <c r="D849" i="3"/>
  <c r="C849" i="3"/>
  <c r="B849" i="3"/>
  <c r="A849" i="3"/>
  <c r="S848" i="3"/>
  <c r="R848" i="3"/>
  <c r="D848" i="3"/>
  <c r="C848" i="3"/>
  <c r="B848" i="3"/>
  <c r="A848" i="3"/>
  <c r="S847" i="3"/>
  <c r="R847" i="3"/>
  <c r="D847" i="3"/>
  <c r="C847" i="3"/>
  <c r="B847" i="3"/>
  <c r="A847" i="3"/>
  <c r="S846" i="3"/>
  <c r="R846" i="3"/>
  <c r="D846" i="3"/>
  <c r="C846" i="3"/>
  <c r="B846" i="3"/>
  <c r="A846" i="3"/>
  <c r="S845" i="3"/>
  <c r="R845" i="3"/>
  <c r="D845" i="3"/>
  <c r="C845" i="3"/>
  <c r="B845" i="3"/>
  <c r="A845" i="3"/>
  <c r="S844" i="3"/>
  <c r="R844" i="3"/>
  <c r="D844" i="3"/>
  <c r="C844" i="3"/>
  <c r="B844" i="3"/>
  <c r="A844" i="3"/>
  <c r="S843" i="3"/>
  <c r="R843" i="3"/>
  <c r="D843" i="3"/>
  <c r="C843" i="3"/>
  <c r="B843" i="3"/>
  <c r="A843" i="3"/>
  <c r="S842" i="3"/>
  <c r="R842" i="3"/>
  <c r="D842" i="3"/>
  <c r="C842" i="3"/>
  <c r="B842" i="3"/>
  <c r="A842" i="3"/>
  <c r="S841" i="3"/>
  <c r="R841" i="3"/>
  <c r="D841" i="3"/>
  <c r="C841" i="3"/>
  <c r="B841" i="3"/>
  <c r="A841" i="3"/>
  <c r="S840" i="3"/>
  <c r="R840" i="3"/>
  <c r="D840" i="3"/>
  <c r="C840" i="3"/>
  <c r="B840" i="3"/>
  <c r="A840" i="3"/>
  <c r="S839" i="3"/>
  <c r="R839" i="3"/>
  <c r="D839" i="3"/>
  <c r="C839" i="3"/>
  <c r="B839" i="3"/>
  <c r="A839" i="3"/>
  <c r="S838" i="3"/>
  <c r="R838" i="3"/>
  <c r="D838" i="3"/>
  <c r="C838" i="3"/>
  <c r="B838" i="3"/>
  <c r="A838" i="3"/>
  <c r="S837" i="3"/>
  <c r="R837" i="3"/>
  <c r="D837" i="3"/>
  <c r="C837" i="3"/>
  <c r="B837" i="3"/>
  <c r="A837" i="3"/>
  <c r="S836" i="3"/>
  <c r="R836" i="3"/>
  <c r="D836" i="3"/>
  <c r="C836" i="3"/>
  <c r="B836" i="3"/>
  <c r="A836" i="3"/>
  <c r="S835" i="3"/>
  <c r="R835" i="3"/>
  <c r="D835" i="3"/>
  <c r="C835" i="3"/>
  <c r="B835" i="3"/>
  <c r="A835" i="3"/>
  <c r="S834" i="3"/>
  <c r="R834" i="3"/>
  <c r="D834" i="3"/>
  <c r="C834" i="3"/>
  <c r="B834" i="3"/>
  <c r="A834" i="3"/>
  <c r="S833" i="3"/>
  <c r="R833" i="3"/>
  <c r="D833" i="3"/>
  <c r="C833" i="3"/>
  <c r="B833" i="3"/>
  <c r="A833" i="3"/>
  <c r="S832" i="3"/>
  <c r="R832" i="3"/>
  <c r="D832" i="3"/>
  <c r="C832" i="3"/>
  <c r="B832" i="3"/>
  <c r="A832" i="3"/>
  <c r="S831" i="3"/>
  <c r="R831" i="3"/>
  <c r="D831" i="3"/>
  <c r="C831" i="3"/>
  <c r="B831" i="3"/>
  <c r="A831" i="3"/>
  <c r="S830" i="3"/>
  <c r="R830" i="3"/>
  <c r="D830" i="3"/>
  <c r="C830" i="3"/>
  <c r="B830" i="3"/>
  <c r="A830" i="3"/>
  <c r="S829" i="3"/>
  <c r="R829" i="3"/>
  <c r="D829" i="3"/>
  <c r="C829" i="3"/>
  <c r="B829" i="3"/>
  <c r="A829" i="3"/>
  <c r="S828" i="3"/>
  <c r="R828" i="3"/>
  <c r="D828" i="3"/>
  <c r="C828" i="3"/>
  <c r="B828" i="3"/>
  <c r="A828" i="3"/>
  <c r="S827" i="3"/>
  <c r="R827" i="3"/>
  <c r="D827" i="3"/>
  <c r="C827" i="3"/>
  <c r="B827" i="3"/>
  <c r="A827" i="3"/>
  <c r="S826" i="3"/>
  <c r="R826" i="3"/>
  <c r="D826" i="3"/>
  <c r="C826" i="3"/>
  <c r="B826" i="3"/>
  <c r="A826" i="3"/>
  <c r="S825" i="3"/>
  <c r="R825" i="3"/>
  <c r="D825" i="3"/>
  <c r="C825" i="3"/>
  <c r="B825" i="3"/>
  <c r="A825" i="3"/>
  <c r="S824" i="3"/>
  <c r="R824" i="3"/>
  <c r="D824" i="3"/>
  <c r="C824" i="3"/>
  <c r="B824" i="3"/>
  <c r="A824" i="3"/>
  <c r="S823" i="3"/>
  <c r="R823" i="3"/>
  <c r="D823" i="3"/>
  <c r="C823" i="3"/>
  <c r="B823" i="3"/>
  <c r="A823" i="3"/>
  <c r="S822" i="3"/>
  <c r="R822" i="3"/>
  <c r="D822" i="3"/>
  <c r="C822" i="3"/>
  <c r="B822" i="3"/>
  <c r="A822" i="3"/>
  <c r="S821" i="3"/>
  <c r="R821" i="3"/>
  <c r="D821" i="3"/>
  <c r="C821" i="3"/>
  <c r="B821" i="3"/>
  <c r="A821" i="3"/>
  <c r="S820" i="3"/>
  <c r="R820" i="3"/>
  <c r="D820" i="3"/>
  <c r="C820" i="3"/>
  <c r="B820" i="3"/>
  <c r="A820" i="3"/>
  <c r="S819" i="3"/>
  <c r="R819" i="3"/>
  <c r="D819" i="3"/>
  <c r="C819" i="3"/>
  <c r="B819" i="3"/>
  <c r="A819" i="3"/>
  <c r="S818" i="3"/>
  <c r="R818" i="3"/>
  <c r="D818" i="3"/>
  <c r="C818" i="3"/>
  <c r="B818" i="3"/>
  <c r="A818" i="3"/>
  <c r="S817" i="3"/>
  <c r="R817" i="3"/>
  <c r="D817" i="3"/>
  <c r="C817" i="3"/>
  <c r="B817" i="3"/>
  <c r="A817" i="3"/>
  <c r="S816" i="3"/>
  <c r="R816" i="3"/>
  <c r="D816" i="3"/>
  <c r="C816" i="3"/>
  <c r="B816" i="3"/>
  <c r="A816" i="3"/>
  <c r="S815" i="3"/>
  <c r="R815" i="3"/>
  <c r="D815" i="3"/>
  <c r="C815" i="3"/>
  <c r="B815" i="3"/>
  <c r="A815" i="3"/>
  <c r="S814" i="3"/>
  <c r="R814" i="3"/>
  <c r="D814" i="3"/>
  <c r="C814" i="3"/>
  <c r="B814" i="3"/>
  <c r="A814" i="3"/>
  <c r="S813" i="3"/>
  <c r="R813" i="3"/>
  <c r="D813" i="3"/>
  <c r="C813" i="3"/>
  <c r="B813" i="3"/>
  <c r="A813" i="3"/>
  <c r="S812" i="3"/>
  <c r="R812" i="3"/>
  <c r="D812" i="3"/>
  <c r="C812" i="3"/>
  <c r="B812" i="3"/>
  <c r="A812" i="3"/>
  <c r="S811" i="3"/>
  <c r="R811" i="3"/>
  <c r="D811" i="3"/>
  <c r="C811" i="3"/>
  <c r="B811" i="3"/>
  <c r="A811" i="3"/>
  <c r="S810" i="3"/>
  <c r="R810" i="3"/>
  <c r="D810" i="3"/>
  <c r="C810" i="3"/>
  <c r="B810" i="3"/>
  <c r="A810" i="3"/>
  <c r="S809" i="3"/>
  <c r="R809" i="3"/>
  <c r="D809" i="3"/>
  <c r="C809" i="3"/>
  <c r="B809" i="3"/>
  <c r="A809" i="3"/>
  <c r="S808" i="3"/>
  <c r="R808" i="3"/>
  <c r="D808" i="3"/>
  <c r="C808" i="3"/>
  <c r="B808" i="3"/>
  <c r="A808" i="3"/>
  <c r="S807" i="3"/>
  <c r="R807" i="3"/>
  <c r="D807" i="3"/>
  <c r="C807" i="3"/>
  <c r="B807" i="3"/>
  <c r="A807" i="3"/>
  <c r="S806" i="3"/>
  <c r="R806" i="3"/>
  <c r="D806" i="3"/>
  <c r="C806" i="3"/>
  <c r="B806" i="3"/>
  <c r="A806" i="3"/>
  <c r="S805" i="3"/>
  <c r="R805" i="3"/>
  <c r="D805" i="3"/>
  <c r="C805" i="3"/>
  <c r="B805" i="3"/>
  <c r="A805" i="3"/>
  <c r="S804" i="3"/>
  <c r="R804" i="3"/>
  <c r="D804" i="3"/>
  <c r="C804" i="3"/>
  <c r="B804" i="3"/>
  <c r="A804" i="3"/>
  <c r="S803" i="3"/>
  <c r="R803" i="3"/>
  <c r="D803" i="3"/>
  <c r="C803" i="3"/>
  <c r="B803" i="3"/>
  <c r="A803" i="3"/>
  <c r="S802" i="3"/>
  <c r="R802" i="3"/>
  <c r="D802" i="3"/>
  <c r="C802" i="3"/>
  <c r="B802" i="3"/>
  <c r="A802" i="3"/>
  <c r="S801" i="3"/>
  <c r="R801" i="3"/>
  <c r="D801" i="3"/>
  <c r="C801" i="3"/>
  <c r="B801" i="3"/>
  <c r="A801" i="3"/>
  <c r="S800" i="3"/>
  <c r="R800" i="3"/>
  <c r="D800" i="3"/>
  <c r="C800" i="3"/>
  <c r="B800" i="3"/>
  <c r="A800" i="3"/>
  <c r="S799" i="3"/>
  <c r="R799" i="3"/>
  <c r="D799" i="3"/>
  <c r="C799" i="3"/>
  <c r="B799" i="3"/>
  <c r="A799" i="3"/>
  <c r="S798" i="3"/>
  <c r="R798" i="3"/>
  <c r="D798" i="3"/>
  <c r="C798" i="3"/>
  <c r="B798" i="3"/>
  <c r="A798" i="3"/>
  <c r="S797" i="3"/>
  <c r="R797" i="3"/>
  <c r="D797" i="3"/>
  <c r="C797" i="3"/>
  <c r="B797" i="3"/>
  <c r="A797" i="3"/>
  <c r="S796" i="3"/>
  <c r="R796" i="3"/>
  <c r="D796" i="3"/>
  <c r="C796" i="3"/>
  <c r="B796" i="3"/>
  <c r="A796" i="3"/>
  <c r="S795" i="3"/>
  <c r="R795" i="3"/>
  <c r="D795" i="3"/>
  <c r="C795" i="3"/>
  <c r="B795" i="3"/>
  <c r="A795" i="3"/>
  <c r="S794" i="3"/>
  <c r="R794" i="3"/>
  <c r="D794" i="3"/>
  <c r="C794" i="3"/>
  <c r="B794" i="3"/>
  <c r="A794" i="3"/>
  <c r="S793" i="3"/>
  <c r="R793" i="3"/>
  <c r="D793" i="3"/>
  <c r="C793" i="3"/>
  <c r="B793" i="3"/>
  <c r="A793" i="3"/>
  <c r="S792" i="3"/>
  <c r="R792" i="3"/>
  <c r="D792" i="3"/>
  <c r="C792" i="3"/>
  <c r="B792" i="3"/>
  <c r="A792" i="3"/>
  <c r="S791" i="3"/>
  <c r="R791" i="3"/>
  <c r="D791" i="3"/>
  <c r="C791" i="3"/>
  <c r="B791" i="3"/>
  <c r="A791" i="3"/>
  <c r="S790" i="3"/>
  <c r="R790" i="3"/>
  <c r="D790" i="3"/>
  <c r="C790" i="3"/>
  <c r="B790" i="3"/>
  <c r="A790" i="3"/>
  <c r="S789" i="3"/>
  <c r="R789" i="3"/>
  <c r="D789" i="3"/>
  <c r="C789" i="3"/>
  <c r="B789" i="3"/>
  <c r="A789" i="3"/>
  <c r="S788" i="3"/>
  <c r="R788" i="3"/>
  <c r="D788" i="3"/>
  <c r="C788" i="3"/>
  <c r="B788" i="3"/>
  <c r="A788" i="3"/>
  <c r="S787" i="3"/>
  <c r="R787" i="3"/>
  <c r="D787" i="3"/>
  <c r="C787" i="3"/>
  <c r="B787" i="3"/>
  <c r="A787" i="3"/>
  <c r="S786" i="3"/>
  <c r="R786" i="3"/>
  <c r="D786" i="3"/>
  <c r="C786" i="3"/>
  <c r="B786" i="3"/>
  <c r="A786" i="3"/>
  <c r="S785" i="3"/>
  <c r="R785" i="3"/>
  <c r="D785" i="3"/>
  <c r="C785" i="3"/>
  <c r="B785" i="3"/>
  <c r="A785" i="3"/>
  <c r="S784" i="3"/>
  <c r="R784" i="3"/>
  <c r="D784" i="3"/>
  <c r="C784" i="3"/>
  <c r="B784" i="3"/>
  <c r="A784" i="3"/>
  <c r="S783" i="3"/>
  <c r="R783" i="3"/>
  <c r="D783" i="3"/>
  <c r="C783" i="3"/>
  <c r="B783" i="3"/>
  <c r="A783" i="3"/>
  <c r="S782" i="3"/>
  <c r="R782" i="3"/>
  <c r="D782" i="3"/>
  <c r="C782" i="3"/>
  <c r="B782" i="3"/>
  <c r="A782" i="3"/>
  <c r="S781" i="3"/>
  <c r="R781" i="3"/>
  <c r="D781" i="3"/>
  <c r="C781" i="3"/>
  <c r="B781" i="3"/>
  <c r="A781" i="3"/>
  <c r="S780" i="3"/>
  <c r="R780" i="3"/>
  <c r="D780" i="3"/>
  <c r="C780" i="3"/>
  <c r="B780" i="3"/>
  <c r="A780" i="3"/>
  <c r="S779" i="3"/>
  <c r="R779" i="3"/>
  <c r="D779" i="3"/>
  <c r="C779" i="3"/>
  <c r="B779" i="3"/>
  <c r="A779" i="3"/>
  <c r="S778" i="3"/>
  <c r="R778" i="3"/>
  <c r="D778" i="3"/>
  <c r="C778" i="3"/>
  <c r="B778" i="3"/>
  <c r="A778" i="3"/>
  <c r="S777" i="3"/>
  <c r="R777" i="3"/>
  <c r="D777" i="3"/>
  <c r="C777" i="3"/>
  <c r="B777" i="3"/>
  <c r="A777" i="3"/>
  <c r="S776" i="3"/>
  <c r="R776" i="3"/>
  <c r="D776" i="3"/>
  <c r="C776" i="3"/>
  <c r="B776" i="3"/>
  <c r="A776" i="3"/>
  <c r="S775" i="3"/>
  <c r="R775" i="3"/>
  <c r="D775" i="3"/>
  <c r="C775" i="3"/>
  <c r="B775" i="3"/>
  <c r="A775" i="3"/>
  <c r="S774" i="3"/>
  <c r="R774" i="3"/>
  <c r="D774" i="3"/>
  <c r="C774" i="3"/>
  <c r="B774" i="3"/>
  <c r="A774" i="3"/>
  <c r="S773" i="3"/>
  <c r="R773" i="3"/>
  <c r="D773" i="3"/>
  <c r="C773" i="3"/>
  <c r="B773" i="3"/>
  <c r="A773" i="3"/>
  <c r="S772" i="3"/>
  <c r="R772" i="3"/>
  <c r="D772" i="3"/>
  <c r="C772" i="3"/>
  <c r="B772" i="3"/>
  <c r="A772" i="3"/>
  <c r="S771" i="3"/>
  <c r="R771" i="3"/>
  <c r="D771" i="3"/>
  <c r="C771" i="3"/>
  <c r="B771" i="3"/>
  <c r="A771" i="3"/>
  <c r="S770" i="3"/>
  <c r="R770" i="3"/>
  <c r="D770" i="3"/>
  <c r="C770" i="3"/>
  <c r="B770" i="3"/>
  <c r="A770" i="3"/>
  <c r="S769" i="3"/>
  <c r="R769" i="3"/>
  <c r="D769" i="3"/>
  <c r="C769" i="3"/>
  <c r="B769" i="3"/>
  <c r="A769" i="3"/>
  <c r="S768" i="3"/>
  <c r="R768" i="3"/>
  <c r="D768" i="3"/>
  <c r="C768" i="3"/>
  <c r="B768" i="3"/>
  <c r="A768" i="3"/>
  <c r="S767" i="3"/>
  <c r="R767" i="3"/>
  <c r="D767" i="3"/>
  <c r="C767" i="3"/>
  <c r="B767" i="3"/>
  <c r="A767" i="3"/>
  <c r="S766" i="3"/>
  <c r="R766" i="3"/>
  <c r="D766" i="3"/>
  <c r="C766" i="3"/>
  <c r="B766" i="3"/>
  <c r="A766" i="3"/>
  <c r="S765" i="3"/>
  <c r="R765" i="3"/>
  <c r="D765" i="3"/>
  <c r="C765" i="3"/>
  <c r="B765" i="3"/>
  <c r="A765" i="3"/>
  <c r="S764" i="3"/>
  <c r="R764" i="3"/>
  <c r="D764" i="3"/>
  <c r="C764" i="3"/>
  <c r="B764" i="3"/>
  <c r="A764" i="3"/>
  <c r="S763" i="3"/>
  <c r="R763" i="3"/>
  <c r="D763" i="3"/>
  <c r="C763" i="3"/>
  <c r="B763" i="3"/>
  <c r="A763" i="3"/>
  <c r="S762" i="3"/>
  <c r="R762" i="3"/>
  <c r="D762" i="3"/>
  <c r="C762" i="3"/>
  <c r="B762" i="3"/>
  <c r="A762" i="3"/>
  <c r="S761" i="3"/>
  <c r="R761" i="3"/>
  <c r="D761" i="3"/>
  <c r="C761" i="3"/>
  <c r="B761" i="3"/>
  <c r="A761" i="3"/>
  <c r="S760" i="3"/>
  <c r="R760" i="3"/>
  <c r="D760" i="3"/>
  <c r="C760" i="3"/>
  <c r="B760" i="3"/>
  <c r="A760" i="3"/>
  <c r="S759" i="3"/>
  <c r="R759" i="3"/>
  <c r="D759" i="3"/>
  <c r="C759" i="3"/>
  <c r="B759" i="3"/>
  <c r="A759" i="3"/>
  <c r="S758" i="3"/>
  <c r="R758" i="3"/>
  <c r="D758" i="3"/>
  <c r="C758" i="3"/>
  <c r="B758" i="3"/>
  <c r="A758" i="3"/>
  <c r="S757" i="3"/>
  <c r="R757" i="3"/>
  <c r="D757" i="3"/>
  <c r="C757" i="3"/>
  <c r="B757" i="3"/>
  <c r="A757" i="3"/>
  <c r="S756" i="3"/>
  <c r="R756" i="3"/>
  <c r="D756" i="3"/>
  <c r="C756" i="3"/>
  <c r="B756" i="3"/>
  <c r="A756" i="3"/>
  <c r="S755" i="3"/>
  <c r="R755" i="3"/>
  <c r="D755" i="3"/>
  <c r="C755" i="3"/>
  <c r="B755" i="3"/>
  <c r="A755" i="3"/>
  <c r="S754" i="3"/>
  <c r="R754" i="3"/>
  <c r="D754" i="3"/>
  <c r="C754" i="3"/>
  <c r="B754" i="3"/>
  <c r="A754" i="3"/>
  <c r="S753" i="3"/>
  <c r="R753" i="3"/>
  <c r="D753" i="3"/>
  <c r="C753" i="3"/>
  <c r="B753" i="3"/>
  <c r="A753" i="3"/>
  <c r="S752" i="3"/>
  <c r="R752" i="3"/>
  <c r="D752" i="3"/>
  <c r="C752" i="3"/>
  <c r="B752" i="3"/>
  <c r="A752" i="3"/>
  <c r="S751" i="3"/>
  <c r="R751" i="3"/>
  <c r="D751" i="3"/>
  <c r="C751" i="3"/>
  <c r="B751" i="3"/>
  <c r="A751" i="3"/>
  <c r="S750" i="3"/>
  <c r="R750" i="3"/>
  <c r="D750" i="3"/>
  <c r="C750" i="3"/>
  <c r="B750" i="3"/>
  <c r="A750" i="3"/>
  <c r="S749" i="3"/>
  <c r="R749" i="3"/>
  <c r="D749" i="3"/>
  <c r="C749" i="3"/>
  <c r="B749" i="3"/>
  <c r="A749" i="3"/>
  <c r="S748" i="3"/>
  <c r="R748" i="3"/>
  <c r="D748" i="3"/>
  <c r="C748" i="3"/>
  <c r="B748" i="3"/>
  <c r="A748" i="3"/>
  <c r="S747" i="3"/>
  <c r="R747" i="3"/>
  <c r="D747" i="3"/>
  <c r="C747" i="3"/>
  <c r="B747" i="3"/>
  <c r="A747" i="3"/>
  <c r="S746" i="3"/>
  <c r="R746" i="3"/>
  <c r="D746" i="3"/>
  <c r="C746" i="3"/>
  <c r="B746" i="3"/>
  <c r="A746" i="3"/>
  <c r="S745" i="3"/>
  <c r="R745" i="3"/>
  <c r="D745" i="3"/>
  <c r="C745" i="3"/>
  <c r="B745" i="3"/>
  <c r="A745" i="3"/>
  <c r="S744" i="3"/>
  <c r="R744" i="3"/>
  <c r="D744" i="3"/>
  <c r="C744" i="3"/>
  <c r="B744" i="3"/>
  <c r="A744" i="3"/>
  <c r="S743" i="3"/>
  <c r="R743" i="3"/>
  <c r="D743" i="3"/>
  <c r="C743" i="3"/>
  <c r="B743" i="3"/>
  <c r="A743" i="3"/>
  <c r="S742" i="3"/>
  <c r="R742" i="3"/>
  <c r="D742" i="3"/>
  <c r="C742" i="3"/>
  <c r="B742" i="3"/>
  <c r="A742" i="3"/>
  <c r="S741" i="3"/>
  <c r="R741" i="3"/>
  <c r="D741" i="3"/>
  <c r="C741" i="3"/>
  <c r="B741" i="3"/>
  <c r="A741" i="3"/>
  <c r="S740" i="3"/>
  <c r="R740" i="3"/>
  <c r="D740" i="3"/>
  <c r="C740" i="3"/>
  <c r="B740" i="3"/>
  <c r="A740" i="3"/>
  <c r="S739" i="3"/>
  <c r="R739" i="3"/>
  <c r="D739" i="3"/>
  <c r="C739" i="3"/>
  <c r="B739" i="3"/>
  <c r="A739" i="3"/>
  <c r="S738" i="3"/>
  <c r="R738" i="3"/>
  <c r="D738" i="3"/>
  <c r="C738" i="3"/>
  <c r="B738" i="3"/>
  <c r="A738" i="3"/>
  <c r="S737" i="3"/>
  <c r="R737" i="3"/>
  <c r="D737" i="3"/>
  <c r="C737" i="3"/>
  <c r="B737" i="3"/>
  <c r="A737" i="3"/>
  <c r="S736" i="3"/>
  <c r="R736" i="3"/>
  <c r="D736" i="3"/>
  <c r="C736" i="3"/>
  <c r="B736" i="3"/>
  <c r="A736" i="3"/>
  <c r="S735" i="3"/>
  <c r="R735" i="3"/>
  <c r="D735" i="3"/>
  <c r="C735" i="3"/>
  <c r="B735" i="3"/>
  <c r="A735" i="3"/>
  <c r="S734" i="3"/>
  <c r="R734" i="3"/>
  <c r="D734" i="3"/>
  <c r="C734" i="3"/>
  <c r="B734" i="3"/>
  <c r="A734" i="3"/>
  <c r="S733" i="3"/>
  <c r="R733" i="3"/>
  <c r="D733" i="3"/>
  <c r="C733" i="3"/>
  <c r="B733" i="3"/>
  <c r="A733" i="3"/>
  <c r="S732" i="3"/>
  <c r="R732" i="3"/>
  <c r="D732" i="3"/>
  <c r="C732" i="3"/>
  <c r="B732" i="3"/>
  <c r="A732" i="3"/>
  <c r="S731" i="3"/>
  <c r="R731" i="3"/>
  <c r="D731" i="3"/>
  <c r="C731" i="3"/>
  <c r="B731" i="3"/>
  <c r="A731" i="3"/>
  <c r="S730" i="3"/>
  <c r="R730" i="3"/>
  <c r="D730" i="3"/>
  <c r="C730" i="3"/>
  <c r="B730" i="3"/>
  <c r="A730" i="3"/>
  <c r="S729" i="3"/>
  <c r="R729" i="3"/>
  <c r="D729" i="3"/>
  <c r="C729" i="3"/>
  <c r="B729" i="3"/>
  <c r="A729" i="3"/>
  <c r="S728" i="3"/>
  <c r="R728" i="3"/>
  <c r="D728" i="3"/>
  <c r="C728" i="3"/>
  <c r="B728" i="3"/>
  <c r="A728" i="3"/>
  <c r="S727" i="3"/>
  <c r="R727" i="3"/>
  <c r="D727" i="3"/>
  <c r="C727" i="3"/>
  <c r="B727" i="3"/>
  <c r="A727" i="3"/>
  <c r="S726" i="3"/>
  <c r="R726" i="3"/>
  <c r="D726" i="3"/>
  <c r="C726" i="3"/>
  <c r="B726" i="3"/>
  <c r="A726" i="3"/>
  <c r="S725" i="3"/>
  <c r="R725" i="3"/>
  <c r="D725" i="3"/>
  <c r="C725" i="3"/>
  <c r="B725" i="3"/>
  <c r="A725" i="3"/>
  <c r="S724" i="3"/>
  <c r="R724" i="3"/>
  <c r="D724" i="3"/>
  <c r="C724" i="3"/>
  <c r="B724" i="3"/>
  <c r="A724" i="3"/>
  <c r="S723" i="3"/>
  <c r="R723" i="3"/>
  <c r="D723" i="3"/>
  <c r="C723" i="3"/>
  <c r="B723" i="3"/>
  <c r="A723" i="3"/>
  <c r="S722" i="3"/>
  <c r="R722" i="3"/>
  <c r="D722" i="3"/>
  <c r="C722" i="3"/>
  <c r="B722" i="3"/>
  <c r="A722" i="3"/>
  <c r="S721" i="3"/>
  <c r="R721" i="3"/>
  <c r="D721" i="3"/>
  <c r="C721" i="3"/>
  <c r="B721" i="3"/>
  <c r="A721" i="3"/>
  <c r="S720" i="3"/>
  <c r="R720" i="3"/>
  <c r="D720" i="3"/>
  <c r="C720" i="3"/>
  <c r="B720" i="3"/>
  <c r="A720" i="3"/>
  <c r="S719" i="3"/>
  <c r="R719" i="3"/>
  <c r="D719" i="3"/>
  <c r="C719" i="3"/>
  <c r="B719" i="3"/>
  <c r="A719" i="3"/>
  <c r="S718" i="3"/>
  <c r="R718" i="3"/>
  <c r="D718" i="3"/>
  <c r="C718" i="3"/>
  <c r="B718" i="3"/>
  <c r="A718" i="3"/>
  <c r="S717" i="3"/>
  <c r="R717" i="3"/>
  <c r="D717" i="3"/>
  <c r="C717" i="3"/>
  <c r="B717" i="3"/>
  <c r="A717" i="3"/>
  <c r="S716" i="3"/>
  <c r="R716" i="3"/>
  <c r="D716" i="3"/>
  <c r="C716" i="3"/>
  <c r="B716" i="3"/>
  <c r="A716" i="3"/>
  <c r="S715" i="3"/>
  <c r="R715" i="3"/>
  <c r="D715" i="3"/>
  <c r="C715" i="3"/>
  <c r="B715" i="3"/>
  <c r="A715" i="3"/>
  <c r="S714" i="3"/>
  <c r="R714" i="3"/>
  <c r="D714" i="3"/>
  <c r="C714" i="3"/>
  <c r="B714" i="3"/>
  <c r="A714" i="3"/>
  <c r="S713" i="3"/>
  <c r="R713" i="3"/>
  <c r="D713" i="3"/>
  <c r="C713" i="3"/>
  <c r="B713" i="3"/>
  <c r="A713" i="3"/>
  <c r="S712" i="3"/>
  <c r="R712" i="3"/>
  <c r="D712" i="3"/>
  <c r="C712" i="3"/>
  <c r="B712" i="3"/>
  <c r="A712" i="3"/>
  <c r="S711" i="3"/>
  <c r="R711" i="3"/>
  <c r="D711" i="3"/>
  <c r="C711" i="3"/>
  <c r="B711" i="3"/>
  <c r="A711" i="3"/>
  <c r="S710" i="3"/>
  <c r="R710" i="3"/>
  <c r="D710" i="3"/>
  <c r="C710" i="3"/>
  <c r="B710" i="3"/>
  <c r="A710" i="3"/>
  <c r="S709" i="3"/>
  <c r="R709" i="3"/>
  <c r="D709" i="3"/>
  <c r="C709" i="3"/>
  <c r="B709" i="3"/>
  <c r="A709" i="3"/>
  <c r="S708" i="3"/>
  <c r="R708" i="3"/>
  <c r="D708" i="3"/>
  <c r="C708" i="3"/>
  <c r="B708" i="3"/>
  <c r="A708" i="3"/>
  <c r="S707" i="3"/>
  <c r="R707" i="3"/>
  <c r="D707" i="3"/>
  <c r="C707" i="3"/>
  <c r="B707" i="3"/>
  <c r="A707" i="3"/>
  <c r="S706" i="3"/>
  <c r="R706" i="3"/>
  <c r="D706" i="3"/>
  <c r="C706" i="3"/>
  <c r="B706" i="3"/>
  <c r="A706" i="3"/>
  <c r="S705" i="3"/>
  <c r="R705" i="3"/>
  <c r="D705" i="3"/>
  <c r="C705" i="3"/>
  <c r="B705" i="3"/>
  <c r="A705" i="3"/>
  <c r="S704" i="3"/>
  <c r="R704" i="3"/>
  <c r="D704" i="3"/>
  <c r="C704" i="3"/>
  <c r="B704" i="3"/>
  <c r="A704" i="3"/>
  <c r="S703" i="3"/>
  <c r="R703" i="3"/>
  <c r="D703" i="3"/>
  <c r="C703" i="3"/>
  <c r="B703" i="3"/>
  <c r="A703" i="3"/>
  <c r="S702" i="3"/>
  <c r="R702" i="3"/>
  <c r="D702" i="3"/>
  <c r="C702" i="3"/>
  <c r="B702" i="3"/>
  <c r="A702" i="3"/>
  <c r="S701" i="3"/>
  <c r="R701" i="3"/>
  <c r="D701" i="3"/>
  <c r="C701" i="3"/>
  <c r="B701" i="3"/>
  <c r="A701" i="3"/>
  <c r="S700" i="3"/>
  <c r="R700" i="3"/>
  <c r="D700" i="3"/>
  <c r="C700" i="3"/>
  <c r="B700" i="3"/>
  <c r="A700" i="3"/>
  <c r="S699" i="3"/>
  <c r="R699" i="3"/>
  <c r="D699" i="3"/>
  <c r="C699" i="3"/>
  <c r="B699" i="3"/>
  <c r="A699" i="3"/>
  <c r="S698" i="3"/>
  <c r="R698" i="3"/>
  <c r="D698" i="3"/>
  <c r="C698" i="3"/>
  <c r="B698" i="3"/>
  <c r="A698" i="3"/>
  <c r="S697" i="3"/>
  <c r="R697" i="3"/>
  <c r="D697" i="3"/>
  <c r="C697" i="3"/>
  <c r="B697" i="3"/>
  <c r="A697" i="3"/>
  <c r="S696" i="3"/>
  <c r="R696" i="3"/>
  <c r="D696" i="3"/>
  <c r="C696" i="3"/>
  <c r="B696" i="3"/>
  <c r="A696" i="3"/>
  <c r="S695" i="3"/>
  <c r="R695" i="3"/>
  <c r="D695" i="3"/>
  <c r="C695" i="3"/>
  <c r="B695" i="3"/>
  <c r="A695" i="3"/>
  <c r="S694" i="3"/>
  <c r="R694" i="3"/>
  <c r="D694" i="3"/>
  <c r="C694" i="3"/>
  <c r="B694" i="3"/>
  <c r="A694" i="3"/>
  <c r="S693" i="3"/>
  <c r="R693" i="3"/>
  <c r="D693" i="3"/>
  <c r="C693" i="3"/>
  <c r="B693" i="3"/>
  <c r="A693" i="3"/>
  <c r="S692" i="3"/>
  <c r="R692" i="3"/>
  <c r="D692" i="3"/>
  <c r="C692" i="3"/>
  <c r="B692" i="3"/>
  <c r="A692" i="3"/>
  <c r="S691" i="3"/>
  <c r="R691" i="3"/>
  <c r="D691" i="3"/>
  <c r="C691" i="3"/>
  <c r="B691" i="3"/>
  <c r="A691" i="3"/>
  <c r="S690" i="3"/>
  <c r="R690" i="3"/>
  <c r="D690" i="3"/>
  <c r="C690" i="3"/>
  <c r="B690" i="3"/>
  <c r="A690" i="3"/>
  <c r="S689" i="3"/>
  <c r="R689" i="3"/>
  <c r="D689" i="3"/>
  <c r="C689" i="3"/>
  <c r="B689" i="3"/>
  <c r="A689" i="3"/>
  <c r="S688" i="3"/>
  <c r="R688" i="3"/>
  <c r="D688" i="3"/>
  <c r="C688" i="3"/>
  <c r="B688" i="3"/>
  <c r="A688" i="3"/>
  <c r="S687" i="3"/>
  <c r="R687" i="3"/>
  <c r="D687" i="3"/>
  <c r="C687" i="3"/>
  <c r="B687" i="3"/>
  <c r="A687" i="3"/>
  <c r="S686" i="3"/>
  <c r="R686" i="3"/>
  <c r="D686" i="3"/>
  <c r="C686" i="3"/>
  <c r="B686" i="3"/>
  <c r="A686" i="3"/>
  <c r="S685" i="3"/>
  <c r="R685" i="3"/>
  <c r="D685" i="3"/>
  <c r="C685" i="3"/>
  <c r="B685" i="3"/>
  <c r="A685" i="3"/>
  <c r="S684" i="3"/>
  <c r="R684" i="3"/>
  <c r="D684" i="3"/>
  <c r="C684" i="3"/>
  <c r="B684" i="3"/>
  <c r="A684" i="3"/>
  <c r="S683" i="3"/>
  <c r="R683" i="3"/>
  <c r="D683" i="3"/>
  <c r="C683" i="3"/>
  <c r="B683" i="3"/>
  <c r="A683" i="3"/>
  <c r="S682" i="3"/>
  <c r="R682" i="3"/>
  <c r="D682" i="3"/>
  <c r="C682" i="3"/>
  <c r="B682" i="3"/>
  <c r="A682" i="3"/>
  <c r="S681" i="3"/>
  <c r="R681" i="3"/>
  <c r="D681" i="3"/>
  <c r="C681" i="3"/>
  <c r="B681" i="3"/>
  <c r="A681" i="3"/>
  <c r="S680" i="3"/>
  <c r="R680" i="3"/>
  <c r="D680" i="3"/>
  <c r="C680" i="3"/>
  <c r="B680" i="3"/>
  <c r="A680" i="3"/>
  <c r="S679" i="3"/>
  <c r="R679" i="3"/>
  <c r="D679" i="3"/>
  <c r="C679" i="3"/>
  <c r="B679" i="3"/>
  <c r="A679" i="3"/>
  <c r="S678" i="3"/>
  <c r="R678" i="3"/>
  <c r="D678" i="3"/>
  <c r="C678" i="3"/>
  <c r="B678" i="3"/>
  <c r="A678" i="3"/>
  <c r="S677" i="3"/>
  <c r="R677" i="3"/>
  <c r="D677" i="3"/>
  <c r="C677" i="3"/>
  <c r="B677" i="3"/>
  <c r="A677" i="3"/>
  <c r="S676" i="3"/>
  <c r="R676" i="3"/>
  <c r="D676" i="3"/>
  <c r="C676" i="3"/>
  <c r="B676" i="3"/>
  <c r="A676" i="3"/>
  <c r="S675" i="3"/>
  <c r="R675" i="3"/>
  <c r="D675" i="3"/>
  <c r="C675" i="3"/>
  <c r="B675" i="3"/>
  <c r="A675" i="3"/>
  <c r="S674" i="3"/>
  <c r="R674" i="3"/>
  <c r="D674" i="3"/>
  <c r="C674" i="3"/>
  <c r="B674" i="3"/>
  <c r="A674" i="3"/>
  <c r="S673" i="3"/>
  <c r="R673" i="3"/>
  <c r="D673" i="3"/>
  <c r="C673" i="3"/>
  <c r="B673" i="3"/>
  <c r="A673" i="3"/>
  <c r="S672" i="3"/>
  <c r="R672" i="3"/>
  <c r="D672" i="3"/>
  <c r="C672" i="3"/>
  <c r="B672" i="3"/>
  <c r="A672" i="3"/>
  <c r="S671" i="3"/>
  <c r="R671" i="3"/>
  <c r="D671" i="3"/>
  <c r="C671" i="3"/>
  <c r="B671" i="3"/>
  <c r="A671" i="3"/>
  <c r="S670" i="3"/>
  <c r="R670" i="3"/>
  <c r="D670" i="3"/>
  <c r="C670" i="3"/>
  <c r="B670" i="3"/>
  <c r="A670" i="3"/>
  <c r="S669" i="3"/>
  <c r="R669" i="3"/>
  <c r="D669" i="3"/>
  <c r="C669" i="3"/>
  <c r="B669" i="3"/>
  <c r="A669" i="3"/>
  <c r="S668" i="3"/>
  <c r="R668" i="3"/>
  <c r="D668" i="3"/>
  <c r="C668" i="3"/>
  <c r="B668" i="3"/>
  <c r="A668" i="3"/>
  <c r="S667" i="3"/>
  <c r="R667" i="3"/>
  <c r="D667" i="3"/>
  <c r="C667" i="3"/>
  <c r="B667" i="3"/>
  <c r="A667" i="3"/>
  <c r="S666" i="3"/>
  <c r="R666" i="3"/>
  <c r="D666" i="3"/>
  <c r="C666" i="3"/>
  <c r="B666" i="3"/>
  <c r="A666" i="3"/>
  <c r="S665" i="3"/>
  <c r="R665" i="3"/>
  <c r="D665" i="3"/>
  <c r="C665" i="3"/>
  <c r="B665" i="3"/>
  <c r="A665" i="3"/>
  <c r="S664" i="3"/>
  <c r="R664" i="3"/>
  <c r="D664" i="3"/>
  <c r="C664" i="3"/>
  <c r="B664" i="3"/>
  <c r="A664" i="3"/>
  <c r="S663" i="3"/>
  <c r="R663" i="3"/>
  <c r="D663" i="3"/>
  <c r="C663" i="3"/>
  <c r="B663" i="3"/>
  <c r="A663" i="3"/>
  <c r="S662" i="3"/>
  <c r="R662" i="3"/>
  <c r="D662" i="3"/>
  <c r="C662" i="3"/>
  <c r="B662" i="3"/>
  <c r="A662" i="3"/>
  <c r="S661" i="3"/>
  <c r="R661" i="3"/>
  <c r="D661" i="3"/>
  <c r="C661" i="3"/>
  <c r="B661" i="3"/>
  <c r="A661" i="3"/>
  <c r="S660" i="3"/>
  <c r="R660" i="3"/>
  <c r="D660" i="3"/>
  <c r="C660" i="3"/>
  <c r="B660" i="3"/>
  <c r="A660" i="3"/>
  <c r="S659" i="3"/>
  <c r="R659" i="3"/>
  <c r="D659" i="3"/>
  <c r="C659" i="3"/>
  <c r="B659" i="3"/>
  <c r="A659" i="3"/>
  <c r="S658" i="3"/>
  <c r="R658" i="3"/>
  <c r="D658" i="3"/>
  <c r="C658" i="3"/>
  <c r="B658" i="3"/>
  <c r="A658" i="3"/>
  <c r="S657" i="3"/>
  <c r="R657" i="3"/>
  <c r="D657" i="3"/>
  <c r="C657" i="3"/>
  <c r="B657" i="3"/>
  <c r="A657" i="3"/>
  <c r="S656" i="3"/>
  <c r="R656" i="3"/>
  <c r="D656" i="3"/>
  <c r="C656" i="3"/>
  <c r="B656" i="3"/>
  <c r="A656" i="3"/>
  <c r="S655" i="3"/>
  <c r="R655" i="3"/>
  <c r="D655" i="3"/>
  <c r="C655" i="3"/>
  <c r="B655" i="3"/>
  <c r="A655" i="3"/>
  <c r="S654" i="3"/>
  <c r="R654" i="3"/>
  <c r="D654" i="3"/>
  <c r="C654" i="3"/>
  <c r="B654" i="3"/>
  <c r="A654" i="3"/>
  <c r="S653" i="3"/>
  <c r="R653" i="3"/>
  <c r="D653" i="3"/>
  <c r="C653" i="3"/>
  <c r="B653" i="3"/>
  <c r="A653" i="3"/>
  <c r="S652" i="3"/>
  <c r="R652" i="3"/>
  <c r="D652" i="3"/>
  <c r="C652" i="3"/>
  <c r="B652" i="3"/>
  <c r="A652" i="3"/>
  <c r="S651" i="3"/>
  <c r="R651" i="3"/>
  <c r="D651" i="3"/>
  <c r="C651" i="3"/>
  <c r="B651" i="3"/>
  <c r="A651" i="3"/>
  <c r="S650" i="3"/>
  <c r="R650" i="3"/>
  <c r="D650" i="3"/>
  <c r="C650" i="3"/>
  <c r="B650" i="3"/>
  <c r="A650" i="3"/>
  <c r="S649" i="3"/>
  <c r="R649" i="3"/>
  <c r="D649" i="3"/>
  <c r="C649" i="3"/>
  <c r="B649" i="3"/>
  <c r="A649" i="3"/>
  <c r="S648" i="3"/>
  <c r="R648" i="3"/>
  <c r="D648" i="3"/>
  <c r="C648" i="3"/>
  <c r="B648" i="3"/>
  <c r="A648" i="3"/>
  <c r="S647" i="3"/>
  <c r="R647" i="3"/>
  <c r="D647" i="3"/>
  <c r="C647" i="3"/>
  <c r="B647" i="3"/>
  <c r="A647" i="3"/>
  <c r="S646" i="3"/>
  <c r="R646" i="3"/>
  <c r="D646" i="3"/>
  <c r="C646" i="3"/>
  <c r="B646" i="3"/>
  <c r="A646" i="3"/>
  <c r="S645" i="3"/>
  <c r="R645" i="3"/>
  <c r="D645" i="3"/>
  <c r="C645" i="3"/>
  <c r="B645" i="3"/>
  <c r="A645" i="3"/>
  <c r="S644" i="3"/>
  <c r="R644" i="3"/>
  <c r="D644" i="3"/>
  <c r="C644" i="3"/>
  <c r="B644" i="3"/>
  <c r="A644" i="3"/>
  <c r="S643" i="3"/>
  <c r="R643" i="3"/>
  <c r="D643" i="3"/>
  <c r="C643" i="3"/>
  <c r="B643" i="3"/>
  <c r="A643" i="3"/>
  <c r="S642" i="3"/>
  <c r="R642" i="3"/>
  <c r="D642" i="3"/>
  <c r="C642" i="3"/>
  <c r="B642" i="3"/>
  <c r="A642" i="3"/>
  <c r="S641" i="3"/>
  <c r="R641" i="3"/>
  <c r="D641" i="3"/>
  <c r="C641" i="3"/>
  <c r="B641" i="3"/>
  <c r="A641" i="3"/>
  <c r="S640" i="3"/>
  <c r="R640" i="3"/>
  <c r="D640" i="3"/>
  <c r="C640" i="3"/>
  <c r="B640" i="3"/>
  <c r="A640" i="3"/>
  <c r="S639" i="3"/>
  <c r="R639" i="3"/>
  <c r="D639" i="3"/>
  <c r="C639" i="3"/>
  <c r="B639" i="3"/>
  <c r="A639" i="3"/>
  <c r="S638" i="3"/>
  <c r="R638" i="3"/>
  <c r="D638" i="3"/>
  <c r="C638" i="3"/>
  <c r="B638" i="3"/>
  <c r="A638" i="3"/>
  <c r="S637" i="3"/>
  <c r="R637" i="3"/>
  <c r="D637" i="3"/>
  <c r="C637" i="3"/>
  <c r="B637" i="3"/>
  <c r="A637" i="3"/>
  <c r="S636" i="3"/>
  <c r="R636" i="3"/>
  <c r="D636" i="3"/>
  <c r="C636" i="3"/>
  <c r="B636" i="3"/>
  <c r="A636" i="3"/>
  <c r="S635" i="3"/>
  <c r="R635" i="3"/>
  <c r="D635" i="3"/>
  <c r="C635" i="3"/>
  <c r="B635" i="3"/>
  <c r="A635" i="3"/>
  <c r="S634" i="3"/>
  <c r="R634" i="3"/>
  <c r="D634" i="3"/>
  <c r="C634" i="3"/>
  <c r="B634" i="3"/>
  <c r="A634" i="3"/>
  <c r="S633" i="3"/>
  <c r="R633" i="3"/>
  <c r="D633" i="3"/>
  <c r="C633" i="3"/>
  <c r="B633" i="3"/>
  <c r="A633" i="3"/>
  <c r="S632" i="3"/>
  <c r="R632" i="3"/>
  <c r="D632" i="3"/>
  <c r="C632" i="3"/>
  <c r="B632" i="3"/>
  <c r="A632" i="3"/>
  <c r="S631" i="3"/>
  <c r="R631" i="3"/>
  <c r="D631" i="3"/>
  <c r="C631" i="3"/>
  <c r="B631" i="3"/>
  <c r="A631" i="3"/>
  <c r="S630" i="3"/>
  <c r="R630" i="3"/>
  <c r="D630" i="3"/>
  <c r="C630" i="3"/>
  <c r="B630" i="3"/>
  <c r="A630" i="3"/>
  <c r="S629" i="3"/>
  <c r="R629" i="3"/>
  <c r="D629" i="3"/>
  <c r="C629" i="3"/>
  <c r="B629" i="3"/>
  <c r="A629" i="3"/>
  <c r="S628" i="3"/>
  <c r="R628" i="3"/>
  <c r="D628" i="3"/>
  <c r="C628" i="3"/>
  <c r="B628" i="3"/>
  <c r="A628" i="3"/>
  <c r="S627" i="3"/>
  <c r="R627" i="3"/>
  <c r="D627" i="3"/>
  <c r="C627" i="3"/>
  <c r="B627" i="3"/>
  <c r="A627" i="3"/>
  <c r="S626" i="3"/>
  <c r="R626" i="3"/>
  <c r="D626" i="3"/>
  <c r="C626" i="3"/>
  <c r="B626" i="3"/>
  <c r="A626" i="3"/>
  <c r="S625" i="3"/>
  <c r="R625" i="3"/>
  <c r="D625" i="3"/>
  <c r="C625" i="3"/>
  <c r="B625" i="3"/>
  <c r="A625" i="3"/>
  <c r="S624" i="3"/>
  <c r="R624" i="3"/>
  <c r="D624" i="3"/>
  <c r="C624" i="3"/>
  <c r="B624" i="3"/>
  <c r="A624" i="3"/>
  <c r="S623" i="3"/>
  <c r="R623" i="3"/>
  <c r="D623" i="3"/>
  <c r="C623" i="3"/>
  <c r="B623" i="3"/>
  <c r="A623" i="3"/>
  <c r="S622" i="3"/>
  <c r="R622" i="3"/>
  <c r="D622" i="3"/>
  <c r="C622" i="3"/>
  <c r="B622" i="3"/>
  <c r="A622" i="3"/>
  <c r="S621" i="3"/>
  <c r="R621" i="3"/>
  <c r="D621" i="3"/>
  <c r="C621" i="3"/>
  <c r="B621" i="3"/>
  <c r="A621" i="3"/>
  <c r="S620" i="3"/>
  <c r="R620" i="3"/>
  <c r="D620" i="3"/>
  <c r="C620" i="3"/>
  <c r="B620" i="3"/>
  <c r="A620" i="3"/>
  <c r="S619" i="3"/>
  <c r="R619" i="3"/>
  <c r="D619" i="3"/>
  <c r="C619" i="3"/>
  <c r="B619" i="3"/>
  <c r="A619" i="3"/>
  <c r="S618" i="3"/>
  <c r="R618" i="3"/>
  <c r="D618" i="3"/>
  <c r="C618" i="3"/>
  <c r="B618" i="3"/>
  <c r="A618" i="3"/>
  <c r="S617" i="3"/>
  <c r="R617" i="3"/>
  <c r="D617" i="3"/>
  <c r="C617" i="3"/>
  <c r="B617" i="3"/>
  <c r="A617" i="3"/>
  <c r="S616" i="3"/>
  <c r="R616" i="3"/>
  <c r="D616" i="3"/>
  <c r="C616" i="3"/>
  <c r="B616" i="3"/>
  <c r="A616" i="3"/>
  <c r="S615" i="3"/>
  <c r="R615" i="3"/>
  <c r="D615" i="3"/>
  <c r="C615" i="3"/>
  <c r="B615" i="3"/>
  <c r="A615" i="3"/>
  <c r="S614" i="3"/>
  <c r="R614" i="3"/>
  <c r="D614" i="3"/>
  <c r="C614" i="3"/>
  <c r="B614" i="3"/>
  <c r="A614" i="3"/>
  <c r="S613" i="3"/>
  <c r="R613" i="3"/>
  <c r="D613" i="3"/>
  <c r="C613" i="3"/>
  <c r="B613" i="3"/>
  <c r="A613" i="3"/>
  <c r="S612" i="3"/>
  <c r="R612" i="3"/>
  <c r="D612" i="3"/>
  <c r="C612" i="3"/>
  <c r="B612" i="3"/>
  <c r="A612" i="3"/>
  <c r="S611" i="3"/>
  <c r="R611" i="3"/>
  <c r="D611" i="3"/>
  <c r="C611" i="3"/>
  <c r="B611" i="3"/>
  <c r="A611" i="3"/>
  <c r="S610" i="3"/>
  <c r="R610" i="3"/>
  <c r="D610" i="3"/>
  <c r="C610" i="3"/>
  <c r="B610" i="3"/>
  <c r="A610" i="3"/>
  <c r="S609" i="3"/>
  <c r="R609" i="3"/>
  <c r="D609" i="3"/>
  <c r="C609" i="3"/>
  <c r="B609" i="3"/>
  <c r="A609" i="3"/>
  <c r="S608" i="3"/>
  <c r="R608" i="3"/>
  <c r="D608" i="3"/>
  <c r="C608" i="3"/>
  <c r="B608" i="3"/>
  <c r="A608" i="3"/>
  <c r="S607" i="3"/>
  <c r="R607" i="3"/>
  <c r="D607" i="3"/>
  <c r="C607" i="3"/>
  <c r="B607" i="3"/>
  <c r="A607" i="3"/>
  <c r="S606" i="3"/>
  <c r="R606" i="3"/>
  <c r="D606" i="3"/>
  <c r="C606" i="3"/>
  <c r="B606" i="3"/>
  <c r="A606" i="3"/>
  <c r="S605" i="3"/>
  <c r="R605" i="3"/>
  <c r="D605" i="3"/>
  <c r="C605" i="3"/>
  <c r="B605" i="3"/>
  <c r="A605" i="3"/>
  <c r="S604" i="3"/>
  <c r="R604" i="3"/>
  <c r="D604" i="3"/>
  <c r="C604" i="3"/>
  <c r="B604" i="3"/>
  <c r="A604" i="3"/>
  <c r="S603" i="3"/>
  <c r="R603" i="3"/>
  <c r="D603" i="3"/>
  <c r="C603" i="3"/>
  <c r="B603" i="3"/>
  <c r="A603" i="3"/>
  <c r="S602" i="3"/>
  <c r="R602" i="3"/>
  <c r="D602" i="3"/>
  <c r="C602" i="3"/>
  <c r="B602" i="3"/>
  <c r="A602" i="3"/>
  <c r="S601" i="3"/>
  <c r="R601" i="3"/>
  <c r="D601" i="3"/>
  <c r="C601" i="3"/>
  <c r="B601" i="3"/>
  <c r="A601" i="3"/>
  <c r="S600" i="3"/>
  <c r="R600" i="3"/>
  <c r="D600" i="3"/>
  <c r="C600" i="3"/>
  <c r="B600" i="3"/>
  <c r="A600" i="3"/>
  <c r="S599" i="3"/>
  <c r="R599" i="3"/>
  <c r="D599" i="3"/>
  <c r="C599" i="3"/>
  <c r="B599" i="3"/>
  <c r="A599" i="3"/>
  <c r="S598" i="3"/>
  <c r="R598" i="3"/>
  <c r="D598" i="3"/>
  <c r="C598" i="3"/>
  <c r="B598" i="3"/>
  <c r="A598" i="3"/>
  <c r="S597" i="3"/>
  <c r="R597" i="3"/>
  <c r="D597" i="3"/>
  <c r="C597" i="3"/>
  <c r="B597" i="3"/>
  <c r="A597" i="3"/>
  <c r="S596" i="3"/>
  <c r="R596" i="3"/>
  <c r="D596" i="3"/>
  <c r="C596" i="3"/>
  <c r="B596" i="3"/>
  <c r="A596" i="3"/>
  <c r="S595" i="3"/>
  <c r="R595" i="3"/>
  <c r="D595" i="3"/>
  <c r="C595" i="3"/>
  <c r="B595" i="3"/>
  <c r="A595" i="3"/>
  <c r="S594" i="3"/>
  <c r="R594" i="3"/>
  <c r="D594" i="3"/>
  <c r="C594" i="3"/>
  <c r="B594" i="3"/>
  <c r="A594" i="3"/>
  <c r="S593" i="3"/>
  <c r="R593" i="3"/>
  <c r="D593" i="3"/>
  <c r="C593" i="3"/>
  <c r="B593" i="3"/>
  <c r="A593" i="3"/>
  <c r="S592" i="3"/>
  <c r="R592" i="3"/>
  <c r="D592" i="3"/>
  <c r="C592" i="3"/>
  <c r="B592" i="3"/>
  <c r="A592" i="3"/>
  <c r="S591" i="3"/>
  <c r="R591" i="3"/>
  <c r="D591" i="3"/>
  <c r="C591" i="3"/>
  <c r="B591" i="3"/>
  <c r="A591" i="3"/>
  <c r="S590" i="3"/>
  <c r="R590" i="3"/>
  <c r="D590" i="3"/>
  <c r="C590" i="3"/>
  <c r="B590" i="3"/>
  <c r="A590" i="3"/>
  <c r="S589" i="3"/>
  <c r="R589" i="3"/>
  <c r="D589" i="3"/>
  <c r="C589" i="3"/>
  <c r="B589" i="3"/>
  <c r="A589" i="3"/>
  <c r="S588" i="3"/>
  <c r="R588" i="3"/>
  <c r="D588" i="3"/>
  <c r="C588" i="3"/>
  <c r="B588" i="3"/>
  <c r="A588" i="3"/>
  <c r="S587" i="3"/>
  <c r="R587" i="3"/>
  <c r="D587" i="3"/>
  <c r="C587" i="3"/>
  <c r="B587" i="3"/>
  <c r="A587" i="3"/>
  <c r="S586" i="3"/>
  <c r="R586" i="3"/>
  <c r="D586" i="3"/>
  <c r="C586" i="3"/>
  <c r="B586" i="3"/>
  <c r="A586" i="3"/>
  <c r="S585" i="3"/>
  <c r="R585" i="3"/>
  <c r="D585" i="3"/>
  <c r="C585" i="3"/>
  <c r="B585" i="3"/>
  <c r="A585" i="3"/>
  <c r="S584" i="3"/>
  <c r="R584" i="3"/>
  <c r="D584" i="3"/>
  <c r="C584" i="3"/>
  <c r="B584" i="3"/>
  <c r="A584" i="3"/>
  <c r="S583" i="3"/>
  <c r="R583" i="3"/>
  <c r="D583" i="3"/>
  <c r="C583" i="3"/>
  <c r="B583" i="3"/>
  <c r="A583" i="3"/>
  <c r="S582" i="3"/>
  <c r="R582" i="3"/>
  <c r="D582" i="3"/>
  <c r="C582" i="3"/>
  <c r="B582" i="3"/>
  <c r="A582" i="3"/>
  <c r="S581" i="3"/>
  <c r="R581" i="3"/>
  <c r="D581" i="3"/>
  <c r="C581" i="3"/>
  <c r="B581" i="3"/>
  <c r="A581" i="3"/>
  <c r="S580" i="3"/>
  <c r="R580" i="3"/>
  <c r="D580" i="3"/>
  <c r="C580" i="3"/>
  <c r="B580" i="3"/>
  <c r="A580" i="3"/>
  <c r="S579" i="3"/>
  <c r="R579" i="3"/>
  <c r="D579" i="3"/>
  <c r="C579" i="3"/>
  <c r="B579" i="3"/>
  <c r="A579" i="3"/>
  <c r="S578" i="3"/>
  <c r="R578" i="3"/>
  <c r="D578" i="3"/>
  <c r="C578" i="3"/>
  <c r="B578" i="3"/>
  <c r="A578" i="3"/>
  <c r="S577" i="3"/>
  <c r="R577" i="3"/>
  <c r="D577" i="3"/>
  <c r="C577" i="3"/>
  <c r="B577" i="3"/>
  <c r="A577" i="3"/>
  <c r="S576" i="3"/>
  <c r="R576" i="3"/>
  <c r="D576" i="3"/>
  <c r="C576" i="3"/>
  <c r="B576" i="3"/>
  <c r="A576" i="3"/>
  <c r="S575" i="3"/>
  <c r="R575" i="3"/>
  <c r="D575" i="3"/>
  <c r="C575" i="3"/>
  <c r="B575" i="3"/>
  <c r="A575" i="3"/>
  <c r="S574" i="3"/>
  <c r="R574" i="3"/>
  <c r="D574" i="3"/>
  <c r="C574" i="3"/>
  <c r="B574" i="3"/>
  <c r="A574" i="3"/>
  <c r="S573" i="3"/>
  <c r="R573" i="3"/>
  <c r="D573" i="3"/>
  <c r="C573" i="3"/>
  <c r="B573" i="3"/>
  <c r="A573" i="3"/>
  <c r="S572" i="3"/>
  <c r="R572" i="3"/>
  <c r="D572" i="3"/>
  <c r="C572" i="3"/>
  <c r="B572" i="3"/>
  <c r="A572" i="3"/>
  <c r="S571" i="3"/>
  <c r="R571" i="3"/>
  <c r="D571" i="3"/>
  <c r="C571" i="3"/>
  <c r="B571" i="3"/>
  <c r="A571" i="3"/>
  <c r="S570" i="3"/>
  <c r="R570" i="3"/>
  <c r="D570" i="3"/>
  <c r="C570" i="3"/>
  <c r="B570" i="3"/>
  <c r="A570" i="3"/>
  <c r="S569" i="3"/>
  <c r="R569" i="3"/>
  <c r="D569" i="3"/>
  <c r="C569" i="3"/>
  <c r="B569" i="3"/>
  <c r="A569" i="3"/>
  <c r="S568" i="3"/>
  <c r="R568" i="3"/>
  <c r="D568" i="3"/>
  <c r="C568" i="3"/>
  <c r="B568" i="3"/>
  <c r="A568" i="3"/>
  <c r="S567" i="3"/>
  <c r="R567" i="3"/>
  <c r="D567" i="3"/>
  <c r="C567" i="3"/>
  <c r="B567" i="3"/>
  <c r="A567" i="3"/>
  <c r="S566" i="3"/>
  <c r="R566" i="3"/>
  <c r="D566" i="3"/>
  <c r="C566" i="3"/>
  <c r="B566" i="3"/>
  <c r="A566" i="3"/>
  <c r="S565" i="3"/>
  <c r="R565" i="3"/>
  <c r="D565" i="3"/>
  <c r="C565" i="3"/>
  <c r="B565" i="3"/>
  <c r="A565" i="3"/>
  <c r="S564" i="3"/>
  <c r="R564" i="3"/>
  <c r="D564" i="3"/>
  <c r="C564" i="3"/>
  <c r="B564" i="3"/>
  <c r="A564" i="3"/>
  <c r="S563" i="3"/>
  <c r="R563" i="3"/>
  <c r="D563" i="3"/>
  <c r="C563" i="3"/>
  <c r="B563" i="3"/>
  <c r="A563" i="3"/>
  <c r="S562" i="3"/>
  <c r="R562" i="3"/>
  <c r="D562" i="3"/>
  <c r="C562" i="3"/>
  <c r="B562" i="3"/>
  <c r="A562" i="3"/>
  <c r="S561" i="3"/>
  <c r="R561" i="3"/>
  <c r="D561" i="3"/>
  <c r="C561" i="3"/>
  <c r="B561" i="3"/>
  <c r="A561" i="3"/>
  <c r="S560" i="3"/>
  <c r="R560" i="3"/>
  <c r="D560" i="3"/>
  <c r="C560" i="3"/>
  <c r="B560" i="3"/>
  <c r="A560" i="3"/>
  <c r="S559" i="3"/>
  <c r="R559" i="3"/>
  <c r="D559" i="3"/>
  <c r="C559" i="3"/>
  <c r="B559" i="3"/>
  <c r="A559" i="3"/>
  <c r="S558" i="3"/>
  <c r="R558" i="3"/>
  <c r="D558" i="3"/>
  <c r="C558" i="3"/>
  <c r="B558" i="3"/>
  <c r="A558" i="3"/>
  <c r="S557" i="3"/>
  <c r="R557" i="3"/>
  <c r="D557" i="3"/>
  <c r="C557" i="3"/>
  <c r="B557" i="3"/>
  <c r="A557" i="3"/>
  <c r="S556" i="3"/>
  <c r="R556" i="3"/>
  <c r="D556" i="3"/>
  <c r="C556" i="3"/>
  <c r="B556" i="3"/>
  <c r="A556" i="3"/>
  <c r="S555" i="3"/>
  <c r="R555" i="3"/>
  <c r="D555" i="3"/>
  <c r="C555" i="3"/>
  <c r="B555" i="3"/>
  <c r="A555" i="3"/>
  <c r="S554" i="3"/>
  <c r="R554" i="3"/>
  <c r="D554" i="3"/>
  <c r="C554" i="3"/>
  <c r="B554" i="3"/>
  <c r="A554" i="3"/>
  <c r="S553" i="3"/>
  <c r="R553" i="3"/>
  <c r="D553" i="3"/>
  <c r="C553" i="3"/>
  <c r="B553" i="3"/>
  <c r="A553" i="3"/>
  <c r="S552" i="3"/>
  <c r="R552" i="3"/>
  <c r="D552" i="3"/>
  <c r="C552" i="3"/>
  <c r="B552" i="3"/>
  <c r="A552" i="3"/>
  <c r="S551" i="3"/>
  <c r="R551" i="3"/>
  <c r="D551" i="3"/>
  <c r="C551" i="3"/>
  <c r="B551" i="3"/>
  <c r="A551" i="3"/>
  <c r="S550" i="3"/>
  <c r="R550" i="3"/>
  <c r="D550" i="3"/>
  <c r="C550" i="3"/>
  <c r="B550" i="3"/>
  <c r="A550" i="3"/>
  <c r="S549" i="3"/>
  <c r="R549" i="3"/>
  <c r="D549" i="3"/>
  <c r="C549" i="3"/>
  <c r="B549" i="3"/>
  <c r="A549" i="3"/>
  <c r="S548" i="3"/>
  <c r="R548" i="3"/>
  <c r="D548" i="3"/>
  <c r="C548" i="3"/>
  <c r="B548" i="3"/>
  <c r="A548" i="3"/>
  <c r="S547" i="3"/>
  <c r="R547" i="3"/>
  <c r="D547" i="3"/>
  <c r="C547" i="3"/>
  <c r="B547" i="3"/>
  <c r="A547" i="3"/>
  <c r="S546" i="3"/>
  <c r="R546" i="3"/>
  <c r="D546" i="3"/>
  <c r="C546" i="3"/>
  <c r="B546" i="3"/>
  <c r="A546" i="3"/>
  <c r="S545" i="3"/>
  <c r="R545" i="3"/>
  <c r="D545" i="3"/>
  <c r="C545" i="3"/>
  <c r="B545" i="3"/>
  <c r="A545" i="3"/>
  <c r="S544" i="3"/>
  <c r="R544" i="3"/>
  <c r="D544" i="3"/>
  <c r="C544" i="3"/>
  <c r="B544" i="3"/>
  <c r="A544" i="3"/>
  <c r="S543" i="3"/>
  <c r="R543" i="3"/>
  <c r="D543" i="3"/>
  <c r="C543" i="3"/>
  <c r="B543" i="3"/>
  <c r="A543" i="3"/>
  <c r="S542" i="3"/>
  <c r="R542" i="3"/>
  <c r="D542" i="3"/>
  <c r="C542" i="3"/>
  <c r="B542" i="3"/>
  <c r="A542" i="3"/>
  <c r="S541" i="3"/>
  <c r="R541" i="3"/>
  <c r="D541" i="3"/>
  <c r="C541" i="3"/>
  <c r="B541" i="3"/>
  <c r="A541" i="3"/>
  <c r="S540" i="3"/>
  <c r="R540" i="3"/>
  <c r="D540" i="3"/>
  <c r="C540" i="3"/>
  <c r="B540" i="3"/>
  <c r="A540" i="3"/>
  <c r="S539" i="3"/>
  <c r="R539" i="3"/>
  <c r="D539" i="3"/>
  <c r="C539" i="3"/>
  <c r="B539" i="3"/>
  <c r="A539" i="3"/>
  <c r="S538" i="3"/>
  <c r="R538" i="3"/>
  <c r="D538" i="3"/>
  <c r="C538" i="3"/>
  <c r="B538" i="3"/>
  <c r="A538" i="3"/>
  <c r="S537" i="3"/>
  <c r="R537" i="3"/>
  <c r="D537" i="3"/>
  <c r="C537" i="3"/>
  <c r="B537" i="3"/>
  <c r="A537" i="3"/>
  <c r="S536" i="3"/>
  <c r="R536" i="3"/>
  <c r="D536" i="3"/>
  <c r="C536" i="3"/>
  <c r="B536" i="3"/>
  <c r="A536" i="3"/>
  <c r="S535" i="3"/>
  <c r="R535" i="3"/>
  <c r="D535" i="3"/>
  <c r="C535" i="3"/>
  <c r="B535" i="3"/>
  <c r="A535" i="3"/>
  <c r="S534" i="3"/>
  <c r="R534" i="3"/>
  <c r="D534" i="3"/>
  <c r="C534" i="3"/>
  <c r="B534" i="3"/>
  <c r="A534" i="3"/>
  <c r="S533" i="3"/>
  <c r="R533" i="3"/>
  <c r="D533" i="3"/>
  <c r="C533" i="3"/>
  <c r="B533" i="3"/>
  <c r="A533" i="3"/>
  <c r="S532" i="3"/>
  <c r="R532" i="3"/>
  <c r="D532" i="3"/>
  <c r="C532" i="3"/>
  <c r="B532" i="3"/>
  <c r="A532" i="3"/>
  <c r="S531" i="3"/>
  <c r="R531" i="3"/>
  <c r="D531" i="3"/>
  <c r="C531" i="3"/>
  <c r="B531" i="3"/>
  <c r="A531" i="3"/>
  <c r="S530" i="3"/>
  <c r="R530" i="3"/>
  <c r="D530" i="3"/>
  <c r="C530" i="3"/>
  <c r="B530" i="3"/>
  <c r="A530" i="3"/>
  <c r="S529" i="3"/>
  <c r="R529" i="3"/>
  <c r="D529" i="3"/>
  <c r="C529" i="3"/>
  <c r="B529" i="3"/>
  <c r="A529" i="3"/>
  <c r="S528" i="3"/>
  <c r="R528" i="3"/>
  <c r="D528" i="3"/>
  <c r="C528" i="3"/>
  <c r="B528" i="3"/>
  <c r="A528" i="3"/>
  <c r="S527" i="3"/>
  <c r="R527" i="3"/>
  <c r="D527" i="3"/>
  <c r="C527" i="3"/>
  <c r="B527" i="3"/>
  <c r="A527" i="3"/>
  <c r="S526" i="3"/>
  <c r="R526" i="3"/>
  <c r="D526" i="3"/>
  <c r="C526" i="3"/>
  <c r="B526" i="3"/>
  <c r="A526" i="3"/>
  <c r="S525" i="3"/>
  <c r="R525" i="3"/>
  <c r="D525" i="3"/>
  <c r="C525" i="3"/>
  <c r="B525" i="3"/>
  <c r="A525" i="3"/>
  <c r="S524" i="3"/>
  <c r="R524" i="3"/>
  <c r="D524" i="3"/>
  <c r="C524" i="3"/>
  <c r="B524" i="3"/>
  <c r="A524" i="3"/>
  <c r="S523" i="3"/>
  <c r="R523" i="3"/>
  <c r="D523" i="3"/>
  <c r="C523" i="3"/>
  <c r="B523" i="3"/>
  <c r="A523" i="3"/>
  <c r="S522" i="3"/>
  <c r="R522" i="3"/>
  <c r="D522" i="3"/>
  <c r="C522" i="3"/>
  <c r="B522" i="3"/>
  <c r="A522" i="3"/>
  <c r="S521" i="3"/>
  <c r="R521" i="3"/>
  <c r="D521" i="3"/>
  <c r="C521" i="3"/>
  <c r="B521" i="3"/>
  <c r="A521" i="3"/>
  <c r="S520" i="3"/>
  <c r="R520" i="3"/>
  <c r="D520" i="3"/>
  <c r="C520" i="3"/>
  <c r="B520" i="3"/>
  <c r="A520" i="3"/>
  <c r="S519" i="3"/>
  <c r="R519" i="3"/>
  <c r="D519" i="3"/>
  <c r="C519" i="3"/>
  <c r="B519" i="3"/>
  <c r="A519" i="3"/>
  <c r="S518" i="3"/>
  <c r="R518" i="3"/>
  <c r="D518" i="3"/>
  <c r="C518" i="3"/>
  <c r="B518" i="3"/>
  <c r="A518" i="3"/>
  <c r="S517" i="3"/>
  <c r="R517" i="3"/>
  <c r="D517" i="3"/>
  <c r="C517" i="3"/>
  <c r="B517" i="3"/>
  <c r="A517" i="3"/>
  <c r="S516" i="3"/>
  <c r="R516" i="3"/>
  <c r="D516" i="3"/>
  <c r="C516" i="3"/>
  <c r="B516" i="3"/>
  <c r="A516" i="3"/>
  <c r="S515" i="3"/>
  <c r="R515" i="3"/>
  <c r="D515" i="3"/>
  <c r="C515" i="3"/>
  <c r="B515" i="3"/>
  <c r="A515" i="3"/>
  <c r="S514" i="3"/>
  <c r="R514" i="3"/>
  <c r="D514" i="3"/>
  <c r="C514" i="3"/>
  <c r="B514" i="3"/>
  <c r="A514" i="3"/>
  <c r="S513" i="3"/>
  <c r="R513" i="3"/>
  <c r="D513" i="3"/>
  <c r="C513" i="3"/>
  <c r="B513" i="3"/>
  <c r="A513" i="3"/>
  <c r="S512" i="3"/>
  <c r="R512" i="3"/>
  <c r="D512" i="3"/>
  <c r="C512" i="3"/>
  <c r="B512" i="3"/>
  <c r="A512" i="3"/>
  <c r="S511" i="3"/>
  <c r="R511" i="3"/>
  <c r="D511" i="3"/>
  <c r="C511" i="3"/>
  <c r="B511" i="3"/>
  <c r="A511" i="3"/>
  <c r="S510" i="3"/>
  <c r="R510" i="3"/>
  <c r="D510" i="3"/>
  <c r="C510" i="3"/>
  <c r="B510" i="3"/>
  <c r="A510" i="3"/>
  <c r="S509" i="3"/>
  <c r="R509" i="3"/>
  <c r="D509" i="3"/>
  <c r="C509" i="3"/>
  <c r="B509" i="3"/>
  <c r="A509" i="3"/>
  <c r="S508" i="3"/>
  <c r="R508" i="3"/>
  <c r="D508" i="3"/>
  <c r="C508" i="3"/>
  <c r="B508" i="3"/>
  <c r="A508" i="3"/>
  <c r="S507" i="3"/>
  <c r="R507" i="3"/>
  <c r="D507" i="3"/>
  <c r="C507" i="3"/>
  <c r="B507" i="3"/>
  <c r="A507" i="3"/>
  <c r="S506" i="3"/>
  <c r="R506" i="3"/>
  <c r="D506" i="3"/>
  <c r="C506" i="3"/>
  <c r="B506" i="3"/>
  <c r="A506" i="3"/>
  <c r="S505" i="3"/>
  <c r="R505" i="3"/>
  <c r="D505" i="3"/>
  <c r="C505" i="3"/>
  <c r="B505" i="3"/>
  <c r="A505" i="3"/>
  <c r="S504" i="3"/>
  <c r="R504" i="3"/>
  <c r="D504" i="3"/>
  <c r="C504" i="3"/>
  <c r="B504" i="3"/>
  <c r="A504" i="3"/>
  <c r="S503" i="3"/>
  <c r="R503" i="3"/>
  <c r="D503" i="3"/>
  <c r="C503" i="3"/>
  <c r="B503" i="3"/>
  <c r="A503" i="3"/>
  <c r="S502" i="3"/>
  <c r="R502" i="3"/>
  <c r="D502" i="3"/>
  <c r="C502" i="3"/>
  <c r="B502" i="3"/>
  <c r="A502" i="3"/>
  <c r="S501" i="3"/>
  <c r="R501" i="3"/>
  <c r="D501" i="3"/>
  <c r="C501" i="3"/>
  <c r="B501" i="3"/>
  <c r="A501" i="3"/>
  <c r="S500" i="3"/>
  <c r="R500" i="3"/>
  <c r="D500" i="3"/>
  <c r="C500" i="3"/>
  <c r="B500" i="3"/>
  <c r="A500" i="3"/>
  <c r="S499" i="3"/>
  <c r="R499" i="3"/>
  <c r="D499" i="3"/>
  <c r="C499" i="3"/>
  <c r="B499" i="3"/>
  <c r="A499" i="3"/>
  <c r="S498" i="3"/>
  <c r="R498" i="3"/>
  <c r="D498" i="3"/>
  <c r="C498" i="3"/>
  <c r="B498" i="3"/>
  <c r="A498" i="3"/>
  <c r="S497" i="3"/>
  <c r="R497" i="3"/>
  <c r="D497" i="3"/>
  <c r="C497" i="3"/>
  <c r="B497" i="3"/>
  <c r="A497" i="3"/>
  <c r="S496" i="3"/>
  <c r="R496" i="3"/>
  <c r="D496" i="3"/>
  <c r="C496" i="3"/>
  <c r="B496" i="3"/>
  <c r="A496" i="3"/>
  <c r="S495" i="3"/>
  <c r="R495" i="3"/>
  <c r="D495" i="3"/>
  <c r="C495" i="3"/>
  <c r="B495" i="3"/>
  <c r="A495" i="3"/>
  <c r="S494" i="3"/>
  <c r="R494" i="3"/>
  <c r="D494" i="3"/>
  <c r="C494" i="3"/>
  <c r="B494" i="3"/>
  <c r="A494" i="3"/>
  <c r="S493" i="3"/>
  <c r="R493" i="3"/>
  <c r="D493" i="3"/>
  <c r="C493" i="3"/>
  <c r="B493" i="3"/>
  <c r="A493" i="3"/>
  <c r="S492" i="3"/>
  <c r="R492" i="3"/>
  <c r="D492" i="3"/>
  <c r="C492" i="3"/>
  <c r="B492" i="3"/>
  <c r="A492" i="3"/>
  <c r="S491" i="3"/>
  <c r="R491" i="3"/>
  <c r="D491" i="3"/>
  <c r="C491" i="3"/>
  <c r="B491" i="3"/>
  <c r="A491" i="3"/>
  <c r="S490" i="3"/>
  <c r="R490" i="3"/>
  <c r="D490" i="3"/>
  <c r="C490" i="3"/>
  <c r="B490" i="3"/>
  <c r="A490" i="3"/>
  <c r="S489" i="3"/>
  <c r="R489" i="3"/>
  <c r="D489" i="3"/>
  <c r="C489" i="3"/>
  <c r="B489" i="3"/>
  <c r="A489" i="3"/>
  <c r="S488" i="3"/>
  <c r="R488" i="3"/>
  <c r="D488" i="3"/>
  <c r="C488" i="3"/>
  <c r="B488" i="3"/>
  <c r="A488" i="3"/>
  <c r="S487" i="3"/>
  <c r="R487" i="3"/>
  <c r="D487" i="3"/>
  <c r="C487" i="3"/>
  <c r="B487" i="3"/>
  <c r="A487" i="3"/>
  <c r="S486" i="3"/>
  <c r="R486" i="3"/>
  <c r="D486" i="3"/>
  <c r="C486" i="3"/>
  <c r="B486" i="3"/>
  <c r="A486" i="3"/>
  <c r="S485" i="3"/>
  <c r="R485" i="3"/>
  <c r="D485" i="3"/>
  <c r="C485" i="3"/>
  <c r="B485" i="3"/>
  <c r="A485" i="3"/>
  <c r="S484" i="3"/>
  <c r="R484" i="3"/>
  <c r="D484" i="3"/>
  <c r="C484" i="3"/>
  <c r="B484" i="3"/>
  <c r="A484" i="3"/>
  <c r="S483" i="3"/>
  <c r="R483" i="3"/>
  <c r="D483" i="3"/>
  <c r="C483" i="3"/>
  <c r="B483" i="3"/>
  <c r="A483" i="3"/>
  <c r="S482" i="3"/>
  <c r="R482" i="3"/>
  <c r="D482" i="3"/>
  <c r="C482" i="3"/>
  <c r="B482" i="3"/>
  <c r="A482" i="3"/>
  <c r="S481" i="3"/>
  <c r="R481" i="3"/>
  <c r="D481" i="3"/>
  <c r="C481" i="3"/>
  <c r="B481" i="3"/>
  <c r="A481" i="3"/>
  <c r="S480" i="3"/>
  <c r="R480" i="3"/>
  <c r="D480" i="3"/>
  <c r="C480" i="3"/>
  <c r="B480" i="3"/>
  <c r="A480" i="3"/>
  <c r="S479" i="3"/>
  <c r="R479" i="3"/>
  <c r="D479" i="3"/>
  <c r="C479" i="3"/>
  <c r="B479" i="3"/>
  <c r="A479" i="3"/>
  <c r="S478" i="3"/>
  <c r="R478" i="3"/>
  <c r="D478" i="3"/>
  <c r="C478" i="3"/>
  <c r="B478" i="3"/>
  <c r="A478" i="3"/>
  <c r="S477" i="3"/>
  <c r="R477" i="3"/>
  <c r="D477" i="3"/>
  <c r="C477" i="3"/>
  <c r="B477" i="3"/>
  <c r="A477" i="3"/>
  <c r="S476" i="3"/>
  <c r="R476" i="3"/>
  <c r="D476" i="3"/>
  <c r="C476" i="3"/>
  <c r="B476" i="3"/>
  <c r="A476" i="3"/>
  <c r="S475" i="3"/>
  <c r="R475" i="3"/>
  <c r="D475" i="3"/>
  <c r="C475" i="3"/>
  <c r="B475" i="3"/>
  <c r="A475" i="3"/>
  <c r="S474" i="3"/>
  <c r="R474" i="3"/>
  <c r="D474" i="3"/>
  <c r="C474" i="3"/>
  <c r="B474" i="3"/>
  <c r="A474" i="3"/>
  <c r="S473" i="3"/>
  <c r="R473" i="3"/>
  <c r="D473" i="3"/>
  <c r="C473" i="3"/>
  <c r="B473" i="3"/>
  <c r="A473" i="3"/>
  <c r="S472" i="3"/>
  <c r="R472" i="3"/>
  <c r="D472" i="3"/>
  <c r="C472" i="3"/>
  <c r="B472" i="3"/>
  <c r="A472" i="3"/>
  <c r="S471" i="3"/>
  <c r="R471" i="3"/>
  <c r="D471" i="3"/>
  <c r="C471" i="3"/>
  <c r="B471" i="3"/>
  <c r="A471" i="3"/>
  <c r="S470" i="3"/>
  <c r="R470" i="3"/>
  <c r="D470" i="3"/>
  <c r="C470" i="3"/>
  <c r="B470" i="3"/>
  <c r="A470" i="3"/>
  <c r="S469" i="3"/>
  <c r="R469" i="3"/>
  <c r="D469" i="3"/>
  <c r="C469" i="3"/>
  <c r="B469" i="3"/>
  <c r="A469" i="3"/>
  <c r="S468" i="3"/>
  <c r="R468" i="3"/>
  <c r="D468" i="3"/>
  <c r="C468" i="3"/>
  <c r="B468" i="3"/>
  <c r="A468" i="3"/>
  <c r="S467" i="3"/>
  <c r="R467" i="3"/>
  <c r="D467" i="3"/>
  <c r="C467" i="3"/>
  <c r="B467" i="3"/>
  <c r="A467" i="3"/>
  <c r="S466" i="3"/>
  <c r="R466" i="3"/>
  <c r="D466" i="3"/>
  <c r="C466" i="3"/>
  <c r="B466" i="3"/>
  <c r="A466" i="3"/>
  <c r="S465" i="3"/>
  <c r="R465" i="3"/>
  <c r="D465" i="3"/>
  <c r="C465" i="3"/>
  <c r="B465" i="3"/>
  <c r="A465" i="3"/>
  <c r="S464" i="3"/>
  <c r="R464" i="3"/>
  <c r="D464" i="3"/>
  <c r="C464" i="3"/>
  <c r="B464" i="3"/>
  <c r="A464" i="3"/>
  <c r="S463" i="3"/>
  <c r="R463" i="3"/>
  <c r="D463" i="3"/>
  <c r="C463" i="3"/>
  <c r="B463" i="3"/>
  <c r="A463" i="3"/>
  <c r="S462" i="3"/>
  <c r="R462" i="3"/>
  <c r="D462" i="3"/>
  <c r="C462" i="3"/>
  <c r="B462" i="3"/>
  <c r="A462" i="3"/>
  <c r="S461" i="3"/>
  <c r="R461" i="3"/>
  <c r="D461" i="3"/>
  <c r="C461" i="3"/>
  <c r="B461" i="3"/>
  <c r="A461" i="3"/>
  <c r="S460" i="3"/>
  <c r="R460" i="3"/>
  <c r="D460" i="3"/>
  <c r="C460" i="3"/>
  <c r="B460" i="3"/>
  <c r="A460" i="3"/>
  <c r="S459" i="3"/>
  <c r="R459" i="3"/>
  <c r="D459" i="3"/>
  <c r="C459" i="3"/>
  <c r="B459" i="3"/>
  <c r="A459" i="3"/>
  <c r="S458" i="3"/>
  <c r="R458" i="3"/>
  <c r="D458" i="3"/>
  <c r="C458" i="3"/>
  <c r="B458" i="3"/>
  <c r="A458" i="3"/>
  <c r="S457" i="3"/>
  <c r="R457" i="3"/>
  <c r="D457" i="3"/>
  <c r="C457" i="3"/>
  <c r="B457" i="3"/>
  <c r="A457" i="3"/>
  <c r="S456" i="3"/>
  <c r="R456" i="3"/>
  <c r="D456" i="3"/>
  <c r="C456" i="3"/>
  <c r="B456" i="3"/>
  <c r="A456" i="3"/>
  <c r="S455" i="3"/>
  <c r="R455" i="3"/>
  <c r="D455" i="3"/>
  <c r="C455" i="3"/>
  <c r="B455" i="3"/>
  <c r="A455" i="3"/>
  <c r="S454" i="3"/>
  <c r="R454" i="3"/>
  <c r="D454" i="3"/>
  <c r="C454" i="3"/>
  <c r="B454" i="3"/>
  <c r="A454" i="3"/>
  <c r="S453" i="3"/>
  <c r="R453" i="3"/>
  <c r="D453" i="3"/>
  <c r="C453" i="3"/>
  <c r="B453" i="3"/>
  <c r="A453" i="3"/>
  <c r="S452" i="3"/>
  <c r="R452" i="3"/>
  <c r="D452" i="3"/>
  <c r="C452" i="3"/>
  <c r="B452" i="3"/>
  <c r="A452" i="3"/>
  <c r="S451" i="3"/>
  <c r="R451" i="3"/>
  <c r="D451" i="3"/>
  <c r="C451" i="3"/>
  <c r="B451" i="3"/>
  <c r="A451" i="3"/>
  <c r="S450" i="3"/>
  <c r="R450" i="3"/>
  <c r="D450" i="3"/>
  <c r="C450" i="3"/>
  <c r="B450" i="3"/>
  <c r="A450" i="3"/>
  <c r="S449" i="3"/>
  <c r="R449" i="3"/>
  <c r="D449" i="3"/>
  <c r="C449" i="3"/>
  <c r="B449" i="3"/>
  <c r="A449" i="3"/>
  <c r="S448" i="3"/>
  <c r="R448" i="3"/>
  <c r="D448" i="3"/>
  <c r="C448" i="3"/>
  <c r="B448" i="3"/>
  <c r="A448" i="3"/>
  <c r="S447" i="3"/>
  <c r="R447" i="3"/>
  <c r="D447" i="3"/>
  <c r="C447" i="3"/>
  <c r="B447" i="3"/>
  <c r="A447" i="3"/>
  <c r="S446" i="3"/>
  <c r="R446" i="3"/>
  <c r="D446" i="3"/>
  <c r="C446" i="3"/>
  <c r="B446" i="3"/>
  <c r="A446" i="3"/>
  <c r="S445" i="3"/>
  <c r="R445" i="3"/>
  <c r="D445" i="3"/>
  <c r="C445" i="3"/>
  <c r="B445" i="3"/>
  <c r="A445" i="3"/>
  <c r="S444" i="3"/>
  <c r="R444" i="3"/>
  <c r="D444" i="3"/>
  <c r="C444" i="3"/>
  <c r="B444" i="3"/>
  <c r="A444" i="3"/>
  <c r="S443" i="3"/>
  <c r="R443" i="3"/>
  <c r="D443" i="3"/>
  <c r="C443" i="3"/>
  <c r="B443" i="3"/>
  <c r="A443" i="3"/>
  <c r="S442" i="3"/>
  <c r="R442" i="3"/>
  <c r="D442" i="3"/>
  <c r="C442" i="3"/>
  <c r="B442" i="3"/>
  <c r="A442" i="3"/>
  <c r="S441" i="3"/>
  <c r="R441" i="3"/>
  <c r="D441" i="3"/>
  <c r="C441" i="3"/>
  <c r="B441" i="3"/>
  <c r="A441" i="3"/>
  <c r="S440" i="3"/>
  <c r="R440" i="3"/>
  <c r="D440" i="3"/>
  <c r="C440" i="3"/>
  <c r="B440" i="3"/>
  <c r="A440" i="3"/>
  <c r="S439" i="3"/>
  <c r="R439" i="3"/>
  <c r="D439" i="3"/>
  <c r="C439" i="3"/>
  <c r="B439" i="3"/>
  <c r="A439" i="3"/>
  <c r="S438" i="3"/>
  <c r="R438" i="3"/>
  <c r="D438" i="3"/>
  <c r="C438" i="3"/>
  <c r="B438" i="3"/>
  <c r="A438" i="3"/>
  <c r="S437" i="3"/>
  <c r="R437" i="3"/>
  <c r="D437" i="3"/>
  <c r="C437" i="3"/>
  <c r="B437" i="3"/>
  <c r="A437" i="3"/>
  <c r="S436" i="3"/>
  <c r="R436" i="3"/>
  <c r="D436" i="3"/>
  <c r="C436" i="3"/>
  <c r="B436" i="3"/>
  <c r="A436" i="3"/>
  <c r="S435" i="3"/>
  <c r="R435" i="3"/>
  <c r="D435" i="3"/>
  <c r="C435" i="3"/>
  <c r="B435" i="3"/>
  <c r="A435" i="3"/>
  <c r="S434" i="3"/>
  <c r="R434" i="3"/>
  <c r="D434" i="3"/>
  <c r="C434" i="3"/>
  <c r="B434" i="3"/>
  <c r="A434" i="3"/>
  <c r="S433" i="3"/>
  <c r="R433" i="3"/>
  <c r="D433" i="3"/>
  <c r="C433" i="3"/>
  <c r="B433" i="3"/>
  <c r="A433" i="3"/>
  <c r="S432" i="3"/>
  <c r="R432" i="3"/>
  <c r="D432" i="3"/>
  <c r="C432" i="3"/>
  <c r="B432" i="3"/>
  <c r="A432" i="3"/>
  <c r="S431" i="3"/>
  <c r="R431" i="3"/>
  <c r="D431" i="3"/>
  <c r="C431" i="3"/>
  <c r="B431" i="3"/>
  <c r="A431" i="3"/>
  <c r="S430" i="3"/>
  <c r="R430" i="3"/>
  <c r="D430" i="3"/>
  <c r="C430" i="3"/>
  <c r="B430" i="3"/>
  <c r="A430" i="3"/>
  <c r="S429" i="3"/>
  <c r="R429" i="3"/>
  <c r="D429" i="3"/>
  <c r="C429" i="3"/>
  <c r="B429" i="3"/>
  <c r="A429" i="3"/>
  <c r="S428" i="3"/>
  <c r="R428" i="3"/>
  <c r="D428" i="3"/>
  <c r="C428" i="3"/>
  <c r="B428" i="3"/>
  <c r="A428" i="3"/>
  <c r="S427" i="3"/>
  <c r="R427" i="3"/>
  <c r="D427" i="3"/>
  <c r="C427" i="3"/>
  <c r="B427" i="3"/>
  <c r="A427" i="3"/>
  <c r="S426" i="3"/>
  <c r="R426" i="3"/>
  <c r="D426" i="3"/>
  <c r="C426" i="3"/>
  <c r="B426" i="3"/>
  <c r="A426" i="3"/>
  <c r="S425" i="3"/>
  <c r="R425" i="3"/>
  <c r="D425" i="3"/>
  <c r="C425" i="3"/>
  <c r="B425" i="3"/>
  <c r="A425" i="3"/>
  <c r="S424" i="3"/>
  <c r="R424" i="3"/>
  <c r="D424" i="3"/>
  <c r="C424" i="3"/>
  <c r="B424" i="3"/>
  <c r="A424" i="3"/>
  <c r="S423" i="3"/>
  <c r="R423" i="3"/>
  <c r="D423" i="3"/>
  <c r="C423" i="3"/>
  <c r="B423" i="3"/>
  <c r="A423" i="3"/>
  <c r="S422" i="3"/>
  <c r="R422" i="3"/>
  <c r="D422" i="3"/>
  <c r="C422" i="3"/>
  <c r="B422" i="3"/>
  <c r="A422" i="3"/>
  <c r="S421" i="3"/>
  <c r="R421" i="3"/>
  <c r="D421" i="3"/>
  <c r="C421" i="3"/>
  <c r="B421" i="3"/>
  <c r="A421" i="3"/>
  <c r="S420" i="3"/>
  <c r="R420" i="3"/>
  <c r="D420" i="3"/>
  <c r="C420" i="3"/>
  <c r="B420" i="3"/>
  <c r="A420" i="3"/>
  <c r="S419" i="3"/>
  <c r="R419" i="3"/>
  <c r="D419" i="3"/>
  <c r="C419" i="3"/>
  <c r="B419" i="3"/>
  <c r="A419" i="3"/>
  <c r="S418" i="3"/>
  <c r="R418" i="3"/>
  <c r="D418" i="3"/>
  <c r="C418" i="3"/>
  <c r="B418" i="3"/>
  <c r="A418" i="3"/>
  <c r="S417" i="3"/>
  <c r="R417" i="3"/>
  <c r="D417" i="3"/>
  <c r="C417" i="3"/>
  <c r="B417" i="3"/>
  <c r="A417" i="3"/>
  <c r="S416" i="3"/>
  <c r="R416" i="3"/>
  <c r="D416" i="3"/>
  <c r="C416" i="3"/>
  <c r="B416" i="3"/>
  <c r="A416" i="3"/>
  <c r="S415" i="3"/>
  <c r="R415" i="3"/>
  <c r="D415" i="3"/>
  <c r="C415" i="3"/>
  <c r="B415" i="3"/>
  <c r="A415" i="3"/>
  <c r="S414" i="3"/>
  <c r="R414" i="3"/>
  <c r="D414" i="3"/>
  <c r="C414" i="3"/>
  <c r="B414" i="3"/>
  <c r="A414" i="3"/>
  <c r="S413" i="3"/>
  <c r="R413" i="3"/>
  <c r="D413" i="3"/>
  <c r="C413" i="3"/>
  <c r="B413" i="3"/>
  <c r="A413" i="3"/>
  <c r="S412" i="3"/>
  <c r="R412" i="3"/>
  <c r="D412" i="3"/>
  <c r="C412" i="3"/>
  <c r="B412" i="3"/>
  <c r="A412" i="3"/>
  <c r="S411" i="3"/>
  <c r="R411" i="3"/>
  <c r="D411" i="3"/>
  <c r="C411" i="3"/>
  <c r="B411" i="3"/>
  <c r="A411" i="3"/>
  <c r="S410" i="3"/>
  <c r="R410" i="3"/>
  <c r="D410" i="3"/>
  <c r="C410" i="3"/>
  <c r="B410" i="3"/>
  <c r="A410" i="3"/>
  <c r="S409" i="3"/>
  <c r="R409" i="3"/>
  <c r="D409" i="3"/>
  <c r="C409" i="3"/>
  <c r="B409" i="3"/>
  <c r="A409" i="3"/>
  <c r="S408" i="3"/>
  <c r="R408" i="3"/>
  <c r="D408" i="3"/>
  <c r="C408" i="3"/>
  <c r="B408" i="3"/>
  <c r="A408" i="3"/>
  <c r="S407" i="3"/>
  <c r="R407" i="3"/>
  <c r="D407" i="3"/>
  <c r="C407" i="3"/>
  <c r="B407" i="3"/>
  <c r="A407" i="3"/>
  <c r="S406" i="3"/>
  <c r="R406" i="3"/>
  <c r="D406" i="3"/>
  <c r="C406" i="3"/>
  <c r="B406" i="3"/>
  <c r="A406" i="3"/>
  <c r="S405" i="3"/>
  <c r="R405" i="3"/>
  <c r="D405" i="3"/>
  <c r="C405" i="3"/>
  <c r="B405" i="3"/>
  <c r="A405" i="3"/>
  <c r="S404" i="3"/>
  <c r="R404" i="3"/>
  <c r="D404" i="3"/>
  <c r="C404" i="3"/>
  <c r="B404" i="3"/>
  <c r="A404" i="3"/>
  <c r="S403" i="3"/>
  <c r="R403" i="3"/>
  <c r="D403" i="3"/>
  <c r="C403" i="3"/>
  <c r="B403" i="3"/>
  <c r="A403" i="3"/>
  <c r="S402" i="3"/>
  <c r="R402" i="3"/>
  <c r="D402" i="3"/>
  <c r="C402" i="3"/>
  <c r="B402" i="3"/>
  <c r="A402" i="3"/>
  <c r="S401" i="3"/>
  <c r="R401" i="3"/>
  <c r="D401" i="3"/>
  <c r="C401" i="3"/>
  <c r="B401" i="3"/>
  <c r="A401" i="3"/>
  <c r="S400" i="3"/>
  <c r="R400" i="3"/>
  <c r="D400" i="3"/>
  <c r="C400" i="3"/>
  <c r="B400" i="3"/>
  <c r="A400" i="3"/>
  <c r="S399" i="3"/>
  <c r="R399" i="3"/>
  <c r="D399" i="3"/>
  <c r="C399" i="3"/>
  <c r="B399" i="3"/>
  <c r="A399" i="3"/>
  <c r="S398" i="3"/>
  <c r="R398" i="3"/>
  <c r="D398" i="3"/>
  <c r="C398" i="3"/>
  <c r="B398" i="3"/>
  <c r="A398" i="3"/>
  <c r="S397" i="3"/>
  <c r="R397" i="3"/>
  <c r="D397" i="3"/>
  <c r="C397" i="3"/>
  <c r="B397" i="3"/>
  <c r="A397" i="3"/>
  <c r="S396" i="3"/>
  <c r="R396" i="3"/>
  <c r="D396" i="3"/>
  <c r="C396" i="3"/>
  <c r="B396" i="3"/>
  <c r="A396" i="3"/>
  <c r="S395" i="3"/>
  <c r="R395" i="3"/>
  <c r="D395" i="3"/>
  <c r="C395" i="3"/>
  <c r="B395" i="3"/>
  <c r="A395" i="3"/>
  <c r="S394" i="3"/>
  <c r="R394" i="3"/>
  <c r="D394" i="3"/>
  <c r="C394" i="3"/>
  <c r="B394" i="3"/>
  <c r="A394" i="3"/>
  <c r="S393" i="3"/>
  <c r="R393" i="3"/>
  <c r="D393" i="3"/>
  <c r="C393" i="3"/>
  <c r="B393" i="3"/>
  <c r="A393" i="3"/>
  <c r="S392" i="3"/>
  <c r="R392" i="3"/>
  <c r="D392" i="3"/>
  <c r="C392" i="3"/>
  <c r="B392" i="3"/>
  <c r="A392" i="3"/>
  <c r="S391" i="3"/>
  <c r="R391" i="3"/>
  <c r="D391" i="3"/>
  <c r="C391" i="3"/>
  <c r="B391" i="3"/>
  <c r="A391" i="3"/>
  <c r="S390" i="3"/>
  <c r="R390" i="3"/>
  <c r="D390" i="3"/>
  <c r="C390" i="3"/>
  <c r="B390" i="3"/>
  <c r="A390" i="3"/>
  <c r="S389" i="3"/>
  <c r="R389" i="3"/>
  <c r="D389" i="3"/>
  <c r="C389" i="3"/>
  <c r="B389" i="3"/>
  <c r="A389" i="3"/>
  <c r="S388" i="3"/>
  <c r="R388" i="3"/>
  <c r="D388" i="3"/>
  <c r="C388" i="3"/>
  <c r="B388" i="3"/>
  <c r="A388" i="3"/>
  <c r="S387" i="3"/>
  <c r="R387" i="3"/>
  <c r="D387" i="3"/>
  <c r="C387" i="3"/>
  <c r="B387" i="3"/>
  <c r="A387" i="3"/>
  <c r="S386" i="3"/>
  <c r="R386" i="3"/>
  <c r="D386" i="3"/>
  <c r="C386" i="3"/>
  <c r="B386" i="3"/>
  <c r="A386" i="3"/>
  <c r="S385" i="3"/>
  <c r="R385" i="3"/>
  <c r="D385" i="3"/>
  <c r="C385" i="3"/>
  <c r="B385" i="3"/>
  <c r="A385" i="3"/>
  <c r="S384" i="3"/>
  <c r="R384" i="3"/>
  <c r="D384" i="3"/>
  <c r="C384" i="3"/>
  <c r="B384" i="3"/>
  <c r="A384" i="3"/>
  <c r="S383" i="3"/>
  <c r="R383" i="3"/>
  <c r="D383" i="3"/>
  <c r="C383" i="3"/>
  <c r="B383" i="3"/>
  <c r="A383" i="3"/>
  <c r="S382" i="3"/>
  <c r="R382" i="3"/>
  <c r="D382" i="3"/>
  <c r="C382" i="3"/>
  <c r="B382" i="3"/>
  <c r="A382" i="3"/>
  <c r="S381" i="3"/>
  <c r="R381" i="3"/>
  <c r="D381" i="3"/>
  <c r="C381" i="3"/>
  <c r="B381" i="3"/>
  <c r="A381" i="3"/>
  <c r="S380" i="3"/>
  <c r="R380" i="3"/>
  <c r="D380" i="3"/>
  <c r="C380" i="3"/>
  <c r="B380" i="3"/>
  <c r="A380" i="3"/>
  <c r="S379" i="3"/>
  <c r="R379" i="3"/>
  <c r="D379" i="3"/>
  <c r="C379" i="3"/>
  <c r="B379" i="3"/>
  <c r="A379" i="3"/>
  <c r="S378" i="3"/>
  <c r="R378" i="3"/>
  <c r="D378" i="3"/>
  <c r="C378" i="3"/>
  <c r="B378" i="3"/>
  <c r="A378" i="3"/>
  <c r="S377" i="3"/>
  <c r="R377" i="3"/>
  <c r="D377" i="3"/>
  <c r="C377" i="3"/>
  <c r="B377" i="3"/>
  <c r="A377" i="3"/>
  <c r="S376" i="3"/>
  <c r="R376" i="3"/>
  <c r="D376" i="3"/>
  <c r="C376" i="3"/>
  <c r="B376" i="3"/>
  <c r="A376" i="3"/>
  <c r="S375" i="3"/>
  <c r="R375" i="3"/>
  <c r="D375" i="3"/>
  <c r="C375" i="3"/>
  <c r="B375" i="3"/>
  <c r="A375" i="3"/>
  <c r="S374" i="3"/>
  <c r="R374" i="3"/>
  <c r="D374" i="3"/>
  <c r="C374" i="3"/>
  <c r="B374" i="3"/>
  <c r="A374" i="3"/>
  <c r="S373" i="3"/>
  <c r="R373" i="3"/>
  <c r="D373" i="3"/>
  <c r="C373" i="3"/>
  <c r="B373" i="3"/>
  <c r="A373" i="3"/>
  <c r="S372" i="3"/>
  <c r="R372" i="3"/>
  <c r="D372" i="3"/>
  <c r="C372" i="3"/>
  <c r="B372" i="3"/>
  <c r="A372" i="3"/>
  <c r="S371" i="3"/>
  <c r="R371" i="3"/>
  <c r="D371" i="3"/>
  <c r="C371" i="3"/>
  <c r="B371" i="3"/>
  <c r="A371" i="3"/>
  <c r="S370" i="3"/>
  <c r="R370" i="3"/>
  <c r="D370" i="3"/>
  <c r="C370" i="3"/>
  <c r="B370" i="3"/>
  <c r="A370" i="3"/>
  <c r="S369" i="3"/>
  <c r="R369" i="3"/>
  <c r="D369" i="3"/>
  <c r="C369" i="3"/>
  <c r="B369" i="3"/>
  <c r="A369" i="3"/>
  <c r="S368" i="3"/>
  <c r="R368" i="3"/>
  <c r="D368" i="3"/>
  <c r="C368" i="3"/>
  <c r="B368" i="3"/>
  <c r="A368" i="3"/>
  <c r="S367" i="3"/>
  <c r="R367" i="3"/>
  <c r="D367" i="3"/>
  <c r="C367" i="3"/>
  <c r="B367" i="3"/>
  <c r="A367" i="3"/>
  <c r="S366" i="3"/>
  <c r="R366" i="3"/>
  <c r="D366" i="3"/>
  <c r="C366" i="3"/>
  <c r="B366" i="3"/>
  <c r="A366" i="3"/>
  <c r="S365" i="3"/>
  <c r="R365" i="3"/>
  <c r="D365" i="3"/>
  <c r="C365" i="3"/>
  <c r="B365" i="3"/>
  <c r="A365" i="3"/>
  <c r="S364" i="3"/>
  <c r="R364" i="3"/>
  <c r="D364" i="3"/>
  <c r="C364" i="3"/>
  <c r="B364" i="3"/>
  <c r="A364" i="3"/>
  <c r="S363" i="3"/>
  <c r="R363" i="3"/>
  <c r="D363" i="3"/>
  <c r="C363" i="3"/>
  <c r="B363" i="3"/>
  <c r="A363" i="3"/>
  <c r="S362" i="3"/>
  <c r="R362" i="3"/>
  <c r="D362" i="3"/>
  <c r="C362" i="3"/>
  <c r="B362" i="3"/>
  <c r="A362" i="3"/>
  <c r="S361" i="3"/>
  <c r="R361" i="3"/>
  <c r="D361" i="3"/>
  <c r="C361" i="3"/>
  <c r="B361" i="3"/>
  <c r="A361" i="3"/>
  <c r="S360" i="3"/>
  <c r="R360" i="3"/>
  <c r="D360" i="3"/>
  <c r="C360" i="3"/>
  <c r="B360" i="3"/>
  <c r="A360" i="3"/>
  <c r="S359" i="3"/>
  <c r="R359" i="3"/>
  <c r="D359" i="3"/>
  <c r="C359" i="3"/>
  <c r="B359" i="3"/>
  <c r="A359" i="3"/>
  <c r="S358" i="3"/>
  <c r="R358" i="3"/>
  <c r="D358" i="3"/>
  <c r="C358" i="3"/>
  <c r="B358" i="3"/>
  <c r="A358" i="3"/>
  <c r="S357" i="3"/>
  <c r="R357" i="3"/>
  <c r="D357" i="3"/>
  <c r="C357" i="3"/>
  <c r="B357" i="3"/>
  <c r="A357" i="3"/>
  <c r="S356" i="3"/>
  <c r="R356" i="3"/>
  <c r="D356" i="3"/>
  <c r="C356" i="3"/>
  <c r="B356" i="3"/>
  <c r="A356" i="3"/>
  <c r="S355" i="3"/>
  <c r="R355" i="3"/>
  <c r="D355" i="3"/>
  <c r="C355" i="3"/>
  <c r="B355" i="3"/>
  <c r="A355" i="3"/>
  <c r="S354" i="3"/>
  <c r="R354" i="3"/>
  <c r="D354" i="3"/>
  <c r="C354" i="3"/>
  <c r="B354" i="3"/>
  <c r="A354" i="3"/>
  <c r="S353" i="3"/>
  <c r="R353" i="3"/>
  <c r="D353" i="3"/>
  <c r="C353" i="3"/>
  <c r="B353" i="3"/>
  <c r="A353" i="3"/>
  <c r="S352" i="3"/>
  <c r="R352" i="3"/>
  <c r="D352" i="3"/>
  <c r="C352" i="3"/>
  <c r="B352" i="3"/>
  <c r="A352" i="3"/>
  <c r="S351" i="3"/>
  <c r="R351" i="3"/>
  <c r="D351" i="3"/>
  <c r="C351" i="3"/>
  <c r="B351" i="3"/>
  <c r="A351" i="3"/>
  <c r="S350" i="3"/>
  <c r="R350" i="3"/>
  <c r="D350" i="3"/>
  <c r="C350" i="3"/>
  <c r="B350" i="3"/>
  <c r="A350" i="3"/>
  <c r="S349" i="3"/>
  <c r="R349" i="3"/>
  <c r="D349" i="3"/>
  <c r="C349" i="3"/>
  <c r="B349" i="3"/>
  <c r="A349" i="3"/>
  <c r="S348" i="3"/>
  <c r="R348" i="3"/>
  <c r="D348" i="3"/>
  <c r="C348" i="3"/>
  <c r="B348" i="3"/>
  <c r="A348" i="3"/>
  <c r="S347" i="3"/>
  <c r="R347" i="3"/>
  <c r="D347" i="3"/>
  <c r="C347" i="3"/>
  <c r="B347" i="3"/>
  <c r="A347" i="3"/>
  <c r="S346" i="3"/>
  <c r="R346" i="3"/>
  <c r="D346" i="3"/>
  <c r="C346" i="3"/>
  <c r="B346" i="3"/>
  <c r="A346" i="3"/>
  <c r="S345" i="3"/>
  <c r="R345" i="3"/>
  <c r="D345" i="3"/>
  <c r="C345" i="3"/>
  <c r="B345" i="3"/>
  <c r="A345" i="3"/>
  <c r="S344" i="3"/>
  <c r="R344" i="3"/>
  <c r="D344" i="3"/>
  <c r="C344" i="3"/>
  <c r="B344" i="3"/>
  <c r="A344" i="3"/>
  <c r="S343" i="3"/>
  <c r="R343" i="3"/>
  <c r="D343" i="3"/>
  <c r="C343" i="3"/>
  <c r="B343" i="3"/>
  <c r="A343" i="3"/>
  <c r="S342" i="3"/>
  <c r="R342" i="3"/>
  <c r="D342" i="3"/>
  <c r="C342" i="3"/>
  <c r="B342" i="3"/>
  <c r="A342" i="3"/>
  <c r="S341" i="3"/>
  <c r="R341" i="3"/>
  <c r="D341" i="3"/>
  <c r="C341" i="3"/>
  <c r="B341" i="3"/>
  <c r="A341" i="3"/>
  <c r="S340" i="3"/>
  <c r="R340" i="3"/>
  <c r="D340" i="3"/>
  <c r="C340" i="3"/>
  <c r="B340" i="3"/>
  <c r="A340" i="3"/>
  <c r="S339" i="3"/>
  <c r="R339" i="3"/>
  <c r="D339" i="3"/>
  <c r="C339" i="3"/>
  <c r="B339" i="3"/>
  <c r="A339" i="3"/>
  <c r="S338" i="3"/>
  <c r="R338" i="3"/>
  <c r="D338" i="3"/>
  <c r="C338" i="3"/>
  <c r="B338" i="3"/>
  <c r="A338" i="3"/>
  <c r="S337" i="3"/>
  <c r="R337" i="3"/>
  <c r="D337" i="3"/>
  <c r="C337" i="3"/>
  <c r="B337" i="3"/>
  <c r="A337" i="3"/>
  <c r="S336" i="3"/>
  <c r="R336" i="3"/>
  <c r="D336" i="3"/>
  <c r="C336" i="3"/>
  <c r="B336" i="3"/>
  <c r="A336" i="3"/>
  <c r="S335" i="3"/>
  <c r="R335" i="3"/>
  <c r="D335" i="3"/>
  <c r="C335" i="3"/>
  <c r="B335" i="3"/>
  <c r="A335" i="3"/>
  <c r="S334" i="3"/>
  <c r="R334" i="3"/>
  <c r="D334" i="3"/>
  <c r="C334" i="3"/>
  <c r="B334" i="3"/>
  <c r="A334" i="3"/>
  <c r="S333" i="3"/>
  <c r="R333" i="3"/>
  <c r="D333" i="3"/>
  <c r="C333" i="3"/>
  <c r="B333" i="3"/>
  <c r="A333" i="3"/>
  <c r="S332" i="3"/>
  <c r="R332" i="3"/>
  <c r="D332" i="3"/>
  <c r="C332" i="3"/>
  <c r="B332" i="3"/>
  <c r="A332" i="3"/>
  <c r="S331" i="3"/>
  <c r="R331" i="3"/>
  <c r="D331" i="3"/>
  <c r="C331" i="3"/>
  <c r="B331" i="3"/>
  <c r="A331" i="3"/>
  <c r="S330" i="3"/>
  <c r="R330" i="3"/>
  <c r="D330" i="3"/>
  <c r="C330" i="3"/>
  <c r="B330" i="3"/>
  <c r="A330" i="3"/>
  <c r="S329" i="3"/>
  <c r="R329" i="3"/>
  <c r="D329" i="3"/>
  <c r="C329" i="3"/>
  <c r="B329" i="3"/>
  <c r="A329" i="3"/>
  <c r="S328" i="3"/>
  <c r="R328" i="3"/>
  <c r="D328" i="3"/>
  <c r="C328" i="3"/>
  <c r="B328" i="3"/>
  <c r="A328" i="3"/>
  <c r="S327" i="3"/>
  <c r="R327" i="3"/>
  <c r="D327" i="3"/>
  <c r="C327" i="3"/>
  <c r="B327" i="3"/>
  <c r="A327" i="3"/>
  <c r="S326" i="3"/>
  <c r="R326" i="3"/>
  <c r="D326" i="3"/>
  <c r="C326" i="3"/>
  <c r="B326" i="3"/>
  <c r="A326" i="3"/>
  <c r="S325" i="3"/>
  <c r="R325" i="3"/>
  <c r="D325" i="3"/>
  <c r="C325" i="3"/>
  <c r="B325" i="3"/>
  <c r="A325" i="3"/>
  <c r="S324" i="3"/>
  <c r="R324" i="3"/>
  <c r="D324" i="3"/>
  <c r="C324" i="3"/>
  <c r="B324" i="3"/>
  <c r="A324" i="3"/>
  <c r="S323" i="3"/>
  <c r="R323" i="3"/>
  <c r="D323" i="3"/>
  <c r="C323" i="3"/>
  <c r="B323" i="3"/>
  <c r="A323" i="3"/>
  <c r="S322" i="3"/>
  <c r="R322" i="3"/>
  <c r="D322" i="3"/>
  <c r="C322" i="3"/>
  <c r="B322" i="3"/>
  <c r="A322" i="3"/>
  <c r="S321" i="3"/>
  <c r="R321" i="3"/>
  <c r="D321" i="3"/>
  <c r="C321" i="3"/>
  <c r="B321" i="3"/>
  <c r="A321" i="3"/>
  <c r="S320" i="3"/>
  <c r="R320" i="3"/>
  <c r="D320" i="3"/>
  <c r="C320" i="3"/>
  <c r="B320" i="3"/>
  <c r="A320" i="3"/>
  <c r="S319" i="3"/>
  <c r="R319" i="3"/>
  <c r="D319" i="3"/>
  <c r="C319" i="3"/>
  <c r="B319" i="3"/>
  <c r="A319" i="3"/>
  <c r="S318" i="3"/>
  <c r="R318" i="3"/>
  <c r="D318" i="3"/>
  <c r="C318" i="3"/>
  <c r="B318" i="3"/>
  <c r="A318" i="3"/>
  <c r="S317" i="3"/>
  <c r="R317" i="3"/>
  <c r="D317" i="3"/>
  <c r="C317" i="3"/>
  <c r="B317" i="3"/>
  <c r="A317" i="3"/>
  <c r="S316" i="3"/>
  <c r="R316" i="3"/>
  <c r="D316" i="3"/>
  <c r="C316" i="3"/>
  <c r="B316" i="3"/>
  <c r="A316" i="3"/>
  <c r="S315" i="3"/>
  <c r="R315" i="3"/>
  <c r="D315" i="3"/>
  <c r="C315" i="3"/>
  <c r="B315" i="3"/>
  <c r="A315" i="3"/>
  <c r="S314" i="3"/>
  <c r="R314" i="3"/>
  <c r="D314" i="3"/>
  <c r="C314" i="3"/>
  <c r="B314" i="3"/>
  <c r="A314" i="3"/>
  <c r="S313" i="3"/>
  <c r="R313" i="3"/>
  <c r="D313" i="3"/>
  <c r="C313" i="3"/>
  <c r="B313" i="3"/>
  <c r="A313" i="3"/>
  <c r="S312" i="3"/>
  <c r="R312" i="3"/>
  <c r="D312" i="3"/>
  <c r="C312" i="3"/>
  <c r="B312" i="3"/>
  <c r="A312" i="3"/>
  <c r="S311" i="3"/>
  <c r="R311" i="3"/>
  <c r="D311" i="3"/>
  <c r="C311" i="3"/>
  <c r="B311" i="3"/>
  <c r="A311" i="3"/>
  <c r="S310" i="3"/>
  <c r="R310" i="3"/>
  <c r="D310" i="3"/>
  <c r="C310" i="3"/>
  <c r="B310" i="3"/>
  <c r="A310" i="3"/>
  <c r="S309" i="3"/>
  <c r="R309" i="3"/>
  <c r="D309" i="3"/>
  <c r="C309" i="3"/>
  <c r="B309" i="3"/>
  <c r="A309" i="3"/>
  <c r="S308" i="3"/>
  <c r="R308" i="3"/>
  <c r="D308" i="3"/>
  <c r="C308" i="3"/>
  <c r="B308" i="3"/>
  <c r="A308" i="3"/>
  <c r="S307" i="3"/>
  <c r="R307" i="3"/>
  <c r="D307" i="3"/>
  <c r="C307" i="3"/>
  <c r="B307" i="3"/>
  <c r="A307" i="3"/>
  <c r="S306" i="3"/>
  <c r="R306" i="3"/>
  <c r="D306" i="3"/>
  <c r="C306" i="3"/>
  <c r="B306" i="3"/>
  <c r="A306" i="3"/>
  <c r="S305" i="3"/>
  <c r="R305" i="3"/>
  <c r="D305" i="3"/>
  <c r="C305" i="3"/>
  <c r="B305" i="3"/>
  <c r="A305" i="3"/>
  <c r="S304" i="3"/>
  <c r="R304" i="3"/>
  <c r="D304" i="3"/>
  <c r="C304" i="3"/>
  <c r="B304" i="3"/>
  <c r="A304" i="3"/>
  <c r="S303" i="3"/>
  <c r="R303" i="3"/>
  <c r="D303" i="3"/>
  <c r="C303" i="3"/>
  <c r="B303" i="3"/>
  <c r="A303" i="3"/>
  <c r="S302" i="3"/>
  <c r="R302" i="3"/>
  <c r="D302" i="3"/>
  <c r="C302" i="3"/>
  <c r="B302" i="3"/>
  <c r="A302" i="3"/>
  <c r="S301" i="3"/>
  <c r="R301" i="3"/>
  <c r="D301" i="3"/>
  <c r="C301" i="3"/>
  <c r="B301" i="3"/>
  <c r="A301" i="3"/>
  <c r="S300" i="3"/>
  <c r="R300" i="3"/>
  <c r="D300" i="3"/>
  <c r="C300" i="3"/>
  <c r="B300" i="3"/>
  <c r="A300" i="3"/>
  <c r="S299" i="3"/>
  <c r="R299" i="3"/>
  <c r="D299" i="3"/>
  <c r="C299" i="3"/>
  <c r="B299" i="3"/>
  <c r="A299" i="3"/>
  <c r="S298" i="3"/>
  <c r="R298" i="3"/>
  <c r="D298" i="3"/>
  <c r="C298" i="3"/>
  <c r="B298" i="3"/>
  <c r="A298" i="3"/>
  <c r="S297" i="3"/>
  <c r="R297" i="3"/>
  <c r="D297" i="3"/>
  <c r="C297" i="3"/>
  <c r="B297" i="3"/>
  <c r="A297" i="3"/>
  <c r="S296" i="3"/>
  <c r="R296" i="3"/>
  <c r="D296" i="3"/>
  <c r="C296" i="3"/>
  <c r="B296" i="3"/>
  <c r="A296" i="3"/>
  <c r="S295" i="3"/>
  <c r="R295" i="3"/>
  <c r="D295" i="3"/>
  <c r="C295" i="3"/>
  <c r="B295" i="3"/>
  <c r="A295" i="3"/>
  <c r="S294" i="3"/>
  <c r="R294" i="3"/>
  <c r="D294" i="3"/>
  <c r="C294" i="3"/>
  <c r="B294" i="3"/>
  <c r="A294" i="3"/>
  <c r="S293" i="3"/>
  <c r="R293" i="3"/>
  <c r="D293" i="3"/>
  <c r="C293" i="3"/>
  <c r="B293" i="3"/>
  <c r="A293" i="3"/>
  <c r="S292" i="3"/>
  <c r="R292" i="3"/>
  <c r="D292" i="3"/>
  <c r="C292" i="3"/>
  <c r="B292" i="3"/>
  <c r="A292" i="3"/>
  <c r="S291" i="3"/>
  <c r="R291" i="3"/>
  <c r="D291" i="3"/>
  <c r="C291" i="3"/>
  <c r="B291" i="3"/>
  <c r="A291" i="3"/>
  <c r="S290" i="3"/>
  <c r="R290" i="3"/>
  <c r="D290" i="3"/>
  <c r="C290" i="3"/>
  <c r="B290" i="3"/>
  <c r="A290" i="3"/>
  <c r="S289" i="3"/>
  <c r="R289" i="3"/>
  <c r="D289" i="3"/>
  <c r="C289" i="3"/>
  <c r="B289" i="3"/>
  <c r="A289" i="3"/>
  <c r="S288" i="3"/>
  <c r="R288" i="3"/>
  <c r="D288" i="3"/>
  <c r="C288" i="3"/>
  <c r="B288" i="3"/>
  <c r="A288" i="3"/>
  <c r="S287" i="3"/>
  <c r="R287" i="3"/>
  <c r="D287" i="3"/>
  <c r="C287" i="3"/>
  <c r="B287" i="3"/>
  <c r="A287" i="3"/>
  <c r="S286" i="3"/>
  <c r="R286" i="3"/>
  <c r="D286" i="3"/>
  <c r="C286" i="3"/>
  <c r="B286" i="3"/>
  <c r="A286" i="3"/>
  <c r="S285" i="3"/>
  <c r="R285" i="3"/>
  <c r="D285" i="3"/>
  <c r="C285" i="3"/>
  <c r="B285" i="3"/>
  <c r="A285" i="3"/>
  <c r="S284" i="3"/>
  <c r="R284" i="3"/>
  <c r="D284" i="3"/>
  <c r="C284" i="3"/>
  <c r="B284" i="3"/>
  <c r="A284" i="3"/>
  <c r="S283" i="3"/>
  <c r="R283" i="3"/>
  <c r="D283" i="3"/>
  <c r="C283" i="3"/>
  <c r="B283" i="3"/>
  <c r="A283" i="3"/>
  <c r="S282" i="3"/>
  <c r="R282" i="3"/>
  <c r="D282" i="3"/>
  <c r="C282" i="3"/>
  <c r="B282" i="3"/>
  <c r="A282" i="3"/>
  <c r="S281" i="3"/>
  <c r="R281" i="3"/>
  <c r="D281" i="3"/>
  <c r="C281" i="3"/>
  <c r="B281" i="3"/>
  <c r="A281" i="3"/>
  <c r="S280" i="3"/>
  <c r="R280" i="3"/>
  <c r="D280" i="3"/>
  <c r="C280" i="3"/>
  <c r="B280" i="3"/>
  <c r="A280" i="3"/>
  <c r="S279" i="3"/>
  <c r="R279" i="3"/>
  <c r="D279" i="3"/>
  <c r="C279" i="3"/>
  <c r="B279" i="3"/>
  <c r="A279" i="3"/>
  <c r="S278" i="3"/>
  <c r="R278" i="3"/>
  <c r="D278" i="3"/>
  <c r="C278" i="3"/>
  <c r="B278" i="3"/>
  <c r="A278" i="3"/>
  <c r="S277" i="3"/>
  <c r="R277" i="3"/>
  <c r="D277" i="3"/>
  <c r="C277" i="3"/>
  <c r="B277" i="3"/>
  <c r="A277" i="3"/>
  <c r="S276" i="3"/>
  <c r="R276" i="3"/>
  <c r="D276" i="3"/>
  <c r="C276" i="3"/>
  <c r="B276" i="3"/>
  <c r="A276" i="3"/>
  <c r="S275" i="3"/>
  <c r="R275" i="3"/>
  <c r="D275" i="3"/>
  <c r="C275" i="3"/>
  <c r="B275" i="3"/>
  <c r="A275" i="3"/>
  <c r="S274" i="3"/>
  <c r="R274" i="3"/>
  <c r="D274" i="3"/>
  <c r="C274" i="3"/>
  <c r="B274" i="3"/>
  <c r="A274" i="3"/>
  <c r="S273" i="3"/>
  <c r="R273" i="3"/>
  <c r="D273" i="3"/>
  <c r="C273" i="3"/>
  <c r="B273" i="3"/>
  <c r="A273" i="3"/>
  <c r="S272" i="3"/>
  <c r="R272" i="3"/>
  <c r="D272" i="3"/>
  <c r="C272" i="3"/>
  <c r="B272" i="3"/>
  <c r="A272" i="3"/>
  <c r="S271" i="3"/>
  <c r="R271" i="3"/>
  <c r="D271" i="3"/>
  <c r="C271" i="3"/>
  <c r="B271" i="3"/>
  <c r="A271" i="3"/>
  <c r="S270" i="3"/>
  <c r="R270" i="3"/>
  <c r="D270" i="3"/>
  <c r="C270" i="3"/>
  <c r="B270" i="3"/>
  <c r="A270" i="3"/>
  <c r="S269" i="3"/>
  <c r="R269" i="3"/>
  <c r="D269" i="3"/>
  <c r="C269" i="3"/>
  <c r="B269" i="3"/>
  <c r="A269" i="3"/>
  <c r="S268" i="3"/>
  <c r="R268" i="3"/>
  <c r="D268" i="3"/>
  <c r="C268" i="3"/>
  <c r="B268" i="3"/>
  <c r="A268" i="3"/>
  <c r="S267" i="3"/>
  <c r="R267" i="3"/>
  <c r="D267" i="3"/>
  <c r="C267" i="3"/>
  <c r="B267" i="3"/>
  <c r="A267" i="3"/>
  <c r="S266" i="3"/>
  <c r="R266" i="3"/>
  <c r="D266" i="3"/>
  <c r="C266" i="3"/>
  <c r="B266" i="3"/>
  <c r="A266" i="3"/>
  <c r="S265" i="3"/>
  <c r="R265" i="3"/>
  <c r="D265" i="3"/>
  <c r="C265" i="3"/>
  <c r="B265" i="3"/>
  <c r="A265" i="3"/>
  <c r="S264" i="3"/>
  <c r="R264" i="3"/>
  <c r="D264" i="3"/>
  <c r="C264" i="3"/>
  <c r="B264" i="3"/>
  <c r="A264" i="3"/>
  <c r="S263" i="3"/>
  <c r="R263" i="3"/>
  <c r="D263" i="3"/>
  <c r="C263" i="3"/>
  <c r="B263" i="3"/>
  <c r="A263" i="3"/>
  <c r="S262" i="3"/>
  <c r="R262" i="3"/>
  <c r="D262" i="3"/>
  <c r="C262" i="3"/>
  <c r="B262" i="3"/>
  <c r="A262" i="3"/>
  <c r="S261" i="3"/>
  <c r="R261" i="3"/>
  <c r="D261" i="3"/>
  <c r="C261" i="3"/>
  <c r="B261" i="3"/>
  <c r="A261" i="3"/>
  <c r="S260" i="3"/>
  <c r="R260" i="3"/>
  <c r="D260" i="3"/>
  <c r="C260" i="3"/>
  <c r="B260" i="3"/>
  <c r="A260" i="3"/>
  <c r="S259" i="3"/>
  <c r="R259" i="3"/>
  <c r="D259" i="3"/>
  <c r="C259" i="3"/>
  <c r="B259" i="3"/>
  <c r="A259" i="3"/>
  <c r="S258" i="3"/>
  <c r="R258" i="3"/>
  <c r="D258" i="3"/>
  <c r="C258" i="3"/>
  <c r="B258" i="3"/>
  <c r="A258" i="3"/>
  <c r="S257" i="3"/>
  <c r="R257" i="3"/>
  <c r="D257" i="3"/>
  <c r="C257" i="3"/>
  <c r="B257" i="3"/>
  <c r="A257" i="3"/>
  <c r="S256" i="3"/>
  <c r="R256" i="3"/>
  <c r="D256" i="3"/>
  <c r="C256" i="3"/>
  <c r="B256" i="3"/>
  <c r="A256" i="3"/>
  <c r="S255" i="3"/>
  <c r="R255" i="3"/>
  <c r="D255" i="3"/>
  <c r="C255" i="3"/>
  <c r="B255" i="3"/>
  <c r="A255" i="3"/>
  <c r="S254" i="3"/>
  <c r="R254" i="3"/>
  <c r="D254" i="3"/>
  <c r="C254" i="3"/>
  <c r="B254" i="3"/>
  <c r="A254" i="3"/>
  <c r="S253" i="3"/>
  <c r="R253" i="3"/>
  <c r="D253" i="3"/>
  <c r="C253" i="3"/>
  <c r="B253" i="3"/>
  <c r="A253" i="3"/>
  <c r="S252" i="3"/>
  <c r="R252" i="3"/>
  <c r="D252" i="3"/>
  <c r="C252" i="3"/>
  <c r="B252" i="3"/>
  <c r="A252" i="3"/>
  <c r="S251" i="3"/>
  <c r="R251" i="3"/>
  <c r="D251" i="3"/>
  <c r="C251" i="3"/>
  <c r="B251" i="3"/>
  <c r="A251" i="3"/>
  <c r="S250" i="3"/>
  <c r="R250" i="3"/>
  <c r="D250" i="3"/>
  <c r="C250" i="3"/>
  <c r="B250" i="3"/>
  <c r="A250" i="3"/>
  <c r="S249" i="3"/>
  <c r="R249" i="3"/>
  <c r="D249" i="3"/>
  <c r="C249" i="3"/>
  <c r="B249" i="3"/>
  <c r="A249" i="3"/>
  <c r="S248" i="3"/>
  <c r="R248" i="3"/>
  <c r="D248" i="3"/>
  <c r="C248" i="3"/>
  <c r="B248" i="3"/>
  <c r="A248" i="3"/>
  <c r="S247" i="3"/>
  <c r="R247" i="3"/>
  <c r="D247" i="3"/>
  <c r="C247" i="3"/>
  <c r="B247" i="3"/>
  <c r="A247" i="3"/>
  <c r="S246" i="3"/>
  <c r="R246" i="3"/>
  <c r="D246" i="3"/>
  <c r="C246" i="3"/>
  <c r="B246" i="3"/>
  <c r="A246" i="3"/>
  <c r="S245" i="3"/>
  <c r="R245" i="3"/>
  <c r="D245" i="3"/>
  <c r="C245" i="3"/>
  <c r="B245" i="3"/>
  <c r="A245" i="3"/>
  <c r="S244" i="3"/>
  <c r="R244" i="3"/>
  <c r="D244" i="3"/>
  <c r="C244" i="3"/>
  <c r="B244" i="3"/>
  <c r="A244" i="3"/>
  <c r="S243" i="3"/>
  <c r="R243" i="3"/>
  <c r="D243" i="3"/>
  <c r="C243" i="3"/>
  <c r="B243" i="3"/>
  <c r="A243" i="3"/>
  <c r="S242" i="3"/>
  <c r="R242" i="3"/>
  <c r="D242" i="3"/>
  <c r="C242" i="3"/>
  <c r="B242" i="3"/>
  <c r="A242" i="3"/>
  <c r="S241" i="3"/>
  <c r="R241" i="3"/>
  <c r="D241" i="3"/>
  <c r="C241" i="3"/>
  <c r="B241" i="3"/>
  <c r="A241" i="3"/>
  <c r="S240" i="3"/>
  <c r="R240" i="3"/>
  <c r="D240" i="3"/>
  <c r="C240" i="3"/>
  <c r="B240" i="3"/>
  <c r="A240" i="3"/>
  <c r="S239" i="3"/>
  <c r="R239" i="3"/>
  <c r="D239" i="3"/>
  <c r="C239" i="3"/>
  <c r="B239" i="3"/>
  <c r="A239" i="3"/>
  <c r="S238" i="3"/>
  <c r="R238" i="3"/>
  <c r="D238" i="3"/>
  <c r="C238" i="3"/>
  <c r="B238" i="3"/>
  <c r="A238" i="3"/>
  <c r="S237" i="3"/>
  <c r="R237" i="3"/>
  <c r="D237" i="3"/>
  <c r="C237" i="3"/>
  <c r="B237" i="3"/>
  <c r="A237" i="3"/>
  <c r="S236" i="3"/>
  <c r="R236" i="3"/>
  <c r="D236" i="3"/>
  <c r="C236" i="3"/>
  <c r="B236" i="3"/>
  <c r="A236" i="3"/>
  <c r="S235" i="3"/>
  <c r="R235" i="3"/>
  <c r="D235" i="3"/>
  <c r="C235" i="3"/>
  <c r="B235" i="3"/>
  <c r="A235" i="3"/>
  <c r="S234" i="3"/>
  <c r="R234" i="3"/>
  <c r="D234" i="3"/>
  <c r="C234" i="3"/>
  <c r="B234" i="3"/>
  <c r="A234" i="3"/>
  <c r="S233" i="3"/>
  <c r="R233" i="3"/>
  <c r="D233" i="3"/>
  <c r="C233" i="3"/>
  <c r="B233" i="3"/>
  <c r="A233" i="3"/>
  <c r="S232" i="3"/>
  <c r="R232" i="3"/>
  <c r="D232" i="3"/>
  <c r="C232" i="3"/>
  <c r="B232" i="3"/>
  <c r="A232" i="3"/>
  <c r="S231" i="3"/>
  <c r="R231" i="3"/>
  <c r="D231" i="3"/>
  <c r="C231" i="3"/>
  <c r="B231" i="3"/>
  <c r="A231" i="3"/>
  <c r="S230" i="3"/>
  <c r="R230" i="3"/>
  <c r="D230" i="3"/>
  <c r="C230" i="3"/>
  <c r="B230" i="3"/>
  <c r="A230" i="3"/>
  <c r="S229" i="3"/>
  <c r="R229" i="3"/>
  <c r="D229" i="3"/>
  <c r="C229" i="3"/>
  <c r="B229" i="3"/>
  <c r="A229" i="3"/>
  <c r="S228" i="3"/>
  <c r="R228" i="3"/>
  <c r="D228" i="3"/>
  <c r="C228" i="3"/>
  <c r="B228" i="3"/>
  <c r="A228" i="3"/>
  <c r="S227" i="3"/>
  <c r="R227" i="3"/>
  <c r="D227" i="3"/>
  <c r="C227" i="3"/>
  <c r="B227" i="3"/>
  <c r="A227" i="3"/>
  <c r="S226" i="3"/>
  <c r="R226" i="3"/>
  <c r="D226" i="3"/>
  <c r="C226" i="3"/>
  <c r="B226" i="3"/>
  <c r="A226" i="3"/>
  <c r="S225" i="3"/>
  <c r="R225" i="3"/>
  <c r="D225" i="3"/>
  <c r="C225" i="3"/>
  <c r="B225" i="3"/>
  <c r="A225" i="3"/>
  <c r="S224" i="3"/>
  <c r="R224" i="3"/>
  <c r="D224" i="3"/>
  <c r="C224" i="3"/>
  <c r="B224" i="3"/>
  <c r="A224" i="3"/>
  <c r="S223" i="3"/>
  <c r="R223" i="3"/>
  <c r="D223" i="3"/>
  <c r="C223" i="3"/>
  <c r="B223" i="3"/>
  <c r="A223" i="3"/>
  <c r="S222" i="3"/>
  <c r="R222" i="3"/>
  <c r="D222" i="3"/>
  <c r="C222" i="3"/>
  <c r="B222" i="3"/>
  <c r="A222" i="3"/>
  <c r="S221" i="3"/>
  <c r="R221" i="3"/>
  <c r="D221" i="3"/>
  <c r="C221" i="3"/>
  <c r="B221" i="3"/>
  <c r="A221" i="3"/>
  <c r="S220" i="3"/>
  <c r="R220" i="3"/>
  <c r="D220" i="3"/>
  <c r="C220" i="3"/>
  <c r="B220" i="3"/>
  <c r="A220" i="3"/>
  <c r="S219" i="3"/>
  <c r="R219" i="3"/>
  <c r="D219" i="3"/>
  <c r="C219" i="3"/>
  <c r="B219" i="3"/>
  <c r="A219" i="3"/>
  <c r="S218" i="3"/>
  <c r="R218" i="3"/>
  <c r="D218" i="3"/>
  <c r="C218" i="3"/>
  <c r="B218" i="3"/>
  <c r="A218" i="3"/>
  <c r="S217" i="3"/>
  <c r="R217" i="3"/>
  <c r="D217" i="3"/>
  <c r="C217" i="3"/>
  <c r="B217" i="3"/>
  <c r="A217" i="3"/>
  <c r="S216" i="3"/>
  <c r="R216" i="3"/>
  <c r="D216" i="3"/>
  <c r="C216" i="3"/>
  <c r="B216" i="3"/>
  <c r="A216" i="3"/>
  <c r="S215" i="3"/>
  <c r="R215" i="3"/>
  <c r="D215" i="3"/>
  <c r="C215" i="3"/>
  <c r="B215" i="3"/>
  <c r="A215" i="3"/>
  <c r="S214" i="3"/>
  <c r="R214" i="3"/>
  <c r="D214" i="3"/>
  <c r="C214" i="3"/>
  <c r="B214" i="3"/>
  <c r="A214" i="3"/>
  <c r="S213" i="3"/>
  <c r="R213" i="3"/>
  <c r="D213" i="3"/>
  <c r="C213" i="3"/>
  <c r="B213" i="3"/>
  <c r="A213" i="3"/>
  <c r="S212" i="3"/>
  <c r="R212" i="3"/>
  <c r="D212" i="3"/>
  <c r="C212" i="3"/>
  <c r="B212" i="3"/>
  <c r="A212" i="3"/>
  <c r="S211" i="3"/>
  <c r="R211" i="3"/>
  <c r="D211" i="3"/>
  <c r="C211" i="3"/>
  <c r="B211" i="3"/>
  <c r="A211" i="3"/>
  <c r="S210" i="3"/>
  <c r="R210" i="3"/>
  <c r="D210" i="3"/>
  <c r="C210" i="3"/>
  <c r="B210" i="3"/>
  <c r="A210" i="3"/>
  <c r="S209" i="3"/>
  <c r="R209" i="3"/>
  <c r="D209" i="3"/>
  <c r="C209" i="3"/>
  <c r="B209" i="3"/>
  <c r="A209" i="3"/>
  <c r="S208" i="3"/>
  <c r="R208" i="3"/>
  <c r="D208" i="3"/>
  <c r="C208" i="3"/>
  <c r="B208" i="3"/>
  <c r="A208" i="3"/>
  <c r="S207" i="3"/>
  <c r="R207" i="3"/>
  <c r="D207" i="3"/>
  <c r="C207" i="3"/>
  <c r="B207" i="3"/>
  <c r="A207" i="3"/>
  <c r="S206" i="3"/>
  <c r="R206" i="3"/>
  <c r="D206" i="3"/>
  <c r="C206" i="3"/>
  <c r="B206" i="3"/>
  <c r="A206" i="3"/>
  <c r="S205" i="3"/>
  <c r="R205" i="3"/>
  <c r="D205" i="3"/>
  <c r="C205" i="3"/>
  <c r="B205" i="3"/>
  <c r="A205" i="3"/>
  <c r="S204" i="3"/>
  <c r="R204" i="3"/>
  <c r="D204" i="3"/>
  <c r="C204" i="3"/>
  <c r="B204" i="3"/>
  <c r="A204" i="3"/>
  <c r="S203" i="3"/>
  <c r="R203" i="3"/>
  <c r="D203" i="3"/>
  <c r="C203" i="3"/>
  <c r="B203" i="3"/>
  <c r="A203" i="3"/>
  <c r="S202" i="3"/>
  <c r="R202" i="3"/>
  <c r="D202" i="3"/>
  <c r="C202" i="3"/>
  <c r="B202" i="3"/>
  <c r="A202" i="3"/>
  <c r="S201" i="3"/>
  <c r="R201" i="3"/>
  <c r="D201" i="3"/>
  <c r="C201" i="3"/>
  <c r="B201" i="3"/>
  <c r="A201" i="3"/>
  <c r="S200" i="3"/>
  <c r="R200" i="3"/>
  <c r="D200" i="3"/>
  <c r="C200" i="3"/>
  <c r="B200" i="3"/>
  <c r="A200" i="3"/>
  <c r="S199" i="3"/>
  <c r="R199" i="3"/>
  <c r="D199" i="3"/>
  <c r="C199" i="3"/>
  <c r="B199" i="3"/>
  <c r="A199" i="3"/>
  <c r="S198" i="3"/>
  <c r="R198" i="3"/>
  <c r="D198" i="3"/>
  <c r="C198" i="3"/>
  <c r="B198" i="3"/>
  <c r="A198" i="3"/>
  <c r="S197" i="3"/>
  <c r="R197" i="3"/>
  <c r="D197" i="3"/>
  <c r="C197" i="3"/>
  <c r="B197" i="3"/>
  <c r="A197" i="3"/>
  <c r="S196" i="3"/>
  <c r="R196" i="3"/>
  <c r="D196" i="3"/>
  <c r="C196" i="3"/>
  <c r="B196" i="3"/>
  <c r="A196" i="3"/>
  <c r="S195" i="3"/>
  <c r="R195" i="3"/>
  <c r="D195" i="3"/>
  <c r="C195" i="3"/>
  <c r="B195" i="3"/>
  <c r="A195" i="3"/>
  <c r="S194" i="3"/>
  <c r="R194" i="3"/>
  <c r="D194" i="3"/>
  <c r="C194" i="3"/>
  <c r="B194" i="3"/>
  <c r="A194" i="3"/>
  <c r="S193" i="3"/>
  <c r="R193" i="3"/>
  <c r="D193" i="3"/>
  <c r="C193" i="3"/>
  <c r="B193" i="3"/>
  <c r="A193" i="3"/>
  <c r="S192" i="3"/>
  <c r="R192" i="3"/>
  <c r="D192" i="3"/>
  <c r="C192" i="3"/>
  <c r="B192" i="3"/>
  <c r="A192" i="3"/>
  <c r="S191" i="3"/>
  <c r="R191" i="3"/>
  <c r="D191" i="3"/>
  <c r="C191" i="3"/>
  <c r="B191" i="3"/>
  <c r="A191" i="3"/>
  <c r="S190" i="3"/>
  <c r="R190" i="3"/>
  <c r="D190" i="3"/>
  <c r="C190" i="3"/>
  <c r="B190" i="3"/>
  <c r="A190" i="3"/>
  <c r="S189" i="3"/>
  <c r="R189" i="3"/>
  <c r="D189" i="3"/>
  <c r="C189" i="3"/>
  <c r="B189" i="3"/>
  <c r="A189" i="3"/>
  <c r="S188" i="3"/>
  <c r="R188" i="3"/>
  <c r="D188" i="3"/>
  <c r="C188" i="3"/>
  <c r="B188" i="3"/>
  <c r="A188" i="3"/>
  <c r="S187" i="3"/>
  <c r="R187" i="3"/>
  <c r="D187" i="3"/>
  <c r="C187" i="3"/>
  <c r="B187" i="3"/>
  <c r="A187" i="3"/>
  <c r="S186" i="3"/>
  <c r="R186" i="3"/>
  <c r="D186" i="3"/>
  <c r="C186" i="3"/>
  <c r="B186" i="3"/>
  <c r="A186" i="3"/>
  <c r="S185" i="3"/>
  <c r="R185" i="3"/>
  <c r="D185" i="3"/>
  <c r="C185" i="3"/>
  <c r="B185" i="3"/>
  <c r="A185" i="3"/>
  <c r="S184" i="3"/>
  <c r="R184" i="3"/>
  <c r="D184" i="3"/>
  <c r="C184" i="3"/>
  <c r="B184" i="3"/>
  <c r="A184" i="3"/>
  <c r="S183" i="3"/>
  <c r="R183" i="3"/>
  <c r="D183" i="3"/>
  <c r="C183" i="3"/>
  <c r="B183" i="3"/>
  <c r="A183" i="3"/>
  <c r="S182" i="3"/>
  <c r="R182" i="3"/>
  <c r="D182" i="3"/>
  <c r="C182" i="3"/>
  <c r="B182" i="3"/>
  <c r="A182" i="3"/>
  <c r="S181" i="3"/>
  <c r="R181" i="3"/>
  <c r="D181" i="3"/>
  <c r="C181" i="3"/>
  <c r="B181" i="3"/>
  <c r="A181" i="3"/>
  <c r="S180" i="3"/>
  <c r="R180" i="3"/>
  <c r="D180" i="3"/>
  <c r="C180" i="3"/>
  <c r="B180" i="3"/>
  <c r="A180" i="3"/>
  <c r="S179" i="3"/>
  <c r="R179" i="3"/>
  <c r="D179" i="3"/>
  <c r="C179" i="3"/>
  <c r="B179" i="3"/>
  <c r="A179" i="3"/>
  <c r="S178" i="3"/>
  <c r="R178" i="3"/>
  <c r="D178" i="3"/>
  <c r="C178" i="3"/>
  <c r="B178" i="3"/>
  <c r="A178" i="3"/>
  <c r="S177" i="3"/>
  <c r="R177" i="3"/>
  <c r="D177" i="3"/>
  <c r="C177" i="3"/>
  <c r="B177" i="3"/>
  <c r="A177" i="3"/>
  <c r="S176" i="3"/>
  <c r="R176" i="3"/>
  <c r="D176" i="3"/>
  <c r="C176" i="3"/>
  <c r="B176" i="3"/>
  <c r="A176" i="3"/>
  <c r="S175" i="3"/>
  <c r="R175" i="3"/>
  <c r="D175" i="3"/>
  <c r="C175" i="3"/>
  <c r="B175" i="3"/>
  <c r="A175" i="3"/>
  <c r="S174" i="3"/>
  <c r="R174" i="3"/>
  <c r="D174" i="3"/>
  <c r="C174" i="3"/>
  <c r="B174" i="3"/>
  <c r="A174" i="3"/>
  <c r="S173" i="3"/>
  <c r="R173" i="3"/>
  <c r="D173" i="3"/>
  <c r="C173" i="3"/>
  <c r="B173" i="3"/>
  <c r="A173" i="3"/>
  <c r="S172" i="3"/>
  <c r="R172" i="3"/>
  <c r="D172" i="3"/>
  <c r="C172" i="3"/>
  <c r="B172" i="3"/>
  <c r="A172" i="3"/>
  <c r="S171" i="3"/>
  <c r="R171" i="3"/>
  <c r="D171" i="3"/>
  <c r="C171" i="3"/>
  <c r="B171" i="3"/>
  <c r="A171" i="3"/>
  <c r="S170" i="3"/>
  <c r="R170" i="3"/>
  <c r="D170" i="3"/>
  <c r="C170" i="3"/>
  <c r="B170" i="3"/>
  <c r="A170" i="3"/>
  <c r="S169" i="3"/>
  <c r="R169" i="3"/>
  <c r="D169" i="3"/>
  <c r="C169" i="3"/>
  <c r="B169" i="3"/>
  <c r="A169" i="3"/>
  <c r="S168" i="3"/>
  <c r="R168" i="3"/>
  <c r="D168" i="3"/>
  <c r="C168" i="3"/>
  <c r="B168" i="3"/>
  <c r="A168" i="3"/>
  <c r="S167" i="3"/>
  <c r="R167" i="3"/>
  <c r="D167" i="3"/>
  <c r="C167" i="3"/>
  <c r="B167" i="3"/>
  <c r="A167" i="3"/>
  <c r="S166" i="3"/>
  <c r="R166" i="3"/>
  <c r="D166" i="3"/>
  <c r="C166" i="3"/>
  <c r="B166" i="3"/>
  <c r="A166" i="3"/>
  <c r="S165" i="3"/>
  <c r="R165" i="3"/>
  <c r="D165" i="3"/>
  <c r="C165" i="3"/>
  <c r="B165" i="3"/>
  <c r="A165" i="3"/>
  <c r="S164" i="3"/>
  <c r="R164" i="3"/>
  <c r="D164" i="3"/>
  <c r="C164" i="3"/>
  <c r="B164" i="3"/>
  <c r="A164" i="3"/>
  <c r="S163" i="3"/>
  <c r="R163" i="3"/>
  <c r="D163" i="3"/>
  <c r="C163" i="3"/>
  <c r="B163" i="3"/>
  <c r="A163" i="3"/>
  <c r="S162" i="3"/>
  <c r="R162" i="3"/>
  <c r="D162" i="3"/>
  <c r="C162" i="3"/>
  <c r="B162" i="3"/>
  <c r="A162" i="3"/>
  <c r="S161" i="3"/>
  <c r="R161" i="3"/>
  <c r="D161" i="3"/>
  <c r="C161" i="3"/>
  <c r="B161" i="3"/>
  <c r="A161" i="3"/>
  <c r="S160" i="3"/>
  <c r="R160" i="3"/>
  <c r="D160" i="3"/>
  <c r="C160" i="3"/>
  <c r="B160" i="3"/>
  <c r="A160" i="3"/>
  <c r="S159" i="3"/>
  <c r="R159" i="3"/>
  <c r="D159" i="3"/>
  <c r="C159" i="3"/>
  <c r="B159" i="3"/>
  <c r="A159" i="3"/>
  <c r="S158" i="3"/>
  <c r="R158" i="3"/>
  <c r="D158" i="3"/>
  <c r="C158" i="3"/>
  <c r="B158" i="3"/>
  <c r="A158" i="3"/>
  <c r="S157" i="3"/>
  <c r="R157" i="3"/>
  <c r="D157" i="3"/>
  <c r="C157" i="3"/>
  <c r="B157" i="3"/>
  <c r="A157" i="3"/>
  <c r="S156" i="3"/>
  <c r="R156" i="3"/>
  <c r="D156" i="3"/>
  <c r="C156" i="3"/>
  <c r="B156" i="3"/>
  <c r="A156" i="3"/>
  <c r="S155" i="3"/>
  <c r="R155" i="3"/>
  <c r="D155" i="3"/>
  <c r="C155" i="3"/>
  <c r="B155" i="3"/>
  <c r="A155" i="3"/>
  <c r="S154" i="3"/>
  <c r="R154" i="3"/>
  <c r="D154" i="3"/>
  <c r="C154" i="3"/>
  <c r="B154" i="3"/>
  <c r="A154" i="3"/>
  <c r="S153" i="3"/>
  <c r="R153" i="3"/>
  <c r="D153" i="3"/>
  <c r="C153" i="3"/>
  <c r="B153" i="3"/>
  <c r="A153" i="3"/>
  <c r="S152" i="3"/>
  <c r="R152" i="3"/>
  <c r="D152" i="3"/>
  <c r="C152" i="3"/>
  <c r="B152" i="3"/>
  <c r="A152" i="3"/>
  <c r="S151" i="3"/>
  <c r="R151" i="3"/>
  <c r="D151" i="3"/>
  <c r="C151" i="3"/>
  <c r="B151" i="3"/>
  <c r="A151" i="3"/>
  <c r="S150" i="3"/>
  <c r="R150" i="3"/>
  <c r="D150" i="3"/>
  <c r="C150" i="3"/>
  <c r="B150" i="3"/>
  <c r="A150" i="3"/>
  <c r="S149" i="3"/>
  <c r="R149" i="3"/>
  <c r="D149" i="3"/>
  <c r="C149" i="3"/>
  <c r="B149" i="3"/>
  <c r="A149" i="3"/>
  <c r="S148" i="3"/>
  <c r="R148" i="3"/>
  <c r="D148" i="3"/>
  <c r="C148" i="3"/>
  <c r="B148" i="3"/>
  <c r="A148" i="3"/>
  <c r="S147" i="3"/>
  <c r="R147" i="3"/>
  <c r="D147" i="3"/>
  <c r="C147" i="3"/>
  <c r="B147" i="3"/>
  <c r="A147" i="3"/>
  <c r="S146" i="3"/>
  <c r="R146" i="3"/>
  <c r="D146" i="3"/>
  <c r="C146" i="3"/>
  <c r="B146" i="3"/>
  <c r="A146" i="3"/>
  <c r="S145" i="3"/>
  <c r="R145" i="3"/>
  <c r="D145" i="3"/>
  <c r="C145" i="3"/>
  <c r="B145" i="3"/>
  <c r="A145" i="3"/>
  <c r="S144" i="3"/>
  <c r="R144" i="3"/>
  <c r="D144" i="3"/>
  <c r="C144" i="3"/>
  <c r="B144" i="3"/>
  <c r="A144" i="3"/>
  <c r="S143" i="3"/>
  <c r="R143" i="3"/>
  <c r="D143" i="3"/>
  <c r="C143" i="3"/>
  <c r="B143" i="3"/>
  <c r="A143" i="3"/>
  <c r="S142" i="3"/>
  <c r="R142" i="3"/>
  <c r="D142" i="3"/>
  <c r="C142" i="3"/>
  <c r="B142" i="3"/>
  <c r="A142" i="3"/>
  <c r="S141" i="3"/>
  <c r="R141" i="3"/>
  <c r="D141" i="3"/>
  <c r="C141" i="3"/>
  <c r="B141" i="3"/>
  <c r="A141" i="3"/>
  <c r="S140" i="3"/>
  <c r="R140" i="3"/>
  <c r="D140" i="3"/>
  <c r="C140" i="3"/>
  <c r="B140" i="3"/>
  <c r="A140" i="3"/>
  <c r="S139" i="3"/>
  <c r="R139" i="3"/>
  <c r="D139" i="3"/>
  <c r="C139" i="3"/>
  <c r="B139" i="3"/>
  <c r="A139" i="3"/>
  <c r="S138" i="3"/>
  <c r="R138" i="3"/>
  <c r="D138" i="3"/>
  <c r="C138" i="3"/>
  <c r="B138" i="3"/>
  <c r="A138" i="3"/>
  <c r="S137" i="3"/>
  <c r="R137" i="3"/>
  <c r="D137" i="3"/>
  <c r="C137" i="3"/>
  <c r="B137" i="3"/>
  <c r="A137" i="3"/>
  <c r="S136" i="3"/>
  <c r="R136" i="3"/>
  <c r="D136" i="3"/>
  <c r="C136" i="3"/>
  <c r="B136" i="3"/>
  <c r="A136" i="3"/>
  <c r="S135" i="3"/>
  <c r="R135" i="3"/>
  <c r="D135" i="3"/>
  <c r="C135" i="3"/>
  <c r="B135" i="3"/>
  <c r="A135" i="3"/>
  <c r="S134" i="3"/>
  <c r="R134" i="3"/>
  <c r="D134" i="3"/>
  <c r="C134" i="3"/>
  <c r="B134" i="3"/>
  <c r="A134" i="3"/>
  <c r="S133" i="3"/>
  <c r="R133" i="3"/>
  <c r="D133" i="3"/>
  <c r="C133" i="3"/>
  <c r="B133" i="3"/>
  <c r="A133" i="3"/>
  <c r="S132" i="3"/>
  <c r="R132" i="3"/>
  <c r="D132" i="3"/>
  <c r="C132" i="3"/>
  <c r="B132" i="3"/>
  <c r="A132" i="3"/>
  <c r="S131" i="3"/>
  <c r="R131" i="3"/>
  <c r="D131" i="3"/>
  <c r="C131" i="3"/>
  <c r="B131" i="3"/>
  <c r="A131" i="3"/>
  <c r="S130" i="3"/>
  <c r="R130" i="3"/>
  <c r="D130" i="3"/>
  <c r="C130" i="3"/>
  <c r="B130" i="3"/>
  <c r="A130" i="3"/>
  <c r="S129" i="3"/>
  <c r="R129" i="3"/>
  <c r="D129" i="3"/>
  <c r="C129" i="3"/>
  <c r="B129" i="3"/>
  <c r="A129" i="3"/>
  <c r="S128" i="3"/>
  <c r="R128" i="3"/>
  <c r="D128" i="3"/>
  <c r="C128" i="3"/>
  <c r="B128" i="3"/>
  <c r="A128" i="3"/>
  <c r="S127" i="3"/>
  <c r="R127" i="3"/>
  <c r="D127" i="3"/>
  <c r="C127" i="3"/>
  <c r="B127" i="3"/>
  <c r="A127" i="3"/>
  <c r="S126" i="3"/>
  <c r="R126" i="3"/>
  <c r="D126" i="3"/>
  <c r="C126" i="3"/>
  <c r="B126" i="3"/>
  <c r="A126" i="3"/>
  <c r="S125" i="3"/>
  <c r="R125" i="3"/>
  <c r="D125" i="3"/>
  <c r="C125" i="3"/>
  <c r="B125" i="3"/>
  <c r="A125" i="3"/>
  <c r="S124" i="3"/>
  <c r="R124" i="3"/>
  <c r="D124" i="3"/>
  <c r="C124" i="3"/>
  <c r="B124" i="3"/>
  <c r="A124" i="3"/>
  <c r="S123" i="3"/>
  <c r="R123" i="3"/>
  <c r="D123" i="3"/>
  <c r="C123" i="3"/>
  <c r="B123" i="3"/>
  <c r="A123" i="3"/>
  <c r="S122" i="3"/>
  <c r="R122" i="3"/>
  <c r="D122" i="3"/>
  <c r="C122" i="3"/>
  <c r="B122" i="3"/>
  <c r="A122" i="3"/>
  <c r="S121" i="3"/>
  <c r="R121" i="3"/>
  <c r="D121" i="3"/>
  <c r="C121" i="3"/>
  <c r="B121" i="3"/>
  <c r="A121" i="3"/>
  <c r="S120" i="3"/>
  <c r="R120" i="3"/>
  <c r="D120" i="3"/>
  <c r="C120" i="3"/>
  <c r="B120" i="3"/>
  <c r="A120" i="3"/>
  <c r="S119" i="3"/>
  <c r="R119" i="3"/>
  <c r="D119" i="3"/>
  <c r="C119" i="3"/>
  <c r="B119" i="3"/>
  <c r="A119" i="3"/>
  <c r="S118" i="3"/>
  <c r="R118" i="3"/>
  <c r="D118" i="3"/>
  <c r="C118" i="3"/>
  <c r="B118" i="3"/>
  <c r="A118" i="3"/>
  <c r="S117" i="3"/>
  <c r="R117" i="3"/>
  <c r="D117" i="3"/>
  <c r="C117" i="3"/>
  <c r="B117" i="3"/>
  <c r="A117" i="3"/>
  <c r="S116" i="3"/>
  <c r="R116" i="3"/>
  <c r="D116" i="3"/>
  <c r="C116" i="3"/>
  <c r="B116" i="3"/>
  <c r="A116" i="3"/>
  <c r="S115" i="3"/>
  <c r="R115" i="3"/>
  <c r="D115" i="3"/>
  <c r="C115" i="3"/>
  <c r="B115" i="3"/>
  <c r="A115" i="3"/>
  <c r="S114" i="3"/>
  <c r="R114" i="3"/>
  <c r="D114" i="3"/>
  <c r="C114" i="3"/>
  <c r="B114" i="3"/>
  <c r="A114" i="3"/>
  <c r="S113" i="3"/>
  <c r="R113" i="3"/>
  <c r="D113" i="3"/>
  <c r="C113" i="3"/>
  <c r="B113" i="3"/>
  <c r="A113" i="3"/>
  <c r="S112" i="3"/>
  <c r="R112" i="3"/>
  <c r="D112" i="3"/>
  <c r="C112" i="3"/>
  <c r="B112" i="3"/>
  <c r="A112" i="3"/>
  <c r="S111" i="3"/>
  <c r="R111" i="3"/>
  <c r="D111" i="3"/>
  <c r="C111" i="3"/>
  <c r="B111" i="3"/>
  <c r="A111" i="3"/>
  <c r="S110" i="3"/>
  <c r="R110" i="3"/>
  <c r="D110" i="3"/>
  <c r="C110" i="3"/>
  <c r="B110" i="3"/>
  <c r="A110" i="3"/>
  <c r="S109" i="3"/>
  <c r="R109" i="3"/>
  <c r="D109" i="3"/>
  <c r="C109" i="3"/>
  <c r="B109" i="3"/>
  <c r="A109" i="3"/>
  <c r="S108" i="3"/>
  <c r="R108" i="3"/>
  <c r="D108" i="3"/>
  <c r="C108" i="3"/>
  <c r="B108" i="3"/>
  <c r="A108" i="3"/>
  <c r="S107" i="3"/>
  <c r="R107" i="3"/>
  <c r="D107" i="3"/>
  <c r="C107" i="3"/>
  <c r="B107" i="3"/>
  <c r="A107" i="3"/>
  <c r="S106" i="3"/>
  <c r="R106" i="3"/>
  <c r="D106" i="3"/>
  <c r="C106" i="3"/>
  <c r="B106" i="3"/>
  <c r="A106" i="3"/>
  <c r="S105" i="3"/>
  <c r="R105" i="3"/>
  <c r="D105" i="3"/>
  <c r="C105" i="3"/>
  <c r="B105" i="3"/>
  <c r="A105" i="3"/>
  <c r="S104" i="3"/>
  <c r="R104" i="3"/>
  <c r="D104" i="3"/>
  <c r="C104" i="3"/>
  <c r="B104" i="3"/>
  <c r="A104" i="3"/>
  <c r="S103" i="3"/>
  <c r="R103" i="3"/>
  <c r="D103" i="3"/>
  <c r="C103" i="3"/>
  <c r="B103" i="3"/>
  <c r="A103" i="3"/>
  <c r="S102" i="3"/>
  <c r="R102" i="3"/>
  <c r="D102" i="3"/>
  <c r="C102" i="3"/>
  <c r="B102" i="3"/>
  <c r="A102" i="3"/>
  <c r="S101" i="3"/>
  <c r="R101" i="3"/>
  <c r="D101" i="3"/>
  <c r="C101" i="3"/>
  <c r="B101" i="3"/>
  <c r="A101" i="3"/>
  <c r="S100" i="3"/>
  <c r="R100" i="3"/>
  <c r="D100" i="3"/>
  <c r="C100" i="3"/>
  <c r="B100" i="3"/>
  <c r="A100" i="3"/>
  <c r="S99" i="3"/>
  <c r="R99" i="3"/>
  <c r="D99" i="3"/>
  <c r="C99" i="3"/>
  <c r="B99" i="3"/>
  <c r="A99" i="3"/>
  <c r="S98" i="3"/>
  <c r="R98" i="3"/>
  <c r="D98" i="3"/>
  <c r="C98" i="3"/>
  <c r="B98" i="3"/>
  <c r="A98" i="3"/>
  <c r="S97" i="3"/>
  <c r="R97" i="3"/>
  <c r="D97" i="3"/>
  <c r="C97" i="3"/>
  <c r="B97" i="3"/>
  <c r="A97" i="3"/>
  <c r="S96" i="3"/>
  <c r="R96" i="3"/>
  <c r="D96" i="3"/>
  <c r="C96" i="3"/>
  <c r="B96" i="3"/>
  <c r="A96" i="3"/>
  <c r="S95" i="3"/>
  <c r="R95" i="3"/>
  <c r="D95" i="3"/>
  <c r="C95" i="3"/>
  <c r="B95" i="3"/>
  <c r="A95" i="3"/>
  <c r="S94" i="3"/>
  <c r="R94" i="3"/>
  <c r="D94" i="3"/>
  <c r="C94" i="3"/>
  <c r="B94" i="3"/>
  <c r="A94" i="3"/>
  <c r="S93" i="3"/>
  <c r="R93" i="3"/>
  <c r="D93" i="3"/>
  <c r="C93" i="3"/>
  <c r="B93" i="3"/>
  <c r="A93" i="3"/>
  <c r="S92" i="3"/>
  <c r="R92" i="3"/>
  <c r="D92" i="3"/>
  <c r="C92" i="3"/>
  <c r="B92" i="3"/>
  <c r="A92" i="3"/>
  <c r="S91" i="3"/>
  <c r="R91" i="3"/>
  <c r="D91" i="3"/>
  <c r="C91" i="3"/>
  <c r="B91" i="3"/>
  <c r="A91" i="3"/>
  <c r="S90" i="3"/>
  <c r="R90" i="3"/>
  <c r="D90" i="3"/>
  <c r="C90" i="3"/>
  <c r="B90" i="3"/>
  <c r="A90" i="3"/>
  <c r="S89" i="3"/>
  <c r="R89" i="3"/>
  <c r="D89" i="3"/>
  <c r="C89" i="3"/>
  <c r="B89" i="3"/>
  <c r="A89" i="3"/>
  <c r="S88" i="3"/>
  <c r="R88" i="3"/>
  <c r="D88" i="3"/>
  <c r="C88" i="3"/>
  <c r="B88" i="3"/>
  <c r="A88" i="3"/>
  <c r="S87" i="3"/>
  <c r="R87" i="3"/>
  <c r="D87" i="3"/>
  <c r="C87" i="3"/>
  <c r="B87" i="3"/>
  <c r="A87" i="3"/>
  <c r="S86" i="3"/>
  <c r="R86" i="3"/>
  <c r="D86" i="3"/>
  <c r="C86" i="3"/>
  <c r="B86" i="3"/>
  <c r="A86" i="3"/>
  <c r="S85" i="3"/>
  <c r="R85" i="3"/>
  <c r="D85" i="3"/>
  <c r="C85" i="3"/>
  <c r="B85" i="3"/>
  <c r="A85" i="3"/>
  <c r="S84" i="3"/>
  <c r="R84" i="3"/>
  <c r="D84" i="3"/>
  <c r="C84" i="3"/>
  <c r="B84" i="3"/>
  <c r="A84" i="3"/>
  <c r="S83" i="3"/>
  <c r="R83" i="3"/>
  <c r="D83" i="3"/>
  <c r="C83" i="3"/>
  <c r="B83" i="3"/>
  <c r="A83" i="3"/>
  <c r="S82" i="3"/>
  <c r="R82" i="3"/>
  <c r="D82" i="3"/>
  <c r="C82" i="3"/>
  <c r="B82" i="3"/>
  <c r="A82" i="3"/>
  <c r="S81" i="3"/>
  <c r="R81" i="3"/>
  <c r="D81" i="3"/>
  <c r="C81" i="3"/>
  <c r="B81" i="3"/>
  <c r="A81" i="3"/>
  <c r="S80" i="3"/>
  <c r="R80" i="3"/>
  <c r="D80" i="3"/>
  <c r="C80" i="3"/>
  <c r="B80" i="3"/>
  <c r="A80" i="3"/>
  <c r="S79" i="3"/>
  <c r="R79" i="3"/>
  <c r="D79" i="3"/>
  <c r="C79" i="3"/>
  <c r="B79" i="3"/>
  <c r="A79" i="3"/>
  <c r="S78" i="3"/>
  <c r="R78" i="3"/>
  <c r="D78" i="3"/>
  <c r="C78" i="3"/>
  <c r="B78" i="3"/>
  <c r="A78" i="3"/>
  <c r="S77" i="3"/>
  <c r="R77" i="3"/>
  <c r="D77" i="3"/>
  <c r="C77" i="3"/>
  <c r="B77" i="3"/>
  <c r="A77" i="3"/>
  <c r="S76" i="3"/>
  <c r="R76" i="3"/>
  <c r="D76" i="3"/>
  <c r="C76" i="3"/>
  <c r="B76" i="3"/>
  <c r="A76" i="3"/>
  <c r="S75" i="3"/>
  <c r="R75" i="3"/>
  <c r="D75" i="3"/>
  <c r="C75" i="3"/>
  <c r="B75" i="3"/>
  <c r="A75" i="3"/>
  <c r="S74" i="3"/>
  <c r="R74" i="3"/>
  <c r="D74" i="3"/>
  <c r="C74" i="3"/>
  <c r="B74" i="3"/>
  <c r="A74" i="3"/>
  <c r="S73" i="3"/>
  <c r="R73" i="3"/>
  <c r="D73" i="3"/>
  <c r="C73" i="3"/>
  <c r="B73" i="3"/>
  <c r="A73" i="3"/>
  <c r="S72" i="3"/>
  <c r="R72" i="3"/>
  <c r="D72" i="3"/>
  <c r="C72" i="3"/>
  <c r="B72" i="3"/>
  <c r="A72" i="3"/>
  <c r="S71" i="3"/>
  <c r="R71" i="3"/>
  <c r="D71" i="3"/>
  <c r="C71" i="3"/>
  <c r="B71" i="3"/>
  <c r="A71" i="3"/>
  <c r="S70" i="3"/>
  <c r="R70" i="3"/>
  <c r="D70" i="3"/>
  <c r="C70" i="3"/>
  <c r="B70" i="3"/>
  <c r="A70" i="3"/>
  <c r="S69" i="3"/>
  <c r="R69" i="3"/>
  <c r="D69" i="3"/>
  <c r="C69" i="3"/>
  <c r="B69" i="3"/>
  <c r="A69" i="3"/>
  <c r="S68" i="3"/>
  <c r="R68" i="3"/>
  <c r="D68" i="3"/>
  <c r="C68" i="3"/>
  <c r="B68" i="3"/>
  <c r="A68" i="3"/>
  <c r="S67" i="3"/>
  <c r="R67" i="3"/>
  <c r="D67" i="3"/>
  <c r="C67" i="3"/>
  <c r="B67" i="3"/>
  <c r="A67" i="3"/>
  <c r="S66" i="3"/>
  <c r="R66" i="3"/>
  <c r="D66" i="3"/>
  <c r="C66" i="3"/>
  <c r="B66" i="3"/>
  <c r="A66" i="3"/>
  <c r="S65" i="3"/>
  <c r="R65" i="3"/>
  <c r="D65" i="3"/>
  <c r="C65" i="3"/>
  <c r="B65" i="3"/>
  <c r="A65" i="3"/>
  <c r="S64" i="3"/>
  <c r="R64" i="3"/>
  <c r="D64" i="3"/>
  <c r="C64" i="3"/>
  <c r="B64" i="3"/>
  <c r="A64" i="3"/>
  <c r="S63" i="3"/>
  <c r="R63" i="3"/>
  <c r="D63" i="3"/>
  <c r="C63" i="3"/>
  <c r="B63" i="3"/>
  <c r="A63" i="3"/>
  <c r="S62" i="3"/>
  <c r="R62" i="3"/>
  <c r="D62" i="3"/>
  <c r="C62" i="3"/>
  <c r="B62" i="3"/>
  <c r="A62" i="3"/>
  <c r="S61" i="3"/>
  <c r="R61" i="3"/>
  <c r="D61" i="3"/>
  <c r="C61" i="3"/>
  <c r="B61" i="3"/>
  <c r="A61" i="3"/>
  <c r="S60" i="3"/>
  <c r="R60" i="3"/>
  <c r="D60" i="3"/>
  <c r="C60" i="3"/>
  <c r="B60" i="3"/>
  <c r="A60" i="3"/>
  <c r="S59" i="3"/>
  <c r="R59" i="3"/>
  <c r="D59" i="3"/>
  <c r="C59" i="3"/>
  <c r="B59" i="3"/>
  <c r="A59" i="3"/>
  <c r="S58" i="3"/>
  <c r="R58" i="3"/>
  <c r="D58" i="3"/>
  <c r="C58" i="3"/>
  <c r="B58" i="3"/>
  <c r="A58" i="3"/>
  <c r="S57" i="3"/>
  <c r="R57" i="3"/>
  <c r="D57" i="3"/>
  <c r="C57" i="3"/>
  <c r="B57" i="3"/>
  <c r="A57" i="3"/>
  <c r="S56" i="3"/>
  <c r="R56" i="3"/>
  <c r="D56" i="3"/>
  <c r="C56" i="3"/>
  <c r="B56" i="3"/>
  <c r="A56" i="3"/>
  <c r="S55" i="3"/>
  <c r="R55" i="3"/>
  <c r="D55" i="3"/>
  <c r="C55" i="3"/>
  <c r="B55" i="3"/>
  <c r="A55" i="3"/>
  <c r="S54" i="3"/>
  <c r="R54" i="3"/>
  <c r="D54" i="3"/>
  <c r="C54" i="3"/>
  <c r="B54" i="3"/>
  <c r="A54" i="3"/>
  <c r="S53" i="3"/>
  <c r="R53" i="3"/>
  <c r="D53" i="3"/>
  <c r="C53" i="3"/>
  <c r="B53" i="3"/>
  <c r="A53" i="3"/>
  <c r="S52" i="3"/>
  <c r="R52" i="3"/>
  <c r="D52" i="3"/>
  <c r="C52" i="3"/>
  <c r="B52" i="3"/>
  <c r="A52" i="3"/>
  <c r="S51" i="3"/>
  <c r="R51" i="3"/>
  <c r="D51" i="3"/>
  <c r="C51" i="3"/>
  <c r="B51" i="3"/>
  <c r="A51" i="3"/>
  <c r="S50" i="3"/>
  <c r="R50" i="3"/>
  <c r="D50" i="3"/>
  <c r="C50" i="3"/>
  <c r="B50" i="3"/>
  <c r="A50" i="3"/>
  <c r="S49" i="3"/>
  <c r="R49" i="3"/>
  <c r="D49" i="3"/>
  <c r="C49" i="3"/>
  <c r="B49" i="3"/>
  <c r="A49" i="3"/>
  <c r="S48" i="3"/>
  <c r="R48" i="3"/>
  <c r="D48" i="3"/>
  <c r="C48" i="3"/>
  <c r="B48" i="3"/>
  <c r="A48" i="3"/>
  <c r="S47" i="3"/>
  <c r="R47" i="3"/>
  <c r="D47" i="3"/>
  <c r="C47" i="3"/>
  <c r="B47" i="3"/>
  <c r="A47" i="3"/>
  <c r="S46" i="3"/>
  <c r="R46" i="3"/>
  <c r="D46" i="3"/>
  <c r="C46" i="3"/>
  <c r="B46" i="3"/>
  <c r="A46" i="3"/>
  <c r="S45" i="3"/>
  <c r="R45" i="3"/>
  <c r="D45" i="3"/>
  <c r="C45" i="3"/>
  <c r="B45" i="3"/>
  <c r="A45" i="3"/>
  <c r="S44" i="3"/>
  <c r="R44" i="3"/>
  <c r="D44" i="3"/>
  <c r="C44" i="3"/>
  <c r="B44" i="3"/>
  <c r="A44" i="3"/>
  <c r="S43" i="3"/>
  <c r="R43" i="3"/>
  <c r="D43" i="3"/>
  <c r="C43" i="3"/>
  <c r="B43" i="3"/>
  <c r="A43" i="3"/>
  <c r="S42" i="3"/>
  <c r="R42" i="3"/>
  <c r="D42" i="3"/>
  <c r="C42" i="3"/>
  <c r="B42" i="3"/>
  <c r="A42" i="3"/>
  <c r="S41" i="3"/>
  <c r="R41" i="3"/>
  <c r="D41" i="3"/>
  <c r="C41" i="3"/>
  <c r="B41" i="3"/>
  <c r="A41" i="3"/>
  <c r="S40" i="3"/>
  <c r="R40" i="3"/>
  <c r="D40" i="3"/>
  <c r="C40" i="3"/>
  <c r="B40" i="3"/>
  <c r="A40" i="3"/>
  <c r="S39" i="3"/>
  <c r="R39" i="3"/>
  <c r="D39" i="3"/>
  <c r="C39" i="3"/>
  <c r="B39" i="3"/>
  <c r="A39" i="3"/>
  <c r="S38" i="3"/>
  <c r="R38" i="3"/>
  <c r="D38" i="3"/>
  <c r="C38" i="3"/>
  <c r="B38" i="3"/>
  <c r="A38" i="3"/>
  <c r="S37" i="3"/>
  <c r="R37" i="3"/>
  <c r="D37" i="3"/>
  <c r="C37" i="3"/>
  <c r="B37" i="3"/>
  <c r="A37" i="3"/>
  <c r="S36" i="3"/>
  <c r="R36" i="3"/>
  <c r="D36" i="3"/>
  <c r="C36" i="3"/>
  <c r="B36" i="3"/>
  <c r="A36" i="3"/>
  <c r="S35" i="3"/>
  <c r="R35" i="3"/>
  <c r="D35" i="3"/>
  <c r="C35" i="3"/>
  <c r="B35" i="3"/>
  <c r="A35" i="3"/>
  <c r="S34" i="3"/>
  <c r="R34" i="3"/>
  <c r="D34" i="3"/>
  <c r="C34" i="3"/>
  <c r="B34" i="3"/>
  <c r="A34" i="3"/>
  <c r="S33" i="3"/>
  <c r="R33" i="3"/>
  <c r="D33" i="3"/>
  <c r="C33" i="3"/>
  <c r="B33" i="3"/>
  <c r="A33" i="3"/>
  <c r="S32" i="3"/>
  <c r="R32" i="3"/>
  <c r="D32" i="3"/>
  <c r="C32" i="3"/>
  <c r="B32" i="3"/>
  <c r="A32" i="3"/>
  <c r="S31" i="3"/>
  <c r="R31" i="3"/>
  <c r="D31" i="3"/>
  <c r="C31" i="3"/>
  <c r="B31" i="3"/>
  <c r="A31" i="3"/>
  <c r="S30" i="3"/>
  <c r="R30" i="3"/>
  <c r="D30" i="3"/>
  <c r="C30" i="3"/>
  <c r="B30" i="3"/>
  <c r="A30" i="3"/>
  <c r="S29" i="3"/>
  <c r="R29" i="3"/>
  <c r="D29" i="3"/>
  <c r="C29" i="3"/>
  <c r="B29" i="3"/>
  <c r="A29" i="3"/>
  <c r="S28" i="3"/>
  <c r="R28" i="3"/>
  <c r="D28" i="3"/>
  <c r="C28" i="3"/>
  <c r="B28" i="3"/>
  <c r="A28" i="3"/>
  <c r="S27" i="3"/>
  <c r="R27" i="3"/>
  <c r="D27" i="3"/>
  <c r="C27" i="3"/>
  <c r="B27" i="3"/>
  <c r="A27" i="3"/>
  <c r="S26" i="3"/>
  <c r="R26" i="3"/>
  <c r="D26" i="3"/>
  <c r="C26" i="3"/>
  <c r="B26" i="3"/>
  <c r="A26" i="3"/>
  <c r="S25" i="3"/>
  <c r="R25" i="3"/>
  <c r="D25" i="3"/>
  <c r="C25" i="3"/>
  <c r="B25" i="3"/>
  <c r="A25" i="3"/>
  <c r="S24" i="3"/>
  <c r="R24" i="3"/>
  <c r="D24" i="3"/>
  <c r="C24" i="3"/>
  <c r="B24" i="3"/>
  <c r="A24" i="3"/>
  <c r="S23" i="3"/>
  <c r="R23" i="3"/>
  <c r="D23" i="3"/>
  <c r="C23" i="3"/>
  <c r="B23" i="3"/>
  <c r="A23" i="3"/>
  <c r="S22" i="3"/>
  <c r="R22" i="3"/>
  <c r="D22" i="3"/>
  <c r="C22" i="3"/>
  <c r="B22" i="3"/>
  <c r="A22" i="3"/>
  <c r="S21" i="3"/>
  <c r="R21" i="3"/>
  <c r="D21" i="3"/>
  <c r="C21" i="3"/>
  <c r="B21" i="3"/>
  <c r="A21" i="3"/>
  <c r="S20" i="3"/>
  <c r="R20" i="3"/>
  <c r="D20" i="3"/>
  <c r="C20" i="3"/>
  <c r="B20" i="3"/>
  <c r="A20" i="3"/>
  <c r="S19" i="3"/>
  <c r="R19" i="3"/>
  <c r="D19" i="3"/>
  <c r="C19" i="3"/>
  <c r="B19" i="3"/>
  <c r="A19" i="3"/>
  <c r="S18" i="3"/>
  <c r="R18" i="3"/>
  <c r="D18" i="3"/>
  <c r="C18" i="3"/>
  <c r="B18" i="3"/>
  <c r="A18" i="3"/>
  <c r="S17" i="3"/>
  <c r="R17" i="3"/>
  <c r="D17" i="3"/>
  <c r="C17" i="3"/>
  <c r="B17" i="3"/>
  <c r="A17" i="3"/>
  <c r="S16" i="3"/>
  <c r="R16" i="3"/>
  <c r="D16" i="3"/>
  <c r="C16" i="3"/>
  <c r="B16" i="3"/>
  <c r="A16" i="3"/>
  <c r="S15" i="3"/>
  <c r="R15" i="3"/>
  <c r="D15" i="3"/>
  <c r="C15" i="3"/>
  <c r="B15" i="3"/>
  <c r="A15" i="3"/>
  <c r="S14" i="3"/>
  <c r="R14" i="3"/>
  <c r="D14" i="3"/>
  <c r="C14" i="3"/>
  <c r="B14" i="3"/>
  <c r="A14" i="3"/>
  <c r="S13" i="3"/>
  <c r="R13" i="3"/>
  <c r="D13" i="3"/>
  <c r="C13" i="3"/>
  <c r="B13" i="3"/>
  <c r="A13" i="3"/>
  <c r="S12" i="3"/>
  <c r="R12" i="3"/>
  <c r="D12" i="3"/>
  <c r="C12" i="3"/>
  <c r="B12" i="3"/>
  <c r="A12" i="3"/>
  <c r="S11" i="3"/>
  <c r="R11" i="3"/>
  <c r="D11" i="3"/>
  <c r="C11" i="3"/>
  <c r="B11" i="3"/>
  <c r="A11" i="3"/>
  <c r="S10" i="3"/>
  <c r="R10" i="3"/>
  <c r="D10" i="3"/>
  <c r="C10" i="3"/>
  <c r="B10" i="3"/>
  <c r="A10" i="3"/>
  <c r="S9" i="3"/>
  <c r="R9" i="3"/>
  <c r="D9" i="3"/>
  <c r="C9" i="3"/>
  <c r="B9" i="3"/>
  <c r="A9" i="3"/>
  <c r="S8" i="3"/>
  <c r="R8" i="3"/>
  <c r="D8" i="3"/>
  <c r="C8" i="3"/>
  <c r="B8" i="3"/>
  <c r="A8" i="3"/>
  <c r="S7" i="3"/>
  <c r="R7" i="3"/>
  <c r="D7" i="3"/>
  <c r="C7" i="3"/>
  <c r="B7" i="3"/>
  <c r="A7" i="3"/>
  <c r="S6" i="3"/>
  <c r="R6" i="3"/>
  <c r="D6" i="3"/>
  <c r="C6" i="3"/>
  <c r="B6" i="3"/>
  <c r="A6" i="3"/>
  <c r="S5" i="3"/>
  <c r="R5" i="3"/>
  <c r="D5" i="3"/>
  <c r="C5" i="3"/>
  <c r="B5" i="3"/>
  <c r="A5" i="3"/>
  <c r="S4" i="3"/>
  <c r="R4" i="3"/>
  <c r="D4" i="3"/>
  <c r="C4" i="3"/>
  <c r="B4" i="3"/>
  <c r="A4" i="3"/>
  <c r="S3" i="3"/>
  <c r="R3" i="3"/>
  <c r="D3" i="3"/>
  <c r="C3" i="3"/>
  <c r="B3" i="3"/>
  <c r="A3" i="3"/>
  <c r="S2" i="3"/>
  <c r="R2" i="3"/>
  <c r="D2" i="3"/>
  <c r="C2" i="3"/>
  <c r="B2" i="3"/>
  <c r="A2" i="3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B6" i="6" l="1"/>
  <c r="B20" i="6" s="1"/>
  <c r="R3" i="4"/>
  <c r="S2" i="4"/>
  <c r="D686" i="5"/>
  <c r="D2" i="4"/>
  <c r="S3" i="4"/>
  <c r="D13" i="4"/>
  <c r="D14" i="4"/>
  <c r="S17" i="4"/>
  <c r="R18" i="4"/>
  <c r="S42" i="4"/>
  <c r="S43" i="4"/>
  <c r="R44" i="4"/>
  <c r="D52" i="4"/>
  <c r="C15" i="12" s="1"/>
  <c r="S55" i="4"/>
  <c r="R56" i="4"/>
  <c r="S60" i="4"/>
  <c r="D66" i="4"/>
  <c r="S72" i="4"/>
  <c r="D97" i="4"/>
  <c r="S98" i="4"/>
  <c r="D109" i="4"/>
  <c r="S110" i="4"/>
  <c r="S122" i="4"/>
  <c r="R122" i="4"/>
  <c r="R123" i="4"/>
  <c r="R124" i="4"/>
  <c r="D127" i="4"/>
  <c r="E16" i="12" s="1"/>
  <c r="D151" i="4"/>
  <c r="D174" i="4"/>
  <c r="D186" i="4"/>
  <c r="S187" i="4"/>
  <c r="S188" i="4"/>
  <c r="R188" i="4"/>
  <c r="S200" i="4"/>
  <c r="R200" i="4"/>
  <c r="D253" i="4"/>
  <c r="S254" i="4"/>
  <c r="D290" i="4"/>
  <c r="I31" i="12" s="1"/>
  <c r="D303" i="4"/>
  <c r="J7" i="12" s="1"/>
  <c r="D308" i="4"/>
  <c r="S308" i="4"/>
  <c r="D353" i="4"/>
  <c r="S392" i="4"/>
  <c r="R392" i="4"/>
  <c r="S409" i="4"/>
  <c r="R409" i="4"/>
  <c r="D645" i="4"/>
  <c r="S726" i="4"/>
  <c r="D822" i="4"/>
  <c r="X8" i="12" s="1"/>
  <c r="S822" i="4"/>
  <c r="R822" i="4"/>
  <c r="D1054" i="4"/>
  <c r="S1054" i="4"/>
  <c r="R1054" i="4"/>
  <c r="D95" i="4"/>
  <c r="S95" i="4"/>
  <c r="D120" i="4"/>
  <c r="S120" i="4"/>
  <c r="S121" i="4"/>
  <c r="R121" i="4"/>
  <c r="S199" i="4"/>
  <c r="R199" i="4"/>
  <c r="S208" i="4"/>
  <c r="R208" i="4"/>
  <c r="S214" i="4"/>
  <c r="R214" i="4"/>
  <c r="S220" i="4"/>
  <c r="R220" i="4"/>
  <c r="R371" i="4"/>
  <c r="S371" i="4"/>
  <c r="R598" i="4"/>
  <c r="D598" i="4"/>
  <c r="R6" i="12" s="1"/>
  <c r="S598" i="4"/>
  <c r="S717" i="4"/>
  <c r="R717" i="4"/>
  <c r="R5" i="4"/>
  <c r="R6" i="4"/>
  <c r="D16" i="4"/>
  <c r="R19" i="4"/>
  <c r="D40" i="4"/>
  <c r="R47" i="4"/>
  <c r="S58" i="4"/>
  <c r="D64" i="4"/>
  <c r="D76" i="4"/>
  <c r="D81" i="4"/>
  <c r="D7" i="12" s="1"/>
  <c r="R84" i="4"/>
  <c r="S91" i="4"/>
  <c r="I17" i="9" s="1"/>
  <c r="R92" i="4"/>
  <c r="S96" i="4"/>
  <c r="R102" i="4"/>
  <c r="S108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D161" i="4"/>
  <c r="D172" i="4"/>
  <c r="F24" i="12" s="1"/>
  <c r="R177" i="4"/>
  <c r="D184" i="4"/>
  <c r="D196" i="4"/>
  <c r="D197" i="4"/>
  <c r="S197" i="4"/>
  <c r="S198" i="4"/>
  <c r="R228" i="4"/>
  <c r="R229" i="4"/>
  <c r="D251" i="4"/>
  <c r="H29" i="12" s="1"/>
  <c r="S252" i="4"/>
  <c r="R262" i="4"/>
  <c r="R263" i="4"/>
  <c r="S279" i="4"/>
  <c r="R281" i="4"/>
  <c r="D288" i="4"/>
  <c r="R302" i="4"/>
  <c r="D306" i="4"/>
  <c r="S315" i="4"/>
  <c r="R342" i="4"/>
  <c r="S347" i="4"/>
  <c r="R347" i="4"/>
  <c r="R407" i="4"/>
  <c r="D417" i="4"/>
  <c r="D426" i="4"/>
  <c r="S426" i="4"/>
  <c r="S538" i="4"/>
  <c r="D538" i="4"/>
  <c r="R538" i="4"/>
  <c r="B5" i="6"/>
  <c r="B10" i="6" s="1"/>
  <c r="B7" i="7"/>
  <c r="B29" i="6"/>
  <c r="B41" i="6" s="1"/>
  <c r="D3" i="4"/>
  <c r="W3" i="12" s="1"/>
  <c r="S6" i="4"/>
  <c r="R7" i="4"/>
  <c r="D17" i="4"/>
  <c r="B17" i="12" s="1"/>
  <c r="S47" i="4"/>
  <c r="D77" i="4"/>
  <c r="R79" i="4"/>
  <c r="R86" i="4"/>
  <c r="R87" i="4"/>
  <c r="S92" i="4"/>
  <c r="R101" i="4"/>
  <c r="D106" i="4"/>
  <c r="S107" i="4"/>
  <c r="S157" i="4"/>
  <c r="R158" i="4"/>
  <c r="D206" i="4"/>
  <c r="G21" i="12" s="1"/>
  <c r="S206" i="4"/>
  <c r="R206" i="4"/>
  <c r="S207" i="4"/>
  <c r="R207" i="4"/>
  <c r="S213" i="4"/>
  <c r="R213" i="4"/>
  <c r="S219" i="4"/>
  <c r="R219" i="4"/>
  <c r="R227" i="4"/>
  <c r="R280" i="4"/>
  <c r="R292" i="4"/>
  <c r="S406" i="4"/>
  <c r="R406" i="4"/>
  <c r="S417" i="4"/>
  <c r="R417" i="4"/>
  <c r="S7" i="4"/>
  <c r="R8" i="4"/>
  <c r="D41" i="4"/>
  <c r="D43" i="4"/>
  <c r="R48" i="4"/>
  <c r="D62" i="4"/>
  <c r="R67" i="4"/>
  <c r="D74" i="4"/>
  <c r="C37" i="12" s="1"/>
  <c r="S77" i="4"/>
  <c r="S78" i="4"/>
  <c r="R78" i="4"/>
  <c r="R100" i="4"/>
  <c r="D105" i="4"/>
  <c r="S106" i="4"/>
  <c r="S130" i="4"/>
  <c r="S131" i="4"/>
  <c r="R131" i="4"/>
  <c r="R150" i="4"/>
  <c r="R151" i="4"/>
  <c r="R152" i="4"/>
  <c r="S158" i="4"/>
  <c r="D170" i="4"/>
  <c r="F22" i="12" s="1"/>
  <c r="R175" i="4"/>
  <c r="D182" i="4"/>
  <c r="D205" i="4"/>
  <c r="S227" i="4"/>
  <c r="S280" i="4"/>
  <c r="R291" i="4"/>
  <c r="D298" i="4"/>
  <c r="S336" i="4"/>
  <c r="R336" i="4"/>
  <c r="S346" i="4"/>
  <c r="R346" i="4"/>
  <c r="D434" i="4"/>
  <c r="M27" i="12" s="1"/>
  <c r="S434" i="4"/>
  <c r="R434" i="4"/>
  <c r="D514" i="4"/>
  <c r="S514" i="4"/>
  <c r="R514" i="4"/>
  <c r="R9" i="4"/>
  <c r="S20" i="4"/>
  <c r="S44" i="4"/>
  <c r="R45" i="4"/>
  <c r="S48" i="4"/>
  <c r="R49" i="4"/>
  <c r="R50" i="4"/>
  <c r="D61" i="4"/>
  <c r="R66" i="4"/>
  <c r="D73" i="4"/>
  <c r="R93" i="4"/>
  <c r="S105" i="4"/>
  <c r="S113" i="4"/>
  <c r="R114" i="4"/>
  <c r="D129" i="4"/>
  <c r="S150" i="4"/>
  <c r="S151" i="4"/>
  <c r="R159" i="4"/>
  <c r="R161" i="4"/>
  <c r="R162" i="4"/>
  <c r="R163" i="4"/>
  <c r="R164" i="4"/>
  <c r="R174" i="4"/>
  <c r="D181" i="4"/>
  <c r="R186" i="4"/>
  <c r="S191" i="4"/>
  <c r="R192" i="4"/>
  <c r="R203" i="4"/>
  <c r="S212" i="4"/>
  <c r="R212" i="4"/>
  <c r="S218" i="4"/>
  <c r="R218" i="4"/>
  <c r="R224" i="4"/>
  <c r="R237" i="4"/>
  <c r="R255" i="4"/>
  <c r="D267" i="4"/>
  <c r="R268" i="4"/>
  <c r="R270" i="4"/>
  <c r="D275" i="4"/>
  <c r="D276" i="4"/>
  <c r="I17" i="12" s="1"/>
  <c r="S276" i="4"/>
  <c r="S277" i="4"/>
  <c r="R279" i="4"/>
  <c r="D285" i="4"/>
  <c r="R290" i="4"/>
  <c r="D297" i="4"/>
  <c r="S299" i="4"/>
  <c r="D313" i="4"/>
  <c r="R313" i="4"/>
  <c r="R315" i="4"/>
  <c r="S335" i="4"/>
  <c r="S341" i="4"/>
  <c r="D345" i="4"/>
  <c r="K12" i="12" s="1"/>
  <c r="S345" i="4"/>
  <c r="R345" i="4"/>
  <c r="S405" i="4"/>
  <c r="R405" i="4"/>
  <c r="R420" i="4"/>
  <c r="S461" i="4"/>
  <c r="R461" i="4"/>
  <c r="D467" i="4"/>
  <c r="S467" i="4"/>
  <c r="R467" i="4"/>
  <c r="D471" i="4"/>
  <c r="N27" i="12" s="1"/>
  <c r="S471" i="4"/>
  <c r="R471" i="4"/>
  <c r="D475" i="4"/>
  <c r="S475" i="4"/>
  <c r="R475" i="4"/>
  <c r="D479" i="4"/>
  <c r="S479" i="4"/>
  <c r="R479" i="4"/>
  <c r="D483" i="4"/>
  <c r="S483" i="4"/>
  <c r="R483" i="4"/>
  <c r="B30" i="6"/>
  <c r="B43" i="6" s="1"/>
  <c r="S9" i="4"/>
  <c r="D19" i="4"/>
  <c r="B19" i="12" s="1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S49" i="4"/>
  <c r="S50" i="4"/>
  <c r="R51" i="4"/>
  <c r="R52" i="4"/>
  <c r="R53" i="4"/>
  <c r="R54" i="4"/>
  <c r="D60" i="4"/>
  <c r="C23" i="12" s="1"/>
  <c r="R65" i="4"/>
  <c r="D72" i="4"/>
  <c r="S93" i="4"/>
  <c r="R98" i="4"/>
  <c r="S104" i="4"/>
  <c r="R110" i="4"/>
  <c r="R115" i="4"/>
  <c r="S124" i="4"/>
  <c r="R125" i="4"/>
  <c r="R160" i="4"/>
  <c r="S161" i="4"/>
  <c r="S162" i="4"/>
  <c r="R173" i="4"/>
  <c r="D180" i="4"/>
  <c r="R185" i="4"/>
  <c r="D233" i="4"/>
  <c r="S233" i="4"/>
  <c r="R233" i="4"/>
  <c r="R234" i="4"/>
  <c r="R235" i="4"/>
  <c r="R254" i="4"/>
  <c r="D274" i="4"/>
  <c r="I15" i="12" s="1"/>
  <c r="D284" i="4"/>
  <c r="R289" i="4"/>
  <c r="D318" i="4"/>
  <c r="D322" i="4"/>
  <c r="D326" i="4"/>
  <c r="D330" i="4"/>
  <c r="D334" i="4"/>
  <c r="D344" i="4"/>
  <c r="D429" i="4"/>
  <c r="D455" i="4"/>
  <c r="S455" i="4"/>
  <c r="R455" i="4"/>
  <c r="R12" i="4"/>
  <c r="R13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51" i="4"/>
  <c r="R55" i="4"/>
  <c r="D59" i="4"/>
  <c r="C22" i="12" s="1"/>
  <c r="R64" i="4"/>
  <c r="D71" i="4"/>
  <c r="C34" i="12" s="1"/>
  <c r="R91" i="4"/>
  <c r="R97" i="4"/>
  <c r="S103" i="4"/>
  <c r="R109" i="4"/>
  <c r="R117" i="4"/>
  <c r="R118" i="4"/>
  <c r="S123" i="4"/>
  <c r="S125" i="4"/>
  <c r="R126" i="4"/>
  <c r="D157" i="4"/>
  <c r="F9" i="12" s="1"/>
  <c r="S160" i="4"/>
  <c r="D179" i="4"/>
  <c r="F31" i="12" s="1"/>
  <c r="R187" i="4"/>
  <c r="R193" i="4"/>
  <c r="S211" i="4"/>
  <c r="R211" i="4"/>
  <c r="S217" i="4"/>
  <c r="R217" i="4"/>
  <c r="S223" i="4"/>
  <c r="R223" i="4"/>
  <c r="S225" i="4"/>
  <c r="R226" i="4"/>
  <c r="D241" i="4"/>
  <c r="D246" i="4"/>
  <c r="S247" i="4"/>
  <c r="R253" i="4"/>
  <c r="D258" i="4"/>
  <c r="S259" i="4"/>
  <c r="D264" i="4"/>
  <c r="S266" i="4"/>
  <c r="D273" i="4"/>
  <c r="D283" i="4"/>
  <c r="R288" i="4"/>
  <c r="D295" i="4"/>
  <c r="R306" i="4"/>
  <c r="R308" i="4"/>
  <c r="D312" i="4"/>
  <c r="J16" i="12" s="1"/>
  <c r="D317" i="4"/>
  <c r="S317" i="4"/>
  <c r="R317" i="4"/>
  <c r="S394" i="4"/>
  <c r="R394" i="4"/>
  <c r="R450" i="4"/>
  <c r="S450" i="4"/>
  <c r="R14" i="4"/>
  <c r="R20" i="4"/>
  <c r="D85" i="4"/>
  <c r="D86" i="4"/>
  <c r="D12" i="12" s="1"/>
  <c r="S90" i="4"/>
  <c r="R90" i="4"/>
  <c r="S102" i="4"/>
  <c r="R113" i="4"/>
  <c r="R119" i="4"/>
  <c r="R120" i="4"/>
  <c r="R127" i="4"/>
  <c r="S156" i="4"/>
  <c r="R156" i="4"/>
  <c r="R168" i="4"/>
  <c r="D178" i="4"/>
  <c r="R204" i="4"/>
  <c r="D230" i="4"/>
  <c r="H8" i="12" s="1"/>
  <c r="D231" i="4"/>
  <c r="S231" i="4"/>
  <c r="S232" i="4"/>
  <c r="D240" i="4"/>
  <c r="S242" i="4"/>
  <c r="R252" i="4"/>
  <c r="D263" i="4"/>
  <c r="S265" i="4"/>
  <c r="D272" i="4"/>
  <c r="I13" i="12" s="1"/>
  <c r="D282" i="4"/>
  <c r="I23" i="12" s="1"/>
  <c r="R303" i="4"/>
  <c r="D316" i="4"/>
  <c r="S343" i="4"/>
  <c r="S404" i="4"/>
  <c r="R404" i="4"/>
  <c r="S419" i="4"/>
  <c r="R441" i="4"/>
  <c r="D8" i="4"/>
  <c r="R39" i="4"/>
  <c r="S56" i="4"/>
  <c r="R62" i="4"/>
  <c r="D69" i="4"/>
  <c r="R74" i="4"/>
  <c r="S88" i="4"/>
  <c r="S89" i="4"/>
  <c r="R89" i="4"/>
  <c r="S94" i="4"/>
  <c r="R95" i="4"/>
  <c r="S101" i="4"/>
  <c r="R107" i="4"/>
  <c r="S116" i="4"/>
  <c r="R128" i="4"/>
  <c r="R129" i="4"/>
  <c r="D153" i="4"/>
  <c r="F5" i="12" s="1"/>
  <c r="S155" i="4"/>
  <c r="R155" i="4"/>
  <c r="R167" i="4"/>
  <c r="R170" i="4"/>
  <c r="D177" i="4"/>
  <c r="R182" i="4"/>
  <c r="R196" i="4"/>
  <c r="R197" i="4"/>
  <c r="S210" i="4"/>
  <c r="R210" i="4"/>
  <c r="S216" i="4"/>
  <c r="R216" i="4"/>
  <c r="S222" i="4"/>
  <c r="R222" i="4"/>
  <c r="D229" i="4"/>
  <c r="S243" i="4"/>
  <c r="R251" i="4"/>
  <c r="D262" i="4"/>
  <c r="D281" i="4"/>
  <c r="D311" i="4"/>
  <c r="R316" i="4"/>
  <c r="D321" i="4"/>
  <c r="D325" i="4"/>
  <c r="J29" i="12" s="1"/>
  <c r="D329" i="4"/>
  <c r="D333" i="4"/>
  <c r="J37" i="12" s="1"/>
  <c r="S353" i="4"/>
  <c r="D354" i="4"/>
  <c r="S354" i="4"/>
  <c r="R354" i="4"/>
  <c r="S393" i="4"/>
  <c r="R393" i="4"/>
  <c r="R2" i="4"/>
  <c r="R40" i="4"/>
  <c r="R41" i="4"/>
  <c r="R61" i="4"/>
  <c r="D68" i="4"/>
  <c r="C31" i="12" s="1"/>
  <c r="R73" i="4"/>
  <c r="R76" i="4"/>
  <c r="R81" i="4"/>
  <c r="S100" i="4"/>
  <c r="S112" i="4"/>
  <c r="R112" i="4"/>
  <c r="D152" i="4"/>
  <c r="S153" i="4"/>
  <c r="S154" i="4"/>
  <c r="D164" i="4"/>
  <c r="D165" i="4"/>
  <c r="F17" i="12" s="1"/>
  <c r="S165" i="4"/>
  <c r="S166" i="4"/>
  <c r="R166" i="4"/>
  <c r="R169" i="4"/>
  <c r="D176" i="4"/>
  <c r="R181" i="4"/>
  <c r="R190" i="4"/>
  <c r="R202" i="4"/>
  <c r="R205" i="4"/>
  <c r="D228" i="4"/>
  <c r="S244" i="4"/>
  <c r="S256" i="4"/>
  <c r="D292" i="4"/>
  <c r="I33" i="12" s="1"/>
  <c r="D342" i="4"/>
  <c r="K9" i="12" s="1"/>
  <c r="D372" i="4"/>
  <c r="S372" i="4"/>
  <c r="R372" i="4"/>
  <c r="R410" i="4"/>
  <c r="R436" i="4"/>
  <c r="H39" i="14"/>
  <c r="C38" i="14"/>
  <c r="A38" i="14" s="1"/>
  <c r="E36" i="14"/>
  <c r="G34" i="14"/>
  <c r="D31" i="14"/>
  <c r="F29" i="14"/>
  <c r="H27" i="14"/>
  <c r="C26" i="14"/>
  <c r="A26" i="14" s="1"/>
  <c r="E24" i="14"/>
  <c r="G22" i="14"/>
  <c r="D19" i="14"/>
  <c r="F17" i="14"/>
  <c r="H15" i="14"/>
  <c r="C14" i="14"/>
  <c r="A14" i="14" s="1"/>
  <c r="E12" i="14"/>
  <c r="G10" i="14"/>
  <c r="D7" i="14"/>
  <c r="F5" i="14"/>
  <c r="H3" i="14"/>
  <c r="G39" i="14"/>
  <c r="D36" i="14"/>
  <c r="F34" i="14"/>
  <c r="H32" i="14"/>
  <c r="C31" i="14"/>
  <c r="A31" i="14" s="1"/>
  <c r="E29" i="14"/>
  <c r="G27" i="14"/>
  <c r="D24" i="14"/>
  <c r="F22" i="14"/>
  <c r="H20" i="14"/>
  <c r="C19" i="14"/>
  <c r="A19" i="14" s="1"/>
  <c r="E17" i="14"/>
  <c r="G15" i="14"/>
  <c r="D12" i="14"/>
  <c r="F10" i="14"/>
  <c r="H8" i="14"/>
  <c r="C7" i="14"/>
  <c r="A7" i="14" s="1"/>
  <c r="E5" i="14"/>
  <c r="F39" i="14"/>
  <c r="H37" i="14"/>
  <c r="C36" i="14"/>
  <c r="A36" i="14" s="1"/>
  <c r="E34" i="14"/>
  <c r="G32" i="14"/>
  <c r="D29" i="14"/>
  <c r="F27" i="14"/>
  <c r="E39" i="14"/>
  <c r="G37" i="14"/>
  <c r="D34" i="14"/>
  <c r="F32" i="14"/>
  <c r="H30" i="14"/>
  <c r="C29" i="14"/>
  <c r="A29" i="14" s="1"/>
  <c r="E27" i="14"/>
  <c r="G25" i="14"/>
  <c r="D22" i="14"/>
  <c r="F20" i="14"/>
  <c r="H18" i="14"/>
  <c r="C17" i="14"/>
  <c r="A17" i="14" s="1"/>
  <c r="E15" i="14"/>
  <c r="G13" i="14"/>
  <c r="D10" i="14"/>
  <c r="F8" i="14"/>
  <c r="H6" i="14"/>
  <c r="C5" i="14"/>
  <c r="A5" i="14" s="1"/>
  <c r="D39" i="14"/>
  <c r="F37" i="14"/>
  <c r="H35" i="14"/>
  <c r="C34" i="14"/>
  <c r="A34" i="14" s="1"/>
  <c r="E32" i="14"/>
  <c r="G30" i="14"/>
  <c r="D27" i="14"/>
  <c r="F25" i="14"/>
  <c r="H23" i="14"/>
  <c r="C22" i="14"/>
  <c r="A22" i="14" s="1"/>
  <c r="E20" i="14"/>
  <c r="G18" i="14"/>
  <c r="D15" i="14"/>
  <c r="F13" i="14"/>
  <c r="H11" i="14"/>
  <c r="C10" i="14"/>
  <c r="A10" i="14" s="1"/>
  <c r="E8" i="14"/>
  <c r="G6" i="14"/>
  <c r="D3" i="14"/>
  <c r="C39" i="14"/>
  <c r="A39" i="14" s="1"/>
  <c r="E37" i="14"/>
  <c r="G35" i="14"/>
  <c r="D32" i="14"/>
  <c r="F30" i="14"/>
  <c r="H28" i="14"/>
  <c r="C27" i="14"/>
  <c r="A27" i="14" s="1"/>
  <c r="E25" i="14"/>
  <c r="G23" i="14"/>
  <c r="D20" i="14"/>
  <c r="F18" i="14"/>
  <c r="H16" i="14"/>
  <c r="C15" i="14"/>
  <c r="A15" i="14" s="1"/>
  <c r="E13" i="14"/>
  <c r="G11" i="14"/>
  <c r="D8" i="14"/>
  <c r="F6" i="14"/>
  <c r="H4" i="14"/>
  <c r="C3" i="14"/>
  <c r="A3" i="14" s="1"/>
  <c r="D37" i="14"/>
  <c r="F35" i="14"/>
  <c r="H33" i="14"/>
  <c r="C32" i="14"/>
  <c r="A32" i="14" s="1"/>
  <c r="E30" i="14"/>
  <c r="G28" i="14"/>
  <c r="D25" i="14"/>
  <c r="F23" i="14"/>
  <c r="H21" i="14"/>
  <c r="C20" i="14"/>
  <c r="A20" i="14" s="1"/>
  <c r="E18" i="14"/>
  <c r="G16" i="14"/>
  <c r="D13" i="14"/>
  <c r="F11" i="14"/>
  <c r="H9" i="14"/>
  <c r="C8" i="14"/>
  <c r="A8" i="14" s="1"/>
  <c r="E6" i="14"/>
  <c r="G4" i="14"/>
  <c r="H38" i="14"/>
  <c r="C37" i="14"/>
  <c r="A37" i="14" s="1"/>
  <c r="E35" i="14"/>
  <c r="G33" i="14"/>
  <c r="D30" i="14"/>
  <c r="F28" i="14"/>
  <c r="H26" i="14"/>
  <c r="C25" i="14"/>
  <c r="A25" i="14" s="1"/>
  <c r="E23" i="14"/>
  <c r="G38" i="14"/>
  <c r="D35" i="14"/>
  <c r="F33" i="14"/>
  <c r="H31" i="14"/>
  <c r="C30" i="14"/>
  <c r="A30" i="14" s="1"/>
  <c r="E28" i="14"/>
  <c r="G26" i="14"/>
  <c r="D23" i="14"/>
  <c r="F21" i="14"/>
  <c r="H19" i="14"/>
  <c r="C18" i="14"/>
  <c r="A18" i="14" s="1"/>
  <c r="E16" i="14"/>
  <c r="G14" i="14"/>
  <c r="D11" i="14"/>
  <c r="F9" i="14"/>
  <c r="H7" i="14"/>
  <c r="C6" i="14"/>
  <c r="A6" i="14" s="1"/>
  <c r="E4" i="14"/>
  <c r="F38" i="14"/>
  <c r="H36" i="14"/>
  <c r="C35" i="14"/>
  <c r="A35" i="14" s="1"/>
  <c r="E33" i="14"/>
  <c r="G31" i="14"/>
  <c r="D28" i="14"/>
  <c r="F26" i="14"/>
  <c r="H24" i="14"/>
  <c r="C23" i="14"/>
  <c r="A23" i="14" s="1"/>
  <c r="E21" i="14"/>
  <c r="G19" i="14"/>
  <c r="D16" i="14"/>
  <c r="F14" i="14"/>
  <c r="H12" i="14"/>
  <c r="C11" i="14"/>
  <c r="A11" i="14" s="1"/>
  <c r="E9" i="14"/>
  <c r="G7" i="14"/>
  <c r="D4" i="14"/>
  <c r="E38" i="14"/>
  <c r="G36" i="14"/>
  <c r="D33" i="14"/>
  <c r="F31" i="14"/>
  <c r="H29" i="14"/>
  <c r="C28" i="14"/>
  <c r="A28" i="14" s="1"/>
  <c r="D38" i="14"/>
  <c r="F36" i="14"/>
  <c r="H34" i="14"/>
  <c r="C33" i="14"/>
  <c r="A33" i="14" s="1"/>
  <c r="E31" i="14"/>
  <c r="G29" i="14"/>
  <c r="D26" i="14"/>
  <c r="F24" i="14"/>
  <c r="H22" i="14"/>
  <c r="C21" i="14"/>
  <c r="A21" i="14" s="1"/>
  <c r="E19" i="14"/>
  <c r="G17" i="14"/>
  <c r="D14" i="14"/>
  <c r="F12" i="14"/>
  <c r="H10" i="14"/>
  <c r="C9" i="14"/>
  <c r="A9" i="14" s="1"/>
  <c r="E7" i="14"/>
  <c r="G5" i="14"/>
  <c r="G20" i="14"/>
  <c r="F15" i="14"/>
  <c r="E10" i="14"/>
  <c r="D5" i="14"/>
  <c r="F3" i="14"/>
  <c r="E26" i="14"/>
  <c r="E3" i="14"/>
  <c r="H17" i="14"/>
  <c r="G12" i="14"/>
  <c r="F7" i="14"/>
  <c r="E22" i="14"/>
  <c r="D17" i="14"/>
  <c r="C12" i="14"/>
  <c r="A12" i="14" s="1"/>
  <c r="H25" i="14"/>
  <c r="H14" i="14"/>
  <c r="G9" i="14"/>
  <c r="F19" i="14"/>
  <c r="E14" i="14"/>
  <c r="D9" i="14"/>
  <c r="F4" i="14"/>
  <c r="C4" i="14"/>
  <c r="A4" i="14" s="1"/>
  <c r="G24" i="14"/>
  <c r="G21" i="14"/>
  <c r="F16" i="14"/>
  <c r="E11" i="14"/>
  <c r="D6" i="14"/>
  <c r="C24" i="14"/>
  <c r="A24" i="14" s="1"/>
  <c r="D21" i="14"/>
  <c r="C16" i="14"/>
  <c r="A16" i="14" s="1"/>
  <c r="H13" i="14"/>
  <c r="G8" i="14"/>
  <c r="D18" i="14"/>
  <c r="C13" i="14"/>
  <c r="A13" i="14" s="1"/>
  <c r="H5" i="14"/>
  <c r="G3" i="14"/>
  <c r="AD38" i="11"/>
  <c r="R38" i="11"/>
  <c r="F38" i="11"/>
  <c r="Y37" i="11"/>
  <c r="M37" i="11"/>
  <c r="T36" i="11"/>
  <c r="H36" i="11"/>
  <c r="AA35" i="11"/>
  <c r="O35" i="11"/>
  <c r="C35" i="11"/>
  <c r="V34" i="11"/>
  <c r="J34" i="11"/>
  <c r="AC33" i="11"/>
  <c r="Q33" i="11"/>
  <c r="E33" i="11"/>
  <c r="X32" i="11"/>
  <c r="AC38" i="11"/>
  <c r="Q38" i="11"/>
  <c r="E38" i="11"/>
  <c r="X37" i="11"/>
  <c r="L37" i="11"/>
  <c r="AE36" i="11"/>
  <c r="S36" i="11"/>
  <c r="G36" i="11"/>
  <c r="Z35" i="11"/>
  <c r="N35" i="11"/>
  <c r="B35" i="11"/>
  <c r="U34" i="11"/>
  <c r="I34" i="11"/>
  <c r="AB33" i="11"/>
  <c r="P33" i="11"/>
  <c r="D33" i="11"/>
  <c r="W32" i="11"/>
  <c r="K32" i="11"/>
  <c r="AD31" i="11"/>
  <c r="R31" i="11"/>
  <c r="F31" i="11"/>
  <c r="AB38" i="11"/>
  <c r="P38" i="11"/>
  <c r="D38" i="11"/>
  <c r="W37" i="11"/>
  <c r="K37" i="11"/>
  <c r="AD36" i="11"/>
  <c r="R36" i="11"/>
  <c r="F36" i="11"/>
  <c r="Y35" i="11"/>
  <c r="M35" i="11"/>
  <c r="T34" i="11"/>
  <c r="H34" i="11"/>
  <c r="AA33" i="11"/>
  <c r="O33" i="11"/>
  <c r="C33" i="11"/>
  <c r="V32" i="11"/>
  <c r="AA38" i="11"/>
  <c r="O38" i="11"/>
  <c r="C38" i="11"/>
  <c r="N38" i="11"/>
  <c r="AC37" i="11"/>
  <c r="N37" i="11"/>
  <c r="AA36" i="11"/>
  <c r="L36" i="11"/>
  <c r="AB35" i="11"/>
  <c r="J35" i="11"/>
  <c r="Z34" i="11"/>
  <c r="K34" i="11"/>
  <c r="X33" i="11"/>
  <c r="I33" i="11"/>
  <c r="Y32" i="11"/>
  <c r="I32" i="11"/>
  <c r="AA31" i="11"/>
  <c r="N31" i="11"/>
  <c r="T30" i="11"/>
  <c r="H30" i="11"/>
  <c r="AA29" i="11"/>
  <c r="O29" i="11"/>
  <c r="C29" i="11"/>
  <c r="V28" i="11"/>
  <c r="J28" i="11"/>
  <c r="AC27" i="11"/>
  <c r="Q27" i="11"/>
  <c r="E27" i="11"/>
  <c r="X26" i="11"/>
  <c r="L26" i="11"/>
  <c r="AE25" i="11"/>
  <c r="S25" i="11"/>
  <c r="G25" i="11"/>
  <c r="Z24" i="11"/>
  <c r="N24" i="11"/>
  <c r="B24" i="11"/>
  <c r="U23" i="11"/>
  <c r="I23" i="11"/>
  <c r="AB22" i="11"/>
  <c r="P22" i="11"/>
  <c r="D22" i="11"/>
  <c r="W21" i="11"/>
  <c r="K21" i="11"/>
  <c r="M38" i="11"/>
  <c r="AB37" i="11"/>
  <c r="J37" i="11"/>
  <c r="Z36" i="11"/>
  <c r="K36" i="11"/>
  <c r="X35" i="11"/>
  <c r="I35" i="11"/>
  <c r="Y34" i="11"/>
  <c r="G34" i="11"/>
  <c r="W33" i="11"/>
  <c r="H33" i="11"/>
  <c r="U32" i="11"/>
  <c r="H32" i="11"/>
  <c r="Z31" i="11"/>
  <c r="M31" i="11"/>
  <c r="AE30" i="11"/>
  <c r="S30" i="11"/>
  <c r="G30" i="11"/>
  <c r="Z29" i="11"/>
  <c r="N29" i="11"/>
  <c r="B29" i="11"/>
  <c r="U28" i="11"/>
  <c r="I28" i="11"/>
  <c r="AB27" i="11"/>
  <c r="P27" i="11"/>
  <c r="D27" i="11"/>
  <c r="W26" i="11"/>
  <c r="K26" i="11"/>
  <c r="AD25" i="11"/>
  <c r="R25" i="11"/>
  <c r="F25" i="11"/>
  <c r="Y24" i="11"/>
  <c r="M24" i="11"/>
  <c r="T23" i="11"/>
  <c r="H23" i="11"/>
  <c r="AA22" i="11"/>
  <c r="O22" i="11"/>
  <c r="AE38" i="11"/>
  <c r="K38" i="11"/>
  <c r="Z37" i="11"/>
  <c r="H37" i="11"/>
  <c r="X36" i="11"/>
  <c r="I36" i="11"/>
  <c r="V35" i="11"/>
  <c r="G35" i="11"/>
  <c r="W34" i="11"/>
  <c r="E34" i="11"/>
  <c r="U33" i="11"/>
  <c r="F33" i="11"/>
  <c r="S32" i="11"/>
  <c r="F32" i="11"/>
  <c r="X31" i="11"/>
  <c r="K31" i="11"/>
  <c r="AC30" i="11"/>
  <c r="Q30" i="11"/>
  <c r="E30" i="11"/>
  <c r="X29" i="11"/>
  <c r="L29" i="11"/>
  <c r="AE28" i="11"/>
  <c r="S28" i="11"/>
  <c r="G28" i="11"/>
  <c r="Z27" i="11"/>
  <c r="N27" i="11"/>
  <c r="B27" i="11"/>
  <c r="U26" i="11"/>
  <c r="I26" i="11"/>
  <c r="AB25" i="11"/>
  <c r="P25" i="11"/>
  <c r="D25" i="11"/>
  <c r="W24" i="11"/>
  <c r="K24" i="11"/>
  <c r="AD23" i="11"/>
  <c r="R23" i="11"/>
  <c r="F23" i="11"/>
  <c r="Y22" i="11"/>
  <c r="M22" i="11"/>
  <c r="T21" i="11"/>
  <c r="H21" i="11"/>
  <c r="AA20" i="11"/>
  <c r="O20" i="11"/>
  <c r="C20" i="11"/>
  <c r="V19" i="11"/>
  <c r="J19" i="11"/>
  <c r="AC18" i="11"/>
  <c r="Q18" i="11"/>
  <c r="E18" i="11"/>
  <c r="X17" i="11"/>
  <c r="L17" i="11"/>
  <c r="AE16" i="11"/>
  <c r="S16" i="11"/>
  <c r="G16" i="11"/>
  <c r="Z15" i="11"/>
  <c r="N15" i="11"/>
  <c r="B15" i="11"/>
  <c r="U14" i="11"/>
  <c r="I14" i="11"/>
  <c r="AB13" i="11"/>
  <c r="P13" i="11"/>
  <c r="D13" i="11"/>
  <c r="W12" i="11"/>
  <c r="K12" i="11"/>
  <c r="Z38" i="11"/>
  <c r="J38" i="11"/>
  <c r="V37" i="11"/>
  <c r="G37" i="11"/>
  <c r="W36" i="11"/>
  <c r="E36" i="11"/>
  <c r="U35" i="11"/>
  <c r="F35" i="11"/>
  <c r="S34" i="11"/>
  <c r="D34" i="11"/>
  <c r="T33" i="11"/>
  <c r="B33" i="11"/>
  <c r="R32" i="11"/>
  <c r="E32" i="11"/>
  <c r="W31" i="11"/>
  <c r="J31" i="11"/>
  <c r="AB30" i="11"/>
  <c r="P30" i="11"/>
  <c r="D30" i="11"/>
  <c r="W29" i="11"/>
  <c r="K29" i="11"/>
  <c r="AD28" i="11"/>
  <c r="R28" i="11"/>
  <c r="F28" i="11"/>
  <c r="Y27" i="11"/>
  <c r="M27" i="11"/>
  <c r="T26" i="11"/>
  <c r="H26" i="11"/>
  <c r="AA25" i="11"/>
  <c r="O25" i="11"/>
  <c r="C25" i="11"/>
  <c r="V24" i="11"/>
  <c r="J24" i="11"/>
  <c r="AC23" i="11"/>
  <c r="Q23" i="11"/>
  <c r="E23" i="11"/>
  <c r="X22" i="11"/>
  <c r="L22" i="11"/>
  <c r="AE21" i="11"/>
  <c r="S21" i="11"/>
  <c r="G21" i="11"/>
  <c r="Z20" i="11"/>
  <c r="N20" i="11"/>
  <c r="B20" i="11"/>
  <c r="U19" i="11"/>
  <c r="I19" i="11"/>
  <c r="AB18" i="11"/>
  <c r="P18" i="11"/>
  <c r="D18" i="11"/>
  <c r="W17" i="11"/>
  <c r="K17" i="11"/>
  <c r="AD16" i="11"/>
  <c r="R16" i="11"/>
  <c r="F16" i="11"/>
  <c r="Y15" i="11"/>
  <c r="M15" i="11"/>
  <c r="T14" i="11"/>
  <c r="H14" i="11"/>
  <c r="AA13" i="11"/>
  <c r="O13" i="11"/>
  <c r="C13" i="11"/>
  <c r="V12" i="11"/>
  <c r="J12" i="11"/>
  <c r="AC11" i="11"/>
  <c r="Q11" i="11"/>
  <c r="E11" i="11"/>
  <c r="X10" i="11"/>
  <c r="L10" i="11"/>
  <c r="AE9" i="11"/>
  <c r="S9" i="11"/>
  <c r="G9" i="11"/>
  <c r="Z8" i="11"/>
  <c r="N8" i="11"/>
  <c r="B8" i="11"/>
  <c r="U7" i="11"/>
  <c r="I7" i="11"/>
  <c r="AB6" i="11"/>
  <c r="P6" i="11"/>
  <c r="D6" i="11"/>
  <c r="W5" i="11"/>
  <c r="K5" i="11"/>
  <c r="AD4" i="11"/>
  <c r="R4" i="11"/>
  <c r="F4" i="11"/>
  <c r="Y3" i="11"/>
  <c r="M3" i="11"/>
  <c r="T2" i="11"/>
  <c r="H2" i="11"/>
  <c r="Y38" i="11"/>
  <c r="I38" i="11"/>
  <c r="U37" i="11"/>
  <c r="F37" i="11"/>
  <c r="V36" i="11"/>
  <c r="D36" i="11"/>
  <c r="T35" i="11"/>
  <c r="E35" i="11"/>
  <c r="R34" i="11"/>
  <c r="C34" i="11"/>
  <c r="S33" i="11"/>
  <c r="Q32" i="11"/>
  <c r="D32" i="11"/>
  <c r="V31" i="11"/>
  <c r="I31" i="11"/>
  <c r="AA30" i="11"/>
  <c r="O30" i="11"/>
  <c r="C30" i="11"/>
  <c r="V29" i="11"/>
  <c r="J29" i="11"/>
  <c r="AC28" i="11"/>
  <c r="Q28" i="11"/>
  <c r="E28" i="11"/>
  <c r="X27" i="11"/>
  <c r="L27" i="11"/>
  <c r="AE26" i="11"/>
  <c r="S26" i="11"/>
  <c r="G26" i="11"/>
  <c r="Z25" i="11"/>
  <c r="N25" i="11"/>
  <c r="B25" i="11"/>
  <c r="U24" i="11"/>
  <c r="I24" i="11"/>
  <c r="AB23" i="11"/>
  <c r="P23" i="11"/>
  <c r="D23" i="11"/>
  <c r="W22" i="11"/>
  <c r="K22" i="11"/>
  <c r="AD21" i="11"/>
  <c r="R21" i="11"/>
  <c r="F21" i="11"/>
  <c r="Y20" i="11"/>
  <c r="M20" i="11"/>
  <c r="T19" i="11"/>
  <c r="H19" i="11"/>
  <c r="AA18" i="11"/>
  <c r="O18" i="11"/>
  <c r="C18" i="11"/>
  <c r="V17" i="11"/>
  <c r="J17" i="11"/>
  <c r="AC16" i="11"/>
  <c r="Q16" i="11"/>
  <c r="E16" i="11"/>
  <c r="X15" i="11"/>
  <c r="L15" i="11"/>
  <c r="AE14" i="11"/>
  <c r="S14" i="11"/>
  <c r="G14" i="11"/>
  <c r="Z13" i="11"/>
  <c r="N13" i="11"/>
  <c r="B13" i="11"/>
  <c r="U12" i="11"/>
  <c r="I12" i="11"/>
  <c r="AB11" i="11"/>
  <c r="P11" i="11"/>
  <c r="D11" i="11"/>
  <c r="W10" i="11"/>
  <c r="K10" i="11"/>
  <c r="AD9" i="11"/>
  <c r="R9" i="11"/>
  <c r="F9" i="11"/>
  <c r="Y8" i="11"/>
  <c r="M8" i="11"/>
  <c r="T7" i="11"/>
  <c r="H7" i="11"/>
  <c r="AA6" i="11"/>
  <c r="O6" i="11"/>
  <c r="C6" i="11"/>
  <c r="V5" i="11"/>
  <c r="J5" i="11"/>
  <c r="AC4" i="11"/>
  <c r="Q4" i="11"/>
  <c r="E4" i="11"/>
  <c r="X3" i="11"/>
  <c r="L3" i="11"/>
  <c r="AE2" i="11"/>
  <c r="S2" i="11"/>
  <c r="G2" i="11"/>
  <c r="X38" i="11"/>
  <c r="H38" i="11"/>
  <c r="T37" i="11"/>
  <c r="E37" i="11"/>
  <c r="U36" i="11"/>
  <c r="C36" i="11"/>
  <c r="S35" i="11"/>
  <c r="D35" i="11"/>
  <c r="Q34" i="11"/>
  <c r="B34" i="11"/>
  <c r="R33" i="11"/>
  <c r="AE32" i="11"/>
  <c r="P32" i="11"/>
  <c r="C32" i="11"/>
  <c r="U31" i="11"/>
  <c r="H31" i="11"/>
  <c r="Z30" i="11"/>
  <c r="N30" i="11"/>
  <c r="B30" i="11"/>
  <c r="U29" i="11"/>
  <c r="I29" i="11"/>
  <c r="AB28" i="11"/>
  <c r="P28" i="11"/>
  <c r="D28" i="11"/>
  <c r="W27" i="11"/>
  <c r="K27" i="11"/>
  <c r="AD26" i="11"/>
  <c r="R26" i="11"/>
  <c r="F26" i="11"/>
  <c r="Y25" i="11"/>
  <c r="M25" i="11"/>
  <c r="T24" i="11"/>
  <c r="H24" i="11"/>
  <c r="AA23" i="11"/>
  <c r="O23" i="11"/>
  <c r="C23" i="11"/>
  <c r="V22" i="11"/>
  <c r="J22" i="11"/>
  <c r="AC21" i="11"/>
  <c r="Q21" i="11"/>
  <c r="E21" i="11"/>
  <c r="X20" i="11"/>
  <c r="L20" i="11"/>
  <c r="AE19" i="11"/>
  <c r="S19" i="11"/>
  <c r="G19" i="11"/>
  <c r="Z18" i="11"/>
  <c r="N18" i="11"/>
  <c r="B18" i="11"/>
  <c r="U17" i="11"/>
  <c r="I17" i="11"/>
  <c r="AB16" i="11"/>
  <c r="P16" i="11"/>
  <c r="D16" i="11"/>
  <c r="W15" i="11"/>
  <c r="K15" i="11"/>
  <c r="AD14" i="11"/>
  <c r="R14" i="11"/>
  <c r="F14" i="11"/>
  <c r="Y13" i="11"/>
  <c r="M13" i="11"/>
  <c r="T12" i="11"/>
  <c r="H12" i="11"/>
  <c r="AA11" i="11"/>
  <c r="O11" i="11"/>
  <c r="C11" i="11"/>
  <c r="V10" i="11"/>
  <c r="J10" i="11"/>
  <c r="AC9" i="11"/>
  <c r="Q9" i="11"/>
  <c r="E9" i="11"/>
  <c r="X8" i="11"/>
  <c r="L8" i="11"/>
  <c r="AE7" i="11"/>
  <c r="S7" i="11"/>
  <c r="G7" i="11"/>
  <c r="Z6" i="11"/>
  <c r="N6" i="11"/>
  <c r="B6" i="11"/>
  <c r="U5" i="11"/>
  <c r="I5" i="11"/>
  <c r="AB4" i="11"/>
  <c r="P4" i="11"/>
  <c r="D4" i="11"/>
  <c r="W3" i="11"/>
  <c r="K3" i="11"/>
  <c r="AD2" i="11"/>
  <c r="R2" i="11"/>
  <c r="F2" i="11"/>
  <c r="W38" i="11"/>
  <c r="G38" i="11"/>
  <c r="S37" i="11"/>
  <c r="D37" i="11"/>
  <c r="Q36" i="11"/>
  <c r="B36" i="11"/>
  <c r="R35" i="11"/>
  <c r="AE34" i="11"/>
  <c r="P34" i="11"/>
  <c r="N33" i="11"/>
  <c r="AD32" i="11"/>
  <c r="O32" i="11"/>
  <c r="B32" i="11"/>
  <c r="T31" i="11"/>
  <c r="G31" i="11"/>
  <c r="Y30" i="11"/>
  <c r="M30" i="11"/>
  <c r="T29" i="11"/>
  <c r="H29" i="11"/>
  <c r="AA28" i="11"/>
  <c r="O28" i="11"/>
  <c r="C28" i="11"/>
  <c r="V27" i="11"/>
  <c r="J27" i="11"/>
  <c r="AC26" i="11"/>
  <c r="Q26" i="11"/>
  <c r="E26" i="11"/>
  <c r="X25" i="11"/>
  <c r="L25" i="11"/>
  <c r="AE24" i="11"/>
  <c r="S24" i="11"/>
  <c r="G24" i="11"/>
  <c r="Z23" i="11"/>
  <c r="N23" i="11"/>
  <c r="B23" i="11"/>
  <c r="U22" i="11"/>
  <c r="I22" i="11"/>
  <c r="AB21" i="11"/>
  <c r="P21" i="11"/>
  <c r="D21" i="11"/>
  <c r="W20" i="11"/>
  <c r="K20" i="11"/>
  <c r="AD19" i="11"/>
  <c r="R19" i="11"/>
  <c r="F19" i="11"/>
  <c r="Y18" i="11"/>
  <c r="M18" i="11"/>
  <c r="T17" i="11"/>
  <c r="H17" i="11"/>
  <c r="AA16" i="11"/>
  <c r="O16" i="11"/>
  <c r="C16" i="11"/>
  <c r="V15" i="11"/>
  <c r="J15" i="11"/>
  <c r="AC14" i="11"/>
  <c r="Q14" i="11"/>
  <c r="E14" i="11"/>
  <c r="X13" i="11"/>
  <c r="L13" i="11"/>
  <c r="AE12" i="11"/>
  <c r="S12" i="11"/>
  <c r="G12" i="11"/>
  <c r="Z11" i="11"/>
  <c r="N11" i="11"/>
  <c r="B11" i="11"/>
  <c r="U10" i="11"/>
  <c r="I10" i="11"/>
  <c r="AB9" i="11"/>
  <c r="P9" i="11"/>
  <c r="D9" i="11"/>
  <c r="W8" i="11"/>
  <c r="K8" i="11"/>
  <c r="AD7" i="11"/>
  <c r="R7" i="11"/>
  <c r="F7" i="11"/>
  <c r="Y6" i="11"/>
  <c r="M6" i="11"/>
  <c r="T5" i="11"/>
  <c r="H5" i="11"/>
  <c r="AA4" i="11"/>
  <c r="O4" i="11"/>
  <c r="C4" i="11"/>
  <c r="V3" i="11"/>
  <c r="J3" i="11"/>
  <c r="AC2" i="11"/>
  <c r="Q2" i="11"/>
  <c r="E2" i="11"/>
  <c r="G37" i="8"/>
  <c r="V38" i="11"/>
  <c r="B38" i="11"/>
  <c r="R37" i="11"/>
  <c r="C37" i="11"/>
  <c r="P36" i="11"/>
  <c r="Q35" i="11"/>
  <c r="AD34" i="11"/>
  <c r="O34" i="11"/>
  <c r="AE33" i="11"/>
  <c r="M33" i="11"/>
  <c r="AC32" i="11"/>
  <c r="N32" i="11"/>
  <c r="S31" i="11"/>
  <c r="E31" i="11"/>
  <c r="X30" i="11"/>
  <c r="L30" i="11"/>
  <c r="AE29" i="11"/>
  <c r="S29" i="11"/>
  <c r="G29" i="11"/>
  <c r="Z28" i="11"/>
  <c r="N28" i="11"/>
  <c r="B28" i="11"/>
  <c r="U27" i="11"/>
  <c r="I27" i="11"/>
  <c r="AB26" i="11"/>
  <c r="P26" i="11"/>
  <c r="D26" i="11"/>
  <c r="W25" i="11"/>
  <c r="K25" i="11"/>
  <c r="AD24" i="11"/>
  <c r="R24" i="11"/>
  <c r="F24" i="11"/>
  <c r="Y23" i="11"/>
  <c r="M23" i="11"/>
  <c r="T22" i="11"/>
  <c r="H22" i="11"/>
  <c r="AA21" i="11"/>
  <c r="O21" i="11"/>
  <c r="C21" i="11"/>
  <c r="V20" i="11"/>
  <c r="J20" i="11"/>
  <c r="AC19" i="11"/>
  <c r="Q19" i="11"/>
  <c r="E19" i="11"/>
  <c r="X18" i="11"/>
  <c r="L18" i="11"/>
  <c r="AE17" i="11"/>
  <c r="S17" i="11"/>
  <c r="G17" i="11"/>
  <c r="Z16" i="11"/>
  <c r="N16" i="11"/>
  <c r="B16" i="11"/>
  <c r="U15" i="11"/>
  <c r="I15" i="11"/>
  <c r="AB14" i="11"/>
  <c r="P14" i="11"/>
  <c r="D14" i="11"/>
  <c r="W13" i="11"/>
  <c r="K13" i="11"/>
  <c r="U38" i="11"/>
  <c r="Q37" i="11"/>
  <c r="B37" i="11"/>
  <c r="O36" i="11"/>
  <c r="AE35" i="11"/>
  <c r="P35" i="11"/>
  <c r="AC34" i="11"/>
  <c r="N34" i="11"/>
  <c r="AD33" i="11"/>
  <c r="L33" i="11"/>
  <c r="AB32" i="11"/>
  <c r="M32" i="11"/>
  <c r="AE31" i="11"/>
  <c r="Q31" i="11"/>
  <c r="D31" i="11"/>
  <c r="W30" i="11"/>
  <c r="K30" i="11"/>
  <c r="AD29" i="11"/>
  <c r="R29" i="11"/>
  <c r="F29" i="11"/>
  <c r="Y28" i="11"/>
  <c r="M28" i="11"/>
  <c r="T27" i="11"/>
  <c r="H27" i="11"/>
  <c r="AA26" i="11"/>
  <c r="O26" i="11"/>
  <c r="C26" i="11"/>
  <c r="V25" i="11"/>
  <c r="J25" i="11"/>
  <c r="AC24" i="11"/>
  <c r="Q24" i="11"/>
  <c r="E24" i="11"/>
  <c r="X23" i="11"/>
  <c r="L23" i="11"/>
  <c r="AE22" i="11"/>
  <c r="S22" i="11"/>
  <c r="G22" i="11"/>
  <c r="Z21" i="11"/>
  <c r="N21" i="11"/>
  <c r="B21" i="11"/>
  <c r="U20" i="11"/>
  <c r="I20" i="11"/>
  <c r="AB19" i="11"/>
  <c r="P19" i="11"/>
  <c r="D19" i="11"/>
  <c r="W18" i="11"/>
  <c r="K18" i="11"/>
  <c r="AD17" i="11"/>
  <c r="R17" i="11"/>
  <c r="F17" i="11"/>
  <c r="Y16" i="11"/>
  <c r="M16" i="11"/>
  <c r="T15" i="11"/>
  <c r="H15" i="11"/>
  <c r="AA14" i="11"/>
  <c r="O14" i="11"/>
  <c r="C14" i="11"/>
  <c r="V13" i="11"/>
  <c r="J13" i="11"/>
  <c r="AC12" i="11"/>
  <c r="T38" i="11"/>
  <c r="AE37" i="11"/>
  <c r="P37" i="11"/>
  <c r="AC36" i="11"/>
  <c r="N36" i="11"/>
  <c r="AD35" i="11"/>
  <c r="L35" i="11"/>
  <c r="AB34" i="11"/>
  <c r="M34" i="11"/>
  <c r="I37" i="11"/>
  <c r="F34" i="11"/>
  <c r="G32" i="11"/>
  <c r="R30" i="11"/>
  <c r="O27" i="11"/>
  <c r="AC25" i="11"/>
  <c r="L24" i="11"/>
  <c r="Z22" i="11"/>
  <c r="M21" i="11"/>
  <c r="Q20" i="11"/>
  <c r="O19" i="11"/>
  <c r="T18" i="11"/>
  <c r="Y17" i="11"/>
  <c r="W16" i="11"/>
  <c r="AB15" i="11"/>
  <c r="Z14" i="11"/>
  <c r="AE13" i="11"/>
  <c r="E13" i="11"/>
  <c r="M12" i="11"/>
  <c r="W11" i="11"/>
  <c r="G11" i="11"/>
  <c r="R10" i="11"/>
  <c r="B10" i="11"/>
  <c r="M9" i="11"/>
  <c r="AB8" i="11"/>
  <c r="H8" i="11"/>
  <c r="W7" i="11"/>
  <c r="C7" i="11"/>
  <c r="R6" i="11"/>
  <c r="AC5" i="11"/>
  <c r="M5" i="11"/>
  <c r="X4" i="11"/>
  <c r="H4" i="11"/>
  <c r="S3" i="11"/>
  <c r="C3" i="11"/>
  <c r="N2" i="11"/>
  <c r="B38" i="8"/>
  <c r="E36" i="8"/>
  <c r="I34" i="8"/>
  <c r="E33" i="8"/>
  <c r="I31" i="8"/>
  <c r="E30" i="8"/>
  <c r="I28" i="8"/>
  <c r="AB36" i="11"/>
  <c r="Z33" i="11"/>
  <c r="AC31" i="11"/>
  <c r="J30" i="11"/>
  <c r="X28" i="11"/>
  <c r="G27" i="11"/>
  <c r="U25" i="11"/>
  <c r="D24" i="11"/>
  <c r="R22" i="11"/>
  <c r="L21" i="11"/>
  <c r="P20" i="11"/>
  <c r="N19" i="11"/>
  <c r="S18" i="11"/>
  <c r="Q17" i="11"/>
  <c r="V16" i="11"/>
  <c r="AA15" i="11"/>
  <c r="Y14" i="11"/>
  <c r="AD13" i="11"/>
  <c r="AD12" i="11"/>
  <c r="L12" i="11"/>
  <c r="V11" i="11"/>
  <c r="F11" i="11"/>
  <c r="Q10" i="11"/>
  <c r="L9" i="11"/>
  <c r="AA8" i="11"/>
  <c r="G8" i="11"/>
  <c r="V7" i="11"/>
  <c r="B7" i="11"/>
  <c r="Q6" i="11"/>
  <c r="AB5" i="11"/>
  <c r="L5" i="11"/>
  <c r="W4" i="11"/>
  <c r="G4" i="11"/>
  <c r="R3" i="11"/>
  <c r="B3" i="11"/>
  <c r="M2" i="11"/>
  <c r="I37" i="8"/>
  <c r="D36" i="8"/>
  <c r="H34" i="8"/>
  <c r="D33" i="8"/>
  <c r="H31" i="8"/>
  <c r="D30" i="8"/>
  <c r="H28" i="8"/>
  <c r="D27" i="8"/>
  <c r="Y36" i="11"/>
  <c r="Y33" i="11"/>
  <c r="AB31" i="11"/>
  <c r="I30" i="11"/>
  <c r="W28" i="11"/>
  <c r="F27" i="11"/>
  <c r="T25" i="11"/>
  <c r="C24" i="11"/>
  <c r="Q22" i="11"/>
  <c r="J21" i="11"/>
  <c r="H20" i="11"/>
  <c r="M19" i="11"/>
  <c r="R18" i="11"/>
  <c r="P17" i="11"/>
  <c r="U16" i="11"/>
  <c r="S15" i="11"/>
  <c r="X14" i="11"/>
  <c r="AC13" i="11"/>
  <c r="AB12" i="11"/>
  <c r="F12" i="11"/>
  <c r="U11" i="11"/>
  <c r="P10" i="11"/>
  <c r="AA9" i="11"/>
  <c r="K9" i="11"/>
  <c r="V8" i="11"/>
  <c r="F8" i="11"/>
  <c r="Q7" i="11"/>
  <c r="L6" i="11"/>
  <c r="AA5" i="11"/>
  <c r="G5" i="11"/>
  <c r="V4" i="11"/>
  <c r="B4" i="11"/>
  <c r="Q3" i="11"/>
  <c r="AB2" i="11"/>
  <c r="L2" i="11"/>
  <c r="H37" i="8"/>
  <c r="C36" i="8"/>
  <c r="G34" i="8"/>
  <c r="C33" i="8"/>
  <c r="G31" i="8"/>
  <c r="C30" i="8"/>
  <c r="G28" i="8"/>
  <c r="C27" i="8"/>
  <c r="G25" i="8"/>
  <c r="C24" i="8"/>
  <c r="M36" i="11"/>
  <c r="V33" i="11"/>
  <c r="Y31" i="11"/>
  <c r="F30" i="11"/>
  <c r="T28" i="11"/>
  <c r="C27" i="11"/>
  <c r="Q25" i="11"/>
  <c r="AE23" i="11"/>
  <c r="N22" i="11"/>
  <c r="I21" i="11"/>
  <c r="G20" i="11"/>
  <c r="L19" i="11"/>
  <c r="J18" i="11"/>
  <c r="O17" i="11"/>
  <c r="T16" i="11"/>
  <c r="R15" i="11"/>
  <c r="W14" i="11"/>
  <c r="U13" i="11"/>
  <c r="AA12" i="11"/>
  <c r="E12" i="11"/>
  <c r="T11" i="11"/>
  <c r="AE10" i="11"/>
  <c r="O10" i="11"/>
  <c r="Z9" i="11"/>
  <c r="J9" i="11"/>
  <c r="U8" i="11"/>
  <c r="E8" i="11"/>
  <c r="P7" i="11"/>
  <c r="AE6" i="11"/>
  <c r="K6" i="11"/>
  <c r="Z5" i="11"/>
  <c r="F5" i="11"/>
  <c r="U4" i="11"/>
  <c r="P3" i="11"/>
  <c r="AA2" i="11"/>
  <c r="K2" i="11"/>
  <c r="F37" i="8"/>
  <c r="B36" i="8"/>
  <c r="F34" i="8"/>
  <c r="B33" i="8"/>
  <c r="J36" i="11"/>
  <c r="K33" i="11"/>
  <c r="P31" i="11"/>
  <c r="AC29" i="11"/>
  <c r="L28" i="11"/>
  <c r="Z26" i="11"/>
  <c r="I25" i="11"/>
  <c r="W23" i="11"/>
  <c r="F22" i="11"/>
  <c r="F20" i="11"/>
  <c r="K19" i="11"/>
  <c r="I18" i="11"/>
  <c r="N17" i="11"/>
  <c r="L16" i="11"/>
  <c r="Q15" i="11"/>
  <c r="V14" i="11"/>
  <c r="T13" i="11"/>
  <c r="Z12" i="11"/>
  <c r="D12" i="11"/>
  <c r="S11" i="11"/>
  <c r="AD10" i="11"/>
  <c r="N10" i="11"/>
  <c r="Y9" i="11"/>
  <c r="I9" i="11"/>
  <c r="T8" i="11"/>
  <c r="D8" i="11"/>
  <c r="O7" i="11"/>
  <c r="AD6" i="11"/>
  <c r="J6" i="11"/>
  <c r="Y5" i="11"/>
  <c r="E5" i="11"/>
  <c r="T4" i="11"/>
  <c r="AE3" i="11"/>
  <c r="O3" i="11"/>
  <c r="Z2" i="11"/>
  <c r="J2" i="11"/>
  <c r="E37" i="8"/>
  <c r="I35" i="8"/>
  <c r="E34" i="8"/>
  <c r="I32" i="8"/>
  <c r="E31" i="8"/>
  <c r="I29" i="8"/>
  <c r="E28" i="8"/>
  <c r="I26" i="8"/>
  <c r="E25" i="8"/>
  <c r="I23" i="8"/>
  <c r="E22" i="8"/>
  <c r="I20" i="8"/>
  <c r="E19" i="8"/>
  <c r="I17" i="8"/>
  <c r="E16" i="8"/>
  <c r="I14" i="8"/>
  <c r="E13" i="8"/>
  <c r="I11" i="8"/>
  <c r="E10" i="8"/>
  <c r="I8" i="8"/>
  <c r="E7" i="8"/>
  <c r="I5" i="8"/>
  <c r="E4" i="8"/>
  <c r="I2" i="8"/>
  <c r="B17" i="6"/>
  <c r="AC35" i="11"/>
  <c r="J33" i="11"/>
  <c r="O31" i="11"/>
  <c r="AB29" i="11"/>
  <c r="K28" i="11"/>
  <c r="Y26" i="11"/>
  <c r="H25" i="11"/>
  <c r="V23" i="11"/>
  <c r="E22" i="11"/>
  <c r="AE20" i="11"/>
  <c r="E20" i="11"/>
  <c r="C19" i="11"/>
  <c r="H18" i="11"/>
  <c r="M17" i="11"/>
  <c r="K16" i="11"/>
  <c r="P15" i="11"/>
  <c r="N14" i="11"/>
  <c r="S13" i="11"/>
  <c r="Y12" i="11"/>
  <c r="C12" i="11"/>
  <c r="R11" i="11"/>
  <c r="AC10" i="11"/>
  <c r="M10" i="11"/>
  <c r="X9" i="11"/>
  <c r="H9" i="11"/>
  <c r="S8" i="11"/>
  <c r="C8" i="11"/>
  <c r="N7" i="11"/>
  <c r="AC6" i="11"/>
  <c r="I6" i="11"/>
  <c r="X5" i="11"/>
  <c r="D5" i="11"/>
  <c r="S4" i="11"/>
  <c r="AD3" i="11"/>
  <c r="N3" i="11"/>
  <c r="Y2" i="11"/>
  <c r="I2" i="11"/>
  <c r="I38" i="8"/>
  <c r="D37" i="8"/>
  <c r="H35" i="8"/>
  <c r="D34" i="8"/>
  <c r="H32" i="8"/>
  <c r="D31" i="8"/>
  <c r="H29" i="8"/>
  <c r="D28" i="8"/>
  <c r="H26" i="8"/>
  <c r="D25" i="8"/>
  <c r="H23" i="8"/>
  <c r="D22" i="8"/>
  <c r="H20" i="8"/>
  <c r="D19" i="8"/>
  <c r="H17" i="8"/>
  <c r="D16" i="8"/>
  <c r="H14" i="8"/>
  <c r="D13" i="8"/>
  <c r="H11" i="8"/>
  <c r="D10" i="8"/>
  <c r="H8" i="8"/>
  <c r="D7" i="8"/>
  <c r="H5" i="8"/>
  <c r="D4" i="8"/>
  <c r="H2" i="8"/>
  <c r="B16" i="6"/>
  <c r="W35" i="11"/>
  <c r="G33" i="11"/>
  <c r="L31" i="11"/>
  <c r="Y29" i="11"/>
  <c r="H28" i="11"/>
  <c r="V26" i="11"/>
  <c r="E25" i="11"/>
  <c r="S23" i="11"/>
  <c r="C22" i="11"/>
  <c r="AD20" i="11"/>
  <c r="D20" i="11"/>
  <c r="B19" i="11"/>
  <c r="G18" i="11"/>
  <c r="E17" i="11"/>
  <c r="J16" i="11"/>
  <c r="O15" i="11"/>
  <c r="M14" i="11"/>
  <c r="R13" i="11"/>
  <c r="X12" i="11"/>
  <c r="B12" i="11"/>
  <c r="M11" i="11"/>
  <c r="AB10" i="11"/>
  <c r="H10" i="11"/>
  <c r="W9" i="11"/>
  <c r="C9" i="11"/>
  <c r="R8" i="11"/>
  <c r="AC7" i="11"/>
  <c r="M7" i="11"/>
  <c r="X6" i="11"/>
  <c r="H6" i="11"/>
  <c r="S5" i="11"/>
  <c r="C5" i="11"/>
  <c r="N4" i="11"/>
  <c r="AC3" i="11"/>
  <c r="I3" i="11"/>
  <c r="X2" i="11"/>
  <c r="D2" i="11"/>
  <c r="H38" i="8"/>
  <c r="C37" i="8"/>
  <c r="G35" i="8"/>
  <c r="C34" i="8"/>
  <c r="G32" i="8"/>
  <c r="C31" i="8"/>
  <c r="G29" i="8"/>
  <c r="C28" i="8"/>
  <c r="G26" i="8"/>
  <c r="C25" i="8"/>
  <c r="G23" i="8"/>
  <c r="C22" i="8"/>
  <c r="G20" i="8"/>
  <c r="C19" i="8"/>
  <c r="G17" i="8"/>
  <c r="C16" i="8"/>
  <c r="G14" i="8"/>
  <c r="C13" i="8"/>
  <c r="G11" i="8"/>
  <c r="C10" i="8"/>
  <c r="G8" i="8"/>
  <c r="C7" i="8"/>
  <c r="G5" i="8"/>
  <c r="C4" i="8"/>
  <c r="G2" i="8"/>
  <c r="B15" i="6"/>
  <c r="S38" i="11"/>
  <c r="K35" i="11"/>
  <c r="AA32" i="11"/>
  <c r="C31" i="11"/>
  <c r="Q29" i="11"/>
  <c r="AE27" i="11"/>
  <c r="N26" i="11"/>
  <c r="AB24" i="11"/>
  <c r="K23" i="11"/>
  <c r="B22" i="11"/>
  <c r="AC20" i="11"/>
  <c r="AA19" i="11"/>
  <c r="F18" i="11"/>
  <c r="D17" i="11"/>
  <c r="I16" i="11"/>
  <c r="G15" i="11"/>
  <c r="L14" i="11"/>
  <c r="Q13" i="11"/>
  <c r="R12" i="11"/>
  <c r="L11" i="11"/>
  <c r="AA10" i="11"/>
  <c r="G10" i="11"/>
  <c r="V9" i="11"/>
  <c r="B9" i="11"/>
  <c r="Q8" i="11"/>
  <c r="AB7" i="11"/>
  <c r="L7" i="11"/>
  <c r="W6" i="11"/>
  <c r="G6" i="11"/>
  <c r="R5" i="11"/>
  <c r="B5" i="11"/>
  <c r="M4" i="11"/>
  <c r="AB3" i="11"/>
  <c r="H3" i="11"/>
  <c r="W2" i="11"/>
  <c r="C2" i="11"/>
  <c r="G38" i="8"/>
  <c r="B37" i="8"/>
  <c r="F35" i="8"/>
  <c r="B34" i="8"/>
  <c r="F32" i="8"/>
  <c r="B31" i="8"/>
  <c r="F29" i="8"/>
  <c r="B28" i="8"/>
  <c r="F26" i="8"/>
  <c r="B25" i="8"/>
  <c r="F23" i="8"/>
  <c r="B22" i="8"/>
  <c r="F20" i="8"/>
  <c r="B19" i="8"/>
  <c r="F17" i="8"/>
  <c r="B16" i="8"/>
  <c r="F14" i="8"/>
  <c r="B13" i="8"/>
  <c r="F11" i="8"/>
  <c r="B10" i="8"/>
  <c r="F8" i="8"/>
  <c r="B7" i="8"/>
  <c r="F5" i="8"/>
  <c r="B4" i="8"/>
  <c r="F2" i="8"/>
  <c r="B14" i="6"/>
  <c r="L38" i="11"/>
  <c r="H35" i="11"/>
  <c r="Z32" i="11"/>
  <c r="B31" i="11"/>
  <c r="P29" i="11"/>
  <c r="AD27" i="11"/>
  <c r="M26" i="11"/>
  <c r="AA24" i="11"/>
  <c r="J23" i="11"/>
  <c r="Y21" i="11"/>
  <c r="AB20" i="11"/>
  <c r="Z19" i="11"/>
  <c r="AE18" i="11"/>
  <c r="AC17" i="11"/>
  <c r="C17" i="11"/>
  <c r="H16" i="11"/>
  <c r="F15" i="11"/>
  <c r="K14" i="11"/>
  <c r="I13" i="11"/>
  <c r="Q12" i="11"/>
  <c r="AE11" i="11"/>
  <c r="K11" i="11"/>
  <c r="Z10" i="11"/>
  <c r="F10" i="11"/>
  <c r="U9" i="11"/>
  <c r="P8" i="11"/>
  <c r="AA7" i="11"/>
  <c r="K7" i="11"/>
  <c r="V6" i="11"/>
  <c r="F6" i="11"/>
  <c r="Q5" i="11"/>
  <c r="L4" i="11"/>
  <c r="AA3" i="11"/>
  <c r="G3" i="11"/>
  <c r="V2" i="11"/>
  <c r="B2" i="11"/>
  <c r="F38" i="8"/>
  <c r="I36" i="8"/>
  <c r="E35" i="8"/>
  <c r="I33" i="8"/>
  <c r="E32" i="8"/>
  <c r="I30" i="8"/>
  <c r="E29" i="8"/>
  <c r="I27" i="8"/>
  <c r="E26" i="8"/>
  <c r="AD30" i="11"/>
  <c r="X24" i="11"/>
  <c r="Y19" i="11"/>
  <c r="AE15" i="11"/>
  <c r="P12" i="11"/>
  <c r="E10" i="11"/>
  <c r="Z7" i="11"/>
  <c r="P5" i="11"/>
  <c r="F3" i="11"/>
  <c r="E38" i="8"/>
  <c r="D32" i="8"/>
  <c r="H27" i="8"/>
  <c r="H24" i="8"/>
  <c r="G22" i="8"/>
  <c r="C20" i="8"/>
  <c r="C18" i="8"/>
  <c r="G15" i="8"/>
  <c r="G13" i="8"/>
  <c r="C11" i="8"/>
  <c r="C9" i="8"/>
  <c r="G6" i="8"/>
  <c r="G4" i="8"/>
  <c r="C2" i="8"/>
  <c r="V30" i="11"/>
  <c r="P24" i="11"/>
  <c r="X19" i="11"/>
  <c r="AD15" i="11"/>
  <c r="O12" i="11"/>
  <c r="D10" i="11"/>
  <c r="Y7" i="11"/>
  <c r="O5" i="11"/>
  <c r="E3" i="11"/>
  <c r="D38" i="8"/>
  <c r="C32" i="8"/>
  <c r="G27" i="8"/>
  <c r="G24" i="8"/>
  <c r="F22" i="8"/>
  <c r="B20" i="8"/>
  <c r="B18" i="8"/>
  <c r="F15" i="8"/>
  <c r="F13" i="8"/>
  <c r="B11" i="8"/>
  <c r="B9" i="8"/>
  <c r="F6" i="8"/>
  <c r="F4" i="8"/>
  <c r="B2" i="8"/>
  <c r="U30" i="11"/>
  <c r="O24" i="11"/>
  <c r="W19" i="11"/>
  <c r="AC15" i="11"/>
  <c r="N12" i="11"/>
  <c r="C10" i="11"/>
  <c r="X7" i="11"/>
  <c r="N5" i="11"/>
  <c r="D3" i="11"/>
  <c r="C38" i="8"/>
  <c r="B32" i="8"/>
  <c r="F27" i="8"/>
  <c r="F24" i="8"/>
  <c r="I21" i="8"/>
  <c r="I19" i="8"/>
  <c r="E17" i="8"/>
  <c r="E15" i="8"/>
  <c r="I12" i="8"/>
  <c r="I10" i="8"/>
  <c r="E8" i="8"/>
  <c r="E6" i="8"/>
  <c r="I3" i="8"/>
  <c r="AD37" i="11"/>
  <c r="M29" i="11"/>
  <c r="G23" i="11"/>
  <c r="AD18" i="11"/>
  <c r="E15" i="11"/>
  <c r="AD11" i="11"/>
  <c r="T9" i="11"/>
  <c r="J7" i="11"/>
  <c r="AE4" i="11"/>
  <c r="U2" i="11"/>
  <c r="H36" i="8"/>
  <c r="F31" i="8"/>
  <c r="E27" i="8"/>
  <c r="E24" i="8"/>
  <c r="H21" i="8"/>
  <c r="H19" i="8"/>
  <c r="D17" i="8"/>
  <c r="D15" i="8"/>
  <c r="H12" i="8"/>
  <c r="H10" i="8"/>
  <c r="D8" i="8"/>
  <c r="D6" i="8"/>
  <c r="H3" i="8"/>
  <c r="AA37" i="11"/>
  <c r="E29" i="11"/>
  <c r="AD22" i="11"/>
  <c r="V18" i="11"/>
  <c r="D15" i="11"/>
  <c r="Y11" i="11"/>
  <c r="O9" i="11"/>
  <c r="E7" i="11"/>
  <c r="Z4" i="11"/>
  <c r="P2" i="11"/>
  <c r="G36" i="8"/>
  <c r="H30" i="8"/>
  <c r="B27" i="8"/>
  <c r="D24" i="8"/>
  <c r="G21" i="8"/>
  <c r="G19" i="8"/>
  <c r="C17" i="8"/>
  <c r="C15" i="8"/>
  <c r="G12" i="8"/>
  <c r="G10" i="8"/>
  <c r="C8" i="8"/>
  <c r="C6" i="8"/>
  <c r="G3" i="8"/>
  <c r="O37" i="11"/>
  <c r="D29" i="11"/>
  <c r="AC22" i="11"/>
  <c r="U18" i="11"/>
  <c r="C15" i="11"/>
  <c r="X11" i="11"/>
  <c r="N9" i="11"/>
  <c r="D7" i="11"/>
  <c r="Y4" i="11"/>
  <c r="O2" i="11"/>
  <c r="F36" i="8"/>
  <c r="G30" i="8"/>
  <c r="D26" i="8"/>
  <c r="B24" i="8"/>
  <c r="F21" i="8"/>
  <c r="F19" i="8"/>
  <c r="B17" i="8"/>
  <c r="B15" i="8"/>
  <c r="F12" i="8"/>
  <c r="F10" i="8"/>
  <c r="B8" i="8"/>
  <c r="B6" i="8"/>
  <c r="F3" i="8"/>
  <c r="AA34" i="11"/>
  <c r="AA27" i="11"/>
  <c r="X21" i="11"/>
  <c r="AB17" i="11"/>
  <c r="J14" i="11"/>
  <c r="J11" i="11"/>
  <c r="AE8" i="11"/>
  <c r="U6" i="11"/>
  <c r="K4" i="11"/>
  <c r="D35" i="8"/>
  <c r="F30" i="8"/>
  <c r="C26" i="8"/>
  <c r="E23" i="8"/>
  <c r="E21" i="8"/>
  <c r="I18" i="8"/>
  <c r="I16" i="8"/>
  <c r="E14" i="8"/>
  <c r="E12" i="8"/>
  <c r="I9" i="8"/>
  <c r="I7" i="8"/>
  <c r="E5" i="8"/>
  <c r="E3" i="8"/>
  <c r="X34" i="11"/>
  <c r="S27" i="11"/>
  <c r="V21" i="11"/>
  <c r="AA17" i="11"/>
  <c r="B14" i="11"/>
  <c r="I11" i="11"/>
  <c r="AD8" i="11"/>
  <c r="T6" i="11"/>
  <c r="J4" i="11"/>
  <c r="C35" i="8"/>
  <c r="B30" i="8"/>
  <c r="B26" i="8"/>
  <c r="D23" i="8"/>
  <c r="D21" i="8"/>
  <c r="H18" i="8"/>
  <c r="H16" i="8"/>
  <c r="D14" i="8"/>
  <c r="D12" i="8"/>
  <c r="H9" i="8"/>
  <c r="H7" i="8"/>
  <c r="D5" i="8"/>
  <c r="D3" i="8"/>
  <c r="L34" i="11"/>
  <c r="R27" i="11"/>
  <c r="U21" i="11"/>
  <c r="Z17" i="11"/>
  <c r="H11" i="11"/>
  <c r="AC8" i="11"/>
  <c r="S6" i="11"/>
  <c r="I4" i="11"/>
  <c r="T32" i="11"/>
  <c r="H13" i="11"/>
  <c r="Z3" i="11"/>
  <c r="H25" i="8"/>
  <c r="F18" i="8"/>
  <c r="B12" i="8"/>
  <c r="B5" i="8"/>
  <c r="L32" i="11"/>
  <c r="G13" i="11"/>
  <c r="U3" i="11"/>
  <c r="F25" i="8"/>
  <c r="E18" i="8"/>
  <c r="E11" i="8"/>
  <c r="I4" i="8"/>
  <c r="J32" i="11"/>
  <c r="F13" i="11"/>
  <c r="T3" i="11"/>
  <c r="I24" i="8"/>
  <c r="D18" i="8"/>
  <c r="D11" i="8"/>
  <c r="H4" i="8"/>
  <c r="B12" i="6"/>
  <c r="J26" i="11"/>
  <c r="Y10" i="11"/>
  <c r="B35" i="8"/>
  <c r="C23" i="8"/>
  <c r="G16" i="8"/>
  <c r="G9" i="8"/>
  <c r="C3" i="8"/>
  <c r="B11" i="6"/>
  <c r="B26" i="11"/>
  <c r="T10" i="11"/>
  <c r="H33" i="8"/>
  <c r="B23" i="8"/>
  <c r="F16" i="8"/>
  <c r="F9" i="8"/>
  <c r="B3" i="8"/>
  <c r="S10" i="11"/>
  <c r="G33" i="8"/>
  <c r="I22" i="8"/>
  <c r="I15" i="8"/>
  <c r="E9" i="8"/>
  <c r="E2" i="8"/>
  <c r="T20" i="11"/>
  <c r="O8" i="11"/>
  <c r="F33" i="8"/>
  <c r="H22" i="8"/>
  <c r="H15" i="8"/>
  <c r="D9" i="8"/>
  <c r="D2" i="8"/>
  <c r="S20" i="11"/>
  <c r="J8" i="11"/>
  <c r="D29" i="8"/>
  <c r="C21" i="8"/>
  <c r="C14" i="8"/>
  <c r="G7" i="8"/>
  <c r="R20" i="11"/>
  <c r="I8" i="11"/>
  <c r="C29" i="8"/>
  <c r="B21" i="8"/>
  <c r="B14" i="8"/>
  <c r="F7" i="8"/>
  <c r="B17" i="11"/>
  <c r="E6" i="11"/>
  <c r="B29" i="8"/>
  <c r="E20" i="8"/>
  <c r="I13" i="8"/>
  <c r="I6" i="8"/>
  <c r="X16" i="11"/>
  <c r="AE5" i="11"/>
  <c r="AD5" i="11"/>
  <c r="F28" i="8"/>
  <c r="I25" i="8"/>
  <c r="D20" i="8"/>
  <c r="G18" i="8"/>
  <c r="H13" i="8"/>
  <c r="C12" i="8"/>
  <c r="C5" i="8"/>
  <c r="H6" i="8"/>
  <c r="J37" i="14"/>
  <c r="L35" i="14"/>
  <c r="N33" i="14"/>
  <c r="I32" i="14"/>
  <c r="K30" i="14"/>
  <c r="M28" i="14"/>
  <c r="J25" i="14"/>
  <c r="L23" i="14"/>
  <c r="N21" i="14"/>
  <c r="I20" i="14"/>
  <c r="K18" i="14"/>
  <c r="M16" i="14"/>
  <c r="J13" i="14"/>
  <c r="L11" i="14"/>
  <c r="N9" i="14"/>
  <c r="I8" i="14"/>
  <c r="K6" i="14"/>
  <c r="M4" i="14"/>
  <c r="N38" i="14"/>
  <c r="I37" i="14"/>
  <c r="K35" i="14"/>
  <c r="M33" i="14"/>
  <c r="J30" i="14"/>
  <c r="L28" i="14"/>
  <c r="N26" i="14"/>
  <c r="I25" i="14"/>
  <c r="K23" i="14"/>
  <c r="M21" i="14"/>
  <c r="J18" i="14"/>
  <c r="L16" i="14"/>
  <c r="N14" i="14"/>
  <c r="I13" i="14"/>
  <c r="K11" i="14"/>
  <c r="M9" i="14"/>
  <c r="J6" i="14"/>
  <c r="L4" i="14"/>
  <c r="M38" i="14"/>
  <c r="J35" i="14"/>
  <c r="L33" i="14"/>
  <c r="N31" i="14"/>
  <c r="I30" i="14"/>
  <c r="K28" i="14"/>
  <c r="M26" i="14"/>
  <c r="L38" i="14"/>
  <c r="N36" i="14"/>
  <c r="I35" i="14"/>
  <c r="K33" i="14"/>
  <c r="M31" i="14"/>
  <c r="J28" i="14"/>
  <c r="L26" i="14"/>
  <c r="N24" i="14"/>
  <c r="I23" i="14"/>
  <c r="K21" i="14"/>
  <c r="M19" i="14"/>
  <c r="J16" i="14"/>
  <c r="L14" i="14"/>
  <c r="N12" i="14"/>
  <c r="I11" i="14"/>
  <c r="K9" i="14"/>
  <c r="M7" i="14"/>
  <c r="K38" i="14"/>
  <c r="M36" i="14"/>
  <c r="J33" i="14"/>
  <c r="L31" i="14"/>
  <c r="N29" i="14"/>
  <c r="I28" i="14"/>
  <c r="K26" i="14"/>
  <c r="M24" i="14"/>
  <c r="J21" i="14"/>
  <c r="L19" i="14"/>
  <c r="N17" i="14"/>
  <c r="I16" i="14"/>
  <c r="K14" i="14"/>
  <c r="M12" i="14"/>
  <c r="J9" i="14"/>
  <c r="L7" i="14"/>
  <c r="N5" i="14"/>
  <c r="I4" i="14"/>
  <c r="J38" i="14"/>
  <c r="L36" i="14"/>
  <c r="N34" i="14"/>
  <c r="I33" i="14"/>
  <c r="K31" i="14"/>
  <c r="M29" i="14"/>
  <c r="J26" i="14"/>
  <c r="L24" i="14"/>
  <c r="N22" i="14"/>
  <c r="I21" i="14"/>
  <c r="K19" i="14"/>
  <c r="M17" i="14"/>
  <c r="J14" i="14"/>
  <c r="L12" i="14"/>
  <c r="N10" i="14"/>
  <c r="I9" i="14"/>
  <c r="K7" i="14"/>
  <c r="M5" i="14"/>
  <c r="N39" i="14"/>
  <c r="I38" i="14"/>
  <c r="K36" i="14"/>
  <c r="M34" i="14"/>
  <c r="J31" i="14"/>
  <c r="L29" i="14"/>
  <c r="N27" i="14"/>
  <c r="I26" i="14"/>
  <c r="K24" i="14"/>
  <c r="M22" i="14"/>
  <c r="J19" i="14"/>
  <c r="L17" i="14"/>
  <c r="N15" i="14"/>
  <c r="I14" i="14"/>
  <c r="K12" i="14"/>
  <c r="M10" i="14"/>
  <c r="J7" i="14"/>
  <c r="L5" i="14"/>
  <c r="N3" i="14"/>
  <c r="M39" i="14"/>
  <c r="J36" i="14"/>
  <c r="L34" i="14"/>
  <c r="N32" i="14"/>
  <c r="I31" i="14"/>
  <c r="K29" i="14"/>
  <c r="M27" i="14"/>
  <c r="J24" i="14"/>
  <c r="L39" i="14"/>
  <c r="N37" i="14"/>
  <c r="I36" i="14"/>
  <c r="K34" i="14"/>
  <c r="M32" i="14"/>
  <c r="J29" i="14"/>
  <c r="L27" i="14"/>
  <c r="N25" i="14"/>
  <c r="I24" i="14"/>
  <c r="K22" i="14"/>
  <c r="M20" i="14"/>
  <c r="J17" i="14"/>
  <c r="L15" i="14"/>
  <c r="N13" i="14"/>
  <c r="I12" i="14"/>
  <c r="K10" i="14"/>
  <c r="M8" i="14"/>
  <c r="J5" i="14"/>
  <c r="L3" i="14"/>
  <c r="K39" i="14"/>
  <c r="M37" i="14"/>
  <c r="J34" i="14"/>
  <c r="L32" i="14"/>
  <c r="N30" i="14"/>
  <c r="I29" i="14"/>
  <c r="K27" i="14"/>
  <c r="M25" i="14"/>
  <c r="J22" i="14"/>
  <c r="L20" i="14"/>
  <c r="N18" i="14"/>
  <c r="I17" i="14"/>
  <c r="K15" i="14"/>
  <c r="M13" i="14"/>
  <c r="J10" i="14"/>
  <c r="L8" i="14"/>
  <c r="N6" i="14"/>
  <c r="I5" i="14"/>
  <c r="K3" i="14"/>
  <c r="J39" i="14"/>
  <c r="L37" i="14"/>
  <c r="N35" i="14"/>
  <c r="I34" i="14"/>
  <c r="K32" i="14"/>
  <c r="M30" i="14"/>
  <c r="J27" i="14"/>
  <c r="I39" i="14"/>
  <c r="K37" i="14"/>
  <c r="M35" i="14"/>
  <c r="J32" i="14"/>
  <c r="L30" i="14"/>
  <c r="N28" i="14"/>
  <c r="I27" i="14"/>
  <c r="K25" i="14"/>
  <c r="M23" i="14"/>
  <c r="J20" i="14"/>
  <c r="L18" i="14"/>
  <c r="N16" i="14"/>
  <c r="I15" i="14"/>
  <c r="K13" i="14"/>
  <c r="M11" i="14"/>
  <c r="J8" i="14"/>
  <c r="L6" i="14"/>
  <c r="N4" i="14"/>
  <c r="I3" i="14"/>
  <c r="N7" i="14"/>
  <c r="L22" i="14"/>
  <c r="K17" i="14"/>
  <c r="J12" i="14"/>
  <c r="I7" i="14"/>
  <c r="I22" i="14"/>
  <c r="L25" i="14"/>
  <c r="N19" i="14"/>
  <c r="M14" i="14"/>
  <c r="L9" i="14"/>
  <c r="K4" i="14"/>
  <c r="I19" i="14"/>
  <c r="J4" i="14"/>
  <c r="N11" i="14"/>
  <c r="M6" i="14"/>
  <c r="L21" i="14"/>
  <c r="K16" i="14"/>
  <c r="J11" i="14"/>
  <c r="I6" i="14"/>
  <c r="N8" i="14"/>
  <c r="M18" i="14"/>
  <c r="L13" i="14"/>
  <c r="K8" i="14"/>
  <c r="N23" i="14"/>
  <c r="I18" i="14"/>
  <c r="M3" i="14"/>
  <c r="J23" i="14"/>
  <c r="N20" i="14"/>
  <c r="M15" i="14"/>
  <c r="L10" i="14"/>
  <c r="K5" i="14"/>
  <c r="J3" i="14"/>
  <c r="K20" i="14"/>
  <c r="J15" i="14"/>
  <c r="I10" i="14"/>
  <c r="I38" i="12"/>
  <c r="D37" i="12"/>
  <c r="W36" i="12"/>
  <c r="K36" i="12"/>
  <c r="R35" i="12"/>
  <c r="F35" i="12"/>
  <c r="Y34" i="12"/>
  <c r="M34" i="12"/>
  <c r="H33" i="12"/>
  <c r="AA32" i="12"/>
  <c r="T38" i="12"/>
  <c r="S38" i="12"/>
  <c r="G38" i="12"/>
  <c r="Z37" i="12"/>
  <c r="B37" i="12"/>
  <c r="F38" i="12"/>
  <c r="T36" i="12"/>
  <c r="H36" i="12"/>
  <c r="C35" i="12"/>
  <c r="J34" i="12"/>
  <c r="AC33" i="12"/>
  <c r="Q33" i="12"/>
  <c r="E33" i="12"/>
  <c r="X32" i="12"/>
  <c r="L32" i="12"/>
  <c r="S31" i="12"/>
  <c r="G31" i="12"/>
  <c r="AC38" i="12"/>
  <c r="Q38" i="12"/>
  <c r="E38" i="12"/>
  <c r="X37" i="12"/>
  <c r="AE36" i="12"/>
  <c r="S36" i="12"/>
  <c r="G36" i="12"/>
  <c r="Z35" i="12"/>
  <c r="N35" i="12"/>
  <c r="B35" i="12"/>
  <c r="I34" i="12"/>
  <c r="P33" i="12"/>
  <c r="D33" i="12"/>
  <c r="W32" i="12"/>
  <c r="K32" i="12"/>
  <c r="R31" i="12"/>
  <c r="AA28" i="12"/>
  <c r="O28" i="12"/>
  <c r="C28" i="12"/>
  <c r="J27" i="12"/>
  <c r="AC26" i="12"/>
  <c r="Q26" i="12"/>
  <c r="E26" i="12"/>
  <c r="X25" i="12"/>
  <c r="S24" i="12"/>
  <c r="G24" i="12"/>
  <c r="Z23" i="12"/>
  <c r="N23" i="12"/>
  <c r="B23" i="12"/>
  <c r="U22" i="12"/>
  <c r="AB38" i="12"/>
  <c r="P38" i="12"/>
  <c r="D38" i="12"/>
  <c r="W37" i="12"/>
  <c r="K37" i="12"/>
  <c r="F36" i="12"/>
  <c r="T34" i="12"/>
  <c r="H34" i="12"/>
  <c r="AA33" i="12"/>
  <c r="O33" i="12"/>
  <c r="C33" i="12"/>
  <c r="J32" i="12"/>
  <c r="AC31" i="12"/>
  <c r="Q31" i="12"/>
  <c r="E31" i="12"/>
  <c r="X30" i="12"/>
  <c r="L30" i="12"/>
  <c r="AE29" i="12"/>
  <c r="G29" i="12"/>
  <c r="Z28" i="12"/>
  <c r="B28" i="12"/>
  <c r="I27" i="12"/>
  <c r="AB26" i="12"/>
  <c r="D26" i="12"/>
  <c r="W25" i="12"/>
  <c r="K25" i="12"/>
  <c r="H22" i="12"/>
  <c r="AA21" i="12"/>
  <c r="AA38" i="12"/>
  <c r="O38" i="12"/>
  <c r="C38" i="12"/>
  <c r="V37" i="12"/>
  <c r="AC36" i="12"/>
  <c r="E36" i="12"/>
  <c r="S34" i="12"/>
  <c r="G34" i="12"/>
  <c r="Z33" i="12"/>
  <c r="N33" i="12"/>
  <c r="B33" i="12"/>
  <c r="U32" i="12"/>
  <c r="P31" i="12"/>
  <c r="D31" i="12"/>
  <c r="W30" i="12"/>
  <c r="K30" i="12"/>
  <c r="R29" i="12"/>
  <c r="F29" i="12"/>
  <c r="Y28" i="12"/>
  <c r="M28" i="12"/>
  <c r="H27" i="12"/>
  <c r="AA26" i="12"/>
  <c r="C26" i="12"/>
  <c r="J25" i="12"/>
  <c r="AC24" i="12"/>
  <c r="Q24" i="12"/>
  <c r="E24" i="12"/>
  <c r="X23" i="12"/>
  <c r="S22" i="12"/>
  <c r="G22" i="12"/>
  <c r="Z21" i="12"/>
  <c r="N21" i="12"/>
  <c r="T37" i="12"/>
  <c r="H37" i="12"/>
  <c r="AA36" i="12"/>
  <c r="C36" i="12"/>
  <c r="J35" i="12"/>
  <c r="AC34" i="12"/>
  <c r="Q34" i="12"/>
  <c r="E34" i="12"/>
  <c r="X33" i="12"/>
  <c r="AE32" i="12"/>
  <c r="S32" i="12"/>
  <c r="X38" i="12"/>
  <c r="L38" i="12"/>
  <c r="AE37" i="12"/>
  <c r="G37" i="12"/>
  <c r="Z36" i="12"/>
  <c r="B36" i="12"/>
  <c r="I35" i="12"/>
  <c r="P34" i="12"/>
  <c r="D34" i="12"/>
  <c r="W33" i="12"/>
  <c r="K33" i="12"/>
  <c r="W38" i="12"/>
  <c r="K38" i="12"/>
  <c r="F37" i="12"/>
  <c r="T35" i="12"/>
  <c r="H35" i="12"/>
  <c r="AA34" i="12"/>
  <c r="O34" i="12"/>
  <c r="J38" i="12"/>
  <c r="AC37" i="12"/>
  <c r="Q37" i="12"/>
  <c r="E37" i="12"/>
  <c r="X36" i="12"/>
  <c r="S35" i="12"/>
  <c r="G35" i="12"/>
  <c r="Z34" i="12"/>
  <c r="N34" i="12"/>
  <c r="B34" i="12"/>
  <c r="U33" i="12"/>
  <c r="P32" i="12"/>
  <c r="D32" i="12"/>
  <c r="W31" i="12"/>
  <c r="B38" i="12"/>
  <c r="J33" i="12"/>
  <c r="N32" i="12"/>
  <c r="X31" i="12"/>
  <c r="D30" i="12"/>
  <c r="Q29" i="12"/>
  <c r="B29" i="12"/>
  <c r="P27" i="12"/>
  <c r="AB24" i="12"/>
  <c r="K23" i="12"/>
  <c r="AA22" i="12"/>
  <c r="AC21" i="12"/>
  <c r="AA19" i="12"/>
  <c r="O19" i="12"/>
  <c r="C19" i="12"/>
  <c r="J18" i="12"/>
  <c r="AC17" i="12"/>
  <c r="E17" i="12"/>
  <c r="X16" i="12"/>
  <c r="G15" i="12"/>
  <c r="Z14" i="12"/>
  <c r="B14" i="12"/>
  <c r="U13" i="12"/>
  <c r="AB12" i="12"/>
  <c r="P12" i="12"/>
  <c r="K11" i="12"/>
  <c r="AD10" i="12"/>
  <c r="R10" i="12"/>
  <c r="AA37" i="12"/>
  <c r="AC35" i="12"/>
  <c r="G33" i="12"/>
  <c r="B31" i="12"/>
  <c r="Q28" i="12"/>
  <c r="O27" i="12"/>
  <c r="AC25" i="12"/>
  <c r="AA24" i="12"/>
  <c r="K34" i="12"/>
  <c r="F33" i="12"/>
  <c r="H32" i="12"/>
  <c r="U31" i="12"/>
  <c r="Q30" i="12"/>
  <c r="B30" i="12"/>
  <c r="AC27" i="12"/>
  <c r="AB25" i="12"/>
  <c r="M25" i="12"/>
  <c r="Z24" i="12"/>
  <c r="K24" i="12"/>
  <c r="J22" i="12"/>
  <c r="K21" i="12"/>
  <c r="M19" i="12"/>
  <c r="T18" i="12"/>
  <c r="H18" i="12"/>
  <c r="AA17" i="12"/>
  <c r="V16" i="12"/>
  <c r="AC15" i="12"/>
  <c r="Q15" i="12"/>
  <c r="E15" i="12"/>
  <c r="X14" i="12"/>
  <c r="L14" i="12"/>
  <c r="AE13" i="12"/>
  <c r="G13" i="12"/>
  <c r="Z12" i="12"/>
  <c r="N12" i="12"/>
  <c r="B12" i="12"/>
  <c r="W35" i="12"/>
  <c r="F34" i="12"/>
  <c r="G32" i="12"/>
  <c r="T31" i="12"/>
  <c r="AE30" i="12"/>
  <c r="P30" i="12"/>
  <c r="Z26" i="12"/>
  <c r="K26" i="12"/>
  <c r="AA25" i="12"/>
  <c r="I25" i="12"/>
  <c r="J24" i="12"/>
  <c r="W23" i="12"/>
  <c r="H23" i="12"/>
  <c r="X22" i="12"/>
  <c r="I22" i="12"/>
  <c r="X21" i="12"/>
  <c r="J21" i="12"/>
  <c r="X19" i="12"/>
  <c r="L19" i="12"/>
  <c r="AE18" i="12"/>
  <c r="S18" i="12"/>
  <c r="G18" i="12"/>
  <c r="Z17" i="12"/>
  <c r="I16" i="12"/>
  <c r="P15" i="12"/>
  <c r="D15" i="12"/>
  <c r="W14" i="12"/>
  <c r="K14" i="12"/>
  <c r="AD13" i="12"/>
  <c r="R13" i="12"/>
  <c r="I37" i="12"/>
  <c r="Q35" i="12"/>
  <c r="F32" i="12"/>
  <c r="AD30" i="12"/>
  <c r="O30" i="12"/>
  <c r="AB29" i="12"/>
  <c r="AC28" i="12"/>
  <c r="K28" i="12"/>
  <c r="J26" i="12"/>
  <c r="Z25" i="12"/>
  <c r="H25" i="12"/>
  <c r="X24" i="12"/>
  <c r="I24" i="12"/>
  <c r="V23" i="12"/>
  <c r="G23" i="12"/>
  <c r="W22" i="12"/>
  <c r="W21" i="12"/>
  <c r="I21" i="12"/>
  <c r="K19" i="12"/>
  <c r="AD18" i="12"/>
  <c r="R18" i="12"/>
  <c r="F18" i="12"/>
  <c r="Y17" i="12"/>
  <c r="M17" i="12"/>
  <c r="T16" i="12"/>
  <c r="H16" i="12"/>
  <c r="AA15" i="12"/>
  <c r="V14" i="12"/>
  <c r="J14" i="12"/>
  <c r="AC13" i="12"/>
  <c r="Q13" i="12"/>
  <c r="X12" i="12"/>
  <c r="L12" i="12"/>
  <c r="G11" i="12"/>
  <c r="Z10" i="12"/>
  <c r="N10" i="12"/>
  <c r="B10" i="12"/>
  <c r="U9" i="12"/>
  <c r="I9" i="12"/>
  <c r="AB8" i="12"/>
  <c r="P8" i="12"/>
  <c r="D8" i="12"/>
  <c r="K7" i="12"/>
  <c r="F6" i="12"/>
  <c r="Y5" i="12"/>
  <c r="M5" i="12"/>
  <c r="T4" i="12"/>
  <c r="H4" i="12"/>
  <c r="J2" i="12"/>
  <c r="P35" i="12"/>
  <c r="E32" i="12"/>
  <c r="N31" i="12"/>
  <c r="AC30" i="12"/>
  <c r="N30" i="12"/>
  <c r="AA29" i="12"/>
  <c r="L29" i="12"/>
  <c r="AB28" i="12"/>
  <c r="J28" i="12"/>
  <c r="Z27" i="12"/>
  <c r="K27" i="12"/>
  <c r="X26" i="12"/>
  <c r="I26" i="12"/>
  <c r="G25" i="12"/>
  <c r="W24" i="12"/>
  <c r="H24" i="12"/>
  <c r="U23" i="12"/>
  <c r="F23" i="12"/>
  <c r="E22" i="12"/>
  <c r="H21" i="12"/>
  <c r="V19" i="12"/>
  <c r="J19" i="12"/>
  <c r="AC18" i="12"/>
  <c r="E18" i="12"/>
  <c r="X17" i="12"/>
  <c r="AE16" i="12"/>
  <c r="S16" i="12"/>
  <c r="G16" i="12"/>
  <c r="Z15" i="12"/>
  <c r="N15" i="12"/>
  <c r="B15" i="12"/>
  <c r="U14" i="12"/>
  <c r="I14" i="12"/>
  <c r="AB13" i="12"/>
  <c r="P13" i="12"/>
  <c r="D13" i="12"/>
  <c r="AD11" i="12"/>
  <c r="F11" i="12"/>
  <c r="Y10" i="12"/>
  <c r="M10" i="12"/>
  <c r="T9" i="12"/>
  <c r="H9" i="12"/>
  <c r="O8" i="12"/>
  <c r="C8" i="12"/>
  <c r="V7" i="12"/>
  <c r="AC6" i="12"/>
  <c r="Q6" i="12"/>
  <c r="E6" i="12"/>
  <c r="L5" i="12"/>
  <c r="AE4" i="12"/>
  <c r="S4" i="12"/>
  <c r="G4" i="12"/>
  <c r="Z3" i="12"/>
  <c r="U2" i="12"/>
  <c r="I2" i="12"/>
  <c r="K35" i="12"/>
  <c r="Z32" i="12"/>
  <c r="C32" i="12"/>
  <c r="M31" i="12"/>
  <c r="AB30" i="12"/>
  <c r="J30" i="12"/>
  <c r="Z29" i="12"/>
  <c r="K29" i="12"/>
  <c r="X28" i="12"/>
  <c r="I28" i="12"/>
  <c r="G27" i="12"/>
  <c r="W26" i="12"/>
  <c r="H26" i="12"/>
  <c r="F25" i="12"/>
  <c r="V24" i="12"/>
  <c r="E23" i="12"/>
  <c r="D22" i="12"/>
  <c r="I19" i="12"/>
  <c r="P18" i="12"/>
  <c r="D18" i="12"/>
  <c r="K17" i="12"/>
  <c r="R16" i="12"/>
  <c r="F16" i="12"/>
  <c r="Y15" i="12"/>
  <c r="M15" i="12"/>
  <c r="T14" i="12"/>
  <c r="H14" i="12"/>
  <c r="AA13" i="12"/>
  <c r="O13" i="12"/>
  <c r="C13" i="12"/>
  <c r="J12" i="12"/>
  <c r="Q11" i="12"/>
  <c r="X10" i="12"/>
  <c r="L10" i="12"/>
  <c r="AE9" i="12"/>
  <c r="G9" i="12"/>
  <c r="Z8" i="12"/>
  <c r="B8" i="12"/>
  <c r="U7" i="12"/>
  <c r="I7" i="12"/>
  <c r="AB6" i="12"/>
  <c r="P6" i="12"/>
  <c r="D6" i="12"/>
  <c r="W5" i="12"/>
  <c r="K5" i="12"/>
  <c r="AD4" i="12"/>
  <c r="F4" i="12"/>
  <c r="T2" i="12"/>
  <c r="H2" i="12"/>
  <c r="E35" i="12"/>
  <c r="Y33" i="12"/>
  <c r="Y32" i="12"/>
  <c r="B32" i="12"/>
  <c r="L31" i="12"/>
  <c r="AA30" i="12"/>
  <c r="I30" i="12"/>
  <c r="W28" i="12"/>
  <c r="H28" i="12"/>
  <c r="V26" i="12"/>
  <c r="G26" i="12"/>
  <c r="E25" i="12"/>
  <c r="U24" i="12"/>
  <c r="C24" i="12"/>
  <c r="S23" i="12"/>
  <c r="D23" i="12"/>
  <c r="Q22" i="12"/>
  <c r="T21" i="12"/>
  <c r="F21" i="12"/>
  <c r="H19" i="12"/>
  <c r="AA18" i="12"/>
  <c r="J17" i="12"/>
  <c r="AC16" i="12"/>
  <c r="X15" i="12"/>
  <c r="L15" i="12"/>
  <c r="AE14" i="12"/>
  <c r="G14" i="12"/>
  <c r="Z13" i="12"/>
  <c r="B13" i="12"/>
  <c r="I12" i="12"/>
  <c r="AB11" i="12"/>
  <c r="D11" i="12"/>
  <c r="W10" i="12"/>
  <c r="K10" i="12"/>
  <c r="AD9" i="12"/>
  <c r="R9" i="12"/>
  <c r="Y8" i="12"/>
  <c r="M8" i="12"/>
  <c r="T7" i="12"/>
  <c r="H7" i="12"/>
  <c r="O6" i="12"/>
  <c r="C6" i="12"/>
  <c r="V5" i="12"/>
  <c r="J5" i="12"/>
  <c r="AC4" i="12"/>
  <c r="Q4" i="12"/>
  <c r="E4" i="12"/>
  <c r="AE2" i="12"/>
  <c r="U36" i="12"/>
  <c r="D35" i="12"/>
  <c r="V33" i="12"/>
  <c r="T32" i="12"/>
  <c r="K31" i="12"/>
  <c r="Z30" i="12"/>
  <c r="H30" i="12"/>
  <c r="X29" i="12"/>
  <c r="I29" i="12"/>
  <c r="G28" i="12"/>
  <c r="W27" i="12"/>
  <c r="E27" i="12"/>
  <c r="U26" i="12"/>
  <c r="F26" i="12"/>
  <c r="S25" i="12"/>
  <c r="D25" i="12"/>
  <c r="B24" i="12"/>
  <c r="B22" i="12"/>
  <c r="S21" i="12"/>
  <c r="E21" i="12"/>
  <c r="Z38" i="12"/>
  <c r="P36" i="12"/>
  <c r="AD34" i="12"/>
  <c r="S33" i="12"/>
  <c r="J31" i="12"/>
  <c r="G30" i="12"/>
  <c r="W29" i="12"/>
  <c r="E29" i="12"/>
  <c r="F28" i="12"/>
  <c r="S27" i="12"/>
  <c r="D27" i="12"/>
  <c r="T26" i="12"/>
  <c r="B26" i="12"/>
  <c r="C25" i="12"/>
  <c r="P24" i="12"/>
  <c r="Q23" i="12"/>
  <c r="D21" i="12"/>
  <c r="AD19" i="12"/>
  <c r="F19" i="12"/>
  <c r="Y18" i="12"/>
  <c r="M18" i="12"/>
  <c r="T17" i="12"/>
  <c r="H17" i="12"/>
  <c r="AA16" i="12"/>
  <c r="O16" i="12"/>
  <c r="J15" i="12"/>
  <c r="AC14" i="12"/>
  <c r="E14" i="12"/>
  <c r="X13" i="12"/>
  <c r="L13" i="12"/>
  <c r="G12" i="12"/>
  <c r="N11" i="12"/>
  <c r="B11" i="12"/>
  <c r="U10" i="12"/>
  <c r="I10" i="12"/>
  <c r="AB9" i="12"/>
  <c r="P9" i="12"/>
  <c r="D9" i="12"/>
  <c r="K8" i="12"/>
  <c r="R7" i="12"/>
  <c r="F7" i="12"/>
  <c r="N38" i="12"/>
  <c r="J36" i="12"/>
  <c r="X34" i="12"/>
  <c r="Z31" i="12"/>
  <c r="U30" i="12"/>
  <c r="F30" i="12"/>
  <c r="D29" i="12"/>
  <c r="E28" i="12"/>
  <c r="C27" i="12"/>
  <c r="S26" i="12"/>
  <c r="Q25" i="12"/>
  <c r="B25" i="12"/>
  <c r="P23" i="12"/>
  <c r="AC22" i="12"/>
  <c r="Q21" i="12"/>
  <c r="C21" i="12"/>
  <c r="E19" i="12"/>
  <c r="X18" i="12"/>
  <c r="AE17" i="12"/>
  <c r="G17" i="12"/>
  <c r="Z16" i="12"/>
  <c r="N16" i="12"/>
  <c r="B16" i="12"/>
  <c r="U15" i="12"/>
  <c r="D14" i="12"/>
  <c r="W13" i="12"/>
  <c r="K13" i="12"/>
  <c r="AD12" i="12"/>
  <c r="F12" i="12"/>
  <c r="Y11" i="12"/>
  <c r="M11" i="12"/>
  <c r="T10" i="12"/>
  <c r="H10" i="12"/>
  <c r="AA9" i="12"/>
  <c r="H38" i="12"/>
  <c r="I36" i="12"/>
  <c r="W34" i="12"/>
  <c r="Y31" i="12"/>
  <c r="H31" i="12"/>
  <c r="T30" i="12"/>
  <c r="E30" i="12"/>
  <c r="C29" i="12"/>
  <c r="S28" i="12"/>
  <c r="D28" i="12"/>
  <c r="Q27" i="12"/>
  <c r="B27" i="12"/>
  <c r="N24" i="12"/>
  <c r="AD23" i="12"/>
  <c r="O23" i="12"/>
  <c r="M22" i="12"/>
  <c r="P21" i="12"/>
  <c r="B21" i="12"/>
  <c r="P19" i="12"/>
  <c r="D19" i="12"/>
  <c r="W18" i="12"/>
  <c r="K18" i="12"/>
  <c r="Y16" i="12"/>
  <c r="M16" i="12"/>
  <c r="T15" i="12"/>
  <c r="H15" i="12"/>
  <c r="O14" i="12"/>
  <c r="C14" i="12"/>
  <c r="V13" i="12"/>
  <c r="J13" i="12"/>
  <c r="X11" i="12"/>
  <c r="L11" i="12"/>
  <c r="S10" i="12"/>
  <c r="G10" i="12"/>
  <c r="Z9" i="12"/>
  <c r="U18" i="12"/>
  <c r="K16" i="12"/>
  <c r="H12" i="12"/>
  <c r="AC9" i="12"/>
  <c r="C9" i="12"/>
  <c r="Z7" i="12"/>
  <c r="S6" i="12"/>
  <c r="N5" i="12"/>
  <c r="Y4" i="12"/>
  <c r="I4" i="12"/>
  <c r="O2" i="12"/>
  <c r="N18" i="12"/>
  <c r="D16" i="12"/>
  <c r="Y13" i="12"/>
  <c r="C12" i="12"/>
  <c r="AB10" i="12"/>
  <c r="Y9" i="12"/>
  <c r="B9" i="12"/>
  <c r="L8" i="12"/>
  <c r="Y7" i="12"/>
  <c r="C7" i="12"/>
  <c r="N6" i="12"/>
  <c r="AC5" i="12"/>
  <c r="I5" i="12"/>
  <c r="D4" i="12"/>
  <c r="AD2" i="12"/>
  <c r="N2" i="12"/>
  <c r="I18" i="12"/>
  <c r="AD15" i="12"/>
  <c r="T13" i="12"/>
  <c r="AA10" i="12"/>
  <c r="J8" i="12"/>
  <c r="B18" i="12"/>
  <c r="W15" i="12"/>
  <c r="M13" i="12"/>
  <c r="AA11" i="12"/>
  <c r="V10" i="12"/>
  <c r="W9" i="12"/>
  <c r="AE8" i="12"/>
  <c r="I8" i="12"/>
  <c r="G5" i="12"/>
  <c r="B4" i="12"/>
  <c r="AB2" i="12"/>
  <c r="L2" i="12"/>
  <c r="H13" i="12"/>
  <c r="Q10" i="12"/>
  <c r="Q7" i="12"/>
  <c r="AE6" i="12"/>
  <c r="K6" i="12"/>
  <c r="Z5" i="12"/>
  <c r="K2" i="12"/>
  <c r="F38" i="9"/>
  <c r="B37" i="9"/>
  <c r="F35" i="9"/>
  <c r="B34" i="9"/>
  <c r="F32" i="9"/>
  <c r="B31" i="9"/>
  <c r="F29" i="9"/>
  <c r="B28" i="9"/>
  <c r="F26" i="9"/>
  <c r="B25" i="9"/>
  <c r="F23" i="9"/>
  <c r="B22" i="9"/>
  <c r="F20" i="9"/>
  <c r="B19" i="9"/>
  <c r="F17" i="9"/>
  <c r="B16" i="9"/>
  <c r="F14" i="9"/>
  <c r="B13" i="9"/>
  <c r="F11" i="9"/>
  <c r="AE19" i="12"/>
  <c r="K15" i="12"/>
  <c r="F13" i="12"/>
  <c r="U11" i="12"/>
  <c r="G8" i="12"/>
  <c r="P7" i="12"/>
  <c r="Z6" i="12"/>
  <c r="J6" i="12"/>
  <c r="E5" i="12"/>
  <c r="F2" i="12"/>
  <c r="E38" i="9"/>
  <c r="E35" i="9"/>
  <c r="E32" i="9"/>
  <c r="E29" i="9"/>
  <c r="E26" i="9"/>
  <c r="E23" i="9"/>
  <c r="E20" i="9"/>
  <c r="E17" i="9"/>
  <c r="AB23" i="12"/>
  <c r="T11" i="12"/>
  <c r="N9" i="12"/>
  <c r="F8" i="12"/>
  <c r="Y6" i="12"/>
  <c r="I6" i="12"/>
  <c r="T5" i="12"/>
  <c r="D5" i="12"/>
  <c r="E2" i="12"/>
  <c r="J23" i="12"/>
  <c r="S19" i="12"/>
  <c r="AD14" i="12"/>
  <c r="AA12" i="12"/>
  <c r="O11" i="12"/>
  <c r="J10" i="12"/>
  <c r="M9" i="12"/>
  <c r="V8" i="12"/>
  <c r="E8" i="12"/>
  <c r="H6" i="12"/>
  <c r="C5" i="12"/>
  <c r="N4" i="12"/>
  <c r="X2" i="12"/>
  <c r="D2" i="12"/>
  <c r="C38" i="9"/>
  <c r="G36" i="9"/>
  <c r="C35" i="9"/>
  <c r="G33" i="9"/>
  <c r="C32" i="9"/>
  <c r="G30" i="9"/>
  <c r="C29" i="9"/>
  <c r="G27" i="9"/>
  <c r="C26" i="9"/>
  <c r="G24" i="9"/>
  <c r="C23" i="9"/>
  <c r="G21" i="9"/>
  <c r="C20" i="9"/>
  <c r="G18" i="9"/>
  <c r="C17" i="9"/>
  <c r="G15" i="9"/>
  <c r="C14" i="9"/>
  <c r="G12" i="9"/>
  <c r="C11" i="9"/>
  <c r="G9" i="9"/>
  <c r="C8" i="9"/>
  <c r="G6" i="9"/>
  <c r="C5" i="9"/>
  <c r="G3" i="9"/>
  <c r="C2" i="9"/>
  <c r="Z22" i="12"/>
  <c r="D17" i="12"/>
  <c r="Y14" i="12"/>
  <c r="Y12" i="12"/>
  <c r="J11" i="12"/>
  <c r="F10" i="12"/>
  <c r="L9" i="12"/>
  <c r="U8" i="12"/>
  <c r="AE7" i="12"/>
  <c r="M7" i="12"/>
  <c r="G6" i="12"/>
  <c r="B5" i="12"/>
  <c r="M4" i="12"/>
  <c r="H3" i="12"/>
  <c r="W2" i="12"/>
  <c r="C2" i="12"/>
  <c r="K22" i="12"/>
  <c r="G19" i="12"/>
  <c r="AB16" i="12"/>
  <c r="R14" i="12"/>
  <c r="I11" i="12"/>
  <c r="E10" i="12"/>
  <c r="L7" i="12"/>
  <c r="V6" i="12"/>
  <c r="B6" i="12"/>
  <c r="Q5" i="12"/>
  <c r="L4" i="12"/>
  <c r="R2" i="12"/>
  <c r="B2" i="12"/>
  <c r="AB21" i="12"/>
  <c r="W16" i="12"/>
  <c r="M14" i="12"/>
  <c r="O12" i="12"/>
  <c r="H11" i="12"/>
  <c r="D10" i="12"/>
  <c r="J9" i="12"/>
  <c r="AB7" i="12"/>
  <c r="G7" i="12"/>
  <c r="U6" i="12"/>
  <c r="K4" i="12"/>
  <c r="Q2" i="12"/>
  <c r="L21" i="12"/>
  <c r="Z18" i="12"/>
  <c r="P16" i="12"/>
  <c r="F14" i="12"/>
  <c r="C11" i="12"/>
  <c r="C10" i="12"/>
  <c r="E9" i="12"/>
  <c r="R8" i="12"/>
  <c r="AA7" i="12"/>
  <c r="E7" i="12"/>
  <c r="O5" i="12"/>
  <c r="W4" i="12"/>
  <c r="B38" i="9"/>
  <c r="C36" i="9"/>
  <c r="D34" i="9"/>
  <c r="B32" i="9"/>
  <c r="C30" i="9"/>
  <c r="D28" i="9"/>
  <c r="B26" i="9"/>
  <c r="C24" i="9"/>
  <c r="D22" i="9"/>
  <c r="B20" i="9"/>
  <c r="C18" i="9"/>
  <c r="D16" i="9"/>
  <c r="E14" i="9"/>
  <c r="F12" i="9"/>
  <c r="C9" i="9"/>
  <c r="F7" i="9"/>
  <c r="D4" i="9"/>
  <c r="G2" i="9"/>
  <c r="J4" i="12"/>
  <c r="B36" i="9"/>
  <c r="C34" i="9"/>
  <c r="B30" i="9"/>
  <c r="C28" i="9"/>
  <c r="B24" i="9"/>
  <c r="C22" i="9"/>
  <c r="B18" i="9"/>
  <c r="C16" i="9"/>
  <c r="D14" i="9"/>
  <c r="E12" i="9"/>
  <c r="G10" i="9"/>
  <c r="B9" i="9"/>
  <c r="E7" i="9"/>
  <c r="C4" i="9"/>
  <c r="F2" i="9"/>
  <c r="C4" i="12"/>
  <c r="B14" i="9"/>
  <c r="D12" i="9"/>
  <c r="F10" i="9"/>
  <c r="D7" i="9"/>
  <c r="G5" i="9"/>
  <c r="B4" i="9"/>
  <c r="E2" i="9"/>
  <c r="U3" i="12"/>
  <c r="G37" i="9"/>
  <c r="F33" i="9"/>
  <c r="G31" i="9"/>
  <c r="F27" i="9"/>
  <c r="G25" i="9"/>
  <c r="F21" i="9"/>
  <c r="G19" i="9"/>
  <c r="C12" i="9"/>
  <c r="E10" i="9"/>
  <c r="C7" i="9"/>
  <c r="F5" i="9"/>
  <c r="D2" i="9"/>
  <c r="F37" i="9"/>
  <c r="G35" i="9"/>
  <c r="E33" i="9"/>
  <c r="F31" i="9"/>
  <c r="G29" i="9"/>
  <c r="E27" i="9"/>
  <c r="F25" i="9"/>
  <c r="G23" i="9"/>
  <c r="E21" i="9"/>
  <c r="F19" i="9"/>
  <c r="G17" i="9"/>
  <c r="F15" i="9"/>
  <c r="B12" i="9"/>
  <c r="D10" i="9"/>
  <c r="G8" i="9"/>
  <c r="B7" i="9"/>
  <c r="E5" i="9"/>
  <c r="B2" i="9"/>
  <c r="E37" i="9"/>
  <c r="D35" i="9"/>
  <c r="D33" i="9"/>
  <c r="E31" i="9"/>
  <c r="D29" i="9"/>
  <c r="D27" i="9"/>
  <c r="E25" i="9"/>
  <c r="D23" i="9"/>
  <c r="D21" i="9"/>
  <c r="E19" i="9"/>
  <c r="D17" i="9"/>
  <c r="E15" i="9"/>
  <c r="G13" i="9"/>
  <c r="C10" i="9"/>
  <c r="F8" i="9"/>
  <c r="D5" i="9"/>
  <c r="F3" i="9"/>
  <c r="X7" i="12"/>
  <c r="AC2" i="12"/>
  <c r="D37" i="9"/>
  <c r="B35" i="9"/>
  <c r="C33" i="9"/>
  <c r="D31" i="9"/>
  <c r="B29" i="9"/>
  <c r="C27" i="9"/>
  <c r="D25" i="9"/>
  <c r="B23" i="9"/>
  <c r="C21" i="9"/>
  <c r="D19" i="9"/>
  <c r="B17" i="9"/>
  <c r="D15" i="9"/>
  <c r="F13" i="9"/>
  <c r="B10" i="9"/>
  <c r="E8" i="9"/>
  <c r="B5" i="9"/>
  <c r="E3" i="9"/>
  <c r="B7" i="12"/>
  <c r="C37" i="9"/>
  <c r="B33" i="9"/>
  <c r="C31" i="9"/>
  <c r="B27" i="9"/>
  <c r="C25" i="9"/>
  <c r="B21" i="9"/>
  <c r="C19" i="9"/>
  <c r="C15" i="9"/>
  <c r="E13" i="9"/>
  <c r="G11" i="9"/>
  <c r="D8" i="9"/>
  <c r="F6" i="9"/>
  <c r="D3" i="9"/>
  <c r="M6" i="12"/>
  <c r="B15" i="9"/>
  <c r="D13" i="9"/>
  <c r="E11" i="9"/>
  <c r="B8" i="9"/>
  <c r="E6" i="9"/>
  <c r="C3" i="9"/>
  <c r="F30" i="9"/>
  <c r="G22" i="9"/>
  <c r="G38" i="9"/>
  <c r="E30" i="9"/>
  <c r="F22" i="9"/>
  <c r="D38" i="9"/>
  <c r="D30" i="9"/>
  <c r="E22" i="9"/>
  <c r="G14" i="9"/>
  <c r="G7" i="9"/>
  <c r="F36" i="9"/>
  <c r="G28" i="9"/>
  <c r="C13" i="9"/>
  <c r="D6" i="9"/>
  <c r="E36" i="9"/>
  <c r="F28" i="9"/>
  <c r="G20" i="9"/>
  <c r="C6" i="9"/>
  <c r="D36" i="9"/>
  <c r="E28" i="9"/>
  <c r="D20" i="9"/>
  <c r="B6" i="9"/>
  <c r="G34" i="9"/>
  <c r="F18" i="9"/>
  <c r="D11" i="9"/>
  <c r="G4" i="9"/>
  <c r="H5" i="12"/>
  <c r="F34" i="9"/>
  <c r="G26" i="9"/>
  <c r="E18" i="9"/>
  <c r="B11" i="9"/>
  <c r="F4" i="9"/>
  <c r="Z4" i="12"/>
  <c r="E34" i="9"/>
  <c r="D26" i="9"/>
  <c r="F24" i="9"/>
  <c r="B3" i="9"/>
  <c r="E24" i="9"/>
  <c r="D24" i="9"/>
  <c r="D18" i="9"/>
  <c r="G16" i="9"/>
  <c r="F16" i="9"/>
  <c r="E16" i="9"/>
  <c r="F9" i="9"/>
  <c r="E9" i="9"/>
  <c r="G32" i="9"/>
  <c r="D32" i="9"/>
  <c r="D9" i="9"/>
  <c r="E4" i="9"/>
  <c r="S10" i="4"/>
  <c r="R11" i="4"/>
  <c r="R42" i="4"/>
  <c r="H5" i="9" s="1"/>
  <c r="D53" i="4"/>
  <c r="C16" i="12" s="1"/>
  <c r="D54" i="4"/>
  <c r="C17" i="12" s="1"/>
  <c r="D55" i="4"/>
  <c r="C18" i="12" s="1"/>
  <c r="D56" i="4"/>
  <c r="D67" i="4"/>
  <c r="C30" i="12" s="1"/>
  <c r="S79" i="4"/>
  <c r="D98" i="4"/>
  <c r="D24" i="12" s="1"/>
  <c r="S99" i="4"/>
  <c r="I25" i="9" s="1"/>
  <c r="D110" i="4"/>
  <c r="D36" i="12" s="1"/>
  <c r="S111" i="4"/>
  <c r="I37" i="9" s="1"/>
  <c r="D122" i="4"/>
  <c r="E11" i="12" s="1"/>
  <c r="D123" i="4"/>
  <c r="E12" i="12" s="1"/>
  <c r="D124" i="4"/>
  <c r="E13" i="12" s="1"/>
  <c r="D163" i="4"/>
  <c r="F15" i="12" s="1"/>
  <c r="D175" i="4"/>
  <c r="F27" i="12" s="1"/>
  <c r="D187" i="4"/>
  <c r="G2" i="12" s="1"/>
  <c r="D188" i="4"/>
  <c r="G3" i="12" s="1"/>
  <c r="S189" i="4"/>
  <c r="R189" i="4"/>
  <c r="R191" i="4"/>
  <c r="H6" i="9" s="1"/>
  <c r="D200" i="4"/>
  <c r="S201" i="4"/>
  <c r="I16" i="9" s="1"/>
  <c r="R201" i="4"/>
  <c r="H16" i="9" s="1"/>
  <c r="S209" i="4"/>
  <c r="I24" i="9" s="1"/>
  <c r="R209" i="4"/>
  <c r="S215" i="4"/>
  <c r="I30" i="9" s="1"/>
  <c r="R215" i="4"/>
  <c r="H30" i="9" s="1"/>
  <c r="S221" i="4"/>
  <c r="R221" i="4"/>
  <c r="D254" i="4"/>
  <c r="B39" i="6" s="1"/>
  <c r="S255" i="4"/>
  <c r="D291" i="4"/>
  <c r="I32" i="12" s="1"/>
  <c r="D343" i="4"/>
  <c r="S418" i="4"/>
  <c r="R419" i="4"/>
  <c r="H12" i="9" s="1"/>
  <c r="D427" i="4"/>
  <c r="D440" i="4"/>
  <c r="M33" i="12" s="1"/>
  <c r="S440" i="4"/>
  <c r="R440" i="4"/>
  <c r="D338" i="4"/>
  <c r="D349" i="4"/>
  <c r="R370" i="4"/>
  <c r="R380" i="4"/>
  <c r="D433" i="4"/>
  <c r="M26" i="12" s="1"/>
  <c r="S433" i="4"/>
  <c r="D439" i="4"/>
  <c r="M32" i="12" s="1"/>
  <c r="S439" i="4"/>
  <c r="D444" i="4"/>
  <c r="M37" i="12" s="1"/>
  <c r="S444" i="4"/>
  <c r="R444" i="4"/>
  <c r="D493" i="4"/>
  <c r="S493" i="4"/>
  <c r="R493" i="4"/>
  <c r="D544" i="4"/>
  <c r="P26" i="12" s="1"/>
  <c r="S554" i="4"/>
  <c r="R554" i="4"/>
  <c r="D564" i="4"/>
  <c r="Q9" i="12" s="1"/>
  <c r="D597" i="4"/>
  <c r="R5" i="12" s="1"/>
  <c r="D644" i="4"/>
  <c r="S15" i="12" s="1"/>
  <c r="D678" i="4"/>
  <c r="T12" i="12" s="1"/>
  <c r="S678" i="4"/>
  <c r="R678" i="4"/>
  <c r="D688" i="4"/>
  <c r="T22" i="12" s="1"/>
  <c r="S688" i="4"/>
  <c r="R688" i="4"/>
  <c r="D692" i="4"/>
  <c r="S692" i="4"/>
  <c r="R692" i="4"/>
  <c r="D696" i="4"/>
  <c r="S696" i="4"/>
  <c r="R696" i="4"/>
  <c r="D708" i="4"/>
  <c r="U5" i="12" s="1"/>
  <c r="S708" i="4"/>
  <c r="R708" i="4"/>
  <c r="D377" i="4"/>
  <c r="S377" i="4"/>
  <c r="I7" i="9" s="1"/>
  <c r="S378" i="4"/>
  <c r="R378" i="4"/>
  <c r="S379" i="4"/>
  <c r="R379" i="4"/>
  <c r="H9" i="9" s="1"/>
  <c r="D571" i="4"/>
  <c r="Q16" i="12" s="1"/>
  <c r="S571" i="4"/>
  <c r="R571" i="4"/>
  <c r="S725" i="4"/>
  <c r="R725" i="4"/>
  <c r="S795" i="4"/>
  <c r="R795" i="4"/>
  <c r="R232" i="4"/>
  <c r="H10" i="9" s="1"/>
  <c r="S241" i="4"/>
  <c r="S264" i="4"/>
  <c r="R266" i="4"/>
  <c r="R277" i="4"/>
  <c r="H18" i="9" s="1"/>
  <c r="S298" i="4"/>
  <c r="R299" i="4"/>
  <c r="R310" i="4"/>
  <c r="H14" i="9" s="1"/>
  <c r="R318" i="4"/>
  <c r="H22" i="9" s="1"/>
  <c r="R319" i="4"/>
  <c r="H23" i="9" s="1"/>
  <c r="R320" i="4"/>
  <c r="R321" i="4"/>
  <c r="H25" i="9" s="1"/>
  <c r="R322" i="4"/>
  <c r="R323" i="4"/>
  <c r="H27" i="9" s="1"/>
  <c r="R324" i="4"/>
  <c r="R325" i="4"/>
  <c r="R326" i="4"/>
  <c r="R327" i="4"/>
  <c r="R328" i="4"/>
  <c r="H32" i="9" s="1"/>
  <c r="R329" i="4"/>
  <c r="R330" i="4"/>
  <c r="H34" i="9" s="1"/>
  <c r="R331" i="4"/>
  <c r="H35" i="9" s="1"/>
  <c r="R332" i="4"/>
  <c r="R333" i="4"/>
  <c r="R334" i="4"/>
  <c r="S342" i="4"/>
  <c r="R343" i="4"/>
  <c r="S352" i="4"/>
  <c r="D376" i="4"/>
  <c r="L6" i="12" s="1"/>
  <c r="S390" i="4"/>
  <c r="D398" i="4"/>
  <c r="L28" i="12" s="1"/>
  <c r="R414" i="4"/>
  <c r="R425" i="4"/>
  <c r="R427" i="4"/>
  <c r="R429" i="4"/>
  <c r="D432" i="4"/>
  <c r="S432" i="4"/>
  <c r="D438" i="4"/>
  <c r="S438" i="4"/>
  <c r="S449" i="4"/>
  <c r="S464" i="4"/>
  <c r="I20" i="9" s="1"/>
  <c r="D466" i="4"/>
  <c r="N22" i="12" s="1"/>
  <c r="S466" i="4"/>
  <c r="R466" i="4"/>
  <c r="D470" i="4"/>
  <c r="N26" i="12" s="1"/>
  <c r="S470" i="4"/>
  <c r="I26" i="9" s="1"/>
  <c r="R470" i="4"/>
  <c r="D474" i="4"/>
  <c r="S474" i="4"/>
  <c r="R474" i="4"/>
  <c r="D478" i="4"/>
  <c r="S478" i="4"/>
  <c r="R478" i="4"/>
  <c r="D482" i="4"/>
  <c r="S482" i="4"/>
  <c r="R482" i="4"/>
  <c r="S503" i="4"/>
  <c r="D513" i="4"/>
  <c r="O32" i="12" s="1"/>
  <c r="S513" i="4"/>
  <c r="R513" i="4"/>
  <c r="S517" i="4"/>
  <c r="D523" i="4"/>
  <c r="P5" i="12" s="1"/>
  <c r="D535" i="4"/>
  <c r="P17" i="12" s="1"/>
  <c r="S570" i="4"/>
  <c r="S596" i="4"/>
  <c r="S616" i="4"/>
  <c r="D643" i="4"/>
  <c r="S14" i="12" s="1"/>
  <c r="D659" i="4"/>
  <c r="S30" i="12" s="1"/>
  <c r="S729" i="4"/>
  <c r="R300" i="4"/>
  <c r="H4" i="9" s="1"/>
  <c r="R311" i="4"/>
  <c r="H15" i="9" s="1"/>
  <c r="S318" i="4"/>
  <c r="I22" i="9" s="1"/>
  <c r="S319" i="4"/>
  <c r="S320" i="4"/>
  <c r="S321" i="4"/>
  <c r="S322" i="4"/>
  <c r="S323" i="4"/>
  <c r="I27" i="9" s="1"/>
  <c r="S324" i="4"/>
  <c r="S325" i="4"/>
  <c r="I29" i="9" s="1"/>
  <c r="S326" i="4"/>
  <c r="S327" i="4"/>
  <c r="I31" i="9" s="1"/>
  <c r="S328" i="4"/>
  <c r="I32" i="9" s="1"/>
  <c r="S329" i="4"/>
  <c r="S330" i="4"/>
  <c r="I34" i="9" s="1"/>
  <c r="S331" i="4"/>
  <c r="S332" i="4"/>
  <c r="S333" i="4"/>
  <c r="S334" i="4"/>
  <c r="D385" i="4"/>
  <c r="D386" i="4"/>
  <c r="L16" i="12" s="1"/>
  <c r="D387" i="4"/>
  <c r="L17" i="12" s="1"/>
  <c r="D388" i="4"/>
  <c r="L18" i="12" s="1"/>
  <c r="S388" i="4"/>
  <c r="I18" i="9" s="1"/>
  <c r="S389" i="4"/>
  <c r="I19" i="9" s="1"/>
  <c r="R389" i="4"/>
  <c r="R391" i="4"/>
  <c r="H21" i="9" s="1"/>
  <c r="D397" i="4"/>
  <c r="L27" i="12" s="1"/>
  <c r="R403" i="4"/>
  <c r="D409" i="4"/>
  <c r="M2" i="12" s="1"/>
  <c r="S424" i="4"/>
  <c r="R424" i="4"/>
  <c r="S427" i="4"/>
  <c r="D443" i="4"/>
  <c r="M36" i="12" s="1"/>
  <c r="S443" i="4"/>
  <c r="I36" i="9" s="1"/>
  <c r="R443" i="4"/>
  <c r="H36" i="9" s="1"/>
  <c r="D452" i="4"/>
  <c r="N8" i="12" s="1"/>
  <c r="D464" i="4"/>
  <c r="S465" i="4"/>
  <c r="D491" i="4"/>
  <c r="O10" i="12" s="1"/>
  <c r="S501" i="4"/>
  <c r="S502" i="4"/>
  <c r="D533" i="4"/>
  <c r="S535" i="4"/>
  <c r="S543" i="4"/>
  <c r="D543" i="4"/>
  <c r="P25" i="12" s="1"/>
  <c r="R543" i="4"/>
  <c r="D547" i="4"/>
  <c r="P29" i="12" s="1"/>
  <c r="R557" i="4"/>
  <c r="D579" i="4"/>
  <c r="D583" i="4"/>
  <c r="D587" i="4"/>
  <c r="Q32" i="12" s="1"/>
  <c r="D591" i="4"/>
  <c r="Q36" i="12" s="1"/>
  <c r="S631" i="4"/>
  <c r="D636" i="4"/>
  <c r="S7" i="12" s="1"/>
  <c r="D637" i="4"/>
  <c r="S8" i="12" s="1"/>
  <c r="S637" i="4"/>
  <c r="R637" i="4"/>
  <c r="S687" i="4"/>
  <c r="R687" i="4"/>
  <c r="D691" i="4"/>
  <c r="T25" i="12" s="1"/>
  <c r="S691" i="4"/>
  <c r="R691" i="4"/>
  <c r="D695" i="4"/>
  <c r="T29" i="12" s="1"/>
  <c r="S695" i="4"/>
  <c r="R695" i="4"/>
  <c r="D720" i="4"/>
  <c r="U17" i="12" s="1"/>
  <c r="S789" i="4"/>
  <c r="R789" i="4"/>
  <c r="D789" i="4"/>
  <c r="W12" i="12" s="1"/>
  <c r="R242" i="4"/>
  <c r="H20" i="9" s="1"/>
  <c r="R267" i="4"/>
  <c r="H8" i="9" s="1"/>
  <c r="S300" i="4"/>
  <c r="I4" i="9" s="1"/>
  <c r="S311" i="4"/>
  <c r="R312" i="4"/>
  <c r="R344" i="4"/>
  <c r="R353" i="4"/>
  <c r="D396" i="4"/>
  <c r="L26" i="12" s="1"/>
  <c r="R402" i="4"/>
  <c r="D408" i="4"/>
  <c r="S412" i="4"/>
  <c r="R412" i="4"/>
  <c r="S413" i="4"/>
  <c r="I6" i="9" s="1"/>
  <c r="R413" i="4"/>
  <c r="S423" i="4"/>
  <c r="R423" i="4"/>
  <c r="D431" i="4"/>
  <c r="M24" i="12" s="1"/>
  <c r="S431" i="4"/>
  <c r="D437" i="4"/>
  <c r="M30" i="12" s="1"/>
  <c r="S437" i="4"/>
  <c r="D453" i="4"/>
  <c r="D461" i="4"/>
  <c r="N17" i="12" s="1"/>
  <c r="D501" i="4"/>
  <c r="S507" i="4"/>
  <c r="D522" i="4"/>
  <c r="P4" i="12" s="1"/>
  <c r="D532" i="4"/>
  <c r="P14" i="12" s="1"/>
  <c r="R547" i="4"/>
  <c r="H29" i="9" s="1"/>
  <c r="S557" i="4"/>
  <c r="S558" i="4"/>
  <c r="R558" i="4"/>
  <c r="D569" i="4"/>
  <c r="Q14" i="12" s="1"/>
  <c r="R594" i="4"/>
  <c r="D611" i="4"/>
  <c r="R19" i="12" s="1"/>
  <c r="S611" i="4"/>
  <c r="R611" i="4"/>
  <c r="S615" i="4"/>
  <c r="S728" i="4"/>
  <c r="D788" i="4"/>
  <c r="W11" i="12" s="1"/>
  <c r="S788" i="4"/>
  <c r="R788" i="4"/>
  <c r="S267" i="4"/>
  <c r="I8" i="9" s="1"/>
  <c r="R278" i="4"/>
  <c r="H19" i="9" s="1"/>
  <c r="R301" i="4"/>
  <c r="S312" i="4"/>
  <c r="R335" i="4"/>
  <c r="S344" i="4"/>
  <c r="I11" i="9" s="1"/>
  <c r="D395" i="4"/>
  <c r="L25" i="12" s="1"/>
  <c r="D407" i="4"/>
  <c r="L37" i="12" s="1"/>
  <c r="D410" i="4"/>
  <c r="S410" i="4"/>
  <c r="S411" i="4"/>
  <c r="R411" i="4"/>
  <c r="D418" i="4"/>
  <c r="D421" i="4"/>
  <c r="S421" i="4"/>
  <c r="I14" i="9" s="1"/>
  <c r="S422" i="4"/>
  <c r="R422" i="4"/>
  <c r="D448" i="4"/>
  <c r="D449" i="4"/>
  <c r="D458" i="4"/>
  <c r="N14" i="12" s="1"/>
  <c r="S458" i="4"/>
  <c r="R458" i="4"/>
  <c r="S463" i="4"/>
  <c r="D469" i="4"/>
  <c r="N25" i="12" s="1"/>
  <c r="S469" i="4"/>
  <c r="R469" i="4"/>
  <c r="D473" i="4"/>
  <c r="N29" i="12" s="1"/>
  <c r="S473" i="4"/>
  <c r="R473" i="4"/>
  <c r="D477" i="4"/>
  <c r="S477" i="4"/>
  <c r="R477" i="4"/>
  <c r="D481" i="4"/>
  <c r="N37" i="12" s="1"/>
  <c r="S481" i="4"/>
  <c r="R481" i="4"/>
  <c r="H37" i="9" s="1"/>
  <c r="D490" i="4"/>
  <c r="O9" i="12" s="1"/>
  <c r="D502" i="4"/>
  <c r="O21" i="12" s="1"/>
  <c r="S516" i="4"/>
  <c r="D557" i="4"/>
  <c r="S595" i="4"/>
  <c r="S629" i="4"/>
  <c r="R642" i="4"/>
  <c r="D642" i="4"/>
  <c r="S13" i="12" s="1"/>
  <c r="S642" i="4"/>
  <c r="S658" i="4"/>
  <c r="D658" i="4"/>
  <c r="S29" i="12" s="1"/>
  <c r="R658" i="4"/>
  <c r="S675" i="4"/>
  <c r="R675" i="4"/>
  <c r="D675" i="4"/>
  <c r="R358" i="4"/>
  <c r="R359" i="4"/>
  <c r="R360" i="4"/>
  <c r="R361" i="4"/>
  <c r="R362" i="4"/>
  <c r="R363" i="4"/>
  <c r="R364" i="4"/>
  <c r="H31" i="9" s="1"/>
  <c r="R365" i="4"/>
  <c r="R366" i="4"/>
  <c r="H33" i="9" s="1"/>
  <c r="R367" i="4"/>
  <c r="R368" i="4"/>
  <c r="R369" i="4"/>
  <c r="S370" i="4"/>
  <c r="D394" i="4"/>
  <c r="L24" i="12" s="1"/>
  <c r="D406" i="4"/>
  <c r="L36" i="12" s="1"/>
  <c r="D420" i="4"/>
  <c r="D430" i="4"/>
  <c r="M23" i="12" s="1"/>
  <c r="S430" i="4"/>
  <c r="I23" i="9" s="1"/>
  <c r="D436" i="4"/>
  <c r="M29" i="12" s="1"/>
  <c r="S436" i="4"/>
  <c r="D442" i="4"/>
  <c r="M35" i="12" s="1"/>
  <c r="S442" i="4"/>
  <c r="R442" i="4"/>
  <c r="D446" i="4"/>
  <c r="S446" i="4"/>
  <c r="R446" i="4"/>
  <c r="S452" i="4"/>
  <c r="S506" i="4"/>
  <c r="S520" i="4"/>
  <c r="D521" i="4"/>
  <c r="S542" i="4"/>
  <c r="R542" i="4"/>
  <c r="H24" i="9" s="1"/>
  <c r="D546" i="4"/>
  <c r="P28" i="12" s="1"/>
  <c r="D574" i="4"/>
  <c r="Q19" i="12" s="1"/>
  <c r="R574" i="4"/>
  <c r="S574" i="4"/>
  <c r="D624" i="4"/>
  <c r="R32" i="12" s="1"/>
  <c r="S624" i="4"/>
  <c r="R624" i="4"/>
  <c r="D674" i="4"/>
  <c r="T8" i="12" s="1"/>
  <c r="S674" i="4"/>
  <c r="R674" i="4"/>
  <c r="D690" i="4"/>
  <c r="T24" i="12" s="1"/>
  <c r="S690" i="4"/>
  <c r="R690" i="4"/>
  <c r="D694" i="4"/>
  <c r="T28" i="12" s="1"/>
  <c r="S694" i="4"/>
  <c r="R694" i="4"/>
  <c r="S738" i="4"/>
  <c r="R738" i="4"/>
  <c r="R337" i="4"/>
  <c r="R348" i="4"/>
  <c r="S380" i="4"/>
  <c r="D393" i="4"/>
  <c r="L23" i="12" s="1"/>
  <c r="R399" i="4"/>
  <c r="D405" i="4"/>
  <c r="L35" i="12" s="1"/>
  <c r="D419" i="4"/>
  <c r="M12" i="12" s="1"/>
  <c r="S428" i="4"/>
  <c r="I21" i="9" s="1"/>
  <c r="S447" i="4"/>
  <c r="R447" i="4"/>
  <c r="D488" i="4"/>
  <c r="O7" i="12" s="1"/>
  <c r="D500" i="4"/>
  <c r="D568" i="4"/>
  <c r="S614" i="4"/>
  <c r="S628" i="4"/>
  <c r="S634" i="4"/>
  <c r="R641" i="4"/>
  <c r="D641" i="4"/>
  <c r="S12" i="12" s="1"/>
  <c r="S641" i="4"/>
  <c r="S666" i="4"/>
  <c r="R666" i="4"/>
  <c r="D666" i="4"/>
  <c r="S37" i="12" s="1"/>
  <c r="S783" i="4"/>
  <c r="R783" i="4"/>
  <c r="R304" i="4"/>
  <c r="R349" i="4"/>
  <c r="R373" i="4"/>
  <c r="R374" i="4"/>
  <c r="R376" i="4"/>
  <c r="R377" i="4"/>
  <c r="H7" i="9" s="1"/>
  <c r="R381" i="4"/>
  <c r="H11" i="9" s="1"/>
  <c r="D392" i="4"/>
  <c r="B38" i="6" s="1"/>
  <c r="R398" i="4"/>
  <c r="D404" i="4"/>
  <c r="L34" i="12" s="1"/>
  <c r="D428" i="4"/>
  <c r="M21" i="12" s="1"/>
  <c r="S429" i="4"/>
  <c r="D435" i="4"/>
  <c r="S435" i="4"/>
  <c r="D441" i="4"/>
  <c r="S441" i="4"/>
  <c r="D451" i="4"/>
  <c r="N7" i="12" s="1"/>
  <c r="D457" i="4"/>
  <c r="N13" i="12" s="1"/>
  <c r="S457" i="4"/>
  <c r="I13" i="9" s="1"/>
  <c r="R457" i="4"/>
  <c r="H13" i="9" s="1"/>
  <c r="D468" i="4"/>
  <c r="S468" i="4"/>
  <c r="R468" i="4"/>
  <c r="D472" i="4"/>
  <c r="N28" i="12" s="1"/>
  <c r="S472" i="4"/>
  <c r="R472" i="4"/>
  <c r="D476" i="4"/>
  <c r="S476" i="4"/>
  <c r="R476" i="4"/>
  <c r="D480" i="4"/>
  <c r="N36" i="12" s="1"/>
  <c r="S480" i="4"/>
  <c r="R480" i="4"/>
  <c r="D496" i="4"/>
  <c r="O15" i="12" s="1"/>
  <c r="S496" i="4"/>
  <c r="R496" i="4"/>
  <c r="S505" i="4"/>
  <c r="S515" i="4"/>
  <c r="D526" i="4"/>
  <c r="S526" i="4"/>
  <c r="R526" i="4"/>
  <c r="S612" i="4"/>
  <c r="S613" i="4"/>
  <c r="D634" i="4"/>
  <c r="S5" i="12" s="1"/>
  <c r="D640" i="4"/>
  <c r="S11" i="12" s="1"/>
  <c r="S640" i="4"/>
  <c r="R640" i="4"/>
  <c r="D646" i="4"/>
  <c r="S17" i="12" s="1"/>
  <c r="S646" i="4"/>
  <c r="R646" i="4"/>
  <c r="D661" i="4"/>
  <c r="R718" i="4"/>
  <c r="D403" i="4"/>
  <c r="L33" i="12" s="1"/>
  <c r="D445" i="4"/>
  <c r="M38" i="12" s="1"/>
  <c r="S445" i="4"/>
  <c r="I38" i="9" s="1"/>
  <c r="R445" i="4"/>
  <c r="H38" i="9" s="1"/>
  <c r="S489" i="4"/>
  <c r="R520" i="4"/>
  <c r="D537" i="4"/>
  <c r="R545" i="4"/>
  <c r="S555" i="4"/>
  <c r="D555" i="4"/>
  <c r="P37" i="12" s="1"/>
  <c r="R555" i="4"/>
  <c r="D567" i="4"/>
  <c r="Q12" i="12" s="1"/>
  <c r="D573" i="4"/>
  <c r="Q18" i="12" s="1"/>
  <c r="S573" i="4"/>
  <c r="R573" i="4"/>
  <c r="D689" i="4"/>
  <c r="T23" i="12" s="1"/>
  <c r="S689" i="4"/>
  <c r="R689" i="4"/>
  <c r="D693" i="4"/>
  <c r="T27" i="12" s="1"/>
  <c r="S693" i="4"/>
  <c r="R693" i="4"/>
  <c r="S697" i="4"/>
  <c r="D697" i="4"/>
  <c r="R697" i="4"/>
  <c r="S9" i="5"/>
  <c r="R9" i="5"/>
  <c r="H9" i="10" s="1"/>
  <c r="D345" i="5"/>
  <c r="K12" i="13" s="1"/>
  <c r="S345" i="5"/>
  <c r="R345" i="5"/>
  <c r="S489" i="5"/>
  <c r="R489" i="5"/>
  <c r="D707" i="4"/>
  <c r="U4" i="12" s="1"/>
  <c r="R729" i="4"/>
  <c r="R741" i="4"/>
  <c r="D765" i="4"/>
  <c r="V25" i="12" s="1"/>
  <c r="S765" i="4"/>
  <c r="R765" i="4"/>
  <c r="D769" i="4"/>
  <c r="V29" i="12" s="1"/>
  <c r="S769" i="4"/>
  <c r="R769" i="4"/>
  <c r="D773" i="4"/>
  <c r="S773" i="4"/>
  <c r="R773" i="4"/>
  <c r="D777" i="4"/>
  <c r="S777" i="4"/>
  <c r="R777" i="4"/>
  <c r="S827" i="4"/>
  <c r="R827" i="4"/>
  <c r="S836" i="4"/>
  <c r="R836" i="4"/>
  <c r="S840" i="4"/>
  <c r="R840" i="4"/>
  <c r="S844" i="4"/>
  <c r="R844" i="4"/>
  <c r="S848" i="4"/>
  <c r="R848" i="4"/>
  <c r="S852" i="4"/>
  <c r="R852" i="4"/>
  <c r="D866" i="4"/>
  <c r="S866" i="4"/>
  <c r="R866" i="4"/>
  <c r="D875" i="4"/>
  <c r="Y24" i="12" s="1"/>
  <c r="S875" i="4"/>
  <c r="R875" i="4"/>
  <c r="D879" i="4"/>
  <c r="S879" i="4"/>
  <c r="R879" i="4"/>
  <c r="D883" i="4"/>
  <c r="S883" i="4"/>
  <c r="R883" i="4"/>
  <c r="D887" i="4"/>
  <c r="Y36" i="12" s="1"/>
  <c r="S887" i="4"/>
  <c r="R887" i="4"/>
  <c r="S938" i="4"/>
  <c r="R938" i="4"/>
  <c r="S947" i="4"/>
  <c r="R947" i="4"/>
  <c r="S951" i="4"/>
  <c r="R951" i="4"/>
  <c r="S955" i="4"/>
  <c r="R955" i="4"/>
  <c r="S959" i="4"/>
  <c r="R959" i="4"/>
  <c r="S963" i="4"/>
  <c r="R963" i="4"/>
  <c r="S984" i="4"/>
  <c r="R984" i="4"/>
  <c r="S43" i="5"/>
  <c r="I6" i="10" s="1"/>
  <c r="R43" i="5"/>
  <c r="S59" i="5"/>
  <c r="D59" i="5"/>
  <c r="R59" i="5"/>
  <c r="R453" i="4"/>
  <c r="D484" i="4"/>
  <c r="R489" i="4"/>
  <c r="D498" i="4"/>
  <c r="O17" i="12" s="1"/>
  <c r="S500" i="4"/>
  <c r="R506" i="4"/>
  <c r="D512" i="4"/>
  <c r="O31" i="12" s="1"/>
  <c r="R518" i="4"/>
  <c r="D528" i="4"/>
  <c r="P10" i="12" s="1"/>
  <c r="R535" i="4"/>
  <c r="S539" i="4"/>
  <c r="D540" i="4"/>
  <c r="P22" i="12" s="1"/>
  <c r="S541" i="4"/>
  <c r="D552" i="4"/>
  <c r="S553" i="4"/>
  <c r="D560" i="4"/>
  <c r="R56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I35" i="9" s="1"/>
  <c r="S591" i="4"/>
  <c r="S592" i="4"/>
  <c r="S593" i="4"/>
  <c r="D603" i="4"/>
  <c r="R11" i="12" s="1"/>
  <c r="R616" i="4"/>
  <c r="D622" i="4"/>
  <c r="R30" i="12" s="1"/>
  <c r="R628" i="4"/>
  <c r="D655" i="4"/>
  <c r="S656" i="4"/>
  <c r="S665" i="4"/>
  <c r="R665" i="4"/>
  <c r="D672" i="4"/>
  <c r="T6" i="12" s="1"/>
  <c r="D685" i="4"/>
  <c r="T19" i="12" s="1"/>
  <c r="D686" i="4"/>
  <c r="T20" i="12" s="1"/>
  <c r="R728" i="4"/>
  <c r="R782" i="4"/>
  <c r="R794" i="4"/>
  <c r="S821" i="4"/>
  <c r="S906" i="4"/>
  <c r="R906" i="4"/>
  <c r="S928" i="4"/>
  <c r="R928" i="4"/>
  <c r="D967" i="4"/>
  <c r="AB5" i="12" s="1"/>
  <c r="S967" i="4"/>
  <c r="R967" i="4"/>
  <c r="D991" i="4"/>
  <c r="S991" i="4"/>
  <c r="R991" i="4"/>
  <c r="D1009" i="4"/>
  <c r="AC10" i="12" s="1"/>
  <c r="S1009" i="4"/>
  <c r="R1009" i="4"/>
  <c r="S1041" i="4"/>
  <c r="R1041" i="4"/>
  <c r="D1106" i="4"/>
  <c r="AE33" i="12" s="1"/>
  <c r="S1106" i="4"/>
  <c r="R1106" i="4"/>
  <c r="S453" i="4"/>
  <c r="I9" i="9" s="1"/>
  <c r="R454" i="4"/>
  <c r="D485" i="4"/>
  <c r="O4" i="12" s="1"/>
  <c r="D499" i="4"/>
  <c r="O18" i="12" s="1"/>
  <c r="R505" i="4"/>
  <c r="R517" i="4"/>
  <c r="D529" i="4"/>
  <c r="P11" i="12" s="1"/>
  <c r="R546" i="4"/>
  <c r="R568" i="4"/>
  <c r="D609" i="4"/>
  <c r="R17" i="12" s="1"/>
  <c r="R615" i="4"/>
  <c r="R627" i="4"/>
  <c r="R635" i="4"/>
  <c r="R661" i="4"/>
  <c r="D700" i="4"/>
  <c r="R739" i="4"/>
  <c r="S983" i="4"/>
  <c r="R983" i="4"/>
  <c r="D1082" i="4"/>
  <c r="D1084" i="4"/>
  <c r="AE11" i="12" s="1"/>
  <c r="S1084" i="4"/>
  <c r="R1084" i="4"/>
  <c r="S454" i="4"/>
  <c r="I10" i="9" s="1"/>
  <c r="D463" i="4"/>
  <c r="N19" i="12" s="1"/>
  <c r="R464" i="4"/>
  <c r="S490" i="4"/>
  <c r="R491" i="4"/>
  <c r="S499" i="4"/>
  <c r="R501" i="4"/>
  <c r="R504" i="4"/>
  <c r="D510" i="4"/>
  <c r="O29" i="12" s="1"/>
  <c r="R516" i="4"/>
  <c r="R521" i="4"/>
  <c r="S522" i="4"/>
  <c r="S536" i="4"/>
  <c r="S551" i="4"/>
  <c r="I33" i="9" s="1"/>
  <c r="S567" i="4"/>
  <c r="I12" i="9" s="1"/>
  <c r="S568" i="4"/>
  <c r="R569" i="4"/>
  <c r="D604" i="4"/>
  <c r="R12" i="12" s="1"/>
  <c r="R609" i="4"/>
  <c r="S610" i="4"/>
  <c r="R612" i="4"/>
  <c r="R614" i="4"/>
  <c r="D620" i="4"/>
  <c r="R28" i="12" s="1"/>
  <c r="R626" i="4"/>
  <c r="S635" i="4"/>
  <c r="R636" i="4"/>
  <c r="S654" i="4"/>
  <c r="S664" i="4"/>
  <c r="R664" i="4"/>
  <c r="D699" i="4"/>
  <c r="T33" i="12" s="1"/>
  <c r="R712" i="4"/>
  <c r="R726" i="4"/>
  <c r="D732" i="4"/>
  <c r="U29" i="12" s="1"/>
  <c r="R745" i="4"/>
  <c r="D746" i="4"/>
  <c r="D752" i="4"/>
  <c r="V12" i="12" s="1"/>
  <c r="S752" i="4"/>
  <c r="R752" i="4"/>
  <c r="S757" i="4"/>
  <c r="R758" i="4"/>
  <c r="D764" i="4"/>
  <c r="S764" i="4"/>
  <c r="R764" i="4"/>
  <c r="D768" i="4"/>
  <c r="V28" i="12" s="1"/>
  <c r="S768" i="4"/>
  <c r="R768" i="4"/>
  <c r="D772" i="4"/>
  <c r="V32" i="12" s="1"/>
  <c r="S772" i="4"/>
  <c r="R772" i="4"/>
  <c r="D776" i="4"/>
  <c r="V36" i="12" s="1"/>
  <c r="S776" i="4"/>
  <c r="R776" i="4"/>
  <c r="D786" i="4"/>
  <c r="D816" i="4"/>
  <c r="R816" i="4"/>
  <c r="R817" i="4"/>
  <c r="S826" i="4"/>
  <c r="R826" i="4"/>
  <c r="S835" i="4"/>
  <c r="R835" i="4"/>
  <c r="S839" i="4"/>
  <c r="R839" i="4"/>
  <c r="S843" i="4"/>
  <c r="R843" i="4"/>
  <c r="S847" i="4"/>
  <c r="R847" i="4"/>
  <c r="S851" i="4"/>
  <c r="R851" i="4"/>
  <c r="D855" i="4"/>
  <c r="S855" i="4"/>
  <c r="R855" i="4"/>
  <c r="S861" i="4"/>
  <c r="R861" i="4"/>
  <c r="D870" i="4"/>
  <c r="Y19" i="12" s="1"/>
  <c r="S870" i="4"/>
  <c r="R870" i="4"/>
  <c r="D874" i="4"/>
  <c r="Y23" i="12" s="1"/>
  <c r="S874" i="4"/>
  <c r="R874" i="4"/>
  <c r="D878" i="4"/>
  <c r="Y27" i="12" s="1"/>
  <c r="S878" i="4"/>
  <c r="R878" i="4"/>
  <c r="D882" i="4"/>
  <c r="S882" i="4"/>
  <c r="R882" i="4"/>
  <c r="D886" i="4"/>
  <c r="Y35" i="12" s="1"/>
  <c r="S886" i="4"/>
  <c r="R886" i="4"/>
  <c r="D890" i="4"/>
  <c r="Z2" i="12" s="1"/>
  <c r="S890" i="4"/>
  <c r="R890" i="4"/>
  <c r="S895" i="4"/>
  <c r="R895" i="4"/>
  <c r="D899" i="4"/>
  <c r="Z11" i="12" s="1"/>
  <c r="S899" i="4"/>
  <c r="R899" i="4"/>
  <c r="D931" i="4"/>
  <c r="AA6" i="12" s="1"/>
  <c r="S937" i="4"/>
  <c r="R937" i="4"/>
  <c r="S946" i="4"/>
  <c r="R946" i="4"/>
  <c r="S950" i="4"/>
  <c r="R950" i="4"/>
  <c r="S954" i="4"/>
  <c r="R954" i="4"/>
  <c r="S958" i="4"/>
  <c r="R958" i="4"/>
  <c r="S962" i="4"/>
  <c r="R962" i="4"/>
  <c r="S966" i="4"/>
  <c r="S996" i="4"/>
  <c r="R996" i="4"/>
  <c r="D1045" i="4"/>
  <c r="S491" i="4"/>
  <c r="R503" i="4"/>
  <c r="D509" i="4"/>
  <c r="R515" i="4"/>
  <c r="R523" i="4"/>
  <c r="R524" i="4"/>
  <c r="R544" i="4"/>
  <c r="H26" i="9" s="1"/>
  <c r="S550" i="4"/>
  <c r="R556" i="4"/>
  <c r="D563" i="4"/>
  <c r="Q8" i="12" s="1"/>
  <c r="S563" i="4"/>
  <c r="S569" i="4"/>
  <c r="R570" i="4"/>
  <c r="S594" i="4"/>
  <c r="R595" i="4"/>
  <c r="R596" i="4"/>
  <c r="D607" i="4"/>
  <c r="R15" i="12" s="1"/>
  <c r="S607" i="4"/>
  <c r="S608" i="4"/>
  <c r="R608" i="4"/>
  <c r="R613" i="4"/>
  <c r="D619" i="4"/>
  <c r="R27" i="12" s="1"/>
  <c r="R625" i="4"/>
  <c r="D631" i="4"/>
  <c r="S2" i="12" s="1"/>
  <c r="R631" i="4"/>
  <c r="S636" i="4"/>
  <c r="S653" i="4"/>
  <c r="R659" i="4"/>
  <c r="R668" i="4"/>
  <c r="D698" i="4"/>
  <c r="S712" i="4"/>
  <c r="R713" i="4"/>
  <c r="R716" i="4"/>
  <c r="D722" i="4"/>
  <c r="U19" i="12" s="1"/>
  <c r="R723" i="4"/>
  <c r="D731" i="4"/>
  <c r="U28" i="12" s="1"/>
  <c r="R737" i="4"/>
  <c r="D744" i="4"/>
  <c r="V4" i="12" s="1"/>
  <c r="S744" i="4"/>
  <c r="R744" i="4"/>
  <c r="D749" i="4"/>
  <c r="V9" i="12" s="1"/>
  <c r="D751" i="4"/>
  <c r="V11" i="12" s="1"/>
  <c r="D785" i="4"/>
  <c r="W8" i="12" s="1"/>
  <c r="S820" i="4"/>
  <c r="S905" i="4"/>
  <c r="R905" i="4"/>
  <c r="D927" i="4"/>
  <c r="AA2" i="12" s="1"/>
  <c r="S927" i="4"/>
  <c r="R927" i="4"/>
  <c r="D930" i="4"/>
  <c r="AA5" i="12" s="1"/>
  <c r="S973" i="4"/>
  <c r="R973" i="4"/>
  <c r="S994" i="4"/>
  <c r="D1007" i="4"/>
  <c r="AC8" i="12" s="1"/>
  <c r="S1018" i="4"/>
  <c r="R1033" i="4"/>
  <c r="S1109" i="4"/>
  <c r="D46" i="5"/>
  <c r="C9" i="13" s="1"/>
  <c r="S86" i="5"/>
  <c r="R456" i="4"/>
  <c r="R465" i="4"/>
  <c r="S488" i="4"/>
  <c r="R492" i="4"/>
  <c r="R502" i="4"/>
  <c r="D508" i="4"/>
  <c r="D520" i="4"/>
  <c r="P2" i="12" s="1"/>
  <c r="S523" i="4"/>
  <c r="I5" i="9" s="1"/>
  <c r="S524" i="4"/>
  <c r="R525" i="4"/>
  <c r="S532" i="4"/>
  <c r="R533" i="4"/>
  <c r="R537" i="4"/>
  <c r="S549" i="4"/>
  <c r="R564" i="4"/>
  <c r="S565" i="4"/>
  <c r="R572" i="4"/>
  <c r="R599" i="4"/>
  <c r="D618" i="4"/>
  <c r="R26" i="12" s="1"/>
  <c r="D630" i="4"/>
  <c r="R38" i="12" s="1"/>
  <c r="R638" i="4"/>
  <c r="R643" i="4"/>
  <c r="S644" i="4"/>
  <c r="I15" i="9" s="1"/>
  <c r="R645" i="4"/>
  <c r="S649" i="4"/>
  <c r="R649" i="4"/>
  <c r="S650" i="4"/>
  <c r="S652" i="4"/>
  <c r="S663" i="4"/>
  <c r="R663" i="4"/>
  <c r="S668" i="4"/>
  <c r="R669" i="4"/>
  <c r="R677" i="4"/>
  <c r="R704" i="4"/>
  <c r="R714" i="4"/>
  <c r="R715" i="4"/>
  <c r="S723" i="4"/>
  <c r="R724" i="4"/>
  <c r="D730" i="4"/>
  <c r="U27" i="12" s="1"/>
  <c r="R736" i="4"/>
  <c r="D742" i="4"/>
  <c r="V2" i="12" s="1"/>
  <c r="D750" i="4"/>
  <c r="R759" i="4"/>
  <c r="D796" i="4"/>
  <c r="W19" i="12" s="1"/>
  <c r="R797" i="4"/>
  <c r="D819" i="4"/>
  <c r="X5" i="12" s="1"/>
  <c r="D820" i="4"/>
  <c r="X6" i="12" s="1"/>
  <c r="D828" i="4"/>
  <c r="D837" i="4"/>
  <c r="D841" i="4"/>
  <c r="X27" i="12" s="1"/>
  <c r="D845" i="4"/>
  <c r="D849" i="4"/>
  <c r="X35" i="12" s="1"/>
  <c r="D853" i="4"/>
  <c r="Y2" i="12" s="1"/>
  <c r="S854" i="4"/>
  <c r="S864" i="4"/>
  <c r="D893" i="4"/>
  <c r="S898" i="4"/>
  <c r="D939" i="4"/>
  <c r="AA14" i="12" s="1"/>
  <c r="D948" i="4"/>
  <c r="AA23" i="12" s="1"/>
  <c r="D952" i="4"/>
  <c r="AA27" i="12" s="1"/>
  <c r="D956" i="4"/>
  <c r="AA31" i="12" s="1"/>
  <c r="D960" i="4"/>
  <c r="AA35" i="12" s="1"/>
  <c r="D964" i="4"/>
  <c r="S976" i="4"/>
  <c r="S995" i="4"/>
  <c r="R995" i="4"/>
  <c r="D1083" i="4"/>
  <c r="AE10" i="12" s="1"/>
  <c r="S1083" i="4"/>
  <c r="R1083" i="4"/>
  <c r="S1087" i="4"/>
  <c r="S219" i="5"/>
  <c r="R219" i="5"/>
  <c r="D219" i="5"/>
  <c r="S456" i="4"/>
  <c r="R494" i="4"/>
  <c r="D507" i="4"/>
  <c r="O26" i="12" s="1"/>
  <c r="D519" i="4"/>
  <c r="S525" i="4"/>
  <c r="S537" i="4"/>
  <c r="S548" i="4"/>
  <c r="S597" i="4"/>
  <c r="R600" i="4"/>
  <c r="D617" i="4"/>
  <c r="R25" i="12" s="1"/>
  <c r="R623" i="4"/>
  <c r="D629" i="4"/>
  <c r="R37" i="12" s="1"/>
  <c r="S632" i="4"/>
  <c r="R633" i="4"/>
  <c r="R639" i="4"/>
  <c r="S645" i="4"/>
  <c r="S651" i="4"/>
  <c r="R657" i="4"/>
  <c r="S669" i="4"/>
  <c r="R672" i="4"/>
  <c r="R673" i="4"/>
  <c r="R679" i="4"/>
  <c r="R703" i="4"/>
  <c r="S721" i="4"/>
  <c r="D729" i="4"/>
  <c r="R735" i="4"/>
  <c r="D741" i="4"/>
  <c r="U38" i="12" s="1"/>
  <c r="S743" i="4"/>
  <c r="S759" i="4"/>
  <c r="D763" i="4"/>
  <c r="S763" i="4"/>
  <c r="R763" i="4"/>
  <c r="D767" i="4"/>
  <c r="V27" i="12" s="1"/>
  <c r="S767" i="4"/>
  <c r="R767" i="4"/>
  <c r="D771" i="4"/>
  <c r="V31" i="12" s="1"/>
  <c r="S771" i="4"/>
  <c r="R771" i="4"/>
  <c r="D775" i="4"/>
  <c r="V35" i="12" s="1"/>
  <c r="S775" i="4"/>
  <c r="R775" i="4"/>
  <c r="D779" i="4"/>
  <c r="S779" i="4"/>
  <c r="R779" i="4"/>
  <c r="D784" i="4"/>
  <c r="W7" i="12" s="1"/>
  <c r="D794" i="4"/>
  <c r="W17" i="12" s="1"/>
  <c r="D797" i="4"/>
  <c r="S797" i="4"/>
  <c r="S798" i="4"/>
  <c r="R798" i="4"/>
  <c r="D833" i="4"/>
  <c r="S833" i="4"/>
  <c r="R833" i="4"/>
  <c r="S838" i="4"/>
  <c r="R838" i="4"/>
  <c r="S842" i="4"/>
  <c r="R842" i="4"/>
  <c r="H28" i="9" s="1"/>
  <c r="S846" i="4"/>
  <c r="R846" i="4"/>
  <c r="S850" i="4"/>
  <c r="R850" i="4"/>
  <c r="S860" i="4"/>
  <c r="R860" i="4"/>
  <c r="D873" i="4"/>
  <c r="Y22" i="12" s="1"/>
  <c r="S873" i="4"/>
  <c r="R873" i="4"/>
  <c r="D877" i="4"/>
  <c r="Y26" i="12" s="1"/>
  <c r="S877" i="4"/>
  <c r="R877" i="4"/>
  <c r="D881" i="4"/>
  <c r="Y30" i="12" s="1"/>
  <c r="S881" i="4"/>
  <c r="R881" i="4"/>
  <c r="D885" i="4"/>
  <c r="S885" i="4"/>
  <c r="R885" i="4"/>
  <c r="D889" i="4"/>
  <c r="Y38" i="12" s="1"/>
  <c r="S889" i="4"/>
  <c r="R889" i="4"/>
  <c r="S894" i="4"/>
  <c r="R894" i="4"/>
  <c r="D907" i="4"/>
  <c r="Z19" i="12" s="1"/>
  <c r="R908" i="4"/>
  <c r="D929" i="4"/>
  <c r="AA4" i="12" s="1"/>
  <c r="D944" i="4"/>
  <c r="S944" i="4"/>
  <c r="R944" i="4"/>
  <c r="S949" i="4"/>
  <c r="R949" i="4"/>
  <c r="S953" i="4"/>
  <c r="R953" i="4"/>
  <c r="S957" i="4"/>
  <c r="R957" i="4"/>
  <c r="S961" i="4"/>
  <c r="R961" i="4"/>
  <c r="D965" i="4"/>
  <c r="S965" i="4"/>
  <c r="R965" i="4"/>
  <c r="D976" i="4"/>
  <c r="AB14" i="12" s="1"/>
  <c r="D981" i="4"/>
  <c r="AB19" i="12" s="1"/>
  <c r="S981" i="4"/>
  <c r="R981" i="4"/>
  <c r="D1032" i="4"/>
  <c r="S1099" i="4"/>
  <c r="S71" i="5"/>
  <c r="I34" i="10" s="1"/>
  <c r="R71" i="5"/>
  <c r="H34" i="10" s="1"/>
  <c r="D506" i="4"/>
  <c r="O25" i="12" s="1"/>
  <c r="R512" i="4"/>
  <c r="D518" i="4"/>
  <c r="O37" i="12" s="1"/>
  <c r="R541" i="4"/>
  <c r="S547" i="4"/>
  <c r="R553" i="4"/>
  <c r="S600" i="4"/>
  <c r="R601" i="4"/>
  <c r="D616" i="4"/>
  <c r="R24" i="12" s="1"/>
  <c r="R622" i="4"/>
  <c r="S623" i="4"/>
  <c r="D628" i="4"/>
  <c r="R36" i="12" s="1"/>
  <c r="S639" i="4"/>
  <c r="R647" i="4"/>
  <c r="R656" i="4"/>
  <c r="S662" i="4"/>
  <c r="R662" i="4"/>
  <c r="S672" i="4"/>
  <c r="S673" i="4"/>
  <c r="R680" i="4"/>
  <c r="D711" i="4"/>
  <c r="R711" i="4"/>
  <c r="S720" i="4"/>
  <c r="R720" i="4"/>
  <c r="H17" i="9" s="1"/>
  <c r="D728" i="4"/>
  <c r="U25" i="12" s="1"/>
  <c r="D740" i="4"/>
  <c r="U37" i="12" s="1"/>
  <c r="D757" i="4"/>
  <c r="V17" i="12" s="1"/>
  <c r="D758" i="4"/>
  <c r="V18" i="12" s="1"/>
  <c r="S780" i="4"/>
  <c r="R780" i="4"/>
  <c r="D783" i="4"/>
  <c r="W6" i="12" s="1"/>
  <c r="D795" i="4"/>
  <c r="D818" i="4"/>
  <c r="X4" i="12" s="1"/>
  <c r="S863" i="4"/>
  <c r="D872" i="4"/>
  <c r="Y21" i="12" s="1"/>
  <c r="S897" i="4"/>
  <c r="D908" i="4"/>
  <c r="S908" i="4"/>
  <c r="D1006" i="4"/>
  <c r="AC7" i="12" s="1"/>
  <c r="D1018" i="4"/>
  <c r="AC19" i="12" s="1"/>
  <c r="R1018" i="4"/>
  <c r="D1022" i="4"/>
  <c r="AC23" i="12" s="1"/>
  <c r="S1043" i="4"/>
  <c r="D1078" i="4"/>
  <c r="AE5" i="12" s="1"/>
  <c r="D505" i="4"/>
  <c r="O24" i="12" s="1"/>
  <c r="D517" i="4"/>
  <c r="O36" i="12" s="1"/>
  <c r="S521" i="4"/>
  <c r="R522" i="4"/>
  <c r="S546" i="4"/>
  <c r="I28" i="9" s="1"/>
  <c r="D613" i="4"/>
  <c r="R21" i="12" s="1"/>
  <c r="D615" i="4"/>
  <c r="R23" i="12" s="1"/>
  <c r="D627" i="4"/>
  <c r="S661" i="4"/>
  <c r="D719" i="4"/>
  <c r="U16" i="12" s="1"/>
  <c r="S719" i="4"/>
  <c r="R719" i="4"/>
  <c r="S980" i="4"/>
  <c r="D980" i="4"/>
  <c r="AB18" i="12" s="1"/>
  <c r="R980" i="4"/>
  <c r="D1056" i="4"/>
  <c r="S1056" i="4"/>
  <c r="R1056" i="4"/>
  <c r="S1082" i="4"/>
  <c r="R1082" i="4"/>
  <c r="S1094" i="4"/>
  <c r="R1094" i="4"/>
  <c r="D171" i="5"/>
  <c r="S171" i="5"/>
  <c r="R171" i="5"/>
  <c r="D175" i="5"/>
  <c r="S175" i="5"/>
  <c r="R175" i="5"/>
  <c r="R484" i="4"/>
  <c r="R485" i="4"/>
  <c r="R498" i="4"/>
  <c r="D504" i="4"/>
  <c r="S511" i="4"/>
  <c r="D516" i="4"/>
  <c r="O35" i="12" s="1"/>
  <c r="R539" i="4"/>
  <c r="S545" i="4"/>
  <c r="D596" i="4"/>
  <c r="R4" i="12" s="1"/>
  <c r="D614" i="4"/>
  <c r="R22" i="12" s="1"/>
  <c r="S621" i="4"/>
  <c r="D626" i="4"/>
  <c r="R34" i="12" s="1"/>
  <c r="S660" i="4"/>
  <c r="S667" i="4"/>
  <c r="R667" i="4"/>
  <c r="R700" i="4"/>
  <c r="S710" i="4"/>
  <c r="D718" i="4"/>
  <c r="D724" i="4"/>
  <c r="U21" i="12" s="1"/>
  <c r="D726" i="4"/>
  <c r="R732" i="4"/>
  <c r="D738" i="4"/>
  <c r="U35" i="12" s="1"/>
  <c r="S756" i="4"/>
  <c r="R756" i="4"/>
  <c r="D762" i="4"/>
  <c r="V22" i="12" s="1"/>
  <c r="S762" i="4"/>
  <c r="R762" i="4"/>
  <c r="D766" i="4"/>
  <c r="S766" i="4"/>
  <c r="R766" i="4"/>
  <c r="D770" i="4"/>
  <c r="V30" i="12" s="1"/>
  <c r="S770" i="4"/>
  <c r="R770" i="4"/>
  <c r="D774" i="4"/>
  <c r="V34" i="12" s="1"/>
  <c r="S774" i="4"/>
  <c r="R774" i="4"/>
  <c r="D778" i="4"/>
  <c r="V38" i="12" s="1"/>
  <c r="S778" i="4"/>
  <c r="R778" i="4"/>
  <c r="S828" i="4"/>
  <c r="R828" i="4"/>
  <c r="S837" i="4"/>
  <c r="R837" i="4"/>
  <c r="S841" i="4"/>
  <c r="R841" i="4"/>
  <c r="S845" i="4"/>
  <c r="R845" i="4"/>
  <c r="S849" i="4"/>
  <c r="R849" i="4"/>
  <c r="D876" i="4"/>
  <c r="Y25" i="12" s="1"/>
  <c r="S876" i="4"/>
  <c r="R876" i="4"/>
  <c r="D880" i="4"/>
  <c r="Y29" i="12" s="1"/>
  <c r="S880" i="4"/>
  <c r="R880" i="4"/>
  <c r="D884" i="4"/>
  <c r="S884" i="4"/>
  <c r="R884" i="4"/>
  <c r="D888" i="4"/>
  <c r="Y37" i="12" s="1"/>
  <c r="S888" i="4"/>
  <c r="R888" i="4"/>
  <c r="S893" i="4"/>
  <c r="R893" i="4"/>
  <c r="S939" i="4"/>
  <c r="R939" i="4"/>
  <c r="S948" i="4"/>
  <c r="R948" i="4"/>
  <c r="S952" i="4"/>
  <c r="R952" i="4"/>
  <c r="S956" i="4"/>
  <c r="R956" i="4"/>
  <c r="S960" i="4"/>
  <c r="R960" i="4"/>
  <c r="D975" i="4"/>
  <c r="D1011" i="4"/>
  <c r="AC12" i="12" s="1"/>
  <c r="S1011" i="4"/>
  <c r="R1011" i="4"/>
  <c r="S1031" i="4"/>
  <c r="D1031" i="4"/>
  <c r="AC32" i="12" s="1"/>
  <c r="R1031" i="4"/>
  <c r="S65" i="5"/>
  <c r="D65" i="5"/>
  <c r="C28" i="13" s="1"/>
  <c r="R65" i="5"/>
  <c r="S84" i="5"/>
  <c r="I10" i="10" s="1"/>
  <c r="D84" i="5"/>
  <c r="D10" i="13" s="1"/>
  <c r="R84" i="5"/>
  <c r="S485" i="4"/>
  <c r="D503" i="4"/>
  <c r="O22" i="12" s="1"/>
  <c r="D515" i="4"/>
  <c r="R529" i="4"/>
  <c r="S544" i="4"/>
  <c r="S556" i="4"/>
  <c r="D572" i="4"/>
  <c r="Q17" i="12" s="1"/>
  <c r="R597" i="4"/>
  <c r="S599" i="4"/>
  <c r="D625" i="4"/>
  <c r="R33" i="12" s="1"/>
  <c r="D638" i="4"/>
  <c r="S9" i="12" s="1"/>
  <c r="S643" i="4"/>
  <c r="R644" i="4"/>
  <c r="S659" i="4"/>
  <c r="S676" i="4"/>
  <c r="R676" i="4"/>
  <c r="D715" i="4"/>
  <c r="U12" i="12" s="1"/>
  <c r="D717" i="4"/>
  <c r="D725" i="4"/>
  <c r="D737" i="4"/>
  <c r="U34" i="12" s="1"/>
  <c r="D755" i="4"/>
  <c r="V15" i="12" s="1"/>
  <c r="S755" i="4"/>
  <c r="R755" i="4"/>
  <c r="D761" i="4"/>
  <c r="V21" i="12" s="1"/>
  <c r="S761" i="4"/>
  <c r="R761" i="4"/>
  <c r="S784" i="4"/>
  <c r="S823" i="4"/>
  <c r="R823" i="4"/>
  <c r="D823" i="4"/>
  <c r="X9" i="12" s="1"/>
  <c r="S831" i="4"/>
  <c r="D933" i="4"/>
  <c r="AA8" i="12" s="1"/>
  <c r="S933" i="4"/>
  <c r="R933" i="4"/>
  <c r="D979" i="4"/>
  <c r="AB17" i="12" s="1"/>
  <c r="S992" i="4"/>
  <c r="S1010" i="4"/>
  <c r="S1042" i="4"/>
  <c r="S1107" i="4"/>
  <c r="D19" i="5"/>
  <c r="S19" i="5"/>
  <c r="R19" i="5"/>
  <c r="S91" i="5"/>
  <c r="R91" i="5"/>
  <c r="S116" i="5"/>
  <c r="I5" i="10" s="1"/>
  <c r="R116" i="5"/>
  <c r="H5" i="10" s="1"/>
  <c r="S248" i="5"/>
  <c r="R248" i="5"/>
  <c r="S254" i="5"/>
  <c r="R254" i="5"/>
  <c r="S260" i="5"/>
  <c r="R260" i="5"/>
  <c r="D313" i="5"/>
  <c r="S313" i="5"/>
  <c r="R313" i="5"/>
  <c r="S556" i="5"/>
  <c r="R556" i="5"/>
  <c r="S969" i="4"/>
  <c r="D989" i="4"/>
  <c r="AB27" i="12" s="1"/>
  <c r="D1001" i="4"/>
  <c r="S1004" i="4"/>
  <c r="S1005" i="4"/>
  <c r="R1006" i="4"/>
  <c r="D1017" i="4"/>
  <c r="D1028" i="4"/>
  <c r="AC29" i="12" s="1"/>
  <c r="S1029" i="4"/>
  <c r="R1038" i="4"/>
  <c r="D1057" i="4"/>
  <c r="AD21" i="12" s="1"/>
  <c r="R1075" i="4"/>
  <c r="R1092" i="4"/>
  <c r="D1104" i="4"/>
  <c r="AE31" i="12" s="1"/>
  <c r="R6" i="5"/>
  <c r="R18" i="5"/>
  <c r="D25" i="5"/>
  <c r="S25" i="5"/>
  <c r="R25" i="5"/>
  <c r="D29" i="5"/>
  <c r="S29" i="5"/>
  <c r="R29" i="5"/>
  <c r="D33" i="5"/>
  <c r="B33" i="13" s="1"/>
  <c r="S33" i="5"/>
  <c r="I33" i="10" s="1"/>
  <c r="R33" i="5"/>
  <c r="H33" i="10" s="1"/>
  <c r="D37" i="5"/>
  <c r="B37" i="13" s="1"/>
  <c r="S37" i="5"/>
  <c r="R37" i="5"/>
  <c r="R51" i="5"/>
  <c r="S57" i="5"/>
  <c r="S64" i="5"/>
  <c r="D64" i="5"/>
  <c r="D90" i="5"/>
  <c r="S90" i="5"/>
  <c r="R90" i="5"/>
  <c r="D115" i="5"/>
  <c r="S115" i="5"/>
  <c r="I4" i="10" s="1"/>
  <c r="R115" i="5"/>
  <c r="D126" i="5"/>
  <c r="S165" i="5"/>
  <c r="R165" i="5"/>
  <c r="S208" i="5"/>
  <c r="D208" i="5"/>
  <c r="R208" i="5"/>
  <c r="D273" i="5"/>
  <c r="S273" i="5"/>
  <c r="R273" i="5"/>
  <c r="D278" i="5"/>
  <c r="I19" i="13" s="1"/>
  <c r="S278" i="5"/>
  <c r="R279" i="5"/>
  <c r="S279" i="5"/>
  <c r="D322" i="5"/>
  <c r="D364" i="5"/>
  <c r="S421" i="5"/>
  <c r="R421" i="5"/>
  <c r="R1097" i="4"/>
  <c r="R1109" i="4"/>
  <c r="S18" i="5"/>
  <c r="R41" i="5"/>
  <c r="D41" i="5"/>
  <c r="D96" i="5"/>
  <c r="D22" i="13" s="1"/>
  <c r="D164" i="5"/>
  <c r="S164" i="5"/>
  <c r="R164" i="5"/>
  <c r="D170" i="5"/>
  <c r="S170" i="5"/>
  <c r="R170" i="5"/>
  <c r="D174" i="5"/>
  <c r="S174" i="5"/>
  <c r="R174" i="5"/>
  <c r="S247" i="5"/>
  <c r="R247" i="5"/>
  <c r="S253" i="5"/>
  <c r="R253" i="5"/>
  <c r="S259" i="5"/>
  <c r="R259" i="5"/>
  <c r="D287" i="5"/>
  <c r="S287" i="5"/>
  <c r="R287" i="5"/>
  <c r="D298" i="5"/>
  <c r="S298" i="5"/>
  <c r="R298" i="5"/>
  <c r="D326" i="5"/>
  <c r="J30" i="13" s="1"/>
  <c r="R326" i="5"/>
  <c r="D330" i="5"/>
  <c r="J34" i="13" s="1"/>
  <c r="R330" i="5"/>
  <c r="S707" i="4"/>
  <c r="S718" i="4"/>
  <c r="R751" i="4"/>
  <c r="R760" i="4"/>
  <c r="R785" i="4"/>
  <c r="S818" i="4"/>
  <c r="S829" i="4"/>
  <c r="R830" i="4"/>
  <c r="R862" i="4"/>
  <c r="R871" i="4"/>
  <c r="R896" i="4"/>
  <c r="S929" i="4"/>
  <c r="S940" i="4"/>
  <c r="R941" i="4"/>
  <c r="S974" i="4"/>
  <c r="R976" i="4"/>
  <c r="R977" i="4"/>
  <c r="D987" i="4"/>
  <c r="R993" i="4"/>
  <c r="D999" i="4"/>
  <c r="AB37" i="12" s="1"/>
  <c r="R1007" i="4"/>
  <c r="S1019" i="4"/>
  <c r="S1027" i="4"/>
  <c r="S1039" i="4"/>
  <c r="R1040" i="4"/>
  <c r="R1042" i="4"/>
  <c r="R1043" i="4"/>
  <c r="S1047" i="4"/>
  <c r="R1048" i="4"/>
  <c r="R1049" i="4"/>
  <c r="D1058" i="4"/>
  <c r="AD22" i="12" s="1"/>
  <c r="D1059" i="4"/>
  <c r="D1060" i="4"/>
  <c r="AD24" i="12" s="1"/>
  <c r="D1061" i="4"/>
  <c r="AD25" i="12" s="1"/>
  <c r="D1062" i="4"/>
  <c r="AD26" i="12" s="1"/>
  <c r="D1063" i="4"/>
  <c r="AD27" i="12" s="1"/>
  <c r="D1064" i="4"/>
  <c r="AD28" i="12" s="1"/>
  <c r="D1065" i="4"/>
  <c r="AD29" i="12" s="1"/>
  <c r="D1066" i="4"/>
  <c r="D1067" i="4"/>
  <c r="AD31" i="12" s="1"/>
  <c r="D1068" i="4"/>
  <c r="AD32" i="12" s="1"/>
  <c r="D1069" i="4"/>
  <c r="AD33" i="12" s="1"/>
  <c r="D1070" i="4"/>
  <c r="D1071" i="4"/>
  <c r="AD35" i="12" s="1"/>
  <c r="D1072" i="4"/>
  <c r="AD36" i="12" s="1"/>
  <c r="D1073" i="4"/>
  <c r="AD37" i="12" s="1"/>
  <c r="D1074" i="4"/>
  <c r="AD38" i="12" s="1"/>
  <c r="R1085" i="4"/>
  <c r="R1096" i="4"/>
  <c r="D1102" i="4"/>
  <c r="R1108" i="4"/>
  <c r="S7" i="5"/>
  <c r="D56" i="5"/>
  <c r="S63" i="5"/>
  <c r="D63" i="5"/>
  <c r="S69" i="5"/>
  <c r="D69" i="5"/>
  <c r="D82" i="5"/>
  <c r="D8" i="13" s="1"/>
  <c r="R82" i="5"/>
  <c r="D89" i="5"/>
  <c r="D15" i="13" s="1"/>
  <c r="D95" i="5"/>
  <c r="D101" i="5"/>
  <c r="D105" i="5"/>
  <c r="D109" i="5"/>
  <c r="D113" i="5"/>
  <c r="D156" i="5"/>
  <c r="D168" i="5"/>
  <c r="D198" i="5"/>
  <c r="D271" i="5"/>
  <c r="I12" i="13" s="1"/>
  <c r="D415" i="5"/>
  <c r="S415" i="5"/>
  <c r="R415" i="5"/>
  <c r="R685" i="4"/>
  <c r="R709" i="4"/>
  <c r="R742" i="4"/>
  <c r="S751" i="4"/>
  <c r="R753" i="4"/>
  <c r="S760" i="4"/>
  <c r="S785" i="4"/>
  <c r="R786" i="4"/>
  <c r="R796" i="4"/>
  <c r="R819" i="4"/>
  <c r="R820" i="4"/>
  <c r="S830" i="4"/>
  <c r="R831" i="4"/>
  <c r="R853" i="4"/>
  <c r="S862" i="4"/>
  <c r="R863" i="4"/>
  <c r="R864" i="4"/>
  <c r="S871" i="4"/>
  <c r="S896" i="4"/>
  <c r="R897" i="4"/>
  <c r="R907" i="4"/>
  <c r="R930" i="4"/>
  <c r="R931" i="4"/>
  <c r="S941" i="4"/>
  <c r="R942" i="4"/>
  <c r="R964" i="4"/>
  <c r="R978" i="4"/>
  <c r="D986" i="4"/>
  <c r="R992" i="4"/>
  <c r="D998" i="4"/>
  <c r="AB36" i="12" s="1"/>
  <c r="S1002" i="4"/>
  <c r="R1003" i="4"/>
  <c r="S1007" i="4"/>
  <c r="R1008" i="4"/>
  <c r="R1020" i="4"/>
  <c r="S1026" i="4"/>
  <c r="R1032" i="4"/>
  <c r="S1040" i="4"/>
  <c r="S1048" i="4"/>
  <c r="R1050" i="4"/>
  <c r="S1080" i="4"/>
  <c r="R1080" i="4"/>
  <c r="R1093" i="4"/>
  <c r="R1095" i="4"/>
  <c r="D1101" i="4"/>
  <c r="AE28" i="12" s="1"/>
  <c r="R1107" i="4"/>
  <c r="R8" i="5"/>
  <c r="H8" i="10" s="1"/>
  <c r="R10" i="5"/>
  <c r="D24" i="5"/>
  <c r="S24" i="5"/>
  <c r="R24" i="5"/>
  <c r="D28" i="5"/>
  <c r="S28" i="5"/>
  <c r="R28" i="5"/>
  <c r="D32" i="5"/>
  <c r="S32" i="5"/>
  <c r="R32" i="5"/>
  <c r="H32" i="10" s="1"/>
  <c r="D36" i="5"/>
  <c r="B36" i="13" s="1"/>
  <c r="S36" i="5"/>
  <c r="I36" i="10" s="1"/>
  <c r="R36" i="5"/>
  <c r="H36" i="10" s="1"/>
  <c r="R39" i="5"/>
  <c r="S41" i="5"/>
  <c r="R42" i="5"/>
  <c r="D48" i="5"/>
  <c r="R48" i="5"/>
  <c r="D53" i="5"/>
  <c r="D54" i="5"/>
  <c r="R57" i="5"/>
  <c r="R63" i="5"/>
  <c r="R69" i="5"/>
  <c r="D74" i="5"/>
  <c r="C37" i="13" s="1"/>
  <c r="R75" i="5"/>
  <c r="S95" i="5"/>
  <c r="R101" i="5"/>
  <c r="R105" i="5"/>
  <c r="R109" i="5"/>
  <c r="D114" i="5"/>
  <c r="S158" i="5"/>
  <c r="S198" i="5"/>
  <c r="D204" i="5"/>
  <c r="D206" i="5"/>
  <c r="G21" i="13" s="1"/>
  <c r="S206" i="5"/>
  <c r="R206" i="5"/>
  <c r="S207" i="5"/>
  <c r="I22" i="10" s="1"/>
  <c r="R207" i="5"/>
  <c r="D211" i="5"/>
  <c r="D227" i="5"/>
  <c r="S227" i="5"/>
  <c r="R227" i="5"/>
  <c r="S246" i="5"/>
  <c r="R246" i="5"/>
  <c r="S252" i="5"/>
  <c r="R252" i="5"/>
  <c r="S258" i="5"/>
  <c r="R258" i="5"/>
  <c r="S270" i="5"/>
  <c r="D272" i="5"/>
  <c r="S272" i="5"/>
  <c r="R272" i="5"/>
  <c r="S276" i="5"/>
  <c r="R321" i="5"/>
  <c r="D321" i="5"/>
  <c r="S685" i="4"/>
  <c r="R710" i="4"/>
  <c r="R721" i="4"/>
  <c r="S742" i="4"/>
  <c r="R743" i="4"/>
  <c r="R754" i="4"/>
  <c r="S786" i="4"/>
  <c r="R787" i="4"/>
  <c r="S796" i="4"/>
  <c r="S819" i="4"/>
  <c r="R821" i="4"/>
  <c r="R832" i="4"/>
  <c r="S853" i="4"/>
  <c r="R854" i="4"/>
  <c r="R865" i="4"/>
  <c r="R872" i="4"/>
  <c r="R898" i="4"/>
  <c r="S907" i="4"/>
  <c r="S930" i="4"/>
  <c r="S931" i="4"/>
  <c r="R932" i="4"/>
  <c r="R943" i="4"/>
  <c r="S964" i="4"/>
  <c r="R966" i="4"/>
  <c r="R979" i="4"/>
  <c r="D985" i="4"/>
  <c r="D997" i="4"/>
  <c r="AB35" i="12" s="1"/>
  <c r="S1025" i="4"/>
  <c r="S1037" i="4"/>
  <c r="R1051" i="4"/>
  <c r="R1052" i="4"/>
  <c r="R1053" i="4"/>
  <c r="S1091" i="4"/>
  <c r="R1091" i="4"/>
  <c r="S1093" i="4"/>
  <c r="D1100" i="4"/>
  <c r="AE27" i="12" s="1"/>
  <c r="D2" i="5"/>
  <c r="AC2" i="13" s="1"/>
  <c r="S2" i="5"/>
  <c r="R2" i="5"/>
  <c r="R4" i="5"/>
  <c r="H4" i="10" s="1"/>
  <c r="S8" i="5"/>
  <c r="I8" i="10" s="1"/>
  <c r="R15" i="5"/>
  <c r="R16" i="5"/>
  <c r="S39" i="5"/>
  <c r="D51" i="5"/>
  <c r="D55" i="5"/>
  <c r="S62" i="5"/>
  <c r="D62" i="5"/>
  <c r="S68" i="5"/>
  <c r="D68" i="5"/>
  <c r="R76" i="5"/>
  <c r="S81" i="5"/>
  <c r="D86" i="5"/>
  <c r="D88" i="5"/>
  <c r="D14" i="13" s="1"/>
  <c r="D124" i="5"/>
  <c r="D163" i="5"/>
  <c r="S163" i="5"/>
  <c r="R163" i="5"/>
  <c r="R168" i="5"/>
  <c r="D173" i="5"/>
  <c r="S173" i="5"/>
  <c r="R173" i="5"/>
  <c r="S177" i="5"/>
  <c r="R221" i="5"/>
  <c r="D270" i="5"/>
  <c r="D286" i="5"/>
  <c r="I27" i="13" s="1"/>
  <c r="S286" i="5"/>
  <c r="R286" i="5"/>
  <c r="S872" i="4"/>
  <c r="S932" i="4"/>
  <c r="S943" i="4"/>
  <c r="S979" i="4"/>
  <c r="D984" i="4"/>
  <c r="AB22" i="12" s="1"/>
  <c r="R990" i="4"/>
  <c r="D996" i="4"/>
  <c r="AB34" i="12" s="1"/>
  <c r="R1012" i="4"/>
  <c r="S1024" i="4"/>
  <c r="R1030" i="4"/>
  <c r="S1036" i="4"/>
  <c r="S1051" i="4"/>
  <c r="D1077" i="4"/>
  <c r="S1077" i="4"/>
  <c r="S1078" i="4"/>
  <c r="R1078" i="4"/>
  <c r="S1079" i="4"/>
  <c r="R1079" i="4"/>
  <c r="S1090" i="4"/>
  <c r="R1090" i="4"/>
  <c r="D1099" i="4"/>
  <c r="AE26" i="12" s="1"/>
  <c r="R1105" i="4"/>
  <c r="D1111" i="4"/>
  <c r="AE38" i="12" s="1"/>
  <c r="S3" i="5"/>
  <c r="R3" i="5"/>
  <c r="S14" i="5"/>
  <c r="R14" i="5"/>
  <c r="S47" i="5"/>
  <c r="S55" i="5"/>
  <c r="S58" i="5"/>
  <c r="D73" i="5"/>
  <c r="D87" i="5"/>
  <c r="D13" i="13" s="1"/>
  <c r="D100" i="5"/>
  <c r="D26" i="13" s="1"/>
  <c r="D104" i="5"/>
  <c r="D30" i="13" s="1"/>
  <c r="D108" i="5"/>
  <c r="D112" i="5"/>
  <c r="D134" i="5"/>
  <c r="D138" i="5"/>
  <c r="D142" i="5"/>
  <c r="D146" i="5"/>
  <c r="D150" i="5"/>
  <c r="S162" i="5"/>
  <c r="D221" i="5"/>
  <c r="G36" i="13" s="1"/>
  <c r="S226" i="5"/>
  <c r="S245" i="5"/>
  <c r="R245" i="5"/>
  <c r="H23" i="10" s="1"/>
  <c r="S251" i="5"/>
  <c r="R251" i="5"/>
  <c r="S257" i="5"/>
  <c r="R257" i="5"/>
  <c r="S290" i="5"/>
  <c r="R304" i="5"/>
  <c r="S304" i="5"/>
  <c r="R867" i="4"/>
  <c r="R968" i="4"/>
  <c r="R989" i="4"/>
  <c r="S990" i="4"/>
  <c r="D995" i="4"/>
  <c r="AB33" i="12" s="1"/>
  <c r="R1013" i="4"/>
  <c r="S1014" i="4"/>
  <c r="R1015" i="4"/>
  <c r="R1019" i="4"/>
  <c r="S1023" i="4"/>
  <c r="R1029" i="4"/>
  <c r="S1035" i="4"/>
  <c r="S1046" i="4"/>
  <c r="R1046" i="4"/>
  <c r="D1076" i="4"/>
  <c r="D1088" i="4"/>
  <c r="AE15" i="12" s="1"/>
  <c r="S1088" i="4"/>
  <c r="S1089" i="4"/>
  <c r="R1089" i="4"/>
  <c r="D1098" i="4"/>
  <c r="AE25" i="12" s="1"/>
  <c r="S1105" i="4"/>
  <c r="D1110" i="4"/>
  <c r="B51" i="6"/>
  <c r="B63" i="6" s="1"/>
  <c r="S23" i="5"/>
  <c r="R23" i="5"/>
  <c r="D27" i="5"/>
  <c r="B27" i="13" s="1"/>
  <c r="S27" i="5"/>
  <c r="I27" i="10" s="1"/>
  <c r="R27" i="5"/>
  <c r="H27" i="10" s="1"/>
  <c r="D31" i="5"/>
  <c r="B31" i="13" s="1"/>
  <c r="S31" i="5"/>
  <c r="R31" i="5"/>
  <c r="D35" i="5"/>
  <c r="S35" i="5"/>
  <c r="R35" i="5"/>
  <c r="D45" i="5"/>
  <c r="S46" i="5"/>
  <c r="R46" i="5"/>
  <c r="S61" i="5"/>
  <c r="D61" i="5"/>
  <c r="C24" i="13" s="1"/>
  <c r="S67" i="5"/>
  <c r="I30" i="10" s="1"/>
  <c r="D67" i="5"/>
  <c r="C30" i="13" s="1"/>
  <c r="D79" i="5"/>
  <c r="S79" i="5"/>
  <c r="R79" i="5"/>
  <c r="R104" i="5"/>
  <c r="R108" i="5"/>
  <c r="R112" i="5"/>
  <c r="D123" i="5"/>
  <c r="S151" i="5"/>
  <c r="R151" i="5"/>
  <c r="S197" i="5"/>
  <c r="D205" i="5"/>
  <c r="G20" i="13" s="1"/>
  <c r="S205" i="5"/>
  <c r="R205" i="5"/>
  <c r="D303" i="5"/>
  <c r="S303" i="5"/>
  <c r="R303" i="5"/>
  <c r="R790" i="4"/>
  <c r="R856" i="4"/>
  <c r="R857" i="4"/>
  <c r="R868" i="4"/>
  <c r="R900" i="4"/>
  <c r="R901" i="4"/>
  <c r="R934" i="4"/>
  <c r="R969" i="4"/>
  <c r="D977" i="4"/>
  <c r="AB15" i="12" s="1"/>
  <c r="R988" i="4"/>
  <c r="S989" i="4"/>
  <c r="D994" i="4"/>
  <c r="AB32" i="12" s="1"/>
  <c r="R1000" i="4"/>
  <c r="S1020" i="4"/>
  <c r="S1022" i="4"/>
  <c r="R1028" i="4"/>
  <c r="S1034" i="4"/>
  <c r="D1041" i="4"/>
  <c r="AD5" i="12" s="1"/>
  <c r="D1044" i="4"/>
  <c r="AD8" i="12" s="1"/>
  <c r="S1044" i="4"/>
  <c r="R1044" i="4"/>
  <c r="S1045" i="4"/>
  <c r="R1045" i="4"/>
  <c r="D1085" i="4"/>
  <c r="AE12" i="12" s="1"/>
  <c r="D1087" i="4"/>
  <c r="D1097" i="4"/>
  <c r="AE24" i="12" s="1"/>
  <c r="D1109" i="4"/>
  <c r="S13" i="5"/>
  <c r="R13" i="5"/>
  <c r="D42" i="5"/>
  <c r="C5" i="13" s="1"/>
  <c r="R61" i="5"/>
  <c r="H24" i="10" s="1"/>
  <c r="R67" i="5"/>
  <c r="H30" i="10" s="1"/>
  <c r="R73" i="5"/>
  <c r="D85" i="5"/>
  <c r="D99" i="5"/>
  <c r="D122" i="5"/>
  <c r="D172" i="5"/>
  <c r="S172" i="5"/>
  <c r="R172" i="5"/>
  <c r="D176" i="5"/>
  <c r="S176" i="5"/>
  <c r="R176" i="5"/>
  <c r="S220" i="5"/>
  <c r="D220" i="5"/>
  <c r="G35" i="13" s="1"/>
  <c r="R220" i="5"/>
  <c r="D224" i="5"/>
  <c r="D225" i="5"/>
  <c r="D242" i="5"/>
  <c r="S244" i="5"/>
  <c r="R244" i="5"/>
  <c r="S250" i="5"/>
  <c r="R250" i="5"/>
  <c r="S256" i="5"/>
  <c r="R256" i="5"/>
  <c r="D266" i="5"/>
  <c r="I7" i="13" s="1"/>
  <c r="S289" i="5"/>
  <c r="R791" i="4"/>
  <c r="R811" i="4"/>
  <c r="R812" i="4"/>
  <c r="R813" i="4"/>
  <c r="R814" i="4"/>
  <c r="R815" i="4"/>
  <c r="R824" i="4"/>
  <c r="R858" i="4"/>
  <c r="R869" i="4"/>
  <c r="R891" i="4"/>
  <c r="R902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35" i="4"/>
  <c r="R970" i="4"/>
  <c r="S988" i="4"/>
  <c r="D993" i="4"/>
  <c r="AB31" i="12" s="1"/>
  <c r="S1000" i="4"/>
  <c r="R1017" i="4"/>
  <c r="S1021" i="4"/>
  <c r="R1027" i="4"/>
  <c r="S1033" i="4"/>
  <c r="D1043" i="4"/>
  <c r="AD7" i="12" s="1"/>
  <c r="D1086" i="4"/>
  <c r="D1094" i="4"/>
  <c r="AE21" i="12" s="1"/>
  <c r="D1096" i="4"/>
  <c r="AE23" i="12" s="1"/>
  <c r="R1102" i="4"/>
  <c r="S1103" i="4"/>
  <c r="D1108" i="4"/>
  <c r="AE35" i="12" s="1"/>
  <c r="D9" i="5"/>
  <c r="B9" i="13" s="1"/>
  <c r="D11" i="5"/>
  <c r="B11" i="13" s="1"/>
  <c r="S11" i="5"/>
  <c r="I11" i="10" s="1"/>
  <c r="R11" i="5"/>
  <c r="S12" i="5"/>
  <c r="R12" i="5"/>
  <c r="D20" i="5"/>
  <c r="S21" i="5"/>
  <c r="R21" i="5"/>
  <c r="S22" i="5"/>
  <c r="R22" i="5"/>
  <c r="D44" i="5"/>
  <c r="S60" i="5"/>
  <c r="I23" i="10" s="1"/>
  <c r="D60" i="5"/>
  <c r="C23" i="13" s="1"/>
  <c r="S66" i="5"/>
  <c r="I29" i="10" s="1"/>
  <c r="D66" i="5"/>
  <c r="D78" i="5"/>
  <c r="D93" i="5"/>
  <c r="R94" i="5"/>
  <c r="D103" i="5"/>
  <c r="D107" i="5"/>
  <c r="D111" i="5"/>
  <c r="S128" i="5"/>
  <c r="R128" i="5"/>
  <c r="D133" i="5"/>
  <c r="D137" i="5"/>
  <c r="E26" i="13" s="1"/>
  <c r="D141" i="5"/>
  <c r="E30" i="13" s="1"/>
  <c r="D145" i="5"/>
  <c r="D149" i="5"/>
  <c r="S161" i="5"/>
  <c r="S180" i="5"/>
  <c r="S196" i="5"/>
  <c r="D966" i="4"/>
  <c r="AB4" i="12" s="1"/>
  <c r="D992" i="4"/>
  <c r="R1001" i="4"/>
  <c r="D1010" i="4"/>
  <c r="AC11" i="12" s="1"/>
  <c r="R1010" i="4"/>
  <c r="S1032" i="4"/>
  <c r="D1042" i="4"/>
  <c r="AD6" i="12" s="1"/>
  <c r="D1052" i="4"/>
  <c r="AD16" i="12" s="1"/>
  <c r="D1053" i="4"/>
  <c r="AD17" i="12" s="1"/>
  <c r="D1055" i="4"/>
  <c r="S1055" i="4"/>
  <c r="R1055" i="4"/>
  <c r="D1095" i="4"/>
  <c r="AE22" i="12" s="1"/>
  <c r="D1107" i="4"/>
  <c r="AE34" i="12" s="1"/>
  <c r="B52" i="6"/>
  <c r="B65" i="6" s="1"/>
  <c r="D10" i="5"/>
  <c r="B10" i="13" s="1"/>
  <c r="D26" i="5"/>
  <c r="B26" i="13" s="1"/>
  <c r="S26" i="5"/>
  <c r="I26" i="10" s="1"/>
  <c r="R26" i="5"/>
  <c r="H26" i="10" s="1"/>
  <c r="D30" i="5"/>
  <c r="S30" i="5"/>
  <c r="R30" i="5"/>
  <c r="D34" i="5"/>
  <c r="S34" i="5"/>
  <c r="R34" i="5"/>
  <c r="D38" i="5"/>
  <c r="S38" i="5"/>
  <c r="R38" i="5"/>
  <c r="D43" i="5"/>
  <c r="C6" i="13" s="1"/>
  <c r="S44" i="5"/>
  <c r="I7" i="10" s="1"/>
  <c r="R52" i="5"/>
  <c r="D52" i="5"/>
  <c r="D71" i="5"/>
  <c r="D98" i="5"/>
  <c r="R100" i="5"/>
  <c r="R103" i="5"/>
  <c r="R107" i="5"/>
  <c r="R111" i="5"/>
  <c r="D127" i="5"/>
  <c r="S127" i="5"/>
  <c r="R127" i="5"/>
  <c r="H16" i="10" s="1"/>
  <c r="D132" i="5"/>
  <c r="E21" i="13" s="1"/>
  <c r="D200" i="5"/>
  <c r="G15" i="13" s="1"/>
  <c r="R209" i="5"/>
  <c r="S241" i="5"/>
  <c r="S249" i="5"/>
  <c r="R249" i="5"/>
  <c r="S255" i="5"/>
  <c r="R255" i="5"/>
  <c r="S261" i="5"/>
  <c r="R261" i="5"/>
  <c r="D274" i="5"/>
  <c r="S274" i="5"/>
  <c r="R274" i="5"/>
  <c r="D301" i="5"/>
  <c r="J5" i="13" s="1"/>
  <c r="R301" i="5"/>
  <c r="S301" i="5"/>
  <c r="R302" i="5"/>
  <c r="S302" i="5"/>
  <c r="S314" i="5"/>
  <c r="D118" i="5"/>
  <c r="D153" i="5"/>
  <c r="R158" i="5"/>
  <c r="R179" i="5"/>
  <c r="D193" i="5"/>
  <c r="G8" i="13" s="1"/>
  <c r="S195" i="5"/>
  <c r="R196" i="5"/>
  <c r="R197" i="5"/>
  <c r="R198" i="5"/>
  <c r="R240" i="5"/>
  <c r="D280" i="5"/>
  <c r="R289" i="5"/>
  <c r="S385" i="5"/>
  <c r="R385" i="5"/>
  <c r="S390" i="5"/>
  <c r="R390" i="5"/>
  <c r="D410" i="5"/>
  <c r="M3" i="13" s="1"/>
  <c r="R410" i="5"/>
  <c r="D433" i="5"/>
  <c r="S433" i="5"/>
  <c r="R433" i="5"/>
  <c r="D446" i="5"/>
  <c r="S446" i="5"/>
  <c r="R446" i="5"/>
  <c r="D457" i="5"/>
  <c r="S457" i="5"/>
  <c r="R457" i="5"/>
  <c r="D486" i="5"/>
  <c r="O5" i="13" s="1"/>
  <c r="S486" i="5"/>
  <c r="R486" i="5"/>
  <c r="S530" i="5"/>
  <c r="R530" i="5"/>
  <c r="S77" i="5"/>
  <c r="R78" i="5"/>
  <c r="S88" i="5"/>
  <c r="R89" i="5"/>
  <c r="S96" i="5"/>
  <c r="S97" i="5"/>
  <c r="S98" i="5"/>
  <c r="S99" i="5"/>
  <c r="I25" i="10" s="1"/>
  <c r="S100" i="5"/>
  <c r="S101" i="5"/>
  <c r="S102" i="5"/>
  <c r="I28" i="10" s="1"/>
  <c r="S103" i="5"/>
  <c r="S104" i="5"/>
  <c r="S105" i="5"/>
  <c r="S106" i="5"/>
  <c r="S107" i="5"/>
  <c r="S108" i="5"/>
  <c r="S109" i="5"/>
  <c r="S110" i="5"/>
  <c r="S111" i="5"/>
  <c r="I37" i="10" s="1"/>
  <c r="S112" i="5"/>
  <c r="D154" i="5"/>
  <c r="D155" i="5"/>
  <c r="F7" i="13" s="1"/>
  <c r="R178" i="5"/>
  <c r="S188" i="5"/>
  <c r="S189" i="5"/>
  <c r="R189" i="5"/>
  <c r="R211" i="5"/>
  <c r="R223" i="5"/>
  <c r="D231" i="5"/>
  <c r="D232" i="5"/>
  <c r="D237" i="5"/>
  <c r="H15" i="13" s="1"/>
  <c r="S240" i="5"/>
  <c r="D262" i="5"/>
  <c r="R270" i="5"/>
  <c r="R288" i="5"/>
  <c r="D310" i="5"/>
  <c r="D317" i="5"/>
  <c r="D325" i="5"/>
  <c r="R325" i="5"/>
  <c r="D329" i="5"/>
  <c r="R329" i="5"/>
  <c r="D378" i="5"/>
  <c r="S378" i="5"/>
  <c r="R378" i="5"/>
  <c r="S414" i="5"/>
  <c r="D414" i="5"/>
  <c r="R414" i="5"/>
  <c r="S476" i="5"/>
  <c r="D476" i="5"/>
  <c r="R476" i="5"/>
  <c r="R20" i="5"/>
  <c r="R45" i="5"/>
  <c r="S78" i="5"/>
  <c r="S89" i="5"/>
  <c r="S122" i="5"/>
  <c r="R123" i="5"/>
  <c r="H12" i="10" s="1"/>
  <c r="R124" i="5"/>
  <c r="R132" i="5"/>
  <c r="R133" i="5"/>
  <c r="R134" i="5"/>
  <c r="R135" i="5"/>
  <c r="R136" i="5"/>
  <c r="R137" i="5"/>
  <c r="R138" i="5"/>
  <c r="R139" i="5"/>
  <c r="R140" i="5"/>
  <c r="R141" i="5"/>
  <c r="R142" i="5"/>
  <c r="H31" i="10" s="1"/>
  <c r="R143" i="5"/>
  <c r="R144" i="5"/>
  <c r="R145" i="5"/>
  <c r="R146" i="5"/>
  <c r="R147" i="5"/>
  <c r="R148" i="5"/>
  <c r="R149" i="5"/>
  <c r="R159" i="5"/>
  <c r="R177" i="5"/>
  <c r="D184" i="5"/>
  <c r="R204" i="5"/>
  <c r="R210" i="5"/>
  <c r="S216" i="5"/>
  <c r="R222" i="5"/>
  <c r="H37" i="10" s="1"/>
  <c r="D230" i="5"/>
  <c r="S232" i="5"/>
  <c r="S233" i="5"/>
  <c r="R233" i="5"/>
  <c r="R234" i="5"/>
  <c r="R235" i="5"/>
  <c r="R241" i="5"/>
  <c r="D264" i="5"/>
  <c r="R271" i="5"/>
  <c r="D283" i="5"/>
  <c r="D295" i="5"/>
  <c r="D307" i="5"/>
  <c r="J11" i="13" s="1"/>
  <c r="S310" i="5"/>
  <c r="S311" i="5"/>
  <c r="S318" i="5"/>
  <c r="R319" i="5"/>
  <c r="S324" i="5"/>
  <c r="S328" i="5"/>
  <c r="S332" i="5"/>
  <c r="D342" i="5"/>
  <c r="D367" i="5"/>
  <c r="R367" i="5"/>
  <c r="S388" i="5"/>
  <c r="R420" i="5"/>
  <c r="D423" i="5"/>
  <c r="S452" i="5"/>
  <c r="R452" i="5"/>
  <c r="D490" i="5"/>
  <c r="S20" i="5"/>
  <c r="S45" i="5"/>
  <c r="R56" i="5"/>
  <c r="R80" i="5"/>
  <c r="R113" i="5"/>
  <c r="S123" i="5"/>
  <c r="I12" i="10" s="1"/>
  <c r="S124" i="5"/>
  <c r="I13" i="10" s="1"/>
  <c r="R125" i="5"/>
  <c r="H14" i="10" s="1"/>
  <c r="S132" i="5"/>
  <c r="S133" i="5"/>
  <c r="S134" i="5"/>
  <c r="S135" i="5"/>
  <c r="S136" i="5"/>
  <c r="S137" i="5"/>
  <c r="S138" i="5"/>
  <c r="S139" i="5"/>
  <c r="S140" i="5"/>
  <c r="S141" i="5"/>
  <c r="S142" i="5"/>
  <c r="I31" i="10" s="1"/>
  <c r="S143" i="5"/>
  <c r="I32" i="10" s="1"/>
  <c r="S144" i="5"/>
  <c r="S145" i="5"/>
  <c r="S146" i="5"/>
  <c r="S147" i="5"/>
  <c r="S148" i="5"/>
  <c r="S149" i="5"/>
  <c r="R156" i="5"/>
  <c r="S159" i="5"/>
  <c r="R160" i="5"/>
  <c r="R161" i="5"/>
  <c r="R169" i="5"/>
  <c r="D183" i="5"/>
  <c r="F35" i="13" s="1"/>
  <c r="S204" i="5"/>
  <c r="S215" i="5"/>
  <c r="S224" i="5"/>
  <c r="R225" i="5"/>
  <c r="S271" i="5"/>
  <c r="R275" i="5"/>
  <c r="R276" i="5"/>
  <c r="D282" i="5"/>
  <c r="D294" i="5"/>
  <c r="R332" i="5"/>
  <c r="D338" i="5"/>
  <c r="D353" i="5"/>
  <c r="D354" i="5"/>
  <c r="S354" i="5"/>
  <c r="R354" i="5"/>
  <c r="S355" i="5"/>
  <c r="S361" i="5"/>
  <c r="D366" i="5"/>
  <c r="D370" i="5"/>
  <c r="D372" i="5"/>
  <c r="D387" i="5"/>
  <c r="L17" i="13" s="1"/>
  <c r="D388" i="5"/>
  <c r="L18" i="13" s="1"/>
  <c r="S409" i="5"/>
  <c r="R409" i="5"/>
  <c r="S436" i="5"/>
  <c r="S455" i="5"/>
  <c r="D465" i="5"/>
  <c r="D511" i="5"/>
  <c r="D515" i="5"/>
  <c r="S529" i="5"/>
  <c r="R529" i="5"/>
  <c r="D624" i="5"/>
  <c r="S624" i="5"/>
  <c r="R624" i="5"/>
  <c r="T39" i="14"/>
  <c r="O38" i="14"/>
  <c r="Q36" i="14"/>
  <c r="S34" i="14"/>
  <c r="P31" i="14"/>
  <c r="R29" i="14"/>
  <c r="T27" i="14"/>
  <c r="O26" i="14"/>
  <c r="Q24" i="14"/>
  <c r="S22" i="14"/>
  <c r="P19" i="14"/>
  <c r="R17" i="14"/>
  <c r="T15" i="14"/>
  <c r="O14" i="14"/>
  <c r="Q12" i="14"/>
  <c r="S10" i="14"/>
  <c r="P7" i="14"/>
  <c r="R5" i="14"/>
  <c r="T3" i="14"/>
  <c r="J38" i="13"/>
  <c r="Q37" i="13"/>
  <c r="E37" i="13"/>
  <c r="X36" i="13"/>
  <c r="L36" i="13"/>
  <c r="S39" i="14"/>
  <c r="P36" i="14"/>
  <c r="R34" i="14"/>
  <c r="T32" i="14"/>
  <c r="O31" i="14"/>
  <c r="Q29" i="14"/>
  <c r="S27" i="14"/>
  <c r="P24" i="14"/>
  <c r="R22" i="14"/>
  <c r="T20" i="14"/>
  <c r="O19" i="14"/>
  <c r="Q17" i="14"/>
  <c r="S15" i="14"/>
  <c r="P12" i="14"/>
  <c r="R10" i="14"/>
  <c r="T8" i="14"/>
  <c r="O7" i="14"/>
  <c r="Q5" i="14"/>
  <c r="S3" i="14"/>
  <c r="R39" i="14"/>
  <c r="T37" i="14"/>
  <c r="O36" i="14"/>
  <c r="Q34" i="14"/>
  <c r="S32" i="14"/>
  <c r="P29" i="14"/>
  <c r="R27" i="14"/>
  <c r="Q39" i="14"/>
  <c r="S37" i="14"/>
  <c r="P34" i="14"/>
  <c r="R32" i="14"/>
  <c r="T30" i="14"/>
  <c r="O29" i="14"/>
  <c r="Q27" i="14"/>
  <c r="S25" i="14"/>
  <c r="P22" i="14"/>
  <c r="R20" i="14"/>
  <c r="T18" i="14"/>
  <c r="O17" i="14"/>
  <c r="Q15" i="14"/>
  <c r="S13" i="14"/>
  <c r="P10" i="14"/>
  <c r="R8" i="14"/>
  <c r="T6" i="14"/>
  <c r="O5" i="14"/>
  <c r="P39" i="14"/>
  <c r="R37" i="14"/>
  <c r="T35" i="14"/>
  <c r="O34" i="14"/>
  <c r="Q32" i="14"/>
  <c r="S30" i="14"/>
  <c r="P27" i="14"/>
  <c r="R25" i="14"/>
  <c r="T23" i="14"/>
  <c r="O22" i="14"/>
  <c r="Q20" i="14"/>
  <c r="S18" i="14"/>
  <c r="P15" i="14"/>
  <c r="R13" i="14"/>
  <c r="T11" i="14"/>
  <c r="O10" i="14"/>
  <c r="Q8" i="14"/>
  <c r="S6" i="14"/>
  <c r="P3" i="14"/>
  <c r="AD38" i="13"/>
  <c r="R38" i="13"/>
  <c r="F38" i="13"/>
  <c r="T36" i="13"/>
  <c r="H36" i="13"/>
  <c r="AA35" i="13"/>
  <c r="O35" i="13"/>
  <c r="C35" i="13"/>
  <c r="AC33" i="13"/>
  <c r="Q33" i="13"/>
  <c r="E33" i="13"/>
  <c r="L32" i="13"/>
  <c r="S31" i="13"/>
  <c r="G31" i="13"/>
  <c r="Z30" i="13"/>
  <c r="N30" i="13"/>
  <c r="B30" i="13"/>
  <c r="O39" i="14"/>
  <c r="Q37" i="14"/>
  <c r="S35" i="14"/>
  <c r="P32" i="14"/>
  <c r="R30" i="14"/>
  <c r="T28" i="14"/>
  <c r="O27" i="14"/>
  <c r="Q25" i="14"/>
  <c r="S23" i="14"/>
  <c r="P20" i="14"/>
  <c r="R18" i="14"/>
  <c r="T16" i="14"/>
  <c r="O15" i="14"/>
  <c r="Q13" i="14"/>
  <c r="S11" i="14"/>
  <c r="P8" i="14"/>
  <c r="R6" i="14"/>
  <c r="T4" i="14"/>
  <c r="O3" i="14"/>
  <c r="AC38" i="13"/>
  <c r="Q38" i="13"/>
  <c r="E38" i="13"/>
  <c r="X37" i="13"/>
  <c r="L37" i="13"/>
  <c r="AE36" i="13"/>
  <c r="Z35" i="13"/>
  <c r="B35" i="13"/>
  <c r="U34" i="13"/>
  <c r="AB33" i="13"/>
  <c r="P33" i="13"/>
  <c r="D33" i="13"/>
  <c r="AD31" i="13"/>
  <c r="R31" i="13"/>
  <c r="P37" i="14"/>
  <c r="R35" i="14"/>
  <c r="T33" i="14"/>
  <c r="O32" i="14"/>
  <c r="Q30" i="14"/>
  <c r="S28" i="14"/>
  <c r="P25" i="14"/>
  <c r="R23" i="14"/>
  <c r="T21" i="14"/>
  <c r="O20" i="14"/>
  <c r="Q18" i="14"/>
  <c r="S16" i="14"/>
  <c r="P13" i="14"/>
  <c r="R11" i="14"/>
  <c r="T9" i="14"/>
  <c r="O8" i="14"/>
  <c r="Q6" i="14"/>
  <c r="S4" i="14"/>
  <c r="AB38" i="13"/>
  <c r="D38" i="13"/>
  <c r="W37" i="13"/>
  <c r="K37" i="13"/>
  <c r="R36" i="13"/>
  <c r="F36" i="13"/>
  <c r="Y35" i="13"/>
  <c r="M35" i="13"/>
  <c r="T34" i="13"/>
  <c r="H34" i="13"/>
  <c r="AA33" i="13"/>
  <c r="C33" i="13"/>
  <c r="V32" i="13"/>
  <c r="T38" i="14"/>
  <c r="O37" i="14"/>
  <c r="Q35" i="14"/>
  <c r="S33" i="14"/>
  <c r="P30" i="14"/>
  <c r="R28" i="14"/>
  <c r="T26" i="14"/>
  <c r="O25" i="14"/>
  <c r="Q23" i="14"/>
  <c r="S38" i="14"/>
  <c r="P35" i="14"/>
  <c r="R33" i="14"/>
  <c r="T31" i="14"/>
  <c r="O30" i="14"/>
  <c r="Q28" i="14"/>
  <c r="S26" i="14"/>
  <c r="P23" i="14"/>
  <c r="R21" i="14"/>
  <c r="T19" i="14"/>
  <c r="O18" i="14"/>
  <c r="Q16" i="14"/>
  <c r="S14" i="14"/>
  <c r="P11" i="14"/>
  <c r="R9" i="14"/>
  <c r="T7" i="14"/>
  <c r="O6" i="14"/>
  <c r="Q4" i="14"/>
  <c r="Z38" i="13"/>
  <c r="N38" i="13"/>
  <c r="B38" i="13"/>
  <c r="I37" i="13"/>
  <c r="R38" i="14"/>
  <c r="T36" i="14"/>
  <c r="O35" i="14"/>
  <c r="Q33" i="14"/>
  <c r="S31" i="14"/>
  <c r="P28" i="14"/>
  <c r="R26" i="14"/>
  <c r="T24" i="14"/>
  <c r="O23" i="14"/>
  <c r="Q21" i="14"/>
  <c r="S19" i="14"/>
  <c r="P16" i="14"/>
  <c r="R14" i="14"/>
  <c r="T12" i="14"/>
  <c r="O11" i="14"/>
  <c r="Q9" i="14"/>
  <c r="S7" i="14"/>
  <c r="P4" i="14"/>
  <c r="Y38" i="13"/>
  <c r="M38" i="13"/>
  <c r="Q38" i="14"/>
  <c r="S36" i="14"/>
  <c r="P33" i="14"/>
  <c r="R31" i="14"/>
  <c r="T29" i="14"/>
  <c r="O28" i="14"/>
  <c r="P38" i="14"/>
  <c r="R36" i="14"/>
  <c r="T34" i="14"/>
  <c r="O33" i="14"/>
  <c r="Q31" i="14"/>
  <c r="S29" i="14"/>
  <c r="P26" i="14"/>
  <c r="R24" i="14"/>
  <c r="T22" i="14"/>
  <c r="O21" i="14"/>
  <c r="Q19" i="14"/>
  <c r="S17" i="14"/>
  <c r="P14" i="14"/>
  <c r="R12" i="14"/>
  <c r="T10" i="14"/>
  <c r="O9" i="14"/>
  <c r="Q7" i="14"/>
  <c r="S5" i="14"/>
  <c r="W38" i="13"/>
  <c r="Q26" i="14"/>
  <c r="Q22" i="14"/>
  <c r="P17" i="14"/>
  <c r="O12" i="14"/>
  <c r="K38" i="13"/>
  <c r="N36" i="13"/>
  <c r="AC35" i="13"/>
  <c r="L34" i="13"/>
  <c r="Y33" i="13"/>
  <c r="J33" i="13"/>
  <c r="Z31" i="13"/>
  <c r="L31" i="13"/>
  <c r="AC30" i="13"/>
  <c r="O30" i="13"/>
  <c r="AE29" i="13"/>
  <c r="G29" i="13"/>
  <c r="Z28" i="13"/>
  <c r="N28" i="13"/>
  <c r="B28" i="13"/>
  <c r="U27" i="13"/>
  <c r="W25" i="13"/>
  <c r="K25" i="13"/>
  <c r="AD24" i="13"/>
  <c r="R24" i="13"/>
  <c r="F24" i="13"/>
  <c r="Y23" i="13"/>
  <c r="T22" i="13"/>
  <c r="H22" i="13"/>
  <c r="AA21" i="13"/>
  <c r="O21" i="13"/>
  <c r="C21" i="13"/>
  <c r="V20" i="13"/>
  <c r="J20" i="13"/>
  <c r="AC19" i="13"/>
  <c r="Q19" i="13"/>
  <c r="E19" i="13"/>
  <c r="X18" i="13"/>
  <c r="AE17" i="13"/>
  <c r="G17" i="13"/>
  <c r="B16" i="13"/>
  <c r="U15" i="13"/>
  <c r="I15" i="13"/>
  <c r="AB14" i="13"/>
  <c r="P14" i="13"/>
  <c r="T14" i="14"/>
  <c r="S9" i="14"/>
  <c r="R4" i="14"/>
  <c r="I38" i="13"/>
  <c r="AC36" i="13"/>
  <c r="M36" i="13"/>
  <c r="AB35" i="13"/>
  <c r="Z34" i="13"/>
  <c r="K34" i="13"/>
  <c r="X33" i="13"/>
  <c r="I33" i="13"/>
  <c r="Y32" i="13"/>
  <c r="H32" i="13"/>
  <c r="Y31" i="13"/>
  <c r="K31" i="13"/>
  <c r="AB30" i="13"/>
  <c r="L30" i="13"/>
  <c r="AD29" i="13"/>
  <c r="R29" i="13"/>
  <c r="F29" i="13"/>
  <c r="Y28" i="13"/>
  <c r="T27" i="13"/>
  <c r="H27" i="13"/>
  <c r="O26" i="13"/>
  <c r="C26" i="13"/>
  <c r="V25" i="13"/>
  <c r="J25" i="13"/>
  <c r="AC24" i="13"/>
  <c r="E24" i="13"/>
  <c r="L23" i="13"/>
  <c r="AE22" i="13"/>
  <c r="S22" i="13"/>
  <c r="G22" i="13"/>
  <c r="Z21" i="13"/>
  <c r="N21" i="13"/>
  <c r="B21" i="13"/>
  <c r="I20" i="13"/>
  <c r="P19" i="13"/>
  <c r="D19" i="13"/>
  <c r="W18" i="13"/>
  <c r="K18" i="13"/>
  <c r="AD17" i="13"/>
  <c r="F17" i="13"/>
  <c r="M16" i="13"/>
  <c r="AA14" i="13"/>
  <c r="O14" i="13"/>
  <c r="C14" i="13"/>
  <c r="T25" i="14"/>
  <c r="R19" i="14"/>
  <c r="Q14" i="14"/>
  <c r="P9" i="14"/>
  <c r="O4" i="14"/>
  <c r="H38" i="13"/>
  <c r="R37" i="13"/>
  <c r="I35" i="13"/>
  <c r="Y34" i="13"/>
  <c r="G34" i="13"/>
  <c r="W33" i="13"/>
  <c r="H33" i="13"/>
  <c r="U32" i="13"/>
  <c r="G32" i="13"/>
  <c r="K30" i="13"/>
  <c r="AC29" i="13"/>
  <c r="Q29" i="13"/>
  <c r="E29" i="13"/>
  <c r="X28" i="13"/>
  <c r="L28" i="13"/>
  <c r="S27" i="13"/>
  <c r="G27" i="13"/>
  <c r="Z26" i="13"/>
  <c r="N26" i="13"/>
  <c r="I25" i="13"/>
  <c r="AB24" i="13"/>
  <c r="P24" i="13"/>
  <c r="D24" i="13"/>
  <c r="W23" i="13"/>
  <c r="K23" i="13"/>
  <c r="R22" i="13"/>
  <c r="F22" i="13"/>
  <c r="M21" i="13"/>
  <c r="T20" i="13"/>
  <c r="H20" i="13"/>
  <c r="AA19" i="13"/>
  <c r="O19" i="13"/>
  <c r="C19" i="13"/>
  <c r="V18" i="13"/>
  <c r="J18" i="13"/>
  <c r="AC17" i="13"/>
  <c r="Q17" i="13"/>
  <c r="E17" i="13"/>
  <c r="Z14" i="13"/>
  <c r="G38" i="13"/>
  <c r="P37" i="13"/>
  <c r="W35" i="13"/>
  <c r="H35" i="13"/>
  <c r="V33" i="13"/>
  <c r="G33" i="13"/>
  <c r="T32" i="13"/>
  <c r="W31" i="13"/>
  <c r="I31" i="13"/>
  <c r="AB29" i="13"/>
  <c r="D29" i="13"/>
  <c r="K28" i="13"/>
  <c r="R27" i="13"/>
  <c r="F27" i="13"/>
  <c r="Y26" i="13"/>
  <c r="M26" i="13"/>
  <c r="T25" i="13"/>
  <c r="H25" i="13"/>
  <c r="O24" i="13"/>
  <c r="J23" i="13"/>
  <c r="AC22" i="13"/>
  <c r="E22" i="13"/>
  <c r="X21" i="13"/>
  <c r="L21" i="13"/>
  <c r="AE20" i="13"/>
  <c r="S20" i="13"/>
  <c r="N19" i="13"/>
  <c r="B19" i="13"/>
  <c r="U18" i="13"/>
  <c r="I18" i="13"/>
  <c r="AB17" i="13"/>
  <c r="P17" i="13"/>
  <c r="D17" i="13"/>
  <c r="W16" i="13"/>
  <c r="R15" i="13"/>
  <c r="S21" i="14"/>
  <c r="R16" i="14"/>
  <c r="Q11" i="14"/>
  <c r="P6" i="14"/>
  <c r="C38" i="13"/>
  <c r="O37" i="13"/>
  <c r="Z36" i="13"/>
  <c r="I36" i="13"/>
  <c r="V35" i="13"/>
  <c r="W34" i="13"/>
  <c r="E34" i="13"/>
  <c r="U33" i="13"/>
  <c r="S32" i="13"/>
  <c r="E32" i="13"/>
  <c r="H31" i="13"/>
  <c r="W30" i="13"/>
  <c r="I30" i="13"/>
  <c r="AA29" i="13"/>
  <c r="C29" i="13"/>
  <c r="V28" i="13"/>
  <c r="J28" i="13"/>
  <c r="AC27" i="13"/>
  <c r="Q27" i="13"/>
  <c r="E27" i="13"/>
  <c r="X26" i="13"/>
  <c r="L26" i="13"/>
  <c r="AE25" i="13"/>
  <c r="S25" i="13"/>
  <c r="G25" i="13"/>
  <c r="Z24" i="13"/>
  <c r="B24" i="13"/>
  <c r="U23" i="13"/>
  <c r="I23" i="13"/>
  <c r="AB22" i="13"/>
  <c r="W21" i="13"/>
  <c r="K21" i="13"/>
  <c r="AD20" i="13"/>
  <c r="R20" i="13"/>
  <c r="F20" i="13"/>
  <c r="Y19" i="13"/>
  <c r="M19" i="13"/>
  <c r="T18" i="13"/>
  <c r="H18" i="13"/>
  <c r="O17" i="13"/>
  <c r="C17" i="13"/>
  <c r="V16" i="13"/>
  <c r="J16" i="13"/>
  <c r="AC15" i="13"/>
  <c r="Q15" i="13"/>
  <c r="E15" i="13"/>
  <c r="X14" i="13"/>
  <c r="L14" i="13"/>
  <c r="G13" i="13"/>
  <c r="S24" i="14"/>
  <c r="P21" i="14"/>
  <c r="O16" i="14"/>
  <c r="AA38" i="13"/>
  <c r="N37" i="13"/>
  <c r="Y36" i="13"/>
  <c r="E36" i="13"/>
  <c r="U35" i="13"/>
  <c r="S34" i="13"/>
  <c r="D34" i="13"/>
  <c r="R32" i="13"/>
  <c r="D32" i="13"/>
  <c r="U31" i="13"/>
  <c r="E31" i="13"/>
  <c r="V30" i="13"/>
  <c r="H30" i="13"/>
  <c r="Z29" i="13"/>
  <c r="N29" i="13"/>
  <c r="B29" i="13"/>
  <c r="U28" i="13"/>
  <c r="I28" i="13"/>
  <c r="AB27" i="13"/>
  <c r="P27" i="13"/>
  <c r="D27" i="13"/>
  <c r="W26" i="13"/>
  <c r="K26" i="13"/>
  <c r="AD25" i="13"/>
  <c r="R25" i="13"/>
  <c r="F25" i="13"/>
  <c r="M24" i="13"/>
  <c r="T23" i="13"/>
  <c r="H23" i="13"/>
  <c r="AA22" i="13"/>
  <c r="O22" i="13"/>
  <c r="C22" i="13"/>
  <c r="V21" i="13"/>
  <c r="J21" i="13"/>
  <c r="AC20" i="13"/>
  <c r="E20" i="13"/>
  <c r="AE18" i="13"/>
  <c r="S18" i="13"/>
  <c r="G18" i="13"/>
  <c r="Z17" i="13"/>
  <c r="N17" i="13"/>
  <c r="B17" i="13"/>
  <c r="U16" i="13"/>
  <c r="I16" i="13"/>
  <c r="AB15" i="13"/>
  <c r="W14" i="13"/>
  <c r="K14" i="13"/>
  <c r="AD13" i="13"/>
  <c r="R13" i="13"/>
  <c r="F13" i="13"/>
  <c r="M12" i="13"/>
  <c r="T11" i="13"/>
  <c r="H11" i="13"/>
  <c r="AA10" i="13"/>
  <c r="O10" i="13"/>
  <c r="C10" i="13"/>
  <c r="J9" i="13"/>
  <c r="AC8" i="13"/>
  <c r="Q8" i="13"/>
  <c r="E8" i="13"/>
  <c r="X7" i="13"/>
  <c r="O24" i="14"/>
  <c r="T13" i="14"/>
  <c r="S8" i="14"/>
  <c r="AE37" i="13"/>
  <c r="J37" i="13"/>
  <c r="W36" i="13"/>
  <c r="D36" i="13"/>
  <c r="T35" i="13"/>
  <c r="E35" i="13"/>
  <c r="R34" i="13"/>
  <c r="C34" i="13"/>
  <c r="S33" i="13"/>
  <c r="C32" i="13"/>
  <c r="T31" i="13"/>
  <c r="D31" i="13"/>
  <c r="U30" i="13"/>
  <c r="G30" i="13"/>
  <c r="Y29" i="13"/>
  <c r="H28" i="13"/>
  <c r="O27" i="13"/>
  <c r="C27" i="13"/>
  <c r="V26" i="13"/>
  <c r="J26" i="13"/>
  <c r="Q25" i="13"/>
  <c r="E25" i="13"/>
  <c r="L24" i="13"/>
  <c r="G23" i="13"/>
  <c r="Z22" i="13"/>
  <c r="N22" i="13"/>
  <c r="B22" i="13"/>
  <c r="U21" i="13"/>
  <c r="I21" i="13"/>
  <c r="P18" i="14"/>
  <c r="O13" i="14"/>
  <c r="R3" i="14"/>
  <c r="U38" i="13"/>
  <c r="AD37" i="13"/>
  <c r="H37" i="13"/>
  <c r="V36" i="13"/>
  <c r="C36" i="13"/>
  <c r="S35" i="13"/>
  <c r="D35" i="13"/>
  <c r="B34" i="13"/>
  <c r="R33" i="13"/>
  <c r="P32" i="13"/>
  <c r="B32" i="13"/>
  <c r="Q31" i="13"/>
  <c r="C31" i="13"/>
  <c r="T30" i="13"/>
  <c r="F30" i="13"/>
  <c r="X29" i="13"/>
  <c r="L29" i="13"/>
  <c r="G28" i="13"/>
  <c r="Z27" i="13"/>
  <c r="I26" i="13"/>
  <c r="AB25" i="13"/>
  <c r="P25" i="13"/>
  <c r="D25" i="13"/>
  <c r="K24" i="13"/>
  <c r="R23" i="13"/>
  <c r="F23" i="13"/>
  <c r="H21" i="13"/>
  <c r="AA20" i="13"/>
  <c r="O20" i="13"/>
  <c r="C20" i="13"/>
  <c r="T5" i="14"/>
  <c r="Q3" i="14"/>
  <c r="T38" i="13"/>
  <c r="AB37" i="13"/>
  <c r="G37" i="13"/>
  <c r="R35" i="13"/>
  <c r="AE34" i="13"/>
  <c r="N33" i="13"/>
  <c r="AD32" i="13"/>
  <c r="O32" i="13"/>
  <c r="P31" i="13"/>
  <c r="K29" i="13"/>
  <c r="AD28" i="13"/>
  <c r="R28" i="13"/>
  <c r="F28" i="13"/>
  <c r="M27" i="13"/>
  <c r="T26" i="13"/>
  <c r="H26" i="13"/>
  <c r="O25" i="13"/>
  <c r="C25" i="13"/>
  <c r="V24" i="13"/>
  <c r="AC23" i="13"/>
  <c r="Q23" i="13"/>
  <c r="E23" i="13"/>
  <c r="L22" i="13"/>
  <c r="AE21" i="13"/>
  <c r="S21" i="13"/>
  <c r="B20" i="13"/>
  <c r="U19" i="13"/>
  <c r="AB18" i="13"/>
  <c r="P18" i="13"/>
  <c r="D18" i="13"/>
  <c r="W17" i="13"/>
  <c r="K17" i="13"/>
  <c r="S20" i="14"/>
  <c r="R15" i="14"/>
  <c r="Q10" i="14"/>
  <c r="P5" i="14"/>
  <c r="F37" i="13"/>
  <c r="Q35" i="13"/>
  <c r="AD34" i="13"/>
  <c r="O34" i="13"/>
  <c r="AE33" i="13"/>
  <c r="AC32" i="13"/>
  <c r="N32" i="13"/>
  <c r="AC31" i="13"/>
  <c r="O31" i="13"/>
  <c r="R30" i="13"/>
  <c r="V29" i="13"/>
  <c r="J29" i="13"/>
  <c r="AC28" i="13"/>
  <c r="E28" i="13"/>
  <c r="L27" i="13"/>
  <c r="AE26" i="13"/>
  <c r="G26" i="13"/>
  <c r="Z25" i="13"/>
  <c r="B25" i="13"/>
  <c r="U24" i="13"/>
  <c r="I24" i="13"/>
  <c r="AB23" i="13"/>
  <c r="P23" i="13"/>
  <c r="D23" i="13"/>
  <c r="W22" i="13"/>
  <c r="K22" i="13"/>
  <c r="AD21" i="13"/>
  <c r="R21" i="13"/>
  <c r="F21" i="13"/>
  <c r="M20" i="13"/>
  <c r="T19" i="13"/>
  <c r="H19" i="13"/>
  <c r="O38" i="13"/>
  <c r="Z37" i="13"/>
  <c r="D37" i="13"/>
  <c r="AE35" i="13"/>
  <c r="AC34" i="13"/>
  <c r="N34" i="13"/>
  <c r="L33" i="13"/>
  <c r="AB32" i="13"/>
  <c r="M32" i="13"/>
  <c r="AB31" i="13"/>
  <c r="N31" i="13"/>
  <c r="AE30" i="13"/>
  <c r="D28" i="13"/>
  <c r="W27" i="13"/>
  <c r="K27" i="13"/>
  <c r="AD26" i="13"/>
  <c r="R26" i="13"/>
  <c r="F26" i="13"/>
  <c r="T24" i="13"/>
  <c r="H24" i="13"/>
  <c r="O23" i="13"/>
  <c r="V22" i="13"/>
  <c r="J22" i="13"/>
  <c r="AC21" i="13"/>
  <c r="X20" i="13"/>
  <c r="L20" i="13"/>
  <c r="AE19" i="13"/>
  <c r="S19" i="13"/>
  <c r="G19" i="13"/>
  <c r="Z18" i="13"/>
  <c r="N18" i="13"/>
  <c r="B18" i="13"/>
  <c r="U17" i="13"/>
  <c r="I17" i="13"/>
  <c r="P16" i="13"/>
  <c r="T17" i="14"/>
  <c r="S12" i="14"/>
  <c r="R7" i="14"/>
  <c r="L38" i="13"/>
  <c r="V37" i="13"/>
  <c r="O36" i="13"/>
  <c r="AD35" i="13"/>
  <c r="L35" i="13"/>
  <c r="AB34" i="13"/>
  <c r="Z33" i="13"/>
  <c r="K33" i="13"/>
  <c r="AA32" i="13"/>
  <c r="AA31" i="13"/>
  <c r="AD30" i="13"/>
  <c r="P30" i="13"/>
  <c r="H29" i="13"/>
  <c r="AA28" i="13"/>
  <c r="O28" i="13"/>
  <c r="J27" i="13"/>
  <c r="X25" i="13"/>
  <c r="L25" i="13"/>
  <c r="AE24" i="13"/>
  <c r="S24" i="13"/>
  <c r="G24" i="13"/>
  <c r="Z23" i="13"/>
  <c r="N23" i="13"/>
  <c r="B23" i="13"/>
  <c r="U22" i="13"/>
  <c r="P21" i="13"/>
  <c r="D21" i="13"/>
  <c r="W20" i="13"/>
  <c r="K20" i="13"/>
  <c r="AD19" i="13"/>
  <c r="AB20" i="13"/>
  <c r="R18" i="13"/>
  <c r="M17" i="13"/>
  <c r="Q16" i="13"/>
  <c r="W15" i="13"/>
  <c r="J14" i="13"/>
  <c r="Z13" i="13"/>
  <c r="L13" i="13"/>
  <c r="AC12" i="13"/>
  <c r="P12" i="13"/>
  <c r="C12" i="13"/>
  <c r="U11" i="13"/>
  <c r="AD9" i="13"/>
  <c r="D9" i="13"/>
  <c r="I8" i="13"/>
  <c r="N7" i="13"/>
  <c r="B7" i="13"/>
  <c r="U6" i="13"/>
  <c r="I6" i="13"/>
  <c r="AB5" i="13"/>
  <c r="D5" i="13"/>
  <c r="K4" i="13"/>
  <c r="AD3" i="13"/>
  <c r="R3" i="13"/>
  <c r="F3" i="13"/>
  <c r="P20" i="13"/>
  <c r="Q18" i="13"/>
  <c r="O16" i="13"/>
  <c r="AD14" i="13"/>
  <c r="I14" i="13"/>
  <c r="K13" i="13"/>
  <c r="O12" i="13"/>
  <c r="B12" i="13"/>
  <c r="S11" i="13"/>
  <c r="F11" i="13"/>
  <c r="X10" i="13"/>
  <c r="K10" i="13"/>
  <c r="P9" i="13"/>
  <c r="H8" i="13"/>
  <c r="Z7" i="13"/>
  <c r="M7" i="13"/>
  <c r="T6" i="13"/>
  <c r="H6" i="13"/>
  <c r="V4" i="13"/>
  <c r="J4" i="13"/>
  <c r="AC3" i="13"/>
  <c r="Q3" i="13"/>
  <c r="E3" i="13"/>
  <c r="D20" i="13"/>
  <c r="O18" i="13"/>
  <c r="J17" i="13"/>
  <c r="H16" i="13"/>
  <c r="O15" i="13"/>
  <c r="AC14" i="13"/>
  <c r="H14" i="13"/>
  <c r="X13" i="13"/>
  <c r="J13" i="13"/>
  <c r="AA12" i="13"/>
  <c r="N12" i="13"/>
  <c r="R11" i="13"/>
  <c r="E11" i="13"/>
  <c r="J10" i="13"/>
  <c r="AB9" i="13"/>
  <c r="O9" i="13"/>
  <c r="T8" i="13"/>
  <c r="Y7" i="13"/>
  <c r="L7" i="13"/>
  <c r="AE6" i="13"/>
  <c r="S6" i="13"/>
  <c r="G6" i="13"/>
  <c r="B5" i="13"/>
  <c r="U4" i="13"/>
  <c r="D3" i="13"/>
  <c r="W19" i="13"/>
  <c r="M18" i="13"/>
  <c r="H17" i="13"/>
  <c r="G16" i="13"/>
  <c r="G14" i="13"/>
  <c r="I13" i="13"/>
  <c r="Z12" i="13"/>
  <c r="L12" i="13"/>
  <c r="AD11" i="13"/>
  <c r="Q11" i="13"/>
  <c r="D11" i="13"/>
  <c r="V10" i="13"/>
  <c r="I10" i="13"/>
  <c r="AA9" i="13"/>
  <c r="F8" i="13"/>
  <c r="K7" i="13"/>
  <c r="AD6" i="13"/>
  <c r="R6" i="13"/>
  <c r="F6" i="13"/>
  <c r="Y5" i="13"/>
  <c r="M5" i="13"/>
  <c r="T4" i="13"/>
  <c r="H4" i="13"/>
  <c r="AA3" i="13"/>
  <c r="O3" i="13"/>
  <c r="C3" i="13"/>
  <c r="F18" i="13"/>
  <c r="F16" i="13"/>
  <c r="M15" i="13"/>
  <c r="V14" i="13"/>
  <c r="F14" i="13"/>
  <c r="V13" i="13"/>
  <c r="H13" i="13"/>
  <c r="P11" i="13"/>
  <c r="C11" i="13"/>
  <c r="U10" i="13"/>
  <c r="H10" i="13"/>
  <c r="Z9" i="13"/>
  <c r="M9" i="13"/>
  <c r="AE8" i="13"/>
  <c r="J7" i="13"/>
  <c r="Q6" i="13"/>
  <c r="E6" i="13"/>
  <c r="X5" i="13"/>
  <c r="L5" i="13"/>
  <c r="AE4" i="13"/>
  <c r="G4" i="13"/>
  <c r="Z3" i="13"/>
  <c r="B3" i="13"/>
  <c r="R19" i="13"/>
  <c r="E18" i="13"/>
  <c r="AE16" i="13"/>
  <c r="E16" i="13"/>
  <c r="L15" i="13"/>
  <c r="E14" i="13"/>
  <c r="U13" i="13"/>
  <c r="E13" i="13"/>
  <c r="J12" i="13"/>
  <c r="O11" i="13"/>
  <c r="T10" i="13"/>
  <c r="G10" i="13"/>
  <c r="Y9" i="13"/>
  <c r="L9" i="13"/>
  <c r="AD8" i="13"/>
  <c r="P8" i="13"/>
  <c r="C8" i="13"/>
  <c r="U7" i="13"/>
  <c r="AB6" i="13"/>
  <c r="P6" i="13"/>
  <c r="D6" i="13"/>
  <c r="W5" i="13"/>
  <c r="K5" i="13"/>
  <c r="AD4" i="13"/>
  <c r="R4" i="13"/>
  <c r="F4" i="13"/>
  <c r="Y3" i="13"/>
  <c r="C18" i="13"/>
  <c r="AD16" i="13"/>
  <c r="D16" i="13"/>
  <c r="K15" i="13"/>
  <c r="T14" i="13"/>
  <c r="V12" i="13"/>
  <c r="AA11" i="13"/>
  <c r="S10" i="13"/>
  <c r="F10" i="13"/>
  <c r="X9" i="13"/>
  <c r="K9" i="13"/>
  <c r="AB8" i="13"/>
  <c r="B8" i="13"/>
  <c r="T7" i="13"/>
  <c r="H7" i="13"/>
  <c r="AC4" i="13"/>
  <c r="E4" i="13"/>
  <c r="X3" i="13"/>
  <c r="L3" i="13"/>
  <c r="F19" i="13"/>
  <c r="Y17" i="13"/>
  <c r="F15" i="13"/>
  <c r="R14" i="13"/>
  <c r="P13" i="13"/>
  <c r="B13" i="13"/>
  <c r="U9" i="13"/>
  <c r="H9" i="13"/>
  <c r="Z8" i="13"/>
  <c r="M8" i="13"/>
  <c r="Y6" i="13"/>
  <c r="T5" i="13"/>
  <c r="H5" i="13"/>
  <c r="O4" i="13"/>
  <c r="C4" i="13"/>
  <c r="V3" i="13"/>
  <c r="J3" i="13"/>
  <c r="E2" i="13"/>
  <c r="T16" i="13"/>
  <c r="Z15" i="13"/>
  <c r="C15" i="13"/>
  <c r="Q14" i="13"/>
  <c r="O13" i="13"/>
  <c r="S12" i="13"/>
  <c r="F12" i="13"/>
  <c r="X11" i="13"/>
  <c r="K11" i="13"/>
  <c r="P10" i="13"/>
  <c r="T9" i="13"/>
  <c r="G9" i="13"/>
  <c r="L8" i="13"/>
  <c r="AD7" i="13"/>
  <c r="Q7" i="13"/>
  <c r="E7" i="13"/>
  <c r="AE5" i="13"/>
  <c r="G5" i="13"/>
  <c r="Z4" i="13"/>
  <c r="N4" i="13"/>
  <c r="B4" i="13"/>
  <c r="U3" i="13"/>
  <c r="I3" i="13"/>
  <c r="AB2" i="13"/>
  <c r="AC18" i="13"/>
  <c r="V17" i="13"/>
  <c r="B15" i="13"/>
  <c r="N13" i="13"/>
  <c r="AE12" i="13"/>
  <c r="R12" i="13"/>
  <c r="E12" i="13"/>
  <c r="W11" i="13"/>
  <c r="F9" i="13"/>
  <c r="X8" i="13"/>
  <c r="K8" i="13"/>
  <c r="AC7" i="13"/>
  <c r="P7" i="13"/>
  <c r="D7" i="13"/>
  <c r="W6" i="13"/>
  <c r="AD5" i="13"/>
  <c r="R5" i="13"/>
  <c r="F5" i="13"/>
  <c r="Y4" i="13"/>
  <c r="H3" i="13"/>
  <c r="O2" i="13"/>
  <c r="C2" i="13"/>
  <c r="Y18" i="13"/>
  <c r="T17" i="13"/>
  <c r="R16" i="13"/>
  <c r="AA13" i="13"/>
  <c r="M13" i="13"/>
  <c r="AD12" i="13"/>
  <c r="Q12" i="13"/>
  <c r="D12" i="13"/>
  <c r="I11" i="13"/>
  <c r="AE9" i="13"/>
  <c r="E9" i="13"/>
  <c r="W8" i="13"/>
  <c r="J8" i="13"/>
  <c r="AB7" i="13"/>
  <c r="O7" i="13"/>
  <c r="C7" i="13"/>
  <c r="V6" i="13"/>
  <c r="J6" i="13"/>
  <c r="AC5" i="13"/>
  <c r="E5" i="13"/>
  <c r="L4" i="13"/>
  <c r="G3" i="13"/>
  <c r="N2" i="13"/>
  <c r="B2" i="13"/>
  <c r="J19" i="13"/>
  <c r="M11" i="13"/>
  <c r="N6" i="13"/>
  <c r="AE10" i="13"/>
  <c r="B6" i="13"/>
  <c r="AC16" i="13"/>
  <c r="U5" i="13"/>
  <c r="C16" i="13"/>
  <c r="E10" i="13"/>
  <c r="I5" i="13"/>
  <c r="J15" i="13"/>
  <c r="W9" i="13"/>
  <c r="AB4" i="13"/>
  <c r="I9" i="13"/>
  <c r="B14" i="13"/>
  <c r="AA8" i="13"/>
  <c r="D4" i="13"/>
  <c r="Q13" i="13"/>
  <c r="N8" i="13"/>
  <c r="C13" i="13"/>
  <c r="K3" i="13"/>
  <c r="U12" i="13"/>
  <c r="H12" i="13"/>
  <c r="G7" i="13"/>
  <c r="Z11" i="13"/>
  <c r="Z6" i="13"/>
  <c r="F37" i="10"/>
  <c r="B36" i="10"/>
  <c r="F34" i="10"/>
  <c r="B33" i="10"/>
  <c r="F31" i="10"/>
  <c r="B30" i="10"/>
  <c r="F28" i="10"/>
  <c r="B27" i="10"/>
  <c r="F25" i="10"/>
  <c r="B24" i="10"/>
  <c r="F22" i="10"/>
  <c r="B21" i="10"/>
  <c r="F19" i="10"/>
  <c r="B18" i="10"/>
  <c r="F16" i="10"/>
  <c r="B15" i="10"/>
  <c r="F13" i="10"/>
  <c r="B12" i="10"/>
  <c r="F10" i="10"/>
  <c r="B9" i="10"/>
  <c r="F7" i="10"/>
  <c r="B6" i="10"/>
  <c r="F4" i="10"/>
  <c r="B3" i="10"/>
  <c r="E37" i="10"/>
  <c r="E34" i="10"/>
  <c r="E31" i="10"/>
  <c r="E28" i="10"/>
  <c r="E25" i="10"/>
  <c r="E22" i="10"/>
  <c r="E19" i="10"/>
  <c r="E16" i="10"/>
  <c r="E13" i="10"/>
  <c r="E10" i="10"/>
  <c r="E7" i="10"/>
  <c r="E4" i="10"/>
  <c r="D37" i="10"/>
  <c r="D34" i="10"/>
  <c r="D31" i="10"/>
  <c r="D28" i="10"/>
  <c r="D25" i="10"/>
  <c r="D22" i="10"/>
  <c r="D19" i="10"/>
  <c r="D16" i="10"/>
  <c r="D13" i="10"/>
  <c r="D10" i="10"/>
  <c r="D7" i="10"/>
  <c r="D4" i="10"/>
  <c r="G38" i="10"/>
  <c r="C37" i="10"/>
  <c r="G35" i="10"/>
  <c r="C34" i="10"/>
  <c r="G32" i="10"/>
  <c r="C31" i="10"/>
  <c r="G29" i="10"/>
  <c r="C28" i="10"/>
  <c r="G26" i="10"/>
  <c r="C25" i="10"/>
  <c r="G23" i="10"/>
  <c r="C22" i="10"/>
  <c r="G20" i="10"/>
  <c r="C19" i="10"/>
  <c r="G17" i="10"/>
  <c r="C16" i="10"/>
  <c r="G14" i="10"/>
  <c r="C13" i="10"/>
  <c r="G11" i="10"/>
  <c r="C10" i="10"/>
  <c r="G8" i="10"/>
  <c r="C7" i="10"/>
  <c r="G5" i="10"/>
  <c r="C4" i="10"/>
  <c r="G2" i="10"/>
  <c r="E32" i="10"/>
  <c r="E30" i="10"/>
  <c r="E23" i="10"/>
  <c r="E21" i="10"/>
  <c r="E14" i="10"/>
  <c r="E12" i="10"/>
  <c r="E5" i="10"/>
  <c r="E3" i="10"/>
  <c r="D32" i="10"/>
  <c r="D30" i="10"/>
  <c r="D23" i="10"/>
  <c r="D21" i="10"/>
  <c r="D14" i="10"/>
  <c r="D12" i="10"/>
  <c r="D5" i="10"/>
  <c r="D3" i="10"/>
  <c r="G36" i="10"/>
  <c r="G34" i="10"/>
  <c r="C32" i="10"/>
  <c r="C30" i="10"/>
  <c r="G27" i="10"/>
  <c r="G25" i="10"/>
  <c r="C23" i="10"/>
  <c r="C21" i="10"/>
  <c r="G18" i="10"/>
  <c r="G16" i="10"/>
  <c r="C14" i="10"/>
  <c r="C12" i="10"/>
  <c r="G9" i="10"/>
  <c r="G7" i="10"/>
  <c r="C5" i="10"/>
  <c r="C3" i="10"/>
  <c r="F38" i="10"/>
  <c r="F36" i="10"/>
  <c r="B34" i="10"/>
  <c r="B32" i="10"/>
  <c r="F29" i="10"/>
  <c r="F27" i="10"/>
  <c r="B25" i="10"/>
  <c r="B23" i="10"/>
  <c r="F20" i="10"/>
  <c r="F18" i="10"/>
  <c r="B16" i="10"/>
  <c r="B14" i="10"/>
  <c r="F11" i="10"/>
  <c r="F9" i="10"/>
  <c r="B7" i="10"/>
  <c r="B5" i="10"/>
  <c r="F2" i="10"/>
  <c r="E38" i="10"/>
  <c r="E36" i="10"/>
  <c r="E29" i="10"/>
  <c r="E27" i="10"/>
  <c r="E20" i="10"/>
  <c r="E18" i="10"/>
  <c r="E11" i="10"/>
  <c r="E9" i="10"/>
  <c r="E2" i="10"/>
  <c r="D38" i="10"/>
  <c r="D36" i="10"/>
  <c r="D29" i="10"/>
  <c r="D27" i="10"/>
  <c r="D20" i="10"/>
  <c r="D18" i="10"/>
  <c r="H13" i="10"/>
  <c r="D11" i="10"/>
  <c r="D9" i="10"/>
  <c r="D2" i="10"/>
  <c r="C38" i="10"/>
  <c r="C36" i="10"/>
  <c r="G33" i="10"/>
  <c r="G31" i="10"/>
  <c r="C29" i="10"/>
  <c r="C27" i="10"/>
  <c r="G24" i="10"/>
  <c r="G22" i="10"/>
  <c r="C20" i="10"/>
  <c r="C18" i="10"/>
  <c r="G15" i="10"/>
  <c r="G13" i="10"/>
  <c r="C11" i="10"/>
  <c r="C9" i="10"/>
  <c r="G6" i="10"/>
  <c r="G4" i="10"/>
  <c r="C2" i="10"/>
  <c r="B38" i="10"/>
  <c r="F35" i="10"/>
  <c r="F33" i="10"/>
  <c r="B31" i="10"/>
  <c r="B29" i="10"/>
  <c r="F26" i="10"/>
  <c r="F24" i="10"/>
  <c r="B22" i="10"/>
  <c r="B20" i="10"/>
  <c r="F17" i="10"/>
  <c r="F15" i="10"/>
  <c r="B13" i="10"/>
  <c r="B11" i="10"/>
  <c r="F8" i="10"/>
  <c r="F6" i="10"/>
  <c r="B4" i="10"/>
  <c r="B2" i="10"/>
  <c r="E35" i="10"/>
  <c r="E33" i="10"/>
  <c r="E26" i="10"/>
  <c r="E24" i="10"/>
  <c r="I21" i="10"/>
  <c r="E17" i="10"/>
  <c r="E15" i="10"/>
  <c r="E8" i="10"/>
  <c r="E6" i="10"/>
  <c r="H10" i="10"/>
  <c r="G37" i="10"/>
  <c r="G28" i="10"/>
  <c r="G19" i="10"/>
  <c r="G10" i="10"/>
  <c r="B37" i="10"/>
  <c r="B28" i="10"/>
  <c r="B19" i="10"/>
  <c r="B10" i="10"/>
  <c r="D35" i="10"/>
  <c r="D26" i="10"/>
  <c r="D17" i="10"/>
  <c r="D8" i="10"/>
  <c r="C35" i="10"/>
  <c r="C26" i="10"/>
  <c r="C17" i="10"/>
  <c r="C8" i="10"/>
  <c r="B35" i="10"/>
  <c r="B26" i="10"/>
  <c r="B17" i="10"/>
  <c r="B8" i="10"/>
  <c r="D33" i="10"/>
  <c r="D24" i="10"/>
  <c r="D15" i="10"/>
  <c r="D6" i="10"/>
  <c r="C33" i="10"/>
  <c r="C24" i="10"/>
  <c r="C15" i="10"/>
  <c r="C6" i="10"/>
  <c r="F32" i="10"/>
  <c r="F23" i="10"/>
  <c r="F14" i="10"/>
  <c r="F5" i="10"/>
  <c r="G21" i="10"/>
  <c r="F21" i="10"/>
  <c r="G12" i="10"/>
  <c r="F12" i="10"/>
  <c r="G3" i="10"/>
  <c r="F3" i="10"/>
  <c r="F30" i="10"/>
  <c r="G30" i="10"/>
  <c r="R47" i="5"/>
  <c r="S56" i="5"/>
  <c r="I19" i="10" s="1"/>
  <c r="R81" i="5"/>
  <c r="H7" i="10" s="1"/>
  <c r="R92" i="5"/>
  <c r="S113" i="5"/>
  <c r="R114" i="5"/>
  <c r="S125" i="5"/>
  <c r="R126" i="5"/>
  <c r="R131" i="5"/>
  <c r="S160" i="5"/>
  <c r="R162" i="5"/>
  <c r="S169" i="5"/>
  <c r="D182" i="5"/>
  <c r="F34" i="13" s="1"/>
  <c r="R202" i="5"/>
  <c r="H17" i="10" s="1"/>
  <c r="S214" i="5"/>
  <c r="S225" i="5"/>
  <c r="R226" i="5"/>
  <c r="D263" i="5"/>
  <c r="I4" i="13" s="1"/>
  <c r="S266" i="5"/>
  <c r="S267" i="5"/>
  <c r="R267" i="5"/>
  <c r="R268" i="5"/>
  <c r="D281" i="5"/>
  <c r="I22" i="13" s="1"/>
  <c r="R285" i="5"/>
  <c r="D293" i="5"/>
  <c r="I34" i="13" s="1"/>
  <c r="R297" i="5"/>
  <c r="R318" i="5"/>
  <c r="H22" i="10" s="1"/>
  <c r="S323" i="5"/>
  <c r="R324" i="5"/>
  <c r="D328" i="5"/>
  <c r="J32" i="13" s="1"/>
  <c r="R328" i="5"/>
  <c r="D332" i="5"/>
  <c r="J36" i="13" s="1"/>
  <c r="D341" i="5"/>
  <c r="S349" i="5"/>
  <c r="R349" i="5"/>
  <c r="D349" i="5"/>
  <c r="K16" i="13" s="1"/>
  <c r="D352" i="5"/>
  <c r="K19" i="13" s="1"/>
  <c r="D377" i="5"/>
  <c r="S377" i="5"/>
  <c r="R377" i="5"/>
  <c r="D413" i="5"/>
  <c r="M6" i="13" s="1"/>
  <c r="S413" i="5"/>
  <c r="R413" i="5"/>
  <c r="R419" i="5"/>
  <c r="R436" i="5"/>
  <c r="D466" i="5"/>
  <c r="R466" i="5"/>
  <c r="D479" i="5"/>
  <c r="N35" i="13" s="1"/>
  <c r="D540" i="5"/>
  <c r="P22" i="13" s="1"/>
  <c r="S540" i="5"/>
  <c r="R540" i="5"/>
  <c r="S553" i="5"/>
  <c r="S570" i="5"/>
  <c r="R150" i="5"/>
  <c r="D181" i="5"/>
  <c r="F33" i="13" s="1"/>
  <c r="R186" i="5"/>
  <c r="D196" i="5"/>
  <c r="G11" i="13" s="1"/>
  <c r="D197" i="5"/>
  <c r="G12" i="13" s="1"/>
  <c r="S201" i="5"/>
  <c r="I16" i="10" s="1"/>
  <c r="R201" i="5"/>
  <c r="S213" i="5"/>
  <c r="R243" i="5"/>
  <c r="R284" i="5"/>
  <c r="S285" i="5"/>
  <c r="D292" i="5"/>
  <c r="R296" i="5"/>
  <c r="S297" i="5"/>
  <c r="S327" i="5"/>
  <c r="S331" i="5"/>
  <c r="R335" i="5"/>
  <c r="S337" i="5"/>
  <c r="R337" i="5"/>
  <c r="S360" i="5"/>
  <c r="D386" i="5"/>
  <c r="L16" i="13" s="1"/>
  <c r="S412" i="5"/>
  <c r="D460" i="5"/>
  <c r="N16" i="13" s="1"/>
  <c r="S460" i="5"/>
  <c r="R460" i="5"/>
  <c r="D464" i="5"/>
  <c r="N20" i="13" s="1"/>
  <c r="D469" i="5"/>
  <c r="N25" i="13" s="1"/>
  <c r="S502" i="5"/>
  <c r="R502" i="5"/>
  <c r="R122" i="5"/>
  <c r="H11" i="10" s="1"/>
  <c r="S150" i="5"/>
  <c r="D180" i="5"/>
  <c r="B61" i="6" s="1"/>
  <c r="S199" i="5"/>
  <c r="I14" i="10" s="1"/>
  <c r="S200" i="5"/>
  <c r="I15" i="10" s="1"/>
  <c r="R200" i="5"/>
  <c r="S212" i="5"/>
  <c r="R218" i="5"/>
  <c r="R224" i="5"/>
  <c r="S284" i="5"/>
  <c r="D291" i="5"/>
  <c r="I32" i="13" s="1"/>
  <c r="S296" i="5"/>
  <c r="S322" i="5"/>
  <c r="R323" i="5"/>
  <c r="R331" i="5"/>
  <c r="H35" i="10" s="1"/>
  <c r="S336" i="5"/>
  <c r="I3" i="10" s="1"/>
  <c r="R336" i="5"/>
  <c r="S365" i="5"/>
  <c r="D365" i="5"/>
  <c r="K32" i="13" s="1"/>
  <c r="R365" i="5"/>
  <c r="D369" i="5"/>
  <c r="K36" i="13" s="1"/>
  <c r="S386" i="5"/>
  <c r="D483" i="5"/>
  <c r="S483" i="5"/>
  <c r="R483" i="5"/>
  <c r="S510" i="5"/>
  <c r="D510" i="5"/>
  <c r="O29" i="13" s="1"/>
  <c r="R510" i="5"/>
  <c r="D514" i="5"/>
  <c r="O33" i="13" s="1"/>
  <c r="S545" i="5"/>
  <c r="R545" i="5"/>
  <c r="D179" i="5"/>
  <c r="F31" i="13" s="1"/>
  <c r="S211" i="5"/>
  <c r="S223" i="5"/>
  <c r="D241" i="5"/>
  <c r="D290" i="5"/>
  <c r="R299" i="5"/>
  <c r="S305" i="5"/>
  <c r="I9" i="10" s="1"/>
  <c r="D327" i="5"/>
  <c r="J31" i="13" s="1"/>
  <c r="R327" i="5"/>
  <c r="D331" i="5"/>
  <c r="J35" i="13" s="1"/>
  <c r="D335" i="5"/>
  <c r="S335" i="5"/>
  <c r="S347" i="5"/>
  <c r="R347" i="5"/>
  <c r="S359" i="5"/>
  <c r="S372" i="5"/>
  <c r="R372" i="5"/>
  <c r="S375" i="5"/>
  <c r="D376" i="5"/>
  <c r="L6" i="13" s="1"/>
  <c r="S376" i="5"/>
  <c r="R376" i="5"/>
  <c r="H6" i="10" s="1"/>
  <c r="D385" i="5"/>
  <c r="S411" i="5"/>
  <c r="D412" i="5"/>
  <c r="D421" i="5"/>
  <c r="M14" i="13" s="1"/>
  <c r="D453" i="5"/>
  <c r="N9" i="13" s="1"/>
  <c r="R459" i="5"/>
  <c r="D459" i="5"/>
  <c r="N15" i="13" s="1"/>
  <c r="S459" i="5"/>
  <c r="D523" i="5"/>
  <c r="P5" i="13" s="1"/>
  <c r="D552" i="5"/>
  <c r="P34" i="13" s="1"/>
  <c r="S552" i="5"/>
  <c r="R552" i="5"/>
  <c r="D178" i="5"/>
  <c r="S210" i="5"/>
  <c r="S222" i="5"/>
  <c r="S242" i="5"/>
  <c r="R242" i="5"/>
  <c r="D275" i="5"/>
  <c r="D276" i="5"/>
  <c r="D289" i="5"/>
  <c r="S321" i="5"/>
  <c r="R322" i="5"/>
  <c r="S326" i="5"/>
  <c r="S330" i="5"/>
  <c r="S334" i="5"/>
  <c r="R426" i="5"/>
  <c r="S439" i="5"/>
  <c r="D454" i="5"/>
  <c r="N10" i="13" s="1"/>
  <c r="R454" i="5"/>
  <c r="D468" i="5"/>
  <c r="N24" i="13" s="1"/>
  <c r="D500" i="5"/>
  <c r="S500" i="5"/>
  <c r="R500" i="5"/>
  <c r="S532" i="5"/>
  <c r="R532" i="5"/>
  <c r="S544" i="5"/>
  <c r="R544" i="5"/>
  <c r="D560" i="5"/>
  <c r="Q5" i="13" s="1"/>
  <c r="R560" i="5"/>
  <c r="S153" i="5"/>
  <c r="D177" i="5"/>
  <c r="S209" i="5"/>
  <c r="S221" i="5"/>
  <c r="S277" i="5"/>
  <c r="I18" i="10" s="1"/>
  <c r="R278" i="5"/>
  <c r="D288" i="5"/>
  <c r="I29" i="13" s="1"/>
  <c r="R314" i="5"/>
  <c r="H18" i="10" s="1"/>
  <c r="R315" i="5"/>
  <c r="D320" i="5"/>
  <c r="J24" i="13" s="1"/>
  <c r="R334" i="5"/>
  <c r="S346" i="5"/>
  <c r="R346" i="5"/>
  <c r="S358" i="5"/>
  <c r="S364" i="5"/>
  <c r="R364" i="5"/>
  <c r="D368" i="5"/>
  <c r="K35" i="13" s="1"/>
  <c r="R386" i="5"/>
  <c r="S422" i="5"/>
  <c r="R422" i="5"/>
  <c r="S426" i="5"/>
  <c r="S427" i="5"/>
  <c r="R427" i="5"/>
  <c r="D434" i="5"/>
  <c r="S434" i="5"/>
  <c r="R434" i="5"/>
  <c r="S458" i="5"/>
  <c r="D458" i="5"/>
  <c r="N14" i="13" s="1"/>
  <c r="R458" i="5"/>
  <c r="D575" i="5"/>
  <c r="Q20" i="13" s="1"/>
  <c r="S575" i="5"/>
  <c r="R575" i="5"/>
  <c r="S640" i="5"/>
  <c r="R640" i="5"/>
  <c r="D640" i="5"/>
  <c r="S651" i="5"/>
  <c r="R651" i="5"/>
  <c r="S995" i="5"/>
  <c r="D995" i="5"/>
  <c r="R995" i="5"/>
  <c r="S363" i="5"/>
  <c r="D380" i="5"/>
  <c r="L10" i="13" s="1"/>
  <c r="D381" i="5"/>
  <c r="L11" i="13" s="1"/>
  <c r="D417" i="5"/>
  <c r="M10" i="13" s="1"/>
  <c r="D432" i="5"/>
  <c r="M25" i="13" s="1"/>
  <c r="D444" i="5"/>
  <c r="M37" i="13" s="1"/>
  <c r="D447" i="5"/>
  <c r="N3" i="13" s="1"/>
  <c r="D448" i="5"/>
  <c r="D449" i="5"/>
  <c r="N5" i="13" s="1"/>
  <c r="S482" i="5"/>
  <c r="R482" i="5"/>
  <c r="R531" i="5"/>
  <c r="R537" i="5"/>
  <c r="D606" i="5"/>
  <c r="S606" i="5"/>
  <c r="S666" i="5"/>
  <c r="R666" i="5"/>
  <c r="R700" i="5"/>
  <c r="D729" i="5"/>
  <c r="U26" i="13" s="1"/>
  <c r="R464" i="5"/>
  <c r="R467" i="5"/>
  <c r="R513" i="5"/>
  <c r="S749" i="5"/>
  <c r="R749" i="5"/>
  <c r="D749" i="5"/>
  <c r="V9" i="13" s="1"/>
  <c r="D763" i="5"/>
  <c r="V23" i="13" s="1"/>
  <c r="D767" i="5"/>
  <c r="V27" i="13" s="1"/>
  <c r="D771" i="5"/>
  <c r="V31" i="13" s="1"/>
  <c r="D775" i="5"/>
  <c r="D779" i="5"/>
  <c r="S863" i="5"/>
  <c r="D339" i="5"/>
  <c r="K6" i="13" s="1"/>
  <c r="S342" i="5"/>
  <c r="R343" i="5"/>
  <c r="S352" i="5"/>
  <c r="R374" i="5"/>
  <c r="R387" i="5"/>
  <c r="R411" i="5"/>
  <c r="S423" i="5"/>
  <c r="R424" i="5"/>
  <c r="D430" i="5"/>
  <c r="M23" i="13" s="1"/>
  <c r="D442" i="5"/>
  <c r="S453" i="5"/>
  <c r="D471" i="5"/>
  <c r="N27" i="13" s="1"/>
  <c r="S472" i="5"/>
  <c r="S481" i="5"/>
  <c r="R481" i="5"/>
  <c r="S493" i="5"/>
  <c r="S494" i="5"/>
  <c r="R495" i="5"/>
  <c r="S506" i="5"/>
  <c r="S518" i="5"/>
  <c r="D522" i="5"/>
  <c r="P4" i="13" s="1"/>
  <c r="D548" i="5"/>
  <c r="R571" i="5"/>
  <c r="S579" i="5"/>
  <c r="S583" i="5"/>
  <c r="S587" i="5"/>
  <c r="S591" i="5"/>
  <c r="S595" i="5"/>
  <c r="S748" i="5"/>
  <c r="R748" i="5"/>
  <c r="D748" i="5"/>
  <c r="V8" i="13" s="1"/>
  <c r="R804" i="5"/>
  <c r="S804" i="5"/>
  <c r="D804" i="5"/>
  <c r="D841" i="5"/>
  <c r="X27" i="13" s="1"/>
  <c r="S841" i="5"/>
  <c r="R841" i="5"/>
  <c r="R300" i="5"/>
  <c r="R311" i="5"/>
  <c r="S317" i="5"/>
  <c r="S343" i="5"/>
  <c r="R366" i="5"/>
  <c r="S374" i="5"/>
  <c r="S387" i="5"/>
  <c r="I17" i="10" s="1"/>
  <c r="R388" i="5"/>
  <c r="S424" i="5"/>
  <c r="D429" i="5"/>
  <c r="M22" i="13" s="1"/>
  <c r="R435" i="5"/>
  <c r="D441" i="5"/>
  <c r="M34" i="13" s="1"/>
  <c r="R455" i="5"/>
  <c r="R465" i="5"/>
  <c r="S471" i="5"/>
  <c r="R477" i="5"/>
  <c r="D489" i="5"/>
  <c r="O8" i="13" s="1"/>
  <c r="S495" i="5"/>
  <c r="R496" i="5"/>
  <c r="S505" i="5"/>
  <c r="R511" i="5"/>
  <c r="S517" i="5"/>
  <c r="D521" i="5"/>
  <c r="P3" i="13" s="1"/>
  <c r="S523" i="5"/>
  <c r="S525" i="5"/>
  <c r="D537" i="5"/>
  <c r="R538" i="5"/>
  <c r="R541" i="5"/>
  <c r="D547" i="5"/>
  <c r="P29" i="13" s="1"/>
  <c r="R553" i="5"/>
  <c r="D559" i="5"/>
  <c r="Q4" i="13" s="1"/>
  <c r="R559" i="5"/>
  <c r="S560" i="5"/>
  <c r="S562" i="5"/>
  <c r="R562" i="5"/>
  <c r="D566" i="5"/>
  <c r="S566" i="5"/>
  <c r="R566" i="5"/>
  <c r="S567" i="5"/>
  <c r="S571" i="5"/>
  <c r="D579" i="5"/>
  <c r="Q24" i="13" s="1"/>
  <c r="D583" i="5"/>
  <c r="Q28" i="13" s="1"/>
  <c r="D587" i="5"/>
  <c r="Q32" i="13" s="1"/>
  <c r="D591" i="5"/>
  <c r="Q36" i="13" s="1"/>
  <c r="D602" i="5"/>
  <c r="R10" i="13" s="1"/>
  <c r="S602" i="5"/>
  <c r="S603" i="5"/>
  <c r="R603" i="5"/>
  <c r="S604" i="5"/>
  <c r="S613" i="5"/>
  <c r="S625" i="5"/>
  <c r="D631" i="5"/>
  <c r="S2" i="13" s="1"/>
  <c r="S631" i="5"/>
  <c r="R631" i="5"/>
  <c r="R669" i="5"/>
  <c r="R690" i="5"/>
  <c r="D703" i="5"/>
  <c r="T37" i="13" s="1"/>
  <c r="R739" i="5"/>
  <c r="S739" i="5"/>
  <c r="D739" i="5"/>
  <c r="U36" i="13" s="1"/>
  <c r="R312" i="5"/>
  <c r="R344" i="5"/>
  <c r="R353" i="5"/>
  <c r="S371" i="5"/>
  <c r="R375" i="5"/>
  <c r="R412" i="5"/>
  <c r="D440" i="5"/>
  <c r="M33" i="13" s="1"/>
  <c r="R456" i="5"/>
  <c r="S470" i="5"/>
  <c r="S480" i="5"/>
  <c r="R480" i="5"/>
  <c r="D488" i="5"/>
  <c r="R497" i="5"/>
  <c r="S504" i="5"/>
  <c r="S516" i="5"/>
  <c r="S524" i="5"/>
  <c r="S528" i="5"/>
  <c r="S538" i="5"/>
  <c r="D546" i="5"/>
  <c r="P28" i="13" s="1"/>
  <c r="S561" i="5"/>
  <c r="D565" i="5"/>
  <c r="Q10" i="13" s="1"/>
  <c r="R574" i="5"/>
  <c r="D600" i="5"/>
  <c r="R8" i="13" s="1"/>
  <c r="R623" i="5"/>
  <c r="S664" i="5"/>
  <c r="R664" i="5"/>
  <c r="S711" i="5"/>
  <c r="R711" i="5"/>
  <c r="D747" i="5"/>
  <c r="V7" i="13" s="1"/>
  <c r="S747" i="5"/>
  <c r="R747" i="5"/>
  <c r="D762" i="5"/>
  <c r="D766" i="5"/>
  <c r="D770" i="5"/>
  <c r="D774" i="5"/>
  <c r="V34" i="13" s="1"/>
  <c r="D778" i="5"/>
  <c r="V38" i="13" s="1"/>
  <c r="S312" i="5"/>
  <c r="S353" i="5"/>
  <c r="S370" i="5"/>
  <c r="D422" i="5"/>
  <c r="D439" i="5"/>
  <c r="R445" i="5"/>
  <c r="H38" i="10" s="1"/>
  <c r="S456" i="5"/>
  <c r="S469" i="5"/>
  <c r="R475" i="5"/>
  <c r="D487" i="5"/>
  <c r="O6" i="13" s="1"/>
  <c r="S490" i="5"/>
  <c r="S491" i="5"/>
  <c r="R491" i="5"/>
  <c r="S497" i="5"/>
  <c r="R498" i="5"/>
  <c r="R499" i="5"/>
  <c r="S503" i="5"/>
  <c r="R509" i="5"/>
  <c r="S515" i="5"/>
  <c r="D533" i="5"/>
  <c r="P15" i="13" s="1"/>
  <c r="S533" i="5"/>
  <c r="R534" i="5"/>
  <c r="S535" i="5"/>
  <c r="S536" i="5"/>
  <c r="R539" i="5"/>
  <c r="D545" i="5"/>
  <c r="R551" i="5"/>
  <c r="D557" i="5"/>
  <c r="Q2" i="13" s="1"/>
  <c r="S557" i="5"/>
  <c r="R557" i="5"/>
  <c r="S558" i="5"/>
  <c r="D564" i="5"/>
  <c r="Q9" i="13" s="1"/>
  <c r="S574" i="5"/>
  <c r="S578" i="5"/>
  <c r="S582" i="5"/>
  <c r="S586" i="5"/>
  <c r="S590" i="5"/>
  <c r="R622" i="5"/>
  <c r="S623" i="5"/>
  <c r="D632" i="5"/>
  <c r="S3" i="13" s="1"/>
  <c r="S632" i="5"/>
  <c r="R632" i="5"/>
  <c r="S653" i="5"/>
  <c r="I24" i="10" s="1"/>
  <c r="S677" i="5"/>
  <c r="D685" i="5"/>
  <c r="R727" i="5"/>
  <c r="S727" i="5"/>
  <c r="D727" i="5"/>
  <c r="R355" i="5"/>
  <c r="R356" i="5"/>
  <c r="R357" i="5"/>
  <c r="R358" i="5"/>
  <c r="R359" i="5"/>
  <c r="R360" i="5"/>
  <c r="R361" i="5"/>
  <c r="H28" i="10" s="1"/>
  <c r="R362" i="5"/>
  <c r="H29" i="10" s="1"/>
  <c r="R363" i="5"/>
  <c r="S369" i="5"/>
  <c r="R432" i="5"/>
  <c r="D438" i="5"/>
  <c r="M31" i="13" s="1"/>
  <c r="R444" i="5"/>
  <c r="S445" i="5"/>
  <c r="R461" i="5"/>
  <c r="S468" i="5"/>
  <c r="R474" i="5"/>
  <c r="S479" i="5"/>
  <c r="R479" i="5"/>
  <c r="S498" i="5"/>
  <c r="S499" i="5"/>
  <c r="R508" i="5"/>
  <c r="S514" i="5"/>
  <c r="D532" i="5"/>
  <c r="S539" i="5"/>
  <c r="D544" i="5"/>
  <c r="P26" i="13" s="1"/>
  <c r="R550" i="5"/>
  <c r="S551" i="5"/>
  <c r="D556" i="5"/>
  <c r="P38" i="13" s="1"/>
  <c r="D599" i="5"/>
  <c r="R7" i="13" s="1"/>
  <c r="R599" i="5"/>
  <c r="R621" i="5"/>
  <c r="S622" i="5"/>
  <c r="S668" i="5"/>
  <c r="D681" i="5"/>
  <c r="T15" i="13" s="1"/>
  <c r="S698" i="5"/>
  <c r="R698" i="5"/>
  <c r="D698" i="5"/>
  <c r="R702" i="5"/>
  <c r="S1069" i="5"/>
  <c r="R1069" i="5"/>
  <c r="R348" i="5"/>
  <c r="H15" i="10" s="1"/>
  <c r="S368" i="5"/>
  <c r="I35" i="10" s="1"/>
  <c r="R379" i="5"/>
  <c r="D411" i="5"/>
  <c r="M4" i="13" s="1"/>
  <c r="R416" i="5"/>
  <c r="R431" i="5"/>
  <c r="S432" i="5"/>
  <c r="D437" i="5"/>
  <c r="M30" i="13" s="1"/>
  <c r="R443" i="5"/>
  <c r="S444" i="5"/>
  <c r="D455" i="5"/>
  <c r="N11" i="13" s="1"/>
  <c r="R462" i="5"/>
  <c r="S465" i="5"/>
  <c r="S467" i="5"/>
  <c r="R507" i="5"/>
  <c r="S513" i="5"/>
  <c r="R519" i="5"/>
  <c r="D531" i="5"/>
  <c r="D543" i="5"/>
  <c r="R549" i="5"/>
  <c r="S550" i="5"/>
  <c r="D555" i="5"/>
  <c r="S596" i="5"/>
  <c r="R597" i="5"/>
  <c r="S597" i="5"/>
  <c r="R606" i="5"/>
  <c r="S611" i="5"/>
  <c r="R611" i="5"/>
  <c r="D611" i="5"/>
  <c r="R620" i="5"/>
  <c r="S621" i="5"/>
  <c r="D723" i="5"/>
  <c r="U20" i="13" s="1"/>
  <c r="S723" i="5"/>
  <c r="R723" i="5"/>
  <c r="R781" i="5"/>
  <c r="S951" i="5"/>
  <c r="R951" i="5"/>
  <c r="R1024" i="5"/>
  <c r="D1024" i="5"/>
  <c r="AC25" i="13" s="1"/>
  <c r="S1024" i="5"/>
  <c r="S1059" i="5"/>
  <c r="R1059" i="5"/>
  <c r="S367" i="5"/>
  <c r="R380" i="5"/>
  <c r="D389" i="5"/>
  <c r="L19" i="13" s="1"/>
  <c r="R417" i="5"/>
  <c r="S425" i="5"/>
  <c r="R430" i="5"/>
  <c r="S431" i="5"/>
  <c r="D436" i="5"/>
  <c r="M29" i="13" s="1"/>
  <c r="R442" i="5"/>
  <c r="S443" i="5"/>
  <c r="R447" i="5"/>
  <c r="S448" i="5"/>
  <c r="S466" i="5"/>
  <c r="R472" i="5"/>
  <c r="S478" i="5"/>
  <c r="R478" i="5"/>
  <c r="R484" i="5"/>
  <c r="R506" i="5"/>
  <c r="H25" i="10" s="1"/>
  <c r="S512" i="5"/>
  <c r="R518" i="5"/>
  <c r="D542" i="5"/>
  <c r="R548" i="5"/>
  <c r="S549" i="5"/>
  <c r="D554" i="5"/>
  <c r="P36" i="13" s="1"/>
  <c r="D570" i="5"/>
  <c r="S572" i="5"/>
  <c r="S573" i="5"/>
  <c r="R573" i="5"/>
  <c r="S577" i="5"/>
  <c r="S581" i="5"/>
  <c r="S585" i="5"/>
  <c r="S589" i="5"/>
  <c r="S593" i="5"/>
  <c r="S609" i="5"/>
  <c r="S620" i="5"/>
  <c r="S652" i="5"/>
  <c r="R652" i="5"/>
  <c r="D676" i="5"/>
  <c r="R680" i="5"/>
  <c r="D787" i="5"/>
  <c r="W10" i="13" s="1"/>
  <c r="S806" i="5"/>
  <c r="S366" i="5"/>
  <c r="D435" i="5"/>
  <c r="M28" i="13" s="1"/>
  <c r="S477" i="5"/>
  <c r="S511" i="5"/>
  <c r="R522" i="5"/>
  <c r="R526" i="5"/>
  <c r="D541" i="5"/>
  <c r="S548" i="5"/>
  <c r="D553" i="5"/>
  <c r="P35" i="13" s="1"/>
  <c r="D576" i="5"/>
  <c r="Q21" i="13" s="1"/>
  <c r="S576" i="5"/>
  <c r="R576" i="5"/>
  <c r="D577" i="5"/>
  <c r="Q22" i="13" s="1"/>
  <c r="D581" i="5"/>
  <c r="Q26" i="13" s="1"/>
  <c r="D585" i="5"/>
  <c r="Q30" i="13" s="1"/>
  <c r="D589" i="5"/>
  <c r="Q34" i="13" s="1"/>
  <c r="D593" i="5"/>
  <c r="R598" i="5"/>
  <c r="D598" i="5"/>
  <c r="S598" i="5"/>
  <c r="D609" i="5"/>
  <c r="R17" i="13" s="1"/>
  <c r="D635" i="5"/>
  <c r="R688" i="5"/>
  <c r="R701" i="5"/>
  <c r="D714" i="5"/>
  <c r="S741" i="5"/>
  <c r="I38" i="10" s="1"/>
  <c r="D751" i="5"/>
  <c r="V11" i="13" s="1"/>
  <c r="D806" i="5"/>
  <c r="W29" i="13" s="1"/>
  <c r="D633" i="5"/>
  <c r="S4" i="13" s="1"/>
  <c r="S636" i="5"/>
  <c r="S637" i="5"/>
  <c r="R637" i="5"/>
  <c r="R638" i="5"/>
  <c r="S643" i="5"/>
  <c r="S644" i="5"/>
  <c r="S645" i="5"/>
  <c r="R647" i="5"/>
  <c r="D652" i="5"/>
  <c r="S23" i="13" s="1"/>
  <c r="S657" i="5"/>
  <c r="D664" i="5"/>
  <c r="S673" i="5"/>
  <c r="S684" i="5"/>
  <c r="S699" i="5"/>
  <c r="D711" i="5"/>
  <c r="U8" i="13" s="1"/>
  <c r="R728" i="5"/>
  <c r="S734" i="5"/>
  <c r="R740" i="5"/>
  <c r="R750" i="5"/>
  <c r="S789" i="5"/>
  <c r="R805" i="5"/>
  <c r="S816" i="5"/>
  <c r="R816" i="5"/>
  <c r="D822" i="5"/>
  <c r="D853" i="5"/>
  <c r="S853" i="5"/>
  <c r="R853" i="5"/>
  <c r="D872" i="5"/>
  <c r="Y21" i="13" s="1"/>
  <c r="S872" i="5"/>
  <c r="R872" i="5"/>
  <c r="S873" i="5"/>
  <c r="R873" i="5"/>
  <c r="D888" i="5"/>
  <c r="Y37" i="13" s="1"/>
  <c r="D893" i="5"/>
  <c r="Z5" i="13" s="1"/>
  <c r="D904" i="5"/>
  <c r="Z16" i="13" s="1"/>
  <c r="S904" i="5"/>
  <c r="R904" i="5"/>
  <c r="R916" i="5"/>
  <c r="D916" i="5"/>
  <c r="S916" i="5"/>
  <c r="S962" i="5"/>
  <c r="D972" i="5"/>
  <c r="AB10" i="13" s="1"/>
  <c r="S972" i="5"/>
  <c r="R972" i="5"/>
  <c r="R986" i="5"/>
  <c r="R1036" i="5"/>
  <c r="D1036" i="5"/>
  <c r="AC37" i="13" s="1"/>
  <c r="S1036" i="5"/>
  <c r="R1046" i="5"/>
  <c r="D1046" i="5"/>
  <c r="AD10" i="13" s="1"/>
  <c r="S1046" i="5"/>
  <c r="R1105" i="5"/>
  <c r="R707" i="5"/>
  <c r="S732" i="5"/>
  <c r="D745" i="5"/>
  <c r="V5" i="13" s="1"/>
  <c r="D759" i="5"/>
  <c r="V19" i="13" s="1"/>
  <c r="S759" i="5"/>
  <c r="R759" i="5"/>
  <c r="H19" i="10" s="1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85" i="5"/>
  <c r="R803" i="5"/>
  <c r="S809" i="5"/>
  <c r="S815" i="5"/>
  <c r="R815" i="5"/>
  <c r="D820" i="5"/>
  <c r="X6" i="13" s="1"/>
  <c r="S830" i="5"/>
  <c r="R862" i="5"/>
  <c r="R863" i="5"/>
  <c r="S892" i="5"/>
  <c r="S961" i="5"/>
  <c r="R961" i="5"/>
  <c r="R962" i="5"/>
  <c r="S971" i="5"/>
  <c r="D985" i="5"/>
  <c r="S1008" i="5"/>
  <c r="R1008" i="5"/>
  <c r="S1044" i="5"/>
  <c r="R1044" i="5"/>
  <c r="S1045" i="5"/>
  <c r="R1045" i="5"/>
  <c r="R1087" i="5"/>
  <c r="S1104" i="5"/>
  <c r="D1104" i="5"/>
  <c r="AE31" i="13" s="1"/>
  <c r="R1104" i="5"/>
  <c r="D642" i="5"/>
  <c r="S13" i="13" s="1"/>
  <c r="D643" i="5"/>
  <c r="S14" i="13" s="1"/>
  <c r="S675" i="5"/>
  <c r="R676" i="5"/>
  <c r="R679" i="5"/>
  <c r="S685" i="5"/>
  <c r="D695" i="5"/>
  <c r="T29" i="13" s="1"/>
  <c r="S696" i="5"/>
  <c r="S707" i="5"/>
  <c r="S717" i="5"/>
  <c r="R718" i="5"/>
  <c r="S73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85" i="5"/>
  <c r="R786" i="5"/>
  <c r="S787" i="5"/>
  <c r="D801" i="5"/>
  <c r="W24" i="13" s="1"/>
  <c r="R802" i="5"/>
  <c r="S808" i="5"/>
  <c r="R814" i="5"/>
  <c r="D852" i="5"/>
  <c r="X38" i="13" s="1"/>
  <c r="S852" i="5"/>
  <c r="R852" i="5"/>
  <c r="D867" i="5"/>
  <c r="Y16" i="13" s="1"/>
  <c r="D871" i="5"/>
  <c r="Y20" i="13" s="1"/>
  <c r="S871" i="5"/>
  <c r="R871" i="5"/>
  <c r="R877" i="5"/>
  <c r="R915" i="5"/>
  <c r="S915" i="5"/>
  <c r="S927" i="5"/>
  <c r="R927" i="5"/>
  <c r="D966" i="5"/>
  <c r="S975" i="5"/>
  <c r="R1035" i="5"/>
  <c r="S1035" i="5"/>
  <c r="D1043" i="5"/>
  <c r="S1043" i="5"/>
  <c r="R1043" i="5"/>
  <c r="S1058" i="5"/>
  <c r="R1058" i="5"/>
  <c r="R607" i="5"/>
  <c r="S612" i="5"/>
  <c r="R612" i="5"/>
  <c r="D646" i="5"/>
  <c r="S17" i="13" s="1"/>
  <c r="R649" i="5"/>
  <c r="S676" i="5"/>
  <c r="R678" i="5"/>
  <c r="D694" i="5"/>
  <c r="T28" i="13" s="1"/>
  <c r="S695" i="5"/>
  <c r="R708" i="5"/>
  <c r="R709" i="5"/>
  <c r="S718" i="5"/>
  <c r="R719" i="5"/>
  <c r="D756" i="5"/>
  <c r="D795" i="5"/>
  <c r="D840" i="5"/>
  <c r="S840" i="5"/>
  <c r="R840" i="5"/>
  <c r="S886" i="5"/>
  <c r="D886" i="5"/>
  <c r="R886" i="5"/>
  <c r="D890" i="5"/>
  <c r="Z2" i="13" s="1"/>
  <c r="R939" i="5"/>
  <c r="R940" i="5"/>
  <c r="R941" i="5"/>
  <c r="R942" i="5"/>
  <c r="S949" i="5"/>
  <c r="R949" i="5"/>
  <c r="R950" i="5"/>
  <c r="R970" i="5"/>
  <c r="R971" i="5"/>
  <c r="D988" i="5"/>
  <c r="AB26" i="13" s="1"/>
  <c r="S994" i="5"/>
  <c r="R994" i="5"/>
  <c r="D998" i="5"/>
  <c r="AB36" i="13" s="1"/>
  <c r="R1023" i="5"/>
  <c r="S1023" i="5"/>
  <c r="S1068" i="5"/>
  <c r="R1068" i="5"/>
  <c r="S1077" i="5"/>
  <c r="R1077" i="5"/>
  <c r="D1077" i="5"/>
  <c r="S1099" i="5"/>
  <c r="R1099" i="5"/>
  <c r="R567" i="5"/>
  <c r="R568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608" i="5"/>
  <c r="R633" i="5"/>
  <c r="D645" i="5"/>
  <c r="S16" i="13" s="1"/>
  <c r="S647" i="5"/>
  <c r="R648" i="5"/>
  <c r="S649" i="5"/>
  <c r="D659" i="5"/>
  <c r="S30" i="13" s="1"/>
  <c r="R663" i="5"/>
  <c r="R673" i="5"/>
  <c r="R684" i="5"/>
  <c r="R686" i="5"/>
  <c r="S694" i="5"/>
  <c r="S708" i="5"/>
  <c r="S709" i="5"/>
  <c r="R710" i="5"/>
  <c r="R720" i="5"/>
  <c r="R735" i="5"/>
  <c r="R779" i="5"/>
  <c r="R780" i="5"/>
  <c r="S791" i="5"/>
  <c r="R791" i="5"/>
  <c r="D794" i="5"/>
  <c r="D798" i="5"/>
  <c r="R800" i="5"/>
  <c r="R812" i="5"/>
  <c r="R817" i="5"/>
  <c r="D829" i="5"/>
  <c r="X15" i="13" s="1"/>
  <c r="S829" i="5"/>
  <c r="R829" i="5"/>
  <c r="R846" i="5"/>
  <c r="D859" i="5"/>
  <c r="Y8" i="13" s="1"/>
  <c r="D866" i="5"/>
  <c r="Y15" i="13" s="1"/>
  <c r="D876" i="5"/>
  <c r="Y25" i="13" s="1"/>
  <c r="R914" i="5"/>
  <c r="S914" i="5"/>
  <c r="R926" i="5"/>
  <c r="S926" i="5"/>
  <c r="S960" i="5"/>
  <c r="R960" i="5"/>
  <c r="S970" i="5"/>
  <c r="R983" i="5"/>
  <c r="S1007" i="5"/>
  <c r="R1007" i="5"/>
  <c r="S1057" i="5"/>
  <c r="R1057" i="5"/>
  <c r="R525" i="5"/>
  <c r="R536" i="5"/>
  <c r="R558" i="5"/>
  <c r="R569" i="5"/>
  <c r="R609" i="5"/>
  <c r="S633" i="5"/>
  <c r="R634" i="5"/>
  <c r="R635" i="5"/>
  <c r="D644" i="5"/>
  <c r="S15" i="13" s="1"/>
  <c r="R650" i="5"/>
  <c r="D658" i="5"/>
  <c r="S29" i="13" s="1"/>
  <c r="R662" i="5"/>
  <c r="S683" i="5"/>
  <c r="R683" i="5"/>
  <c r="S686" i="5"/>
  <c r="S693" i="5"/>
  <c r="R699" i="5"/>
  <c r="S705" i="5"/>
  <c r="R705" i="5"/>
  <c r="S710" i="5"/>
  <c r="R712" i="5"/>
  <c r="R721" i="5"/>
  <c r="S728" i="5"/>
  <c r="R734" i="5"/>
  <c r="S740" i="5"/>
  <c r="D755" i="5"/>
  <c r="V15" i="13" s="1"/>
  <c r="S779" i="5"/>
  <c r="D790" i="5"/>
  <c r="W13" i="13" s="1"/>
  <c r="D796" i="5"/>
  <c r="S796" i="5"/>
  <c r="R796" i="5"/>
  <c r="R799" i="5"/>
  <c r="S805" i="5"/>
  <c r="R811" i="5"/>
  <c r="R820" i="5"/>
  <c r="R845" i="5"/>
  <c r="D865" i="5"/>
  <c r="Y14" i="13" s="1"/>
  <c r="D875" i="5"/>
  <c r="Y24" i="13" s="1"/>
  <c r="S918" i="5"/>
  <c r="D948" i="5"/>
  <c r="AA23" i="13" s="1"/>
  <c r="S974" i="5"/>
  <c r="R975" i="5"/>
  <c r="D987" i="5"/>
  <c r="S993" i="5"/>
  <c r="R993" i="5"/>
  <c r="R1022" i="5"/>
  <c r="S1022" i="5"/>
  <c r="R1038" i="5"/>
  <c r="D1076" i="5"/>
  <c r="AE3" i="13" s="1"/>
  <c r="S1076" i="5"/>
  <c r="R1076" i="5"/>
  <c r="D1089" i="5"/>
  <c r="R570" i="5"/>
  <c r="D601" i="5"/>
  <c r="R9" i="13" s="1"/>
  <c r="R610" i="5"/>
  <c r="S635" i="5"/>
  <c r="R636" i="5"/>
  <c r="S638" i="5"/>
  <c r="R639" i="5"/>
  <c r="D657" i="5"/>
  <c r="S28" i="13" s="1"/>
  <c r="S671" i="5"/>
  <c r="R671" i="5"/>
  <c r="S672" i="5"/>
  <c r="R672" i="5"/>
  <c r="S682" i="5"/>
  <c r="R682" i="5"/>
  <c r="S692" i="5"/>
  <c r="S704" i="5"/>
  <c r="R706" i="5"/>
  <c r="D717" i="5"/>
  <c r="U14" i="13" s="1"/>
  <c r="D732" i="5"/>
  <c r="U29" i="13" s="1"/>
  <c r="R733" i="5"/>
  <c r="S750" i="5"/>
  <c r="D784" i="5"/>
  <c r="W7" i="13" s="1"/>
  <c r="S784" i="5"/>
  <c r="R784" i="5"/>
  <c r="D786" i="5"/>
  <c r="D789" i="5"/>
  <c r="W12" i="13" s="1"/>
  <c r="D809" i="5"/>
  <c r="W32" i="13" s="1"/>
  <c r="R810" i="5"/>
  <c r="D833" i="5"/>
  <c r="X19" i="13" s="1"/>
  <c r="D843" i="5"/>
  <c r="S843" i="5"/>
  <c r="R843" i="5"/>
  <c r="S858" i="5"/>
  <c r="R858" i="5"/>
  <c r="D864" i="5"/>
  <c r="Y13" i="13" s="1"/>
  <c r="D879" i="5"/>
  <c r="S885" i="5"/>
  <c r="R885" i="5"/>
  <c r="D889" i="5"/>
  <c r="S901" i="5"/>
  <c r="R901" i="5"/>
  <c r="S948" i="5"/>
  <c r="R948" i="5"/>
  <c r="D959" i="5"/>
  <c r="AA34" i="13" s="1"/>
  <c r="R997" i="5"/>
  <c r="R998" i="5"/>
  <c r="D1019" i="5"/>
  <c r="S1019" i="5"/>
  <c r="R1019" i="5"/>
  <c r="S1026" i="5"/>
  <c r="D1056" i="5"/>
  <c r="S1056" i="5"/>
  <c r="S1084" i="5"/>
  <c r="D668" i="5"/>
  <c r="T2" i="13" s="1"/>
  <c r="D669" i="5"/>
  <c r="T3" i="13" s="1"/>
  <c r="S669" i="5"/>
  <c r="S670" i="5"/>
  <c r="R670" i="5"/>
  <c r="D680" i="5"/>
  <c r="S680" i="5"/>
  <c r="S681" i="5"/>
  <c r="R681" i="5"/>
  <c r="S691" i="5"/>
  <c r="R697" i="5"/>
  <c r="S703" i="5"/>
  <c r="R722" i="5"/>
  <c r="R746" i="5"/>
  <c r="R751" i="5"/>
  <c r="R787" i="5"/>
  <c r="D826" i="5"/>
  <c r="X12" i="13" s="1"/>
  <c r="S826" i="5"/>
  <c r="R826" i="5"/>
  <c r="S828" i="5"/>
  <c r="R828" i="5"/>
  <c r="S834" i="5"/>
  <c r="R834" i="5"/>
  <c r="S899" i="5"/>
  <c r="R899" i="5"/>
  <c r="S900" i="5"/>
  <c r="R900" i="5"/>
  <c r="S959" i="5"/>
  <c r="R959" i="5"/>
  <c r="S964" i="5"/>
  <c r="D978" i="5"/>
  <c r="AB16" i="13" s="1"/>
  <c r="D982" i="5"/>
  <c r="S982" i="5"/>
  <c r="R982" i="5"/>
  <c r="D1006" i="5"/>
  <c r="S1006" i="5"/>
  <c r="R1006" i="5"/>
  <c r="D1012" i="5"/>
  <c r="AC13" i="13" s="1"/>
  <c r="R1020" i="5"/>
  <c r="H21" i="10" s="1"/>
  <c r="S1020" i="5"/>
  <c r="D1038" i="5"/>
  <c r="S1038" i="5"/>
  <c r="D1075" i="5"/>
  <c r="D1088" i="5"/>
  <c r="AE15" i="13" s="1"/>
  <c r="R1093" i="5"/>
  <c r="D1093" i="5"/>
  <c r="D1111" i="5"/>
  <c r="AE38" i="13" s="1"/>
  <c r="R604" i="5"/>
  <c r="R605" i="5"/>
  <c r="D655" i="5"/>
  <c r="S26" i="13" s="1"/>
  <c r="R659" i="5"/>
  <c r="D667" i="5"/>
  <c r="S38" i="13" s="1"/>
  <c r="D678" i="5"/>
  <c r="T12" i="13" s="1"/>
  <c r="D679" i="5"/>
  <c r="T13" i="13" s="1"/>
  <c r="S690" i="5"/>
  <c r="S702" i="5"/>
  <c r="R745" i="5"/>
  <c r="S746" i="5"/>
  <c r="S751" i="5"/>
  <c r="R752" i="5"/>
  <c r="R753" i="5"/>
  <c r="R758" i="5"/>
  <c r="S825" i="5"/>
  <c r="D832" i="5"/>
  <c r="R856" i="5"/>
  <c r="S856" i="5"/>
  <c r="R857" i="5"/>
  <c r="S857" i="5"/>
  <c r="D861" i="5"/>
  <c r="Y10" i="13" s="1"/>
  <c r="S874" i="5"/>
  <c r="D874" i="5"/>
  <c r="R874" i="5"/>
  <c r="D878" i="5"/>
  <c r="Y27" i="13" s="1"/>
  <c r="S884" i="5"/>
  <c r="R884" i="5"/>
  <c r="D898" i="5"/>
  <c r="Z10" i="13" s="1"/>
  <c r="S898" i="5"/>
  <c r="R898" i="5"/>
  <c r="S973" i="5"/>
  <c r="D986" i="5"/>
  <c r="S1075" i="5"/>
  <c r="R1075" i="5"/>
  <c r="R641" i="5"/>
  <c r="R642" i="5"/>
  <c r="D654" i="5"/>
  <c r="R658" i="5"/>
  <c r="D666" i="5"/>
  <c r="S37" i="13" s="1"/>
  <c r="D677" i="5"/>
  <c r="D687" i="5"/>
  <c r="T21" i="13" s="1"/>
  <c r="S689" i="5"/>
  <c r="S701" i="5"/>
  <c r="S716" i="5"/>
  <c r="R716" i="5"/>
  <c r="S724" i="5"/>
  <c r="R730" i="5"/>
  <c r="R754" i="5"/>
  <c r="R755" i="5"/>
  <c r="D780" i="5"/>
  <c r="W3" i="13" s="1"/>
  <c r="D781" i="5"/>
  <c r="W4" i="13" s="1"/>
  <c r="S781" i="5"/>
  <c r="S782" i="5"/>
  <c r="R782" i="5"/>
  <c r="S783" i="5"/>
  <c r="R783" i="5"/>
  <c r="R807" i="5"/>
  <c r="S827" i="5"/>
  <c r="R827" i="5"/>
  <c r="D842" i="5"/>
  <c r="S842" i="5"/>
  <c r="R842" i="5"/>
  <c r="S855" i="5"/>
  <c r="R855" i="5"/>
  <c r="R888" i="5"/>
  <c r="R889" i="5"/>
  <c r="S947" i="5"/>
  <c r="R947" i="5"/>
  <c r="D981" i="5"/>
  <c r="AB19" i="13" s="1"/>
  <c r="S981" i="5"/>
  <c r="R996" i="5"/>
  <c r="D1010" i="5"/>
  <c r="AC11" i="13" s="1"/>
  <c r="S1018" i="5"/>
  <c r="R1018" i="5"/>
  <c r="S1025" i="5"/>
  <c r="D1047" i="5"/>
  <c r="S1047" i="5"/>
  <c r="R1047" i="5"/>
  <c r="R1083" i="5"/>
  <c r="D1083" i="5"/>
  <c r="S1083" i="5"/>
  <c r="R594" i="5"/>
  <c r="D634" i="5"/>
  <c r="S5" i="13" s="1"/>
  <c r="D636" i="5"/>
  <c r="S7" i="13" s="1"/>
  <c r="D637" i="5"/>
  <c r="S8" i="13" s="1"/>
  <c r="D638" i="5"/>
  <c r="S9" i="13" s="1"/>
  <c r="R646" i="5"/>
  <c r="D653" i="5"/>
  <c r="D665" i="5"/>
  <c r="S36" i="13" s="1"/>
  <c r="S688" i="5"/>
  <c r="D699" i="5"/>
  <c r="T33" i="13" s="1"/>
  <c r="S700" i="5"/>
  <c r="D712" i="5"/>
  <c r="D713" i="5"/>
  <c r="S713" i="5"/>
  <c r="S714" i="5"/>
  <c r="R714" i="5"/>
  <c r="S715" i="5"/>
  <c r="R715" i="5"/>
  <c r="D728" i="5"/>
  <c r="U25" i="13" s="1"/>
  <c r="R729" i="5"/>
  <c r="D740" i="5"/>
  <c r="U37" i="13" s="1"/>
  <c r="R741" i="5"/>
  <c r="D750" i="5"/>
  <c r="D805" i="5"/>
  <c r="W28" i="13" s="1"/>
  <c r="R806" i="5"/>
  <c r="D816" i="5"/>
  <c r="D823" i="5"/>
  <c r="S831" i="5"/>
  <c r="S854" i="5"/>
  <c r="R854" i="5"/>
  <c r="D873" i="5"/>
  <c r="Y22" i="13" s="1"/>
  <c r="S905" i="5"/>
  <c r="R905" i="5"/>
  <c r="R964" i="5"/>
  <c r="D996" i="5"/>
  <c r="D1001" i="5"/>
  <c r="D1005" i="5"/>
  <c r="AC6" i="13" s="1"/>
  <c r="S1005" i="5"/>
  <c r="R1005" i="5"/>
  <c r="R1009" i="5"/>
  <c r="D1025" i="5"/>
  <c r="AC26" i="13" s="1"/>
  <c r="S1070" i="5"/>
  <c r="S1110" i="5"/>
  <c r="R1110" i="5"/>
  <c r="D1054" i="5"/>
  <c r="AD18" i="13" s="1"/>
  <c r="S1054" i="5"/>
  <c r="S1055" i="5"/>
  <c r="R1055" i="5"/>
  <c r="S1109" i="5"/>
  <c r="R1109" i="5"/>
  <c r="S687" i="5"/>
  <c r="S788" i="5"/>
  <c r="R788" i="5"/>
  <c r="R789" i="5"/>
  <c r="R790" i="5"/>
  <c r="D819" i="5"/>
  <c r="R870" i="5"/>
  <c r="D881" i="5"/>
  <c r="Y30" i="13" s="1"/>
  <c r="S882" i="5"/>
  <c r="D907" i="5"/>
  <c r="Z19" i="13" s="1"/>
  <c r="D908" i="5"/>
  <c r="Z20" i="13" s="1"/>
  <c r="S908" i="5"/>
  <c r="R908" i="5"/>
  <c r="D930" i="5"/>
  <c r="AA5" i="13" s="1"/>
  <c r="D932" i="5"/>
  <c r="AA7" i="13" s="1"/>
  <c r="S932" i="5"/>
  <c r="S933" i="5"/>
  <c r="R933" i="5"/>
  <c r="S934" i="5"/>
  <c r="R934" i="5"/>
  <c r="R945" i="5"/>
  <c r="R973" i="5"/>
  <c r="R974" i="5"/>
  <c r="D990" i="5"/>
  <c r="AB28" i="13" s="1"/>
  <c r="S991" i="5"/>
  <c r="R1004" i="5"/>
  <c r="S1014" i="5"/>
  <c r="R1015" i="5"/>
  <c r="D1052" i="5"/>
  <c r="R1082" i="5"/>
  <c r="R1084" i="5"/>
  <c r="R1085" i="5"/>
  <c r="D1096" i="5"/>
  <c r="AE23" i="13" s="1"/>
  <c r="R830" i="5"/>
  <c r="R831" i="5"/>
  <c r="D838" i="5"/>
  <c r="X24" i="13" s="1"/>
  <c r="D850" i="5"/>
  <c r="R875" i="5"/>
  <c r="S881" i="5"/>
  <c r="R887" i="5"/>
  <c r="S890" i="5"/>
  <c r="R892" i="5"/>
  <c r="R909" i="5"/>
  <c r="S917" i="5"/>
  <c r="D931" i="5"/>
  <c r="AA6" i="13" s="1"/>
  <c r="D955" i="5"/>
  <c r="AA30" i="13" s="1"/>
  <c r="R969" i="5"/>
  <c r="R980" i="5"/>
  <c r="S990" i="5"/>
  <c r="S1004" i="5"/>
  <c r="S1015" i="5"/>
  <c r="R1016" i="5"/>
  <c r="R1031" i="5"/>
  <c r="R1067" i="5"/>
  <c r="S1091" i="5"/>
  <c r="R1102" i="5"/>
  <c r="R756" i="5"/>
  <c r="D818" i="5"/>
  <c r="X4" i="13" s="1"/>
  <c r="S821" i="5"/>
  <c r="S822" i="5"/>
  <c r="R822" i="5"/>
  <c r="R823" i="5"/>
  <c r="R832" i="5"/>
  <c r="D837" i="5"/>
  <c r="X23" i="13" s="1"/>
  <c r="D849" i="5"/>
  <c r="X35" i="13" s="1"/>
  <c r="R868" i="5"/>
  <c r="S880" i="5"/>
  <c r="S902" i="5"/>
  <c r="R903" i="5"/>
  <c r="R910" i="5"/>
  <c r="R922" i="5"/>
  <c r="D929" i="5"/>
  <c r="AA4" i="13" s="1"/>
  <c r="D941" i="5"/>
  <c r="AA16" i="13" s="1"/>
  <c r="D942" i="5"/>
  <c r="AA17" i="13" s="1"/>
  <c r="D943" i="5"/>
  <c r="AA18" i="13" s="1"/>
  <c r="S943" i="5"/>
  <c r="S944" i="5"/>
  <c r="R944" i="5"/>
  <c r="R946" i="5"/>
  <c r="D954" i="5"/>
  <c r="R958" i="5"/>
  <c r="S979" i="5"/>
  <c r="R979" i="5"/>
  <c r="S989" i="5"/>
  <c r="S1001" i="5"/>
  <c r="R1001" i="5"/>
  <c r="R1017" i="5"/>
  <c r="R1030" i="5"/>
  <c r="D1051" i="5"/>
  <c r="AD15" i="13" s="1"/>
  <c r="D1063" i="5"/>
  <c r="AD27" i="13" s="1"/>
  <c r="R1066" i="5"/>
  <c r="D1072" i="5"/>
  <c r="AD36" i="13" s="1"/>
  <c r="S1074" i="5"/>
  <c r="S1090" i="5"/>
  <c r="R1090" i="5"/>
  <c r="R798" i="5"/>
  <c r="D836" i="5"/>
  <c r="X22" i="13" s="1"/>
  <c r="D848" i="5"/>
  <c r="X34" i="13" s="1"/>
  <c r="D863" i="5"/>
  <c r="B59" i="6" s="1"/>
  <c r="S867" i="5"/>
  <c r="R867" i="5"/>
  <c r="S879" i="5"/>
  <c r="R893" i="5"/>
  <c r="S903" i="5"/>
  <c r="D920" i="5"/>
  <c r="Z32" i="13" s="1"/>
  <c r="R921" i="5"/>
  <c r="D953" i="5"/>
  <c r="S967" i="5"/>
  <c r="R967" i="5"/>
  <c r="S968" i="5"/>
  <c r="R968" i="5"/>
  <c r="S978" i="5"/>
  <c r="R978" i="5"/>
  <c r="S988" i="5"/>
  <c r="S1000" i="5"/>
  <c r="R1002" i="5"/>
  <c r="S1017" i="5"/>
  <c r="R1029" i="5"/>
  <c r="D1062" i="5"/>
  <c r="R1072" i="5"/>
  <c r="D1080" i="5"/>
  <c r="AE7" i="13" s="1"/>
  <c r="R1080" i="5"/>
  <c r="R1089" i="5"/>
  <c r="S1089" i="5"/>
  <c r="R1101" i="5"/>
  <c r="D847" i="5"/>
  <c r="D862" i="5"/>
  <c r="Y11" i="13" s="1"/>
  <c r="S865" i="5"/>
  <c r="S866" i="5"/>
  <c r="R866" i="5"/>
  <c r="S878" i="5"/>
  <c r="R890" i="5"/>
  <c r="D940" i="5"/>
  <c r="AA15" i="13" s="1"/>
  <c r="D952" i="5"/>
  <c r="AA27" i="13" s="1"/>
  <c r="D964" i="5"/>
  <c r="D965" i="5"/>
  <c r="AB3" i="13" s="1"/>
  <c r="S965" i="5"/>
  <c r="S966" i="5"/>
  <c r="R966" i="5"/>
  <c r="D976" i="5"/>
  <c r="S976" i="5"/>
  <c r="S977" i="5"/>
  <c r="R977" i="5"/>
  <c r="S987" i="5"/>
  <c r="S999" i="5"/>
  <c r="R1013" i="5"/>
  <c r="D1027" i="5"/>
  <c r="R1028" i="5"/>
  <c r="S1034" i="5"/>
  <c r="R1042" i="5"/>
  <c r="D1061" i="5"/>
  <c r="D1071" i="5"/>
  <c r="D1087" i="5"/>
  <c r="AE14" i="13" s="1"/>
  <c r="S1087" i="5"/>
  <c r="R1088" i="5"/>
  <c r="S1088" i="5"/>
  <c r="R1098" i="5"/>
  <c r="D1101" i="5"/>
  <c r="AE28" i="13" s="1"/>
  <c r="D846" i="5"/>
  <c r="X32" i="13" s="1"/>
  <c r="S877" i="5"/>
  <c r="R883" i="5"/>
  <c r="S889" i="5"/>
  <c r="R897" i="5"/>
  <c r="S913" i="5"/>
  <c r="S925" i="5"/>
  <c r="D951" i="5"/>
  <c r="AA26" i="13" s="1"/>
  <c r="D963" i="5"/>
  <c r="D974" i="5"/>
  <c r="AB12" i="13" s="1"/>
  <c r="D975" i="5"/>
  <c r="AB13" i="13" s="1"/>
  <c r="S986" i="5"/>
  <c r="R992" i="5"/>
  <c r="S998" i="5"/>
  <c r="S1021" i="5"/>
  <c r="S1033" i="5"/>
  <c r="R1041" i="5"/>
  <c r="S1042" i="5"/>
  <c r="R1048" i="5"/>
  <c r="S1082" i="5"/>
  <c r="D1085" i="5"/>
  <c r="D1086" i="5"/>
  <c r="AE13" i="13" s="1"/>
  <c r="R1097" i="5"/>
  <c r="R1103" i="5"/>
  <c r="S797" i="5"/>
  <c r="R797" i="5"/>
  <c r="D830" i="5"/>
  <c r="X16" i="13" s="1"/>
  <c r="D831" i="5"/>
  <c r="X17" i="13" s="1"/>
  <c r="R837" i="5"/>
  <c r="D845" i="5"/>
  <c r="X31" i="13" s="1"/>
  <c r="R849" i="5"/>
  <c r="S876" i="5"/>
  <c r="S888" i="5"/>
  <c r="R891" i="5"/>
  <c r="R918" i="5"/>
  <c r="S935" i="5"/>
  <c r="D950" i="5"/>
  <c r="AA25" i="13" s="1"/>
  <c r="R954" i="5"/>
  <c r="D962" i="5"/>
  <c r="AA37" i="13" s="1"/>
  <c r="D973" i="5"/>
  <c r="AB11" i="13" s="1"/>
  <c r="D983" i="5"/>
  <c r="AB21" i="13" s="1"/>
  <c r="S985" i="5"/>
  <c r="S997" i="5"/>
  <c r="S1012" i="5"/>
  <c r="R1012" i="5"/>
  <c r="R1026" i="5"/>
  <c r="R1050" i="5"/>
  <c r="R1051" i="5"/>
  <c r="R1052" i="5"/>
  <c r="R1053" i="5"/>
  <c r="R1054" i="5"/>
  <c r="D1059" i="5"/>
  <c r="AD23" i="13" s="1"/>
  <c r="R1062" i="5"/>
  <c r="D1070" i="5"/>
  <c r="D1079" i="5"/>
  <c r="S1079" i="5"/>
  <c r="R1079" i="5"/>
  <c r="D1084" i="5"/>
  <c r="AE11" i="13" s="1"/>
  <c r="R1095" i="5"/>
  <c r="S1100" i="5"/>
  <c r="D1100" i="5"/>
  <c r="AE27" i="13" s="1"/>
  <c r="R1100" i="5"/>
  <c r="D1106" i="5"/>
  <c r="S832" i="5"/>
  <c r="R833" i="5"/>
  <c r="D844" i="5"/>
  <c r="X30" i="13" s="1"/>
  <c r="S875" i="5"/>
  <c r="S887" i="5"/>
  <c r="R902" i="5"/>
  <c r="R917" i="5"/>
  <c r="D949" i="5"/>
  <c r="AA24" i="13" s="1"/>
  <c r="D961" i="5"/>
  <c r="AA36" i="13" s="1"/>
  <c r="S984" i="5"/>
  <c r="S996" i="5"/>
  <c r="D1008" i="5"/>
  <c r="AC9" i="13" s="1"/>
  <c r="D1009" i="5"/>
  <c r="AC10" i="13" s="1"/>
  <c r="S1009" i="5"/>
  <c r="S1010" i="5"/>
  <c r="R1010" i="5"/>
  <c r="S1011" i="5"/>
  <c r="R1011" i="5"/>
  <c r="R1025" i="5"/>
  <c r="R1037" i="5"/>
  <c r="D1058" i="5"/>
  <c r="AD22" i="13" s="1"/>
  <c r="R1061" i="5"/>
  <c r="D1069" i="5"/>
  <c r="AD33" i="13" s="1"/>
  <c r="R1070" i="5"/>
  <c r="S1078" i="5"/>
  <c r="R1078" i="5"/>
  <c r="D1105" i="5"/>
  <c r="AE32" i="13" s="1"/>
  <c r="S1111" i="5"/>
  <c r="R1111" i="5"/>
  <c r="S983" i="5"/>
  <c r="S1093" i="5"/>
  <c r="S1094" i="5"/>
  <c r="S1096" i="5"/>
  <c r="S1108" i="5"/>
  <c r="R1091" i="5"/>
  <c r="S1095" i="5"/>
  <c r="S1107" i="5"/>
  <c r="S1106" i="5"/>
  <c r="S1105" i="5"/>
  <c r="S1102" i="5"/>
  <c r="S1101" i="5"/>
  <c r="H3" i="9" l="1"/>
  <c r="I3" i="9"/>
  <c r="I2" i="13"/>
  <c r="G2" i="13"/>
  <c r="U2" i="13"/>
  <c r="J2" i="13"/>
  <c r="J39" i="13" s="1"/>
  <c r="I2" i="9"/>
  <c r="AD2" i="13"/>
  <c r="AD39" i="13" s="1"/>
  <c r="F2" i="13"/>
  <c r="K2" i="13"/>
  <c r="K39" i="13" s="1"/>
  <c r="D2" i="13"/>
  <c r="D39" i="13" s="1"/>
  <c r="H2" i="10"/>
  <c r="I2" i="10"/>
  <c r="R2" i="13"/>
  <c r="R39" i="13" s="1"/>
  <c r="P2" i="13"/>
  <c r="J3" i="12"/>
  <c r="AB3" i="12"/>
  <c r="AD3" i="12"/>
  <c r="S3" i="12"/>
  <c r="F3" i="12"/>
  <c r="V3" i="12"/>
  <c r="B3" i="12"/>
  <c r="N3" i="12"/>
  <c r="L3" i="12"/>
  <c r="AE3" i="12"/>
  <c r="M3" i="12"/>
  <c r="E3" i="12"/>
  <c r="K3" i="12"/>
  <c r="D3" i="12"/>
  <c r="X3" i="12"/>
  <c r="C3" i="12"/>
  <c r="P3" i="12"/>
  <c r="T3" i="12"/>
  <c r="T39" i="12" s="1"/>
  <c r="O3" i="12"/>
  <c r="I3" i="12"/>
  <c r="I39" i="12" s="1"/>
  <c r="Q3" i="12"/>
  <c r="Y3" i="12"/>
  <c r="AA3" i="12"/>
  <c r="AC3" i="12"/>
  <c r="R3" i="12"/>
  <c r="H3" i="10"/>
  <c r="H2" i="9"/>
  <c r="H2" i="13"/>
  <c r="H39" i="13" s="1"/>
  <c r="X2" i="13"/>
  <c r="X39" i="13" s="1"/>
  <c r="M2" i="13"/>
  <c r="M39" i="13" s="1"/>
  <c r="L2" i="13"/>
  <c r="L39" i="13" s="1"/>
  <c r="AE2" i="13"/>
  <c r="AE39" i="13" s="1"/>
  <c r="Y2" i="13"/>
  <c r="W2" i="13"/>
  <c r="W39" i="13" s="1"/>
  <c r="B55" i="6"/>
  <c r="V2" i="13"/>
  <c r="V39" i="13" s="1"/>
  <c r="AA2" i="13"/>
  <c r="AA39" i="13" s="1"/>
  <c r="W20" i="12"/>
  <c r="W39" i="12" s="1"/>
  <c r="S20" i="12"/>
  <c r="H20" i="10"/>
  <c r="Z20" i="12"/>
  <c r="Z39" i="12" s="1"/>
  <c r="I20" i="12"/>
  <c r="N20" i="12"/>
  <c r="F20" i="12"/>
  <c r="F39" i="12" s="1"/>
  <c r="Q20" i="12"/>
  <c r="Q39" i="12" s="1"/>
  <c r="V20" i="12"/>
  <c r="O20" i="12"/>
  <c r="X20" i="12"/>
  <c r="P20" i="12"/>
  <c r="AB20" i="12"/>
  <c r="AB39" i="12" s="1"/>
  <c r="B20" i="12"/>
  <c r="R20" i="12"/>
  <c r="R39" i="12" s="1"/>
  <c r="AE20" i="12"/>
  <c r="Y20" i="12"/>
  <c r="M20" i="12"/>
  <c r="U20" i="12"/>
  <c r="U39" i="12" s="1"/>
  <c r="AC20" i="12"/>
  <c r="L20" i="12"/>
  <c r="C20" i="12"/>
  <c r="AD20" i="12"/>
  <c r="E20" i="12"/>
  <c r="G20" i="12"/>
  <c r="G39" i="12" s="1"/>
  <c r="J20" i="12"/>
  <c r="I20" i="10"/>
  <c r="D20" i="12"/>
  <c r="H20" i="12"/>
  <c r="H39" i="12" s="1"/>
  <c r="K20" i="12"/>
  <c r="AA20" i="12"/>
  <c r="AF19" i="11"/>
  <c r="AF31" i="11"/>
  <c r="AF19" i="12"/>
  <c r="AF17" i="12"/>
  <c r="AF31" i="13"/>
  <c r="AF37" i="13"/>
  <c r="AF11" i="13"/>
  <c r="AF26" i="13"/>
  <c r="AF9" i="13"/>
  <c r="AF36" i="13"/>
  <c r="AF10" i="13"/>
  <c r="AF27" i="13"/>
  <c r="AF33" i="13"/>
  <c r="T39" i="13"/>
  <c r="Z39" i="13"/>
  <c r="Q39" i="13"/>
  <c r="S39" i="13"/>
  <c r="AF38" i="13"/>
  <c r="AF34" i="12"/>
  <c r="AF33" i="12"/>
  <c r="X39" i="11"/>
  <c r="AF16" i="11"/>
  <c r="AF18" i="11"/>
  <c r="AF7" i="13"/>
  <c r="AF17" i="13"/>
  <c r="B36" i="6"/>
  <c r="AF6" i="12"/>
  <c r="AF9" i="12"/>
  <c r="AF16" i="12"/>
  <c r="AF32" i="12"/>
  <c r="AF23" i="12"/>
  <c r="M39" i="11"/>
  <c r="AF21" i="11"/>
  <c r="G39" i="11"/>
  <c r="AF20" i="11"/>
  <c r="AF4" i="13"/>
  <c r="AF11" i="12"/>
  <c r="AF37" i="12"/>
  <c r="AF14" i="11"/>
  <c r="AF5" i="11"/>
  <c r="I39" i="11"/>
  <c r="AF3" i="11"/>
  <c r="AF37" i="11"/>
  <c r="AF38" i="11"/>
  <c r="AF36" i="11"/>
  <c r="S39" i="11"/>
  <c r="AB39" i="13"/>
  <c r="AF25" i="13"/>
  <c r="B49" i="6"/>
  <c r="B54" i="6" s="1"/>
  <c r="B9" i="7"/>
  <c r="Y39" i="11"/>
  <c r="AF11" i="11"/>
  <c r="AF34" i="11"/>
  <c r="AE39" i="11"/>
  <c r="AF15" i="13"/>
  <c r="I39" i="13"/>
  <c r="AF35" i="13"/>
  <c r="B33" i="6"/>
  <c r="B37" i="6"/>
  <c r="AF4" i="12"/>
  <c r="AF10" i="12"/>
  <c r="U39" i="11"/>
  <c r="AF12" i="11"/>
  <c r="J39" i="11"/>
  <c r="AF13" i="11"/>
  <c r="AF15" i="11"/>
  <c r="N39" i="13"/>
  <c r="Y12" i="13"/>
  <c r="F32" i="13"/>
  <c r="F39" i="13" s="1"/>
  <c r="U39" i="13"/>
  <c r="AF16" i="13"/>
  <c r="B50" i="6"/>
  <c r="B64" i="6" s="1"/>
  <c r="AF18" i="12"/>
  <c r="AF38" i="12"/>
  <c r="P39" i="11"/>
  <c r="Z39" i="11"/>
  <c r="E39" i="11"/>
  <c r="H39" i="11"/>
  <c r="AF29" i="11"/>
  <c r="AF15" i="12"/>
  <c r="B60" i="6"/>
  <c r="B58" i="6"/>
  <c r="AF14" i="13"/>
  <c r="G39" i="13"/>
  <c r="AF3" i="13"/>
  <c r="AF20" i="13"/>
  <c r="AF19" i="13"/>
  <c r="AF2" i="12"/>
  <c r="AF27" i="12"/>
  <c r="AF26" i="11"/>
  <c r="O39" i="11"/>
  <c r="L39" i="11"/>
  <c r="AF28" i="11"/>
  <c r="Q39" i="11"/>
  <c r="AF6" i="11"/>
  <c r="AF30" i="11"/>
  <c r="T39" i="11"/>
  <c r="B8" i="7"/>
  <c r="B27" i="6"/>
  <c r="B32" i="6" s="1"/>
  <c r="C39" i="13"/>
  <c r="B39" i="13"/>
  <c r="B56" i="6"/>
  <c r="AF6" i="13"/>
  <c r="AF29" i="13"/>
  <c r="AF21" i="13"/>
  <c r="AF7" i="12"/>
  <c r="AF5" i="12"/>
  <c r="K39" i="12"/>
  <c r="AF21" i="12"/>
  <c r="AF12" i="12"/>
  <c r="AF31" i="12"/>
  <c r="L22" i="12"/>
  <c r="AF29" i="12"/>
  <c r="AF36" i="12"/>
  <c r="AF35" i="12"/>
  <c r="B13" i="6"/>
  <c r="B39" i="11"/>
  <c r="AF2" i="11"/>
  <c r="B18" i="6"/>
  <c r="AB39" i="11"/>
  <c r="AC39" i="11"/>
  <c r="AF32" i="11"/>
  <c r="AF8" i="11"/>
  <c r="AF18" i="13"/>
  <c r="E39" i="13"/>
  <c r="AF5" i="13"/>
  <c r="AF23" i="13"/>
  <c r="AF24" i="13"/>
  <c r="AF13" i="12"/>
  <c r="AF8" i="12"/>
  <c r="AF28" i="12"/>
  <c r="V39" i="11"/>
  <c r="K39" i="11"/>
  <c r="N39" i="11"/>
  <c r="F39" i="11"/>
  <c r="O39" i="13"/>
  <c r="AF8" i="13"/>
  <c r="AF34" i="13"/>
  <c r="B34" i="6"/>
  <c r="C39" i="11"/>
  <c r="AF9" i="11"/>
  <c r="AA39" i="11"/>
  <c r="AF4" i="11"/>
  <c r="AF7" i="11"/>
  <c r="AF10" i="11"/>
  <c r="AF23" i="11"/>
  <c r="R39" i="11"/>
  <c r="AF33" i="11"/>
  <c r="AF24" i="11"/>
  <c r="P39" i="13"/>
  <c r="AC39" i="13"/>
  <c r="AF13" i="13"/>
  <c r="AF30" i="13"/>
  <c r="AF25" i="12"/>
  <c r="AF24" i="12"/>
  <c r="AF17" i="11"/>
  <c r="W39" i="11"/>
  <c r="AD39" i="11"/>
  <c r="AF25" i="11"/>
  <c r="AF27" i="11"/>
  <c r="AF22" i="13"/>
  <c r="AF28" i="13"/>
  <c r="AF26" i="12"/>
  <c r="AF30" i="12"/>
  <c r="AF14" i="12"/>
  <c r="AF22" i="11"/>
  <c r="D39" i="11"/>
  <c r="AF35" i="11"/>
  <c r="B28" i="6"/>
  <c r="B42" i="6" s="1"/>
  <c r="J39" i="12" l="1"/>
  <c r="B39" i="12"/>
  <c r="S39" i="12"/>
  <c r="V39" i="12"/>
  <c r="D39" i="12"/>
  <c r="AD39" i="12"/>
  <c r="X39" i="12"/>
  <c r="M39" i="12"/>
  <c r="AA39" i="12"/>
  <c r="N39" i="12"/>
  <c r="Y39" i="13"/>
  <c r="Y39" i="12"/>
  <c r="AE39" i="12"/>
  <c r="AF3" i="12"/>
  <c r="E39" i="12"/>
  <c r="P39" i="12"/>
  <c r="C39" i="12"/>
  <c r="O39" i="12"/>
  <c r="AC39" i="12"/>
  <c r="B57" i="6"/>
  <c r="AF2" i="13"/>
  <c r="L39" i="12"/>
  <c r="B22" i="6"/>
  <c r="B23" i="6" s="1"/>
  <c r="E7" i="7" s="1"/>
  <c r="G7" i="7" s="1"/>
  <c r="J7" i="7" s="1"/>
  <c r="K7" i="7" s="1"/>
  <c r="L7" i="7" s="1"/>
  <c r="O7" i="7" s="1"/>
  <c r="B6" i="15" s="1"/>
  <c r="AF20" i="12"/>
  <c r="B40" i="6"/>
  <c r="AF12" i="13"/>
  <c r="AF32" i="13"/>
  <c r="AF22" i="12"/>
  <c r="B35" i="6"/>
  <c r="B62" i="6"/>
  <c r="AF39" i="11"/>
  <c r="B44" i="6" l="1"/>
  <c r="B45" i="6" s="1"/>
  <c r="E8" i="7" s="1"/>
  <c r="G8" i="7" s="1"/>
  <c r="J8" i="7" s="1"/>
  <c r="K8" i="7" s="1"/>
  <c r="L8" i="7" s="1"/>
  <c r="O8" i="7" s="1"/>
  <c r="B7" i="15" s="1"/>
  <c r="AF39" i="12"/>
  <c r="B66" i="6"/>
  <c r="B67" i="6" s="1"/>
  <c r="E9" i="7" s="1"/>
  <c r="G9" i="7" s="1"/>
  <c r="J9" i="7" s="1"/>
  <c r="K9" i="7" s="1"/>
  <c r="L9" i="7" s="1"/>
  <c r="O9" i="7" s="1"/>
  <c r="B8" i="15" s="1"/>
  <c r="AF39" i="13"/>
  <c r="P7" i="7"/>
  <c r="B9" i="15" l="1"/>
  <c r="Q7" i="7"/>
  <c r="C6" i="15"/>
  <c r="O11" i="7"/>
  <c r="P8" i="7"/>
  <c r="P9" i="7"/>
  <c r="C8" i="15" s="1"/>
  <c r="G8" i="15" s="1"/>
  <c r="Q9" i="7" l="1"/>
  <c r="D8" i="15"/>
  <c r="F8" i="15" s="1"/>
  <c r="O40" i="14" s="1"/>
  <c r="Q8" i="7"/>
  <c r="C7" i="15"/>
  <c r="C9" i="15" s="1"/>
  <c r="G6" i="15"/>
  <c r="D6" i="15"/>
  <c r="P11" i="7"/>
  <c r="Q11" i="7" s="1"/>
  <c r="F6" i="15" l="1"/>
  <c r="G7" i="15"/>
  <c r="D7" i="15"/>
  <c r="F7" i="15" s="1"/>
  <c r="I40" i="14" s="1"/>
  <c r="D9" i="15" l="1"/>
  <c r="F9" i="15"/>
  <c r="G9" i="15" s="1"/>
  <c r="C40" i="14"/>
</calcChain>
</file>

<file path=xl/sharedStrings.xml><?xml version="1.0" encoding="utf-8"?>
<sst xmlns="http://schemas.openxmlformats.org/spreadsheetml/2006/main" count="650" uniqueCount="179">
  <si>
    <t>If there are not multiple buildings, do not modify this column</t>
  </si>
  <si>
    <t>Modify this column to name each "room" or "location" where equipment is located, using the customer's description</t>
  </si>
  <si>
    <t>600 Volt and below</t>
  </si>
  <si>
    <t>Full EPM</t>
  </si>
  <si>
    <t>De-energized Maint.</t>
  </si>
  <si>
    <t>IR</t>
  </si>
  <si>
    <t>Ultrasonic</t>
  </si>
  <si>
    <t>A-F Collection</t>
  </si>
  <si>
    <t>Pri.Breaker</t>
  </si>
  <si>
    <t>Sec. Breaker</t>
  </si>
  <si>
    <t>PwrFact (partial)</t>
  </si>
  <si>
    <t>PwrFact (xfmr/CB)</t>
  </si>
  <si>
    <t>Panel Schd.</t>
  </si>
  <si>
    <t>Oil Sample</t>
  </si>
  <si>
    <t>Basic EPM</t>
  </si>
  <si>
    <t>Switchgear - Incoming Main Service (Per Section)</t>
  </si>
  <si>
    <t xml:space="preserve">  Switchgear Insulated Case Breakers (Bus Mounted)</t>
  </si>
  <si>
    <t xml:space="preserve">  SwitchGear Drawout Breakers</t>
  </si>
  <si>
    <t>Distribution Switchboard Multi Cover (Per Section)</t>
  </si>
  <si>
    <t xml:space="preserve">  Switchboard Disconnects</t>
  </si>
  <si>
    <t xml:space="preserve">  Switchboard Molded Case Breakers</t>
  </si>
  <si>
    <t>Panelboard-Single Cover &gt; 400A (Distribution Panel)</t>
  </si>
  <si>
    <t>Panelboard-Single Cover &lt; 400A (Branch Ckt Panel)</t>
  </si>
  <si>
    <t>Motor Control Center (MCC-Per Vertical Section)</t>
  </si>
  <si>
    <t xml:space="preserve">  MCC: Combination Motor Starters</t>
  </si>
  <si>
    <t xml:space="preserve">  MCC: Molded Case Breaker</t>
  </si>
  <si>
    <t xml:space="preserve">  MCC: Individual Disconnect Switch</t>
  </si>
  <si>
    <t>Motor Control Panel (MCP)</t>
  </si>
  <si>
    <t>VFD Motor Control Panel (VFD-MCP)</t>
  </si>
  <si>
    <t>Individual Disconnect Switch &gt; 100A</t>
  </si>
  <si>
    <t>Individual Molded Case Breaker &gt; 100A</t>
  </si>
  <si>
    <t>Individual Combination Motor Starter &gt; 100A</t>
  </si>
  <si>
    <t>Oil Filled Transformer - 5kV-15kV Primary - Any Size (Pad Mounted)</t>
  </si>
  <si>
    <t>Oil Filled Transformer - &gt; 15kV Primary (Substation Class)</t>
  </si>
  <si>
    <t>Dry Type Transformer - &lt; 480V Primary - Any Size kVA</t>
  </si>
  <si>
    <t>Power Factor Correction Capacitors</t>
  </si>
  <si>
    <t>Lighting Contactor &gt; 100A</t>
  </si>
  <si>
    <t>Power Distribution Unit (PDU)</t>
  </si>
  <si>
    <t>Wire Trough, Gutter, or Large Junction Boxes</t>
  </si>
  <si>
    <t>Bus Duct - Vertical or Horizontal (Per 10' section)</t>
  </si>
  <si>
    <t>Automatic Transfer Switch (ATS) &gt; 100A</t>
  </si>
  <si>
    <t>Manual Transfer Switch (MTS) &gt; 100A</t>
  </si>
  <si>
    <t>Variable Frequency Drives (VFD) &lt; 50 HP</t>
  </si>
  <si>
    <t>Variable Frequency Drives (VFD) 51-200 HP</t>
  </si>
  <si>
    <t>Motors &lt; 50 HP</t>
  </si>
  <si>
    <t>Motors 51-200 HP</t>
  </si>
  <si>
    <t>Motors 201-500 HP</t>
  </si>
  <si>
    <t>Compressed Air Equipment</t>
  </si>
  <si>
    <t>HVAC Equipment (Large)</t>
  </si>
  <si>
    <t>HVAC Equipment (Small)</t>
  </si>
  <si>
    <t>Uninterruptible Power Supply (UPS) &lt; 50kVA</t>
  </si>
  <si>
    <t>Uninterruptible Power Supply (UPS) &gt; 50kVA</t>
  </si>
  <si>
    <t>Building</t>
  </si>
  <si>
    <t>Room</t>
  </si>
  <si>
    <t>Total Counted</t>
  </si>
  <si>
    <t>De-Energized</t>
  </si>
  <si>
    <t>ESA</t>
  </si>
  <si>
    <t>Total Hours</t>
  </si>
  <si>
    <t>Total pcs. priced</t>
  </si>
  <si>
    <t>RALCO Report Hours — Hidden Calculation Tab</t>
  </si>
  <si>
    <t>Equipment</t>
  </si>
  <si>
    <t>Photo Min</t>
  </si>
  <si>
    <t>Find Rate</t>
  </si>
  <si>
    <t>Year 1 — Report Hours Breakdown</t>
  </si>
  <si>
    <t>Component</t>
  </si>
  <si>
    <t>Value</t>
  </si>
  <si>
    <t>Formula Logic</t>
  </si>
  <si>
    <t>Rooms with data</t>
  </si>
  <si>
    <t>Count of rooms with any non-zero hours</t>
  </si>
  <si>
    <t>Total pieces</t>
  </si>
  <si>
    <t>Sum of Total Counted col D where &gt; 0</t>
  </si>
  <si>
    <t>De-Energized pieces</t>
  </si>
  <si>
    <t>Sum of De-Energized input col G</t>
  </si>
  <si>
    <t>Arc Flash pieces</t>
  </si>
  <si>
    <t>Sum of A-F Collection input col J</t>
  </si>
  <si>
    <t>Script overhead (fixed)</t>
  </si>
  <si>
    <t>Fixed 0.5 hrs every job</t>
  </si>
  <si>
    <t>Room page setup hrs</t>
  </si>
  <si>
    <t>Rooms × 5 min</t>
  </si>
  <si>
    <t>Photo sort &amp; compress hrs</t>
  </si>
  <si>
    <t>Tiered photo time by equipment type</t>
  </si>
  <si>
    <t>Finding pages hrs</t>
  </si>
  <si>
    <t>Tiered finding rate by equipment type × 15 min</t>
  </si>
  <si>
    <t>De-En finding pages hrs</t>
  </si>
  <si>
    <t>De-En pieces × 20 min per page</t>
  </si>
  <si>
    <t>IR finding allowance hrs</t>
  </si>
  <si>
    <t>ROUNDUP(total pieces/50,0) × 20 min</t>
  </si>
  <si>
    <t>Arc flash processing hrs</t>
  </si>
  <si>
    <t>Arc flash pieces × 2 min</t>
  </si>
  <si>
    <t>Raw total hours</t>
  </si>
  <si>
    <t>Sum of all components before rounding</t>
  </si>
  <si>
    <t>Year 1 Report Hours (FINAL)</t>
  </si>
  <si>
    <t>CEILING(raw,4) — rounds to nearest 4hr block</t>
  </si>
  <si>
    <t>Year 2 — Report Hours Breakdown</t>
  </si>
  <si>
    <t>Year 2 Report Hours (FINAL)</t>
  </si>
  <si>
    <t>Year 3 — Report Hours Breakdown</t>
  </si>
  <si>
    <t>Year 3 Report Hours (FINAL)</t>
  </si>
  <si>
    <t>Hourly Rates</t>
  </si>
  <si>
    <t>Straight time</t>
  </si>
  <si>
    <t>Overtime</t>
  </si>
  <si>
    <t>Doubletime</t>
  </si>
  <si>
    <t>Overhead (Cost)</t>
  </si>
  <si>
    <t>NFPA 70E Price per seat =</t>
  </si>
  <si>
    <t>FILL IN ALL Yellow Boxes! (All other boxes locked to protect the calculation formulas.)</t>
  </si>
  <si>
    <t>Billing Rate</t>
  </si>
  <si>
    <t>Facility Factor *</t>
  </si>
  <si>
    <t>Travel Time Factor</t>
  </si>
  <si>
    <t>Component Hours</t>
  </si>
  <si>
    <t>Total Calculted Hours</t>
  </si>
  <si>
    <t>Facility Access Factor
(1.00-1.20)</t>
  </si>
  <si>
    <t>Electrical walk through (Hrs.)</t>
  </si>
  <si>
    <t>EMA Report Prep - Hrs.
(Auto-calculated)</t>
  </si>
  <si>
    <t>Regrouping access factor (RAF)
(1.00-1.20)</t>
  </si>
  <si>
    <t># Technicians</t>
  </si>
  <si>
    <t>Round trip travel time (Hrs)</t>
  </si>
  <si>
    <t>Number of trips
(Auto-calculated)</t>
  </si>
  <si>
    <t>Total Travel Hours</t>
  </si>
  <si>
    <t>Premium time factor *
( ST=1, OT ≥ 1.42, DT ≥ 1.85 )</t>
  </si>
  <si>
    <t>NFPA 70E Training</t>
  </si>
  <si>
    <t>Selling Price $</t>
  </si>
  <si>
    <t>Gross Profit $</t>
  </si>
  <si>
    <t>Gross Profit %</t>
  </si>
  <si>
    <t>Year 1</t>
  </si>
  <si>
    <t>Year 2</t>
  </si>
  <si>
    <t>Year 3</t>
  </si>
  <si>
    <t>Totals:</t>
  </si>
  <si>
    <t>* Report Prep and Number of Trips auto-calculate but can be manually overridden by typing directly into the cell.</t>
  </si>
  <si>
    <t>Average</t>
  </si>
  <si>
    <t>* Premium time factor - Insert your overhead and billing rates in the top left corner.</t>
  </si>
  <si>
    <t>First time</t>
  </si>
  <si>
    <t>Many Rooms</t>
  </si>
  <si>
    <t>Escorted</t>
  </si>
  <si>
    <t xml:space="preserve"> Ensure factors calculate between Overhead and Billing as follows:</t>
  </si>
  <si>
    <t>Tight Security</t>
  </si>
  <si>
    <t>Straight Time</t>
  </si>
  <si>
    <t>OT is = to or greater than ( &gt; ) 1.42</t>
  </si>
  <si>
    <t>DT is = to or greater than ( &gt; ) 1.85</t>
  </si>
  <si>
    <t>De-energized</t>
  </si>
  <si>
    <t>Total pcs.</t>
  </si>
  <si>
    <t>Total Pcs</t>
  </si>
  <si>
    <t>TOTAL PIECES PER ROOM</t>
  </si>
  <si>
    <t>Scope of work</t>
  </si>
  <si>
    <t>3 Year Program-Scope of Work</t>
  </si>
  <si>
    <t>Total Qty</t>
  </si>
  <si>
    <t>2026 Basic EPM</t>
  </si>
  <si>
    <t>2026 Full EPM</t>
  </si>
  <si>
    <t>2026 De-En</t>
  </si>
  <si>
    <t>2026 IR</t>
  </si>
  <si>
    <t>2026 UT</t>
  </si>
  <si>
    <t>2026 A-F</t>
  </si>
  <si>
    <t>2027 Basic EPM</t>
  </si>
  <si>
    <t>2027 Full EPM</t>
  </si>
  <si>
    <t>2027 De-En</t>
  </si>
  <si>
    <t>2027 IR</t>
  </si>
  <si>
    <t>2027 UT</t>
  </si>
  <si>
    <t>2027 A-F</t>
  </si>
  <si>
    <t>2028 Basic EPM</t>
  </si>
  <si>
    <t>2028 Full EPM</t>
  </si>
  <si>
    <t>2028 De-En</t>
  </si>
  <si>
    <t>2028 IR</t>
  </si>
  <si>
    <t>2028 UT</t>
  </si>
  <si>
    <t>2028 A-F</t>
  </si>
  <si>
    <t>Main Bldg.</t>
  </si>
  <si>
    <t>Calculated as a 1, no factor applies</t>
  </si>
  <si>
    <t>Prem. Factor</t>
  </si>
  <si>
    <t>RALCO Electric — Sales Price Calculator</t>
  </si>
  <si>
    <t>Enter Target Margin</t>
  </si>
  <si>
    <t>⚠  Fill in YELLOW cells only (All other cells calculate automatically!) ⚠</t>
  </si>
  <si>
    <t>Year</t>
  </si>
  <si>
    <t>Builder Sale Price</t>
  </si>
  <si>
    <t>Builder Gross Profit $</t>
  </si>
  <si>
    <t>Total Cost</t>
  </si>
  <si>
    <t>Target Margin %</t>
  </si>
  <si>
    <t>Sale Price to Hit Target</t>
  </si>
  <si>
    <t>Builder Margin %</t>
  </si>
  <si>
    <t>TOTALS</t>
  </si>
  <si>
    <t>Projected Target Margin</t>
  </si>
  <si>
    <t>YELLOW = Input cells     |     BLUE = Calculated cost     |     DARK BLUE = Target sale price output     |     GREEN = Margin %</t>
  </si>
  <si>
    <t>Price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</si>
</sst>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0.0"/>
    <numFmt numFmtId="165" formatCode="\$#,##0.00"/>
    <numFmt numFmtId="166" formatCode="&quot;$&quot;#,##0.00"/>
    <numFmt numFmtId="167" formatCode="0.0%"/>
  </numFmts>
  <fonts count="30" x14ac:knownFonts="1">
    <font>
      <sz val="11"/>
      <color theme="1"/>
      <name val="Calibri"/>
      <family val="2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8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  <font>
      <i/>
      <sz val="9"/>
      <color rgb="FF404040"/>
      <name val="Arial"/>
      <charset val="1"/>
    </font>
    <font>
      <i/>
      <sz val="10"/>
      <name val="Arial"/>
      <charset val="1"/>
    </font>
    <font>
      <b/>
      <sz val="9"/>
      <name val="Arial"/>
      <charset val="1"/>
    </font>
    <font>
      <b/>
      <sz val="12"/>
      <name val="Arial"/>
      <charset val="1"/>
    </font>
    <font>
      <sz val="11"/>
      <color theme="1"/>
      <name val="Calibri"/>
      <family val="2"/>
      <charset val="1"/>
    </font>
    <font>
      <b/>
      <sz val="10"/>
      <name val="Arial"/>
      <family val="2"/>
    </font>
    <font>
      <b/>
      <sz val="14"/>
      <color rgb="FFFFFFFF"/>
      <name val="Arial"/>
      <family val="2"/>
    </font>
    <font>
      <i/>
      <sz val="10"/>
      <color rgb="FF1A3A5C"/>
      <name val="Arial"/>
      <family val="2"/>
    </font>
    <font>
      <b/>
      <sz val="10"/>
      <color rgb="FF7F4F00"/>
      <name val="Arial"/>
      <family val="2"/>
    </font>
    <font>
      <b/>
      <sz val="10"/>
      <color rgb="FFFFFFFF"/>
      <name val="Arial"/>
      <family val="2"/>
    </font>
    <font>
      <b/>
      <sz val="11"/>
      <color rgb="FF1A3A5C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i/>
      <sz val="9"/>
      <color rgb="FF404040"/>
      <name val="Arial"/>
      <family val="2"/>
    </font>
    <font>
      <b/>
      <i/>
      <sz val="12"/>
      <color theme="1"/>
      <name val="Calibri"/>
      <family val="2"/>
    </font>
    <font>
      <b/>
      <sz val="1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D9D9D9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1A3A5C"/>
        <bgColor rgb="FF404040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2F2F2"/>
      </patternFill>
    </fill>
    <fill>
      <patternFill patternType="solid">
        <fgColor rgb="FFBFBFBF"/>
        <bgColor rgb="FFD9D9D9"/>
      </patternFill>
    </fill>
    <fill>
      <patternFill patternType="solid">
        <fgColor rgb="FFE2EFDA"/>
        <bgColor rgb="FFDCE6F1"/>
      </patternFill>
    </fill>
    <fill>
      <patternFill patternType="solid">
        <fgColor rgb="FFF2F2F2"/>
        <bgColor rgb="FFE2EFDA"/>
      </patternFill>
    </fill>
    <fill>
      <patternFill patternType="solid">
        <fgColor rgb="FFFFFFC0"/>
        <bgColor rgb="FFFFFF99"/>
      </patternFill>
    </fill>
    <fill>
      <patternFill patternType="solid">
        <fgColor rgb="FFDCE6F1"/>
        <bgColor rgb="FFE2EFDA"/>
      </patternFill>
    </fill>
    <fill>
      <patternFill patternType="solid">
        <fgColor rgb="FF2E5F8A"/>
        <bgColor rgb="FF0066CC"/>
      </patternFill>
    </fill>
    <fill>
      <patternFill patternType="solid">
        <fgColor rgb="FFD9E1EB"/>
        <bgColor rgb="FFDCE6F1"/>
      </patternFill>
    </fill>
    <fill>
      <patternFill patternType="solid">
        <fgColor rgb="FFFFF2CC"/>
        <bgColor rgb="FFF2F2F2"/>
      </patternFill>
    </fill>
    <fill>
      <patternFill patternType="solid">
        <fgColor rgb="FFFFAA00"/>
        <bgColor rgb="FFFFCC00"/>
      </patternFill>
    </fill>
    <fill>
      <patternFill patternType="solid">
        <fgColor rgb="FFDCE6F1"/>
        <bgColor rgb="FFD9E1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6" fillId="0" borderId="0"/>
  </cellStyleXfs>
  <cellXfs count="79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2" fontId="2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2" fontId="9" fillId="11" borderId="1" xfId="0" applyNumberFormat="1" applyFont="1" applyFill="1" applyBorder="1" applyAlignment="1">
      <alignment horizontal="center" vertical="center"/>
    </xf>
    <xf numFmtId="0" fontId="10" fillId="0" borderId="1" xfId="0" applyFont="1" applyBorder="1"/>
    <xf numFmtId="2" fontId="7" fillId="11" borderId="1" xfId="0" applyNumberFormat="1" applyFont="1" applyFill="1" applyBorder="1"/>
    <xf numFmtId="0" fontId="3" fillId="4" borderId="1" xfId="0" applyFont="1" applyFill="1" applyBorder="1"/>
    <xf numFmtId="1" fontId="1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11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165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2" fontId="2" fillId="6" borderId="1" xfId="0" applyNumberFormat="1" applyFont="1" applyFill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9" fillId="9" borderId="1" xfId="0" applyFont="1" applyFill="1" applyBorder="1"/>
    <xf numFmtId="0" fontId="9" fillId="9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15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6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17" fillId="0" borderId="0" xfId="0" applyFont="1"/>
    <xf numFmtId="0" fontId="18" fillId="4" borderId="0" xfId="1" applyFont="1" applyFill="1" applyAlignment="1">
      <alignment horizontal="center" vertical="center"/>
    </xf>
    <xf numFmtId="0" fontId="16" fillId="0" borderId="0" xfId="1"/>
    <xf numFmtId="0" fontId="19" fillId="13" borderId="0" xfId="1" applyFont="1" applyFill="1" applyAlignment="1">
      <alignment horizontal="center" vertical="center"/>
    </xf>
    <xf numFmtId="0" fontId="20" fillId="14" borderId="0" xfId="1" applyFont="1" applyFill="1" applyAlignment="1">
      <alignment horizontal="center" vertical="center"/>
    </xf>
    <xf numFmtId="0" fontId="21" fillId="4" borderId="1" xfId="1" applyFont="1" applyFill="1" applyBorder="1" applyAlignment="1">
      <alignment horizontal="center" vertical="center" wrapText="1"/>
    </xf>
    <xf numFmtId="0" fontId="21" fillId="15" borderId="1" xfId="1" applyFont="1" applyFill="1" applyBorder="1" applyAlignment="1">
      <alignment horizontal="center" vertical="center" wrapText="1"/>
    </xf>
    <xf numFmtId="0" fontId="22" fillId="6" borderId="1" xfId="1" applyFont="1" applyFill="1" applyBorder="1" applyAlignment="1">
      <alignment horizontal="center" vertical="center"/>
    </xf>
    <xf numFmtId="165" fontId="23" fillId="16" borderId="1" xfId="1" applyNumberFormat="1" applyFont="1" applyFill="1" applyBorder="1" applyAlignment="1">
      <alignment horizontal="center" vertical="center"/>
    </xf>
    <xf numFmtId="167" fontId="24" fillId="3" borderId="1" xfId="1" applyNumberFormat="1" applyFont="1" applyFill="1" applyBorder="1" applyAlignment="1">
      <alignment horizontal="center" vertical="center"/>
    </xf>
    <xf numFmtId="165" fontId="25" fillId="4" borderId="1" xfId="1" applyNumberFormat="1" applyFont="1" applyFill="1" applyBorder="1" applyAlignment="1">
      <alignment horizontal="center" vertical="center"/>
    </xf>
    <xf numFmtId="167" fontId="23" fillId="8" borderId="1" xfId="1" applyNumberFormat="1" applyFont="1" applyFill="1" applyBorder="1" applyAlignment="1">
      <alignment horizontal="center" vertical="center"/>
    </xf>
    <xf numFmtId="0" fontId="22" fillId="9" borderId="1" xfId="1" applyFont="1" applyFill="1" applyBorder="1" applyAlignment="1">
      <alignment horizontal="center" vertical="center"/>
    </xf>
    <xf numFmtId="0" fontId="25" fillId="4" borderId="1" xfId="1" applyFont="1" applyFill="1" applyBorder="1" applyAlignment="1">
      <alignment horizontal="center" vertical="center"/>
    </xf>
    <xf numFmtId="165" fontId="26" fillId="16" borderId="1" xfId="1" applyNumberFormat="1" applyFont="1" applyFill="1" applyBorder="1" applyAlignment="1">
      <alignment horizontal="center" vertical="center"/>
    </xf>
    <xf numFmtId="0" fontId="16" fillId="4" borderId="1" xfId="1" applyFill="1" applyBorder="1"/>
    <xf numFmtId="167" fontId="26" fillId="8" borderId="1" xfId="1" applyNumberFormat="1" applyFont="1" applyFill="1" applyBorder="1" applyAlignment="1">
      <alignment horizontal="center" vertical="center"/>
    </xf>
    <xf numFmtId="0" fontId="27" fillId="0" borderId="0" xfId="1" applyFont="1" applyAlignment="1">
      <alignment horizontal="center"/>
    </xf>
    <xf numFmtId="0" fontId="21" fillId="4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39CDDC6A-A8EC-4CB7-90F4-A4E2D72F550F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0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F8A"/>
      <rgbColor rgb="FF969696"/>
      <rgbColor rgb="FF1A3A5C"/>
      <rgbColor rgb="FF339966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zoomScaleNormal="100" workbookViewId="0">
      <selection activeCell="F23" sqref="F23"/>
    </sheetView>
  </sheetViews>
  <sheetFormatPr defaultColWidth="8.7109375" defaultRowHeight="15" x14ac:dyDescent="0.25"/>
  <cols>
    <col min="1" max="2" width="35" customWidth="1"/>
  </cols>
  <sheetData>
    <row r="1" spans="1:2" ht="51" x14ac:dyDescent="0.25">
      <c r="A1" s="5" t="s">
        <v>0</v>
      </c>
      <c r="B1" s="5" t="s">
        <v>1</v>
      </c>
    </row>
    <row r="2" spans="1:2" x14ac:dyDescent="0.25">
      <c r="A2" s="6" t="s">
        <v>162</v>
      </c>
      <c r="B2" s="7"/>
    </row>
    <row r="3" spans="1:2" x14ac:dyDescent="0.25">
      <c r="A3" s="6" t="s">
        <v>162</v>
      </c>
      <c r="B3" s="7"/>
    </row>
    <row r="4" spans="1:2" x14ac:dyDescent="0.25">
      <c r="A4" s="6" t="s">
        <v>162</v>
      </c>
      <c r="B4" s="7"/>
    </row>
    <row r="5" spans="1:2" x14ac:dyDescent="0.25">
      <c r="A5" s="6" t="s">
        <v>162</v>
      </c>
      <c r="B5" s="7"/>
    </row>
    <row r="6" spans="1:2" x14ac:dyDescent="0.25">
      <c r="A6" s="6" t="s">
        <v>162</v>
      </c>
      <c r="B6" s="7"/>
    </row>
    <row r="7" spans="1:2" x14ac:dyDescent="0.25">
      <c r="A7" s="6" t="s">
        <v>162</v>
      </c>
      <c r="B7" s="7"/>
    </row>
    <row r="8" spans="1:2" x14ac:dyDescent="0.25">
      <c r="A8" s="6" t="s">
        <v>162</v>
      </c>
      <c r="B8" s="7"/>
    </row>
    <row r="9" spans="1:2" x14ac:dyDescent="0.25">
      <c r="A9" s="6" t="s">
        <v>162</v>
      </c>
      <c r="B9" s="7"/>
    </row>
    <row r="10" spans="1:2" x14ac:dyDescent="0.25">
      <c r="A10" s="6" t="s">
        <v>162</v>
      </c>
      <c r="B10" s="7"/>
    </row>
    <row r="11" spans="1:2" x14ac:dyDescent="0.25">
      <c r="A11" s="6" t="s">
        <v>162</v>
      </c>
      <c r="B11" s="7"/>
    </row>
    <row r="12" spans="1:2" x14ac:dyDescent="0.25">
      <c r="A12" s="6" t="s">
        <v>162</v>
      </c>
      <c r="B12" s="7"/>
    </row>
    <row r="13" spans="1:2" x14ac:dyDescent="0.25">
      <c r="A13" s="6" t="s">
        <v>162</v>
      </c>
      <c r="B13" s="7"/>
    </row>
    <row r="14" spans="1:2" x14ac:dyDescent="0.25">
      <c r="A14" s="6" t="s">
        <v>162</v>
      </c>
      <c r="B14" s="7"/>
    </row>
    <row r="15" spans="1:2" x14ac:dyDescent="0.25">
      <c r="A15" s="6" t="s">
        <v>162</v>
      </c>
      <c r="B15" s="7"/>
    </row>
    <row r="16" spans="1:2" x14ac:dyDescent="0.25">
      <c r="A16" s="6" t="s">
        <v>162</v>
      </c>
      <c r="B16" s="7"/>
    </row>
    <row r="17" spans="1:2" x14ac:dyDescent="0.25">
      <c r="A17" s="6" t="s">
        <v>162</v>
      </c>
      <c r="B17" s="7"/>
    </row>
    <row r="18" spans="1:2" x14ac:dyDescent="0.25">
      <c r="A18" s="6" t="s">
        <v>162</v>
      </c>
      <c r="B18" s="7"/>
    </row>
    <row r="19" spans="1:2" x14ac:dyDescent="0.25">
      <c r="A19" s="6" t="s">
        <v>162</v>
      </c>
      <c r="B19" s="7"/>
    </row>
    <row r="20" spans="1:2" x14ac:dyDescent="0.25">
      <c r="A20" s="6" t="s">
        <v>162</v>
      </c>
      <c r="B20" s="7"/>
    </row>
    <row r="21" spans="1:2" x14ac:dyDescent="0.25">
      <c r="A21" s="6" t="s">
        <v>162</v>
      </c>
      <c r="B21" s="7"/>
    </row>
    <row r="22" spans="1:2" x14ac:dyDescent="0.25">
      <c r="A22" s="6" t="s">
        <v>162</v>
      </c>
      <c r="B22" s="7"/>
    </row>
    <row r="23" spans="1:2" x14ac:dyDescent="0.25">
      <c r="A23" s="6" t="s">
        <v>162</v>
      </c>
      <c r="B23" s="7"/>
    </row>
    <row r="24" spans="1:2" x14ac:dyDescent="0.25">
      <c r="A24" s="6" t="s">
        <v>162</v>
      </c>
      <c r="B24" s="7"/>
    </row>
    <row r="25" spans="1:2" x14ac:dyDescent="0.25">
      <c r="A25" s="6" t="s">
        <v>162</v>
      </c>
      <c r="B25" s="7"/>
    </row>
    <row r="26" spans="1:2" x14ac:dyDescent="0.25">
      <c r="A26" s="6" t="s">
        <v>162</v>
      </c>
      <c r="B26" s="7"/>
    </row>
    <row r="27" spans="1:2" x14ac:dyDescent="0.25">
      <c r="A27" s="6" t="s">
        <v>162</v>
      </c>
      <c r="B27" s="7"/>
    </row>
    <row r="28" spans="1:2" x14ac:dyDescent="0.25">
      <c r="A28" s="6" t="s">
        <v>162</v>
      </c>
      <c r="B28" s="7"/>
    </row>
    <row r="29" spans="1:2" x14ac:dyDescent="0.25">
      <c r="A29" s="6" t="s">
        <v>162</v>
      </c>
      <c r="B29" s="7"/>
    </row>
    <row r="30" spans="1:2" x14ac:dyDescent="0.25">
      <c r="A30" s="6" t="s">
        <v>162</v>
      </c>
      <c r="B30" s="7"/>
    </row>
    <row r="31" spans="1:2" x14ac:dyDescent="0.25">
      <c r="A31" s="6" t="s">
        <v>162</v>
      </c>
      <c r="B31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zoomScaleNormal="100" workbookViewId="0"/>
  </sheetViews>
  <sheetFormatPr defaultColWidth="8.7109375" defaultRowHeight="15" x14ac:dyDescent="0.25"/>
  <cols>
    <col min="1" max="1" width="52" customWidth="1"/>
    <col min="2" max="2" width="12" customWidth="1"/>
    <col min="3" max="3" width="18" customWidth="1"/>
    <col min="4" max="4" width="10" customWidth="1"/>
    <col min="5" max="5" width="12" customWidth="1"/>
    <col min="6" max="6" width="16" customWidth="1"/>
    <col min="7" max="7" width="12" customWidth="1"/>
    <col min="8" max="8" width="13" customWidth="1"/>
    <col min="9" max="9" width="14" customWidth="1"/>
    <col min="10" max="10" width="16" customWidth="1"/>
    <col min="11" max="13" width="12" customWidth="1"/>
  </cols>
  <sheetData>
    <row r="1" spans="1:13" ht="30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9" t="s">
        <v>14</v>
      </c>
    </row>
    <row r="2" spans="1:13" x14ac:dyDescent="0.25">
      <c r="A2" s="10" t="s">
        <v>15</v>
      </c>
      <c r="B2" s="11">
        <v>2</v>
      </c>
      <c r="C2" s="11">
        <v>3.4832999999999998</v>
      </c>
      <c r="D2" s="11">
        <v>0.58330000000000004</v>
      </c>
      <c r="E2" s="11">
        <v>0.25</v>
      </c>
      <c r="F2" s="11">
        <v>1.45</v>
      </c>
      <c r="G2" s="11">
        <v>1</v>
      </c>
      <c r="H2" s="11">
        <v>0.75</v>
      </c>
      <c r="I2" s="12"/>
      <c r="J2" s="12"/>
      <c r="K2" s="11">
        <v>1</v>
      </c>
      <c r="L2" s="12"/>
      <c r="M2" s="13">
        <f t="shared" ref="M2:M38" si="0">D2+E2</f>
        <v>0.83330000000000004</v>
      </c>
    </row>
    <row r="3" spans="1:13" x14ac:dyDescent="0.25">
      <c r="A3" s="14" t="s">
        <v>16</v>
      </c>
      <c r="B3" s="15">
        <v>0.33329999999999999</v>
      </c>
      <c r="C3" s="15">
        <v>4</v>
      </c>
      <c r="D3" s="15">
        <v>0.16669999999999999</v>
      </c>
      <c r="E3" s="15">
        <v>0.16669999999999999</v>
      </c>
      <c r="F3" s="15">
        <v>0.25</v>
      </c>
      <c r="G3" s="15">
        <v>0.5</v>
      </c>
      <c r="H3" s="12"/>
      <c r="I3" s="12"/>
      <c r="J3" s="12"/>
      <c r="K3" s="12"/>
      <c r="L3" s="12"/>
      <c r="M3" s="13">
        <f t="shared" si="0"/>
        <v>0.33339999999999997</v>
      </c>
    </row>
    <row r="4" spans="1:13" x14ac:dyDescent="0.25">
      <c r="A4" s="10" t="s">
        <v>17</v>
      </c>
      <c r="B4" s="11">
        <v>0.33329999999999999</v>
      </c>
      <c r="C4" s="11">
        <v>4</v>
      </c>
      <c r="D4" s="11">
        <v>0.16669999999999999</v>
      </c>
      <c r="E4" s="11">
        <v>0.1</v>
      </c>
      <c r="F4" s="11">
        <v>0.25</v>
      </c>
      <c r="G4" s="12"/>
      <c r="H4" s="11">
        <v>0.75</v>
      </c>
      <c r="I4" s="12"/>
      <c r="J4" s="12"/>
      <c r="K4" s="12"/>
      <c r="L4" s="12"/>
      <c r="M4" s="13">
        <f t="shared" si="0"/>
        <v>0.26669999999999999</v>
      </c>
    </row>
    <row r="5" spans="1:13" x14ac:dyDescent="0.25">
      <c r="A5" s="14" t="s">
        <v>18</v>
      </c>
      <c r="B5" s="15">
        <v>1.1167</v>
      </c>
      <c r="C5" s="15">
        <v>0.93330000000000002</v>
      </c>
      <c r="D5" s="15">
        <v>0.33329999999999999</v>
      </c>
      <c r="E5" s="15">
        <v>0.25</v>
      </c>
      <c r="F5" s="15">
        <v>0.88329999999999997</v>
      </c>
      <c r="G5" s="15">
        <v>0.5</v>
      </c>
      <c r="H5" s="12"/>
      <c r="I5" s="12"/>
      <c r="J5" s="12"/>
      <c r="K5" s="15">
        <v>1</v>
      </c>
      <c r="L5" s="12"/>
      <c r="M5" s="13">
        <f t="shared" si="0"/>
        <v>0.58329999999999993</v>
      </c>
    </row>
    <row r="6" spans="1:13" x14ac:dyDescent="0.25">
      <c r="A6" s="10" t="s">
        <v>19</v>
      </c>
      <c r="B6" s="11">
        <v>0.33329999999999999</v>
      </c>
      <c r="C6" s="11">
        <v>0.26669999999999999</v>
      </c>
      <c r="D6" s="11">
        <v>0.16669999999999999</v>
      </c>
      <c r="E6" s="11">
        <v>0.16669999999999999</v>
      </c>
      <c r="F6" s="11">
        <v>0.25</v>
      </c>
      <c r="G6" s="12"/>
      <c r="H6" s="12"/>
      <c r="I6" s="12"/>
      <c r="J6" s="12"/>
      <c r="K6" s="12"/>
      <c r="L6" s="12"/>
      <c r="M6" s="13">
        <f t="shared" si="0"/>
        <v>0.33339999999999997</v>
      </c>
    </row>
    <row r="7" spans="1:13" x14ac:dyDescent="0.25">
      <c r="A7" s="14" t="s">
        <v>20</v>
      </c>
      <c r="B7" s="15">
        <v>0.33329999999999999</v>
      </c>
      <c r="C7" s="15">
        <v>4</v>
      </c>
      <c r="D7" s="15">
        <v>0.16669999999999999</v>
      </c>
      <c r="E7" s="15">
        <v>0.16669999999999999</v>
      </c>
      <c r="F7" s="15">
        <v>0.25</v>
      </c>
      <c r="G7" s="15">
        <v>0.5</v>
      </c>
      <c r="H7" s="12"/>
      <c r="I7" s="12"/>
      <c r="J7" s="12"/>
      <c r="K7" s="12"/>
      <c r="L7" s="12"/>
      <c r="M7" s="13">
        <f t="shared" si="0"/>
        <v>0.33339999999999997</v>
      </c>
    </row>
    <row r="8" spans="1:13" x14ac:dyDescent="0.25">
      <c r="A8" s="10" t="s">
        <v>21</v>
      </c>
      <c r="B8" s="11">
        <v>0.93330000000000002</v>
      </c>
      <c r="C8" s="11">
        <v>0.93330000000000002</v>
      </c>
      <c r="D8" s="11">
        <v>0.33329999999999999</v>
      </c>
      <c r="E8" s="11">
        <v>0.33329999999999999</v>
      </c>
      <c r="F8" s="11">
        <v>0.88329999999999997</v>
      </c>
      <c r="G8" s="11">
        <v>0.5</v>
      </c>
      <c r="H8" s="12"/>
      <c r="I8" s="12"/>
      <c r="J8" s="12"/>
      <c r="K8" s="11">
        <v>0.75</v>
      </c>
      <c r="L8" s="12"/>
      <c r="M8" s="13">
        <f t="shared" si="0"/>
        <v>0.66659999999999997</v>
      </c>
    </row>
    <row r="9" spans="1:13" x14ac:dyDescent="0.25">
      <c r="A9" s="14" t="s">
        <v>22</v>
      </c>
      <c r="B9" s="15">
        <v>0.75</v>
      </c>
      <c r="C9" s="15">
        <v>0.75</v>
      </c>
      <c r="D9" s="15">
        <v>0.25</v>
      </c>
      <c r="E9" s="15">
        <v>0.16669999999999999</v>
      </c>
      <c r="F9" s="15">
        <v>0.58330000000000004</v>
      </c>
      <c r="G9" s="12"/>
      <c r="H9" s="12"/>
      <c r="I9" s="12"/>
      <c r="J9" s="12"/>
      <c r="K9" s="15">
        <v>0.5</v>
      </c>
      <c r="L9" s="12"/>
      <c r="M9" s="13">
        <f t="shared" si="0"/>
        <v>0.41669999999999996</v>
      </c>
    </row>
    <row r="10" spans="1:13" x14ac:dyDescent="0.25">
      <c r="A10" s="10" t="s">
        <v>23</v>
      </c>
      <c r="B10" s="11">
        <v>0.4667</v>
      </c>
      <c r="C10" s="11">
        <v>0.81669999999999998</v>
      </c>
      <c r="D10" s="11">
        <v>0.1333</v>
      </c>
      <c r="E10" s="11">
        <v>0.1167</v>
      </c>
      <c r="F10" s="11">
        <v>0.4667</v>
      </c>
      <c r="G10" s="12"/>
      <c r="H10" s="12"/>
      <c r="I10" s="12"/>
      <c r="J10" s="12"/>
      <c r="K10" s="11">
        <v>0.75</v>
      </c>
      <c r="L10" s="12"/>
      <c r="M10" s="13">
        <f t="shared" si="0"/>
        <v>0.25</v>
      </c>
    </row>
    <row r="11" spans="1:13" x14ac:dyDescent="0.25">
      <c r="A11" s="14" t="s">
        <v>24</v>
      </c>
      <c r="B11" s="15">
        <v>0.4667</v>
      </c>
      <c r="C11" s="15">
        <v>0.81669999999999998</v>
      </c>
      <c r="D11" s="15">
        <v>0.1333</v>
      </c>
      <c r="E11" s="15">
        <v>0.1167</v>
      </c>
      <c r="F11" s="15">
        <v>0.4667</v>
      </c>
      <c r="G11" s="15">
        <v>0.5</v>
      </c>
      <c r="H11" s="12"/>
      <c r="I11" s="12"/>
      <c r="J11" s="12"/>
      <c r="K11" s="15">
        <v>0.75</v>
      </c>
      <c r="L11" s="12"/>
      <c r="M11" s="13">
        <f t="shared" si="0"/>
        <v>0.25</v>
      </c>
    </row>
    <row r="12" spans="1:13" x14ac:dyDescent="0.25">
      <c r="A12" s="10" t="s">
        <v>25</v>
      </c>
      <c r="B12" s="11">
        <v>0.33329999999999999</v>
      </c>
      <c r="C12" s="11">
        <v>4</v>
      </c>
      <c r="D12" s="11">
        <v>0.16669999999999999</v>
      </c>
      <c r="E12" s="11">
        <v>0.16669999999999999</v>
      </c>
      <c r="F12" s="11">
        <v>0.25</v>
      </c>
      <c r="G12" s="11">
        <v>0.5</v>
      </c>
      <c r="H12" s="12"/>
      <c r="I12" s="12"/>
      <c r="J12" s="12"/>
      <c r="K12" s="12"/>
      <c r="L12" s="12"/>
      <c r="M12" s="13">
        <f t="shared" si="0"/>
        <v>0.33339999999999997</v>
      </c>
    </row>
    <row r="13" spans="1:13" x14ac:dyDescent="0.25">
      <c r="A13" s="14" t="s">
        <v>26</v>
      </c>
      <c r="B13" s="15">
        <v>0.33329999999999999</v>
      </c>
      <c r="C13" s="15">
        <v>0.5</v>
      </c>
      <c r="D13" s="15">
        <v>0.16669999999999999</v>
      </c>
      <c r="E13" s="15">
        <v>0.1</v>
      </c>
      <c r="F13" s="15">
        <v>0.25</v>
      </c>
      <c r="G13" s="12"/>
      <c r="H13" s="12"/>
      <c r="I13" s="12"/>
      <c r="J13" s="12"/>
      <c r="K13" s="12"/>
      <c r="L13" s="12"/>
      <c r="M13" s="13">
        <f t="shared" si="0"/>
        <v>0.26669999999999999</v>
      </c>
    </row>
    <row r="14" spans="1:13" x14ac:dyDescent="0.25">
      <c r="A14" s="10" t="s">
        <v>27</v>
      </c>
      <c r="B14" s="11">
        <v>0.4667</v>
      </c>
      <c r="C14" s="11">
        <v>0.81669999999999998</v>
      </c>
      <c r="D14" s="11">
        <v>0.1333</v>
      </c>
      <c r="E14" s="11">
        <v>0.1167</v>
      </c>
      <c r="F14" s="11">
        <v>0.4667</v>
      </c>
      <c r="G14" s="12"/>
      <c r="H14" s="12"/>
      <c r="I14" s="12"/>
      <c r="J14" s="12"/>
      <c r="K14" s="11">
        <v>0.75</v>
      </c>
      <c r="L14" s="12"/>
      <c r="M14" s="13">
        <f t="shared" si="0"/>
        <v>0.25</v>
      </c>
    </row>
    <row r="15" spans="1:13" x14ac:dyDescent="0.25">
      <c r="A15" s="14" t="s">
        <v>28</v>
      </c>
      <c r="B15" s="15">
        <v>0.4667</v>
      </c>
      <c r="C15" s="15">
        <v>0.81669999999999998</v>
      </c>
      <c r="D15" s="15">
        <v>0.1333</v>
      </c>
      <c r="E15" s="15">
        <v>0.1167</v>
      </c>
      <c r="F15" s="15">
        <v>0.4667</v>
      </c>
      <c r="G15" s="12"/>
      <c r="H15" s="12"/>
      <c r="I15" s="12"/>
      <c r="J15" s="12"/>
      <c r="K15" s="15">
        <v>0.75</v>
      </c>
      <c r="L15" s="12"/>
      <c r="M15" s="13">
        <f t="shared" si="0"/>
        <v>0.25</v>
      </c>
    </row>
    <row r="16" spans="1:13" x14ac:dyDescent="0.25">
      <c r="A16" s="10" t="s">
        <v>29</v>
      </c>
      <c r="B16" s="11">
        <v>0.33329999999999999</v>
      </c>
      <c r="C16" s="11">
        <v>0.5</v>
      </c>
      <c r="D16" s="11">
        <v>0.16669999999999999</v>
      </c>
      <c r="E16" s="11">
        <v>0.1</v>
      </c>
      <c r="F16" s="11">
        <v>0.25</v>
      </c>
      <c r="G16" s="11">
        <v>0.5</v>
      </c>
      <c r="H16" s="12"/>
      <c r="I16" s="12"/>
      <c r="J16" s="12"/>
      <c r="K16" s="12"/>
      <c r="L16" s="12"/>
      <c r="M16" s="13">
        <f t="shared" si="0"/>
        <v>0.26669999999999999</v>
      </c>
    </row>
    <row r="17" spans="1:13" x14ac:dyDescent="0.25">
      <c r="A17" s="14" t="s">
        <v>30</v>
      </c>
      <c r="B17" s="15">
        <v>0.33329999999999999</v>
      </c>
      <c r="C17" s="15">
        <v>3</v>
      </c>
      <c r="D17" s="15">
        <v>0.16669999999999999</v>
      </c>
      <c r="E17" s="15">
        <v>0.1</v>
      </c>
      <c r="F17" s="15">
        <v>0.25</v>
      </c>
      <c r="G17" s="15">
        <v>0.5</v>
      </c>
      <c r="H17" s="12"/>
      <c r="I17" s="12"/>
      <c r="J17" s="12"/>
      <c r="K17" s="12"/>
      <c r="L17" s="12"/>
      <c r="M17" s="13">
        <f t="shared" si="0"/>
        <v>0.26669999999999999</v>
      </c>
    </row>
    <row r="18" spans="1:13" x14ac:dyDescent="0.25">
      <c r="A18" s="10" t="s">
        <v>31</v>
      </c>
      <c r="B18" s="11">
        <v>0.4667</v>
      </c>
      <c r="C18" s="11">
        <v>1.33</v>
      </c>
      <c r="D18" s="11">
        <v>0.16669999999999999</v>
      </c>
      <c r="E18" s="11">
        <v>0.1167</v>
      </c>
      <c r="F18" s="11">
        <v>0.4667</v>
      </c>
      <c r="G18" s="11">
        <v>0.5</v>
      </c>
      <c r="H18" s="12"/>
      <c r="I18" s="12"/>
      <c r="J18" s="12"/>
      <c r="K18" s="12"/>
      <c r="L18" s="12"/>
      <c r="M18" s="13">
        <f t="shared" si="0"/>
        <v>0.28339999999999999</v>
      </c>
    </row>
    <row r="19" spans="1:13" x14ac:dyDescent="0.25">
      <c r="A19" s="14" t="s">
        <v>32</v>
      </c>
      <c r="B19" s="15">
        <v>0.58330000000000004</v>
      </c>
      <c r="C19" s="15">
        <v>4</v>
      </c>
      <c r="D19" s="15">
        <v>0.33329999999999999</v>
      </c>
      <c r="E19" s="15">
        <v>0.25</v>
      </c>
      <c r="F19" s="15">
        <v>0.58330000000000004</v>
      </c>
      <c r="G19" s="12"/>
      <c r="H19" s="12"/>
      <c r="I19" s="15">
        <v>1</v>
      </c>
      <c r="J19" s="15">
        <v>1</v>
      </c>
      <c r="K19" s="12"/>
      <c r="L19" s="15">
        <v>0.58330000000000004</v>
      </c>
      <c r="M19" s="13">
        <f t="shared" si="0"/>
        <v>0.58329999999999993</v>
      </c>
    </row>
    <row r="20" spans="1:13" x14ac:dyDescent="0.25">
      <c r="A20" s="10" t="s">
        <v>33</v>
      </c>
      <c r="B20" s="11">
        <v>1.3</v>
      </c>
      <c r="C20" s="11">
        <v>16</v>
      </c>
      <c r="D20" s="11">
        <v>0.75</v>
      </c>
      <c r="E20" s="11">
        <v>0.5</v>
      </c>
      <c r="F20" s="11">
        <v>1.33</v>
      </c>
      <c r="G20" s="12"/>
      <c r="H20" s="12"/>
      <c r="I20" s="11">
        <v>1.5</v>
      </c>
      <c r="J20" s="11">
        <v>1.5</v>
      </c>
      <c r="K20" s="12"/>
      <c r="L20" s="11">
        <v>0.75</v>
      </c>
      <c r="M20" s="13">
        <f t="shared" si="0"/>
        <v>1.25</v>
      </c>
    </row>
    <row r="21" spans="1:13" x14ac:dyDescent="0.25">
      <c r="A21" s="14" t="s">
        <v>34</v>
      </c>
      <c r="B21" s="15">
        <v>1.0832999999999999</v>
      </c>
      <c r="C21" s="15">
        <v>1.7333000000000001</v>
      </c>
      <c r="D21" s="15">
        <v>0.41699999999999998</v>
      </c>
      <c r="E21" s="15">
        <v>0.41699999999999998</v>
      </c>
      <c r="F21" s="15">
        <v>1</v>
      </c>
      <c r="G21" s="12"/>
      <c r="H21" s="12"/>
      <c r="I21" s="15">
        <v>0.75</v>
      </c>
      <c r="J21" s="15">
        <v>0.75</v>
      </c>
      <c r="K21" s="12"/>
      <c r="L21" s="12"/>
      <c r="M21" s="13">
        <f t="shared" si="0"/>
        <v>0.83399999999999996</v>
      </c>
    </row>
    <row r="22" spans="1:13" x14ac:dyDescent="0.25">
      <c r="A22" s="10" t="s">
        <v>35</v>
      </c>
      <c r="B22" s="11">
        <v>0.63329999999999997</v>
      </c>
      <c r="C22" s="11">
        <v>8</v>
      </c>
      <c r="D22" s="11">
        <v>0.25</v>
      </c>
      <c r="E22" s="11">
        <v>0.2</v>
      </c>
      <c r="F22" s="11">
        <v>0.5</v>
      </c>
      <c r="G22" s="12"/>
      <c r="H22" s="12"/>
      <c r="I22" s="12"/>
      <c r="J22" s="12"/>
      <c r="K22" s="12"/>
      <c r="L22" s="12"/>
      <c r="M22" s="13">
        <f t="shared" si="0"/>
        <v>0.45</v>
      </c>
    </row>
    <row r="23" spans="1:13" x14ac:dyDescent="0.25">
      <c r="A23" s="14" t="s">
        <v>36</v>
      </c>
      <c r="B23" s="15">
        <v>0.43330000000000002</v>
      </c>
      <c r="C23" s="15">
        <v>0.75</v>
      </c>
      <c r="D23" s="15">
        <v>0.1167</v>
      </c>
      <c r="E23" s="15">
        <v>0.1</v>
      </c>
      <c r="F23" s="15">
        <v>0.16669999999999999</v>
      </c>
      <c r="G23" s="12"/>
      <c r="H23" s="12"/>
      <c r="I23" s="12"/>
      <c r="J23" s="12"/>
      <c r="K23" s="12"/>
      <c r="L23" s="12"/>
      <c r="M23" s="13">
        <f t="shared" si="0"/>
        <v>0.2167</v>
      </c>
    </row>
    <row r="24" spans="1:13" x14ac:dyDescent="0.25">
      <c r="A24" s="10" t="s">
        <v>37</v>
      </c>
      <c r="B24" s="11">
        <v>1.2833000000000001</v>
      </c>
      <c r="C24" s="11">
        <v>1.25</v>
      </c>
      <c r="D24" s="11">
        <v>0.25</v>
      </c>
      <c r="E24" s="11">
        <v>0.25</v>
      </c>
      <c r="F24" s="11">
        <v>1.1167</v>
      </c>
      <c r="G24" s="12"/>
      <c r="H24" s="12"/>
      <c r="I24" s="12"/>
      <c r="J24" s="12"/>
      <c r="K24" s="12"/>
      <c r="L24" s="12"/>
      <c r="M24" s="13">
        <f t="shared" si="0"/>
        <v>0.5</v>
      </c>
    </row>
    <row r="25" spans="1:13" x14ac:dyDescent="0.25">
      <c r="A25" s="14" t="s">
        <v>38</v>
      </c>
      <c r="B25" s="15">
        <v>0.33329999999999999</v>
      </c>
      <c r="C25" s="15">
        <v>0.5</v>
      </c>
      <c r="D25" s="15">
        <v>0.33329999999999999</v>
      </c>
      <c r="E25" s="15">
        <v>0.25</v>
      </c>
      <c r="F25" s="15">
        <v>0.33329999999999999</v>
      </c>
      <c r="G25" s="12"/>
      <c r="H25" s="12"/>
      <c r="I25" s="12"/>
      <c r="J25" s="12"/>
      <c r="K25" s="12"/>
      <c r="L25" s="12"/>
      <c r="M25" s="13">
        <f t="shared" si="0"/>
        <v>0.58329999999999993</v>
      </c>
    </row>
    <row r="26" spans="1:13" x14ac:dyDescent="0.25">
      <c r="A26" s="10" t="s">
        <v>39</v>
      </c>
      <c r="B26" s="11">
        <v>0.1167</v>
      </c>
      <c r="C26" s="11">
        <v>0.75</v>
      </c>
      <c r="D26" s="11">
        <v>8.3299999999999999E-2</v>
      </c>
      <c r="E26" s="11">
        <v>8.3299999999999999E-2</v>
      </c>
      <c r="F26" s="11">
        <v>8.3299999999999999E-2</v>
      </c>
      <c r="G26" s="12"/>
      <c r="H26" s="12"/>
      <c r="I26" s="12"/>
      <c r="J26" s="12"/>
      <c r="K26" s="12"/>
      <c r="L26" s="12"/>
      <c r="M26" s="13">
        <f t="shared" si="0"/>
        <v>0.1666</v>
      </c>
    </row>
    <row r="27" spans="1:13" x14ac:dyDescent="0.25">
      <c r="A27" s="14" t="s">
        <v>40</v>
      </c>
      <c r="B27" s="15">
        <v>0.66669999999999996</v>
      </c>
      <c r="C27" s="15">
        <v>1.5</v>
      </c>
      <c r="D27" s="15">
        <v>0.41670000000000001</v>
      </c>
      <c r="E27" s="15">
        <v>0.33329999999999999</v>
      </c>
      <c r="F27" s="15">
        <v>0.5</v>
      </c>
      <c r="G27" s="12"/>
      <c r="H27" s="12"/>
      <c r="I27" s="12"/>
      <c r="J27" s="12"/>
      <c r="K27" s="12"/>
      <c r="L27" s="12"/>
      <c r="M27" s="13">
        <f t="shared" si="0"/>
        <v>0.75</v>
      </c>
    </row>
    <row r="28" spans="1:13" x14ac:dyDescent="0.25">
      <c r="A28" s="10" t="s">
        <v>41</v>
      </c>
      <c r="B28" s="11">
        <v>0.66669999999999996</v>
      </c>
      <c r="C28" s="11">
        <v>1</v>
      </c>
      <c r="D28" s="11">
        <v>0.41670000000000001</v>
      </c>
      <c r="E28" s="11">
        <v>0.33329999999999999</v>
      </c>
      <c r="F28" s="11">
        <v>0.5</v>
      </c>
      <c r="G28" s="12"/>
      <c r="H28" s="12"/>
      <c r="I28" s="12"/>
      <c r="J28" s="12"/>
      <c r="K28" s="12"/>
      <c r="L28" s="12"/>
      <c r="M28" s="13">
        <f t="shared" si="0"/>
        <v>0.75</v>
      </c>
    </row>
    <row r="29" spans="1:13" x14ac:dyDescent="0.25">
      <c r="A29" s="14" t="s">
        <v>42</v>
      </c>
      <c r="B29" s="15">
        <v>0.4667</v>
      </c>
      <c r="C29" s="15">
        <v>0.81669999999999998</v>
      </c>
      <c r="D29" s="15">
        <v>0.1333</v>
      </c>
      <c r="E29" s="15">
        <v>0.1167</v>
      </c>
      <c r="F29" s="15">
        <v>0.46700000000000003</v>
      </c>
      <c r="G29" s="12"/>
      <c r="H29" s="12"/>
      <c r="I29" s="12"/>
      <c r="J29" s="12"/>
      <c r="K29" s="12"/>
      <c r="L29" s="12"/>
      <c r="M29" s="13">
        <f t="shared" si="0"/>
        <v>0.25</v>
      </c>
    </row>
    <row r="30" spans="1:13" x14ac:dyDescent="0.25">
      <c r="A30" s="10" t="s">
        <v>43</v>
      </c>
      <c r="B30" s="11">
        <v>0.4667</v>
      </c>
      <c r="C30" s="11">
        <v>0.81669999999999998</v>
      </c>
      <c r="D30" s="11">
        <v>0.1333</v>
      </c>
      <c r="E30" s="11">
        <v>0.1167</v>
      </c>
      <c r="F30" s="11">
        <v>0.46700000000000003</v>
      </c>
      <c r="G30" s="12"/>
      <c r="H30" s="12"/>
      <c r="I30" s="12"/>
      <c r="J30" s="12"/>
      <c r="K30" s="12"/>
      <c r="L30" s="12"/>
      <c r="M30" s="13">
        <f t="shared" si="0"/>
        <v>0.25</v>
      </c>
    </row>
    <row r="31" spans="1:13" x14ac:dyDescent="0.25">
      <c r="A31" s="14" t="s">
        <v>44</v>
      </c>
      <c r="B31" s="15">
        <v>0.43330000000000002</v>
      </c>
      <c r="C31" s="15">
        <v>1.1167</v>
      </c>
      <c r="D31" s="15">
        <v>0.16669999999999999</v>
      </c>
      <c r="E31" s="15">
        <v>0.1</v>
      </c>
      <c r="F31" s="15">
        <v>0.43330000000000002</v>
      </c>
      <c r="G31" s="12"/>
      <c r="H31" s="12"/>
      <c r="I31" s="12"/>
      <c r="J31" s="12"/>
      <c r="K31" s="12"/>
      <c r="L31" s="12"/>
      <c r="M31" s="13">
        <f t="shared" si="0"/>
        <v>0.26669999999999999</v>
      </c>
    </row>
    <row r="32" spans="1:13" x14ac:dyDescent="0.25">
      <c r="A32" s="10" t="s">
        <v>45</v>
      </c>
      <c r="B32" s="11">
        <v>0.6</v>
      </c>
      <c r="C32" s="11">
        <v>1.5</v>
      </c>
      <c r="D32" s="11">
        <v>0.16669999999999999</v>
      </c>
      <c r="E32" s="11">
        <v>0.1</v>
      </c>
      <c r="F32" s="11">
        <v>0.43330000000000002</v>
      </c>
      <c r="G32" s="12"/>
      <c r="H32" s="12"/>
      <c r="I32" s="12"/>
      <c r="J32" s="12"/>
      <c r="K32" s="12"/>
      <c r="L32" s="12"/>
      <c r="M32" s="13">
        <f t="shared" si="0"/>
        <v>0.26669999999999999</v>
      </c>
    </row>
    <row r="33" spans="1:13" x14ac:dyDescent="0.25">
      <c r="A33" s="14" t="s">
        <v>46</v>
      </c>
      <c r="B33" s="15">
        <v>0.8</v>
      </c>
      <c r="C33" s="15">
        <v>1.75</v>
      </c>
      <c r="D33" s="15">
        <v>0.16669999999999999</v>
      </c>
      <c r="E33" s="15">
        <v>0.1</v>
      </c>
      <c r="F33" s="15">
        <v>0.43330000000000002</v>
      </c>
      <c r="G33" s="12"/>
      <c r="H33" s="12"/>
      <c r="I33" s="12"/>
      <c r="J33" s="12"/>
      <c r="K33" s="12"/>
      <c r="L33" s="12"/>
      <c r="M33" s="13">
        <f t="shared" si="0"/>
        <v>0.26669999999999999</v>
      </c>
    </row>
    <row r="34" spans="1:13" x14ac:dyDescent="0.25">
      <c r="A34" s="10" t="s">
        <v>47</v>
      </c>
      <c r="B34" s="11">
        <v>0.6</v>
      </c>
      <c r="C34" s="11">
        <v>1.5</v>
      </c>
      <c r="D34" s="11">
        <v>0.16669999999999999</v>
      </c>
      <c r="E34" s="11">
        <v>0.1</v>
      </c>
      <c r="F34" s="11">
        <v>0.43330000000000002</v>
      </c>
      <c r="G34" s="12"/>
      <c r="H34" s="12"/>
      <c r="I34" s="12"/>
      <c r="J34" s="12"/>
      <c r="K34" s="12"/>
      <c r="L34" s="12"/>
      <c r="M34" s="13">
        <f t="shared" si="0"/>
        <v>0.26669999999999999</v>
      </c>
    </row>
    <row r="35" spans="1:13" x14ac:dyDescent="0.25">
      <c r="A35" s="14" t="s">
        <v>48</v>
      </c>
      <c r="B35" s="15">
        <v>0.6</v>
      </c>
      <c r="C35" s="15">
        <v>1.5</v>
      </c>
      <c r="D35" s="15">
        <v>0.16669999999999999</v>
      </c>
      <c r="E35" s="15">
        <v>0.1</v>
      </c>
      <c r="F35" s="15">
        <v>0.43330000000000002</v>
      </c>
      <c r="G35" s="12"/>
      <c r="H35" s="12"/>
      <c r="I35" s="12"/>
      <c r="J35" s="12"/>
      <c r="K35" s="12"/>
      <c r="L35" s="12"/>
      <c r="M35" s="13">
        <f t="shared" si="0"/>
        <v>0.26669999999999999</v>
      </c>
    </row>
    <row r="36" spans="1:13" x14ac:dyDescent="0.25">
      <c r="A36" s="10" t="s">
        <v>49</v>
      </c>
      <c r="B36" s="11">
        <v>0.43330000000000002</v>
      </c>
      <c r="C36" s="11">
        <v>1.1167</v>
      </c>
      <c r="D36" s="11">
        <v>0.16669999999999999</v>
      </c>
      <c r="E36" s="11">
        <v>0.1</v>
      </c>
      <c r="F36" s="11">
        <v>0.43330000000000002</v>
      </c>
      <c r="G36" s="12"/>
      <c r="H36" s="12"/>
      <c r="I36" s="12"/>
      <c r="J36" s="12"/>
      <c r="K36" s="12"/>
      <c r="L36" s="12"/>
      <c r="M36" s="13">
        <f t="shared" si="0"/>
        <v>0.26669999999999999</v>
      </c>
    </row>
    <row r="37" spans="1:13" x14ac:dyDescent="0.25">
      <c r="A37" s="14" t="s">
        <v>50</v>
      </c>
      <c r="B37" s="15">
        <v>0.41670000000000001</v>
      </c>
      <c r="C37" s="15">
        <v>2</v>
      </c>
      <c r="D37" s="15">
        <v>0.33329999999999999</v>
      </c>
      <c r="E37" s="15">
        <v>0.33329999999999999</v>
      </c>
      <c r="F37" s="15">
        <v>0.41670000000000001</v>
      </c>
      <c r="G37" s="12"/>
      <c r="H37" s="12"/>
      <c r="I37" s="12"/>
      <c r="J37" s="12"/>
      <c r="K37" s="12"/>
      <c r="L37" s="12"/>
      <c r="M37" s="13">
        <f t="shared" si="0"/>
        <v>0.66659999999999997</v>
      </c>
    </row>
    <row r="38" spans="1:13" x14ac:dyDescent="0.25">
      <c r="A38" s="10" t="s">
        <v>51</v>
      </c>
      <c r="B38" s="11">
        <v>0.75</v>
      </c>
      <c r="C38" s="11">
        <v>3</v>
      </c>
      <c r="D38" s="11">
        <v>0.66669999999999996</v>
      </c>
      <c r="E38" s="11">
        <v>0.66669999999999996</v>
      </c>
      <c r="F38" s="11">
        <v>0.75</v>
      </c>
      <c r="G38" s="12"/>
      <c r="H38" s="12"/>
      <c r="I38" s="12"/>
      <c r="J38" s="12"/>
      <c r="K38" s="12"/>
      <c r="L38" s="12"/>
      <c r="M38" s="13">
        <f t="shared" si="0"/>
        <v>1.3333999999999999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1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3" sqref="E3"/>
    </sheetView>
  </sheetViews>
  <sheetFormatPr defaultColWidth="8.7109375" defaultRowHeight="15" x14ac:dyDescent="0.25"/>
  <cols>
    <col min="1" max="2" width="14" customWidth="1"/>
    <col min="3" max="3" width="52" customWidth="1"/>
    <col min="4" max="4" width="14" customWidth="1"/>
    <col min="5" max="6" width="12" customWidth="1"/>
    <col min="7" max="7" width="16" customWidth="1"/>
    <col min="8" max="8" width="10" customWidth="1"/>
    <col min="9" max="9" width="12" customWidth="1"/>
    <col min="10" max="10" width="16" customWidth="1"/>
    <col min="11" max="11" width="12" customWidth="1"/>
    <col min="12" max="12" width="13" customWidth="1"/>
    <col min="13" max="13" width="14" customWidth="1"/>
    <col min="14" max="14" width="16" customWidth="1"/>
    <col min="15" max="16" width="12" customWidth="1"/>
    <col min="17" max="17" width="10" customWidth="1"/>
    <col min="18" max="18" width="14" customWidth="1"/>
    <col min="19" max="19" width="16" customWidth="1"/>
  </cols>
  <sheetData>
    <row r="1" spans="1:19" ht="45" customHeight="1" x14ac:dyDescent="0.25">
      <c r="A1" s="8" t="s">
        <v>52</v>
      </c>
      <c r="B1" s="8" t="s">
        <v>53</v>
      </c>
      <c r="C1" s="8" t="s">
        <v>2</v>
      </c>
      <c r="D1" s="8" t="s">
        <v>54</v>
      </c>
      <c r="E1" s="9" t="s">
        <v>14</v>
      </c>
      <c r="F1" s="8" t="s">
        <v>3</v>
      </c>
      <c r="G1" s="8" t="s">
        <v>55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56</v>
      </c>
      <c r="R1" s="8" t="s">
        <v>57</v>
      </c>
      <c r="S1" s="8" t="s">
        <v>58</v>
      </c>
    </row>
    <row r="2" spans="1:19" x14ac:dyDescent="0.25">
      <c r="A2" s="11" t="str">
        <f>'Bldgs &amp; Rooms'!$A$2</f>
        <v>Main Bldg.</v>
      </c>
      <c r="B2" s="11">
        <f>'Bldgs &amp; Rooms'!$B$2</f>
        <v>0</v>
      </c>
      <c r="C2" s="10" t="str">
        <f>Hours!$A$2</f>
        <v>Switchgear - Incoming Main Service (Per Section)</v>
      </c>
      <c r="D2" s="11">
        <f t="shared" ref="D2:D65" si="0">MAX(E2+F2,G2,H2,I2,J2,K2,L2,M2,N2,O2,P2,Q2)</f>
        <v>0</v>
      </c>
      <c r="E2" s="16"/>
      <c r="F2" s="17"/>
      <c r="G2" s="17"/>
      <c r="H2" s="17"/>
      <c r="I2" s="17"/>
      <c r="J2" s="17"/>
      <c r="K2" s="17"/>
      <c r="L2" s="17"/>
      <c r="M2" s="12"/>
      <c r="N2" s="12"/>
      <c r="O2" s="17"/>
      <c r="P2" s="12"/>
      <c r="Q2" s="17"/>
      <c r="R2" s="18">
        <f>IF(SUMPRODUCT((E2:Q2)*1)=0,0,E2*INDEX(Hours!M:M,MATCH(C2,Hours!$A:$A,0))+F2*INDEX(Hours!B:B,MATCH(C2,Hours!$A:$A,0))+G2*INDEX(Hours!C:C,MATCH(C2,Hours!$A:$A,0))+H2*INDEX(Hours!D:D,MATCH(C2,Hours!$A:$A,0))+I2*INDEX(Hours!E:E,MATCH(C2,Hours!$A:$A,0))+J2*INDEX(Hours!F:F,MATCH(C2,Hours!$A:$A,0))+K2*INDEX(Hours!G:G,MATCH(C2,Hours!$A:$A,0))+L2*INDEX(Hours!H:H,MATCH(C2,Hours!$A:$A,0))+O2*INDEX(Hours!K:K,MATCH(C2,Hours!$A:$A,0)))</f>
        <v>0</v>
      </c>
      <c r="S2" s="19">
        <f t="shared" ref="S2:S65" si="1">MAX(E2+F2,G2,H2,I2,J2,K2,L2,M2,N2,O2,P2,Q2)</f>
        <v>0</v>
      </c>
    </row>
    <row r="3" spans="1:19" x14ac:dyDescent="0.25">
      <c r="A3" s="11" t="str">
        <f>'Bldgs &amp; Rooms'!$A$2</f>
        <v>Main Bldg.</v>
      </c>
      <c r="B3" s="11">
        <f>'Bldgs &amp; Rooms'!$B$2</f>
        <v>0</v>
      </c>
      <c r="C3" s="10" t="str">
        <f>Hours!$A$3</f>
        <v xml:space="preserve">  Switchgear Insulated Case Breakers (Bus Mounted)</v>
      </c>
      <c r="D3" s="11">
        <f t="shared" si="0"/>
        <v>0</v>
      </c>
      <c r="E3" s="16"/>
      <c r="F3" s="17"/>
      <c r="G3" s="17"/>
      <c r="H3" s="17"/>
      <c r="I3" s="17"/>
      <c r="J3" s="17"/>
      <c r="K3" s="17"/>
      <c r="L3" s="12"/>
      <c r="M3" s="12"/>
      <c r="N3" s="12"/>
      <c r="O3" s="12"/>
      <c r="P3" s="12"/>
      <c r="Q3" s="17"/>
      <c r="R3" s="18">
        <f>IF(SUMPRODUCT((E3:Q3)*1)=0,0,E3*INDEX(Hours!M:M,MATCH(C3,Hours!$A:$A,0))+F3*INDEX(Hours!B:B,MATCH(C3,Hours!$A:$A,0))+G3*INDEX(Hours!C:C,MATCH(C3,Hours!$A:$A,0))+H3*INDEX(Hours!D:D,MATCH(C3,Hours!$A:$A,0))+I3*INDEX(Hours!E:E,MATCH(C3,Hours!$A:$A,0))+J3*INDEX(Hours!F:F,MATCH(C3,Hours!$A:$A,0))+K3*INDEX(Hours!G:G,MATCH(C3,Hours!$A:$A,0)))</f>
        <v>0</v>
      </c>
      <c r="S3" s="19">
        <f t="shared" si="1"/>
        <v>0</v>
      </c>
    </row>
    <row r="4" spans="1:19" x14ac:dyDescent="0.25">
      <c r="A4" s="11" t="str">
        <f>'Bldgs &amp; Rooms'!$A$2</f>
        <v>Main Bldg.</v>
      </c>
      <c r="B4" s="11">
        <f>'Bldgs &amp; Rooms'!$B$2</f>
        <v>0</v>
      </c>
      <c r="C4" s="10" t="str">
        <f>Hours!$A$4</f>
        <v xml:space="preserve">  SwitchGear Drawout Breakers</v>
      </c>
      <c r="D4" s="11">
        <f t="shared" si="0"/>
        <v>0</v>
      </c>
      <c r="E4" s="16"/>
      <c r="F4" s="17"/>
      <c r="G4" s="17"/>
      <c r="H4" s="17"/>
      <c r="I4" s="17"/>
      <c r="J4" s="17"/>
      <c r="K4" s="12"/>
      <c r="L4" s="17"/>
      <c r="M4" s="12"/>
      <c r="N4" s="12"/>
      <c r="O4" s="12"/>
      <c r="P4" s="12"/>
      <c r="Q4" s="17"/>
      <c r="R4" s="18">
        <f>IF(SUMPRODUCT((E4:Q4)*1)=0,0,E4*INDEX(Hours!M:M,MATCH(C4,Hours!$A:$A,0))+F4*INDEX(Hours!B:B,MATCH(C4,Hours!$A:$A,0))+G4*INDEX(Hours!C:C,MATCH(C4,Hours!$A:$A,0))+H4*INDEX(Hours!D:D,MATCH(C4,Hours!$A:$A,0))+I4*INDEX(Hours!E:E,MATCH(C4,Hours!$A:$A,0))+J4*INDEX(Hours!F:F,MATCH(C4,Hours!$A:$A,0))+L4*INDEX(Hours!H:H,MATCH(C4,Hours!$A:$A,0)))</f>
        <v>0</v>
      </c>
      <c r="S4" s="19">
        <f t="shared" si="1"/>
        <v>0</v>
      </c>
    </row>
    <row r="5" spans="1:19" x14ac:dyDescent="0.25">
      <c r="A5" s="11" t="str">
        <f>'Bldgs &amp; Rooms'!$A$2</f>
        <v>Main Bldg.</v>
      </c>
      <c r="B5" s="11">
        <f>'Bldgs &amp; Rooms'!$B$2</f>
        <v>0</v>
      </c>
      <c r="C5" s="10" t="str">
        <f>Hours!$A$5</f>
        <v>Distribution Switchboard Multi Cover (Per Section)</v>
      </c>
      <c r="D5" s="11">
        <f t="shared" si="0"/>
        <v>0</v>
      </c>
      <c r="E5" s="16"/>
      <c r="F5" s="17"/>
      <c r="G5" s="17"/>
      <c r="H5" s="17"/>
      <c r="I5" s="17"/>
      <c r="J5" s="17"/>
      <c r="K5" s="17"/>
      <c r="L5" s="12"/>
      <c r="M5" s="12"/>
      <c r="N5" s="12"/>
      <c r="O5" s="17"/>
      <c r="P5" s="12"/>
      <c r="Q5" s="17"/>
      <c r="R5" s="18">
        <f>IF(SUMPRODUCT((E5:Q5)*1)=0,0,E5*INDEX(Hours!M:M,MATCH(C5,Hours!$A:$A,0))+F5*INDEX(Hours!B:B,MATCH(C5,Hours!$A:$A,0))+G5*INDEX(Hours!C:C,MATCH(C5,Hours!$A:$A,0))+H5*INDEX(Hours!D:D,MATCH(C5,Hours!$A:$A,0))+I5*INDEX(Hours!E:E,MATCH(C5,Hours!$A:$A,0))+J5*INDEX(Hours!F:F,MATCH(C5,Hours!$A:$A,0))+K5*INDEX(Hours!G:G,MATCH(C5,Hours!$A:$A,0))+O5*INDEX(Hours!K:K,MATCH(C5,Hours!$A:$A,0)))</f>
        <v>0</v>
      </c>
      <c r="S5" s="19">
        <f t="shared" si="1"/>
        <v>0</v>
      </c>
    </row>
    <row r="6" spans="1:19" x14ac:dyDescent="0.25">
      <c r="A6" s="11" t="str">
        <f>'Bldgs &amp; Rooms'!$A$2</f>
        <v>Main Bldg.</v>
      </c>
      <c r="B6" s="11">
        <f>'Bldgs &amp; Rooms'!$B$2</f>
        <v>0</v>
      </c>
      <c r="C6" s="10" t="str">
        <f>Hours!$A$6</f>
        <v xml:space="preserve">  Switchboard Disconnects</v>
      </c>
      <c r="D6" s="11">
        <f t="shared" si="0"/>
        <v>0</v>
      </c>
      <c r="E6" s="16"/>
      <c r="F6" s="17"/>
      <c r="G6" s="17"/>
      <c r="H6" s="17"/>
      <c r="I6" s="17"/>
      <c r="J6" s="17"/>
      <c r="K6" s="12"/>
      <c r="L6" s="12"/>
      <c r="M6" s="12"/>
      <c r="N6" s="12"/>
      <c r="O6" s="12"/>
      <c r="P6" s="12"/>
      <c r="Q6" s="17"/>
      <c r="R6" s="18">
        <f>IF(SUMPRODUCT((E6:Q6)*1)=0,0,E6*INDEX(Hours!M:M,MATCH(C6,Hours!$A:$A,0))+F6*INDEX(Hours!B:B,MATCH(C6,Hours!$A:$A,0))+G6*INDEX(Hours!C:C,MATCH(C6,Hours!$A:$A,0))+H6*INDEX(Hours!D:D,MATCH(C6,Hours!$A:$A,0))+I6*INDEX(Hours!E:E,MATCH(C6,Hours!$A:$A,0))+J6*INDEX(Hours!F:F,MATCH(C6,Hours!$A:$A,0)))</f>
        <v>0</v>
      </c>
      <c r="S6" s="19">
        <f t="shared" si="1"/>
        <v>0</v>
      </c>
    </row>
    <row r="7" spans="1:19" x14ac:dyDescent="0.25">
      <c r="A7" s="11" t="str">
        <f>'Bldgs &amp; Rooms'!$A$2</f>
        <v>Main Bldg.</v>
      </c>
      <c r="B7" s="11">
        <f>'Bldgs &amp; Rooms'!$B$2</f>
        <v>0</v>
      </c>
      <c r="C7" s="10" t="str">
        <f>Hours!$A$7</f>
        <v xml:space="preserve">  Switchboard Molded Case Breakers</v>
      </c>
      <c r="D7" s="11">
        <f t="shared" si="0"/>
        <v>0</v>
      </c>
      <c r="E7" s="16"/>
      <c r="F7" s="17"/>
      <c r="G7" s="17"/>
      <c r="H7" s="17"/>
      <c r="I7" s="17"/>
      <c r="J7" s="17"/>
      <c r="K7" s="17"/>
      <c r="L7" s="12"/>
      <c r="M7" s="12"/>
      <c r="N7" s="12"/>
      <c r="O7" s="12"/>
      <c r="P7" s="12"/>
      <c r="Q7" s="17"/>
      <c r="R7" s="18">
        <f>IF(SUMPRODUCT((E7:Q7)*1)=0,0,E7*INDEX(Hours!M:M,MATCH(C7,Hours!$A:$A,0))+F7*INDEX(Hours!B:B,MATCH(C7,Hours!$A:$A,0))+G7*INDEX(Hours!C:C,MATCH(C7,Hours!$A:$A,0))+H7*INDEX(Hours!D:D,MATCH(C7,Hours!$A:$A,0))+I7*INDEX(Hours!E:E,MATCH(C7,Hours!$A:$A,0))+J7*INDEX(Hours!F:F,MATCH(C7,Hours!$A:$A,0))+K7*INDEX(Hours!G:G,MATCH(C7,Hours!$A:$A,0)))</f>
        <v>0</v>
      </c>
      <c r="S7" s="19">
        <f t="shared" si="1"/>
        <v>0</v>
      </c>
    </row>
    <row r="8" spans="1:19" x14ac:dyDescent="0.25">
      <c r="A8" s="11" t="str">
        <f>'Bldgs &amp; Rooms'!$A$2</f>
        <v>Main Bldg.</v>
      </c>
      <c r="B8" s="11">
        <f>'Bldgs &amp; Rooms'!$B$2</f>
        <v>0</v>
      </c>
      <c r="C8" s="10" t="str">
        <f>Hours!$A$8</f>
        <v>Panelboard-Single Cover &gt; 400A (Distribution Panel)</v>
      </c>
      <c r="D8" s="11">
        <f t="shared" si="0"/>
        <v>0</v>
      </c>
      <c r="E8" s="16"/>
      <c r="F8" s="17"/>
      <c r="G8" s="17"/>
      <c r="H8" s="17"/>
      <c r="I8" s="17"/>
      <c r="J8" s="17"/>
      <c r="K8" s="17"/>
      <c r="L8" s="12"/>
      <c r="M8" s="12"/>
      <c r="N8" s="12"/>
      <c r="O8" s="17"/>
      <c r="P8" s="12"/>
      <c r="Q8" s="17"/>
      <c r="R8" s="18">
        <f>IF(SUMPRODUCT((E8:Q8)*1)=0,0,E8*INDEX(Hours!M:M,MATCH(C8,Hours!$A:$A,0))+F8*INDEX(Hours!B:B,MATCH(C8,Hours!$A:$A,0))+G8*INDEX(Hours!C:C,MATCH(C8,Hours!$A:$A,0))+H8*INDEX(Hours!D:D,MATCH(C8,Hours!$A:$A,0))+I8*INDEX(Hours!E:E,MATCH(C8,Hours!$A:$A,0))+J8*INDEX(Hours!F:F,MATCH(C8,Hours!$A:$A,0))+K8*INDEX(Hours!G:G,MATCH(C8,Hours!$A:$A,0))+O8*INDEX(Hours!K:K,MATCH(C8,Hours!$A:$A,0)))</f>
        <v>0</v>
      </c>
      <c r="S8" s="19">
        <f t="shared" si="1"/>
        <v>0</v>
      </c>
    </row>
    <row r="9" spans="1:19" x14ac:dyDescent="0.25">
      <c r="A9" s="11" t="str">
        <f>'Bldgs &amp; Rooms'!$A$2</f>
        <v>Main Bldg.</v>
      </c>
      <c r="B9" s="11">
        <f>'Bldgs &amp; Rooms'!$B$2</f>
        <v>0</v>
      </c>
      <c r="C9" s="10" t="str">
        <f>Hours!$A$9</f>
        <v>Panelboard-Single Cover &lt; 400A (Branch Ckt Panel)</v>
      </c>
      <c r="D9" s="11">
        <f t="shared" si="0"/>
        <v>0</v>
      </c>
      <c r="E9" s="16"/>
      <c r="F9" s="17"/>
      <c r="G9" s="17"/>
      <c r="H9" s="17"/>
      <c r="I9" s="17"/>
      <c r="J9" s="17"/>
      <c r="K9" s="12"/>
      <c r="L9" s="12"/>
      <c r="M9" s="12"/>
      <c r="N9" s="12"/>
      <c r="O9" s="17"/>
      <c r="P9" s="12"/>
      <c r="Q9" s="17"/>
      <c r="R9" s="18">
        <f>IF(SUMPRODUCT((E9:Q9)*1)=0,0,E9*INDEX(Hours!M:M,MATCH(C9,Hours!$A:$A,0))+F9*INDEX(Hours!B:B,MATCH(C9,Hours!$A:$A,0))+G9*INDEX(Hours!C:C,MATCH(C9,Hours!$A:$A,0))+H9*INDEX(Hours!D:D,MATCH(C9,Hours!$A:$A,0))+I9*INDEX(Hours!E:E,MATCH(C9,Hours!$A:$A,0))+J9*INDEX(Hours!F:F,MATCH(C9,Hours!$A:$A,0))+O9*INDEX(Hours!K:K,MATCH(C9,Hours!$A:$A,0)))</f>
        <v>0</v>
      </c>
      <c r="S9" s="19">
        <f t="shared" si="1"/>
        <v>0</v>
      </c>
    </row>
    <row r="10" spans="1:19" x14ac:dyDescent="0.25">
      <c r="A10" s="11" t="str">
        <f>'Bldgs &amp; Rooms'!$A$2</f>
        <v>Main Bldg.</v>
      </c>
      <c r="B10" s="11">
        <f>'Bldgs &amp; Rooms'!$B$2</f>
        <v>0</v>
      </c>
      <c r="C10" s="10" t="str">
        <f>Hours!$A$10</f>
        <v>Motor Control Center (MCC-Per Vertical Section)</v>
      </c>
      <c r="D10" s="11">
        <f t="shared" si="0"/>
        <v>0</v>
      </c>
      <c r="E10" s="16"/>
      <c r="F10" s="17"/>
      <c r="G10" s="17"/>
      <c r="H10" s="17"/>
      <c r="I10" s="17"/>
      <c r="J10" s="17"/>
      <c r="K10" s="12"/>
      <c r="L10" s="12"/>
      <c r="M10" s="12"/>
      <c r="N10" s="12"/>
      <c r="O10" s="17"/>
      <c r="P10" s="12"/>
      <c r="Q10" s="17"/>
      <c r="R10" s="18">
        <f>IF(SUMPRODUCT((E10:Q10)*1)=0,0,E10*INDEX(Hours!M:M,MATCH(C10,Hours!$A:$A,0))+F10*INDEX(Hours!B:B,MATCH(C10,Hours!$A:$A,0))+G10*INDEX(Hours!C:C,MATCH(C10,Hours!$A:$A,0))+H10*INDEX(Hours!D:D,MATCH(C10,Hours!$A:$A,0))+I10*INDEX(Hours!E:E,MATCH(C10,Hours!$A:$A,0))+J10*INDEX(Hours!F:F,MATCH(C10,Hours!$A:$A,0))+O10*INDEX(Hours!K:K,MATCH(C10,Hours!$A:$A,0)))</f>
        <v>0</v>
      </c>
      <c r="S10" s="19">
        <f t="shared" si="1"/>
        <v>0</v>
      </c>
    </row>
    <row r="11" spans="1:19" x14ac:dyDescent="0.25">
      <c r="A11" s="11" t="str">
        <f>'Bldgs &amp; Rooms'!$A$2</f>
        <v>Main Bldg.</v>
      </c>
      <c r="B11" s="11">
        <f>'Bldgs &amp; Rooms'!$B$2</f>
        <v>0</v>
      </c>
      <c r="C11" s="10" t="str">
        <f>Hours!$A$11</f>
        <v xml:space="preserve">  MCC: Combination Motor Starters</v>
      </c>
      <c r="D11" s="11">
        <f t="shared" si="0"/>
        <v>0</v>
      </c>
      <c r="E11" s="16"/>
      <c r="F11" s="17"/>
      <c r="G11" s="17"/>
      <c r="H11" s="17"/>
      <c r="I11" s="17"/>
      <c r="J11" s="17"/>
      <c r="K11" s="17"/>
      <c r="L11" s="12"/>
      <c r="M11" s="12"/>
      <c r="N11" s="12"/>
      <c r="O11" s="17"/>
      <c r="P11" s="12"/>
      <c r="Q11" s="17"/>
      <c r="R11" s="18">
        <f>IF(SUMPRODUCT((E11:Q11)*1)=0,0,E11*INDEX(Hours!M:M,MATCH(C11,Hours!$A:$A,0))+F11*INDEX(Hours!B:B,MATCH(C11,Hours!$A:$A,0))+G11*INDEX(Hours!C:C,MATCH(C11,Hours!$A:$A,0))+H11*INDEX(Hours!D:D,MATCH(C11,Hours!$A:$A,0))+I11*INDEX(Hours!E:E,MATCH(C11,Hours!$A:$A,0))+J11*INDEX(Hours!F:F,MATCH(C11,Hours!$A:$A,0))+K11*INDEX(Hours!G:G,MATCH(C11,Hours!$A:$A,0))+O11*INDEX(Hours!K:K,MATCH(C11,Hours!$A:$A,0)))</f>
        <v>0</v>
      </c>
      <c r="S11" s="19">
        <f t="shared" si="1"/>
        <v>0</v>
      </c>
    </row>
    <row r="12" spans="1:19" x14ac:dyDescent="0.25">
      <c r="A12" s="11" t="str">
        <f>'Bldgs &amp; Rooms'!$A$2</f>
        <v>Main Bldg.</v>
      </c>
      <c r="B12" s="11">
        <f>'Bldgs &amp; Rooms'!$B$2</f>
        <v>0</v>
      </c>
      <c r="C12" s="10" t="str">
        <f>Hours!$A$12</f>
        <v xml:space="preserve">  MCC: Molded Case Breaker</v>
      </c>
      <c r="D12" s="11">
        <f t="shared" si="0"/>
        <v>0</v>
      </c>
      <c r="E12" s="16"/>
      <c r="F12" s="17"/>
      <c r="G12" s="17"/>
      <c r="H12" s="17"/>
      <c r="I12" s="17"/>
      <c r="J12" s="17"/>
      <c r="K12" s="17"/>
      <c r="L12" s="12"/>
      <c r="M12" s="12"/>
      <c r="N12" s="12"/>
      <c r="O12" s="12"/>
      <c r="P12" s="12"/>
      <c r="Q12" s="17"/>
      <c r="R12" s="18">
        <f>IF(SUMPRODUCT((E12:Q12)*1)=0,0,E12*INDEX(Hours!M:M,MATCH(C12,Hours!$A:$A,0))+F12*INDEX(Hours!B:B,MATCH(C12,Hours!$A:$A,0))+G12*INDEX(Hours!C:C,MATCH(C12,Hours!$A:$A,0))+H12*INDEX(Hours!D:D,MATCH(C12,Hours!$A:$A,0))+I12*INDEX(Hours!E:E,MATCH(C12,Hours!$A:$A,0))+J12*INDEX(Hours!F:F,MATCH(C12,Hours!$A:$A,0))+K12*INDEX(Hours!G:G,MATCH(C12,Hours!$A:$A,0)))</f>
        <v>0</v>
      </c>
      <c r="S12" s="19">
        <f t="shared" si="1"/>
        <v>0</v>
      </c>
    </row>
    <row r="13" spans="1:19" x14ac:dyDescent="0.25">
      <c r="A13" s="11" t="str">
        <f>'Bldgs &amp; Rooms'!$A$2</f>
        <v>Main Bldg.</v>
      </c>
      <c r="B13" s="11">
        <f>'Bldgs &amp; Rooms'!$B$2</f>
        <v>0</v>
      </c>
      <c r="C13" s="10" t="str">
        <f>Hours!$A$13</f>
        <v xml:space="preserve">  MCC: Individual Disconnect Switch</v>
      </c>
      <c r="D13" s="11">
        <f t="shared" si="0"/>
        <v>0</v>
      </c>
      <c r="E13" s="16"/>
      <c r="F13" s="17"/>
      <c r="G13" s="17"/>
      <c r="H13" s="17"/>
      <c r="I13" s="17"/>
      <c r="J13" s="17"/>
      <c r="K13" s="12"/>
      <c r="L13" s="12"/>
      <c r="M13" s="12"/>
      <c r="N13" s="12"/>
      <c r="O13" s="12"/>
      <c r="P13" s="12"/>
      <c r="Q13" s="17"/>
      <c r="R13" s="18">
        <f>IF(SUMPRODUCT((E13:Q13)*1)=0,0,E13*INDEX(Hours!M:M,MATCH(C13,Hours!$A:$A,0))+F13*INDEX(Hours!B:B,MATCH(C13,Hours!$A:$A,0))+G13*INDEX(Hours!C:C,MATCH(C13,Hours!$A:$A,0))+H13*INDEX(Hours!D:D,MATCH(C13,Hours!$A:$A,0))+I13*INDEX(Hours!E:E,MATCH(C13,Hours!$A:$A,0))+J13*INDEX(Hours!F:F,MATCH(C13,Hours!$A:$A,0)))</f>
        <v>0</v>
      </c>
      <c r="S13" s="19">
        <f t="shared" si="1"/>
        <v>0</v>
      </c>
    </row>
    <row r="14" spans="1:19" x14ac:dyDescent="0.25">
      <c r="A14" s="11" t="str">
        <f>'Bldgs &amp; Rooms'!$A$2</f>
        <v>Main Bldg.</v>
      </c>
      <c r="B14" s="11">
        <f>'Bldgs &amp; Rooms'!$B$2</f>
        <v>0</v>
      </c>
      <c r="C14" s="10" t="str">
        <f>Hours!$A$14</f>
        <v>Motor Control Panel (MCP)</v>
      </c>
      <c r="D14" s="11">
        <f t="shared" si="0"/>
        <v>0</v>
      </c>
      <c r="E14" s="16"/>
      <c r="F14" s="17"/>
      <c r="G14" s="17"/>
      <c r="H14" s="17"/>
      <c r="I14" s="17"/>
      <c r="J14" s="17"/>
      <c r="K14" s="12"/>
      <c r="L14" s="12"/>
      <c r="M14" s="12"/>
      <c r="N14" s="12"/>
      <c r="O14" s="17"/>
      <c r="P14" s="12"/>
      <c r="Q14" s="17"/>
      <c r="R14" s="18">
        <f>IF(SUMPRODUCT((E14:Q14)*1)=0,0,E14*INDEX(Hours!M:M,MATCH(C14,Hours!$A:$A,0))+F14*INDEX(Hours!B:B,MATCH(C14,Hours!$A:$A,0))+G14*INDEX(Hours!C:C,MATCH(C14,Hours!$A:$A,0))+H14*INDEX(Hours!D:D,MATCH(C14,Hours!$A:$A,0))+I14*INDEX(Hours!E:E,MATCH(C14,Hours!$A:$A,0))+J14*INDEX(Hours!F:F,MATCH(C14,Hours!$A:$A,0))+O14*INDEX(Hours!K:K,MATCH(C14,Hours!$A:$A,0)))</f>
        <v>0</v>
      </c>
      <c r="S14" s="19">
        <f t="shared" si="1"/>
        <v>0</v>
      </c>
    </row>
    <row r="15" spans="1:19" x14ac:dyDescent="0.25">
      <c r="A15" s="11" t="str">
        <f>'Bldgs &amp; Rooms'!$A$2</f>
        <v>Main Bldg.</v>
      </c>
      <c r="B15" s="11">
        <f>'Bldgs &amp; Rooms'!$B$2</f>
        <v>0</v>
      </c>
      <c r="C15" s="10" t="str">
        <f>Hours!$A$15</f>
        <v>VFD Motor Control Panel (VFD-MCP)</v>
      </c>
      <c r="D15" s="11">
        <f t="shared" si="0"/>
        <v>0</v>
      </c>
      <c r="E15" s="16"/>
      <c r="F15" s="17"/>
      <c r="G15" s="17"/>
      <c r="H15" s="17"/>
      <c r="I15" s="17"/>
      <c r="J15" s="17"/>
      <c r="K15" s="12"/>
      <c r="L15" s="12"/>
      <c r="M15" s="12"/>
      <c r="N15" s="12"/>
      <c r="O15" s="17"/>
      <c r="P15" s="12"/>
      <c r="Q15" s="17"/>
      <c r="R15" s="18">
        <f>IF(SUMPRODUCT((E15:Q15)*1)=0,0,E15*INDEX(Hours!M:M,MATCH(C15,Hours!$A:$A,0))+F15*INDEX(Hours!B:B,MATCH(C15,Hours!$A:$A,0))+G15*INDEX(Hours!C:C,MATCH(C15,Hours!$A:$A,0))+H15*INDEX(Hours!D:D,MATCH(C15,Hours!$A:$A,0))+I15*INDEX(Hours!E:E,MATCH(C15,Hours!$A:$A,0))+J15*INDEX(Hours!F:F,MATCH(C15,Hours!$A:$A,0))+O15*INDEX(Hours!K:K,MATCH(C15,Hours!$A:$A,0)))</f>
        <v>0</v>
      </c>
      <c r="S15" s="19">
        <f t="shared" si="1"/>
        <v>0</v>
      </c>
    </row>
    <row r="16" spans="1:19" x14ac:dyDescent="0.25">
      <c r="A16" s="11" t="str">
        <f>'Bldgs &amp; Rooms'!$A$2</f>
        <v>Main Bldg.</v>
      </c>
      <c r="B16" s="11">
        <f>'Bldgs &amp; Rooms'!$B$2</f>
        <v>0</v>
      </c>
      <c r="C16" s="10" t="str">
        <f>Hours!$A$16</f>
        <v>Individual Disconnect Switch &gt; 100A</v>
      </c>
      <c r="D16" s="11">
        <f t="shared" si="0"/>
        <v>0</v>
      </c>
      <c r="E16" s="16"/>
      <c r="F16" s="17"/>
      <c r="G16" s="17"/>
      <c r="H16" s="17"/>
      <c r="I16" s="17"/>
      <c r="J16" s="17"/>
      <c r="K16" s="17"/>
      <c r="L16" s="12"/>
      <c r="M16" s="12"/>
      <c r="N16" s="12"/>
      <c r="O16" s="12"/>
      <c r="P16" s="12"/>
      <c r="Q16" s="17"/>
      <c r="R16" s="18">
        <f>IF(SUMPRODUCT((E16:Q16)*1)=0,0,E16*INDEX(Hours!M:M,MATCH(C16,Hours!$A:$A,0))+F16*INDEX(Hours!B:B,MATCH(C16,Hours!$A:$A,0))+G16*INDEX(Hours!C:C,MATCH(C16,Hours!$A:$A,0))+H16*INDEX(Hours!D:D,MATCH(C16,Hours!$A:$A,0))+I16*INDEX(Hours!E:E,MATCH(C16,Hours!$A:$A,0))+J16*INDEX(Hours!F:F,MATCH(C16,Hours!$A:$A,0))+K16*INDEX(Hours!G:G,MATCH(C16,Hours!$A:$A,0)))</f>
        <v>0</v>
      </c>
      <c r="S16" s="19">
        <f t="shared" si="1"/>
        <v>0</v>
      </c>
    </row>
    <row r="17" spans="1:19" x14ac:dyDescent="0.25">
      <c r="A17" s="11" t="str">
        <f>'Bldgs &amp; Rooms'!$A$2</f>
        <v>Main Bldg.</v>
      </c>
      <c r="B17" s="11">
        <f>'Bldgs &amp; Rooms'!$B$2</f>
        <v>0</v>
      </c>
      <c r="C17" s="10" t="str">
        <f>Hours!$A$17</f>
        <v>Individual Molded Case Breaker &gt; 100A</v>
      </c>
      <c r="D17" s="11">
        <f t="shared" si="0"/>
        <v>0</v>
      </c>
      <c r="E17" s="16"/>
      <c r="F17" s="17"/>
      <c r="G17" s="17"/>
      <c r="H17" s="17"/>
      <c r="I17" s="17"/>
      <c r="J17" s="17"/>
      <c r="K17" s="17"/>
      <c r="L17" s="12"/>
      <c r="M17" s="12"/>
      <c r="N17" s="12"/>
      <c r="O17" s="12"/>
      <c r="P17" s="12"/>
      <c r="Q17" s="17"/>
      <c r="R17" s="18">
        <f>IF(SUMPRODUCT((E17:Q17)*1)=0,0,E17*INDEX(Hours!M:M,MATCH(C17,Hours!$A:$A,0))+F17*INDEX(Hours!B:B,MATCH(C17,Hours!$A:$A,0))+G17*INDEX(Hours!C:C,MATCH(C17,Hours!$A:$A,0))+H17*INDEX(Hours!D:D,MATCH(C17,Hours!$A:$A,0))+I17*INDEX(Hours!E:E,MATCH(C17,Hours!$A:$A,0))+J17*INDEX(Hours!F:F,MATCH(C17,Hours!$A:$A,0))+K17*INDEX(Hours!G:G,MATCH(C17,Hours!$A:$A,0)))</f>
        <v>0</v>
      </c>
      <c r="S17" s="19">
        <f t="shared" si="1"/>
        <v>0</v>
      </c>
    </row>
    <row r="18" spans="1:19" x14ac:dyDescent="0.25">
      <c r="A18" s="11" t="str">
        <f>'Bldgs &amp; Rooms'!$A$2</f>
        <v>Main Bldg.</v>
      </c>
      <c r="B18" s="11">
        <f>'Bldgs &amp; Rooms'!$B$2</f>
        <v>0</v>
      </c>
      <c r="C18" s="10" t="str">
        <f>Hours!$A$18</f>
        <v>Individual Combination Motor Starter &gt; 100A</v>
      </c>
      <c r="D18" s="11">
        <f t="shared" si="0"/>
        <v>0</v>
      </c>
      <c r="E18" s="16"/>
      <c r="F18" s="17"/>
      <c r="G18" s="17"/>
      <c r="H18" s="17"/>
      <c r="I18" s="17"/>
      <c r="J18" s="17"/>
      <c r="K18" s="17"/>
      <c r="L18" s="12"/>
      <c r="M18" s="12"/>
      <c r="N18" s="12"/>
      <c r="O18" s="12"/>
      <c r="P18" s="12"/>
      <c r="Q18" s="17"/>
      <c r="R18" s="18">
        <f>IF(SUMPRODUCT((E18:Q18)*1)=0,0,E18*INDEX(Hours!M:M,MATCH(C18,Hours!$A:$A,0))+F18*INDEX(Hours!B:B,MATCH(C18,Hours!$A:$A,0))+G18*INDEX(Hours!C:C,MATCH(C18,Hours!$A:$A,0))+H18*INDEX(Hours!D:D,MATCH(C18,Hours!$A:$A,0))+I18*INDEX(Hours!E:E,MATCH(C18,Hours!$A:$A,0))+J18*INDEX(Hours!F:F,MATCH(C18,Hours!$A:$A,0))+K18*INDEX(Hours!G:G,MATCH(C18,Hours!$A:$A,0)))</f>
        <v>0</v>
      </c>
      <c r="S18" s="19">
        <f t="shared" si="1"/>
        <v>0</v>
      </c>
    </row>
    <row r="19" spans="1:19" x14ac:dyDescent="0.25">
      <c r="A19" s="11" t="str">
        <f>'Bldgs &amp; Rooms'!$A$2</f>
        <v>Main Bldg.</v>
      </c>
      <c r="B19" s="11">
        <f>'Bldgs &amp; Rooms'!$B$2</f>
        <v>0</v>
      </c>
      <c r="C19" s="10" t="str">
        <f>Hours!$A$19</f>
        <v>Oil Filled Transformer - 5kV-15kV Primary - Any Size (Pad Mounted)</v>
      </c>
      <c r="D19" s="11">
        <f t="shared" si="0"/>
        <v>0</v>
      </c>
      <c r="E19" s="16"/>
      <c r="F19" s="17"/>
      <c r="G19" s="17"/>
      <c r="H19" s="17"/>
      <c r="I19" s="17"/>
      <c r="J19" s="17"/>
      <c r="K19" s="12"/>
      <c r="L19" s="12"/>
      <c r="M19" s="17"/>
      <c r="N19" s="17"/>
      <c r="O19" s="12"/>
      <c r="P19" s="17"/>
      <c r="Q19" s="17"/>
      <c r="R19" s="18">
        <f>IF(SUMPRODUCT((E19:Q19)*1)=0,0,E19*INDEX(Hours!M:M,MATCH(C19,Hours!$A:$A,0))+F19*INDEX(Hours!B:B,MATCH(C19,Hours!$A:$A,0))+G19*INDEX(Hours!C:C,MATCH(C19,Hours!$A:$A,0))+H19*INDEX(Hours!D:D,MATCH(C19,Hours!$A:$A,0))+I19*INDEX(Hours!E:E,MATCH(C19,Hours!$A:$A,0))+J19*INDEX(Hours!F:F,MATCH(C19,Hours!$A:$A,0))+M19*INDEX(Hours!I:I,MATCH(C19,Hours!$A:$A,0))+N19*INDEX(Hours!J:J,MATCH(C19,Hours!$A:$A,0))+P19*INDEX(Hours!L:L,MATCH(C19,Hours!$A:$A,0)))</f>
        <v>0</v>
      </c>
      <c r="S19" s="19">
        <f t="shared" si="1"/>
        <v>0</v>
      </c>
    </row>
    <row r="20" spans="1:19" x14ac:dyDescent="0.25">
      <c r="A20" s="11" t="str">
        <f>'Bldgs &amp; Rooms'!$A$2</f>
        <v>Main Bldg.</v>
      </c>
      <c r="B20" s="11">
        <f>'Bldgs &amp; Rooms'!$B$2</f>
        <v>0</v>
      </c>
      <c r="C20" s="10" t="str">
        <f>Hours!$A$20</f>
        <v>Oil Filled Transformer - &gt; 15kV Primary (Substation Class)</v>
      </c>
      <c r="D20" s="11">
        <f t="shared" si="0"/>
        <v>0</v>
      </c>
      <c r="E20" s="16"/>
      <c r="F20" s="17"/>
      <c r="G20" s="17"/>
      <c r="H20" s="17"/>
      <c r="I20" s="17"/>
      <c r="J20" s="17"/>
      <c r="K20" s="12"/>
      <c r="L20" s="12"/>
      <c r="M20" s="17"/>
      <c r="N20" s="17"/>
      <c r="O20" s="12"/>
      <c r="P20" s="17"/>
      <c r="Q20" s="17"/>
      <c r="R20" s="18">
        <f>IF(SUMPRODUCT((E20:Q20)*1)=0,0,E20*INDEX(Hours!M:M,MATCH(C20,Hours!$A:$A,0))+F20*INDEX(Hours!B:B,MATCH(C20,Hours!$A:$A,0))+G20*INDEX(Hours!C:C,MATCH(C20,Hours!$A:$A,0))+H20*INDEX(Hours!D:D,MATCH(C20,Hours!$A:$A,0))+I20*INDEX(Hours!E:E,MATCH(C20,Hours!$A:$A,0))+J20*INDEX(Hours!F:F,MATCH(C20,Hours!$A:$A,0))+M20*INDEX(Hours!I:I,MATCH(C20,Hours!$A:$A,0))+N20*INDEX(Hours!J:J,MATCH(C20,Hours!$A:$A,0))+P20*INDEX(Hours!L:L,MATCH(C20,Hours!$A:$A,0)))</f>
        <v>0</v>
      </c>
      <c r="S20" s="19">
        <f t="shared" si="1"/>
        <v>0</v>
      </c>
    </row>
    <row r="21" spans="1:19" x14ac:dyDescent="0.25">
      <c r="A21" s="11" t="str">
        <f>'Bldgs &amp; Rooms'!$A$2</f>
        <v>Main Bldg.</v>
      </c>
      <c r="B21" s="11">
        <f>'Bldgs &amp; Rooms'!$B$2</f>
        <v>0</v>
      </c>
      <c r="C21" s="10" t="str">
        <f>Hours!$A$21</f>
        <v>Dry Type Transformer - &lt; 480V Primary - Any Size kVA</v>
      </c>
      <c r="D21" s="11">
        <f t="shared" si="0"/>
        <v>0</v>
      </c>
      <c r="E21" s="16"/>
      <c r="F21" s="17"/>
      <c r="G21" s="17"/>
      <c r="H21" s="17"/>
      <c r="I21" s="17"/>
      <c r="J21" s="17"/>
      <c r="K21" s="12"/>
      <c r="L21" s="12"/>
      <c r="M21" s="17"/>
      <c r="N21" s="17"/>
      <c r="O21" s="12"/>
      <c r="P21" s="12"/>
      <c r="Q21" s="17"/>
      <c r="R21" s="18">
        <f>IF(SUMPRODUCT((E21:Q21)*1)=0,0,E21*INDEX(Hours!M:M,MATCH(C21,Hours!$A:$A,0))+F21*INDEX(Hours!B:B,MATCH(C21,Hours!$A:$A,0))+G21*INDEX(Hours!C:C,MATCH(C21,Hours!$A:$A,0))+H21*INDEX(Hours!D:D,MATCH(C21,Hours!$A:$A,0))+I21*INDEX(Hours!E:E,MATCH(C21,Hours!$A:$A,0))+J21*INDEX(Hours!F:F,MATCH(C21,Hours!$A:$A,0))+M21*INDEX(Hours!I:I,MATCH(C21,Hours!$A:$A,0))+N21*INDEX(Hours!J:J,MATCH(C21,Hours!$A:$A,0)))</f>
        <v>0</v>
      </c>
      <c r="S21" s="19">
        <f t="shared" si="1"/>
        <v>0</v>
      </c>
    </row>
    <row r="22" spans="1:19" x14ac:dyDescent="0.25">
      <c r="A22" s="11" t="str">
        <f>'Bldgs &amp; Rooms'!$A$2</f>
        <v>Main Bldg.</v>
      </c>
      <c r="B22" s="11">
        <f>'Bldgs &amp; Rooms'!$B$2</f>
        <v>0</v>
      </c>
      <c r="C22" s="10" t="str">
        <f>Hours!$A$22</f>
        <v>Power Factor Correction Capacitors</v>
      </c>
      <c r="D22" s="11">
        <f t="shared" si="0"/>
        <v>0</v>
      </c>
      <c r="E22" s="16"/>
      <c r="F22" s="17"/>
      <c r="G22" s="17"/>
      <c r="H22" s="17"/>
      <c r="I22" s="17"/>
      <c r="J22" s="17"/>
      <c r="K22" s="12"/>
      <c r="L22" s="12"/>
      <c r="M22" s="12"/>
      <c r="N22" s="12"/>
      <c r="O22" s="12"/>
      <c r="P22" s="12"/>
      <c r="Q22" s="17"/>
      <c r="R22" s="18">
        <f>IF(SUMPRODUCT((E22:Q22)*1)=0,0,E22*INDEX(Hours!M:M,MATCH(C22,Hours!$A:$A,0))+F22*INDEX(Hours!B:B,MATCH(C22,Hours!$A:$A,0))+G22*INDEX(Hours!C:C,MATCH(C22,Hours!$A:$A,0))+H22*INDEX(Hours!D:D,MATCH(C22,Hours!$A:$A,0))+I22*INDEX(Hours!E:E,MATCH(C22,Hours!$A:$A,0))+J22*INDEX(Hours!F:F,MATCH(C22,Hours!$A:$A,0)))</f>
        <v>0</v>
      </c>
      <c r="S22" s="19">
        <f t="shared" si="1"/>
        <v>0</v>
      </c>
    </row>
    <row r="23" spans="1:19" x14ac:dyDescent="0.25">
      <c r="A23" s="11" t="str">
        <f>'Bldgs &amp; Rooms'!$A$2</f>
        <v>Main Bldg.</v>
      </c>
      <c r="B23" s="11">
        <f>'Bldgs &amp; Rooms'!$B$2</f>
        <v>0</v>
      </c>
      <c r="C23" s="10" t="str">
        <f>Hours!$A$23</f>
        <v>Lighting Contactor &gt; 100A</v>
      </c>
      <c r="D23" s="11">
        <f t="shared" si="0"/>
        <v>0</v>
      </c>
      <c r="E23" s="16"/>
      <c r="F23" s="17"/>
      <c r="G23" s="17"/>
      <c r="H23" s="17"/>
      <c r="I23" s="17"/>
      <c r="J23" s="17"/>
      <c r="K23" s="12"/>
      <c r="L23" s="12"/>
      <c r="M23" s="12"/>
      <c r="N23" s="12"/>
      <c r="O23" s="12"/>
      <c r="P23" s="12"/>
      <c r="Q23" s="17"/>
      <c r="R23" s="18">
        <f>IF(SUMPRODUCT((E23:Q23)*1)=0,0,E23*INDEX(Hours!M:M,MATCH(C23,Hours!$A:$A,0))+F23*INDEX(Hours!B:B,MATCH(C23,Hours!$A:$A,0))+G23*INDEX(Hours!C:C,MATCH(C23,Hours!$A:$A,0))+H23*INDEX(Hours!D:D,MATCH(C23,Hours!$A:$A,0))+I23*INDEX(Hours!E:E,MATCH(C23,Hours!$A:$A,0))+J23*INDEX(Hours!F:F,MATCH(C23,Hours!$A:$A,0)))</f>
        <v>0</v>
      </c>
      <c r="S23" s="19">
        <f t="shared" si="1"/>
        <v>0</v>
      </c>
    </row>
    <row r="24" spans="1:19" x14ac:dyDescent="0.25">
      <c r="A24" s="11" t="str">
        <f>'Bldgs &amp; Rooms'!$A$2</f>
        <v>Main Bldg.</v>
      </c>
      <c r="B24" s="11">
        <f>'Bldgs &amp; Rooms'!$B$2</f>
        <v>0</v>
      </c>
      <c r="C24" s="10" t="str">
        <f>Hours!$A$24</f>
        <v>Power Distribution Unit (PDU)</v>
      </c>
      <c r="D24" s="11">
        <f t="shared" si="0"/>
        <v>0</v>
      </c>
      <c r="E24" s="16"/>
      <c r="F24" s="17"/>
      <c r="G24" s="17"/>
      <c r="H24" s="17"/>
      <c r="I24" s="17"/>
      <c r="J24" s="17"/>
      <c r="K24" s="12"/>
      <c r="L24" s="12"/>
      <c r="M24" s="12"/>
      <c r="N24" s="12"/>
      <c r="O24" s="12"/>
      <c r="P24" s="12"/>
      <c r="Q24" s="17"/>
      <c r="R24" s="18">
        <f>IF(SUMPRODUCT((E24:Q24)*1)=0,0,E24*INDEX(Hours!M:M,MATCH(C24,Hours!$A:$A,0))+F24*INDEX(Hours!B:B,MATCH(C24,Hours!$A:$A,0))+G24*INDEX(Hours!C:C,MATCH(C24,Hours!$A:$A,0))+H24*INDEX(Hours!D:D,MATCH(C24,Hours!$A:$A,0))+I24*INDEX(Hours!E:E,MATCH(C24,Hours!$A:$A,0))+J24*INDEX(Hours!F:F,MATCH(C24,Hours!$A:$A,0)))</f>
        <v>0</v>
      </c>
      <c r="S24" s="19">
        <f t="shared" si="1"/>
        <v>0</v>
      </c>
    </row>
    <row r="25" spans="1:19" x14ac:dyDescent="0.25">
      <c r="A25" s="11" t="str">
        <f>'Bldgs &amp; Rooms'!$A$2</f>
        <v>Main Bldg.</v>
      </c>
      <c r="B25" s="11">
        <f>'Bldgs &amp; Rooms'!$B$2</f>
        <v>0</v>
      </c>
      <c r="C25" s="10" t="str">
        <f>Hours!$A$25</f>
        <v>Wire Trough, Gutter, or Large Junction Boxes</v>
      </c>
      <c r="D25" s="11">
        <f t="shared" si="0"/>
        <v>0</v>
      </c>
      <c r="E25" s="16"/>
      <c r="F25" s="17"/>
      <c r="G25" s="17"/>
      <c r="H25" s="17"/>
      <c r="I25" s="17"/>
      <c r="J25" s="17"/>
      <c r="K25" s="12"/>
      <c r="L25" s="12"/>
      <c r="M25" s="12"/>
      <c r="N25" s="12"/>
      <c r="O25" s="12"/>
      <c r="P25" s="12"/>
      <c r="Q25" s="17"/>
      <c r="R25" s="18">
        <f>IF(SUMPRODUCT((E25:Q25)*1)=0,0,E25*INDEX(Hours!M:M,MATCH(C25,Hours!$A:$A,0))+F25*INDEX(Hours!B:B,MATCH(C25,Hours!$A:$A,0))+G25*INDEX(Hours!C:C,MATCH(C25,Hours!$A:$A,0))+H25*INDEX(Hours!D:D,MATCH(C25,Hours!$A:$A,0))+I25*INDEX(Hours!E:E,MATCH(C25,Hours!$A:$A,0))+J25*INDEX(Hours!F:F,MATCH(C25,Hours!$A:$A,0)))</f>
        <v>0</v>
      </c>
      <c r="S25" s="19">
        <f t="shared" si="1"/>
        <v>0</v>
      </c>
    </row>
    <row r="26" spans="1:19" x14ac:dyDescent="0.25">
      <c r="A26" s="11" t="str">
        <f>'Bldgs &amp; Rooms'!$A$2</f>
        <v>Main Bldg.</v>
      </c>
      <c r="B26" s="11">
        <f>'Bldgs &amp; Rooms'!$B$2</f>
        <v>0</v>
      </c>
      <c r="C26" s="10" t="str">
        <f>Hours!$A$26</f>
        <v>Bus Duct - Vertical or Horizontal (Per 10' section)</v>
      </c>
      <c r="D26" s="11">
        <f t="shared" si="0"/>
        <v>0</v>
      </c>
      <c r="E26" s="16"/>
      <c r="F26" s="17"/>
      <c r="G26" s="17"/>
      <c r="H26" s="17"/>
      <c r="I26" s="17"/>
      <c r="J26" s="17"/>
      <c r="K26" s="12"/>
      <c r="L26" s="12"/>
      <c r="M26" s="12"/>
      <c r="N26" s="12"/>
      <c r="O26" s="12"/>
      <c r="P26" s="12"/>
      <c r="Q26" s="17"/>
      <c r="R26" s="18">
        <f>IF(SUMPRODUCT((E26:Q26)*1)=0,0,E26*INDEX(Hours!M:M,MATCH(C26,Hours!$A:$A,0))+F26*INDEX(Hours!B:B,MATCH(C26,Hours!$A:$A,0))+G26*INDEX(Hours!C:C,MATCH(C26,Hours!$A:$A,0))+H26*INDEX(Hours!D:D,MATCH(C26,Hours!$A:$A,0))+I26*INDEX(Hours!E:E,MATCH(C26,Hours!$A:$A,0))+J26*INDEX(Hours!F:F,MATCH(C26,Hours!$A:$A,0)))</f>
        <v>0</v>
      </c>
      <c r="S26" s="19">
        <f t="shared" si="1"/>
        <v>0</v>
      </c>
    </row>
    <row r="27" spans="1:19" x14ac:dyDescent="0.25">
      <c r="A27" s="11" t="str">
        <f>'Bldgs &amp; Rooms'!$A$2</f>
        <v>Main Bldg.</v>
      </c>
      <c r="B27" s="11">
        <f>'Bldgs &amp; Rooms'!$B$2</f>
        <v>0</v>
      </c>
      <c r="C27" s="10" t="str">
        <f>Hours!$A$27</f>
        <v>Automatic Transfer Switch (ATS) &gt; 100A</v>
      </c>
      <c r="D27" s="11">
        <f t="shared" si="0"/>
        <v>0</v>
      </c>
      <c r="E27" s="16"/>
      <c r="F27" s="17"/>
      <c r="G27" s="17"/>
      <c r="H27" s="17"/>
      <c r="I27" s="17"/>
      <c r="J27" s="17"/>
      <c r="K27" s="12"/>
      <c r="L27" s="12"/>
      <c r="M27" s="12"/>
      <c r="N27" s="12"/>
      <c r="O27" s="12"/>
      <c r="P27" s="12"/>
      <c r="Q27" s="17"/>
      <c r="R27" s="18">
        <f>IF(SUMPRODUCT((E27:Q27)*1)=0,0,E27*INDEX(Hours!M:M,MATCH(C27,Hours!$A:$A,0))+F27*INDEX(Hours!B:B,MATCH(C27,Hours!$A:$A,0))+G27*INDEX(Hours!C:C,MATCH(C27,Hours!$A:$A,0))+H27*INDEX(Hours!D:D,MATCH(C27,Hours!$A:$A,0))+I27*INDEX(Hours!E:E,MATCH(C27,Hours!$A:$A,0))+J27*INDEX(Hours!F:F,MATCH(C27,Hours!$A:$A,0)))</f>
        <v>0</v>
      </c>
      <c r="S27" s="19">
        <f t="shared" si="1"/>
        <v>0</v>
      </c>
    </row>
    <row r="28" spans="1:19" x14ac:dyDescent="0.25">
      <c r="A28" s="11" t="str">
        <f>'Bldgs &amp; Rooms'!$A$2</f>
        <v>Main Bldg.</v>
      </c>
      <c r="B28" s="11">
        <f>'Bldgs &amp; Rooms'!$B$2</f>
        <v>0</v>
      </c>
      <c r="C28" s="10" t="str">
        <f>Hours!$A$28</f>
        <v>Manual Transfer Switch (MTS) &gt; 100A</v>
      </c>
      <c r="D28" s="11">
        <f t="shared" si="0"/>
        <v>0</v>
      </c>
      <c r="E28" s="16"/>
      <c r="F28" s="17"/>
      <c r="G28" s="17"/>
      <c r="H28" s="17"/>
      <c r="I28" s="17"/>
      <c r="J28" s="17"/>
      <c r="K28" s="12"/>
      <c r="L28" s="12"/>
      <c r="M28" s="12"/>
      <c r="N28" s="12"/>
      <c r="O28" s="12"/>
      <c r="P28" s="12"/>
      <c r="Q28" s="17"/>
      <c r="R28" s="18">
        <f>IF(SUMPRODUCT((E28:Q28)*1)=0,0,E28*INDEX(Hours!M:M,MATCH(C28,Hours!$A:$A,0))+F28*INDEX(Hours!B:B,MATCH(C28,Hours!$A:$A,0))+G28*INDEX(Hours!C:C,MATCH(C28,Hours!$A:$A,0))+H28*INDEX(Hours!D:D,MATCH(C28,Hours!$A:$A,0))+I28*INDEX(Hours!E:E,MATCH(C28,Hours!$A:$A,0))+J28*INDEX(Hours!F:F,MATCH(C28,Hours!$A:$A,0)))</f>
        <v>0</v>
      </c>
      <c r="S28" s="19">
        <f t="shared" si="1"/>
        <v>0</v>
      </c>
    </row>
    <row r="29" spans="1:19" x14ac:dyDescent="0.25">
      <c r="A29" s="11" t="str">
        <f>'Bldgs &amp; Rooms'!$A$2</f>
        <v>Main Bldg.</v>
      </c>
      <c r="B29" s="11">
        <f>'Bldgs &amp; Rooms'!$B$2</f>
        <v>0</v>
      </c>
      <c r="C29" s="10" t="str">
        <f>Hours!$A$29</f>
        <v>Variable Frequency Drives (VFD) &lt; 50 HP</v>
      </c>
      <c r="D29" s="11">
        <f t="shared" si="0"/>
        <v>0</v>
      </c>
      <c r="E29" s="16"/>
      <c r="F29" s="17"/>
      <c r="G29" s="17"/>
      <c r="H29" s="17"/>
      <c r="I29" s="17"/>
      <c r="J29" s="17"/>
      <c r="K29" s="12"/>
      <c r="L29" s="12"/>
      <c r="M29" s="12"/>
      <c r="N29" s="12"/>
      <c r="O29" s="12"/>
      <c r="P29" s="12"/>
      <c r="Q29" s="17"/>
      <c r="R29" s="18">
        <f>IF(SUMPRODUCT((E29:Q29)*1)=0,0,E29*INDEX(Hours!M:M,MATCH(C29,Hours!$A:$A,0))+F29*INDEX(Hours!B:B,MATCH(C29,Hours!$A:$A,0))+G29*INDEX(Hours!C:C,MATCH(C29,Hours!$A:$A,0))+H29*INDEX(Hours!D:D,MATCH(C29,Hours!$A:$A,0))+I29*INDEX(Hours!E:E,MATCH(C29,Hours!$A:$A,0))+J29*INDEX(Hours!F:F,MATCH(C29,Hours!$A:$A,0)))</f>
        <v>0</v>
      </c>
      <c r="S29" s="19">
        <f t="shared" si="1"/>
        <v>0</v>
      </c>
    </row>
    <row r="30" spans="1:19" x14ac:dyDescent="0.25">
      <c r="A30" s="11" t="str">
        <f>'Bldgs &amp; Rooms'!$A$2</f>
        <v>Main Bldg.</v>
      </c>
      <c r="B30" s="11">
        <f>'Bldgs &amp; Rooms'!$B$2</f>
        <v>0</v>
      </c>
      <c r="C30" s="10" t="str">
        <f>Hours!$A$30</f>
        <v>Variable Frequency Drives (VFD) 51-200 HP</v>
      </c>
      <c r="D30" s="11">
        <f t="shared" si="0"/>
        <v>0</v>
      </c>
      <c r="E30" s="16"/>
      <c r="F30" s="17"/>
      <c r="G30" s="17"/>
      <c r="H30" s="17"/>
      <c r="I30" s="17"/>
      <c r="J30" s="17"/>
      <c r="K30" s="12"/>
      <c r="L30" s="12"/>
      <c r="M30" s="12"/>
      <c r="N30" s="12"/>
      <c r="O30" s="12"/>
      <c r="P30" s="12"/>
      <c r="Q30" s="17"/>
      <c r="R30" s="18">
        <f>IF(SUMPRODUCT((E30:Q30)*1)=0,0,E30*INDEX(Hours!M:M,MATCH(C30,Hours!$A:$A,0))+F30*INDEX(Hours!B:B,MATCH(C30,Hours!$A:$A,0))+G30*INDEX(Hours!C:C,MATCH(C30,Hours!$A:$A,0))+H30*INDEX(Hours!D:D,MATCH(C30,Hours!$A:$A,0))+I30*INDEX(Hours!E:E,MATCH(C30,Hours!$A:$A,0))+J30*INDEX(Hours!F:F,MATCH(C30,Hours!$A:$A,0)))</f>
        <v>0</v>
      </c>
      <c r="S30" s="19">
        <f t="shared" si="1"/>
        <v>0</v>
      </c>
    </row>
    <row r="31" spans="1:19" x14ac:dyDescent="0.25">
      <c r="A31" s="11" t="str">
        <f>'Bldgs &amp; Rooms'!$A$2</f>
        <v>Main Bldg.</v>
      </c>
      <c r="B31" s="11">
        <f>'Bldgs &amp; Rooms'!$B$2</f>
        <v>0</v>
      </c>
      <c r="C31" s="10" t="str">
        <f>Hours!$A$31</f>
        <v>Motors &lt; 50 HP</v>
      </c>
      <c r="D31" s="11">
        <f t="shared" si="0"/>
        <v>0</v>
      </c>
      <c r="E31" s="16"/>
      <c r="F31" s="17"/>
      <c r="G31" s="17"/>
      <c r="H31" s="17"/>
      <c r="I31" s="17"/>
      <c r="J31" s="17"/>
      <c r="K31" s="12"/>
      <c r="L31" s="12"/>
      <c r="M31" s="12"/>
      <c r="N31" s="12"/>
      <c r="O31" s="12"/>
      <c r="P31" s="12"/>
      <c r="Q31" s="17"/>
      <c r="R31" s="18">
        <f>IF(SUMPRODUCT((E31:Q31)*1)=0,0,E31*INDEX(Hours!M:M,MATCH(C31,Hours!$A:$A,0))+F31*INDEX(Hours!B:B,MATCH(C31,Hours!$A:$A,0))+G31*INDEX(Hours!C:C,MATCH(C31,Hours!$A:$A,0))+H31*INDEX(Hours!D:D,MATCH(C31,Hours!$A:$A,0))+I31*INDEX(Hours!E:E,MATCH(C31,Hours!$A:$A,0))+J31*INDEX(Hours!F:F,MATCH(C31,Hours!$A:$A,0)))</f>
        <v>0</v>
      </c>
      <c r="S31" s="19">
        <f t="shared" si="1"/>
        <v>0</v>
      </c>
    </row>
    <row r="32" spans="1:19" x14ac:dyDescent="0.25">
      <c r="A32" s="11" t="str">
        <f>'Bldgs &amp; Rooms'!$A$2</f>
        <v>Main Bldg.</v>
      </c>
      <c r="B32" s="11">
        <f>'Bldgs &amp; Rooms'!$B$2</f>
        <v>0</v>
      </c>
      <c r="C32" s="10" t="str">
        <f>Hours!$A$32</f>
        <v>Motors 51-200 HP</v>
      </c>
      <c r="D32" s="11">
        <f t="shared" si="0"/>
        <v>0</v>
      </c>
      <c r="E32" s="16"/>
      <c r="F32" s="17"/>
      <c r="G32" s="17"/>
      <c r="H32" s="17"/>
      <c r="I32" s="17"/>
      <c r="J32" s="17"/>
      <c r="K32" s="12"/>
      <c r="L32" s="12"/>
      <c r="M32" s="12"/>
      <c r="N32" s="12"/>
      <c r="O32" s="12"/>
      <c r="P32" s="12"/>
      <c r="Q32" s="17"/>
      <c r="R32" s="18">
        <f>IF(SUMPRODUCT((E32:Q32)*1)=0,0,E32*INDEX(Hours!M:M,MATCH(C32,Hours!$A:$A,0))+F32*INDEX(Hours!B:B,MATCH(C32,Hours!$A:$A,0))+G32*INDEX(Hours!C:C,MATCH(C32,Hours!$A:$A,0))+H32*INDEX(Hours!D:D,MATCH(C32,Hours!$A:$A,0))+I32*INDEX(Hours!E:E,MATCH(C32,Hours!$A:$A,0))+J32*INDEX(Hours!F:F,MATCH(C32,Hours!$A:$A,0)))</f>
        <v>0</v>
      </c>
      <c r="S32" s="19">
        <f t="shared" si="1"/>
        <v>0</v>
      </c>
    </row>
    <row r="33" spans="1:19" x14ac:dyDescent="0.25">
      <c r="A33" s="11" t="str">
        <f>'Bldgs &amp; Rooms'!$A$2</f>
        <v>Main Bldg.</v>
      </c>
      <c r="B33" s="11">
        <f>'Bldgs &amp; Rooms'!$B$2</f>
        <v>0</v>
      </c>
      <c r="C33" s="10" t="str">
        <f>Hours!$A$33</f>
        <v>Motors 201-500 HP</v>
      </c>
      <c r="D33" s="11">
        <f t="shared" si="0"/>
        <v>0</v>
      </c>
      <c r="E33" s="16"/>
      <c r="F33" s="17"/>
      <c r="G33" s="17"/>
      <c r="H33" s="17"/>
      <c r="I33" s="17"/>
      <c r="J33" s="17"/>
      <c r="K33" s="12"/>
      <c r="L33" s="12"/>
      <c r="M33" s="12"/>
      <c r="N33" s="12"/>
      <c r="O33" s="12"/>
      <c r="P33" s="12"/>
      <c r="Q33" s="17"/>
      <c r="R33" s="18">
        <f>IF(SUMPRODUCT((E33:Q33)*1)=0,0,E33*INDEX(Hours!M:M,MATCH(C33,Hours!$A:$A,0))+F33*INDEX(Hours!B:B,MATCH(C33,Hours!$A:$A,0))+G33*INDEX(Hours!C:C,MATCH(C33,Hours!$A:$A,0))+H33*INDEX(Hours!D:D,MATCH(C33,Hours!$A:$A,0))+I33*INDEX(Hours!E:E,MATCH(C33,Hours!$A:$A,0))+J33*INDEX(Hours!F:F,MATCH(C33,Hours!$A:$A,0)))</f>
        <v>0</v>
      </c>
      <c r="S33" s="19">
        <f t="shared" si="1"/>
        <v>0</v>
      </c>
    </row>
    <row r="34" spans="1:19" x14ac:dyDescent="0.25">
      <c r="A34" s="11" t="str">
        <f>'Bldgs &amp; Rooms'!$A$2</f>
        <v>Main Bldg.</v>
      </c>
      <c r="B34" s="11">
        <f>'Bldgs &amp; Rooms'!$B$2</f>
        <v>0</v>
      </c>
      <c r="C34" s="10" t="str">
        <f>Hours!$A$34</f>
        <v>Compressed Air Equipment</v>
      </c>
      <c r="D34" s="11">
        <f t="shared" si="0"/>
        <v>0</v>
      </c>
      <c r="E34" s="16"/>
      <c r="F34" s="17"/>
      <c r="G34" s="17"/>
      <c r="H34" s="17"/>
      <c r="I34" s="17"/>
      <c r="J34" s="17"/>
      <c r="K34" s="12"/>
      <c r="L34" s="12"/>
      <c r="M34" s="12"/>
      <c r="N34" s="12"/>
      <c r="O34" s="12"/>
      <c r="P34" s="12"/>
      <c r="Q34" s="17"/>
      <c r="R34" s="18">
        <f>IF(SUMPRODUCT((E34:Q34)*1)=0,0,E34*INDEX(Hours!M:M,MATCH(C34,Hours!$A:$A,0))+F34*INDEX(Hours!B:B,MATCH(C34,Hours!$A:$A,0))+G34*INDEX(Hours!C:C,MATCH(C34,Hours!$A:$A,0))+H34*INDEX(Hours!D:D,MATCH(C34,Hours!$A:$A,0))+I34*INDEX(Hours!E:E,MATCH(C34,Hours!$A:$A,0))+J34*INDEX(Hours!F:F,MATCH(C34,Hours!$A:$A,0)))</f>
        <v>0</v>
      </c>
      <c r="S34" s="19">
        <f t="shared" si="1"/>
        <v>0</v>
      </c>
    </row>
    <row r="35" spans="1:19" x14ac:dyDescent="0.25">
      <c r="A35" s="11" t="str">
        <f>'Bldgs &amp; Rooms'!$A$2</f>
        <v>Main Bldg.</v>
      </c>
      <c r="B35" s="11">
        <f>'Bldgs &amp; Rooms'!$B$2</f>
        <v>0</v>
      </c>
      <c r="C35" s="10" t="str">
        <f>Hours!$A$35</f>
        <v>HVAC Equipment (Large)</v>
      </c>
      <c r="D35" s="11">
        <f t="shared" si="0"/>
        <v>0</v>
      </c>
      <c r="E35" s="16"/>
      <c r="F35" s="17"/>
      <c r="G35" s="17"/>
      <c r="H35" s="17"/>
      <c r="I35" s="17"/>
      <c r="J35" s="17"/>
      <c r="K35" s="12"/>
      <c r="L35" s="12"/>
      <c r="M35" s="12"/>
      <c r="N35" s="12"/>
      <c r="O35" s="12"/>
      <c r="P35" s="12"/>
      <c r="Q35" s="17"/>
      <c r="R35" s="18">
        <f>IF(SUMPRODUCT((E35:Q35)*1)=0,0,E35*INDEX(Hours!M:M,MATCH(C35,Hours!$A:$A,0))+F35*INDEX(Hours!B:B,MATCH(C35,Hours!$A:$A,0))+G35*INDEX(Hours!C:C,MATCH(C35,Hours!$A:$A,0))+H35*INDEX(Hours!D:D,MATCH(C35,Hours!$A:$A,0))+I35*INDEX(Hours!E:E,MATCH(C35,Hours!$A:$A,0))+J35*INDEX(Hours!F:F,MATCH(C35,Hours!$A:$A,0)))</f>
        <v>0</v>
      </c>
      <c r="S35" s="19">
        <f t="shared" si="1"/>
        <v>0</v>
      </c>
    </row>
    <row r="36" spans="1:19" x14ac:dyDescent="0.25">
      <c r="A36" s="11" t="str">
        <f>'Bldgs &amp; Rooms'!$A$2</f>
        <v>Main Bldg.</v>
      </c>
      <c r="B36" s="11">
        <f>'Bldgs &amp; Rooms'!$B$2</f>
        <v>0</v>
      </c>
      <c r="C36" s="10" t="str">
        <f>Hours!$A$36</f>
        <v>HVAC Equipment (Small)</v>
      </c>
      <c r="D36" s="11">
        <f t="shared" si="0"/>
        <v>0</v>
      </c>
      <c r="E36" s="16"/>
      <c r="F36" s="17"/>
      <c r="G36" s="17"/>
      <c r="H36" s="17"/>
      <c r="I36" s="17"/>
      <c r="J36" s="17"/>
      <c r="K36" s="12"/>
      <c r="L36" s="12"/>
      <c r="M36" s="12"/>
      <c r="N36" s="12"/>
      <c r="O36" s="12"/>
      <c r="P36" s="12"/>
      <c r="Q36" s="17"/>
      <c r="R36" s="18">
        <f>IF(SUMPRODUCT((E36:Q36)*1)=0,0,E36*INDEX(Hours!M:M,MATCH(C36,Hours!$A:$A,0))+F36*INDEX(Hours!B:B,MATCH(C36,Hours!$A:$A,0))+G36*INDEX(Hours!C:C,MATCH(C36,Hours!$A:$A,0))+H36*INDEX(Hours!D:D,MATCH(C36,Hours!$A:$A,0))+I36*INDEX(Hours!E:E,MATCH(C36,Hours!$A:$A,0))+J36*INDEX(Hours!F:F,MATCH(C36,Hours!$A:$A,0)))</f>
        <v>0</v>
      </c>
      <c r="S36" s="19">
        <f t="shared" si="1"/>
        <v>0</v>
      </c>
    </row>
    <row r="37" spans="1:19" x14ac:dyDescent="0.25">
      <c r="A37" s="11" t="str">
        <f>'Bldgs &amp; Rooms'!$A$2</f>
        <v>Main Bldg.</v>
      </c>
      <c r="B37" s="11">
        <f>'Bldgs &amp; Rooms'!$B$2</f>
        <v>0</v>
      </c>
      <c r="C37" s="10" t="str">
        <f>Hours!$A$37</f>
        <v>Uninterruptible Power Supply (UPS) &lt; 50kVA</v>
      </c>
      <c r="D37" s="11">
        <f t="shared" si="0"/>
        <v>0</v>
      </c>
      <c r="E37" s="16"/>
      <c r="F37" s="17"/>
      <c r="G37" s="17"/>
      <c r="H37" s="17"/>
      <c r="I37" s="17"/>
      <c r="J37" s="17"/>
      <c r="K37" s="12"/>
      <c r="L37" s="12"/>
      <c r="M37" s="12"/>
      <c r="N37" s="12"/>
      <c r="O37" s="12"/>
      <c r="P37" s="12"/>
      <c r="Q37" s="17"/>
      <c r="R37" s="18">
        <f>IF(SUMPRODUCT((E37:Q37)*1)=0,0,E37*INDEX(Hours!M:M,MATCH(C37,Hours!$A:$A,0))+F37*INDEX(Hours!B:B,MATCH(C37,Hours!$A:$A,0))+G37*INDEX(Hours!C:C,MATCH(C37,Hours!$A:$A,0))+H37*INDEX(Hours!D:D,MATCH(C37,Hours!$A:$A,0))+I37*INDEX(Hours!E:E,MATCH(C37,Hours!$A:$A,0))+J37*INDEX(Hours!F:F,MATCH(C37,Hours!$A:$A,0)))</f>
        <v>0</v>
      </c>
      <c r="S37" s="19">
        <f t="shared" si="1"/>
        <v>0</v>
      </c>
    </row>
    <row r="38" spans="1:19" x14ac:dyDescent="0.25">
      <c r="A38" s="11" t="str">
        <f>'Bldgs &amp; Rooms'!$A$2</f>
        <v>Main Bldg.</v>
      </c>
      <c r="B38" s="11">
        <f>'Bldgs &amp; Rooms'!$B$2</f>
        <v>0</v>
      </c>
      <c r="C38" s="10" t="str">
        <f>Hours!$A$38</f>
        <v>Uninterruptible Power Supply (UPS) &gt; 50kVA</v>
      </c>
      <c r="D38" s="11">
        <f t="shared" si="0"/>
        <v>0</v>
      </c>
      <c r="E38" s="16"/>
      <c r="F38" s="17"/>
      <c r="G38" s="17"/>
      <c r="H38" s="17"/>
      <c r="I38" s="17"/>
      <c r="J38" s="17"/>
      <c r="K38" s="12"/>
      <c r="L38" s="12"/>
      <c r="M38" s="12"/>
      <c r="N38" s="12"/>
      <c r="O38" s="12"/>
      <c r="P38" s="12"/>
      <c r="Q38" s="17"/>
      <c r="R38" s="18">
        <f>IF(SUMPRODUCT((E38:Q38)*1)=0,0,E38*INDEX(Hours!M:M,MATCH(C38,Hours!$A:$A,0))+F38*INDEX(Hours!B:B,MATCH(C38,Hours!$A:$A,0))+G38*INDEX(Hours!C:C,MATCH(C38,Hours!$A:$A,0))+H38*INDEX(Hours!D:D,MATCH(C38,Hours!$A:$A,0))+I38*INDEX(Hours!E:E,MATCH(C38,Hours!$A:$A,0))+J38*INDEX(Hours!F:F,MATCH(C38,Hours!$A:$A,0)))</f>
        <v>0</v>
      </c>
      <c r="S38" s="19">
        <f t="shared" si="1"/>
        <v>0</v>
      </c>
    </row>
    <row r="39" spans="1:19" x14ac:dyDescent="0.25">
      <c r="A39" s="15" t="str">
        <f>'Bldgs &amp; Rooms'!$A$3</f>
        <v>Main Bldg.</v>
      </c>
      <c r="B39" s="15">
        <f>'Bldgs &amp; Rooms'!$B$3</f>
        <v>0</v>
      </c>
      <c r="C39" s="14" t="str">
        <f>Hours!$A$2</f>
        <v>Switchgear - Incoming Main Service (Per Section)</v>
      </c>
      <c r="D39" s="15">
        <f t="shared" si="0"/>
        <v>0</v>
      </c>
      <c r="E39" s="16"/>
      <c r="F39" s="17"/>
      <c r="G39" s="17"/>
      <c r="H39" s="17"/>
      <c r="I39" s="17"/>
      <c r="J39" s="17"/>
      <c r="K39" s="17"/>
      <c r="L39" s="17"/>
      <c r="M39" s="12"/>
      <c r="N39" s="12"/>
      <c r="O39" s="17"/>
      <c r="P39" s="12"/>
      <c r="Q39" s="17"/>
      <c r="R39" s="18">
        <f>IF(SUMPRODUCT((E39:Q39)*1)=0,0,E39*INDEX(Hours!M:M,MATCH(C39,Hours!$A:$A,0))+F39*INDEX(Hours!B:B,MATCH(C39,Hours!$A:$A,0))+G39*INDEX(Hours!C:C,MATCH(C39,Hours!$A:$A,0))+H39*INDEX(Hours!D:D,MATCH(C39,Hours!$A:$A,0))+I39*INDEX(Hours!E:E,MATCH(C39,Hours!$A:$A,0))+J39*INDEX(Hours!F:F,MATCH(C39,Hours!$A:$A,0))+K39*INDEX(Hours!G:G,MATCH(C39,Hours!$A:$A,0))+L39*INDEX(Hours!H:H,MATCH(C39,Hours!$A:$A,0))+O39*INDEX(Hours!K:K,MATCH(C39,Hours!$A:$A,0)))</f>
        <v>0</v>
      </c>
      <c r="S39" s="19">
        <f t="shared" si="1"/>
        <v>0</v>
      </c>
    </row>
    <row r="40" spans="1:19" x14ac:dyDescent="0.25">
      <c r="A40" s="15" t="str">
        <f>'Bldgs &amp; Rooms'!$A$3</f>
        <v>Main Bldg.</v>
      </c>
      <c r="B40" s="15">
        <f>'Bldgs &amp; Rooms'!$B$3</f>
        <v>0</v>
      </c>
      <c r="C40" s="14" t="str">
        <f>Hours!$A$3</f>
        <v xml:space="preserve">  Switchgear Insulated Case Breakers (Bus Mounted)</v>
      </c>
      <c r="D40" s="15">
        <f t="shared" si="0"/>
        <v>0</v>
      </c>
      <c r="E40" s="16"/>
      <c r="F40" s="17"/>
      <c r="G40" s="17"/>
      <c r="H40" s="17"/>
      <c r="I40" s="17"/>
      <c r="J40" s="17"/>
      <c r="K40" s="17"/>
      <c r="L40" s="12"/>
      <c r="M40" s="12"/>
      <c r="N40" s="12"/>
      <c r="O40" s="12"/>
      <c r="P40" s="12"/>
      <c r="Q40" s="17"/>
      <c r="R40" s="18">
        <f>IF(SUMPRODUCT((E40:Q40)*1)=0,0,E40*INDEX(Hours!M:M,MATCH(C40,Hours!$A:$A,0))+F40*INDEX(Hours!B:B,MATCH(C40,Hours!$A:$A,0))+G40*INDEX(Hours!C:C,MATCH(C40,Hours!$A:$A,0))+H40*INDEX(Hours!D:D,MATCH(C40,Hours!$A:$A,0))+I40*INDEX(Hours!E:E,MATCH(C40,Hours!$A:$A,0))+J40*INDEX(Hours!F:F,MATCH(C40,Hours!$A:$A,0))+K40*INDEX(Hours!G:G,MATCH(C40,Hours!$A:$A,0)))</f>
        <v>0</v>
      </c>
      <c r="S40" s="19">
        <f t="shared" si="1"/>
        <v>0</v>
      </c>
    </row>
    <row r="41" spans="1:19" x14ac:dyDescent="0.25">
      <c r="A41" s="15" t="str">
        <f>'Bldgs &amp; Rooms'!$A$3</f>
        <v>Main Bldg.</v>
      </c>
      <c r="B41" s="15">
        <f>'Bldgs &amp; Rooms'!$B$3</f>
        <v>0</v>
      </c>
      <c r="C41" s="14" t="str">
        <f>Hours!$A$4</f>
        <v xml:space="preserve">  SwitchGear Drawout Breakers</v>
      </c>
      <c r="D41" s="15">
        <f t="shared" si="0"/>
        <v>0</v>
      </c>
      <c r="E41" s="16"/>
      <c r="F41" s="17"/>
      <c r="G41" s="17"/>
      <c r="H41" s="17"/>
      <c r="I41" s="17"/>
      <c r="J41" s="17"/>
      <c r="K41" s="12"/>
      <c r="L41" s="17"/>
      <c r="M41" s="12"/>
      <c r="N41" s="12"/>
      <c r="O41" s="12"/>
      <c r="P41" s="12"/>
      <c r="Q41" s="17"/>
      <c r="R41" s="18">
        <f>IF(SUMPRODUCT((E41:Q41)*1)=0,0,E41*INDEX(Hours!M:M,MATCH(C41,Hours!$A:$A,0))+F41*INDEX(Hours!B:B,MATCH(C41,Hours!$A:$A,0))+G41*INDEX(Hours!C:C,MATCH(C41,Hours!$A:$A,0))+H41*INDEX(Hours!D:D,MATCH(C41,Hours!$A:$A,0))+I41*INDEX(Hours!E:E,MATCH(C41,Hours!$A:$A,0))+J41*INDEX(Hours!F:F,MATCH(C41,Hours!$A:$A,0))+L41*INDEX(Hours!H:H,MATCH(C41,Hours!$A:$A,0)))</f>
        <v>0</v>
      </c>
      <c r="S41" s="19">
        <f t="shared" si="1"/>
        <v>0</v>
      </c>
    </row>
    <row r="42" spans="1:19" x14ac:dyDescent="0.25">
      <c r="A42" s="15" t="str">
        <f>'Bldgs &amp; Rooms'!$A$3</f>
        <v>Main Bldg.</v>
      </c>
      <c r="B42" s="15">
        <f>'Bldgs &amp; Rooms'!$B$3</f>
        <v>0</v>
      </c>
      <c r="C42" s="14" t="str">
        <f>Hours!$A$5</f>
        <v>Distribution Switchboard Multi Cover (Per Section)</v>
      </c>
      <c r="D42" s="15">
        <f t="shared" si="0"/>
        <v>0</v>
      </c>
      <c r="E42" s="16"/>
      <c r="F42" s="17"/>
      <c r="G42" s="17"/>
      <c r="H42" s="17"/>
      <c r="I42" s="17"/>
      <c r="J42" s="17"/>
      <c r="K42" s="17"/>
      <c r="L42" s="12"/>
      <c r="M42" s="12"/>
      <c r="N42" s="12"/>
      <c r="O42" s="17"/>
      <c r="P42" s="12"/>
      <c r="Q42" s="17"/>
      <c r="R42" s="18">
        <f>IF(SUMPRODUCT((E42:Q42)*1)=0,0,E42*INDEX(Hours!M:M,MATCH(C42,Hours!$A:$A,0))+F42*INDEX(Hours!B:B,MATCH(C42,Hours!$A:$A,0))+G42*INDEX(Hours!C:C,MATCH(C42,Hours!$A:$A,0))+H42*INDEX(Hours!D:D,MATCH(C42,Hours!$A:$A,0))+I42*INDEX(Hours!E:E,MATCH(C42,Hours!$A:$A,0))+J42*INDEX(Hours!F:F,MATCH(C42,Hours!$A:$A,0))+K42*INDEX(Hours!G:G,MATCH(C42,Hours!$A:$A,0))+O42*INDEX(Hours!K:K,MATCH(C42,Hours!$A:$A,0)))</f>
        <v>0</v>
      </c>
      <c r="S42" s="19">
        <f t="shared" si="1"/>
        <v>0</v>
      </c>
    </row>
    <row r="43" spans="1:19" x14ac:dyDescent="0.25">
      <c r="A43" s="15" t="str">
        <f>'Bldgs &amp; Rooms'!$A$3</f>
        <v>Main Bldg.</v>
      </c>
      <c r="B43" s="15">
        <f>'Bldgs &amp; Rooms'!$B$3</f>
        <v>0</v>
      </c>
      <c r="C43" s="14" t="str">
        <f>Hours!$A$6</f>
        <v xml:space="preserve">  Switchboard Disconnects</v>
      </c>
      <c r="D43" s="15">
        <f t="shared" si="0"/>
        <v>0</v>
      </c>
      <c r="E43" s="16"/>
      <c r="F43" s="17"/>
      <c r="G43" s="17"/>
      <c r="H43" s="17"/>
      <c r="I43" s="17"/>
      <c r="J43" s="17"/>
      <c r="K43" s="12"/>
      <c r="L43" s="12"/>
      <c r="M43" s="12"/>
      <c r="N43" s="12"/>
      <c r="O43" s="12"/>
      <c r="P43" s="12"/>
      <c r="Q43" s="17"/>
      <c r="R43" s="18">
        <f>IF(SUMPRODUCT((E43:Q43)*1)=0,0,E43*INDEX(Hours!M:M,MATCH(C43,Hours!$A:$A,0))+F43*INDEX(Hours!B:B,MATCH(C43,Hours!$A:$A,0))+G43*INDEX(Hours!C:C,MATCH(C43,Hours!$A:$A,0))+H43*INDEX(Hours!D:D,MATCH(C43,Hours!$A:$A,0))+I43*INDEX(Hours!E:E,MATCH(C43,Hours!$A:$A,0))+J43*INDEX(Hours!F:F,MATCH(C43,Hours!$A:$A,0)))</f>
        <v>0</v>
      </c>
      <c r="S43" s="19">
        <f t="shared" si="1"/>
        <v>0</v>
      </c>
    </row>
    <row r="44" spans="1:19" x14ac:dyDescent="0.25">
      <c r="A44" s="15" t="str">
        <f>'Bldgs &amp; Rooms'!$A$3</f>
        <v>Main Bldg.</v>
      </c>
      <c r="B44" s="15">
        <f>'Bldgs &amp; Rooms'!$B$3</f>
        <v>0</v>
      </c>
      <c r="C44" s="14" t="str">
        <f>Hours!$A$7</f>
        <v xml:space="preserve">  Switchboard Molded Case Breakers</v>
      </c>
      <c r="D44" s="15">
        <f t="shared" si="0"/>
        <v>0</v>
      </c>
      <c r="E44" s="16"/>
      <c r="F44" s="17"/>
      <c r="G44" s="17"/>
      <c r="H44" s="17"/>
      <c r="I44" s="17"/>
      <c r="J44" s="17"/>
      <c r="K44" s="17"/>
      <c r="L44" s="12"/>
      <c r="M44" s="12"/>
      <c r="N44" s="12"/>
      <c r="O44" s="12"/>
      <c r="P44" s="12"/>
      <c r="Q44" s="17"/>
      <c r="R44" s="18">
        <f>IF(SUMPRODUCT((E44:Q44)*1)=0,0,E44*INDEX(Hours!M:M,MATCH(C44,Hours!$A:$A,0))+F44*INDEX(Hours!B:B,MATCH(C44,Hours!$A:$A,0))+G44*INDEX(Hours!C:C,MATCH(C44,Hours!$A:$A,0))+H44*INDEX(Hours!D:D,MATCH(C44,Hours!$A:$A,0))+I44*INDEX(Hours!E:E,MATCH(C44,Hours!$A:$A,0))+J44*INDEX(Hours!F:F,MATCH(C44,Hours!$A:$A,0))+K44*INDEX(Hours!G:G,MATCH(C44,Hours!$A:$A,0)))</f>
        <v>0</v>
      </c>
      <c r="S44" s="19">
        <f t="shared" si="1"/>
        <v>0</v>
      </c>
    </row>
    <row r="45" spans="1:19" x14ac:dyDescent="0.25">
      <c r="A45" s="15" t="str">
        <f>'Bldgs &amp; Rooms'!$A$3</f>
        <v>Main Bldg.</v>
      </c>
      <c r="B45" s="15">
        <f>'Bldgs &amp; Rooms'!$B$3</f>
        <v>0</v>
      </c>
      <c r="C45" s="14" t="str">
        <f>Hours!$A$8</f>
        <v>Panelboard-Single Cover &gt; 400A (Distribution Panel)</v>
      </c>
      <c r="D45" s="15">
        <f t="shared" si="0"/>
        <v>0</v>
      </c>
      <c r="E45" s="16"/>
      <c r="F45" s="17"/>
      <c r="G45" s="17"/>
      <c r="H45" s="17"/>
      <c r="I45" s="17"/>
      <c r="J45" s="17"/>
      <c r="K45" s="17"/>
      <c r="L45" s="12"/>
      <c r="M45" s="12"/>
      <c r="N45" s="12"/>
      <c r="O45" s="17"/>
      <c r="P45" s="12"/>
      <c r="Q45" s="17"/>
      <c r="R45" s="18">
        <f>IF(SUMPRODUCT((E45:Q45)*1)=0,0,E45*INDEX(Hours!M:M,MATCH(C45,Hours!$A:$A,0))+F45*INDEX(Hours!B:B,MATCH(C45,Hours!$A:$A,0))+G45*INDEX(Hours!C:C,MATCH(C45,Hours!$A:$A,0))+H45*INDEX(Hours!D:D,MATCH(C45,Hours!$A:$A,0))+I45*INDEX(Hours!E:E,MATCH(C45,Hours!$A:$A,0))+J45*INDEX(Hours!F:F,MATCH(C45,Hours!$A:$A,0))+K45*INDEX(Hours!G:G,MATCH(C45,Hours!$A:$A,0))+O45*INDEX(Hours!K:K,MATCH(C45,Hours!$A:$A,0)))</f>
        <v>0</v>
      </c>
      <c r="S45" s="19">
        <f t="shared" si="1"/>
        <v>0</v>
      </c>
    </row>
    <row r="46" spans="1:19" x14ac:dyDescent="0.25">
      <c r="A46" s="15" t="str">
        <f>'Bldgs &amp; Rooms'!$A$3</f>
        <v>Main Bldg.</v>
      </c>
      <c r="B46" s="15">
        <f>'Bldgs &amp; Rooms'!$B$3</f>
        <v>0</v>
      </c>
      <c r="C46" s="14" t="str">
        <f>Hours!$A$9</f>
        <v>Panelboard-Single Cover &lt; 400A (Branch Ckt Panel)</v>
      </c>
      <c r="D46" s="15">
        <f t="shared" si="0"/>
        <v>0</v>
      </c>
      <c r="E46" s="16"/>
      <c r="F46" s="17"/>
      <c r="G46" s="17"/>
      <c r="H46" s="17"/>
      <c r="I46" s="17"/>
      <c r="J46" s="17"/>
      <c r="K46" s="12"/>
      <c r="L46" s="12"/>
      <c r="M46" s="12"/>
      <c r="N46" s="12"/>
      <c r="O46" s="17"/>
      <c r="P46" s="12"/>
      <c r="Q46" s="17"/>
      <c r="R46" s="18">
        <f>IF(SUMPRODUCT((E46:Q46)*1)=0,0,E46*INDEX(Hours!M:M,MATCH(C46,Hours!$A:$A,0))+F46*INDEX(Hours!B:B,MATCH(C46,Hours!$A:$A,0))+G46*INDEX(Hours!C:C,MATCH(C46,Hours!$A:$A,0))+H46*INDEX(Hours!D:D,MATCH(C46,Hours!$A:$A,0))+I46*INDEX(Hours!E:E,MATCH(C46,Hours!$A:$A,0))+J46*INDEX(Hours!F:F,MATCH(C46,Hours!$A:$A,0))+O46*INDEX(Hours!K:K,MATCH(C46,Hours!$A:$A,0)))</f>
        <v>0</v>
      </c>
      <c r="S46" s="19">
        <f t="shared" si="1"/>
        <v>0</v>
      </c>
    </row>
    <row r="47" spans="1:19" x14ac:dyDescent="0.25">
      <c r="A47" s="15" t="str">
        <f>'Bldgs &amp; Rooms'!$A$3</f>
        <v>Main Bldg.</v>
      </c>
      <c r="B47" s="15">
        <f>'Bldgs &amp; Rooms'!$B$3</f>
        <v>0</v>
      </c>
      <c r="C47" s="14" t="str">
        <f>Hours!$A$10</f>
        <v>Motor Control Center (MCC-Per Vertical Section)</v>
      </c>
      <c r="D47" s="15">
        <f t="shared" si="0"/>
        <v>0</v>
      </c>
      <c r="E47" s="16"/>
      <c r="F47" s="17"/>
      <c r="G47" s="17"/>
      <c r="H47" s="17"/>
      <c r="I47" s="17"/>
      <c r="J47" s="17"/>
      <c r="K47" s="12"/>
      <c r="L47" s="12"/>
      <c r="M47" s="12"/>
      <c r="N47" s="12"/>
      <c r="O47" s="17"/>
      <c r="P47" s="12"/>
      <c r="Q47" s="17"/>
      <c r="R47" s="18">
        <f>IF(SUMPRODUCT((E47:Q47)*1)=0,0,E47*INDEX(Hours!M:M,MATCH(C47,Hours!$A:$A,0))+F47*INDEX(Hours!B:B,MATCH(C47,Hours!$A:$A,0))+G47*INDEX(Hours!C:C,MATCH(C47,Hours!$A:$A,0))+H47*INDEX(Hours!D:D,MATCH(C47,Hours!$A:$A,0))+I47*INDEX(Hours!E:E,MATCH(C47,Hours!$A:$A,0))+J47*INDEX(Hours!F:F,MATCH(C47,Hours!$A:$A,0))+O47*INDEX(Hours!K:K,MATCH(C47,Hours!$A:$A,0)))</f>
        <v>0</v>
      </c>
      <c r="S47" s="19">
        <f t="shared" si="1"/>
        <v>0</v>
      </c>
    </row>
    <row r="48" spans="1:19" x14ac:dyDescent="0.25">
      <c r="A48" s="15" t="str">
        <f>'Bldgs &amp; Rooms'!$A$3</f>
        <v>Main Bldg.</v>
      </c>
      <c r="B48" s="15">
        <f>'Bldgs &amp; Rooms'!$B$3</f>
        <v>0</v>
      </c>
      <c r="C48" s="14" t="str">
        <f>Hours!$A$11</f>
        <v xml:space="preserve">  MCC: Combination Motor Starters</v>
      </c>
      <c r="D48" s="15">
        <f t="shared" si="0"/>
        <v>0</v>
      </c>
      <c r="E48" s="16"/>
      <c r="F48" s="17"/>
      <c r="G48" s="17"/>
      <c r="H48" s="17"/>
      <c r="I48" s="17"/>
      <c r="J48" s="17"/>
      <c r="K48" s="17"/>
      <c r="L48" s="12"/>
      <c r="M48" s="12"/>
      <c r="N48" s="12"/>
      <c r="O48" s="17"/>
      <c r="P48" s="12"/>
      <c r="Q48" s="17"/>
      <c r="R48" s="18">
        <f>IF(SUMPRODUCT((E48:Q48)*1)=0,0,E48*INDEX(Hours!M:M,MATCH(C48,Hours!$A:$A,0))+F48*INDEX(Hours!B:B,MATCH(C48,Hours!$A:$A,0))+G48*INDEX(Hours!C:C,MATCH(C48,Hours!$A:$A,0))+H48*INDEX(Hours!D:D,MATCH(C48,Hours!$A:$A,0))+I48*INDEX(Hours!E:E,MATCH(C48,Hours!$A:$A,0))+J48*INDEX(Hours!F:F,MATCH(C48,Hours!$A:$A,0))+K48*INDEX(Hours!G:G,MATCH(C48,Hours!$A:$A,0))+O48*INDEX(Hours!K:K,MATCH(C48,Hours!$A:$A,0)))</f>
        <v>0</v>
      </c>
      <c r="S48" s="19">
        <f t="shared" si="1"/>
        <v>0</v>
      </c>
    </row>
    <row r="49" spans="1:19" x14ac:dyDescent="0.25">
      <c r="A49" s="15" t="str">
        <f>'Bldgs &amp; Rooms'!$A$3</f>
        <v>Main Bldg.</v>
      </c>
      <c r="B49" s="15">
        <f>'Bldgs &amp; Rooms'!$B$3</f>
        <v>0</v>
      </c>
      <c r="C49" s="14" t="str">
        <f>Hours!$A$12</f>
        <v xml:space="preserve">  MCC: Molded Case Breaker</v>
      </c>
      <c r="D49" s="15">
        <f t="shared" si="0"/>
        <v>0</v>
      </c>
      <c r="E49" s="16"/>
      <c r="F49" s="17"/>
      <c r="G49" s="17"/>
      <c r="H49" s="17"/>
      <c r="I49" s="17"/>
      <c r="J49" s="17"/>
      <c r="K49" s="17"/>
      <c r="L49" s="12"/>
      <c r="M49" s="12"/>
      <c r="N49" s="12"/>
      <c r="O49" s="12"/>
      <c r="P49" s="12"/>
      <c r="Q49" s="17"/>
      <c r="R49" s="18">
        <f>IF(SUMPRODUCT((E49:Q49)*1)=0,0,E49*INDEX(Hours!M:M,MATCH(C49,Hours!$A:$A,0))+F49*INDEX(Hours!B:B,MATCH(C49,Hours!$A:$A,0))+G49*INDEX(Hours!C:C,MATCH(C49,Hours!$A:$A,0))+H49*INDEX(Hours!D:D,MATCH(C49,Hours!$A:$A,0))+I49*INDEX(Hours!E:E,MATCH(C49,Hours!$A:$A,0))+J49*INDEX(Hours!F:F,MATCH(C49,Hours!$A:$A,0))+K49*INDEX(Hours!G:G,MATCH(C49,Hours!$A:$A,0)))</f>
        <v>0</v>
      </c>
      <c r="S49" s="19">
        <f t="shared" si="1"/>
        <v>0</v>
      </c>
    </row>
    <row r="50" spans="1:19" x14ac:dyDescent="0.25">
      <c r="A50" s="15" t="str">
        <f>'Bldgs &amp; Rooms'!$A$3</f>
        <v>Main Bldg.</v>
      </c>
      <c r="B50" s="15">
        <f>'Bldgs &amp; Rooms'!$B$3</f>
        <v>0</v>
      </c>
      <c r="C50" s="14" t="str">
        <f>Hours!$A$13</f>
        <v xml:space="preserve">  MCC: Individual Disconnect Switch</v>
      </c>
      <c r="D50" s="15">
        <f t="shared" si="0"/>
        <v>0</v>
      </c>
      <c r="E50" s="16"/>
      <c r="F50" s="17"/>
      <c r="G50" s="17"/>
      <c r="H50" s="17"/>
      <c r="I50" s="17"/>
      <c r="J50" s="17"/>
      <c r="K50" s="12"/>
      <c r="L50" s="12"/>
      <c r="M50" s="12"/>
      <c r="N50" s="12"/>
      <c r="O50" s="12"/>
      <c r="P50" s="12"/>
      <c r="Q50" s="17"/>
      <c r="R50" s="18">
        <f>IF(SUMPRODUCT((E50:Q50)*1)=0,0,E50*INDEX(Hours!M:M,MATCH(C50,Hours!$A:$A,0))+F50*INDEX(Hours!B:B,MATCH(C50,Hours!$A:$A,0))+G50*INDEX(Hours!C:C,MATCH(C50,Hours!$A:$A,0))+H50*INDEX(Hours!D:D,MATCH(C50,Hours!$A:$A,0))+I50*INDEX(Hours!E:E,MATCH(C50,Hours!$A:$A,0))+J50*INDEX(Hours!F:F,MATCH(C50,Hours!$A:$A,0)))</f>
        <v>0</v>
      </c>
      <c r="S50" s="19">
        <f t="shared" si="1"/>
        <v>0</v>
      </c>
    </row>
    <row r="51" spans="1:19" x14ac:dyDescent="0.25">
      <c r="A51" s="15" t="str">
        <f>'Bldgs &amp; Rooms'!$A$3</f>
        <v>Main Bldg.</v>
      </c>
      <c r="B51" s="15">
        <f>'Bldgs &amp; Rooms'!$B$3</f>
        <v>0</v>
      </c>
      <c r="C51" s="14" t="str">
        <f>Hours!$A$14</f>
        <v>Motor Control Panel (MCP)</v>
      </c>
      <c r="D51" s="15">
        <f t="shared" si="0"/>
        <v>0</v>
      </c>
      <c r="E51" s="16"/>
      <c r="F51" s="17"/>
      <c r="G51" s="17"/>
      <c r="H51" s="17"/>
      <c r="I51" s="17"/>
      <c r="J51" s="17"/>
      <c r="K51" s="12"/>
      <c r="L51" s="12"/>
      <c r="M51" s="12"/>
      <c r="N51" s="12"/>
      <c r="O51" s="17"/>
      <c r="P51" s="12"/>
      <c r="Q51" s="17"/>
      <c r="R51" s="18">
        <f>IF(SUMPRODUCT((E51:Q51)*1)=0,0,E51*INDEX(Hours!M:M,MATCH(C51,Hours!$A:$A,0))+F51*INDEX(Hours!B:B,MATCH(C51,Hours!$A:$A,0))+G51*INDEX(Hours!C:C,MATCH(C51,Hours!$A:$A,0))+H51*INDEX(Hours!D:D,MATCH(C51,Hours!$A:$A,0))+I51*INDEX(Hours!E:E,MATCH(C51,Hours!$A:$A,0))+J51*INDEX(Hours!F:F,MATCH(C51,Hours!$A:$A,0))+O51*INDEX(Hours!K:K,MATCH(C51,Hours!$A:$A,0)))</f>
        <v>0</v>
      </c>
      <c r="S51" s="19">
        <f t="shared" si="1"/>
        <v>0</v>
      </c>
    </row>
    <row r="52" spans="1:19" x14ac:dyDescent="0.25">
      <c r="A52" s="15" t="str">
        <f>'Bldgs &amp; Rooms'!$A$3</f>
        <v>Main Bldg.</v>
      </c>
      <c r="B52" s="15">
        <f>'Bldgs &amp; Rooms'!$B$3</f>
        <v>0</v>
      </c>
      <c r="C52" s="14" t="str">
        <f>Hours!$A$15</f>
        <v>VFD Motor Control Panel (VFD-MCP)</v>
      </c>
      <c r="D52" s="15">
        <f t="shared" si="0"/>
        <v>0</v>
      </c>
      <c r="E52" s="16"/>
      <c r="F52" s="17"/>
      <c r="G52" s="17"/>
      <c r="H52" s="17"/>
      <c r="I52" s="17"/>
      <c r="J52" s="17"/>
      <c r="K52" s="12"/>
      <c r="L52" s="12"/>
      <c r="M52" s="12"/>
      <c r="N52" s="12"/>
      <c r="O52" s="17"/>
      <c r="P52" s="12"/>
      <c r="Q52" s="17"/>
      <c r="R52" s="18">
        <f>IF(SUMPRODUCT((E52:Q52)*1)=0,0,E52*INDEX(Hours!M:M,MATCH(C52,Hours!$A:$A,0))+F52*INDEX(Hours!B:B,MATCH(C52,Hours!$A:$A,0))+G52*INDEX(Hours!C:C,MATCH(C52,Hours!$A:$A,0))+H52*INDEX(Hours!D:D,MATCH(C52,Hours!$A:$A,0))+I52*INDEX(Hours!E:E,MATCH(C52,Hours!$A:$A,0))+J52*INDEX(Hours!F:F,MATCH(C52,Hours!$A:$A,0))+O52*INDEX(Hours!K:K,MATCH(C52,Hours!$A:$A,0)))</f>
        <v>0</v>
      </c>
      <c r="S52" s="19">
        <f t="shared" si="1"/>
        <v>0</v>
      </c>
    </row>
    <row r="53" spans="1:19" x14ac:dyDescent="0.25">
      <c r="A53" s="15" t="str">
        <f>'Bldgs &amp; Rooms'!$A$3</f>
        <v>Main Bldg.</v>
      </c>
      <c r="B53" s="15">
        <f>'Bldgs &amp; Rooms'!$B$3</f>
        <v>0</v>
      </c>
      <c r="C53" s="14" t="str">
        <f>Hours!$A$16</f>
        <v>Individual Disconnect Switch &gt; 100A</v>
      </c>
      <c r="D53" s="15">
        <f t="shared" si="0"/>
        <v>0</v>
      </c>
      <c r="E53" s="16"/>
      <c r="F53" s="17"/>
      <c r="G53" s="17"/>
      <c r="H53" s="17"/>
      <c r="I53" s="17"/>
      <c r="J53" s="17"/>
      <c r="K53" s="17"/>
      <c r="L53" s="12"/>
      <c r="M53" s="12"/>
      <c r="N53" s="12"/>
      <c r="O53" s="12"/>
      <c r="P53" s="12"/>
      <c r="Q53" s="17"/>
      <c r="R53" s="18">
        <f>IF(SUMPRODUCT((E53:Q53)*1)=0,0,E53*INDEX(Hours!M:M,MATCH(C53,Hours!$A:$A,0))+F53*INDEX(Hours!B:B,MATCH(C53,Hours!$A:$A,0))+G53*INDEX(Hours!C:C,MATCH(C53,Hours!$A:$A,0))+H53*INDEX(Hours!D:D,MATCH(C53,Hours!$A:$A,0))+I53*INDEX(Hours!E:E,MATCH(C53,Hours!$A:$A,0))+J53*INDEX(Hours!F:F,MATCH(C53,Hours!$A:$A,0))+K53*INDEX(Hours!G:G,MATCH(C53,Hours!$A:$A,0)))</f>
        <v>0</v>
      </c>
      <c r="S53" s="19">
        <f t="shared" si="1"/>
        <v>0</v>
      </c>
    </row>
    <row r="54" spans="1:19" x14ac:dyDescent="0.25">
      <c r="A54" s="15" t="str">
        <f>'Bldgs &amp; Rooms'!$A$3</f>
        <v>Main Bldg.</v>
      </c>
      <c r="B54" s="15">
        <f>'Bldgs &amp; Rooms'!$B$3</f>
        <v>0</v>
      </c>
      <c r="C54" s="14" t="str">
        <f>Hours!$A$17</f>
        <v>Individual Molded Case Breaker &gt; 100A</v>
      </c>
      <c r="D54" s="15">
        <f t="shared" si="0"/>
        <v>0</v>
      </c>
      <c r="E54" s="16"/>
      <c r="F54" s="17"/>
      <c r="G54" s="17"/>
      <c r="H54" s="17"/>
      <c r="I54" s="17"/>
      <c r="J54" s="17"/>
      <c r="K54" s="17"/>
      <c r="L54" s="12"/>
      <c r="M54" s="12"/>
      <c r="N54" s="12"/>
      <c r="O54" s="12"/>
      <c r="P54" s="12"/>
      <c r="Q54" s="17"/>
      <c r="R54" s="18">
        <f>IF(SUMPRODUCT((E54:Q54)*1)=0,0,E54*INDEX(Hours!M:M,MATCH(C54,Hours!$A:$A,0))+F54*INDEX(Hours!B:B,MATCH(C54,Hours!$A:$A,0))+G54*INDEX(Hours!C:C,MATCH(C54,Hours!$A:$A,0))+H54*INDEX(Hours!D:D,MATCH(C54,Hours!$A:$A,0))+I54*INDEX(Hours!E:E,MATCH(C54,Hours!$A:$A,0))+J54*INDEX(Hours!F:F,MATCH(C54,Hours!$A:$A,0))+K54*INDEX(Hours!G:G,MATCH(C54,Hours!$A:$A,0)))</f>
        <v>0</v>
      </c>
      <c r="S54" s="19">
        <f t="shared" si="1"/>
        <v>0</v>
      </c>
    </row>
    <row r="55" spans="1:19" x14ac:dyDescent="0.25">
      <c r="A55" s="15" t="str">
        <f>'Bldgs &amp; Rooms'!$A$3</f>
        <v>Main Bldg.</v>
      </c>
      <c r="B55" s="15">
        <f>'Bldgs &amp; Rooms'!$B$3</f>
        <v>0</v>
      </c>
      <c r="C55" s="14" t="str">
        <f>Hours!$A$18</f>
        <v>Individual Combination Motor Starter &gt; 100A</v>
      </c>
      <c r="D55" s="15">
        <f t="shared" si="0"/>
        <v>0</v>
      </c>
      <c r="E55" s="16"/>
      <c r="F55" s="17"/>
      <c r="G55" s="17"/>
      <c r="H55" s="17"/>
      <c r="I55" s="17"/>
      <c r="J55" s="17"/>
      <c r="K55" s="17"/>
      <c r="L55" s="12"/>
      <c r="M55" s="12"/>
      <c r="N55" s="12"/>
      <c r="O55" s="12"/>
      <c r="P55" s="12"/>
      <c r="Q55" s="17"/>
      <c r="R55" s="18">
        <f>IF(SUMPRODUCT((E55:Q55)*1)=0,0,E55*INDEX(Hours!M:M,MATCH(C55,Hours!$A:$A,0))+F55*INDEX(Hours!B:B,MATCH(C55,Hours!$A:$A,0))+G55*INDEX(Hours!C:C,MATCH(C55,Hours!$A:$A,0))+H55*INDEX(Hours!D:D,MATCH(C55,Hours!$A:$A,0))+I55*INDEX(Hours!E:E,MATCH(C55,Hours!$A:$A,0))+J55*INDEX(Hours!F:F,MATCH(C55,Hours!$A:$A,0))+K55*INDEX(Hours!G:G,MATCH(C55,Hours!$A:$A,0)))</f>
        <v>0</v>
      </c>
      <c r="S55" s="19">
        <f t="shared" si="1"/>
        <v>0</v>
      </c>
    </row>
    <row r="56" spans="1:19" x14ac:dyDescent="0.25">
      <c r="A56" s="15" t="str">
        <f>'Bldgs &amp; Rooms'!$A$3</f>
        <v>Main Bldg.</v>
      </c>
      <c r="B56" s="15">
        <f>'Bldgs &amp; Rooms'!$B$3</f>
        <v>0</v>
      </c>
      <c r="C56" s="14" t="str">
        <f>Hours!$A$19</f>
        <v>Oil Filled Transformer - 5kV-15kV Primary - Any Size (Pad Mounted)</v>
      </c>
      <c r="D56" s="15">
        <f t="shared" si="0"/>
        <v>0</v>
      </c>
      <c r="E56" s="16"/>
      <c r="F56" s="17"/>
      <c r="G56" s="17"/>
      <c r="H56" s="17"/>
      <c r="I56" s="17"/>
      <c r="J56" s="17"/>
      <c r="K56" s="12"/>
      <c r="L56" s="12"/>
      <c r="M56" s="17"/>
      <c r="N56" s="17"/>
      <c r="O56" s="12"/>
      <c r="P56" s="17"/>
      <c r="Q56" s="17"/>
      <c r="R56" s="18">
        <f>IF(SUMPRODUCT((E56:Q56)*1)=0,0,E56*INDEX(Hours!M:M,MATCH(C56,Hours!$A:$A,0))+F56*INDEX(Hours!B:B,MATCH(C56,Hours!$A:$A,0))+G56*INDEX(Hours!C:C,MATCH(C56,Hours!$A:$A,0))+H56*INDEX(Hours!D:D,MATCH(C56,Hours!$A:$A,0))+I56*INDEX(Hours!E:E,MATCH(C56,Hours!$A:$A,0))+J56*INDEX(Hours!F:F,MATCH(C56,Hours!$A:$A,0))+M56*INDEX(Hours!I:I,MATCH(C56,Hours!$A:$A,0))+N56*INDEX(Hours!J:J,MATCH(C56,Hours!$A:$A,0))+P56*INDEX(Hours!L:L,MATCH(C56,Hours!$A:$A,0)))</f>
        <v>0</v>
      </c>
      <c r="S56" s="19">
        <f t="shared" si="1"/>
        <v>0</v>
      </c>
    </row>
    <row r="57" spans="1:19" x14ac:dyDescent="0.25">
      <c r="A57" s="15" t="str">
        <f>'Bldgs &amp; Rooms'!$A$3</f>
        <v>Main Bldg.</v>
      </c>
      <c r="B57" s="15">
        <f>'Bldgs &amp; Rooms'!$B$3</f>
        <v>0</v>
      </c>
      <c r="C57" s="14" t="str">
        <f>Hours!$A$20</f>
        <v>Oil Filled Transformer - &gt; 15kV Primary (Substation Class)</v>
      </c>
      <c r="D57" s="15">
        <f t="shared" si="0"/>
        <v>0</v>
      </c>
      <c r="E57" s="16"/>
      <c r="F57" s="17"/>
      <c r="G57" s="17"/>
      <c r="H57" s="17"/>
      <c r="I57" s="17"/>
      <c r="J57" s="17"/>
      <c r="K57" s="12"/>
      <c r="L57" s="12"/>
      <c r="M57" s="17"/>
      <c r="N57" s="17"/>
      <c r="O57" s="12"/>
      <c r="P57" s="17"/>
      <c r="Q57" s="17"/>
      <c r="R57" s="18">
        <f>IF(SUMPRODUCT((E57:Q57)*1)=0,0,E57*INDEX(Hours!M:M,MATCH(C57,Hours!$A:$A,0))+F57*INDEX(Hours!B:B,MATCH(C57,Hours!$A:$A,0))+G57*INDEX(Hours!C:C,MATCH(C57,Hours!$A:$A,0))+H57*INDEX(Hours!D:D,MATCH(C57,Hours!$A:$A,0))+I57*INDEX(Hours!E:E,MATCH(C57,Hours!$A:$A,0))+J57*INDEX(Hours!F:F,MATCH(C57,Hours!$A:$A,0))+M57*INDEX(Hours!I:I,MATCH(C57,Hours!$A:$A,0))+N57*INDEX(Hours!J:J,MATCH(C57,Hours!$A:$A,0))+P57*INDEX(Hours!L:L,MATCH(C57,Hours!$A:$A,0)))</f>
        <v>0</v>
      </c>
      <c r="S57" s="19">
        <f t="shared" si="1"/>
        <v>0</v>
      </c>
    </row>
    <row r="58" spans="1:19" x14ac:dyDescent="0.25">
      <c r="A58" s="15" t="str">
        <f>'Bldgs &amp; Rooms'!$A$3</f>
        <v>Main Bldg.</v>
      </c>
      <c r="B58" s="15">
        <f>'Bldgs &amp; Rooms'!$B$3</f>
        <v>0</v>
      </c>
      <c r="C58" s="14" t="str">
        <f>Hours!$A$21</f>
        <v>Dry Type Transformer - &lt; 480V Primary - Any Size kVA</v>
      </c>
      <c r="D58" s="15">
        <f t="shared" si="0"/>
        <v>0</v>
      </c>
      <c r="E58" s="16"/>
      <c r="F58" s="17"/>
      <c r="G58" s="17"/>
      <c r="H58" s="17"/>
      <c r="I58" s="17"/>
      <c r="J58" s="17"/>
      <c r="K58" s="12"/>
      <c r="L58" s="12"/>
      <c r="M58" s="17"/>
      <c r="N58" s="17"/>
      <c r="O58" s="12"/>
      <c r="P58" s="12"/>
      <c r="Q58" s="17"/>
      <c r="R58" s="18">
        <f>IF(SUMPRODUCT((E58:Q58)*1)=0,0,E58*INDEX(Hours!M:M,MATCH(C58,Hours!$A:$A,0))+F58*INDEX(Hours!B:B,MATCH(C58,Hours!$A:$A,0))+G58*INDEX(Hours!C:C,MATCH(C58,Hours!$A:$A,0))+H58*INDEX(Hours!D:D,MATCH(C58,Hours!$A:$A,0))+I58*INDEX(Hours!E:E,MATCH(C58,Hours!$A:$A,0))+J58*INDEX(Hours!F:F,MATCH(C58,Hours!$A:$A,0))+M58*INDEX(Hours!I:I,MATCH(C58,Hours!$A:$A,0))+N58*INDEX(Hours!J:J,MATCH(C58,Hours!$A:$A,0)))</f>
        <v>0</v>
      </c>
      <c r="S58" s="19">
        <f t="shared" si="1"/>
        <v>0</v>
      </c>
    </row>
    <row r="59" spans="1:19" x14ac:dyDescent="0.25">
      <c r="A59" s="15" t="str">
        <f>'Bldgs &amp; Rooms'!$A$3</f>
        <v>Main Bldg.</v>
      </c>
      <c r="B59" s="15">
        <f>'Bldgs &amp; Rooms'!$B$3</f>
        <v>0</v>
      </c>
      <c r="C59" s="14" t="str">
        <f>Hours!$A$22</f>
        <v>Power Factor Correction Capacitors</v>
      </c>
      <c r="D59" s="15">
        <f t="shared" si="0"/>
        <v>0</v>
      </c>
      <c r="E59" s="16"/>
      <c r="F59" s="17"/>
      <c r="G59" s="17"/>
      <c r="H59" s="17"/>
      <c r="I59" s="17"/>
      <c r="J59" s="17"/>
      <c r="K59" s="12"/>
      <c r="L59" s="12"/>
      <c r="M59" s="12"/>
      <c r="N59" s="12"/>
      <c r="O59" s="12"/>
      <c r="P59" s="12"/>
      <c r="Q59" s="17"/>
      <c r="R59" s="18">
        <f>IF(SUMPRODUCT((E59:Q59)*1)=0,0,E59*INDEX(Hours!M:M,MATCH(C59,Hours!$A:$A,0))+F59*INDEX(Hours!B:B,MATCH(C59,Hours!$A:$A,0))+G59*INDEX(Hours!C:C,MATCH(C59,Hours!$A:$A,0))+H59*INDEX(Hours!D:D,MATCH(C59,Hours!$A:$A,0))+I59*INDEX(Hours!E:E,MATCH(C59,Hours!$A:$A,0))+J59*INDEX(Hours!F:F,MATCH(C59,Hours!$A:$A,0)))</f>
        <v>0</v>
      </c>
      <c r="S59" s="19">
        <f t="shared" si="1"/>
        <v>0</v>
      </c>
    </row>
    <row r="60" spans="1:19" x14ac:dyDescent="0.25">
      <c r="A60" s="15" t="str">
        <f>'Bldgs &amp; Rooms'!$A$3</f>
        <v>Main Bldg.</v>
      </c>
      <c r="B60" s="15">
        <f>'Bldgs &amp; Rooms'!$B$3</f>
        <v>0</v>
      </c>
      <c r="C60" s="14" t="str">
        <f>Hours!$A$23</f>
        <v>Lighting Contactor &gt; 100A</v>
      </c>
      <c r="D60" s="15">
        <f t="shared" si="0"/>
        <v>0</v>
      </c>
      <c r="E60" s="16"/>
      <c r="F60" s="17"/>
      <c r="G60" s="17"/>
      <c r="H60" s="17"/>
      <c r="I60" s="17"/>
      <c r="J60" s="17"/>
      <c r="K60" s="12"/>
      <c r="L60" s="12"/>
      <c r="M60" s="12"/>
      <c r="N60" s="12"/>
      <c r="O60" s="12"/>
      <c r="P60" s="12"/>
      <c r="Q60" s="17"/>
      <c r="R60" s="18">
        <f>IF(SUMPRODUCT((E60:Q60)*1)=0,0,E60*INDEX(Hours!M:M,MATCH(C60,Hours!$A:$A,0))+F60*INDEX(Hours!B:B,MATCH(C60,Hours!$A:$A,0))+G60*INDEX(Hours!C:C,MATCH(C60,Hours!$A:$A,0))+H60*INDEX(Hours!D:D,MATCH(C60,Hours!$A:$A,0))+I60*INDEX(Hours!E:E,MATCH(C60,Hours!$A:$A,0))+J60*INDEX(Hours!F:F,MATCH(C60,Hours!$A:$A,0)))</f>
        <v>0</v>
      </c>
      <c r="S60" s="19">
        <f t="shared" si="1"/>
        <v>0</v>
      </c>
    </row>
    <row r="61" spans="1:19" x14ac:dyDescent="0.25">
      <c r="A61" s="15" t="str">
        <f>'Bldgs &amp; Rooms'!$A$3</f>
        <v>Main Bldg.</v>
      </c>
      <c r="B61" s="15">
        <f>'Bldgs &amp; Rooms'!$B$3</f>
        <v>0</v>
      </c>
      <c r="C61" s="14" t="str">
        <f>Hours!$A$24</f>
        <v>Power Distribution Unit (PDU)</v>
      </c>
      <c r="D61" s="15">
        <f t="shared" si="0"/>
        <v>0</v>
      </c>
      <c r="E61" s="16"/>
      <c r="F61" s="17"/>
      <c r="G61" s="17"/>
      <c r="H61" s="17"/>
      <c r="I61" s="17"/>
      <c r="J61" s="17"/>
      <c r="K61" s="12"/>
      <c r="L61" s="12"/>
      <c r="M61" s="12"/>
      <c r="N61" s="12"/>
      <c r="O61" s="12"/>
      <c r="P61" s="12"/>
      <c r="Q61" s="17"/>
      <c r="R61" s="18">
        <f>IF(SUMPRODUCT((E61:Q61)*1)=0,0,E61*INDEX(Hours!M:M,MATCH(C61,Hours!$A:$A,0))+F61*INDEX(Hours!B:B,MATCH(C61,Hours!$A:$A,0))+G61*INDEX(Hours!C:C,MATCH(C61,Hours!$A:$A,0))+H61*INDEX(Hours!D:D,MATCH(C61,Hours!$A:$A,0))+I61*INDEX(Hours!E:E,MATCH(C61,Hours!$A:$A,0))+J61*INDEX(Hours!F:F,MATCH(C61,Hours!$A:$A,0)))</f>
        <v>0</v>
      </c>
      <c r="S61" s="19">
        <f t="shared" si="1"/>
        <v>0</v>
      </c>
    </row>
    <row r="62" spans="1:19" x14ac:dyDescent="0.25">
      <c r="A62" s="15" t="str">
        <f>'Bldgs &amp; Rooms'!$A$3</f>
        <v>Main Bldg.</v>
      </c>
      <c r="B62" s="15">
        <f>'Bldgs &amp; Rooms'!$B$3</f>
        <v>0</v>
      </c>
      <c r="C62" s="14" t="str">
        <f>Hours!$A$25</f>
        <v>Wire Trough, Gutter, or Large Junction Boxes</v>
      </c>
      <c r="D62" s="15">
        <f t="shared" si="0"/>
        <v>0</v>
      </c>
      <c r="E62" s="16"/>
      <c r="F62" s="17"/>
      <c r="G62" s="17"/>
      <c r="H62" s="17"/>
      <c r="I62" s="17"/>
      <c r="J62" s="17"/>
      <c r="K62" s="12"/>
      <c r="L62" s="12"/>
      <c r="M62" s="12"/>
      <c r="N62" s="12"/>
      <c r="O62" s="12"/>
      <c r="P62" s="12"/>
      <c r="Q62" s="17"/>
      <c r="R62" s="18">
        <f>IF(SUMPRODUCT((E62:Q62)*1)=0,0,E62*INDEX(Hours!M:M,MATCH(C62,Hours!$A:$A,0))+F62*INDEX(Hours!B:B,MATCH(C62,Hours!$A:$A,0))+G62*INDEX(Hours!C:C,MATCH(C62,Hours!$A:$A,0))+H62*INDEX(Hours!D:D,MATCH(C62,Hours!$A:$A,0))+I62*INDEX(Hours!E:E,MATCH(C62,Hours!$A:$A,0))+J62*INDEX(Hours!F:F,MATCH(C62,Hours!$A:$A,0)))</f>
        <v>0</v>
      </c>
      <c r="S62" s="19">
        <f t="shared" si="1"/>
        <v>0</v>
      </c>
    </row>
    <row r="63" spans="1:19" x14ac:dyDescent="0.25">
      <c r="A63" s="15" t="str">
        <f>'Bldgs &amp; Rooms'!$A$3</f>
        <v>Main Bldg.</v>
      </c>
      <c r="B63" s="15">
        <f>'Bldgs &amp; Rooms'!$B$3</f>
        <v>0</v>
      </c>
      <c r="C63" s="14" t="str">
        <f>Hours!$A$26</f>
        <v>Bus Duct - Vertical or Horizontal (Per 10' section)</v>
      </c>
      <c r="D63" s="15">
        <f t="shared" si="0"/>
        <v>0</v>
      </c>
      <c r="E63" s="16"/>
      <c r="F63" s="17"/>
      <c r="G63" s="17"/>
      <c r="H63" s="17"/>
      <c r="I63" s="17"/>
      <c r="J63" s="17"/>
      <c r="K63" s="12"/>
      <c r="L63" s="12"/>
      <c r="M63" s="12"/>
      <c r="N63" s="12"/>
      <c r="O63" s="12"/>
      <c r="P63" s="12"/>
      <c r="Q63" s="17"/>
      <c r="R63" s="18">
        <f>IF(SUMPRODUCT((E63:Q63)*1)=0,0,E63*INDEX(Hours!M:M,MATCH(C63,Hours!$A:$A,0))+F63*INDEX(Hours!B:B,MATCH(C63,Hours!$A:$A,0))+G63*INDEX(Hours!C:C,MATCH(C63,Hours!$A:$A,0))+H63*INDEX(Hours!D:D,MATCH(C63,Hours!$A:$A,0))+I63*INDEX(Hours!E:E,MATCH(C63,Hours!$A:$A,0))+J63*INDEX(Hours!F:F,MATCH(C63,Hours!$A:$A,0)))</f>
        <v>0</v>
      </c>
      <c r="S63" s="19">
        <f t="shared" si="1"/>
        <v>0</v>
      </c>
    </row>
    <row r="64" spans="1:19" x14ac:dyDescent="0.25">
      <c r="A64" s="15" t="str">
        <f>'Bldgs &amp; Rooms'!$A$3</f>
        <v>Main Bldg.</v>
      </c>
      <c r="B64" s="15">
        <f>'Bldgs &amp; Rooms'!$B$3</f>
        <v>0</v>
      </c>
      <c r="C64" s="14" t="str">
        <f>Hours!$A$27</f>
        <v>Automatic Transfer Switch (ATS) &gt; 100A</v>
      </c>
      <c r="D64" s="15">
        <f t="shared" si="0"/>
        <v>0</v>
      </c>
      <c r="E64" s="16"/>
      <c r="F64" s="17"/>
      <c r="G64" s="17"/>
      <c r="H64" s="17"/>
      <c r="I64" s="17"/>
      <c r="J64" s="17"/>
      <c r="K64" s="12"/>
      <c r="L64" s="12"/>
      <c r="M64" s="12"/>
      <c r="N64" s="12"/>
      <c r="O64" s="12"/>
      <c r="P64" s="12"/>
      <c r="Q64" s="17"/>
      <c r="R64" s="18">
        <f>IF(SUMPRODUCT((E64:Q64)*1)=0,0,E64*INDEX(Hours!M:M,MATCH(C64,Hours!$A:$A,0))+F64*INDEX(Hours!B:B,MATCH(C64,Hours!$A:$A,0))+G64*INDEX(Hours!C:C,MATCH(C64,Hours!$A:$A,0))+H64*INDEX(Hours!D:D,MATCH(C64,Hours!$A:$A,0))+I64*INDEX(Hours!E:E,MATCH(C64,Hours!$A:$A,0))+J64*INDEX(Hours!F:F,MATCH(C64,Hours!$A:$A,0)))</f>
        <v>0</v>
      </c>
      <c r="S64" s="19">
        <f t="shared" si="1"/>
        <v>0</v>
      </c>
    </row>
    <row r="65" spans="1:19" x14ac:dyDescent="0.25">
      <c r="A65" s="15" t="str">
        <f>'Bldgs &amp; Rooms'!$A$3</f>
        <v>Main Bldg.</v>
      </c>
      <c r="B65" s="15">
        <f>'Bldgs &amp; Rooms'!$B$3</f>
        <v>0</v>
      </c>
      <c r="C65" s="14" t="str">
        <f>Hours!$A$28</f>
        <v>Manual Transfer Switch (MTS) &gt; 100A</v>
      </c>
      <c r="D65" s="15">
        <f t="shared" si="0"/>
        <v>0</v>
      </c>
      <c r="E65" s="16"/>
      <c r="F65" s="17"/>
      <c r="G65" s="17"/>
      <c r="H65" s="17"/>
      <c r="I65" s="17"/>
      <c r="J65" s="17"/>
      <c r="K65" s="12"/>
      <c r="L65" s="12"/>
      <c r="M65" s="12"/>
      <c r="N65" s="12"/>
      <c r="O65" s="12"/>
      <c r="P65" s="12"/>
      <c r="Q65" s="17"/>
      <c r="R65" s="18">
        <f>IF(SUMPRODUCT((E65:Q65)*1)=0,0,E65*INDEX(Hours!M:M,MATCH(C65,Hours!$A:$A,0))+F65*INDEX(Hours!B:B,MATCH(C65,Hours!$A:$A,0))+G65*INDEX(Hours!C:C,MATCH(C65,Hours!$A:$A,0))+H65*INDEX(Hours!D:D,MATCH(C65,Hours!$A:$A,0))+I65*INDEX(Hours!E:E,MATCH(C65,Hours!$A:$A,0))+J65*INDEX(Hours!F:F,MATCH(C65,Hours!$A:$A,0)))</f>
        <v>0</v>
      </c>
      <c r="S65" s="19">
        <f t="shared" si="1"/>
        <v>0</v>
      </c>
    </row>
    <row r="66" spans="1:19" x14ac:dyDescent="0.25">
      <c r="A66" s="15" t="str">
        <f>'Bldgs &amp; Rooms'!$A$3</f>
        <v>Main Bldg.</v>
      </c>
      <c r="B66" s="15">
        <f>'Bldgs &amp; Rooms'!$B$3</f>
        <v>0</v>
      </c>
      <c r="C66" s="14" t="str">
        <f>Hours!$A$29</f>
        <v>Variable Frequency Drives (VFD) &lt; 50 HP</v>
      </c>
      <c r="D66" s="15">
        <f t="shared" ref="D66:D129" si="2">MAX(E66+F66,G66,H66,I66,J66,K66,L66,M66,N66,O66,P66,Q66)</f>
        <v>0</v>
      </c>
      <c r="E66" s="16"/>
      <c r="F66" s="17"/>
      <c r="G66" s="17"/>
      <c r="H66" s="17"/>
      <c r="I66" s="17"/>
      <c r="J66" s="17"/>
      <c r="K66" s="12"/>
      <c r="L66" s="12"/>
      <c r="M66" s="12"/>
      <c r="N66" s="12"/>
      <c r="O66" s="12"/>
      <c r="P66" s="12"/>
      <c r="Q66" s="17"/>
      <c r="R66" s="18">
        <f>IF(SUMPRODUCT((E66:Q66)*1)=0,0,E66*INDEX(Hours!M:M,MATCH(C66,Hours!$A:$A,0))+F66*INDEX(Hours!B:B,MATCH(C66,Hours!$A:$A,0))+G66*INDEX(Hours!C:C,MATCH(C66,Hours!$A:$A,0))+H66*INDEX(Hours!D:D,MATCH(C66,Hours!$A:$A,0))+I66*INDEX(Hours!E:E,MATCH(C66,Hours!$A:$A,0))+J66*INDEX(Hours!F:F,MATCH(C66,Hours!$A:$A,0)))</f>
        <v>0</v>
      </c>
      <c r="S66" s="19">
        <f t="shared" ref="S66:S129" si="3">MAX(E66+F66,G66,H66,I66,J66,K66,L66,M66,N66,O66,P66,Q66)</f>
        <v>0</v>
      </c>
    </row>
    <row r="67" spans="1:19" x14ac:dyDescent="0.25">
      <c r="A67" s="15" t="str">
        <f>'Bldgs &amp; Rooms'!$A$3</f>
        <v>Main Bldg.</v>
      </c>
      <c r="B67" s="15">
        <f>'Bldgs &amp; Rooms'!$B$3</f>
        <v>0</v>
      </c>
      <c r="C67" s="14" t="str">
        <f>Hours!$A$30</f>
        <v>Variable Frequency Drives (VFD) 51-200 HP</v>
      </c>
      <c r="D67" s="15">
        <f t="shared" si="2"/>
        <v>0</v>
      </c>
      <c r="E67" s="16"/>
      <c r="F67" s="17"/>
      <c r="G67" s="17"/>
      <c r="H67" s="17"/>
      <c r="I67" s="17"/>
      <c r="J67" s="17"/>
      <c r="K67" s="12"/>
      <c r="L67" s="12"/>
      <c r="M67" s="12"/>
      <c r="N67" s="12"/>
      <c r="O67" s="12"/>
      <c r="P67" s="12"/>
      <c r="Q67" s="17"/>
      <c r="R67" s="18">
        <f>IF(SUMPRODUCT((E67:Q67)*1)=0,0,E67*INDEX(Hours!M:M,MATCH(C67,Hours!$A:$A,0))+F67*INDEX(Hours!B:B,MATCH(C67,Hours!$A:$A,0))+G67*INDEX(Hours!C:C,MATCH(C67,Hours!$A:$A,0))+H67*INDEX(Hours!D:D,MATCH(C67,Hours!$A:$A,0))+I67*INDEX(Hours!E:E,MATCH(C67,Hours!$A:$A,0))+J67*INDEX(Hours!F:F,MATCH(C67,Hours!$A:$A,0)))</f>
        <v>0</v>
      </c>
      <c r="S67" s="19">
        <f t="shared" si="3"/>
        <v>0</v>
      </c>
    </row>
    <row r="68" spans="1:19" x14ac:dyDescent="0.25">
      <c r="A68" s="15" t="str">
        <f>'Bldgs &amp; Rooms'!$A$3</f>
        <v>Main Bldg.</v>
      </c>
      <c r="B68" s="15">
        <f>'Bldgs &amp; Rooms'!$B$3</f>
        <v>0</v>
      </c>
      <c r="C68" s="14" t="str">
        <f>Hours!$A$31</f>
        <v>Motors &lt; 50 HP</v>
      </c>
      <c r="D68" s="15">
        <f t="shared" si="2"/>
        <v>0</v>
      </c>
      <c r="E68" s="16"/>
      <c r="F68" s="17"/>
      <c r="G68" s="17"/>
      <c r="H68" s="17"/>
      <c r="I68" s="17"/>
      <c r="J68" s="17"/>
      <c r="K68" s="12"/>
      <c r="L68" s="12"/>
      <c r="M68" s="12"/>
      <c r="N68" s="12"/>
      <c r="O68" s="12"/>
      <c r="P68" s="12"/>
      <c r="Q68" s="17"/>
      <c r="R68" s="18">
        <f>IF(SUMPRODUCT((E68:Q68)*1)=0,0,E68*INDEX(Hours!M:M,MATCH(C68,Hours!$A:$A,0))+F68*INDEX(Hours!B:B,MATCH(C68,Hours!$A:$A,0))+G68*INDEX(Hours!C:C,MATCH(C68,Hours!$A:$A,0))+H68*INDEX(Hours!D:D,MATCH(C68,Hours!$A:$A,0))+I68*INDEX(Hours!E:E,MATCH(C68,Hours!$A:$A,0))+J68*INDEX(Hours!F:F,MATCH(C68,Hours!$A:$A,0)))</f>
        <v>0</v>
      </c>
      <c r="S68" s="19">
        <f t="shared" si="3"/>
        <v>0</v>
      </c>
    </row>
    <row r="69" spans="1:19" x14ac:dyDescent="0.25">
      <c r="A69" s="15" t="str">
        <f>'Bldgs &amp; Rooms'!$A$3</f>
        <v>Main Bldg.</v>
      </c>
      <c r="B69" s="15">
        <f>'Bldgs &amp; Rooms'!$B$3</f>
        <v>0</v>
      </c>
      <c r="C69" s="14" t="str">
        <f>Hours!$A$32</f>
        <v>Motors 51-200 HP</v>
      </c>
      <c r="D69" s="15">
        <f t="shared" si="2"/>
        <v>0</v>
      </c>
      <c r="E69" s="16"/>
      <c r="F69" s="17"/>
      <c r="G69" s="17"/>
      <c r="H69" s="17"/>
      <c r="I69" s="17"/>
      <c r="J69" s="17"/>
      <c r="K69" s="12"/>
      <c r="L69" s="12"/>
      <c r="M69" s="12"/>
      <c r="N69" s="12"/>
      <c r="O69" s="12"/>
      <c r="P69" s="12"/>
      <c r="Q69" s="17"/>
      <c r="R69" s="18">
        <f>IF(SUMPRODUCT((E69:Q69)*1)=0,0,E69*INDEX(Hours!M:M,MATCH(C69,Hours!$A:$A,0))+F69*INDEX(Hours!B:B,MATCH(C69,Hours!$A:$A,0))+G69*INDEX(Hours!C:C,MATCH(C69,Hours!$A:$A,0))+H69*INDEX(Hours!D:D,MATCH(C69,Hours!$A:$A,0))+I69*INDEX(Hours!E:E,MATCH(C69,Hours!$A:$A,0))+J69*INDEX(Hours!F:F,MATCH(C69,Hours!$A:$A,0)))</f>
        <v>0</v>
      </c>
      <c r="S69" s="19">
        <f t="shared" si="3"/>
        <v>0</v>
      </c>
    </row>
    <row r="70" spans="1:19" x14ac:dyDescent="0.25">
      <c r="A70" s="15" t="str">
        <f>'Bldgs &amp; Rooms'!$A$3</f>
        <v>Main Bldg.</v>
      </c>
      <c r="B70" s="15">
        <f>'Bldgs &amp; Rooms'!$B$3</f>
        <v>0</v>
      </c>
      <c r="C70" s="14" t="str">
        <f>Hours!$A$33</f>
        <v>Motors 201-500 HP</v>
      </c>
      <c r="D70" s="15">
        <f t="shared" si="2"/>
        <v>0</v>
      </c>
      <c r="E70" s="16"/>
      <c r="F70" s="17"/>
      <c r="G70" s="17"/>
      <c r="H70" s="17"/>
      <c r="I70" s="17"/>
      <c r="J70" s="17"/>
      <c r="K70" s="12"/>
      <c r="L70" s="12"/>
      <c r="M70" s="12"/>
      <c r="N70" s="12"/>
      <c r="O70" s="12"/>
      <c r="P70" s="12"/>
      <c r="Q70" s="17"/>
      <c r="R70" s="18">
        <f>IF(SUMPRODUCT((E70:Q70)*1)=0,0,E70*INDEX(Hours!M:M,MATCH(C70,Hours!$A:$A,0))+F70*INDEX(Hours!B:B,MATCH(C70,Hours!$A:$A,0))+G70*INDEX(Hours!C:C,MATCH(C70,Hours!$A:$A,0))+H70*INDEX(Hours!D:D,MATCH(C70,Hours!$A:$A,0))+I70*INDEX(Hours!E:E,MATCH(C70,Hours!$A:$A,0))+J70*INDEX(Hours!F:F,MATCH(C70,Hours!$A:$A,0)))</f>
        <v>0</v>
      </c>
      <c r="S70" s="19">
        <f t="shared" si="3"/>
        <v>0</v>
      </c>
    </row>
    <row r="71" spans="1:19" x14ac:dyDescent="0.25">
      <c r="A71" s="15" t="str">
        <f>'Bldgs &amp; Rooms'!$A$3</f>
        <v>Main Bldg.</v>
      </c>
      <c r="B71" s="15">
        <f>'Bldgs &amp; Rooms'!$B$3</f>
        <v>0</v>
      </c>
      <c r="C71" s="14" t="str">
        <f>Hours!$A$34</f>
        <v>Compressed Air Equipment</v>
      </c>
      <c r="D71" s="15">
        <f t="shared" si="2"/>
        <v>0</v>
      </c>
      <c r="E71" s="16"/>
      <c r="F71" s="17"/>
      <c r="G71" s="17"/>
      <c r="H71" s="17"/>
      <c r="I71" s="17"/>
      <c r="J71" s="17"/>
      <c r="K71" s="12"/>
      <c r="L71" s="12"/>
      <c r="M71" s="12"/>
      <c r="N71" s="12"/>
      <c r="O71" s="12"/>
      <c r="P71" s="12"/>
      <c r="Q71" s="17"/>
      <c r="R71" s="18">
        <f>IF(SUMPRODUCT((E71:Q71)*1)=0,0,E71*INDEX(Hours!M:M,MATCH(C71,Hours!$A:$A,0))+F71*INDEX(Hours!B:B,MATCH(C71,Hours!$A:$A,0))+G71*INDEX(Hours!C:C,MATCH(C71,Hours!$A:$A,0))+H71*INDEX(Hours!D:D,MATCH(C71,Hours!$A:$A,0))+I71*INDEX(Hours!E:E,MATCH(C71,Hours!$A:$A,0))+J71*INDEX(Hours!F:F,MATCH(C71,Hours!$A:$A,0)))</f>
        <v>0</v>
      </c>
      <c r="S71" s="19">
        <f t="shared" si="3"/>
        <v>0</v>
      </c>
    </row>
    <row r="72" spans="1:19" x14ac:dyDescent="0.25">
      <c r="A72" s="15" t="str">
        <f>'Bldgs &amp; Rooms'!$A$3</f>
        <v>Main Bldg.</v>
      </c>
      <c r="B72" s="15">
        <f>'Bldgs &amp; Rooms'!$B$3</f>
        <v>0</v>
      </c>
      <c r="C72" s="14" t="str">
        <f>Hours!$A$35</f>
        <v>HVAC Equipment (Large)</v>
      </c>
      <c r="D72" s="15">
        <f t="shared" si="2"/>
        <v>0</v>
      </c>
      <c r="E72" s="16"/>
      <c r="F72" s="17"/>
      <c r="G72" s="17"/>
      <c r="H72" s="17"/>
      <c r="I72" s="17"/>
      <c r="J72" s="17"/>
      <c r="K72" s="12"/>
      <c r="L72" s="12"/>
      <c r="M72" s="12"/>
      <c r="N72" s="12"/>
      <c r="O72" s="12"/>
      <c r="P72" s="12"/>
      <c r="Q72" s="17"/>
      <c r="R72" s="18">
        <f>IF(SUMPRODUCT((E72:Q72)*1)=0,0,E72*INDEX(Hours!M:M,MATCH(C72,Hours!$A:$A,0))+F72*INDEX(Hours!B:B,MATCH(C72,Hours!$A:$A,0))+G72*INDEX(Hours!C:C,MATCH(C72,Hours!$A:$A,0))+H72*INDEX(Hours!D:D,MATCH(C72,Hours!$A:$A,0))+I72*INDEX(Hours!E:E,MATCH(C72,Hours!$A:$A,0))+J72*INDEX(Hours!F:F,MATCH(C72,Hours!$A:$A,0)))</f>
        <v>0</v>
      </c>
      <c r="S72" s="19">
        <f t="shared" si="3"/>
        <v>0</v>
      </c>
    </row>
    <row r="73" spans="1:19" x14ac:dyDescent="0.25">
      <c r="A73" s="15" t="str">
        <f>'Bldgs &amp; Rooms'!$A$3</f>
        <v>Main Bldg.</v>
      </c>
      <c r="B73" s="15">
        <f>'Bldgs &amp; Rooms'!$B$3</f>
        <v>0</v>
      </c>
      <c r="C73" s="14" t="str">
        <f>Hours!$A$36</f>
        <v>HVAC Equipment (Small)</v>
      </c>
      <c r="D73" s="15">
        <f t="shared" si="2"/>
        <v>0</v>
      </c>
      <c r="E73" s="16"/>
      <c r="F73" s="17"/>
      <c r="G73" s="17"/>
      <c r="H73" s="17"/>
      <c r="I73" s="17"/>
      <c r="J73" s="17"/>
      <c r="K73" s="12"/>
      <c r="L73" s="12"/>
      <c r="M73" s="12"/>
      <c r="N73" s="12"/>
      <c r="O73" s="12"/>
      <c r="P73" s="12"/>
      <c r="Q73" s="17"/>
      <c r="R73" s="18">
        <f>IF(SUMPRODUCT((E73:Q73)*1)=0,0,E73*INDEX(Hours!M:M,MATCH(C73,Hours!$A:$A,0))+F73*INDEX(Hours!B:B,MATCH(C73,Hours!$A:$A,0))+G73*INDEX(Hours!C:C,MATCH(C73,Hours!$A:$A,0))+H73*INDEX(Hours!D:D,MATCH(C73,Hours!$A:$A,0))+I73*INDEX(Hours!E:E,MATCH(C73,Hours!$A:$A,0))+J73*INDEX(Hours!F:F,MATCH(C73,Hours!$A:$A,0)))</f>
        <v>0</v>
      </c>
      <c r="S73" s="19">
        <f t="shared" si="3"/>
        <v>0</v>
      </c>
    </row>
    <row r="74" spans="1:19" x14ac:dyDescent="0.25">
      <c r="A74" s="15" t="str">
        <f>'Bldgs &amp; Rooms'!$A$3</f>
        <v>Main Bldg.</v>
      </c>
      <c r="B74" s="15">
        <f>'Bldgs &amp; Rooms'!$B$3</f>
        <v>0</v>
      </c>
      <c r="C74" s="14" t="str">
        <f>Hours!$A$37</f>
        <v>Uninterruptible Power Supply (UPS) &lt; 50kVA</v>
      </c>
      <c r="D74" s="15">
        <f t="shared" si="2"/>
        <v>0</v>
      </c>
      <c r="E74" s="16"/>
      <c r="F74" s="17"/>
      <c r="G74" s="17"/>
      <c r="H74" s="17"/>
      <c r="I74" s="17"/>
      <c r="J74" s="17"/>
      <c r="K74" s="12"/>
      <c r="L74" s="12"/>
      <c r="M74" s="12"/>
      <c r="N74" s="12"/>
      <c r="O74" s="12"/>
      <c r="P74" s="12"/>
      <c r="Q74" s="17"/>
      <c r="R74" s="18">
        <f>IF(SUMPRODUCT((E74:Q74)*1)=0,0,E74*INDEX(Hours!M:M,MATCH(C74,Hours!$A:$A,0))+F74*INDEX(Hours!B:B,MATCH(C74,Hours!$A:$A,0))+G74*INDEX(Hours!C:C,MATCH(C74,Hours!$A:$A,0))+H74*INDEX(Hours!D:D,MATCH(C74,Hours!$A:$A,0))+I74*INDEX(Hours!E:E,MATCH(C74,Hours!$A:$A,0))+J74*INDEX(Hours!F:F,MATCH(C74,Hours!$A:$A,0)))</f>
        <v>0</v>
      </c>
      <c r="S74" s="19">
        <f t="shared" si="3"/>
        <v>0</v>
      </c>
    </row>
    <row r="75" spans="1:19" x14ac:dyDescent="0.25">
      <c r="A75" s="15" t="str">
        <f>'Bldgs &amp; Rooms'!$A$3</f>
        <v>Main Bldg.</v>
      </c>
      <c r="B75" s="15">
        <f>'Bldgs &amp; Rooms'!$B$3</f>
        <v>0</v>
      </c>
      <c r="C75" s="14" t="str">
        <f>Hours!$A$38</f>
        <v>Uninterruptible Power Supply (UPS) &gt; 50kVA</v>
      </c>
      <c r="D75" s="15">
        <f t="shared" si="2"/>
        <v>0</v>
      </c>
      <c r="E75" s="16"/>
      <c r="F75" s="17"/>
      <c r="G75" s="17"/>
      <c r="H75" s="17"/>
      <c r="I75" s="17"/>
      <c r="J75" s="17"/>
      <c r="K75" s="12"/>
      <c r="L75" s="12"/>
      <c r="M75" s="12"/>
      <c r="N75" s="12"/>
      <c r="O75" s="12"/>
      <c r="P75" s="12"/>
      <c r="Q75" s="17"/>
      <c r="R75" s="18">
        <f>IF(SUMPRODUCT((E75:Q75)*1)=0,0,E75*INDEX(Hours!M:M,MATCH(C75,Hours!$A:$A,0))+F75*INDEX(Hours!B:B,MATCH(C75,Hours!$A:$A,0))+G75*INDEX(Hours!C:C,MATCH(C75,Hours!$A:$A,0))+H75*INDEX(Hours!D:D,MATCH(C75,Hours!$A:$A,0))+I75*INDEX(Hours!E:E,MATCH(C75,Hours!$A:$A,0))+J75*INDEX(Hours!F:F,MATCH(C75,Hours!$A:$A,0)))</f>
        <v>0</v>
      </c>
      <c r="S75" s="19">
        <f t="shared" si="3"/>
        <v>0</v>
      </c>
    </row>
    <row r="76" spans="1:19" x14ac:dyDescent="0.25">
      <c r="A76" s="11" t="str">
        <f>'Bldgs &amp; Rooms'!$A$4</f>
        <v>Main Bldg.</v>
      </c>
      <c r="B76" s="11">
        <f>'Bldgs &amp; Rooms'!$B$4</f>
        <v>0</v>
      </c>
      <c r="C76" s="10" t="str">
        <f>Hours!$A$2</f>
        <v>Switchgear - Incoming Main Service (Per Section)</v>
      </c>
      <c r="D76" s="11">
        <f t="shared" si="2"/>
        <v>0</v>
      </c>
      <c r="E76" s="16"/>
      <c r="F76" s="17"/>
      <c r="G76" s="17"/>
      <c r="H76" s="17"/>
      <c r="I76" s="17"/>
      <c r="J76" s="17"/>
      <c r="K76" s="17"/>
      <c r="L76" s="17"/>
      <c r="M76" s="12"/>
      <c r="N76" s="12"/>
      <c r="O76" s="17"/>
      <c r="P76" s="12"/>
      <c r="Q76" s="17"/>
      <c r="R76" s="18">
        <f>IF(SUMPRODUCT((E76:Q76)*1)=0,0,E76*INDEX(Hours!M:M,MATCH(C76,Hours!$A:$A,0))+F76*INDEX(Hours!B:B,MATCH(C76,Hours!$A:$A,0))+G76*INDEX(Hours!C:C,MATCH(C76,Hours!$A:$A,0))+H76*INDEX(Hours!D:D,MATCH(C76,Hours!$A:$A,0))+I76*INDEX(Hours!E:E,MATCH(C76,Hours!$A:$A,0))+J76*INDEX(Hours!F:F,MATCH(C76,Hours!$A:$A,0))+K76*INDEX(Hours!G:G,MATCH(C76,Hours!$A:$A,0))+L76*INDEX(Hours!H:H,MATCH(C76,Hours!$A:$A,0))+O76*INDEX(Hours!K:K,MATCH(C76,Hours!$A:$A,0)))</f>
        <v>0</v>
      </c>
      <c r="S76" s="19">
        <f t="shared" si="3"/>
        <v>0</v>
      </c>
    </row>
    <row r="77" spans="1:19" x14ac:dyDescent="0.25">
      <c r="A77" s="11" t="str">
        <f>'Bldgs &amp; Rooms'!$A$4</f>
        <v>Main Bldg.</v>
      </c>
      <c r="B77" s="11">
        <f>'Bldgs &amp; Rooms'!$B$4</f>
        <v>0</v>
      </c>
      <c r="C77" s="10" t="str">
        <f>Hours!$A$3</f>
        <v xml:space="preserve">  Switchgear Insulated Case Breakers (Bus Mounted)</v>
      </c>
      <c r="D77" s="11">
        <f t="shared" si="2"/>
        <v>0</v>
      </c>
      <c r="E77" s="16"/>
      <c r="F77" s="17"/>
      <c r="G77" s="17"/>
      <c r="H77" s="17"/>
      <c r="I77" s="17"/>
      <c r="J77" s="17"/>
      <c r="K77" s="17"/>
      <c r="L77" s="12"/>
      <c r="M77" s="12"/>
      <c r="N77" s="12"/>
      <c r="O77" s="12"/>
      <c r="P77" s="12"/>
      <c r="Q77" s="17"/>
      <c r="R77" s="18">
        <f>IF(SUMPRODUCT((E77:Q77)*1)=0,0,E77*INDEX(Hours!M:M,MATCH(C77,Hours!$A:$A,0))+F77*INDEX(Hours!B:B,MATCH(C77,Hours!$A:$A,0))+G77*INDEX(Hours!C:C,MATCH(C77,Hours!$A:$A,0))+H77*INDEX(Hours!D:D,MATCH(C77,Hours!$A:$A,0))+I77*INDEX(Hours!E:E,MATCH(C77,Hours!$A:$A,0))+J77*INDEX(Hours!F:F,MATCH(C77,Hours!$A:$A,0))+K77*INDEX(Hours!G:G,MATCH(C77,Hours!$A:$A,0)))</f>
        <v>0</v>
      </c>
      <c r="S77" s="19">
        <f t="shared" si="3"/>
        <v>0</v>
      </c>
    </row>
    <row r="78" spans="1:19" x14ac:dyDescent="0.25">
      <c r="A78" s="11" t="str">
        <f>'Bldgs &amp; Rooms'!$A$4</f>
        <v>Main Bldg.</v>
      </c>
      <c r="B78" s="11">
        <f>'Bldgs &amp; Rooms'!$B$4</f>
        <v>0</v>
      </c>
      <c r="C78" s="10" t="str">
        <f>Hours!$A$4</f>
        <v xml:space="preserve">  SwitchGear Drawout Breakers</v>
      </c>
      <c r="D78" s="11">
        <f t="shared" si="2"/>
        <v>0</v>
      </c>
      <c r="E78" s="16"/>
      <c r="F78" s="17"/>
      <c r="G78" s="17"/>
      <c r="H78" s="17"/>
      <c r="I78" s="17"/>
      <c r="J78" s="17"/>
      <c r="K78" s="12"/>
      <c r="L78" s="17"/>
      <c r="M78" s="12"/>
      <c r="N78" s="12"/>
      <c r="O78" s="12"/>
      <c r="P78" s="12"/>
      <c r="Q78" s="17"/>
      <c r="R78" s="18">
        <f>IF(SUMPRODUCT((E78:Q78)*1)=0,0,E78*INDEX(Hours!M:M,MATCH(C78,Hours!$A:$A,0))+F78*INDEX(Hours!B:B,MATCH(C78,Hours!$A:$A,0))+G78*INDEX(Hours!C:C,MATCH(C78,Hours!$A:$A,0))+H78*INDEX(Hours!D:D,MATCH(C78,Hours!$A:$A,0))+I78*INDEX(Hours!E:E,MATCH(C78,Hours!$A:$A,0))+J78*INDEX(Hours!F:F,MATCH(C78,Hours!$A:$A,0))+L78*INDEX(Hours!H:H,MATCH(C78,Hours!$A:$A,0)))</f>
        <v>0</v>
      </c>
      <c r="S78" s="19">
        <f t="shared" si="3"/>
        <v>0</v>
      </c>
    </row>
    <row r="79" spans="1:19" x14ac:dyDescent="0.25">
      <c r="A79" s="11" t="str">
        <f>'Bldgs &amp; Rooms'!$A$4</f>
        <v>Main Bldg.</v>
      </c>
      <c r="B79" s="11">
        <f>'Bldgs &amp; Rooms'!$B$4</f>
        <v>0</v>
      </c>
      <c r="C79" s="10" t="str">
        <f>Hours!$A$5</f>
        <v>Distribution Switchboard Multi Cover (Per Section)</v>
      </c>
      <c r="D79" s="11">
        <f t="shared" si="2"/>
        <v>0</v>
      </c>
      <c r="E79" s="16"/>
      <c r="F79" s="17"/>
      <c r="G79" s="17"/>
      <c r="H79" s="17"/>
      <c r="I79" s="17"/>
      <c r="J79" s="17"/>
      <c r="K79" s="17"/>
      <c r="L79" s="12"/>
      <c r="M79" s="12"/>
      <c r="N79" s="12"/>
      <c r="O79" s="17"/>
      <c r="P79" s="12"/>
      <c r="Q79" s="17"/>
      <c r="R79" s="18">
        <f>IF(SUMPRODUCT((E79:Q79)*1)=0,0,E79*INDEX(Hours!M:M,MATCH(C79,Hours!$A:$A,0))+F79*INDEX(Hours!B:B,MATCH(C79,Hours!$A:$A,0))+G79*INDEX(Hours!C:C,MATCH(C79,Hours!$A:$A,0))+H79*INDEX(Hours!D:D,MATCH(C79,Hours!$A:$A,0))+I79*INDEX(Hours!E:E,MATCH(C79,Hours!$A:$A,0))+J79*INDEX(Hours!F:F,MATCH(C79,Hours!$A:$A,0))+K79*INDEX(Hours!G:G,MATCH(C79,Hours!$A:$A,0))+O79*INDEX(Hours!K:K,MATCH(C79,Hours!$A:$A,0)))</f>
        <v>0</v>
      </c>
      <c r="S79" s="19">
        <f t="shared" si="3"/>
        <v>0</v>
      </c>
    </row>
    <row r="80" spans="1:19" x14ac:dyDescent="0.25">
      <c r="A80" s="11" t="str">
        <f>'Bldgs &amp; Rooms'!$A$4</f>
        <v>Main Bldg.</v>
      </c>
      <c r="B80" s="11">
        <f>'Bldgs &amp; Rooms'!$B$4</f>
        <v>0</v>
      </c>
      <c r="C80" s="10" t="str">
        <f>Hours!$A$6</f>
        <v xml:space="preserve">  Switchboard Disconnects</v>
      </c>
      <c r="D80" s="11">
        <f t="shared" si="2"/>
        <v>0</v>
      </c>
      <c r="E80" s="16"/>
      <c r="F80" s="17"/>
      <c r="G80" s="17"/>
      <c r="H80" s="17"/>
      <c r="I80" s="17"/>
      <c r="J80" s="17"/>
      <c r="K80" s="12"/>
      <c r="L80" s="12"/>
      <c r="M80" s="12"/>
      <c r="N80" s="12"/>
      <c r="O80" s="12"/>
      <c r="P80" s="12"/>
      <c r="Q80" s="17"/>
      <c r="R80" s="18">
        <f>IF(SUMPRODUCT((E80:Q80)*1)=0,0,E80*INDEX(Hours!M:M,MATCH(C80,Hours!$A:$A,0))+F80*INDEX(Hours!B:B,MATCH(C80,Hours!$A:$A,0))+G80*INDEX(Hours!C:C,MATCH(C80,Hours!$A:$A,0))+H80*INDEX(Hours!D:D,MATCH(C80,Hours!$A:$A,0))+I80*INDEX(Hours!E:E,MATCH(C80,Hours!$A:$A,0))+J80*INDEX(Hours!F:F,MATCH(C80,Hours!$A:$A,0)))</f>
        <v>0</v>
      </c>
      <c r="S80" s="19">
        <f t="shared" si="3"/>
        <v>0</v>
      </c>
    </row>
    <row r="81" spans="1:19" x14ac:dyDescent="0.25">
      <c r="A81" s="11" t="str">
        <f>'Bldgs &amp; Rooms'!$A$4</f>
        <v>Main Bldg.</v>
      </c>
      <c r="B81" s="11">
        <f>'Bldgs &amp; Rooms'!$B$4</f>
        <v>0</v>
      </c>
      <c r="C81" s="10" t="str">
        <f>Hours!$A$7</f>
        <v xml:space="preserve">  Switchboard Molded Case Breakers</v>
      </c>
      <c r="D81" s="11">
        <f t="shared" si="2"/>
        <v>0</v>
      </c>
      <c r="E81" s="16"/>
      <c r="F81" s="17"/>
      <c r="G81" s="17"/>
      <c r="H81" s="17"/>
      <c r="I81" s="17"/>
      <c r="J81" s="17"/>
      <c r="K81" s="17"/>
      <c r="L81" s="12"/>
      <c r="M81" s="12"/>
      <c r="N81" s="12"/>
      <c r="O81" s="12"/>
      <c r="P81" s="12"/>
      <c r="Q81" s="17"/>
      <c r="R81" s="18">
        <f>IF(SUMPRODUCT((E81:Q81)*1)=0,0,E81*INDEX(Hours!M:M,MATCH(C81,Hours!$A:$A,0))+F81*INDEX(Hours!B:B,MATCH(C81,Hours!$A:$A,0))+G81*INDEX(Hours!C:C,MATCH(C81,Hours!$A:$A,0))+H81*INDEX(Hours!D:D,MATCH(C81,Hours!$A:$A,0))+I81*INDEX(Hours!E:E,MATCH(C81,Hours!$A:$A,0))+J81*INDEX(Hours!F:F,MATCH(C81,Hours!$A:$A,0))+K81*INDEX(Hours!G:G,MATCH(C81,Hours!$A:$A,0)))</f>
        <v>0</v>
      </c>
      <c r="S81" s="19">
        <f t="shared" si="3"/>
        <v>0</v>
      </c>
    </row>
    <row r="82" spans="1:19" x14ac:dyDescent="0.25">
      <c r="A82" s="11" t="str">
        <f>'Bldgs &amp; Rooms'!$A$4</f>
        <v>Main Bldg.</v>
      </c>
      <c r="B82" s="11">
        <f>'Bldgs &amp; Rooms'!$B$4</f>
        <v>0</v>
      </c>
      <c r="C82" s="10" t="str">
        <f>Hours!$A$8</f>
        <v>Panelboard-Single Cover &gt; 400A (Distribution Panel)</v>
      </c>
      <c r="D82" s="11">
        <f t="shared" si="2"/>
        <v>0</v>
      </c>
      <c r="E82" s="16"/>
      <c r="F82" s="17"/>
      <c r="G82" s="17"/>
      <c r="H82" s="17"/>
      <c r="I82" s="17"/>
      <c r="J82" s="17"/>
      <c r="K82" s="17"/>
      <c r="L82" s="12"/>
      <c r="M82" s="12"/>
      <c r="N82" s="12"/>
      <c r="O82" s="17"/>
      <c r="P82" s="12"/>
      <c r="Q82" s="17"/>
      <c r="R82" s="18">
        <f>IF(SUMPRODUCT((E82:Q82)*1)=0,0,E82*INDEX(Hours!M:M,MATCH(C82,Hours!$A:$A,0))+F82*INDEX(Hours!B:B,MATCH(C82,Hours!$A:$A,0))+G82*INDEX(Hours!C:C,MATCH(C82,Hours!$A:$A,0))+H82*INDEX(Hours!D:D,MATCH(C82,Hours!$A:$A,0))+I82*INDEX(Hours!E:E,MATCH(C82,Hours!$A:$A,0))+J82*INDEX(Hours!F:F,MATCH(C82,Hours!$A:$A,0))+K82*INDEX(Hours!G:G,MATCH(C82,Hours!$A:$A,0))+O82*INDEX(Hours!K:K,MATCH(C82,Hours!$A:$A,0)))</f>
        <v>0</v>
      </c>
      <c r="S82" s="19">
        <f t="shared" si="3"/>
        <v>0</v>
      </c>
    </row>
    <row r="83" spans="1:19" x14ac:dyDescent="0.25">
      <c r="A83" s="11" t="str">
        <f>'Bldgs &amp; Rooms'!$A$4</f>
        <v>Main Bldg.</v>
      </c>
      <c r="B83" s="11">
        <f>'Bldgs &amp; Rooms'!$B$4</f>
        <v>0</v>
      </c>
      <c r="C83" s="10" t="str">
        <f>Hours!$A$9</f>
        <v>Panelboard-Single Cover &lt; 400A (Branch Ckt Panel)</v>
      </c>
      <c r="D83" s="11">
        <f t="shared" si="2"/>
        <v>0</v>
      </c>
      <c r="E83" s="16"/>
      <c r="F83" s="17"/>
      <c r="G83" s="17"/>
      <c r="H83" s="17"/>
      <c r="I83" s="17"/>
      <c r="J83" s="17"/>
      <c r="K83" s="12"/>
      <c r="L83" s="12"/>
      <c r="M83" s="12"/>
      <c r="N83" s="12"/>
      <c r="O83" s="17"/>
      <c r="P83" s="12"/>
      <c r="Q83" s="17"/>
      <c r="R83" s="18">
        <f>IF(SUMPRODUCT((E83:Q83)*1)=0,0,E83*INDEX(Hours!M:M,MATCH(C83,Hours!$A:$A,0))+F83*INDEX(Hours!B:B,MATCH(C83,Hours!$A:$A,0))+G83*INDEX(Hours!C:C,MATCH(C83,Hours!$A:$A,0))+H83*INDEX(Hours!D:D,MATCH(C83,Hours!$A:$A,0))+I83*INDEX(Hours!E:E,MATCH(C83,Hours!$A:$A,0))+J83*INDEX(Hours!F:F,MATCH(C83,Hours!$A:$A,0))+O83*INDEX(Hours!K:K,MATCH(C83,Hours!$A:$A,0)))</f>
        <v>0</v>
      </c>
      <c r="S83" s="19">
        <f t="shared" si="3"/>
        <v>0</v>
      </c>
    </row>
    <row r="84" spans="1:19" x14ac:dyDescent="0.25">
      <c r="A84" s="11" t="str">
        <f>'Bldgs &amp; Rooms'!$A$4</f>
        <v>Main Bldg.</v>
      </c>
      <c r="B84" s="11">
        <f>'Bldgs &amp; Rooms'!$B$4</f>
        <v>0</v>
      </c>
      <c r="C84" s="10" t="str">
        <f>Hours!$A$10</f>
        <v>Motor Control Center (MCC-Per Vertical Section)</v>
      </c>
      <c r="D84" s="11">
        <f t="shared" si="2"/>
        <v>0</v>
      </c>
      <c r="E84" s="16"/>
      <c r="F84" s="17"/>
      <c r="G84" s="17"/>
      <c r="H84" s="17"/>
      <c r="I84" s="17"/>
      <c r="J84" s="17"/>
      <c r="K84" s="12"/>
      <c r="L84" s="12"/>
      <c r="M84" s="12"/>
      <c r="N84" s="12"/>
      <c r="O84" s="17"/>
      <c r="P84" s="12"/>
      <c r="Q84" s="17"/>
      <c r="R84" s="18">
        <f>IF(SUMPRODUCT((E84:Q84)*1)=0,0,E84*INDEX(Hours!M:M,MATCH(C84,Hours!$A:$A,0))+F84*INDEX(Hours!B:B,MATCH(C84,Hours!$A:$A,0))+G84*INDEX(Hours!C:C,MATCH(C84,Hours!$A:$A,0))+H84*INDEX(Hours!D:D,MATCH(C84,Hours!$A:$A,0))+I84*INDEX(Hours!E:E,MATCH(C84,Hours!$A:$A,0))+J84*INDEX(Hours!F:F,MATCH(C84,Hours!$A:$A,0))+O84*INDEX(Hours!K:K,MATCH(C84,Hours!$A:$A,0)))</f>
        <v>0</v>
      </c>
      <c r="S84" s="19">
        <f t="shared" si="3"/>
        <v>0</v>
      </c>
    </row>
    <row r="85" spans="1:19" x14ac:dyDescent="0.25">
      <c r="A85" s="11" t="str">
        <f>'Bldgs &amp; Rooms'!$A$4</f>
        <v>Main Bldg.</v>
      </c>
      <c r="B85" s="11">
        <f>'Bldgs &amp; Rooms'!$B$4</f>
        <v>0</v>
      </c>
      <c r="C85" s="10" t="str">
        <f>Hours!$A$11</f>
        <v xml:space="preserve">  MCC: Combination Motor Starters</v>
      </c>
      <c r="D85" s="11">
        <f t="shared" si="2"/>
        <v>0</v>
      </c>
      <c r="E85" s="16"/>
      <c r="F85" s="17"/>
      <c r="G85" s="17"/>
      <c r="H85" s="17"/>
      <c r="I85" s="17"/>
      <c r="J85" s="17"/>
      <c r="K85" s="17"/>
      <c r="L85" s="12"/>
      <c r="M85" s="12"/>
      <c r="N85" s="12"/>
      <c r="O85" s="17"/>
      <c r="P85" s="12"/>
      <c r="Q85" s="17"/>
      <c r="R85" s="18">
        <f>IF(SUMPRODUCT((E85:Q85)*1)=0,0,E85*INDEX(Hours!M:M,MATCH(C85,Hours!$A:$A,0))+F85*INDEX(Hours!B:B,MATCH(C85,Hours!$A:$A,0))+G85*INDEX(Hours!C:C,MATCH(C85,Hours!$A:$A,0))+H85*INDEX(Hours!D:D,MATCH(C85,Hours!$A:$A,0))+I85*INDEX(Hours!E:E,MATCH(C85,Hours!$A:$A,0))+J85*INDEX(Hours!F:F,MATCH(C85,Hours!$A:$A,0))+K85*INDEX(Hours!G:G,MATCH(C85,Hours!$A:$A,0))+O85*INDEX(Hours!K:K,MATCH(C85,Hours!$A:$A,0)))</f>
        <v>0</v>
      </c>
      <c r="S85" s="19">
        <f t="shared" si="3"/>
        <v>0</v>
      </c>
    </row>
    <row r="86" spans="1:19" x14ac:dyDescent="0.25">
      <c r="A86" s="11" t="str">
        <f>'Bldgs &amp; Rooms'!$A$4</f>
        <v>Main Bldg.</v>
      </c>
      <c r="B86" s="11">
        <f>'Bldgs &amp; Rooms'!$B$4</f>
        <v>0</v>
      </c>
      <c r="C86" s="10" t="str">
        <f>Hours!$A$12</f>
        <v xml:space="preserve">  MCC: Molded Case Breaker</v>
      </c>
      <c r="D86" s="11">
        <f t="shared" si="2"/>
        <v>0</v>
      </c>
      <c r="E86" s="16"/>
      <c r="F86" s="17"/>
      <c r="G86" s="17"/>
      <c r="H86" s="17"/>
      <c r="I86" s="17"/>
      <c r="J86" s="17"/>
      <c r="K86" s="17"/>
      <c r="L86" s="12"/>
      <c r="M86" s="12"/>
      <c r="N86" s="12"/>
      <c r="O86" s="12"/>
      <c r="P86" s="12"/>
      <c r="Q86" s="17"/>
      <c r="R86" s="18">
        <f>IF(SUMPRODUCT((E86:Q86)*1)=0,0,E86*INDEX(Hours!M:M,MATCH(C86,Hours!$A:$A,0))+F86*INDEX(Hours!B:B,MATCH(C86,Hours!$A:$A,0))+G86*INDEX(Hours!C:C,MATCH(C86,Hours!$A:$A,0))+H86*INDEX(Hours!D:D,MATCH(C86,Hours!$A:$A,0))+I86*INDEX(Hours!E:E,MATCH(C86,Hours!$A:$A,0))+J86*INDEX(Hours!F:F,MATCH(C86,Hours!$A:$A,0))+K86*INDEX(Hours!G:G,MATCH(C86,Hours!$A:$A,0)))</f>
        <v>0</v>
      </c>
      <c r="S86" s="19">
        <f t="shared" si="3"/>
        <v>0</v>
      </c>
    </row>
    <row r="87" spans="1:19" x14ac:dyDescent="0.25">
      <c r="A87" s="11" t="str">
        <f>'Bldgs &amp; Rooms'!$A$4</f>
        <v>Main Bldg.</v>
      </c>
      <c r="B87" s="11">
        <f>'Bldgs &amp; Rooms'!$B$4</f>
        <v>0</v>
      </c>
      <c r="C87" s="10" t="str">
        <f>Hours!$A$13</f>
        <v xml:space="preserve">  MCC: Individual Disconnect Switch</v>
      </c>
      <c r="D87" s="11">
        <f t="shared" si="2"/>
        <v>0</v>
      </c>
      <c r="E87" s="16"/>
      <c r="F87" s="17"/>
      <c r="G87" s="17"/>
      <c r="H87" s="17"/>
      <c r="I87" s="17"/>
      <c r="J87" s="17"/>
      <c r="K87" s="12"/>
      <c r="L87" s="12"/>
      <c r="M87" s="12"/>
      <c r="N87" s="12"/>
      <c r="O87" s="12"/>
      <c r="P87" s="12"/>
      <c r="Q87" s="17"/>
      <c r="R87" s="18">
        <f>IF(SUMPRODUCT((E87:Q87)*1)=0,0,E87*INDEX(Hours!M:M,MATCH(C87,Hours!$A:$A,0))+F87*INDEX(Hours!B:B,MATCH(C87,Hours!$A:$A,0))+G87*INDEX(Hours!C:C,MATCH(C87,Hours!$A:$A,0))+H87*INDEX(Hours!D:D,MATCH(C87,Hours!$A:$A,0))+I87*INDEX(Hours!E:E,MATCH(C87,Hours!$A:$A,0))+J87*INDEX(Hours!F:F,MATCH(C87,Hours!$A:$A,0)))</f>
        <v>0</v>
      </c>
      <c r="S87" s="19">
        <f t="shared" si="3"/>
        <v>0</v>
      </c>
    </row>
    <row r="88" spans="1:19" x14ac:dyDescent="0.25">
      <c r="A88" s="11" t="str">
        <f>'Bldgs &amp; Rooms'!$A$4</f>
        <v>Main Bldg.</v>
      </c>
      <c r="B88" s="11">
        <f>'Bldgs &amp; Rooms'!$B$4</f>
        <v>0</v>
      </c>
      <c r="C88" s="10" t="str">
        <f>Hours!$A$14</f>
        <v>Motor Control Panel (MCP)</v>
      </c>
      <c r="D88" s="11">
        <f t="shared" si="2"/>
        <v>0</v>
      </c>
      <c r="E88" s="16"/>
      <c r="F88" s="17"/>
      <c r="G88" s="17"/>
      <c r="H88" s="17"/>
      <c r="I88" s="17"/>
      <c r="J88" s="17"/>
      <c r="K88" s="12"/>
      <c r="L88" s="12"/>
      <c r="M88" s="12"/>
      <c r="N88" s="12"/>
      <c r="O88" s="17"/>
      <c r="P88" s="12"/>
      <c r="Q88" s="17"/>
      <c r="R88" s="18">
        <f>IF(SUMPRODUCT((E88:Q88)*1)=0,0,E88*INDEX(Hours!M:M,MATCH(C88,Hours!$A:$A,0))+F88*INDEX(Hours!B:B,MATCH(C88,Hours!$A:$A,0))+G88*INDEX(Hours!C:C,MATCH(C88,Hours!$A:$A,0))+H88*INDEX(Hours!D:D,MATCH(C88,Hours!$A:$A,0))+I88*INDEX(Hours!E:E,MATCH(C88,Hours!$A:$A,0))+J88*INDEX(Hours!F:F,MATCH(C88,Hours!$A:$A,0))+O88*INDEX(Hours!K:K,MATCH(C88,Hours!$A:$A,0)))</f>
        <v>0</v>
      </c>
      <c r="S88" s="19">
        <f t="shared" si="3"/>
        <v>0</v>
      </c>
    </row>
    <row r="89" spans="1:19" x14ac:dyDescent="0.25">
      <c r="A89" s="11" t="str">
        <f>'Bldgs &amp; Rooms'!$A$4</f>
        <v>Main Bldg.</v>
      </c>
      <c r="B89" s="11">
        <f>'Bldgs &amp; Rooms'!$B$4</f>
        <v>0</v>
      </c>
      <c r="C89" s="10" t="str">
        <f>Hours!$A$15</f>
        <v>VFD Motor Control Panel (VFD-MCP)</v>
      </c>
      <c r="D89" s="11">
        <f t="shared" si="2"/>
        <v>0</v>
      </c>
      <c r="E89" s="16"/>
      <c r="F89" s="17"/>
      <c r="G89" s="17"/>
      <c r="H89" s="17"/>
      <c r="I89" s="17"/>
      <c r="J89" s="17"/>
      <c r="K89" s="12"/>
      <c r="L89" s="12"/>
      <c r="M89" s="12"/>
      <c r="N89" s="12"/>
      <c r="O89" s="17"/>
      <c r="P89" s="12"/>
      <c r="Q89" s="17"/>
      <c r="R89" s="18">
        <f>IF(SUMPRODUCT((E89:Q89)*1)=0,0,E89*INDEX(Hours!M:M,MATCH(C89,Hours!$A:$A,0))+F89*INDEX(Hours!B:B,MATCH(C89,Hours!$A:$A,0))+G89*INDEX(Hours!C:C,MATCH(C89,Hours!$A:$A,0))+H89*INDEX(Hours!D:D,MATCH(C89,Hours!$A:$A,0))+I89*INDEX(Hours!E:E,MATCH(C89,Hours!$A:$A,0))+J89*INDEX(Hours!F:F,MATCH(C89,Hours!$A:$A,0))+O89*INDEX(Hours!K:K,MATCH(C89,Hours!$A:$A,0)))</f>
        <v>0</v>
      </c>
      <c r="S89" s="19">
        <f t="shared" si="3"/>
        <v>0</v>
      </c>
    </row>
    <row r="90" spans="1:19" x14ac:dyDescent="0.25">
      <c r="A90" s="11" t="str">
        <f>'Bldgs &amp; Rooms'!$A$4</f>
        <v>Main Bldg.</v>
      </c>
      <c r="B90" s="11">
        <f>'Bldgs &amp; Rooms'!$B$4</f>
        <v>0</v>
      </c>
      <c r="C90" s="10" t="str">
        <f>Hours!$A$16</f>
        <v>Individual Disconnect Switch &gt; 100A</v>
      </c>
      <c r="D90" s="11">
        <f t="shared" si="2"/>
        <v>0</v>
      </c>
      <c r="E90" s="16"/>
      <c r="F90" s="17"/>
      <c r="G90" s="17"/>
      <c r="H90" s="17"/>
      <c r="I90" s="17"/>
      <c r="J90" s="17"/>
      <c r="K90" s="17"/>
      <c r="L90" s="12"/>
      <c r="M90" s="12"/>
      <c r="N90" s="12"/>
      <c r="O90" s="12"/>
      <c r="P90" s="12"/>
      <c r="Q90" s="17"/>
      <c r="R90" s="18">
        <f>IF(SUMPRODUCT((E90:Q90)*1)=0,0,E90*INDEX(Hours!M:M,MATCH(C90,Hours!$A:$A,0))+F90*INDEX(Hours!B:B,MATCH(C90,Hours!$A:$A,0))+G90*INDEX(Hours!C:C,MATCH(C90,Hours!$A:$A,0))+H90*INDEX(Hours!D:D,MATCH(C90,Hours!$A:$A,0))+I90*INDEX(Hours!E:E,MATCH(C90,Hours!$A:$A,0))+J90*INDEX(Hours!F:F,MATCH(C90,Hours!$A:$A,0))+K90*INDEX(Hours!G:G,MATCH(C90,Hours!$A:$A,0)))</f>
        <v>0</v>
      </c>
      <c r="S90" s="19">
        <f t="shared" si="3"/>
        <v>0</v>
      </c>
    </row>
    <row r="91" spans="1:19" x14ac:dyDescent="0.25">
      <c r="A91" s="11" t="str">
        <f>'Bldgs &amp; Rooms'!$A$4</f>
        <v>Main Bldg.</v>
      </c>
      <c r="B91" s="11">
        <f>'Bldgs &amp; Rooms'!$B$4</f>
        <v>0</v>
      </c>
      <c r="C91" s="10" t="str">
        <f>Hours!$A$17</f>
        <v>Individual Molded Case Breaker &gt; 100A</v>
      </c>
      <c r="D91" s="11">
        <f t="shared" si="2"/>
        <v>0</v>
      </c>
      <c r="E91" s="16"/>
      <c r="F91" s="17"/>
      <c r="G91" s="17"/>
      <c r="H91" s="17"/>
      <c r="I91" s="17"/>
      <c r="J91" s="17"/>
      <c r="K91" s="17"/>
      <c r="L91" s="12"/>
      <c r="M91" s="12"/>
      <c r="N91" s="12"/>
      <c r="O91" s="12"/>
      <c r="P91" s="12"/>
      <c r="Q91" s="17"/>
      <c r="R91" s="18">
        <f>IF(SUMPRODUCT((E91:Q91)*1)=0,0,E91*INDEX(Hours!M:M,MATCH(C91,Hours!$A:$A,0))+F91*INDEX(Hours!B:B,MATCH(C91,Hours!$A:$A,0))+G91*INDEX(Hours!C:C,MATCH(C91,Hours!$A:$A,0))+H91*INDEX(Hours!D:D,MATCH(C91,Hours!$A:$A,0))+I91*INDEX(Hours!E:E,MATCH(C91,Hours!$A:$A,0))+J91*INDEX(Hours!F:F,MATCH(C91,Hours!$A:$A,0))+K91*INDEX(Hours!G:G,MATCH(C91,Hours!$A:$A,0)))</f>
        <v>0</v>
      </c>
      <c r="S91" s="19">
        <f t="shared" si="3"/>
        <v>0</v>
      </c>
    </row>
    <row r="92" spans="1:19" x14ac:dyDescent="0.25">
      <c r="A92" s="11" t="str">
        <f>'Bldgs &amp; Rooms'!$A$4</f>
        <v>Main Bldg.</v>
      </c>
      <c r="B92" s="11">
        <f>'Bldgs &amp; Rooms'!$B$4</f>
        <v>0</v>
      </c>
      <c r="C92" s="10" t="str">
        <f>Hours!$A$18</f>
        <v>Individual Combination Motor Starter &gt; 100A</v>
      </c>
      <c r="D92" s="11">
        <f t="shared" si="2"/>
        <v>0</v>
      </c>
      <c r="E92" s="16"/>
      <c r="F92" s="17"/>
      <c r="G92" s="17"/>
      <c r="H92" s="17"/>
      <c r="I92" s="17"/>
      <c r="J92" s="17"/>
      <c r="K92" s="17"/>
      <c r="L92" s="12"/>
      <c r="M92" s="12"/>
      <c r="N92" s="12"/>
      <c r="O92" s="12"/>
      <c r="P92" s="12"/>
      <c r="Q92" s="17"/>
      <c r="R92" s="18">
        <f>IF(SUMPRODUCT((E92:Q92)*1)=0,0,E92*INDEX(Hours!M:M,MATCH(C92,Hours!$A:$A,0))+F92*INDEX(Hours!B:B,MATCH(C92,Hours!$A:$A,0))+G92*INDEX(Hours!C:C,MATCH(C92,Hours!$A:$A,0))+H92*INDEX(Hours!D:D,MATCH(C92,Hours!$A:$A,0))+I92*INDEX(Hours!E:E,MATCH(C92,Hours!$A:$A,0))+J92*INDEX(Hours!F:F,MATCH(C92,Hours!$A:$A,0))+K92*INDEX(Hours!G:G,MATCH(C92,Hours!$A:$A,0)))</f>
        <v>0</v>
      </c>
      <c r="S92" s="19">
        <f t="shared" si="3"/>
        <v>0</v>
      </c>
    </row>
    <row r="93" spans="1:19" x14ac:dyDescent="0.25">
      <c r="A93" s="11" t="str">
        <f>'Bldgs &amp; Rooms'!$A$4</f>
        <v>Main Bldg.</v>
      </c>
      <c r="B93" s="11">
        <f>'Bldgs &amp; Rooms'!$B$4</f>
        <v>0</v>
      </c>
      <c r="C93" s="10" t="str">
        <f>Hours!$A$19</f>
        <v>Oil Filled Transformer - 5kV-15kV Primary - Any Size (Pad Mounted)</v>
      </c>
      <c r="D93" s="11">
        <f t="shared" si="2"/>
        <v>0</v>
      </c>
      <c r="E93" s="16"/>
      <c r="F93" s="17"/>
      <c r="G93" s="17"/>
      <c r="H93" s="17"/>
      <c r="I93" s="17"/>
      <c r="J93" s="17"/>
      <c r="K93" s="12"/>
      <c r="L93" s="12"/>
      <c r="M93" s="17"/>
      <c r="N93" s="17"/>
      <c r="O93" s="12"/>
      <c r="P93" s="17"/>
      <c r="Q93" s="17"/>
      <c r="R93" s="18">
        <f>IF(SUMPRODUCT((E93:Q93)*1)=0,0,E93*INDEX(Hours!M:M,MATCH(C93,Hours!$A:$A,0))+F93*INDEX(Hours!B:B,MATCH(C93,Hours!$A:$A,0))+G93*INDEX(Hours!C:C,MATCH(C93,Hours!$A:$A,0))+H93*INDEX(Hours!D:D,MATCH(C93,Hours!$A:$A,0))+I93*INDEX(Hours!E:E,MATCH(C93,Hours!$A:$A,0))+J93*INDEX(Hours!F:F,MATCH(C93,Hours!$A:$A,0))+M93*INDEX(Hours!I:I,MATCH(C93,Hours!$A:$A,0))+N93*INDEX(Hours!J:J,MATCH(C93,Hours!$A:$A,0))+P93*INDEX(Hours!L:L,MATCH(C93,Hours!$A:$A,0)))</f>
        <v>0</v>
      </c>
      <c r="S93" s="19">
        <f t="shared" si="3"/>
        <v>0</v>
      </c>
    </row>
    <row r="94" spans="1:19" x14ac:dyDescent="0.25">
      <c r="A94" s="11" t="str">
        <f>'Bldgs &amp; Rooms'!$A$4</f>
        <v>Main Bldg.</v>
      </c>
      <c r="B94" s="11">
        <f>'Bldgs &amp; Rooms'!$B$4</f>
        <v>0</v>
      </c>
      <c r="C94" s="10" t="str">
        <f>Hours!$A$20</f>
        <v>Oil Filled Transformer - &gt; 15kV Primary (Substation Class)</v>
      </c>
      <c r="D94" s="11">
        <f t="shared" si="2"/>
        <v>0</v>
      </c>
      <c r="E94" s="16"/>
      <c r="F94" s="17"/>
      <c r="G94" s="17"/>
      <c r="H94" s="17"/>
      <c r="I94" s="17"/>
      <c r="J94" s="17"/>
      <c r="K94" s="12"/>
      <c r="L94" s="12"/>
      <c r="M94" s="17"/>
      <c r="N94" s="17"/>
      <c r="O94" s="12"/>
      <c r="P94" s="17"/>
      <c r="Q94" s="17"/>
      <c r="R94" s="18">
        <f>IF(SUMPRODUCT((E94:Q94)*1)=0,0,E94*INDEX(Hours!M:M,MATCH(C94,Hours!$A:$A,0))+F94*INDEX(Hours!B:B,MATCH(C94,Hours!$A:$A,0))+G94*INDEX(Hours!C:C,MATCH(C94,Hours!$A:$A,0))+H94*INDEX(Hours!D:D,MATCH(C94,Hours!$A:$A,0))+I94*INDEX(Hours!E:E,MATCH(C94,Hours!$A:$A,0))+J94*INDEX(Hours!F:F,MATCH(C94,Hours!$A:$A,0))+M94*INDEX(Hours!I:I,MATCH(C94,Hours!$A:$A,0))+N94*INDEX(Hours!J:J,MATCH(C94,Hours!$A:$A,0))+P94*INDEX(Hours!L:L,MATCH(C94,Hours!$A:$A,0)))</f>
        <v>0</v>
      </c>
      <c r="S94" s="19">
        <f t="shared" si="3"/>
        <v>0</v>
      </c>
    </row>
    <row r="95" spans="1:19" x14ac:dyDescent="0.25">
      <c r="A95" s="11" t="str">
        <f>'Bldgs &amp; Rooms'!$A$4</f>
        <v>Main Bldg.</v>
      </c>
      <c r="B95" s="11">
        <f>'Bldgs &amp; Rooms'!$B$4</f>
        <v>0</v>
      </c>
      <c r="C95" s="10" t="str">
        <f>Hours!$A$21</f>
        <v>Dry Type Transformer - &lt; 480V Primary - Any Size kVA</v>
      </c>
      <c r="D95" s="11">
        <f t="shared" si="2"/>
        <v>0</v>
      </c>
      <c r="E95" s="16"/>
      <c r="F95" s="17"/>
      <c r="G95" s="17"/>
      <c r="H95" s="17"/>
      <c r="I95" s="17"/>
      <c r="J95" s="17"/>
      <c r="K95" s="12"/>
      <c r="L95" s="12"/>
      <c r="M95" s="17"/>
      <c r="N95" s="17"/>
      <c r="O95" s="12"/>
      <c r="P95" s="12"/>
      <c r="Q95" s="17"/>
      <c r="R95" s="18">
        <f>IF(SUMPRODUCT((E95:Q95)*1)=0,0,E95*INDEX(Hours!M:M,MATCH(C95,Hours!$A:$A,0))+F95*INDEX(Hours!B:B,MATCH(C95,Hours!$A:$A,0))+G95*INDEX(Hours!C:C,MATCH(C95,Hours!$A:$A,0))+H95*INDEX(Hours!D:D,MATCH(C95,Hours!$A:$A,0))+I95*INDEX(Hours!E:E,MATCH(C95,Hours!$A:$A,0))+J95*INDEX(Hours!F:F,MATCH(C95,Hours!$A:$A,0))+M95*INDEX(Hours!I:I,MATCH(C95,Hours!$A:$A,0))+N95*INDEX(Hours!J:J,MATCH(C95,Hours!$A:$A,0)))</f>
        <v>0</v>
      </c>
      <c r="S95" s="19">
        <f t="shared" si="3"/>
        <v>0</v>
      </c>
    </row>
    <row r="96" spans="1:19" x14ac:dyDescent="0.25">
      <c r="A96" s="11" t="str">
        <f>'Bldgs &amp; Rooms'!$A$4</f>
        <v>Main Bldg.</v>
      </c>
      <c r="B96" s="11">
        <f>'Bldgs &amp; Rooms'!$B$4</f>
        <v>0</v>
      </c>
      <c r="C96" s="10" t="str">
        <f>Hours!$A$22</f>
        <v>Power Factor Correction Capacitors</v>
      </c>
      <c r="D96" s="11">
        <f t="shared" si="2"/>
        <v>0</v>
      </c>
      <c r="E96" s="16"/>
      <c r="F96" s="17"/>
      <c r="G96" s="17"/>
      <c r="H96" s="17"/>
      <c r="I96" s="17"/>
      <c r="J96" s="17"/>
      <c r="K96" s="12"/>
      <c r="L96" s="12"/>
      <c r="M96" s="12"/>
      <c r="N96" s="12"/>
      <c r="O96" s="12"/>
      <c r="P96" s="12"/>
      <c r="Q96" s="17"/>
      <c r="R96" s="18">
        <f>IF(SUMPRODUCT((E96:Q96)*1)=0,0,E96*INDEX(Hours!M:M,MATCH(C96,Hours!$A:$A,0))+F96*INDEX(Hours!B:B,MATCH(C96,Hours!$A:$A,0))+G96*INDEX(Hours!C:C,MATCH(C96,Hours!$A:$A,0))+H96*INDEX(Hours!D:D,MATCH(C96,Hours!$A:$A,0))+I96*INDEX(Hours!E:E,MATCH(C96,Hours!$A:$A,0))+J96*INDEX(Hours!F:F,MATCH(C96,Hours!$A:$A,0)))</f>
        <v>0</v>
      </c>
      <c r="S96" s="19">
        <f t="shared" si="3"/>
        <v>0</v>
      </c>
    </row>
    <row r="97" spans="1:19" x14ac:dyDescent="0.25">
      <c r="A97" s="11" t="str">
        <f>'Bldgs &amp; Rooms'!$A$4</f>
        <v>Main Bldg.</v>
      </c>
      <c r="B97" s="11">
        <f>'Bldgs &amp; Rooms'!$B$4</f>
        <v>0</v>
      </c>
      <c r="C97" s="10" t="str">
        <f>Hours!$A$23</f>
        <v>Lighting Contactor &gt; 100A</v>
      </c>
      <c r="D97" s="11">
        <f t="shared" si="2"/>
        <v>0</v>
      </c>
      <c r="E97" s="16"/>
      <c r="F97" s="17"/>
      <c r="G97" s="17"/>
      <c r="H97" s="17"/>
      <c r="I97" s="17"/>
      <c r="J97" s="17"/>
      <c r="K97" s="12"/>
      <c r="L97" s="12"/>
      <c r="M97" s="12"/>
      <c r="N97" s="12"/>
      <c r="O97" s="12"/>
      <c r="P97" s="12"/>
      <c r="Q97" s="17"/>
      <c r="R97" s="18">
        <f>IF(SUMPRODUCT((E97:Q97)*1)=0,0,E97*INDEX(Hours!M:M,MATCH(C97,Hours!$A:$A,0))+F97*INDEX(Hours!B:B,MATCH(C97,Hours!$A:$A,0))+G97*INDEX(Hours!C:C,MATCH(C97,Hours!$A:$A,0))+H97*INDEX(Hours!D:D,MATCH(C97,Hours!$A:$A,0))+I97*INDEX(Hours!E:E,MATCH(C97,Hours!$A:$A,0))+J97*INDEX(Hours!F:F,MATCH(C97,Hours!$A:$A,0)))</f>
        <v>0</v>
      </c>
      <c r="S97" s="19">
        <f t="shared" si="3"/>
        <v>0</v>
      </c>
    </row>
    <row r="98" spans="1:19" x14ac:dyDescent="0.25">
      <c r="A98" s="11" t="str">
        <f>'Bldgs &amp; Rooms'!$A$4</f>
        <v>Main Bldg.</v>
      </c>
      <c r="B98" s="11">
        <f>'Bldgs &amp; Rooms'!$B$4</f>
        <v>0</v>
      </c>
      <c r="C98" s="10" t="str">
        <f>Hours!$A$24</f>
        <v>Power Distribution Unit (PDU)</v>
      </c>
      <c r="D98" s="11">
        <f t="shared" si="2"/>
        <v>0</v>
      </c>
      <c r="E98" s="16"/>
      <c r="F98" s="17"/>
      <c r="G98" s="17"/>
      <c r="H98" s="17"/>
      <c r="I98" s="17"/>
      <c r="J98" s="17"/>
      <c r="K98" s="12"/>
      <c r="L98" s="12"/>
      <c r="M98" s="12"/>
      <c r="N98" s="12"/>
      <c r="O98" s="12"/>
      <c r="P98" s="12"/>
      <c r="Q98" s="17"/>
      <c r="R98" s="18">
        <f>IF(SUMPRODUCT((E98:Q98)*1)=0,0,E98*INDEX(Hours!M:M,MATCH(C98,Hours!$A:$A,0))+F98*INDEX(Hours!B:B,MATCH(C98,Hours!$A:$A,0))+G98*INDEX(Hours!C:C,MATCH(C98,Hours!$A:$A,0))+H98*INDEX(Hours!D:D,MATCH(C98,Hours!$A:$A,0))+I98*INDEX(Hours!E:E,MATCH(C98,Hours!$A:$A,0))+J98*INDEX(Hours!F:F,MATCH(C98,Hours!$A:$A,0)))</f>
        <v>0</v>
      </c>
      <c r="S98" s="19">
        <f t="shared" si="3"/>
        <v>0</v>
      </c>
    </row>
    <row r="99" spans="1:19" x14ac:dyDescent="0.25">
      <c r="A99" s="11" t="str">
        <f>'Bldgs &amp; Rooms'!$A$4</f>
        <v>Main Bldg.</v>
      </c>
      <c r="B99" s="11">
        <f>'Bldgs &amp; Rooms'!$B$4</f>
        <v>0</v>
      </c>
      <c r="C99" s="10" t="str">
        <f>Hours!$A$25</f>
        <v>Wire Trough, Gutter, or Large Junction Boxes</v>
      </c>
      <c r="D99" s="11">
        <f t="shared" si="2"/>
        <v>0</v>
      </c>
      <c r="E99" s="16"/>
      <c r="F99" s="17"/>
      <c r="G99" s="17"/>
      <c r="H99" s="17"/>
      <c r="I99" s="17"/>
      <c r="J99" s="17"/>
      <c r="K99" s="12"/>
      <c r="L99" s="12"/>
      <c r="M99" s="12"/>
      <c r="N99" s="12"/>
      <c r="O99" s="12"/>
      <c r="P99" s="12"/>
      <c r="Q99" s="17"/>
      <c r="R99" s="18">
        <f>IF(SUMPRODUCT((E99:Q99)*1)=0,0,E99*INDEX(Hours!M:M,MATCH(C99,Hours!$A:$A,0))+F99*INDEX(Hours!B:B,MATCH(C99,Hours!$A:$A,0))+G99*INDEX(Hours!C:C,MATCH(C99,Hours!$A:$A,0))+H99*INDEX(Hours!D:D,MATCH(C99,Hours!$A:$A,0))+I99*INDEX(Hours!E:E,MATCH(C99,Hours!$A:$A,0))+J99*INDEX(Hours!F:F,MATCH(C99,Hours!$A:$A,0)))</f>
        <v>0</v>
      </c>
      <c r="S99" s="19">
        <f t="shared" si="3"/>
        <v>0</v>
      </c>
    </row>
    <row r="100" spans="1:19" x14ac:dyDescent="0.25">
      <c r="A100" s="11" t="str">
        <f>'Bldgs &amp; Rooms'!$A$4</f>
        <v>Main Bldg.</v>
      </c>
      <c r="B100" s="11">
        <f>'Bldgs &amp; Rooms'!$B$4</f>
        <v>0</v>
      </c>
      <c r="C100" s="10" t="str">
        <f>Hours!$A$26</f>
        <v>Bus Duct - Vertical or Horizontal (Per 10' section)</v>
      </c>
      <c r="D100" s="11">
        <f t="shared" si="2"/>
        <v>0</v>
      </c>
      <c r="E100" s="16"/>
      <c r="F100" s="17"/>
      <c r="G100" s="17"/>
      <c r="H100" s="17"/>
      <c r="I100" s="17"/>
      <c r="J100" s="17"/>
      <c r="K100" s="12"/>
      <c r="L100" s="12"/>
      <c r="M100" s="12"/>
      <c r="N100" s="12"/>
      <c r="O100" s="12"/>
      <c r="P100" s="12"/>
      <c r="Q100" s="17"/>
      <c r="R100" s="18">
        <f>IF(SUMPRODUCT((E100:Q100)*1)=0,0,E100*INDEX(Hours!M:M,MATCH(C100,Hours!$A:$A,0))+F100*INDEX(Hours!B:B,MATCH(C100,Hours!$A:$A,0))+G100*INDEX(Hours!C:C,MATCH(C100,Hours!$A:$A,0))+H100*INDEX(Hours!D:D,MATCH(C100,Hours!$A:$A,0))+I100*INDEX(Hours!E:E,MATCH(C100,Hours!$A:$A,0))+J100*INDEX(Hours!F:F,MATCH(C100,Hours!$A:$A,0)))</f>
        <v>0</v>
      </c>
      <c r="S100" s="19">
        <f t="shared" si="3"/>
        <v>0</v>
      </c>
    </row>
    <row r="101" spans="1:19" x14ac:dyDescent="0.25">
      <c r="A101" s="11" t="str">
        <f>'Bldgs &amp; Rooms'!$A$4</f>
        <v>Main Bldg.</v>
      </c>
      <c r="B101" s="11">
        <f>'Bldgs &amp; Rooms'!$B$4</f>
        <v>0</v>
      </c>
      <c r="C101" s="10" t="str">
        <f>Hours!$A$27</f>
        <v>Automatic Transfer Switch (ATS) &gt; 100A</v>
      </c>
      <c r="D101" s="11">
        <f t="shared" si="2"/>
        <v>0</v>
      </c>
      <c r="E101" s="16"/>
      <c r="F101" s="17"/>
      <c r="G101" s="17"/>
      <c r="H101" s="17"/>
      <c r="I101" s="17"/>
      <c r="J101" s="17"/>
      <c r="K101" s="12"/>
      <c r="L101" s="12"/>
      <c r="M101" s="12"/>
      <c r="N101" s="12"/>
      <c r="O101" s="12"/>
      <c r="P101" s="12"/>
      <c r="Q101" s="17"/>
      <c r="R101" s="18">
        <f>IF(SUMPRODUCT((E101:Q101)*1)=0,0,E101*INDEX(Hours!M:M,MATCH(C101,Hours!$A:$A,0))+F101*INDEX(Hours!B:B,MATCH(C101,Hours!$A:$A,0))+G101*INDEX(Hours!C:C,MATCH(C101,Hours!$A:$A,0))+H101*INDEX(Hours!D:D,MATCH(C101,Hours!$A:$A,0))+I101*INDEX(Hours!E:E,MATCH(C101,Hours!$A:$A,0))+J101*INDEX(Hours!F:F,MATCH(C101,Hours!$A:$A,0)))</f>
        <v>0</v>
      </c>
      <c r="S101" s="19">
        <f t="shared" si="3"/>
        <v>0</v>
      </c>
    </row>
    <row r="102" spans="1:19" x14ac:dyDescent="0.25">
      <c r="A102" s="11" t="str">
        <f>'Bldgs &amp; Rooms'!$A$4</f>
        <v>Main Bldg.</v>
      </c>
      <c r="B102" s="11">
        <f>'Bldgs &amp; Rooms'!$B$4</f>
        <v>0</v>
      </c>
      <c r="C102" s="10" t="str">
        <f>Hours!$A$28</f>
        <v>Manual Transfer Switch (MTS) &gt; 100A</v>
      </c>
      <c r="D102" s="11">
        <f t="shared" si="2"/>
        <v>0</v>
      </c>
      <c r="E102" s="16"/>
      <c r="F102" s="17"/>
      <c r="G102" s="17"/>
      <c r="H102" s="17"/>
      <c r="I102" s="17"/>
      <c r="J102" s="17"/>
      <c r="K102" s="12"/>
      <c r="L102" s="12"/>
      <c r="M102" s="12"/>
      <c r="N102" s="12"/>
      <c r="O102" s="12"/>
      <c r="P102" s="12"/>
      <c r="Q102" s="17"/>
      <c r="R102" s="18">
        <f>IF(SUMPRODUCT((E102:Q102)*1)=0,0,E102*INDEX(Hours!M:M,MATCH(C102,Hours!$A:$A,0))+F102*INDEX(Hours!B:B,MATCH(C102,Hours!$A:$A,0))+G102*INDEX(Hours!C:C,MATCH(C102,Hours!$A:$A,0))+H102*INDEX(Hours!D:D,MATCH(C102,Hours!$A:$A,0))+I102*INDEX(Hours!E:E,MATCH(C102,Hours!$A:$A,0))+J102*INDEX(Hours!F:F,MATCH(C102,Hours!$A:$A,0)))</f>
        <v>0</v>
      </c>
      <c r="S102" s="19">
        <f t="shared" si="3"/>
        <v>0</v>
      </c>
    </row>
    <row r="103" spans="1:19" x14ac:dyDescent="0.25">
      <c r="A103" s="11" t="str">
        <f>'Bldgs &amp; Rooms'!$A$4</f>
        <v>Main Bldg.</v>
      </c>
      <c r="B103" s="11">
        <f>'Bldgs &amp; Rooms'!$B$4</f>
        <v>0</v>
      </c>
      <c r="C103" s="10" t="str">
        <f>Hours!$A$29</f>
        <v>Variable Frequency Drives (VFD) &lt; 50 HP</v>
      </c>
      <c r="D103" s="11">
        <f t="shared" si="2"/>
        <v>0</v>
      </c>
      <c r="E103" s="16"/>
      <c r="F103" s="17"/>
      <c r="G103" s="17"/>
      <c r="H103" s="17"/>
      <c r="I103" s="17"/>
      <c r="J103" s="17"/>
      <c r="K103" s="12"/>
      <c r="L103" s="12"/>
      <c r="M103" s="12"/>
      <c r="N103" s="12"/>
      <c r="O103" s="12"/>
      <c r="P103" s="12"/>
      <c r="Q103" s="17"/>
      <c r="R103" s="18">
        <f>IF(SUMPRODUCT((E103:Q103)*1)=0,0,E103*INDEX(Hours!M:M,MATCH(C103,Hours!$A:$A,0))+F103*INDEX(Hours!B:B,MATCH(C103,Hours!$A:$A,0))+G103*INDEX(Hours!C:C,MATCH(C103,Hours!$A:$A,0))+H103*INDEX(Hours!D:D,MATCH(C103,Hours!$A:$A,0))+I103*INDEX(Hours!E:E,MATCH(C103,Hours!$A:$A,0))+J103*INDEX(Hours!F:F,MATCH(C103,Hours!$A:$A,0)))</f>
        <v>0</v>
      </c>
      <c r="S103" s="19">
        <f t="shared" si="3"/>
        <v>0</v>
      </c>
    </row>
    <row r="104" spans="1:19" x14ac:dyDescent="0.25">
      <c r="A104" s="11" t="str">
        <f>'Bldgs &amp; Rooms'!$A$4</f>
        <v>Main Bldg.</v>
      </c>
      <c r="B104" s="11">
        <f>'Bldgs &amp; Rooms'!$B$4</f>
        <v>0</v>
      </c>
      <c r="C104" s="10" t="str">
        <f>Hours!$A$30</f>
        <v>Variable Frequency Drives (VFD) 51-200 HP</v>
      </c>
      <c r="D104" s="11">
        <f t="shared" si="2"/>
        <v>0</v>
      </c>
      <c r="E104" s="16"/>
      <c r="F104" s="17"/>
      <c r="G104" s="17"/>
      <c r="H104" s="17"/>
      <c r="I104" s="17"/>
      <c r="J104" s="17"/>
      <c r="K104" s="12"/>
      <c r="L104" s="12"/>
      <c r="M104" s="12"/>
      <c r="N104" s="12"/>
      <c r="O104" s="12"/>
      <c r="P104" s="12"/>
      <c r="Q104" s="17"/>
      <c r="R104" s="18">
        <f>IF(SUMPRODUCT((E104:Q104)*1)=0,0,E104*INDEX(Hours!M:M,MATCH(C104,Hours!$A:$A,0))+F104*INDEX(Hours!B:B,MATCH(C104,Hours!$A:$A,0))+G104*INDEX(Hours!C:C,MATCH(C104,Hours!$A:$A,0))+H104*INDEX(Hours!D:D,MATCH(C104,Hours!$A:$A,0))+I104*INDEX(Hours!E:E,MATCH(C104,Hours!$A:$A,0))+J104*INDEX(Hours!F:F,MATCH(C104,Hours!$A:$A,0)))</f>
        <v>0</v>
      </c>
      <c r="S104" s="19">
        <f t="shared" si="3"/>
        <v>0</v>
      </c>
    </row>
    <row r="105" spans="1:19" x14ac:dyDescent="0.25">
      <c r="A105" s="11" t="str">
        <f>'Bldgs &amp; Rooms'!$A$4</f>
        <v>Main Bldg.</v>
      </c>
      <c r="B105" s="11">
        <f>'Bldgs &amp; Rooms'!$B$4</f>
        <v>0</v>
      </c>
      <c r="C105" s="10" t="str">
        <f>Hours!$A$31</f>
        <v>Motors &lt; 50 HP</v>
      </c>
      <c r="D105" s="11">
        <f t="shared" si="2"/>
        <v>0</v>
      </c>
      <c r="E105" s="16"/>
      <c r="F105" s="17"/>
      <c r="G105" s="17"/>
      <c r="H105" s="17"/>
      <c r="I105" s="17"/>
      <c r="J105" s="17"/>
      <c r="K105" s="12"/>
      <c r="L105" s="12"/>
      <c r="M105" s="12"/>
      <c r="N105" s="12"/>
      <c r="O105" s="12"/>
      <c r="P105" s="12"/>
      <c r="Q105" s="17"/>
      <c r="R105" s="18">
        <f>IF(SUMPRODUCT((E105:Q105)*1)=0,0,E105*INDEX(Hours!M:M,MATCH(C105,Hours!$A:$A,0))+F105*INDEX(Hours!B:B,MATCH(C105,Hours!$A:$A,0))+G105*INDEX(Hours!C:C,MATCH(C105,Hours!$A:$A,0))+H105*INDEX(Hours!D:D,MATCH(C105,Hours!$A:$A,0))+I105*INDEX(Hours!E:E,MATCH(C105,Hours!$A:$A,0))+J105*INDEX(Hours!F:F,MATCH(C105,Hours!$A:$A,0)))</f>
        <v>0</v>
      </c>
      <c r="S105" s="19">
        <f t="shared" si="3"/>
        <v>0</v>
      </c>
    </row>
    <row r="106" spans="1:19" x14ac:dyDescent="0.25">
      <c r="A106" s="11" t="str">
        <f>'Bldgs &amp; Rooms'!$A$4</f>
        <v>Main Bldg.</v>
      </c>
      <c r="B106" s="11">
        <f>'Bldgs &amp; Rooms'!$B$4</f>
        <v>0</v>
      </c>
      <c r="C106" s="10" t="str">
        <f>Hours!$A$32</f>
        <v>Motors 51-200 HP</v>
      </c>
      <c r="D106" s="11">
        <f t="shared" si="2"/>
        <v>0</v>
      </c>
      <c r="E106" s="16"/>
      <c r="F106" s="17"/>
      <c r="G106" s="17"/>
      <c r="H106" s="17"/>
      <c r="I106" s="17"/>
      <c r="J106" s="17"/>
      <c r="K106" s="12"/>
      <c r="L106" s="12"/>
      <c r="M106" s="12"/>
      <c r="N106" s="12"/>
      <c r="O106" s="12"/>
      <c r="P106" s="12"/>
      <c r="Q106" s="17"/>
      <c r="R106" s="18">
        <f>IF(SUMPRODUCT((E106:Q106)*1)=0,0,E106*INDEX(Hours!M:M,MATCH(C106,Hours!$A:$A,0))+F106*INDEX(Hours!B:B,MATCH(C106,Hours!$A:$A,0))+G106*INDEX(Hours!C:C,MATCH(C106,Hours!$A:$A,0))+H106*INDEX(Hours!D:D,MATCH(C106,Hours!$A:$A,0))+I106*INDEX(Hours!E:E,MATCH(C106,Hours!$A:$A,0))+J106*INDEX(Hours!F:F,MATCH(C106,Hours!$A:$A,0)))</f>
        <v>0</v>
      </c>
      <c r="S106" s="19">
        <f t="shared" si="3"/>
        <v>0</v>
      </c>
    </row>
    <row r="107" spans="1:19" x14ac:dyDescent="0.25">
      <c r="A107" s="11" t="str">
        <f>'Bldgs &amp; Rooms'!$A$4</f>
        <v>Main Bldg.</v>
      </c>
      <c r="B107" s="11">
        <f>'Bldgs &amp; Rooms'!$B$4</f>
        <v>0</v>
      </c>
      <c r="C107" s="10" t="str">
        <f>Hours!$A$33</f>
        <v>Motors 201-500 HP</v>
      </c>
      <c r="D107" s="11">
        <f t="shared" si="2"/>
        <v>0</v>
      </c>
      <c r="E107" s="16"/>
      <c r="F107" s="17"/>
      <c r="G107" s="17"/>
      <c r="H107" s="17"/>
      <c r="I107" s="17"/>
      <c r="J107" s="17"/>
      <c r="K107" s="12"/>
      <c r="L107" s="12"/>
      <c r="M107" s="12"/>
      <c r="N107" s="12"/>
      <c r="O107" s="12"/>
      <c r="P107" s="12"/>
      <c r="Q107" s="17"/>
      <c r="R107" s="18">
        <f>IF(SUMPRODUCT((E107:Q107)*1)=0,0,E107*INDEX(Hours!M:M,MATCH(C107,Hours!$A:$A,0))+F107*INDEX(Hours!B:B,MATCH(C107,Hours!$A:$A,0))+G107*INDEX(Hours!C:C,MATCH(C107,Hours!$A:$A,0))+H107*INDEX(Hours!D:D,MATCH(C107,Hours!$A:$A,0))+I107*INDEX(Hours!E:E,MATCH(C107,Hours!$A:$A,0))+J107*INDEX(Hours!F:F,MATCH(C107,Hours!$A:$A,0)))</f>
        <v>0</v>
      </c>
      <c r="S107" s="19">
        <f t="shared" si="3"/>
        <v>0</v>
      </c>
    </row>
    <row r="108" spans="1:19" x14ac:dyDescent="0.25">
      <c r="A108" s="11" t="str">
        <f>'Bldgs &amp; Rooms'!$A$4</f>
        <v>Main Bldg.</v>
      </c>
      <c r="B108" s="11">
        <f>'Bldgs &amp; Rooms'!$B$4</f>
        <v>0</v>
      </c>
      <c r="C108" s="10" t="str">
        <f>Hours!$A$34</f>
        <v>Compressed Air Equipment</v>
      </c>
      <c r="D108" s="11">
        <f t="shared" si="2"/>
        <v>0</v>
      </c>
      <c r="E108" s="16"/>
      <c r="F108" s="17"/>
      <c r="G108" s="17"/>
      <c r="H108" s="17"/>
      <c r="I108" s="17"/>
      <c r="J108" s="17"/>
      <c r="K108" s="12"/>
      <c r="L108" s="12"/>
      <c r="M108" s="12"/>
      <c r="N108" s="12"/>
      <c r="O108" s="12"/>
      <c r="P108" s="12"/>
      <c r="Q108" s="17"/>
      <c r="R108" s="18">
        <f>IF(SUMPRODUCT((E108:Q108)*1)=0,0,E108*INDEX(Hours!M:M,MATCH(C108,Hours!$A:$A,0))+F108*INDEX(Hours!B:B,MATCH(C108,Hours!$A:$A,0))+G108*INDEX(Hours!C:C,MATCH(C108,Hours!$A:$A,0))+H108*INDEX(Hours!D:D,MATCH(C108,Hours!$A:$A,0))+I108*INDEX(Hours!E:E,MATCH(C108,Hours!$A:$A,0))+J108*INDEX(Hours!F:F,MATCH(C108,Hours!$A:$A,0)))</f>
        <v>0</v>
      </c>
      <c r="S108" s="19">
        <f t="shared" si="3"/>
        <v>0</v>
      </c>
    </row>
    <row r="109" spans="1:19" x14ac:dyDescent="0.25">
      <c r="A109" s="11" t="str">
        <f>'Bldgs &amp; Rooms'!$A$4</f>
        <v>Main Bldg.</v>
      </c>
      <c r="B109" s="11">
        <f>'Bldgs &amp; Rooms'!$B$4</f>
        <v>0</v>
      </c>
      <c r="C109" s="10" t="str">
        <f>Hours!$A$35</f>
        <v>HVAC Equipment (Large)</v>
      </c>
      <c r="D109" s="11">
        <f t="shared" si="2"/>
        <v>0</v>
      </c>
      <c r="E109" s="16"/>
      <c r="F109" s="17"/>
      <c r="G109" s="17"/>
      <c r="H109" s="17"/>
      <c r="I109" s="17"/>
      <c r="J109" s="17"/>
      <c r="K109" s="12"/>
      <c r="L109" s="12"/>
      <c r="M109" s="12"/>
      <c r="N109" s="12"/>
      <c r="O109" s="12"/>
      <c r="P109" s="12"/>
      <c r="Q109" s="17"/>
      <c r="R109" s="18">
        <f>IF(SUMPRODUCT((E109:Q109)*1)=0,0,E109*INDEX(Hours!M:M,MATCH(C109,Hours!$A:$A,0))+F109*INDEX(Hours!B:B,MATCH(C109,Hours!$A:$A,0))+G109*INDEX(Hours!C:C,MATCH(C109,Hours!$A:$A,0))+H109*INDEX(Hours!D:D,MATCH(C109,Hours!$A:$A,0))+I109*INDEX(Hours!E:E,MATCH(C109,Hours!$A:$A,0))+J109*INDEX(Hours!F:F,MATCH(C109,Hours!$A:$A,0)))</f>
        <v>0</v>
      </c>
      <c r="S109" s="19">
        <f t="shared" si="3"/>
        <v>0</v>
      </c>
    </row>
    <row r="110" spans="1:19" x14ac:dyDescent="0.25">
      <c r="A110" s="11" t="str">
        <f>'Bldgs &amp; Rooms'!$A$4</f>
        <v>Main Bldg.</v>
      </c>
      <c r="B110" s="11">
        <f>'Bldgs &amp; Rooms'!$B$4</f>
        <v>0</v>
      </c>
      <c r="C110" s="10" t="str">
        <f>Hours!$A$36</f>
        <v>HVAC Equipment (Small)</v>
      </c>
      <c r="D110" s="11">
        <f t="shared" si="2"/>
        <v>0</v>
      </c>
      <c r="E110" s="16"/>
      <c r="F110" s="17"/>
      <c r="G110" s="17"/>
      <c r="H110" s="17"/>
      <c r="I110" s="17"/>
      <c r="J110" s="17"/>
      <c r="K110" s="12"/>
      <c r="L110" s="12"/>
      <c r="M110" s="12"/>
      <c r="N110" s="12"/>
      <c r="O110" s="12"/>
      <c r="P110" s="12"/>
      <c r="Q110" s="17"/>
      <c r="R110" s="18">
        <f>IF(SUMPRODUCT((E110:Q110)*1)=0,0,E110*INDEX(Hours!M:M,MATCH(C110,Hours!$A:$A,0))+F110*INDEX(Hours!B:B,MATCH(C110,Hours!$A:$A,0))+G110*INDEX(Hours!C:C,MATCH(C110,Hours!$A:$A,0))+H110*INDEX(Hours!D:D,MATCH(C110,Hours!$A:$A,0))+I110*INDEX(Hours!E:E,MATCH(C110,Hours!$A:$A,0))+J110*INDEX(Hours!F:F,MATCH(C110,Hours!$A:$A,0)))</f>
        <v>0</v>
      </c>
      <c r="S110" s="19">
        <f t="shared" si="3"/>
        <v>0</v>
      </c>
    </row>
    <row r="111" spans="1:19" x14ac:dyDescent="0.25">
      <c r="A111" s="11" t="str">
        <f>'Bldgs &amp; Rooms'!$A$4</f>
        <v>Main Bldg.</v>
      </c>
      <c r="B111" s="11">
        <f>'Bldgs &amp; Rooms'!$B$4</f>
        <v>0</v>
      </c>
      <c r="C111" s="10" t="str">
        <f>Hours!$A$37</f>
        <v>Uninterruptible Power Supply (UPS) &lt; 50kVA</v>
      </c>
      <c r="D111" s="11">
        <f t="shared" si="2"/>
        <v>0</v>
      </c>
      <c r="E111" s="16"/>
      <c r="F111" s="17"/>
      <c r="G111" s="17"/>
      <c r="H111" s="17"/>
      <c r="I111" s="17"/>
      <c r="J111" s="17"/>
      <c r="K111" s="12"/>
      <c r="L111" s="12"/>
      <c r="M111" s="12"/>
      <c r="N111" s="12"/>
      <c r="O111" s="12"/>
      <c r="P111" s="12"/>
      <c r="Q111" s="17"/>
      <c r="R111" s="18">
        <f>IF(SUMPRODUCT((E111:Q111)*1)=0,0,E111*INDEX(Hours!M:M,MATCH(C111,Hours!$A:$A,0))+F111*INDEX(Hours!B:B,MATCH(C111,Hours!$A:$A,0))+G111*INDEX(Hours!C:C,MATCH(C111,Hours!$A:$A,0))+H111*INDEX(Hours!D:D,MATCH(C111,Hours!$A:$A,0))+I111*INDEX(Hours!E:E,MATCH(C111,Hours!$A:$A,0))+J111*INDEX(Hours!F:F,MATCH(C111,Hours!$A:$A,0)))</f>
        <v>0</v>
      </c>
      <c r="S111" s="19">
        <f t="shared" si="3"/>
        <v>0</v>
      </c>
    </row>
    <row r="112" spans="1:19" x14ac:dyDescent="0.25">
      <c r="A112" s="11" t="str">
        <f>'Bldgs &amp; Rooms'!$A$4</f>
        <v>Main Bldg.</v>
      </c>
      <c r="B112" s="11">
        <f>'Bldgs &amp; Rooms'!$B$4</f>
        <v>0</v>
      </c>
      <c r="C112" s="10" t="str">
        <f>Hours!$A$38</f>
        <v>Uninterruptible Power Supply (UPS) &gt; 50kVA</v>
      </c>
      <c r="D112" s="11">
        <f t="shared" si="2"/>
        <v>0</v>
      </c>
      <c r="E112" s="16"/>
      <c r="F112" s="17"/>
      <c r="G112" s="17"/>
      <c r="H112" s="17"/>
      <c r="I112" s="17"/>
      <c r="J112" s="17"/>
      <c r="K112" s="12"/>
      <c r="L112" s="12"/>
      <c r="M112" s="12"/>
      <c r="N112" s="12"/>
      <c r="O112" s="12"/>
      <c r="P112" s="12"/>
      <c r="Q112" s="17"/>
      <c r="R112" s="18">
        <f>IF(SUMPRODUCT((E112:Q112)*1)=0,0,E112*INDEX(Hours!M:M,MATCH(C112,Hours!$A:$A,0))+F112*INDEX(Hours!B:B,MATCH(C112,Hours!$A:$A,0))+G112*INDEX(Hours!C:C,MATCH(C112,Hours!$A:$A,0))+H112*INDEX(Hours!D:D,MATCH(C112,Hours!$A:$A,0))+I112*INDEX(Hours!E:E,MATCH(C112,Hours!$A:$A,0))+J112*INDEX(Hours!F:F,MATCH(C112,Hours!$A:$A,0)))</f>
        <v>0</v>
      </c>
      <c r="S112" s="19">
        <f t="shared" si="3"/>
        <v>0</v>
      </c>
    </row>
    <row r="113" spans="1:19" x14ac:dyDescent="0.25">
      <c r="A113" s="15" t="str">
        <f>'Bldgs &amp; Rooms'!$A$5</f>
        <v>Main Bldg.</v>
      </c>
      <c r="B113" s="15">
        <f>'Bldgs &amp; Rooms'!$B$5</f>
        <v>0</v>
      </c>
      <c r="C113" s="14" t="str">
        <f>Hours!$A$2</f>
        <v>Switchgear - Incoming Main Service (Per Section)</v>
      </c>
      <c r="D113" s="15">
        <f t="shared" si="2"/>
        <v>0</v>
      </c>
      <c r="E113" s="16"/>
      <c r="F113" s="17"/>
      <c r="G113" s="17"/>
      <c r="H113" s="17"/>
      <c r="I113" s="17"/>
      <c r="J113" s="17"/>
      <c r="K113" s="17"/>
      <c r="L113" s="17"/>
      <c r="M113" s="12"/>
      <c r="N113" s="12"/>
      <c r="O113" s="17"/>
      <c r="P113" s="12"/>
      <c r="Q113" s="17"/>
      <c r="R113" s="18">
        <f>IF(SUMPRODUCT((E113:Q113)*1)=0,0,E113*INDEX(Hours!M:M,MATCH(C113,Hours!$A:$A,0))+F113*INDEX(Hours!B:B,MATCH(C113,Hours!$A:$A,0))+G113*INDEX(Hours!C:C,MATCH(C113,Hours!$A:$A,0))+H113*INDEX(Hours!D:D,MATCH(C113,Hours!$A:$A,0))+I113*INDEX(Hours!E:E,MATCH(C113,Hours!$A:$A,0))+J113*INDEX(Hours!F:F,MATCH(C113,Hours!$A:$A,0))+K113*INDEX(Hours!G:G,MATCH(C113,Hours!$A:$A,0))+L113*INDEX(Hours!H:H,MATCH(C113,Hours!$A:$A,0))+O113*INDEX(Hours!K:K,MATCH(C113,Hours!$A:$A,0)))</f>
        <v>0</v>
      </c>
      <c r="S113" s="19">
        <f t="shared" si="3"/>
        <v>0</v>
      </c>
    </row>
    <row r="114" spans="1:19" x14ac:dyDescent="0.25">
      <c r="A114" s="15" t="str">
        <f>'Bldgs &amp; Rooms'!$A$5</f>
        <v>Main Bldg.</v>
      </c>
      <c r="B114" s="15">
        <f>'Bldgs &amp; Rooms'!$B$5</f>
        <v>0</v>
      </c>
      <c r="C114" s="14" t="str">
        <f>Hours!$A$3</f>
        <v xml:space="preserve">  Switchgear Insulated Case Breakers (Bus Mounted)</v>
      </c>
      <c r="D114" s="15">
        <f t="shared" si="2"/>
        <v>0</v>
      </c>
      <c r="E114" s="16"/>
      <c r="F114" s="17"/>
      <c r="G114" s="17"/>
      <c r="H114" s="17"/>
      <c r="I114" s="17"/>
      <c r="J114" s="17"/>
      <c r="K114" s="17"/>
      <c r="L114" s="12"/>
      <c r="M114" s="12"/>
      <c r="N114" s="12"/>
      <c r="O114" s="12"/>
      <c r="P114" s="12"/>
      <c r="Q114" s="17"/>
      <c r="R114" s="18">
        <f>IF(SUMPRODUCT((E114:Q114)*1)=0,0,E114*INDEX(Hours!M:M,MATCH(C114,Hours!$A:$A,0))+F114*INDEX(Hours!B:B,MATCH(C114,Hours!$A:$A,0))+G114*INDEX(Hours!C:C,MATCH(C114,Hours!$A:$A,0))+H114*INDEX(Hours!D:D,MATCH(C114,Hours!$A:$A,0))+I114*INDEX(Hours!E:E,MATCH(C114,Hours!$A:$A,0))+J114*INDEX(Hours!F:F,MATCH(C114,Hours!$A:$A,0))+K114*INDEX(Hours!G:G,MATCH(C114,Hours!$A:$A,0)))</f>
        <v>0</v>
      </c>
      <c r="S114" s="19">
        <f t="shared" si="3"/>
        <v>0</v>
      </c>
    </row>
    <row r="115" spans="1:19" x14ac:dyDescent="0.25">
      <c r="A115" s="15" t="str">
        <f>'Bldgs &amp; Rooms'!$A$5</f>
        <v>Main Bldg.</v>
      </c>
      <c r="B115" s="15">
        <f>'Bldgs &amp; Rooms'!$B$5</f>
        <v>0</v>
      </c>
      <c r="C115" s="14" t="str">
        <f>Hours!$A$4</f>
        <v xml:space="preserve">  SwitchGear Drawout Breakers</v>
      </c>
      <c r="D115" s="15">
        <f t="shared" si="2"/>
        <v>0</v>
      </c>
      <c r="E115" s="16"/>
      <c r="F115" s="17"/>
      <c r="G115" s="17"/>
      <c r="H115" s="17"/>
      <c r="I115" s="17"/>
      <c r="J115" s="17"/>
      <c r="K115" s="12"/>
      <c r="L115" s="17"/>
      <c r="M115" s="12"/>
      <c r="N115" s="12"/>
      <c r="O115" s="12"/>
      <c r="P115" s="12"/>
      <c r="Q115" s="17"/>
      <c r="R115" s="18">
        <f>IF(SUMPRODUCT((E115:Q115)*1)=0,0,E115*INDEX(Hours!M:M,MATCH(C115,Hours!$A:$A,0))+F115*INDEX(Hours!B:B,MATCH(C115,Hours!$A:$A,0))+G115*INDEX(Hours!C:C,MATCH(C115,Hours!$A:$A,0))+H115*INDEX(Hours!D:D,MATCH(C115,Hours!$A:$A,0))+I115*INDEX(Hours!E:E,MATCH(C115,Hours!$A:$A,0))+J115*INDEX(Hours!F:F,MATCH(C115,Hours!$A:$A,0))+L115*INDEX(Hours!H:H,MATCH(C115,Hours!$A:$A,0)))</f>
        <v>0</v>
      </c>
      <c r="S115" s="19">
        <f t="shared" si="3"/>
        <v>0</v>
      </c>
    </row>
    <row r="116" spans="1:19" x14ac:dyDescent="0.25">
      <c r="A116" s="15" t="str">
        <f>'Bldgs &amp; Rooms'!$A$5</f>
        <v>Main Bldg.</v>
      </c>
      <c r="B116" s="15">
        <f>'Bldgs &amp; Rooms'!$B$5</f>
        <v>0</v>
      </c>
      <c r="C116" s="14" t="str">
        <f>Hours!$A$5</f>
        <v>Distribution Switchboard Multi Cover (Per Section)</v>
      </c>
      <c r="D116" s="15">
        <f t="shared" si="2"/>
        <v>0</v>
      </c>
      <c r="E116" s="16"/>
      <c r="F116" s="17"/>
      <c r="G116" s="17"/>
      <c r="H116" s="17"/>
      <c r="I116" s="17"/>
      <c r="J116" s="17"/>
      <c r="K116" s="17"/>
      <c r="L116" s="12"/>
      <c r="M116" s="12"/>
      <c r="N116" s="12"/>
      <c r="O116" s="17"/>
      <c r="P116" s="12"/>
      <c r="Q116" s="17"/>
      <c r="R116" s="18">
        <f>IF(SUMPRODUCT((E116:Q116)*1)=0,0,E116*INDEX(Hours!M:M,MATCH(C116,Hours!$A:$A,0))+F116*INDEX(Hours!B:B,MATCH(C116,Hours!$A:$A,0))+G116*INDEX(Hours!C:C,MATCH(C116,Hours!$A:$A,0))+H116*INDEX(Hours!D:D,MATCH(C116,Hours!$A:$A,0))+I116*INDEX(Hours!E:E,MATCH(C116,Hours!$A:$A,0))+J116*INDEX(Hours!F:F,MATCH(C116,Hours!$A:$A,0))+K116*INDEX(Hours!G:G,MATCH(C116,Hours!$A:$A,0))+O116*INDEX(Hours!K:K,MATCH(C116,Hours!$A:$A,0)))</f>
        <v>0</v>
      </c>
      <c r="S116" s="19">
        <f t="shared" si="3"/>
        <v>0</v>
      </c>
    </row>
    <row r="117" spans="1:19" x14ac:dyDescent="0.25">
      <c r="A117" s="15" t="str">
        <f>'Bldgs &amp; Rooms'!$A$5</f>
        <v>Main Bldg.</v>
      </c>
      <c r="B117" s="15">
        <f>'Bldgs &amp; Rooms'!$B$5</f>
        <v>0</v>
      </c>
      <c r="C117" s="14" t="str">
        <f>Hours!$A$6</f>
        <v xml:space="preserve">  Switchboard Disconnects</v>
      </c>
      <c r="D117" s="15">
        <f t="shared" si="2"/>
        <v>0</v>
      </c>
      <c r="E117" s="16"/>
      <c r="F117" s="17"/>
      <c r="G117" s="17"/>
      <c r="H117" s="17"/>
      <c r="I117" s="17"/>
      <c r="J117" s="17"/>
      <c r="K117" s="12"/>
      <c r="L117" s="12"/>
      <c r="M117" s="12"/>
      <c r="N117" s="12"/>
      <c r="O117" s="12"/>
      <c r="P117" s="12"/>
      <c r="Q117" s="17"/>
      <c r="R117" s="18">
        <f>IF(SUMPRODUCT((E117:Q117)*1)=0,0,E117*INDEX(Hours!M:M,MATCH(C117,Hours!$A:$A,0))+F117*INDEX(Hours!B:B,MATCH(C117,Hours!$A:$A,0))+G117*INDEX(Hours!C:C,MATCH(C117,Hours!$A:$A,0))+H117*INDEX(Hours!D:D,MATCH(C117,Hours!$A:$A,0))+I117*INDEX(Hours!E:E,MATCH(C117,Hours!$A:$A,0))+J117*INDEX(Hours!F:F,MATCH(C117,Hours!$A:$A,0)))</f>
        <v>0</v>
      </c>
      <c r="S117" s="19">
        <f t="shared" si="3"/>
        <v>0</v>
      </c>
    </row>
    <row r="118" spans="1:19" x14ac:dyDescent="0.25">
      <c r="A118" s="15" t="str">
        <f>'Bldgs &amp; Rooms'!$A$5</f>
        <v>Main Bldg.</v>
      </c>
      <c r="B118" s="15">
        <f>'Bldgs &amp; Rooms'!$B$5</f>
        <v>0</v>
      </c>
      <c r="C118" s="14" t="str">
        <f>Hours!$A$7</f>
        <v xml:space="preserve">  Switchboard Molded Case Breakers</v>
      </c>
      <c r="D118" s="15">
        <f t="shared" si="2"/>
        <v>0</v>
      </c>
      <c r="E118" s="16"/>
      <c r="F118" s="17"/>
      <c r="G118" s="17"/>
      <c r="H118" s="17"/>
      <c r="I118" s="17"/>
      <c r="J118" s="17"/>
      <c r="K118" s="17"/>
      <c r="L118" s="12"/>
      <c r="M118" s="12"/>
      <c r="N118" s="12"/>
      <c r="O118" s="12"/>
      <c r="P118" s="12"/>
      <c r="Q118" s="17"/>
      <c r="R118" s="18">
        <f>IF(SUMPRODUCT((E118:Q118)*1)=0,0,E118*INDEX(Hours!M:M,MATCH(C118,Hours!$A:$A,0))+F118*INDEX(Hours!B:B,MATCH(C118,Hours!$A:$A,0))+G118*INDEX(Hours!C:C,MATCH(C118,Hours!$A:$A,0))+H118*INDEX(Hours!D:D,MATCH(C118,Hours!$A:$A,0))+I118*INDEX(Hours!E:E,MATCH(C118,Hours!$A:$A,0))+J118*INDEX(Hours!F:F,MATCH(C118,Hours!$A:$A,0))+K118*INDEX(Hours!G:G,MATCH(C118,Hours!$A:$A,0)))</f>
        <v>0</v>
      </c>
      <c r="S118" s="19">
        <f t="shared" si="3"/>
        <v>0</v>
      </c>
    </row>
    <row r="119" spans="1:19" x14ac:dyDescent="0.25">
      <c r="A119" s="15" t="str">
        <f>'Bldgs &amp; Rooms'!$A$5</f>
        <v>Main Bldg.</v>
      </c>
      <c r="B119" s="15">
        <f>'Bldgs &amp; Rooms'!$B$5</f>
        <v>0</v>
      </c>
      <c r="C119" s="14" t="str">
        <f>Hours!$A$8</f>
        <v>Panelboard-Single Cover &gt; 400A (Distribution Panel)</v>
      </c>
      <c r="D119" s="15">
        <f t="shared" si="2"/>
        <v>0</v>
      </c>
      <c r="E119" s="16"/>
      <c r="F119" s="17"/>
      <c r="G119" s="17"/>
      <c r="H119" s="17"/>
      <c r="I119" s="17"/>
      <c r="J119" s="17"/>
      <c r="K119" s="17"/>
      <c r="L119" s="12"/>
      <c r="M119" s="12"/>
      <c r="N119" s="12"/>
      <c r="O119" s="17"/>
      <c r="P119" s="12"/>
      <c r="Q119" s="17"/>
      <c r="R119" s="18">
        <f>IF(SUMPRODUCT((E119:Q119)*1)=0,0,E119*INDEX(Hours!M:M,MATCH(C119,Hours!$A:$A,0))+F119*INDEX(Hours!B:B,MATCH(C119,Hours!$A:$A,0))+G119*INDEX(Hours!C:C,MATCH(C119,Hours!$A:$A,0))+H119*INDEX(Hours!D:D,MATCH(C119,Hours!$A:$A,0))+I119*INDEX(Hours!E:E,MATCH(C119,Hours!$A:$A,0))+J119*INDEX(Hours!F:F,MATCH(C119,Hours!$A:$A,0))+K119*INDEX(Hours!G:G,MATCH(C119,Hours!$A:$A,0))+O119*INDEX(Hours!K:K,MATCH(C119,Hours!$A:$A,0)))</f>
        <v>0</v>
      </c>
      <c r="S119" s="19">
        <f t="shared" si="3"/>
        <v>0</v>
      </c>
    </row>
    <row r="120" spans="1:19" x14ac:dyDescent="0.25">
      <c r="A120" s="15" t="str">
        <f>'Bldgs &amp; Rooms'!$A$5</f>
        <v>Main Bldg.</v>
      </c>
      <c r="B120" s="15">
        <f>'Bldgs &amp; Rooms'!$B$5</f>
        <v>0</v>
      </c>
      <c r="C120" s="14" t="str">
        <f>Hours!$A$9</f>
        <v>Panelboard-Single Cover &lt; 400A (Branch Ckt Panel)</v>
      </c>
      <c r="D120" s="15">
        <f t="shared" si="2"/>
        <v>0</v>
      </c>
      <c r="E120" s="16"/>
      <c r="F120" s="17"/>
      <c r="G120" s="17"/>
      <c r="H120" s="17"/>
      <c r="I120" s="17"/>
      <c r="J120" s="17"/>
      <c r="K120" s="12"/>
      <c r="L120" s="12"/>
      <c r="M120" s="12"/>
      <c r="N120" s="12"/>
      <c r="O120" s="17"/>
      <c r="P120" s="12"/>
      <c r="Q120" s="17"/>
      <c r="R120" s="18">
        <f>IF(SUMPRODUCT((E120:Q120)*1)=0,0,E120*INDEX(Hours!M:M,MATCH(C120,Hours!$A:$A,0))+F120*INDEX(Hours!B:B,MATCH(C120,Hours!$A:$A,0))+G120*INDEX(Hours!C:C,MATCH(C120,Hours!$A:$A,0))+H120*INDEX(Hours!D:D,MATCH(C120,Hours!$A:$A,0))+I120*INDEX(Hours!E:E,MATCH(C120,Hours!$A:$A,0))+J120*INDEX(Hours!F:F,MATCH(C120,Hours!$A:$A,0))+O120*INDEX(Hours!K:K,MATCH(C120,Hours!$A:$A,0)))</f>
        <v>0</v>
      </c>
      <c r="S120" s="19">
        <f t="shared" si="3"/>
        <v>0</v>
      </c>
    </row>
    <row r="121" spans="1:19" x14ac:dyDescent="0.25">
      <c r="A121" s="15" t="str">
        <f>'Bldgs &amp; Rooms'!$A$5</f>
        <v>Main Bldg.</v>
      </c>
      <c r="B121" s="15">
        <f>'Bldgs &amp; Rooms'!$B$5</f>
        <v>0</v>
      </c>
      <c r="C121" s="14" t="str">
        <f>Hours!$A$10</f>
        <v>Motor Control Center (MCC-Per Vertical Section)</v>
      </c>
      <c r="D121" s="15">
        <f t="shared" si="2"/>
        <v>0</v>
      </c>
      <c r="E121" s="16"/>
      <c r="F121" s="17"/>
      <c r="G121" s="17"/>
      <c r="H121" s="17"/>
      <c r="I121" s="17"/>
      <c r="J121" s="17"/>
      <c r="K121" s="12"/>
      <c r="L121" s="12"/>
      <c r="M121" s="12"/>
      <c r="N121" s="12"/>
      <c r="O121" s="17"/>
      <c r="P121" s="12"/>
      <c r="Q121" s="17"/>
      <c r="R121" s="18">
        <f>IF(SUMPRODUCT((E121:Q121)*1)=0,0,E121*INDEX(Hours!M:M,MATCH(C121,Hours!$A:$A,0))+F121*INDEX(Hours!B:B,MATCH(C121,Hours!$A:$A,0))+G121*INDEX(Hours!C:C,MATCH(C121,Hours!$A:$A,0))+H121*INDEX(Hours!D:D,MATCH(C121,Hours!$A:$A,0))+I121*INDEX(Hours!E:E,MATCH(C121,Hours!$A:$A,0))+J121*INDEX(Hours!F:F,MATCH(C121,Hours!$A:$A,0))+O121*INDEX(Hours!K:K,MATCH(C121,Hours!$A:$A,0)))</f>
        <v>0</v>
      </c>
      <c r="S121" s="19">
        <f t="shared" si="3"/>
        <v>0</v>
      </c>
    </row>
    <row r="122" spans="1:19" x14ac:dyDescent="0.25">
      <c r="A122" s="15" t="str">
        <f>'Bldgs &amp; Rooms'!$A$5</f>
        <v>Main Bldg.</v>
      </c>
      <c r="B122" s="15">
        <f>'Bldgs &amp; Rooms'!$B$5</f>
        <v>0</v>
      </c>
      <c r="C122" s="14" t="str">
        <f>Hours!$A$11</f>
        <v xml:space="preserve">  MCC: Combination Motor Starters</v>
      </c>
      <c r="D122" s="15">
        <f t="shared" si="2"/>
        <v>0</v>
      </c>
      <c r="E122" s="16"/>
      <c r="F122" s="17"/>
      <c r="G122" s="17"/>
      <c r="H122" s="17"/>
      <c r="I122" s="17"/>
      <c r="J122" s="17"/>
      <c r="K122" s="17"/>
      <c r="L122" s="12"/>
      <c r="M122" s="12"/>
      <c r="N122" s="12"/>
      <c r="O122" s="17"/>
      <c r="P122" s="12"/>
      <c r="Q122" s="17"/>
      <c r="R122" s="18">
        <f>IF(SUMPRODUCT((E122:Q122)*1)=0,0,E122*INDEX(Hours!M:M,MATCH(C122,Hours!$A:$A,0))+F122*INDEX(Hours!B:B,MATCH(C122,Hours!$A:$A,0))+G122*INDEX(Hours!C:C,MATCH(C122,Hours!$A:$A,0))+H122*INDEX(Hours!D:D,MATCH(C122,Hours!$A:$A,0))+I122*INDEX(Hours!E:E,MATCH(C122,Hours!$A:$A,0))+J122*INDEX(Hours!F:F,MATCH(C122,Hours!$A:$A,0))+K122*INDEX(Hours!G:G,MATCH(C122,Hours!$A:$A,0))+O122*INDEX(Hours!K:K,MATCH(C122,Hours!$A:$A,0)))</f>
        <v>0</v>
      </c>
      <c r="S122" s="19">
        <f t="shared" si="3"/>
        <v>0</v>
      </c>
    </row>
    <row r="123" spans="1:19" x14ac:dyDescent="0.25">
      <c r="A123" s="15" t="str">
        <f>'Bldgs &amp; Rooms'!$A$5</f>
        <v>Main Bldg.</v>
      </c>
      <c r="B123" s="15">
        <f>'Bldgs &amp; Rooms'!$B$5</f>
        <v>0</v>
      </c>
      <c r="C123" s="14" t="str">
        <f>Hours!$A$12</f>
        <v xml:space="preserve">  MCC: Molded Case Breaker</v>
      </c>
      <c r="D123" s="15">
        <f t="shared" si="2"/>
        <v>0</v>
      </c>
      <c r="E123" s="16"/>
      <c r="F123" s="17"/>
      <c r="G123" s="17"/>
      <c r="H123" s="17"/>
      <c r="I123" s="17"/>
      <c r="J123" s="17"/>
      <c r="K123" s="17"/>
      <c r="L123" s="12"/>
      <c r="M123" s="12"/>
      <c r="N123" s="12"/>
      <c r="O123" s="12"/>
      <c r="P123" s="12"/>
      <c r="Q123" s="17"/>
      <c r="R123" s="18">
        <f>IF(SUMPRODUCT((E123:Q123)*1)=0,0,E123*INDEX(Hours!M:M,MATCH(C123,Hours!$A:$A,0))+F123*INDEX(Hours!B:B,MATCH(C123,Hours!$A:$A,0))+G123*INDEX(Hours!C:C,MATCH(C123,Hours!$A:$A,0))+H123*INDEX(Hours!D:D,MATCH(C123,Hours!$A:$A,0))+I123*INDEX(Hours!E:E,MATCH(C123,Hours!$A:$A,0))+J123*INDEX(Hours!F:F,MATCH(C123,Hours!$A:$A,0))+K123*INDEX(Hours!G:G,MATCH(C123,Hours!$A:$A,0)))</f>
        <v>0</v>
      </c>
      <c r="S123" s="19">
        <f t="shared" si="3"/>
        <v>0</v>
      </c>
    </row>
    <row r="124" spans="1:19" x14ac:dyDescent="0.25">
      <c r="A124" s="15" t="str">
        <f>'Bldgs &amp; Rooms'!$A$5</f>
        <v>Main Bldg.</v>
      </c>
      <c r="B124" s="15">
        <f>'Bldgs &amp; Rooms'!$B$5</f>
        <v>0</v>
      </c>
      <c r="C124" s="14" t="str">
        <f>Hours!$A$13</f>
        <v xml:space="preserve">  MCC: Individual Disconnect Switch</v>
      </c>
      <c r="D124" s="15">
        <f t="shared" si="2"/>
        <v>0</v>
      </c>
      <c r="E124" s="16"/>
      <c r="F124" s="17"/>
      <c r="G124" s="17"/>
      <c r="H124" s="17"/>
      <c r="I124" s="17"/>
      <c r="J124" s="17"/>
      <c r="K124" s="12"/>
      <c r="L124" s="12"/>
      <c r="M124" s="12"/>
      <c r="N124" s="12"/>
      <c r="O124" s="12"/>
      <c r="P124" s="12"/>
      <c r="Q124" s="17"/>
      <c r="R124" s="18">
        <f>IF(SUMPRODUCT((E124:Q124)*1)=0,0,E124*INDEX(Hours!M:M,MATCH(C124,Hours!$A:$A,0))+F124*INDEX(Hours!B:B,MATCH(C124,Hours!$A:$A,0))+G124*INDEX(Hours!C:C,MATCH(C124,Hours!$A:$A,0))+H124*INDEX(Hours!D:D,MATCH(C124,Hours!$A:$A,0))+I124*INDEX(Hours!E:E,MATCH(C124,Hours!$A:$A,0))+J124*INDEX(Hours!F:F,MATCH(C124,Hours!$A:$A,0)))</f>
        <v>0</v>
      </c>
      <c r="S124" s="19">
        <f t="shared" si="3"/>
        <v>0</v>
      </c>
    </row>
    <row r="125" spans="1:19" x14ac:dyDescent="0.25">
      <c r="A125" s="15" t="str">
        <f>'Bldgs &amp; Rooms'!$A$5</f>
        <v>Main Bldg.</v>
      </c>
      <c r="B125" s="15">
        <f>'Bldgs &amp; Rooms'!$B$5</f>
        <v>0</v>
      </c>
      <c r="C125" s="14" t="str">
        <f>Hours!$A$14</f>
        <v>Motor Control Panel (MCP)</v>
      </c>
      <c r="D125" s="15">
        <f t="shared" si="2"/>
        <v>0</v>
      </c>
      <c r="E125" s="16"/>
      <c r="F125" s="17"/>
      <c r="G125" s="17"/>
      <c r="H125" s="17"/>
      <c r="I125" s="17"/>
      <c r="J125" s="17"/>
      <c r="K125" s="12"/>
      <c r="L125" s="12"/>
      <c r="M125" s="12"/>
      <c r="N125" s="12"/>
      <c r="O125" s="17"/>
      <c r="P125" s="12"/>
      <c r="Q125" s="17"/>
      <c r="R125" s="18">
        <f>IF(SUMPRODUCT((E125:Q125)*1)=0,0,E125*INDEX(Hours!M:M,MATCH(C125,Hours!$A:$A,0))+F125*INDEX(Hours!B:B,MATCH(C125,Hours!$A:$A,0))+G125*INDEX(Hours!C:C,MATCH(C125,Hours!$A:$A,0))+H125*INDEX(Hours!D:D,MATCH(C125,Hours!$A:$A,0))+I125*INDEX(Hours!E:E,MATCH(C125,Hours!$A:$A,0))+J125*INDEX(Hours!F:F,MATCH(C125,Hours!$A:$A,0))+O125*INDEX(Hours!K:K,MATCH(C125,Hours!$A:$A,0)))</f>
        <v>0</v>
      </c>
      <c r="S125" s="19">
        <f t="shared" si="3"/>
        <v>0</v>
      </c>
    </row>
    <row r="126" spans="1:19" x14ac:dyDescent="0.25">
      <c r="A126" s="15" t="str">
        <f>'Bldgs &amp; Rooms'!$A$5</f>
        <v>Main Bldg.</v>
      </c>
      <c r="B126" s="15">
        <f>'Bldgs &amp; Rooms'!$B$5</f>
        <v>0</v>
      </c>
      <c r="C126" s="14" t="str">
        <f>Hours!$A$15</f>
        <v>VFD Motor Control Panel (VFD-MCP)</v>
      </c>
      <c r="D126" s="15">
        <f t="shared" si="2"/>
        <v>0</v>
      </c>
      <c r="E126" s="16"/>
      <c r="F126" s="17"/>
      <c r="G126" s="17"/>
      <c r="H126" s="17"/>
      <c r="I126" s="17"/>
      <c r="J126" s="17"/>
      <c r="K126" s="12"/>
      <c r="L126" s="12"/>
      <c r="M126" s="12"/>
      <c r="N126" s="12"/>
      <c r="O126" s="17"/>
      <c r="P126" s="12"/>
      <c r="Q126" s="17"/>
      <c r="R126" s="18">
        <f>IF(SUMPRODUCT((E126:Q126)*1)=0,0,E126*INDEX(Hours!M:M,MATCH(C126,Hours!$A:$A,0))+F126*INDEX(Hours!B:B,MATCH(C126,Hours!$A:$A,0))+G126*INDEX(Hours!C:C,MATCH(C126,Hours!$A:$A,0))+H126*INDEX(Hours!D:D,MATCH(C126,Hours!$A:$A,0))+I126*INDEX(Hours!E:E,MATCH(C126,Hours!$A:$A,0))+J126*INDEX(Hours!F:F,MATCH(C126,Hours!$A:$A,0))+O126*INDEX(Hours!K:K,MATCH(C126,Hours!$A:$A,0)))</f>
        <v>0</v>
      </c>
      <c r="S126" s="19">
        <f t="shared" si="3"/>
        <v>0</v>
      </c>
    </row>
    <row r="127" spans="1:19" x14ac:dyDescent="0.25">
      <c r="A127" s="15" t="str">
        <f>'Bldgs &amp; Rooms'!$A$5</f>
        <v>Main Bldg.</v>
      </c>
      <c r="B127" s="15">
        <f>'Bldgs &amp; Rooms'!$B$5</f>
        <v>0</v>
      </c>
      <c r="C127" s="14" t="str">
        <f>Hours!$A$16</f>
        <v>Individual Disconnect Switch &gt; 100A</v>
      </c>
      <c r="D127" s="15">
        <f t="shared" si="2"/>
        <v>0</v>
      </c>
      <c r="E127" s="16"/>
      <c r="F127" s="17"/>
      <c r="G127" s="17"/>
      <c r="H127" s="17"/>
      <c r="I127" s="17"/>
      <c r="J127" s="17"/>
      <c r="K127" s="17"/>
      <c r="L127" s="12"/>
      <c r="M127" s="12"/>
      <c r="N127" s="12"/>
      <c r="O127" s="12"/>
      <c r="P127" s="12"/>
      <c r="Q127" s="17"/>
      <c r="R127" s="18">
        <f>IF(SUMPRODUCT((E127:Q127)*1)=0,0,E127*INDEX(Hours!M:M,MATCH(C127,Hours!$A:$A,0))+F127*INDEX(Hours!B:B,MATCH(C127,Hours!$A:$A,0))+G127*INDEX(Hours!C:C,MATCH(C127,Hours!$A:$A,0))+H127*INDEX(Hours!D:D,MATCH(C127,Hours!$A:$A,0))+I127*INDEX(Hours!E:E,MATCH(C127,Hours!$A:$A,0))+J127*INDEX(Hours!F:F,MATCH(C127,Hours!$A:$A,0))+K127*INDEX(Hours!G:G,MATCH(C127,Hours!$A:$A,0)))</f>
        <v>0</v>
      </c>
      <c r="S127" s="19">
        <f t="shared" si="3"/>
        <v>0</v>
      </c>
    </row>
    <row r="128" spans="1:19" x14ac:dyDescent="0.25">
      <c r="A128" s="15" t="str">
        <f>'Bldgs &amp; Rooms'!$A$5</f>
        <v>Main Bldg.</v>
      </c>
      <c r="B128" s="15">
        <f>'Bldgs &amp; Rooms'!$B$5</f>
        <v>0</v>
      </c>
      <c r="C128" s="14" t="str">
        <f>Hours!$A$17</f>
        <v>Individual Molded Case Breaker &gt; 100A</v>
      </c>
      <c r="D128" s="15">
        <f t="shared" si="2"/>
        <v>0</v>
      </c>
      <c r="E128" s="16"/>
      <c r="F128" s="17"/>
      <c r="G128" s="17"/>
      <c r="H128" s="17"/>
      <c r="I128" s="17"/>
      <c r="J128" s="17"/>
      <c r="K128" s="17"/>
      <c r="L128" s="12"/>
      <c r="M128" s="12"/>
      <c r="N128" s="12"/>
      <c r="O128" s="12"/>
      <c r="P128" s="12"/>
      <c r="Q128" s="17"/>
      <c r="R128" s="18">
        <f>IF(SUMPRODUCT((E128:Q128)*1)=0,0,E128*INDEX(Hours!M:M,MATCH(C128,Hours!$A:$A,0))+F128*INDEX(Hours!B:B,MATCH(C128,Hours!$A:$A,0))+G128*INDEX(Hours!C:C,MATCH(C128,Hours!$A:$A,0))+H128*INDEX(Hours!D:D,MATCH(C128,Hours!$A:$A,0))+I128*INDEX(Hours!E:E,MATCH(C128,Hours!$A:$A,0))+J128*INDEX(Hours!F:F,MATCH(C128,Hours!$A:$A,0))+K128*INDEX(Hours!G:G,MATCH(C128,Hours!$A:$A,0)))</f>
        <v>0</v>
      </c>
      <c r="S128" s="19">
        <f t="shared" si="3"/>
        <v>0</v>
      </c>
    </row>
    <row r="129" spans="1:19" x14ac:dyDescent="0.25">
      <c r="A129" s="15" t="str">
        <f>'Bldgs &amp; Rooms'!$A$5</f>
        <v>Main Bldg.</v>
      </c>
      <c r="B129" s="15">
        <f>'Bldgs &amp; Rooms'!$B$5</f>
        <v>0</v>
      </c>
      <c r="C129" s="14" t="str">
        <f>Hours!$A$18</f>
        <v>Individual Combination Motor Starter &gt; 100A</v>
      </c>
      <c r="D129" s="15">
        <f t="shared" si="2"/>
        <v>0</v>
      </c>
      <c r="E129" s="16"/>
      <c r="F129" s="17"/>
      <c r="G129" s="17"/>
      <c r="H129" s="17"/>
      <c r="I129" s="17"/>
      <c r="J129" s="17"/>
      <c r="K129" s="17"/>
      <c r="L129" s="12"/>
      <c r="M129" s="12"/>
      <c r="N129" s="12"/>
      <c r="O129" s="12"/>
      <c r="P129" s="12"/>
      <c r="Q129" s="17"/>
      <c r="R129" s="18">
        <f>IF(SUMPRODUCT((E129:Q129)*1)=0,0,E129*INDEX(Hours!M:M,MATCH(C129,Hours!$A:$A,0))+F129*INDEX(Hours!B:B,MATCH(C129,Hours!$A:$A,0))+G129*INDEX(Hours!C:C,MATCH(C129,Hours!$A:$A,0))+H129*INDEX(Hours!D:D,MATCH(C129,Hours!$A:$A,0))+I129*INDEX(Hours!E:E,MATCH(C129,Hours!$A:$A,0))+J129*INDEX(Hours!F:F,MATCH(C129,Hours!$A:$A,0))+K129*INDEX(Hours!G:G,MATCH(C129,Hours!$A:$A,0)))</f>
        <v>0</v>
      </c>
      <c r="S129" s="19">
        <f t="shared" si="3"/>
        <v>0</v>
      </c>
    </row>
    <row r="130" spans="1:19" x14ac:dyDescent="0.25">
      <c r="A130" s="15" t="str">
        <f>'Bldgs &amp; Rooms'!$A$5</f>
        <v>Main Bldg.</v>
      </c>
      <c r="B130" s="15">
        <f>'Bldgs &amp; Rooms'!$B$5</f>
        <v>0</v>
      </c>
      <c r="C130" s="14" t="str">
        <f>Hours!$A$19</f>
        <v>Oil Filled Transformer - 5kV-15kV Primary - Any Size (Pad Mounted)</v>
      </c>
      <c r="D130" s="15">
        <f t="shared" ref="D130:D193" si="4">MAX(E130+F130,G130,H130,I130,J130,K130,L130,M130,N130,O130,P130,Q130)</f>
        <v>0</v>
      </c>
      <c r="E130" s="16"/>
      <c r="F130" s="17"/>
      <c r="G130" s="17"/>
      <c r="H130" s="17"/>
      <c r="I130" s="17"/>
      <c r="J130" s="17"/>
      <c r="K130" s="12"/>
      <c r="L130" s="12"/>
      <c r="M130" s="17"/>
      <c r="N130" s="17"/>
      <c r="O130" s="12"/>
      <c r="P130" s="17"/>
      <c r="Q130" s="17"/>
      <c r="R130" s="18">
        <f>IF(SUMPRODUCT((E130:Q130)*1)=0,0,E130*INDEX(Hours!M:M,MATCH(C130,Hours!$A:$A,0))+F130*INDEX(Hours!B:B,MATCH(C130,Hours!$A:$A,0))+G130*INDEX(Hours!C:C,MATCH(C130,Hours!$A:$A,0))+H130*INDEX(Hours!D:D,MATCH(C130,Hours!$A:$A,0))+I130*INDEX(Hours!E:E,MATCH(C130,Hours!$A:$A,0))+J130*INDEX(Hours!F:F,MATCH(C130,Hours!$A:$A,0))+M130*INDEX(Hours!I:I,MATCH(C130,Hours!$A:$A,0))+N130*INDEX(Hours!J:J,MATCH(C130,Hours!$A:$A,0))+P130*INDEX(Hours!L:L,MATCH(C130,Hours!$A:$A,0)))</f>
        <v>0</v>
      </c>
      <c r="S130" s="19">
        <f t="shared" ref="S130:S193" si="5">MAX(E130+F130,G130,H130,I130,J130,K130,L130,M130,N130,O130,P130,Q130)</f>
        <v>0</v>
      </c>
    </row>
    <row r="131" spans="1:19" x14ac:dyDescent="0.25">
      <c r="A131" s="15" t="str">
        <f>'Bldgs &amp; Rooms'!$A$5</f>
        <v>Main Bldg.</v>
      </c>
      <c r="B131" s="15">
        <f>'Bldgs &amp; Rooms'!$B$5</f>
        <v>0</v>
      </c>
      <c r="C131" s="14" t="str">
        <f>Hours!$A$20</f>
        <v>Oil Filled Transformer - &gt; 15kV Primary (Substation Class)</v>
      </c>
      <c r="D131" s="15">
        <f t="shared" si="4"/>
        <v>0</v>
      </c>
      <c r="E131" s="16"/>
      <c r="F131" s="17"/>
      <c r="G131" s="17"/>
      <c r="H131" s="17"/>
      <c r="I131" s="17"/>
      <c r="J131" s="17"/>
      <c r="K131" s="12"/>
      <c r="L131" s="12"/>
      <c r="M131" s="17"/>
      <c r="N131" s="17"/>
      <c r="O131" s="12"/>
      <c r="P131" s="17"/>
      <c r="Q131" s="17"/>
      <c r="R131" s="18">
        <f>IF(SUMPRODUCT((E131:Q131)*1)=0,0,E131*INDEX(Hours!M:M,MATCH(C131,Hours!$A:$A,0))+F131*INDEX(Hours!B:B,MATCH(C131,Hours!$A:$A,0))+G131*INDEX(Hours!C:C,MATCH(C131,Hours!$A:$A,0))+H131*INDEX(Hours!D:D,MATCH(C131,Hours!$A:$A,0))+I131*INDEX(Hours!E:E,MATCH(C131,Hours!$A:$A,0))+J131*INDEX(Hours!F:F,MATCH(C131,Hours!$A:$A,0))+M131*INDEX(Hours!I:I,MATCH(C131,Hours!$A:$A,0))+N131*INDEX(Hours!J:J,MATCH(C131,Hours!$A:$A,0))+P131*INDEX(Hours!L:L,MATCH(C131,Hours!$A:$A,0)))</f>
        <v>0</v>
      </c>
      <c r="S131" s="19">
        <f t="shared" si="5"/>
        <v>0</v>
      </c>
    </row>
    <row r="132" spans="1:19" x14ac:dyDescent="0.25">
      <c r="A132" s="15" t="str">
        <f>'Bldgs &amp; Rooms'!$A$5</f>
        <v>Main Bldg.</v>
      </c>
      <c r="B132" s="15">
        <f>'Bldgs &amp; Rooms'!$B$5</f>
        <v>0</v>
      </c>
      <c r="C132" s="14" t="str">
        <f>Hours!$A$21</f>
        <v>Dry Type Transformer - &lt; 480V Primary - Any Size kVA</v>
      </c>
      <c r="D132" s="15">
        <f t="shared" si="4"/>
        <v>0</v>
      </c>
      <c r="E132" s="16"/>
      <c r="F132" s="17"/>
      <c r="G132" s="17"/>
      <c r="H132" s="17"/>
      <c r="I132" s="17"/>
      <c r="J132" s="17"/>
      <c r="K132" s="12"/>
      <c r="L132" s="12"/>
      <c r="M132" s="17"/>
      <c r="N132" s="17"/>
      <c r="O132" s="12"/>
      <c r="P132" s="12"/>
      <c r="Q132" s="17"/>
      <c r="R132" s="18">
        <f>IF(SUMPRODUCT((E132:Q132)*1)=0,0,E132*INDEX(Hours!M:M,MATCH(C132,Hours!$A:$A,0))+F132*INDEX(Hours!B:B,MATCH(C132,Hours!$A:$A,0))+G132*INDEX(Hours!C:C,MATCH(C132,Hours!$A:$A,0))+H132*INDEX(Hours!D:D,MATCH(C132,Hours!$A:$A,0))+I132*INDEX(Hours!E:E,MATCH(C132,Hours!$A:$A,0))+J132*INDEX(Hours!F:F,MATCH(C132,Hours!$A:$A,0))+M132*INDEX(Hours!I:I,MATCH(C132,Hours!$A:$A,0))+N132*INDEX(Hours!J:J,MATCH(C132,Hours!$A:$A,0)))</f>
        <v>0</v>
      </c>
      <c r="S132" s="19">
        <f t="shared" si="5"/>
        <v>0</v>
      </c>
    </row>
    <row r="133" spans="1:19" x14ac:dyDescent="0.25">
      <c r="A133" s="15" t="str">
        <f>'Bldgs &amp; Rooms'!$A$5</f>
        <v>Main Bldg.</v>
      </c>
      <c r="B133" s="15">
        <f>'Bldgs &amp; Rooms'!$B$5</f>
        <v>0</v>
      </c>
      <c r="C133" s="14" t="str">
        <f>Hours!$A$22</f>
        <v>Power Factor Correction Capacitors</v>
      </c>
      <c r="D133" s="15">
        <f t="shared" si="4"/>
        <v>0</v>
      </c>
      <c r="E133" s="16"/>
      <c r="F133" s="17"/>
      <c r="G133" s="17"/>
      <c r="H133" s="17"/>
      <c r="I133" s="17"/>
      <c r="J133" s="17"/>
      <c r="K133" s="12"/>
      <c r="L133" s="12"/>
      <c r="M133" s="12"/>
      <c r="N133" s="12"/>
      <c r="O133" s="12"/>
      <c r="P133" s="12"/>
      <c r="Q133" s="17"/>
      <c r="R133" s="18">
        <f>IF(SUMPRODUCT((E133:Q133)*1)=0,0,E133*INDEX(Hours!M:M,MATCH(C133,Hours!$A:$A,0))+F133*INDEX(Hours!B:B,MATCH(C133,Hours!$A:$A,0))+G133*INDEX(Hours!C:C,MATCH(C133,Hours!$A:$A,0))+H133*INDEX(Hours!D:D,MATCH(C133,Hours!$A:$A,0))+I133*INDEX(Hours!E:E,MATCH(C133,Hours!$A:$A,0))+J133*INDEX(Hours!F:F,MATCH(C133,Hours!$A:$A,0)))</f>
        <v>0</v>
      </c>
      <c r="S133" s="19">
        <f t="shared" si="5"/>
        <v>0</v>
      </c>
    </row>
    <row r="134" spans="1:19" x14ac:dyDescent="0.25">
      <c r="A134" s="15" t="str">
        <f>'Bldgs &amp; Rooms'!$A$5</f>
        <v>Main Bldg.</v>
      </c>
      <c r="B134" s="15">
        <f>'Bldgs &amp; Rooms'!$B$5</f>
        <v>0</v>
      </c>
      <c r="C134" s="14" t="str">
        <f>Hours!$A$23</f>
        <v>Lighting Contactor &gt; 100A</v>
      </c>
      <c r="D134" s="15">
        <f t="shared" si="4"/>
        <v>0</v>
      </c>
      <c r="E134" s="16"/>
      <c r="F134" s="17"/>
      <c r="G134" s="17"/>
      <c r="H134" s="17"/>
      <c r="I134" s="17"/>
      <c r="J134" s="17"/>
      <c r="K134" s="12"/>
      <c r="L134" s="12"/>
      <c r="M134" s="12"/>
      <c r="N134" s="12"/>
      <c r="O134" s="12"/>
      <c r="P134" s="12"/>
      <c r="Q134" s="17"/>
      <c r="R134" s="18">
        <f>IF(SUMPRODUCT((E134:Q134)*1)=0,0,E134*INDEX(Hours!M:M,MATCH(C134,Hours!$A:$A,0))+F134*INDEX(Hours!B:B,MATCH(C134,Hours!$A:$A,0))+G134*INDEX(Hours!C:C,MATCH(C134,Hours!$A:$A,0))+H134*INDEX(Hours!D:D,MATCH(C134,Hours!$A:$A,0))+I134*INDEX(Hours!E:E,MATCH(C134,Hours!$A:$A,0))+J134*INDEX(Hours!F:F,MATCH(C134,Hours!$A:$A,0)))</f>
        <v>0</v>
      </c>
      <c r="S134" s="19">
        <f t="shared" si="5"/>
        <v>0</v>
      </c>
    </row>
    <row r="135" spans="1:19" x14ac:dyDescent="0.25">
      <c r="A135" s="15" t="str">
        <f>'Bldgs &amp; Rooms'!$A$5</f>
        <v>Main Bldg.</v>
      </c>
      <c r="B135" s="15">
        <f>'Bldgs &amp; Rooms'!$B$5</f>
        <v>0</v>
      </c>
      <c r="C135" s="14" t="str">
        <f>Hours!$A$24</f>
        <v>Power Distribution Unit (PDU)</v>
      </c>
      <c r="D135" s="15">
        <f t="shared" si="4"/>
        <v>0</v>
      </c>
      <c r="E135" s="16"/>
      <c r="F135" s="17"/>
      <c r="G135" s="17"/>
      <c r="H135" s="17"/>
      <c r="I135" s="17"/>
      <c r="J135" s="17"/>
      <c r="K135" s="12"/>
      <c r="L135" s="12"/>
      <c r="M135" s="12"/>
      <c r="N135" s="12"/>
      <c r="O135" s="12"/>
      <c r="P135" s="12"/>
      <c r="Q135" s="17"/>
      <c r="R135" s="18">
        <f>IF(SUMPRODUCT((E135:Q135)*1)=0,0,E135*INDEX(Hours!M:M,MATCH(C135,Hours!$A:$A,0))+F135*INDEX(Hours!B:B,MATCH(C135,Hours!$A:$A,0))+G135*INDEX(Hours!C:C,MATCH(C135,Hours!$A:$A,0))+H135*INDEX(Hours!D:D,MATCH(C135,Hours!$A:$A,0))+I135*INDEX(Hours!E:E,MATCH(C135,Hours!$A:$A,0))+J135*INDEX(Hours!F:F,MATCH(C135,Hours!$A:$A,0)))</f>
        <v>0</v>
      </c>
      <c r="S135" s="19">
        <f t="shared" si="5"/>
        <v>0</v>
      </c>
    </row>
    <row r="136" spans="1:19" x14ac:dyDescent="0.25">
      <c r="A136" s="15" t="str">
        <f>'Bldgs &amp; Rooms'!$A$5</f>
        <v>Main Bldg.</v>
      </c>
      <c r="B136" s="15">
        <f>'Bldgs &amp; Rooms'!$B$5</f>
        <v>0</v>
      </c>
      <c r="C136" s="14" t="str">
        <f>Hours!$A$25</f>
        <v>Wire Trough, Gutter, or Large Junction Boxes</v>
      </c>
      <c r="D136" s="15">
        <f t="shared" si="4"/>
        <v>0</v>
      </c>
      <c r="E136" s="16"/>
      <c r="F136" s="17"/>
      <c r="G136" s="17"/>
      <c r="H136" s="17"/>
      <c r="I136" s="17"/>
      <c r="J136" s="17"/>
      <c r="K136" s="12"/>
      <c r="L136" s="12"/>
      <c r="M136" s="12"/>
      <c r="N136" s="12"/>
      <c r="O136" s="12"/>
      <c r="P136" s="12"/>
      <c r="Q136" s="17"/>
      <c r="R136" s="18">
        <f>IF(SUMPRODUCT((E136:Q136)*1)=0,0,E136*INDEX(Hours!M:M,MATCH(C136,Hours!$A:$A,0))+F136*INDEX(Hours!B:B,MATCH(C136,Hours!$A:$A,0))+G136*INDEX(Hours!C:C,MATCH(C136,Hours!$A:$A,0))+H136*INDEX(Hours!D:D,MATCH(C136,Hours!$A:$A,0))+I136*INDEX(Hours!E:E,MATCH(C136,Hours!$A:$A,0))+J136*INDEX(Hours!F:F,MATCH(C136,Hours!$A:$A,0)))</f>
        <v>0</v>
      </c>
      <c r="S136" s="19">
        <f t="shared" si="5"/>
        <v>0</v>
      </c>
    </row>
    <row r="137" spans="1:19" x14ac:dyDescent="0.25">
      <c r="A137" s="15" t="str">
        <f>'Bldgs &amp; Rooms'!$A$5</f>
        <v>Main Bldg.</v>
      </c>
      <c r="B137" s="15">
        <f>'Bldgs &amp; Rooms'!$B$5</f>
        <v>0</v>
      </c>
      <c r="C137" s="14" t="str">
        <f>Hours!$A$26</f>
        <v>Bus Duct - Vertical or Horizontal (Per 10' section)</v>
      </c>
      <c r="D137" s="15">
        <f t="shared" si="4"/>
        <v>0</v>
      </c>
      <c r="E137" s="16"/>
      <c r="F137" s="17"/>
      <c r="G137" s="17"/>
      <c r="H137" s="17"/>
      <c r="I137" s="17"/>
      <c r="J137" s="17"/>
      <c r="K137" s="12"/>
      <c r="L137" s="12"/>
      <c r="M137" s="12"/>
      <c r="N137" s="12"/>
      <c r="O137" s="12"/>
      <c r="P137" s="12"/>
      <c r="Q137" s="17"/>
      <c r="R137" s="18">
        <f>IF(SUMPRODUCT((E137:Q137)*1)=0,0,E137*INDEX(Hours!M:M,MATCH(C137,Hours!$A:$A,0))+F137*INDEX(Hours!B:B,MATCH(C137,Hours!$A:$A,0))+G137*INDEX(Hours!C:C,MATCH(C137,Hours!$A:$A,0))+H137*INDEX(Hours!D:D,MATCH(C137,Hours!$A:$A,0))+I137*INDEX(Hours!E:E,MATCH(C137,Hours!$A:$A,0))+J137*INDEX(Hours!F:F,MATCH(C137,Hours!$A:$A,0)))</f>
        <v>0</v>
      </c>
      <c r="S137" s="19">
        <f t="shared" si="5"/>
        <v>0</v>
      </c>
    </row>
    <row r="138" spans="1:19" x14ac:dyDescent="0.25">
      <c r="A138" s="15" t="str">
        <f>'Bldgs &amp; Rooms'!$A$5</f>
        <v>Main Bldg.</v>
      </c>
      <c r="B138" s="15">
        <f>'Bldgs &amp; Rooms'!$B$5</f>
        <v>0</v>
      </c>
      <c r="C138" s="14" t="str">
        <f>Hours!$A$27</f>
        <v>Automatic Transfer Switch (ATS) &gt; 100A</v>
      </c>
      <c r="D138" s="15">
        <f t="shared" si="4"/>
        <v>0</v>
      </c>
      <c r="E138" s="16"/>
      <c r="F138" s="17"/>
      <c r="G138" s="17"/>
      <c r="H138" s="17"/>
      <c r="I138" s="17"/>
      <c r="J138" s="17"/>
      <c r="K138" s="12"/>
      <c r="L138" s="12"/>
      <c r="M138" s="12"/>
      <c r="N138" s="12"/>
      <c r="O138" s="12"/>
      <c r="P138" s="12"/>
      <c r="Q138" s="17"/>
      <c r="R138" s="18">
        <f>IF(SUMPRODUCT((E138:Q138)*1)=0,0,E138*INDEX(Hours!M:M,MATCH(C138,Hours!$A:$A,0))+F138*INDEX(Hours!B:B,MATCH(C138,Hours!$A:$A,0))+G138*INDEX(Hours!C:C,MATCH(C138,Hours!$A:$A,0))+H138*INDEX(Hours!D:D,MATCH(C138,Hours!$A:$A,0))+I138*INDEX(Hours!E:E,MATCH(C138,Hours!$A:$A,0))+J138*INDEX(Hours!F:F,MATCH(C138,Hours!$A:$A,0)))</f>
        <v>0</v>
      </c>
      <c r="S138" s="19">
        <f t="shared" si="5"/>
        <v>0</v>
      </c>
    </row>
    <row r="139" spans="1:19" x14ac:dyDescent="0.25">
      <c r="A139" s="15" t="str">
        <f>'Bldgs &amp; Rooms'!$A$5</f>
        <v>Main Bldg.</v>
      </c>
      <c r="B139" s="15">
        <f>'Bldgs &amp; Rooms'!$B$5</f>
        <v>0</v>
      </c>
      <c r="C139" s="14" t="str">
        <f>Hours!$A$28</f>
        <v>Manual Transfer Switch (MTS) &gt; 100A</v>
      </c>
      <c r="D139" s="15">
        <f t="shared" si="4"/>
        <v>0</v>
      </c>
      <c r="E139" s="16"/>
      <c r="F139" s="17"/>
      <c r="G139" s="17"/>
      <c r="H139" s="17"/>
      <c r="I139" s="17"/>
      <c r="J139" s="17"/>
      <c r="K139" s="12"/>
      <c r="L139" s="12"/>
      <c r="M139" s="12"/>
      <c r="N139" s="12"/>
      <c r="O139" s="12"/>
      <c r="P139" s="12"/>
      <c r="Q139" s="17"/>
      <c r="R139" s="18">
        <f>IF(SUMPRODUCT((E139:Q139)*1)=0,0,E139*INDEX(Hours!M:M,MATCH(C139,Hours!$A:$A,0))+F139*INDEX(Hours!B:B,MATCH(C139,Hours!$A:$A,0))+G139*INDEX(Hours!C:C,MATCH(C139,Hours!$A:$A,0))+H139*INDEX(Hours!D:D,MATCH(C139,Hours!$A:$A,0))+I139*INDEX(Hours!E:E,MATCH(C139,Hours!$A:$A,0))+J139*INDEX(Hours!F:F,MATCH(C139,Hours!$A:$A,0)))</f>
        <v>0</v>
      </c>
      <c r="S139" s="19">
        <f t="shared" si="5"/>
        <v>0</v>
      </c>
    </row>
    <row r="140" spans="1:19" x14ac:dyDescent="0.25">
      <c r="A140" s="15" t="str">
        <f>'Bldgs &amp; Rooms'!$A$5</f>
        <v>Main Bldg.</v>
      </c>
      <c r="B140" s="15">
        <f>'Bldgs &amp; Rooms'!$B$5</f>
        <v>0</v>
      </c>
      <c r="C140" s="14" t="str">
        <f>Hours!$A$29</f>
        <v>Variable Frequency Drives (VFD) &lt; 50 HP</v>
      </c>
      <c r="D140" s="15">
        <f t="shared" si="4"/>
        <v>0</v>
      </c>
      <c r="E140" s="16"/>
      <c r="F140" s="17"/>
      <c r="G140" s="17"/>
      <c r="H140" s="17"/>
      <c r="I140" s="17"/>
      <c r="J140" s="17"/>
      <c r="K140" s="12"/>
      <c r="L140" s="12"/>
      <c r="M140" s="12"/>
      <c r="N140" s="12"/>
      <c r="O140" s="12"/>
      <c r="P140" s="12"/>
      <c r="Q140" s="17"/>
      <c r="R140" s="18">
        <f>IF(SUMPRODUCT((E140:Q140)*1)=0,0,E140*INDEX(Hours!M:M,MATCH(C140,Hours!$A:$A,0))+F140*INDEX(Hours!B:B,MATCH(C140,Hours!$A:$A,0))+G140*INDEX(Hours!C:C,MATCH(C140,Hours!$A:$A,0))+H140*INDEX(Hours!D:D,MATCH(C140,Hours!$A:$A,0))+I140*INDEX(Hours!E:E,MATCH(C140,Hours!$A:$A,0))+J140*INDEX(Hours!F:F,MATCH(C140,Hours!$A:$A,0)))</f>
        <v>0</v>
      </c>
      <c r="S140" s="19">
        <f t="shared" si="5"/>
        <v>0</v>
      </c>
    </row>
    <row r="141" spans="1:19" x14ac:dyDescent="0.25">
      <c r="A141" s="15" t="str">
        <f>'Bldgs &amp; Rooms'!$A$5</f>
        <v>Main Bldg.</v>
      </c>
      <c r="B141" s="15">
        <f>'Bldgs &amp; Rooms'!$B$5</f>
        <v>0</v>
      </c>
      <c r="C141" s="14" t="str">
        <f>Hours!$A$30</f>
        <v>Variable Frequency Drives (VFD) 51-200 HP</v>
      </c>
      <c r="D141" s="15">
        <f t="shared" si="4"/>
        <v>0</v>
      </c>
      <c r="E141" s="16"/>
      <c r="F141" s="17"/>
      <c r="G141" s="17"/>
      <c r="H141" s="17"/>
      <c r="I141" s="17"/>
      <c r="J141" s="17"/>
      <c r="K141" s="12"/>
      <c r="L141" s="12"/>
      <c r="M141" s="12"/>
      <c r="N141" s="12"/>
      <c r="O141" s="12"/>
      <c r="P141" s="12"/>
      <c r="Q141" s="17"/>
      <c r="R141" s="18">
        <f>IF(SUMPRODUCT((E141:Q141)*1)=0,0,E141*INDEX(Hours!M:M,MATCH(C141,Hours!$A:$A,0))+F141*INDEX(Hours!B:B,MATCH(C141,Hours!$A:$A,0))+G141*INDEX(Hours!C:C,MATCH(C141,Hours!$A:$A,0))+H141*INDEX(Hours!D:D,MATCH(C141,Hours!$A:$A,0))+I141*INDEX(Hours!E:E,MATCH(C141,Hours!$A:$A,0))+J141*INDEX(Hours!F:F,MATCH(C141,Hours!$A:$A,0)))</f>
        <v>0</v>
      </c>
      <c r="S141" s="19">
        <f t="shared" si="5"/>
        <v>0</v>
      </c>
    </row>
    <row r="142" spans="1:19" x14ac:dyDescent="0.25">
      <c r="A142" s="15" t="str">
        <f>'Bldgs &amp; Rooms'!$A$5</f>
        <v>Main Bldg.</v>
      </c>
      <c r="B142" s="15">
        <f>'Bldgs &amp; Rooms'!$B$5</f>
        <v>0</v>
      </c>
      <c r="C142" s="14" t="str">
        <f>Hours!$A$31</f>
        <v>Motors &lt; 50 HP</v>
      </c>
      <c r="D142" s="15">
        <f t="shared" si="4"/>
        <v>0</v>
      </c>
      <c r="E142" s="16"/>
      <c r="F142" s="17"/>
      <c r="G142" s="17"/>
      <c r="H142" s="17"/>
      <c r="I142" s="17"/>
      <c r="J142" s="17"/>
      <c r="K142" s="12"/>
      <c r="L142" s="12"/>
      <c r="M142" s="12"/>
      <c r="N142" s="12"/>
      <c r="O142" s="12"/>
      <c r="P142" s="12"/>
      <c r="Q142" s="17"/>
      <c r="R142" s="18">
        <f>IF(SUMPRODUCT((E142:Q142)*1)=0,0,E142*INDEX(Hours!M:M,MATCH(C142,Hours!$A:$A,0))+F142*INDEX(Hours!B:B,MATCH(C142,Hours!$A:$A,0))+G142*INDEX(Hours!C:C,MATCH(C142,Hours!$A:$A,0))+H142*INDEX(Hours!D:D,MATCH(C142,Hours!$A:$A,0))+I142*INDEX(Hours!E:E,MATCH(C142,Hours!$A:$A,0))+J142*INDEX(Hours!F:F,MATCH(C142,Hours!$A:$A,0)))</f>
        <v>0</v>
      </c>
      <c r="S142" s="19">
        <f t="shared" si="5"/>
        <v>0</v>
      </c>
    </row>
    <row r="143" spans="1:19" x14ac:dyDescent="0.25">
      <c r="A143" s="15" t="str">
        <f>'Bldgs &amp; Rooms'!$A$5</f>
        <v>Main Bldg.</v>
      </c>
      <c r="B143" s="15">
        <f>'Bldgs &amp; Rooms'!$B$5</f>
        <v>0</v>
      </c>
      <c r="C143" s="14" t="str">
        <f>Hours!$A$32</f>
        <v>Motors 51-200 HP</v>
      </c>
      <c r="D143" s="15">
        <f t="shared" si="4"/>
        <v>0</v>
      </c>
      <c r="E143" s="16"/>
      <c r="F143" s="17"/>
      <c r="G143" s="17"/>
      <c r="H143" s="17"/>
      <c r="I143" s="17"/>
      <c r="J143" s="17"/>
      <c r="K143" s="12"/>
      <c r="L143" s="12"/>
      <c r="M143" s="12"/>
      <c r="N143" s="12"/>
      <c r="O143" s="12"/>
      <c r="P143" s="12"/>
      <c r="Q143" s="17"/>
      <c r="R143" s="18">
        <f>IF(SUMPRODUCT((E143:Q143)*1)=0,0,E143*INDEX(Hours!M:M,MATCH(C143,Hours!$A:$A,0))+F143*INDEX(Hours!B:B,MATCH(C143,Hours!$A:$A,0))+G143*INDEX(Hours!C:C,MATCH(C143,Hours!$A:$A,0))+H143*INDEX(Hours!D:D,MATCH(C143,Hours!$A:$A,0))+I143*INDEX(Hours!E:E,MATCH(C143,Hours!$A:$A,0))+J143*INDEX(Hours!F:F,MATCH(C143,Hours!$A:$A,0)))</f>
        <v>0</v>
      </c>
      <c r="S143" s="19">
        <f t="shared" si="5"/>
        <v>0</v>
      </c>
    </row>
    <row r="144" spans="1:19" x14ac:dyDescent="0.25">
      <c r="A144" s="15" t="str">
        <f>'Bldgs &amp; Rooms'!$A$5</f>
        <v>Main Bldg.</v>
      </c>
      <c r="B144" s="15">
        <f>'Bldgs &amp; Rooms'!$B$5</f>
        <v>0</v>
      </c>
      <c r="C144" s="14" t="str">
        <f>Hours!$A$33</f>
        <v>Motors 201-500 HP</v>
      </c>
      <c r="D144" s="15">
        <f t="shared" si="4"/>
        <v>0</v>
      </c>
      <c r="E144" s="16"/>
      <c r="F144" s="17"/>
      <c r="G144" s="17"/>
      <c r="H144" s="17"/>
      <c r="I144" s="17"/>
      <c r="J144" s="17"/>
      <c r="K144" s="12"/>
      <c r="L144" s="12"/>
      <c r="M144" s="12"/>
      <c r="N144" s="12"/>
      <c r="O144" s="12"/>
      <c r="P144" s="12"/>
      <c r="Q144" s="17"/>
      <c r="R144" s="18">
        <f>IF(SUMPRODUCT((E144:Q144)*1)=0,0,E144*INDEX(Hours!M:M,MATCH(C144,Hours!$A:$A,0))+F144*INDEX(Hours!B:B,MATCH(C144,Hours!$A:$A,0))+G144*INDEX(Hours!C:C,MATCH(C144,Hours!$A:$A,0))+H144*INDEX(Hours!D:D,MATCH(C144,Hours!$A:$A,0))+I144*INDEX(Hours!E:E,MATCH(C144,Hours!$A:$A,0))+J144*INDEX(Hours!F:F,MATCH(C144,Hours!$A:$A,0)))</f>
        <v>0</v>
      </c>
      <c r="S144" s="19">
        <f t="shared" si="5"/>
        <v>0</v>
      </c>
    </row>
    <row r="145" spans="1:19" x14ac:dyDescent="0.25">
      <c r="A145" s="15" t="str">
        <f>'Bldgs &amp; Rooms'!$A$5</f>
        <v>Main Bldg.</v>
      </c>
      <c r="B145" s="15">
        <f>'Bldgs &amp; Rooms'!$B$5</f>
        <v>0</v>
      </c>
      <c r="C145" s="14" t="str">
        <f>Hours!$A$34</f>
        <v>Compressed Air Equipment</v>
      </c>
      <c r="D145" s="15">
        <f t="shared" si="4"/>
        <v>0</v>
      </c>
      <c r="E145" s="16"/>
      <c r="F145" s="17"/>
      <c r="G145" s="17"/>
      <c r="H145" s="17"/>
      <c r="I145" s="17"/>
      <c r="J145" s="17"/>
      <c r="K145" s="12"/>
      <c r="L145" s="12"/>
      <c r="M145" s="12"/>
      <c r="N145" s="12"/>
      <c r="O145" s="12"/>
      <c r="P145" s="12"/>
      <c r="Q145" s="17"/>
      <c r="R145" s="18">
        <f>IF(SUMPRODUCT((E145:Q145)*1)=0,0,E145*INDEX(Hours!M:M,MATCH(C145,Hours!$A:$A,0))+F145*INDEX(Hours!B:B,MATCH(C145,Hours!$A:$A,0))+G145*INDEX(Hours!C:C,MATCH(C145,Hours!$A:$A,0))+H145*INDEX(Hours!D:D,MATCH(C145,Hours!$A:$A,0))+I145*INDEX(Hours!E:E,MATCH(C145,Hours!$A:$A,0))+J145*INDEX(Hours!F:F,MATCH(C145,Hours!$A:$A,0)))</f>
        <v>0</v>
      </c>
      <c r="S145" s="19">
        <f t="shared" si="5"/>
        <v>0</v>
      </c>
    </row>
    <row r="146" spans="1:19" x14ac:dyDescent="0.25">
      <c r="A146" s="15" t="str">
        <f>'Bldgs &amp; Rooms'!$A$5</f>
        <v>Main Bldg.</v>
      </c>
      <c r="B146" s="15">
        <f>'Bldgs &amp; Rooms'!$B$5</f>
        <v>0</v>
      </c>
      <c r="C146" s="14" t="str">
        <f>Hours!$A$35</f>
        <v>HVAC Equipment (Large)</v>
      </c>
      <c r="D146" s="15">
        <f t="shared" si="4"/>
        <v>0</v>
      </c>
      <c r="E146" s="16"/>
      <c r="F146" s="17"/>
      <c r="G146" s="17"/>
      <c r="H146" s="17"/>
      <c r="I146" s="17"/>
      <c r="J146" s="17"/>
      <c r="K146" s="12"/>
      <c r="L146" s="12"/>
      <c r="M146" s="12"/>
      <c r="N146" s="12"/>
      <c r="O146" s="12"/>
      <c r="P146" s="12"/>
      <c r="Q146" s="17"/>
      <c r="R146" s="18">
        <f>IF(SUMPRODUCT((E146:Q146)*1)=0,0,E146*INDEX(Hours!M:M,MATCH(C146,Hours!$A:$A,0))+F146*INDEX(Hours!B:B,MATCH(C146,Hours!$A:$A,0))+G146*INDEX(Hours!C:C,MATCH(C146,Hours!$A:$A,0))+H146*INDEX(Hours!D:D,MATCH(C146,Hours!$A:$A,0))+I146*INDEX(Hours!E:E,MATCH(C146,Hours!$A:$A,0))+J146*INDEX(Hours!F:F,MATCH(C146,Hours!$A:$A,0)))</f>
        <v>0</v>
      </c>
      <c r="S146" s="19">
        <f t="shared" si="5"/>
        <v>0</v>
      </c>
    </row>
    <row r="147" spans="1:19" x14ac:dyDescent="0.25">
      <c r="A147" s="15" t="str">
        <f>'Bldgs &amp; Rooms'!$A$5</f>
        <v>Main Bldg.</v>
      </c>
      <c r="B147" s="15">
        <f>'Bldgs &amp; Rooms'!$B$5</f>
        <v>0</v>
      </c>
      <c r="C147" s="14" t="str">
        <f>Hours!$A$36</f>
        <v>HVAC Equipment (Small)</v>
      </c>
      <c r="D147" s="15">
        <f t="shared" si="4"/>
        <v>0</v>
      </c>
      <c r="E147" s="16"/>
      <c r="F147" s="17"/>
      <c r="G147" s="17"/>
      <c r="H147" s="17"/>
      <c r="I147" s="17"/>
      <c r="J147" s="17"/>
      <c r="K147" s="12"/>
      <c r="L147" s="12"/>
      <c r="M147" s="12"/>
      <c r="N147" s="12"/>
      <c r="O147" s="12"/>
      <c r="P147" s="12"/>
      <c r="Q147" s="17"/>
      <c r="R147" s="18">
        <f>IF(SUMPRODUCT((E147:Q147)*1)=0,0,E147*INDEX(Hours!M:M,MATCH(C147,Hours!$A:$A,0))+F147*INDEX(Hours!B:B,MATCH(C147,Hours!$A:$A,0))+G147*INDEX(Hours!C:C,MATCH(C147,Hours!$A:$A,0))+H147*INDEX(Hours!D:D,MATCH(C147,Hours!$A:$A,0))+I147*INDEX(Hours!E:E,MATCH(C147,Hours!$A:$A,0))+J147*INDEX(Hours!F:F,MATCH(C147,Hours!$A:$A,0)))</f>
        <v>0</v>
      </c>
      <c r="S147" s="19">
        <f t="shared" si="5"/>
        <v>0</v>
      </c>
    </row>
    <row r="148" spans="1:19" x14ac:dyDescent="0.25">
      <c r="A148" s="15" t="str">
        <f>'Bldgs &amp; Rooms'!$A$5</f>
        <v>Main Bldg.</v>
      </c>
      <c r="B148" s="15">
        <f>'Bldgs &amp; Rooms'!$B$5</f>
        <v>0</v>
      </c>
      <c r="C148" s="14" t="str">
        <f>Hours!$A$37</f>
        <v>Uninterruptible Power Supply (UPS) &lt; 50kVA</v>
      </c>
      <c r="D148" s="15">
        <f t="shared" si="4"/>
        <v>0</v>
      </c>
      <c r="E148" s="16"/>
      <c r="F148" s="17"/>
      <c r="G148" s="17"/>
      <c r="H148" s="17"/>
      <c r="I148" s="17"/>
      <c r="J148" s="17"/>
      <c r="K148" s="12"/>
      <c r="L148" s="12"/>
      <c r="M148" s="12"/>
      <c r="N148" s="12"/>
      <c r="O148" s="12"/>
      <c r="P148" s="12"/>
      <c r="Q148" s="17"/>
      <c r="R148" s="18">
        <f>IF(SUMPRODUCT((E148:Q148)*1)=0,0,E148*INDEX(Hours!M:M,MATCH(C148,Hours!$A:$A,0))+F148*INDEX(Hours!B:B,MATCH(C148,Hours!$A:$A,0))+G148*INDEX(Hours!C:C,MATCH(C148,Hours!$A:$A,0))+H148*INDEX(Hours!D:D,MATCH(C148,Hours!$A:$A,0))+I148*INDEX(Hours!E:E,MATCH(C148,Hours!$A:$A,0))+J148*INDEX(Hours!F:F,MATCH(C148,Hours!$A:$A,0)))</f>
        <v>0</v>
      </c>
      <c r="S148" s="19">
        <f t="shared" si="5"/>
        <v>0</v>
      </c>
    </row>
    <row r="149" spans="1:19" x14ac:dyDescent="0.25">
      <c r="A149" s="15" t="str">
        <f>'Bldgs &amp; Rooms'!$A$5</f>
        <v>Main Bldg.</v>
      </c>
      <c r="B149" s="15">
        <f>'Bldgs &amp; Rooms'!$B$5</f>
        <v>0</v>
      </c>
      <c r="C149" s="14" t="str">
        <f>Hours!$A$38</f>
        <v>Uninterruptible Power Supply (UPS) &gt; 50kVA</v>
      </c>
      <c r="D149" s="15">
        <f t="shared" si="4"/>
        <v>0</v>
      </c>
      <c r="E149" s="16"/>
      <c r="F149" s="17"/>
      <c r="G149" s="17"/>
      <c r="H149" s="17"/>
      <c r="I149" s="17"/>
      <c r="J149" s="17"/>
      <c r="K149" s="12"/>
      <c r="L149" s="12"/>
      <c r="M149" s="12"/>
      <c r="N149" s="12"/>
      <c r="O149" s="12"/>
      <c r="P149" s="12"/>
      <c r="Q149" s="17"/>
      <c r="R149" s="18">
        <f>IF(SUMPRODUCT((E149:Q149)*1)=0,0,E149*INDEX(Hours!M:M,MATCH(C149,Hours!$A:$A,0))+F149*INDEX(Hours!B:B,MATCH(C149,Hours!$A:$A,0))+G149*INDEX(Hours!C:C,MATCH(C149,Hours!$A:$A,0))+H149*INDEX(Hours!D:D,MATCH(C149,Hours!$A:$A,0))+I149*INDEX(Hours!E:E,MATCH(C149,Hours!$A:$A,0))+J149*INDEX(Hours!F:F,MATCH(C149,Hours!$A:$A,0)))</f>
        <v>0</v>
      </c>
      <c r="S149" s="19">
        <f t="shared" si="5"/>
        <v>0</v>
      </c>
    </row>
    <row r="150" spans="1:19" x14ac:dyDescent="0.25">
      <c r="A150" s="11" t="str">
        <f>'Bldgs &amp; Rooms'!$A$6</f>
        <v>Main Bldg.</v>
      </c>
      <c r="B150" s="11">
        <f>'Bldgs &amp; Rooms'!$B$6</f>
        <v>0</v>
      </c>
      <c r="C150" s="10" t="str">
        <f>Hours!$A$2</f>
        <v>Switchgear - Incoming Main Service (Per Section)</v>
      </c>
      <c r="D150" s="11">
        <f t="shared" si="4"/>
        <v>0</v>
      </c>
      <c r="E150" s="16"/>
      <c r="F150" s="17"/>
      <c r="G150" s="17"/>
      <c r="H150" s="17"/>
      <c r="I150" s="17"/>
      <c r="J150" s="17"/>
      <c r="K150" s="17"/>
      <c r="L150" s="17"/>
      <c r="M150" s="12"/>
      <c r="N150" s="12"/>
      <c r="O150" s="17"/>
      <c r="P150" s="12"/>
      <c r="Q150" s="17"/>
      <c r="R150" s="18">
        <f>IF(SUMPRODUCT((E150:Q150)*1)=0,0,E150*INDEX(Hours!M:M,MATCH(C150,Hours!$A:$A,0))+F150*INDEX(Hours!B:B,MATCH(C150,Hours!$A:$A,0))+G150*INDEX(Hours!C:C,MATCH(C150,Hours!$A:$A,0))+H150*INDEX(Hours!D:D,MATCH(C150,Hours!$A:$A,0))+I150*INDEX(Hours!E:E,MATCH(C150,Hours!$A:$A,0))+J150*INDEX(Hours!F:F,MATCH(C150,Hours!$A:$A,0))+K150*INDEX(Hours!G:G,MATCH(C150,Hours!$A:$A,0))+L150*INDEX(Hours!H:H,MATCH(C150,Hours!$A:$A,0))+O150*INDEX(Hours!K:K,MATCH(C150,Hours!$A:$A,0)))</f>
        <v>0</v>
      </c>
      <c r="S150" s="19">
        <f t="shared" si="5"/>
        <v>0</v>
      </c>
    </row>
    <row r="151" spans="1:19" x14ac:dyDescent="0.25">
      <c r="A151" s="11" t="str">
        <f>'Bldgs &amp; Rooms'!$A$6</f>
        <v>Main Bldg.</v>
      </c>
      <c r="B151" s="11">
        <f>'Bldgs &amp; Rooms'!$B$6</f>
        <v>0</v>
      </c>
      <c r="C151" s="10" t="str">
        <f>Hours!$A$3</f>
        <v xml:space="preserve">  Switchgear Insulated Case Breakers (Bus Mounted)</v>
      </c>
      <c r="D151" s="11">
        <f t="shared" si="4"/>
        <v>0</v>
      </c>
      <c r="E151" s="16"/>
      <c r="F151" s="17"/>
      <c r="G151" s="17"/>
      <c r="H151" s="17"/>
      <c r="I151" s="17"/>
      <c r="J151" s="17"/>
      <c r="K151" s="17"/>
      <c r="L151" s="12"/>
      <c r="M151" s="12"/>
      <c r="N151" s="12"/>
      <c r="O151" s="12"/>
      <c r="P151" s="12"/>
      <c r="Q151" s="17"/>
      <c r="R151" s="18">
        <f>IF(SUMPRODUCT((E151:Q151)*1)=0,0,E151*INDEX(Hours!M:M,MATCH(C151,Hours!$A:$A,0))+F151*INDEX(Hours!B:B,MATCH(C151,Hours!$A:$A,0))+G151*INDEX(Hours!C:C,MATCH(C151,Hours!$A:$A,0))+H151*INDEX(Hours!D:D,MATCH(C151,Hours!$A:$A,0))+I151*INDEX(Hours!E:E,MATCH(C151,Hours!$A:$A,0))+J151*INDEX(Hours!F:F,MATCH(C151,Hours!$A:$A,0))+K151*INDEX(Hours!G:G,MATCH(C151,Hours!$A:$A,0)))</f>
        <v>0</v>
      </c>
      <c r="S151" s="19">
        <f t="shared" si="5"/>
        <v>0</v>
      </c>
    </row>
    <row r="152" spans="1:19" x14ac:dyDescent="0.25">
      <c r="A152" s="11" t="str">
        <f>'Bldgs &amp; Rooms'!$A$6</f>
        <v>Main Bldg.</v>
      </c>
      <c r="B152" s="11">
        <f>'Bldgs &amp; Rooms'!$B$6</f>
        <v>0</v>
      </c>
      <c r="C152" s="10" t="str">
        <f>Hours!$A$4</f>
        <v xml:space="preserve">  SwitchGear Drawout Breakers</v>
      </c>
      <c r="D152" s="11">
        <f t="shared" si="4"/>
        <v>0</v>
      </c>
      <c r="E152" s="16"/>
      <c r="F152" s="17"/>
      <c r="G152" s="17"/>
      <c r="H152" s="17"/>
      <c r="I152" s="17"/>
      <c r="J152" s="17"/>
      <c r="K152" s="12"/>
      <c r="L152" s="17"/>
      <c r="M152" s="12"/>
      <c r="N152" s="12"/>
      <c r="O152" s="12"/>
      <c r="P152" s="12"/>
      <c r="Q152" s="17"/>
      <c r="R152" s="18">
        <f>IF(SUMPRODUCT((E152:Q152)*1)=0,0,E152*INDEX(Hours!M:M,MATCH(C152,Hours!$A:$A,0))+F152*INDEX(Hours!B:B,MATCH(C152,Hours!$A:$A,0))+G152*INDEX(Hours!C:C,MATCH(C152,Hours!$A:$A,0))+H152*INDEX(Hours!D:D,MATCH(C152,Hours!$A:$A,0))+I152*INDEX(Hours!E:E,MATCH(C152,Hours!$A:$A,0))+J152*INDEX(Hours!F:F,MATCH(C152,Hours!$A:$A,0))+L152*INDEX(Hours!H:H,MATCH(C152,Hours!$A:$A,0)))</f>
        <v>0</v>
      </c>
      <c r="S152" s="19">
        <f t="shared" si="5"/>
        <v>0</v>
      </c>
    </row>
    <row r="153" spans="1:19" x14ac:dyDescent="0.25">
      <c r="A153" s="11" t="str">
        <f>'Bldgs &amp; Rooms'!$A$6</f>
        <v>Main Bldg.</v>
      </c>
      <c r="B153" s="11">
        <f>'Bldgs &amp; Rooms'!$B$6</f>
        <v>0</v>
      </c>
      <c r="C153" s="10" t="str">
        <f>Hours!$A$5</f>
        <v>Distribution Switchboard Multi Cover (Per Section)</v>
      </c>
      <c r="D153" s="11">
        <f t="shared" si="4"/>
        <v>0</v>
      </c>
      <c r="E153" s="16"/>
      <c r="F153" s="17"/>
      <c r="G153" s="17"/>
      <c r="H153" s="17"/>
      <c r="I153" s="17"/>
      <c r="J153" s="17"/>
      <c r="K153" s="17"/>
      <c r="L153" s="12"/>
      <c r="M153" s="12"/>
      <c r="N153" s="12"/>
      <c r="O153" s="17"/>
      <c r="P153" s="12"/>
      <c r="Q153" s="17"/>
      <c r="R153" s="18">
        <f>IF(SUMPRODUCT((E153:Q153)*1)=0,0,E153*INDEX(Hours!M:M,MATCH(C153,Hours!$A:$A,0))+F153*INDEX(Hours!B:B,MATCH(C153,Hours!$A:$A,0))+G153*INDEX(Hours!C:C,MATCH(C153,Hours!$A:$A,0))+H153*INDEX(Hours!D:D,MATCH(C153,Hours!$A:$A,0))+I153*INDEX(Hours!E:E,MATCH(C153,Hours!$A:$A,0))+J153*INDEX(Hours!F:F,MATCH(C153,Hours!$A:$A,0))+K153*INDEX(Hours!G:G,MATCH(C153,Hours!$A:$A,0))+O153*INDEX(Hours!K:K,MATCH(C153,Hours!$A:$A,0)))</f>
        <v>0</v>
      </c>
      <c r="S153" s="19">
        <f t="shared" si="5"/>
        <v>0</v>
      </c>
    </row>
    <row r="154" spans="1:19" x14ac:dyDescent="0.25">
      <c r="A154" s="11" t="str">
        <f>'Bldgs &amp; Rooms'!$A$6</f>
        <v>Main Bldg.</v>
      </c>
      <c r="B154" s="11">
        <f>'Bldgs &amp; Rooms'!$B$6</f>
        <v>0</v>
      </c>
      <c r="C154" s="10" t="str">
        <f>Hours!$A$6</f>
        <v xml:space="preserve">  Switchboard Disconnects</v>
      </c>
      <c r="D154" s="11">
        <f t="shared" si="4"/>
        <v>0</v>
      </c>
      <c r="E154" s="16"/>
      <c r="F154" s="17"/>
      <c r="G154" s="17"/>
      <c r="H154" s="17"/>
      <c r="I154" s="17"/>
      <c r="J154" s="17"/>
      <c r="K154" s="12"/>
      <c r="L154" s="12"/>
      <c r="M154" s="12"/>
      <c r="N154" s="12"/>
      <c r="O154" s="12"/>
      <c r="P154" s="12"/>
      <c r="Q154" s="17"/>
      <c r="R154" s="18">
        <f>IF(SUMPRODUCT((E154:Q154)*1)=0,0,E154*INDEX(Hours!M:M,MATCH(C154,Hours!$A:$A,0))+F154*INDEX(Hours!B:B,MATCH(C154,Hours!$A:$A,0))+G154*INDEX(Hours!C:C,MATCH(C154,Hours!$A:$A,0))+H154*INDEX(Hours!D:D,MATCH(C154,Hours!$A:$A,0))+I154*INDEX(Hours!E:E,MATCH(C154,Hours!$A:$A,0))+J154*INDEX(Hours!F:F,MATCH(C154,Hours!$A:$A,0)))</f>
        <v>0</v>
      </c>
      <c r="S154" s="19">
        <f t="shared" si="5"/>
        <v>0</v>
      </c>
    </row>
    <row r="155" spans="1:19" x14ac:dyDescent="0.25">
      <c r="A155" s="11" t="str">
        <f>'Bldgs &amp; Rooms'!$A$6</f>
        <v>Main Bldg.</v>
      </c>
      <c r="B155" s="11">
        <f>'Bldgs &amp; Rooms'!$B$6</f>
        <v>0</v>
      </c>
      <c r="C155" s="10" t="str">
        <f>Hours!$A$7</f>
        <v xml:space="preserve">  Switchboard Molded Case Breakers</v>
      </c>
      <c r="D155" s="11">
        <f t="shared" si="4"/>
        <v>0</v>
      </c>
      <c r="E155" s="16"/>
      <c r="F155" s="17"/>
      <c r="G155" s="17"/>
      <c r="H155" s="17"/>
      <c r="I155" s="17"/>
      <c r="J155" s="17"/>
      <c r="K155" s="17"/>
      <c r="L155" s="12"/>
      <c r="M155" s="12"/>
      <c r="N155" s="12"/>
      <c r="O155" s="12"/>
      <c r="P155" s="12"/>
      <c r="Q155" s="17"/>
      <c r="R155" s="18">
        <f>IF(SUMPRODUCT((E155:Q155)*1)=0,0,E155*INDEX(Hours!M:M,MATCH(C155,Hours!$A:$A,0))+F155*INDEX(Hours!B:B,MATCH(C155,Hours!$A:$A,0))+G155*INDEX(Hours!C:C,MATCH(C155,Hours!$A:$A,0))+H155*INDEX(Hours!D:D,MATCH(C155,Hours!$A:$A,0))+I155*INDEX(Hours!E:E,MATCH(C155,Hours!$A:$A,0))+J155*INDEX(Hours!F:F,MATCH(C155,Hours!$A:$A,0))+K155*INDEX(Hours!G:G,MATCH(C155,Hours!$A:$A,0)))</f>
        <v>0</v>
      </c>
      <c r="S155" s="19">
        <f t="shared" si="5"/>
        <v>0</v>
      </c>
    </row>
    <row r="156" spans="1:19" x14ac:dyDescent="0.25">
      <c r="A156" s="11" t="str">
        <f>'Bldgs &amp; Rooms'!$A$6</f>
        <v>Main Bldg.</v>
      </c>
      <c r="B156" s="11">
        <f>'Bldgs &amp; Rooms'!$B$6</f>
        <v>0</v>
      </c>
      <c r="C156" s="10" t="str">
        <f>Hours!$A$8</f>
        <v>Panelboard-Single Cover &gt; 400A (Distribution Panel)</v>
      </c>
      <c r="D156" s="11">
        <f t="shared" si="4"/>
        <v>0</v>
      </c>
      <c r="E156" s="16"/>
      <c r="F156" s="17"/>
      <c r="G156" s="17"/>
      <c r="H156" s="17"/>
      <c r="I156" s="17"/>
      <c r="J156" s="17"/>
      <c r="K156" s="17"/>
      <c r="L156" s="12"/>
      <c r="M156" s="12"/>
      <c r="N156" s="12"/>
      <c r="O156" s="17"/>
      <c r="P156" s="12"/>
      <c r="Q156" s="17"/>
      <c r="R156" s="18">
        <f>IF(SUMPRODUCT((E156:Q156)*1)=0,0,E156*INDEX(Hours!M:M,MATCH(C156,Hours!$A:$A,0))+F156*INDEX(Hours!B:B,MATCH(C156,Hours!$A:$A,0))+G156*INDEX(Hours!C:C,MATCH(C156,Hours!$A:$A,0))+H156*INDEX(Hours!D:D,MATCH(C156,Hours!$A:$A,0))+I156*INDEX(Hours!E:E,MATCH(C156,Hours!$A:$A,0))+J156*INDEX(Hours!F:F,MATCH(C156,Hours!$A:$A,0))+K156*INDEX(Hours!G:G,MATCH(C156,Hours!$A:$A,0))+O156*INDEX(Hours!K:K,MATCH(C156,Hours!$A:$A,0)))</f>
        <v>0</v>
      </c>
      <c r="S156" s="19">
        <f t="shared" si="5"/>
        <v>0</v>
      </c>
    </row>
    <row r="157" spans="1:19" x14ac:dyDescent="0.25">
      <c r="A157" s="11" t="str">
        <f>'Bldgs &amp; Rooms'!$A$6</f>
        <v>Main Bldg.</v>
      </c>
      <c r="B157" s="11">
        <f>'Bldgs &amp; Rooms'!$B$6</f>
        <v>0</v>
      </c>
      <c r="C157" s="10" t="str">
        <f>Hours!$A$9</f>
        <v>Panelboard-Single Cover &lt; 400A (Branch Ckt Panel)</v>
      </c>
      <c r="D157" s="11">
        <f t="shared" si="4"/>
        <v>0</v>
      </c>
      <c r="E157" s="16"/>
      <c r="F157" s="17"/>
      <c r="G157" s="17"/>
      <c r="H157" s="17"/>
      <c r="I157" s="17"/>
      <c r="J157" s="17"/>
      <c r="K157" s="12"/>
      <c r="L157" s="12"/>
      <c r="M157" s="12"/>
      <c r="N157" s="12"/>
      <c r="O157" s="17"/>
      <c r="P157" s="12"/>
      <c r="Q157" s="17"/>
      <c r="R157" s="18">
        <f>IF(SUMPRODUCT((E157:Q157)*1)=0,0,E157*INDEX(Hours!M:M,MATCH(C157,Hours!$A:$A,0))+F157*INDEX(Hours!B:B,MATCH(C157,Hours!$A:$A,0))+G157*INDEX(Hours!C:C,MATCH(C157,Hours!$A:$A,0))+H157*INDEX(Hours!D:D,MATCH(C157,Hours!$A:$A,0))+I157*INDEX(Hours!E:E,MATCH(C157,Hours!$A:$A,0))+J157*INDEX(Hours!F:F,MATCH(C157,Hours!$A:$A,0))+O157*INDEX(Hours!K:K,MATCH(C157,Hours!$A:$A,0)))</f>
        <v>0</v>
      </c>
      <c r="S157" s="19">
        <f t="shared" si="5"/>
        <v>0</v>
      </c>
    </row>
    <row r="158" spans="1:19" x14ac:dyDescent="0.25">
      <c r="A158" s="11" t="str">
        <f>'Bldgs &amp; Rooms'!$A$6</f>
        <v>Main Bldg.</v>
      </c>
      <c r="B158" s="11">
        <f>'Bldgs &amp; Rooms'!$B$6</f>
        <v>0</v>
      </c>
      <c r="C158" s="10" t="str">
        <f>Hours!$A$10</f>
        <v>Motor Control Center (MCC-Per Vertical Section)</v>
      </c>
      <c r="D158" s="11">
        <f t="shared" si="4"/>
        <v>0</v>
      </c>
      <c r="E158" s="16"/>
      <c r="F158" s="17"/>
      <c r="G158" s="17"/>
      <c r="H158" s="17"/>
      <c r="I158" s="17"/>
      <c r="J158" s="17"/>
      <c r="K158" s="12"/>
      <c r="L158" s="12"/>
      <c r="M158" s="12"/>
      <c r="N158" s="12"/>
      <c r="O158" s="17"/>
      <c r="P158" s="12"/>
      <c r="Q158" s="17"/>
      <c r="R158" s="18">
        <f>IF(SUMPRODUCT((E158:Q158)*1)=0,0,E158*INDEX(Hours!M:M,MATCH(C158,Hours!$A:$A,0))+F158*INDEX(Hours!B:B,MATCH(C158,Hours!$A:$A,0))+G158*INDEX(Hours!C:C,MATCH(C158,Hours!$A:$A,0))+H158*INDEX(Hours!D:D,MATCH(C158,Hours!$A:$A,0))+I158*INDEX(Hours!E:E,MATCH(C158,Hours!$A:$A,0))+J158*INDEX(Hours!F:F,MATCH(C158,Hours!$A:$A,0))+O158*INDEX(Hours!K:K,MATCH(C158,Hours!$A:$A,0)))</f>
        <v>0</v>
      </c>
      <c r="S158" s="19">
        <f t="shared" si="5"/>
        <v>0</v>
      </c>
    </row>
    <row r="159" spans="1:19" x14ac:dyDescent="0.25">
      <c r="A159" s="11" t="str">
        <f>'Bldgs &amp; Rooms'!$A$6</f>
        <v>Main Bldg.</v>
      </c>
      <c r="B159" s="11">
        <f>'Bldgs &amp; Rooms'!$B$6</f>
        <v>0</v>
      </c>
      <c r="C159" s="10" t="str">
        <f>Hours!$A$11</f>
        <v xml:space="preserve">  MCC: Combination Motor Starters</v>
      </c>
      <c r="D159" s="11">
        <f t="shared" si="4"/>
        <v>0</v>
      </c>
      <c r="E159" s="16"/>
      <c r="F159" s="17"/>
      <c r="G159" s="17"/>
      <c r="H159" s="17"/>
      <c r="I159" s="17"/>
      <c r="J159" s="17"/>
      <c r="K159" s="17"/>
      <c r="L159" s="12"/>
      <c r="M159" s="12"/>
      <c r="N159" s="12"/>
      <c r="O159" s="17"/>
      <c r="P159" s="12"/>
      <c r="Q159" s="17"/>
      <c r="R159" s="18">
        <f>IF(SUMPRODUCT((E159:Q159)*1)=0,0,E159*INDEX(Hours!M:M,MATCH(C159,Hours!$A:$A,0))+F159*INDEX(Hours!B:B,MATCH(C159,Hours!$A:$A,0))+G159*INDEX(Hours!C:C,MATCH(C159,Hours!$A:$A,0))+H159*INDEX(Hours!D:D,MATCH(C159,Hours!$A:$A,0))+I159*INDEX(Hours!E:E,MATCH(C159,Hours!$A:$A,0))+J159*INDEX(Hours!F:F,MATCH(C159,Hours!$A:$A,0))+K159*INDEX(Hours!G:G,MATCH(C159,Hours!$A:$A,0))+O159*INDEX(Hours!K:K,MATCH(C159,Hours!$A:$A,0)))</f>
        <v>0</v>
      </c>
      <c r="S159" s="19">
        <f t="shared" si="5"/>
        <v>0</v>
      </c>
    </row>
    <row r="160" spans="1:19" x14ac:dyDescent="0.25">
      <c r="A160" s="11" t="str">
        <f>'Bldgs &amp; Rooms'!$A$6</f>
        <v>Main Bldg.</v>
      </c>
      <c r="B160" s="11">
        <f>'Bldgs &amp; Rooms'!$B$6</f>
        <v>0</v>
      </c>
      <c r="C160" s="10" t="str">
        <f>Hours!$A$12</f>
        <v xml:space="preserve">  MCC: Molded Case Breaker</v>
      </c>
      <c r="D160" s="11">
        <f t="shared" si="4"/>
        <v>0</v>
      </c>
      <c r="E160" s="16"/>
      <c r="F160" s="17"/>
      <c r="G160" s="17"/>
      <c r="H160" s="17"/>
      <c r="I160" s="17"/>
      <c r="J160" s="17"/>
      <c r="K160" s="17"/>
      <c r="L160" s="12"/>
      <c r="M160" s="12"/>
      <c r="N160" s="12"/>
      <c r="O160" s="12"/>
      <c r="P160" s="12"/>
      <c r="Q160" s="17"/>
      <c r="R160" s="18">
        <f>IF(SUMPRODUCT((E160:Q160)*1)=0,0,E160*INDEX(Hours!M:M,MATCH(C160,Hours!$A:$A,0))+F160*INDEX(Hours!B:B,MATCH(C160,Hours!$A:$A,0))+G160*INDEX(Hours!C:C,MATCH(C160,Hours!$A:$A,0))+H160*INDEX(Hours!D:D,MATCH(C160,Hours!$A:$A,0))+I160*INDEX(Hours!E:E,MATCH(C160,Hours!$A:$A,0))+J160*INDEX(Hours!F:F,MATCH(C160,Hours!$A:$A,0))+K160*INDEX(Hours!G:G,MATCH(C160,Hours!$A:$A,0)))</f>
        <v>0</v>
      </c>
      <c r="S160" s="19">
        <f t="shared" si="5"/>
        <v>0</v>
      </c>
    </row>
    <row r="161" spans="1:19" x14ac:dyDescent="0.25">
      <c r="A161" s="11" t="str">
        <f>'Bldgs &amp; Rooms'!$A$6</f>
        <v>Main Bldg.</v>
      </c>
      <c r="B161" s="11">
        <f>'Bldgs &amp; Rooms'!$B$6</f>
        <v>0</v>
      </c>
      <c r="C161" s="10" t="str">
        <f>Hours!$A$13</f>
        <v xml:space="preserve">  MCC: Individual Disconnect Switch</v>
      </c>
      <c r="D161" s="11">
        <f t="shared" si="4"/>
        <v>0</v>
      </c>
      <c r="E161" s="16"/>
      <c r="F161" s="17"/>
      <c r="G161" s="17"/>
      <c r="H161" s="17"/>
      <c r="I161" s="17"/>
      <c r="J161" s="17"/>
      <c r="K161" s="12"/>
      <c r="L161" s="12"/>
      <c r="M161" s="12"/>
      <c r="N161" s="12"/>
      <c r="O161" s="12"/>
      <c r="P161" s="12"/>
      <c r="Q161" s="17"/>
      <c r="R161" s="18">
        <f>IF(SUMPRODUCT((E161:Q161)*1)=0,0,E161*INDEX(Hours!M:M,MATCH(C161,Hours!$A:$A,0))+F161*INDEX(Hours!B:B,MATCH(C161,Hours!$A:$A,0))+G161*INDEX(Hours!C:C,MATCH(C161,Hours!$A:$A,0))+H161*INDEX(Hours!D:D,MATCH(C161,Hours!$A:$A,0))+I161*INDEX(Hours!E:E,MATCH(C161,Hours!$A:$A,0))+J161*INDEX(Hours!F:F,MATCH(C161,Hours!$A:$A,0)))</f>
        <v>0</v>
      </c>
      <c r="S161" s="19">
        <f t="shared" si="5"/>
        <v>0</v>
      </c>
    </row>
    <row r="162" spans="1:19" x14ac:dyDescent="0.25">
      <c r="A162" s="11" t="str">
        <f>'Bldgs &amp; Rooms'!$A$6</f>
        <v>Main Bldg.</v>
      </c>
      <c r="B162" s="11">
        <f>'Bldgs &amp; Rooms'!$B$6</f>
        <v>0</v>
      </c>
      <c r="C162" s="10" t="str">
        <f>Hours!$A$14</f>
        <v>Motor Control Panel (MCP)</v>
      </c>
      <c r="D162" s="11">
        <f t="shared" si="4"/>
        <v>0</v>
      </c>
      <c r="E162" s="16"/>
      <c r="F162" s="17"/>
      <c r="G162" s="17"/>
      <c r="H162" s="17"/>
      <c r="I162" s="17"/>
      <c r="J162" s="17"/>
      <c r="K162" s="12"/>
      <c r="L162" s="12"/>
      <c r="M162" s="12"/>
      <c r="N162" s="12"/>
      <c r="O162" s="17"/>
      <c r="P162" s="12"/>
      <c r="Q162" s="17"/>
      <c r="R162" s="18">
        <f>IF(SUMPRODUCT((E162:Q162)*1)=0,0,E162*INDEX(Hours!M:M,MATCH(C162,Hours!$A:$A,0))+F162*INDEX(Hours!B:B,MATCH(C162,Hours!$A:$A,0))+G162*INDEX(Hours!C:C,MATCH(C162,Hours!$A:$A,0))+H162*INDEX(Hours!D:D,MATCH(C162,Hours!$A:$A,0))+I162*INDEX(Hours!E:E,MATCH(C162,Hours!$A:$A,0))+J162*INDEX(Hours!F:F,MATCH(C162,Hours!$A:$A,0))+O162*INDEX(Hours!K:K,MATCH(C162,Hours!$A:$A,0)))</f>
        <v>0</v>
      </c>
      <c r="S162" s="19">
        <f t="shared" si="5"/>
        <v>0</v>
      </c>
    </row>
    <row r="163" spans="1:19" x14ac:dyDescent="0.25">
      <c r="A163" s="11" t="str">
        <f>'Bldgs &amp; Rooms'!$A$6</f>
        <v>Main Bldg.</v>
      </c>
      <c r="B163" s="11">
        <f>'Bldgs &amp; Rooms'!$B$6</f>
        <v>0</v>
      </c>
      <c r="C163" s="10" t="str">
        <f>Hours!$A$15</f>
        <v>VFD Motor Control Panel (VFD-MCP)</v>
      </c>
      <c r="D163" s="11">
        <f t="shared" si="4"/>
        <v>0</v>
      </c>
      <c r="E163" s="16"/>
      <c r="F163" s="17"/>
      <c r="G163" s="17"/>
      <c r="H163" s="17"/>
      <c r="I163" s="17"/>
      <c r="J163" s="17"/>
      <c r="K163" s="12"/>
      <c r="L163" s="12"/>
      <c r="M163" s="12"/>
      <c r="N163" s="12"/>
      <c r="O163" s="17"/>
      <c r="P163" s="12"/>
      <c r="Q163" s="17"/>
      <c r="R163" s="18">
        <f>IF(SUMPRODUCT((E163:Q163)*1)=0,0,E163*INDEX(Hours!M:M,MATCH(C163,Hours!$A:$A,0))+F163*INDEX(Hours!B:B,MATCH(C163,Hours!$A:$A,0))+G163*INDEX(Hours!C:C,MATCH(C163,Hours!$A:$A,0))+H163*INDEX(Hours!D:D,MATCH(C163,Hours!$A:$A,0))+I163*INDEX(Hours!E:E,MATCH(C163,Hours!$A:$A,0))+J163*INDEX(Hours!F:F,MATCH(C163,Hours!$A:$A,0))+O163*INDEX(Hours!K:K,MATCH(C163,Hours!$A:$A,0)))</f>
        <v>0</v>
      </c>
      <c r="S163" s="19">
        <f t="shared" si="5"/>
        <v>0</v>
      </c>
    </row>
    <row r="164" spans="1:19" x14ac:dyDescent="0.25">
      <c r="A164" s="11" t="str">
        <f>'Bldgs &amp; Rooms'!$A$6</f>
        <v>Main Bldg.</v>
      </c>
      <c r="B164" s="11">
        <f>'Bldgs &amp; Rooms'!$B$6</f>
        <v>0</v>
      </c>
      <c r="C164" s="10" t="str">
        <f>Hours!$A$16</f>
        <v>Individual Disconnect Switch &gt; 100A</v>
      </c>
      <c r="D164" s="11">
        <f t="shared" si="4"/>
        <v>0</v>
      </c>
      <c r="E164" s="16"/>
      <c r="F164" s="17"/>
      <c r="G164" s="17"/>
      <c r="H164" s="17"/>
      <c r="I164" s="17"/>
      <c r="J164" s="17"/>
      <c r="K164" s="17"/>
      <c r="L164" s="12"/>
      <c r="M164" s="12"/>
      <c r="N164" s="12"/>
      <c r="O164" s="12"/>
      <c r="P164" s="12"/>
      <c r="Q164" s="17"/>
      <c r="R164" s="18">
        <f>IF(SUMPRODUCT((E164:Q164)*1)=0,0,E164*INDEX(Hours!M:M,MATCH(C164,Hours!$A:$A,0))+F164*INDEX(Hours!B:B,MATCH(C164,Hours!$A:$A,0))+G164*INDEX(Hours!C:C,MATCH(C164,Hours!$A:$A,0))+H164*INDEX(Hours!D:D,MATCH(C164,Hours!$A:$A,0))+I164*INDEX(Hours!E:E,MATCH(C164,Hours!$A:$A,0))+J164*INDEX(Hours!F:F,MATCH(C164,Hours!$A:$A,0))+K164*INDEX(Hours!G:G,MATCH(C164,Hours!$A:$A,0)))</f>
        <v>0</v>
      </c>
      <c r="S164" s="19">
        <f t="shared" si="5"/>
        <v>0</v>
      </c>
    </row>
    <row r="165" spans="1:19" x14ac:dyDescent="0.25">
      <c r="A165" s="11" t="str">
        <f>'Bldgs &amp; Rooms'!$A$6</f>
        <v>Main Bldg.</v>
      </c>
      <c r="B165" s="11">
        <f>'Bldgs &amp; Rooms'!$B$6</f>
        <v>0</v>
      </c>
      <c r="C165" s="10" t="str">
        <f>Hours!$A$17</f>
        <v>Individual Molded Case Breaker &gt; 100A</v>
      </c>
      <c r="D165" s="11">
        <f t="shared" si="4"/>
        <v>0</v>
      </c>
      <c r="E165" s="16"/>
      <c r="F165" s="17"/>
      <c r="G165" s="17"/>
      <c r="H165" s="17"/>
      <c r="I165" s="17"/>
      <c r="J165" s="17"/>
      <c r="K165" s="17"/>
      <c r="L165" s="12"/>
      <c r="M165" s="12"/>
      <c r="N165" s="12"/>
      <c r="O165" s="12"/>
      <c r="P165" s="12"/>
      <c r="Q165" s="17"/>
      <c r="R165" s="18">
        <f>IF(SUMPRODUCT((E165:Q165)*1)=0,0,E165*INDEX(Hours!M:M,MATCH(C165,Hours!$A:$A,0))+F165*INDEX(Hours!B:B,MATCH(C165,Hours!$A:$A,0))+G165*INDEX(Hours!C:C,MATCH(C165,Hours!$A:$A,0))+H165*INDEX(Hours!D:D,MATCH(C165,Hours!$A:$A,0))+I165*INDEX(Hours!E:E,MATCH(C165,Hours!$A:$A,0))+J165*INDEX(Hours!F:F,MATCH(C165,Hours!$A:$A,0))+K165*INDEX(Hours!G:G,MATCH(C165,Hours!$A:$A,0)))</f>
        <v>0</v>
      </c>
      <c r="S165" s="19">
        <f t="shared" si="5"/>
        <v>0</v>
      </c>
    </row>
    <row r="166" spans="1:19" x14ac:dyDescent="0.25">
      <c r="A166" s="11" t="str">
        <f>'Bldgs &amp; Rooms'!$A$6</f>
        <v>Main Bldg.</v>
      </c>
      <c r="B166" s="11">
        <f>'Bldgs &amp; Rooms'!$B$6</f>
        <v>0</v>
      </c>
      <c r="C166" s="10" t="str">
        <f>Hours!$A$18</f>
        <v>Individual Combination Motor Starter &gt; 100A</v>
      </c>
      <c r="D166" s="11">
        <f t="shared" si="4"/>
        <v>0</v>
      </c>
      <c r="E166" s="16"/>
      <c r="F166" s="17"/>
      <c r="G166" s="17"/>
      <c r="H166" s="17"/>
      <c r="I166" s="17"/>
      <c r="J166" s="17"/>
      <c r="K166" s="17"/>
      <c r="L166" s="12"/>
      <c r="M166" s="12"/>
      <c r="N166" s="12"/>
      <c r="O166" s="12"/>
      <c r="P166" s="12"/>
      <c r="Q166" s="17"/>
      <c r="R166" s="18">
        <f>IF(SUMPRODUCT((E166:Q166)*1)=0,0,E166*INDEX(Hours!M:M,MATCH(C166,Hours!$A:$A,0))+F166*INDEX(Hours!B:B,MATCH(C166,Hours!$A:$A,0))+G166*INDEX(Hours!C:C,MATCH(C166,Hours!$A:$A,0))+H166*INDEX(Hours!D:D,MATCH(C166,Hours!$A:$A,0))+I166*INDEX(Hours!E:E,MATCH(C166,Hours!$A:$A,0))+J166*INDEX(Hours!F:F,MATCH(C166,Hours!$A:$A,0))+K166*INDEX(Hours!G:G,MATCH(C166,Hours!$A:$A,0)))</f>
        <v>0</v>
      </c>
      <c r="S166" s="19">
        <f t="shared" si="5"/>
        <v>0</v>
      </c>
    </row>
    <row r="167" spans="1:19" x14ac:dyDescent="0.25">
      <c r="A167" s="11" t="str">
        <f>'Bldgs &amp; Rooms'!$A$6</f>
        <v>Main Bldg.</v>
      </c>
      <c r="B167" s="11">
        <f>'Bldgs &amp; Rooms'!$B$6</f>
        <v>0</v>
      </c>
      <c r="C167" s="10" t="str">
        <f>Hours!$A$19</f>
        <v>Oil Filled Transformer - 5kV-15kV Primary - Any Size (Pad Mounted)</v>
      </c>
      <c r="D167" s="11">
        <f t="shared" si="4"/>
        <v>0</v>
      </c>
      <c r="E167" s="16"/>
      <c r="F167" s="17"/>
      <c r="G167" s="17"/>
      <c r="H167" s="17"/>
      <c r="I167" s="17"/>
      <c r="J167" s="17"/>
      <c r="K167" s="12"/>
      <c r="L167" s="12"/>
      <c r="M167" s="17"/>
      <c r="N167" s="17"/>
      <c r="O167" s="12"/>
      <c r="P167" s="17"/>
      <c r="Q167" s="17"/>
      <c r="R167" s="18">
        <f>IF(SUMPRODUCT((E167:Q167)*1)=0,0,E167*INDEX(Hours!M:M,MATCH(C167,Hours!$A:$A,0))+F167*INDEX(Hours!B:B,MATCH(C167,Hours!$A:$A,0))+G167*INDEX(Hours!C:C,MATCH(C167,Hours!$A:$A,0))+H167*INDEX(Hours!D:D,MATCH(C167,Hours!$A:$A,0))+I167*INDEX(Hours!E:E,MATCH(C167,Hours!$A:$A,0))+J167*INDEX(Hours!F:F,MATCH(C167,Hours!$A:$A,0))+M167*INDEX(Hours!I:I,MATCH(C167,Hours!$A:$A,0))+N167*INDEX(Hours!J:J,MATCH(C167,Hours!$A:$A,0))+P167*INDEX(Hours!L:L,MATCH(C167,Hours!$A:$A,0)))</f>
        <v>0</v>
      </c>
      <c r="S167" s="19">
        <f t="shared" si="5"/>
        <v>0</v>
      </c>
    </row>
    <row r="168" spans="1:19" x14ac:dyDescent="0.25">
      <c r="A168" s="11" t="str">
        <f>'Bldgs &amp; Rooms'!$A$6</f>
        <v>Main Bldg.</v>
      </c>
      <c r="B168" s="11">
        <f>'Bldgs &amp; Rooms'!$B$6</f>
        <v>0</v>
      </c>
      <c r="C168" s="10" t="str">
        <f>Hours!$A$20</f>
        <v>Oil Filled Transformer - &gt; 15kV Primary (Substation Class)</v>
      </c>
      <c r="D168" s="11">
        <f t="shared" si="4"/>
        <v>0</v>
      </c>
      <c r="E168" s="16"/>
      <c r="F168" s="17"/>
      <c r="G168" s="17"/>
      <c r="H168" s="17"/>
      <c r="I168" s="17"/>
      <c r="J168" s="17"/>
      <c r="K168" s="12"/>
      <c r="L168" s="12"/>
      <c r="M168" s="17"/>
      <c r="N168" s="17"/>
      <c r="O168" s="12"/>
      <c r="P168" s="17"/>
      <c r="Q168" s="17"/>
      <c r="R168" s="18">
        <f>IF(SUMPRODUCT((E168:Q168)*1)=0,0,E168*INDEX(Hours!M:M,MATCH(C168,Hours!$A:$A,0))+F168*INDEX(Hours!B:B,MATCH(C168,Hours!$A:$A,0))+G168*INDEX(Hours!C:C,MATCH(C168,Hours!$A:$A,0))+H168*INDEX(Hours!D:D,MATCH(C168,Hours!$A:$A,0))+I168*INDEX(Hours!E:E,MATCH(C168,Hours!$A:$A,0))+J168*INDEX(Hours!F:F,MATCH(C168,Hours!$A:$A,0))+M168*INDEX(Hours!I:I,MATCH(C168,Hours!$A:$A,0))+N168*INDEX(Hours!J:J,MATCH(C168,Hours!$A:$A,0))+P168*INDEX(Hours!L:L,MATCH(C168,Hours!$A:$A,0)))</f>
        <v>0</v>
      </c>
      <c r="S168" s="19">
        <f t="shared" si="5"/>
        <v>0</v>
      </c>
    </row>
    <row r="169" spans="1:19" x14ac:dyDescent="0.25">
      <c r="A169" s="11" t="str">
        <f>'Bldgs &amp; Rooms'!$A$6</f>
        <v>Main Bldg.</v>
      </c>
      <c r="B169" s="11">
        <f>'Bldgs &amp; Rooms'!$B$6</f>
        <v>0</v>
      </c>
      <c r="C169" s="10" t="str">
        <f>Hours!$A$21</f>
        <v>Dry Type Transformer - &lt; 480V Primary - Any Size kVA</v>
      </c>
      <c r="D169" s="11">
        <f t="shared" si="4"/>
        <v>0</v>
      </c>
      <c r="E169" s="16"/>
      <c r="F169" s="17"/>
      <c r="G169" s="17"/>
      <c r="H169" s="17"/>
      <c r="I169" s="17"/>
      <c r="J169" s="17"/>
      <c r="K169" s="12"/>
      <c r="L169" s="12"/>
      <c r="M169" s="17"/>
      <c r="N169" s="17"/>
      <c r="O169" s="12"/>
      <c r="P169" s="12"/>
      <c r="Q169" s="17"/>
      <c r="R169" s="18">
        <f>IF(SUMPRODUCT((E169:Q169)*1)=0,0,E169*INDEX(Hours!M:M,MATCH(C169,Hours!$A:$A,0))+F169*INDEX(Hours!B:B,MATCH(C169,Hours!$A:$A,0))+G169*INDEX(Hours!C:C,MATCH(C169,Hours!$A:$A,0))+H169*INDEX(Hours!D:D,MATCH(C169,Hours!$A:$A,0))+I169*INDEX(Hours!E:E,MATCH(C169,Hours!$A:$A,0))+J169*INDEX(Hours!F:F,MATCH(C169,Hours!$A:$A,0))+M169*INDEX(Hours!I:I,MATCH(C169,Hours!$A:$A,0))+N169*INDEX(Hours!J:J,MATCH(C169,Hours!$A:$A,0)))</f>
        <v>0</v>
      </c>
      <c r="S169" s="19">
        <f t="shared" si="5"/>
        <v>0</v>
      </c>
    </row>
    <row r="170" spans="1:19" x14ac:dyDescent="0.25">
      <c r="A170" s="11" t="str">
        <f>'Bldgs &amp; Rooms'!$A$6</f>
        <v>Main Bldg.</v>
      </c>
      <c r="B170" s="11">
        <f>'Bldgs &amp; Rooms'!$B$6</f>
        <v>0</v>
      </c>
      <c r="C170" s="10" t="str">
        <f>Hours!$A$22</f>
        <v>Power Factor Correction Capacitors</v>
      </c>
      <c r="D170" s="11">
        <f t="shared" si="4"/>
        <v>0</v>
      </c>
      <c r="E170" s="16"/>
      <c r="F170" s="17"/>
      <c r="G170" s="17"/>
      <c r="H170" s="17"/>
      <c r="I170" s="17"/>
      <c r="J170" s="17"/>
      <c r="K170" s="12"/>
      <c r="L170" s="12"/>
      <c r="M170" s="12"/>
      <c r="N170" s="12"/>
      <c r="O170" s="12"/>
      <c r="P170" s="12"/>
      <c r="Q170" s="17"/>
      <c r="R170" s="18">
        <f>IF(SUMPRODUCT((E170:Q170)*1)=0,0,E170*INDEX(Hours!M:M,MATCH(C170,Hours!$A:$A,0))+F170*INDEX(Hours!B:B,MATCH(C170,Hours!$A:$A,0))+G170*INDEX(Hours!C:C,MATCH(C170,Hours!$A:$A,0))+H170*INDEX(Hours!D:D,MATCH(C170,Hours!$A:$A,0))+I170*INDEX(Hours!E:E,MATCH(C170,Hours!$A:$A,0))+J170*INDEX(Hours!F:F,MATCH(C170,Hours!$A:$A,0)))</f>
        <v>0</v>
      </c>
      <c r="S170" s="19">
        <f t="shared" si="5"/>
        <v>0</v>
      </c>
    </row>
    <row r="171" spans="1:19" x14ac:dyDescent="0.25">
      <c r="A171" s="11" t="str">
        <f>'Bldgs &amp; Rooms'!$A$6</f>
        <v>Main Bldg.</v>
      </c>
      <c r="B171" s="11">
        <f>'Bldgs &amp; Rooms'!$B$6</f>
        <v>0</v>
      </c>
      <c r="C171" s="10" t="str">
        <f>Hours!$A$23</f>
        <v>Lighting Contactor &gt; 100A</v>
      </c>
      <c r="D171" s="11">
        <f t="shared" si="4"/>
        <v>0</v>
      </c>
      <c r="E171" s="16"/>
      <c r="F171" s="17"/>
      <c r="G171" s="17"/>
      <c r="H171" s="17"/>
      <c r="I171" s="17"/>
      <c r="J171" s="17"/>
      <c r="K171" s="12"/>
      <c r="L171" s="12"/>
      <c r="M171" s="12"/>
      <c r="N171" s="12"/>
      <c r="O171" s="12"/>
      <c r="P171" s="12"/>
      <c r="Q171" s="17"/>
      <c r="R171" s="18">
        <f>IF(SUMPRODUCT((E171:Q171)*1)=0,0,E171*INDEX(Hours!M:M,MATCH(C171,Hours!$A:$A,0))+F171*INDEX(Hours!B:B,MATCH(C171,Hours!$A:$A,0))+G171*INDEX(Hours!C:C,MATCH(C171,Hours!$A:$A,0))+H171*INDEX(Hours!D:D,MATCH(C171,Hours!$A:$A,0))+I171*INDEX(Hours!E:E,MATCH(C171,Hours!$A:$A,0))+J171*INDEX(Hours!F:F,MATCH(C171,Hours!$A:$A,0)))</f>
        <v>0</v>
      </c>
      <c r="S171" s="19">
        <f t="shared" si="5"/>
        <v>0</v>
      </c>
    </row>
    <row r="172" spans="1:19" x14ac:dyDescent="0.25">
      <c r="A172" s="11" t="str">
        <f>'Bldgs &amp; Rooms'!$A$6</f>
        <v>Main Bldg.</v>
      </c>
      <c r="B172" s="11">
        <f>'Bldgs &amp; Rooms'!$B$6</f>
        <v>0</v>
      </c>
      <c r="C172" s="10" t="str">
        <f>Hours!$A$24</f>
        <v>Power Distribution Unit (PDU)</v>
      </c>
      <c r="D172" s="11">
        <f t="shared" si="4"/>
        <v>0</v>
      </c>
      <c r="E172" s="16"/>
      <c r="F172" s="17"/>
      <c r="G172" s="17"/>
      <c r="H172" s="17"/>
      <c r="I172" s="17"/>
      <c r="J172" s="17"/>
      <c r="K172" s="12"/>
      <c r="L172" s="12"/>
      <c r="M172" s="12"/>
      <c r="N172" s="12"/>
      <c r="O172" s="12"/>
      <c r="P172" s="12"/>
      <c r="Q172" s="17"/>
      <c r="R172" s="18">
        <f>IF(SUMPRODUCT((E172:Q172)*1)=0,0,E172*INDEX(Hours!M:M,MATCH(C172,Hours!$A:$A,0))+F172*INDEX(Hours!B:B,MATCH(C172,Hours!$A:$A,0))+G172*INDEX(Hours!C:C,MATCH(C172,Hours!$A:$A,0))+H172*INDEX(Hours!D:D,MATCH(C172,Hours!$A:$A,0))+I172*INDEX(Hours!E:E,MATCH(C172,Hours!$A:$A,0))+J172*INDEX(Hours!F:F,MATCH(C172,Hours!$A:$A,0)))</f>
        <v>0</v>
      </c>
      <c r="S172" s="19">
        <f t="shared" si="5"/>
        <v>0</v>
      </c>
    </row>
    <row r="173" spans="1:19" x14ac:dyDescent="0.25">
      <c r="A173" s="11" t="str">
        <f>'Bldgs &amp; Rooms'!$A$6</f>
        <v>Main Bldg.</v>
      </c>
      <c r="B173" s="11">
        <f>'Bldgs &amp; Rooms'!$B$6</f>
        <v>0</v>
      </c>
      <c r="C173" s="10" t="str">
        <f>Hours!$A$25</f>
        <v>Wire Trough, Gutter, or Large Junction Boxes</v>
      </c>
      <c r="D173" s="11">
        <f t="shared" si="4"/>
        <v>0</v>
      </c>
      <c r="E173" s="16"/>
      <c r="F173" s="17"/>
      <c r="G173" s="17"/>
      <c r="H173" s="17"/>
      <c r="I173" s="17"/>
      <c r="J173" s="17"/>
      <c r="K173" s="12"/>
      <c r="L173" s="12"/>
      <c r="M173" s="12"/>
      <c r="N173" s="12"/>
      <c r="O173" s="12"/>
      <c r="P173" s="12"/>
      <c r="Q173" s="17"/>
      <c r="R173" s="18">
        <f>IF(SUMPRODUCT((E173:Q173)*1)=0,0,E173*INDEX(Hours!M:M,MATCH(C173,Hours!$A:$A,0))+F173*INDEX(Hours!B:B,MATCH(C173,Hours!$A:$A,0))+G173*INDEX(Hours!C:C,MATCH(C173,Hours!$A:$A,0))+H173*INDEX(Hours!D:D,MATCH(C173,Hours!$A:$A,0))+I173*INDEX(Hours!E:E,MATCH(C173,Hours!$A:$A,0))+J173*INDEX(Hours!F:F,MATCH(C173,Hours!$A:$A,0)))</f>
        <v>0</v>
      </c>
      <c r="S173" s="19">
        <f t="shared" si="5"/>
        <v>0</v>
      </c>
    </row>
    <row r="174" spans="1:19" x14ac:dyDescent="0.25">
      <c r="A174" s="11" t="str">
        <f>'Bldgs &amp; Rooms'!$A$6</f>
        <v>Main Bldg.</v>
      </c>
      <c r="B174" s="11">
        <f>'Bldgs &amp; Rooms'!$B$6</f>
        <v>0</v>
      </c>
      <c r="C174" s="10" t="str">
        <f>Hours!$A$26</f>
        <v>Bus Duct - Vertical or Horizontal (Per 10' section)</v>
      </c>
      <c r="D174" s="11">
        <f t="shared" si="4"/>
        <v>0</v>
      </c>
      <c r="E174" s="16"/>
      <c r="F174" s="17"/>
      <c r="G174" s="17"/>
      <c r="H174" s="17"/>
      <c r="I174" s="17"/>
      <c r="J174" s="17"/>
      <c r="K174" s="12"/>
      <c r="L174" s="12"/>
      <c r="M174" s="12"/>
      <c r="N174" s="12"/>
      <c r="O174" s="12"/>
      <c r="P174" s="12"/>
      <c r="Q174" s="17"/>
      <c r="R174" s="18">
        <f>IF(SUMPRODUCT((E174:Q174)*1)=0,0,E174*INDEX(Hours!M:M,MATCH(C174,Hours!$A:$A,0))+F174*INDEX(Hours!B:B,MATCH(C174,Hours!$A:$A,0))+G174*INDEX(Hours!C:C,MATCH(C174,Hours!$A:$A,0))+H174*INDEX(Hours!D:D,MATCH(C174,Hours!$A:$A,0))+I174*INDEX(Hours!E:E,MATCH(C174,Hours!$A:$A,0))+J174*INDEX(Hours!F:F,MATCH(C174,Hours!$A:$A,0)))</f>
        <v>0</v>
      </c>
      <c r="S174" s="19">
        <f t="shared" si="5"/>
        <v>0</v>
      </c>
    </row>
    <row r="175" spans="1:19" x14ac:dyDescent="0.25">
      <c r="A175" s="11" t="str">
        <f>'Bldgs &amp; Rooms'!$A$6</f>
        <v>Main Bldg.</v>
      </c>
      <c r="B175" s="11">
        <f>'Bldgs &amp; Rooms'!$B$6</f>
        <v>0</v>
      </c>
      <c r="C175" s="10" t="str">
        <f>Hours!$A$27</f>
        <v>Automatic Transfer Switch (ATS) &gt; 100A</v>
      </c>
      <c r="D175" s="11">
        <f t="shared" si="4"/>
        <v>0</v>
      </c>
      <c r="E175" s="16"/>
      <c r="F175" s="17"/>
      <c r="G175" s="17"/>
      <c r="H175" s="17"/>
      <c r="I175" s="17"/>
      <c r="J175" s="17"/>
      <c r="K175" s="12"/>
      <c r="L175" s="12"/>
      <c r="M175" s="12"/>
      <c r="N175" s="12"/>
      <c r="O175" s="12"/>
      <c r="P175" s="12"/>
      <c r="Q175" s="17"/>
      <c r="R175" s="18">
        <f>IF(SUMPRODUCT((E175:Q175)*1)=0,0,E175*INDEX(Hours!M:M,MATCH(C175,Hours!$A:$A,0))+F175*INDEX(Hours!B:B,MATCH(C175,Hours!$A:$A,0))+G175*INDEX(Hours!C:C,MATCH(C175,Hours!$A:$A,0))+H175*INDEX(Hours!D:D,MATCH(C175,Hours!$A:$A,0))+I175*INDEX(Hours!E:E,MATCH(C175,Hours!$A:$A,0))+J175*INDEX(Hours!F:F,MATCH(C175,Hours!$A:$A,0)))</f>
        <v>0</v>
      </c>
      <c r="S175" s="19">
        <f t="shared" si="5"/>
        <v>0</v>
      </c>
    </row>
    <row r="176" spans="1:19" x14ac:dyDescent="0.25">
      <c r="A176" s="11" t="str">
        <f>'Bldgs &amp; Rooms'!$A$6</f>
        <v>Main Bldg.</v>
      </c>
      <c r="B176" s="11">
        <f>'Bldgs &amp; Rooms'!$B$6</f>
        <v>0</v>
      </c>
      <c r="C176" s="10" t="str">
        <f>Hours!$A$28</f>
        <v>Manual Transfer Switch (MTS) &gt; 100A</v>
      </c>
      <c r="D176" s="11">
        <f t="shared" si="4"/>
        <v>0</v>
      </c>
      <c r="E176" s="16"/>
      <c r="F176" s="17"/>
      <c r="G176" s="17"/>
      <c r="H176" s="17"/>
      <c r="I176" s="17"/>
      <c r="J176" s="17"/>
      <c r="K176" s="12"/>
      <c r="L176" s="12"/>
      <c r="M176" s="12"/>
      <c r="N176" s="12"/>
      <c r="O176" s="12"/>
      <c r="P176" s="12"/>
      <c r="Q176" s="17"/>
      <c r="R176" s="18">
        <f>IF(SUMPRODUCT((E176:Q176)*1)=0,0,E176*INDEX(Hours!M:M,MATCH(C176,Hours!$A:$A,0))+F176*INDEX(Hours!B:B,MATCH(C176,Hours!$A:$A,0))+G176*INDEX(Hours!C:C,MATCH(C176,Hours!$A:$A,0))+H176*INDEX(Hours!D:D,MATCH(C176,Hours!$A:$A,0))+I176*INDEX(Hours!E:E,MATCH(C176,Hours!$A:$A,0))+J176*INDEX(Hours!F:F,MATCH(C176,Hours!$A:$A,0)))</f>
        <v>0</v>
      </c>
      <c r="S176" s="19">
        <f t="shared" si="5"/>
        <v>0</v>
      </c>
    </row>
    <row r="177" spans="1:19" x14ac:dyDescent="0.25">
      <c r="A177" s="11" t="str">
        <f>'Bldgs &amp; Rooms'!$A$6</f>
        <v>Main Bldg.</v>
      </c>
      <c r="B177" s="11">
        <f>'Bldgs &amp; Rooms'!$B$6</f>
        <v>0</v>
      </c>
      <c r="C177" s="10" t="str">
        <f>Hours!$A$29</f>
        <v>Variable Frequency Drives (VFD) &lt; 50 HP</v>
      </c>
      <c r="D177" s="11">
        <f t="shared" si="4"/>
        <v>0</v>
      </c>
      <c r="E177" s="16"/>
      <c r="F177" s="17"/>
      <c r="G177" s="17"/>
      <c r="H177" s="17"/>
      <c r="I177" s="17"/>
      <c r="J177" s="17"/>
      <c r="K177" s="12"/>
      <c r="L177" s="12"/>
      <c r="M177" s="12"/>
      <c r="N177" s="12"/>
      <c r="O177" s="12"/>
      <c r="P177" s="12"/>
      <c r="Q177" s="17"/>
      <c r="R177" s="18">
        <f>IF(SUMPRODUCT((E177:Q177)*1)=0,0,E177*INDEX(Hours!M:M,MATCH(C177,Hours!$A:$A,0))+F177*INDEX(Hours!B:B,MATCH(C177,Hours!$A:$A,0))+G177*INDEX(Hours!C:C,MATCH(C177,Hours!$A:$A,0))+H177*INDEX(Hours!D:D,MATCH(C177,Hours!$A:$A,0))+I177*INDEX(Hours!E:E,MATCH(C177,Hours!$A:$A,0))+J177*INDEX(Hours!F:F,MATCH(C177,Hours!$A:$A,0)))</f>
        <v>0</v>
      </c>
      <c r="S177" s="19">
        <f t="shared" si="5"/>
        <v>0</v>
      </c>
    </row>
    <row r="178" spans="1:19" x14ac:dyDescent="0.25">
      <c r="A178" s="11" t="str">
        <f>'Bldgs &amp; Rooms'!$A$6</f>
        <v>Main Bldg.</v>
      </c>
      <c r="B178" s="11">
        <f>'Bldgs &amp; Rooms'!$B$6</f>
        <v>0</v>
      </c>
      <c r="C178" s="10" t="str">
        <f>Hours!$A$30</f>
        <v>Variable Frequency Drives (VFD) 51-200 HP</v>
      </c>
      <c r="D178" s="11">
        <f t="shared" si="4"/>
        <v>0</v>
      </c>
      <c r="E178" s="16"/>
      <c r="F178" s="17"/>
      <c r="G178" s="17"/>
      <c r="H178" s="17"/>
      <c r="I178" s="17"/>
      <c r="J178" s="17"/>
      <c r="K178" s="12"/>
      <c r="L178" s="12"/>
      <c r="M178" s="12"/>
      <c r="N178" s="12"/>
      <c r="O178" s="12"/>
      <c r="P178" s="12"/>
      <c r="Q178" s="17"/>
      <c r="R178" s="18">
        <f>IF(SUMPRODUCT((E178:Q178)*1)=0,0,E178*INDEX(Hours!M:M,MATCH(C178,Hours!$A:$A,0))+F178*INDEX(Hours!B:B,MATCH(C178,Hours!$A:$A,0))+G178*INDEX(Hours!C:C,MATCH(C178,Hours!$A:$A,0))+H178*INDEX(Hours!D:D,MATCH(C178,Hours!$A:$A,0))+I178*INDEX(Hours!E:E,MATCH(C178,Hours!$A:$A,0))+J178*INDEX(Hours!F:F,MATCH(C178,Hours!$A:$A,0)))</f>
        <v>0</v>
      </c>
      <c r="S178" s="19">
        <f t="shared" si="5"/>
        <v>0</v>
      </c>
    </row>
    <row r="179" spans="1:19" x14ac:dyDescent="0.25">
      <c r="A179" s="11" t="str">
        <f>'Bldgs &amp; Rooms'!$A$6</f>
        <v>Main Bldg.</v>
      </c>
      <c r="B179" s="11">
        <f>'Bldgs &amp; Rooms'!$B$6</f>
        <v>0</v>
      </c>
      <c r="C179" s="10" t="str">
        <f>Hours!$A$31</f>
        <v>Motors &lt; 50 HP</v>
      </c>
      <c r="D179" s="11">
        <f t="shared" si="4"/>
        <v>0</v>
      </c>
      <c r="E179" s="16"/>
      <c r="F179" s="17"/>
      <c r="G179" s="17"/>
      <c r="H179" s="17"/>
      <c r="I179" s="17"/>
      <c r="J179" s="17"/>
      <c r="K179" s="12"/>
      <c r="L179" s="12"/>
      <c r="M179" s="12"/>
      <c r="N179" s="12"/>
      <c r="O179" s="12"/>
      <c r="P179" s="12"/>
      <c r="Q179" s="17"/>
      <c r="R179" s="18">
        <f>IF(SUMPRODUCT((E179:Q179)*1)=0,0,E179*INDEX(Hours!M:M,MATCH(C179,Hours!$A:$A,0))+F179*INDEX(Hours!B:B,MATCH(C179,Hours!$A:$A,0))+G179*INDEX(Hours!C:C,MATCH(C179,Hours!$A:$A,0))+H179*INDEX(Hours!D:D,MATCH(C179,Hours!$A:$A,0))+I179*INDEX(Hours!E:E,MATCH(C179,Hours!$A:$A,0))+J179*INDEX(Hours!F:F,MATCH(C179,Hours!$A:$A,0)))</f>
        <v>0</v>
      </c>
      <c r="S179" s="19">
        <f t="shared" si="5"/>
        <v>0</v>
      </c>
    </row>
    <row r="180" spans="1:19" x14ac:dyDescent="0.25">
      <c r="A180" s="11" t="str">
        <f>'Bldgs &amp; Rooms'!$A$6</f>
        <v>Main Bldg.</v>
      </c>
      <c r="B180" s="11">
        <f>'Bldgs &amp; Rooms'!$B$6</f>
        <v>0</v>
      </c>
      <c r="C180" s="10" t="str">
        <f>Hours!$A$32</f>
        <v>Motors 51-200 HP</v>
      </c>
      <c r="D180" s="11">
        <f t="shared" si="4"/>
        <v>0</v>
      </c>
      <c r="E180" s="16"/>
      <c r="F180" s="17"/>
      <c r="G180" s="17"/>
      <c r="H180" s="17"/>
      <c r="I180" s="17"/>
      <c r="J180" s="17"/>
      <c r="K180" s="12"/>
      <c r="L180" s="12"/>
      <c r="M180" s="12"/>
      <c r="N180" s="12"/>
      <c r="O180" s="12"/>
      <c r="P180" s="12"/>
      <c r="Q180" s="17"/>
      <c r="R180" s="18">
        <f>IF(SUMPRODUCT((E180:Q180)*1)=0,0,E180*INDEX(Hours!M:M,MATCH(C180,Hours!$A:$A,0))+F180*INDEX(Hours!B:B,MATCH(C180,Hours!$A:$A,0))+G180*INDEX(Hours!C:C,MATCH(C180,Hours!$A:$A,0))+H180*INDEX(Hours!D:D,MATCH(C180,Hours!$A:$A,0))+I180*INDEX(Hours!E:E,MATCH(C180,Hours!$A:$A,0))+J180*INDEX(Hours!F:F,MATCH(C180,Hours!$A:$A,0)))</f>
        <v>0</v>
      </c>
      <c r="S180" s="19">
        <f t="shared" si="5"/>
        <v>0</v>
      </c>
    </row>
    <row r="181" spans="1:19" x14ac:dyDescent="0.25">
      <c r="A181" s="11" t="str">
        <f>'Bldgs &amp; Rooms'!$A$6</f>
        <v>Main Bldg.</v>
      </c>
      <c r="B181" s="11">
        <f>'Bldgs &amp; Rooms'!$B$6</f>
        <v>0</v>
      </c>
      <c r="C181" s="10" t="str">
        <f>Hours!$A$33</f>
        <v>Motors 201-500 HP</v>
      </c>
      <c r="D181" s="11">
        <f t="shared" si="4"/>
        <v>0</v>
      </c>
      <c r="E181" s="16"/>
      <c r="F181" s="17"/>
      <c r="G181" s="17"/>
      <c r="H181" s="17"/>
      <c r="I181" s="17"/>
      <c r="J181" s="17"/>
      <c r="K181" s="12"/>
      <c r="L181" s="12"/>
      <c r="M181" s="12"/>
      <c r="N181" s="12"/>
      <c r="O181" s="12"/>
      <c r="P181" s="12"/>
      <c r="Q181" s="17"/>
      <c r="R181" s="18">
        <f>IF(SUMPRODUCT((E181:Q181)*1)=0,0,E181*INDEX(Hours!M:M,MATCH(C181,Hours!$A:$A,0))+F181*INDEX(Hours!B:B,MATCH(C181,Hours!$A:$A,0))+G181*INDEX(Hours!C:C,MATCH(C181,Hours!$A:$A,0))+H181*INDEX(Hours!D:D,MATCH(C181,Hours!$A:$A,0))+I181*INDEX(Hours!E:E,MATCH(C181,Hours!$A:$A,0))+J181*INDEX(Hours!F:F,MATCH(C181,Hours!$A:$A,0)))</f>
        <v>0</v>
      </c>
      <c r="S181" s="19">
        <f t="shared" si="5"/>
        <v>0</v>
      </c>
    </row>
    <row r="182" spans="1:19" x14ac:dyDescent="0.25">
      <c r="A182" s="11" t="str">
        <f>'Bldgs &amp; Rooms'!$A$6</f>
        <v>Main Bldg.</v>
      </c>
      <c r="B182" s="11">
        <f>'Bldgs &amp; Rooms'!$B$6</f>
        <v>0</v>
      </c>
      <c r="C182" s="10" t="str">
        <f>Hours!$A$34</f>
        <v>Compressed Air Equipment</v>
      </c>
      <c r="D182" s="11">
        <f t="shared" si="4"/>
        <v>0</v>
      </c>
      <c r="E182" s="16"/>
      <c r="F182" s="17"/>
      <c r="G182" s="17"/>
      <c r="H182" s="17"/>
      <c r="I182" s="17"/>
      <c r="J182" s="17"/>
      <c r="K182" s="12"/>
      <c r="L182" s="12"/>
      <c r="M182" s="12"/>
      <c r="N182" s="12"/>
      <c r="O182" s="12"/>
      <c r="P182" s="12"/>
      <c r="Q182" s="17"/>
      <c r="R182" s="18">
        <f>IF(SUMPRODUCT((E182:Q182)*1)=0,0,E182*INDEX(Hours!M:M,MATCH(C182,Hours!$A:$A,0))+F182*INDEX(Hours!B:B,MATCH(C182,Hours!$A:$A,0))+G182*INDEX(Hours!C:C,MATCH(C182,Hours!$A:$A,0))+H182*INDEX(Hours!D:D,MATCH(C182,Hours!$A:$A,0))+I182*INDEX(Hours!E:E,MATCH(C182,Hours!$A:$A,0))+J182*INDEX(Hours!F:F,MATCH(C182,Hours!$A:$A,0)))</f>
        <v>0</v>
      </c>
      <c r="S182" s="19">
        <f t="shared" si="5"/>
        <v>0</v>
      </c>
    </row>
    <row r="183" spans="1:19" x14ac:dyDescent="0.25">
      <c r="A183" s="11" t="str">
        <f>'Bldgs &amp; Rooms'!$A$6</f>
        <v>Main Bldg.</v>
      </c>
      <c r="B183" s="11">
        <f>'Bldgs &amp; Rooms'!$B$6</f>
        <v>0</v>
      </c>
      <c r="C183" s="10" t="str">
        <f>Hours!$A$35</f>
        <v>HVAC Equipment (Large)</v>
      </c>
      <c r="D183" s="11">
        <f t="shared" si="4"/>
        <v>0</v>
      </c>
      <c r="E183" s="16"/>
      <c r="F183" s="17"/>
      <c r="G183" s="17"/>
      <c r="H183" s="17"/>
      <c r="I183" s="17"/>
      <c r="J183" s="17"/>
      <c r="K183" s="12"/>
      <c r="L183" s="12"/>
      <c r="M183" s="12"/>
      <c r="N183" s="12"/>
      <c r="O183" s="12"/>
      <c r="P183" s="12"/>
      <c r="Q183" s="17"/>
      <c r="R183" s="18">
        <f>IF(SUMPRODUCT((E183:Q183)*1)=0,0,E183*INDEX(Hours!M:M,MATCH(C183,Hours!$A:$A,0))+F183*INDEX(Hours!B:B,MATCH(C183,Hours!$A:$A,0))+G183*INDEX(Hours!C:C,MATCH(C183,Hours!$A:$A,0))+H183*INDEX(Hours!D:D,MATCH(C183,Hours!$A:$A,0))+I183*INDEX(Hours!E:E,MATCH(C183,Hours!$A:$A,0))+J183*INDEX(Hours!F:F,MATCH(C183,Hours!$A:$A,0)))</f>
        <v>0</v>
      </c>
      <c r="S183" s="19">
        <f t="shared" si="5"/>
        <v>0</v>
      </c>
    </row>
    <row r="184" spans="1:19" x14ac:dyDescent="0.25">
      <c r="A184" s="11" t="str">
        <f>'Bldgs &amp; Rooms'!$A$6</f>
        <v>Main Bldg.</v>
      </c>
      <c r="B184" s="11">
        <f>'Bldgs &amp; Rooms'!$B$6</f>
        <v>0</v>
      </c>
      <c r="C184" s="10" t="str">
        <f>Hours!$A$36</f>
        <v>HVAC Equipment (Small)</v>
      </c>
      <c r="D184" s="11">
        <f t="shared" si="4"/>
        <v>0</v>
      </c>
      <c r="E184" s="16"/>
      <c r="F184" s="17"/>
      <c r="G184" s="17"/>
      <c r="H184" s="17"/>
      <c r="I184" s="17"/>
      <c r="J184" s="17"/>
      <c r="K184" s="12"/>
      <c r="L184" s="12"/>
      <c r="M184" s="12"/>
      <c r="N184" s="12"/>
      <c r="O184" s="12"/>
      <c r="P184" s="12"/>
      <c r="Q184" s="17"/>
      <c r="R184" s="18">
        <f>IF(SUMPRODUCT((E184:Q184)*1)=0,0,E184*INDEX(Hours!M:M,MATCH(C184,Hours!$A:$A,0))+F184*INDEX(Hours!B:B,MATCH(C184,Hours!$A:$A,0))+G184*INDEX(Hours!C:C,MATCH(C184,Hours!$A:$A,0))+H184*INDEX(Hours!D:D,MATCH(C184,Hours!$A:$A,0))+I184*INDEX(Hours!E:E,MATCH(C184,Hours!$A:$A,0))+J184*INDEX(Hours!F:F,MATCH(C184,Hours!$A:$A,0)))</f>
        <v>0</v>
      </c>
      <c r="S184" s="19">
        <f t="shared" si="5"/>
        <v>0</v>
      </c>
    </row>
    <row r="185" spans="1:19" x14ac:dyDescent="0.25">
      <c r="A185" s="11" t="str">
        <f>'Bldgs &amp; Rooms'!$A$6</f>
        <v>Main Bldg.</v>
      </c>
      <c r="B185" s="11">
        <f>'Bldgs &amp; Rooms'!$B$6</f>
        <v>0</v>
      </c>
      <c r="C185" s="10" t="str">
        <f>Hours!$A$37</f>
        <v>Uninterruptible Power Supply (UPS) &lt; 50kVA</v>
      </c>
      <c r="D185" s="11">
        <f t="shared" si="4"/>
        <v>0</v>
      </c>
      <c r="E185" s="16"/>
      <c r="F185" s="17"/>
      <c r="G185" s="17"/>
      <c r="H185" s="17"/>
      <c r="I185" s="17"/>
      <c r="J185" s="17"/>
      <c r="K185" s="12"/>
      <c r="L185" s="12"/>
      <c r="M185" s="12"/>
      <c r="N185" s="12"/>
      <c r="O185" s="12"/>
      <c r="P185" s="12"/>
      <c r="Q185" s="17"/>
      <c r="R185" s="18">
        <f>IF(SUMPRODUCT((E185:Q185)*1)=0,0,E185*INDEX(Hours!M:M,MATCH(C185,Hours!$A:$A,0))+F185*INDEX(Hours!B:B,MATCH(C185,Hours!$A:$A,0))+G185*INDEX(Hours!C:C,MATCH(C185,Hours!$A:$A,0))+H185*INDEX(Hours!D:D,MATCH(C185,Hours!$A:$A,0))+I185*INDEX(Hours!E:E,MATCH(C185,Hours!$A:$A,0))+J185*INDEX(Hours!F:F,MATCH(C185,Hours!$A:$A,0)))</f>
        <v>0</v>
      </c>
      <c r="S185" s="19">
        <f t="shared" si="5"/>
        <v>0</v>
      </c>
    </row>
    <row r="186" spans="1:19" x14ac:dyDescent="0.25">
      <c r="A186" s="11" t="str">
        <f>'Bldgs &amp; Rooms'!$A$6</f>
        <v>Main Bldg.</v>
      </c>
      <c r="B186" s="11">
        <f>'Bldgs &amp; Rooms'!$B$6</f>
        <v>0</v>
      </c>
      <c r="C186" s="10" t="str">
        <f>Hours!$A$38</f>
        <v>Uninterruptible Power Supply (UPS) &gt; 50kVA</v>
      </c>
      <c r="D186" s="11">
        <f t="shared" si="4"/>
        <v>0</v>
      </c>
      <c r="E186" s="16"/>
      <c r="F186" s="17"/>
      <c r="G186" s="17"/>
      <c r="H186" s="17"/>
      <c r="I186" s="17"/>
      <c r="J186" s="17"/>
      <c r="K186" s="12"/>
      <c r="L186" s="12"/>
      <c r="M186" s="12"/>
      <c r="N186" s="12"/>
      <c r="O186" s="12"/>
      <c r="P186" s="12"/>
      <c r="Q186" s="17"/>
      <c r="R186" s="18">
        <f>IF(SUMPRODUCT((E186:Q186)*1)=0,0,E186*INDEX(Hours!M:M,MATCH(C186,Hours!$A:$A,0))+F186*INDEX(Hours!B:B,MATCH(C186,Hours!$A:$A,0))+G186*INDEX(Hours!C:C,MATCH(C186,Hours!$A:$A,0))+H186*INDEX(Hours!D:D,MATCH(C186,Hours!$A:$A,0))+I186*INDEX(Hours!E:E,MATCH(C186,Hours!$A:$A,0))+J186*INDEX(Hours!F:F,MATCH(C186,Hours!$A:$A,0)))</f>
        <v>0</v>
      </c>
      <c r="S186" s="19">
        <f t="shared" si="5"/>
        <v>0</v>
      </c>
    </row>
    <row r="187" spans="1:19" x14ac:dyDescent="0.25">
      <c r="A187" s="15" t="str">
        <f>'Bldgs &amp; Rooms'!$A$7</f>
        <v>Main Bldg.</v>
      </c>
      <c r="B187" s="15">
        <f>'Bldgs &amp; Rooms'!$B$7</f>
        <v>0</v>
      </c>
      <c r="C187" s="14" t="str">
        <f>Hours!$A$2</f>
        <v>Switchgear - Incoming Main Service (Per Section)</v>
      </c>
      <c r="D187" s="15">
        <f t="shared" si="4"/>
        <v>0</v>
      </c>
      <c r="E187" s="16"/>
      <c r="F187" s="17"/>
      <c r="G187" s="17"/>
      <c r="H187" s="17"/>
      <c r="I187" s="17"/>
      <c r="J187" s="17"/>
      <c r="K187" s="17"/>
      <c r="L187" s="17"/>
      <c r="M187" s="12"/>
      <c r="N187" s="12"/>
      <c r="O187" s="17"/>
      <c r="P187" s="12"/>
      <c r="Q187" s="17"/>
      <c r="R187" s="18">
        <f>IF(SUMPRODUCT((E187:Q187)*1)=0,0,E187*INDEX(Hours!M:M,MATCH(C187,Hours!$A:$A,0))+F187*INDEX(Hours!B:B,MATCH(C187,Hours!$A:$A,0))+G187*INDEX(Hours!C:C,MATCH(C187,Hours!$A:$A,0))+H187*INDEX(Hours!D:D,MATCH(C187,Hours!$A:$A,0))+I187*INDEX(Hours!E:E,MATCH(C187,Hours!$A:$A,0))+J187*INDEX(Hours!F:F,MATCH(C187,Hours!$A:$A,0))+K187*INDEX(Hours!G:G,MATCH(C187,Hours!$A:$A,0))+L187*INDEX(Hours!H:H,MATCH(C187,Hours!$A:$A,0))+O187*INDEX(Hours!K:K,MATCH(C187,Hours!$A:$A,0)))</f>
        <v>0</v>
      </c>
      <c r="S187" s="19">
        <f t="shared" si="5"/>
        <v>0</v>
      </c>
    </row>
    <row r="188" spans="1:19" x14ac:dyDescent="0.25">
      <c r="A188" s="15" t="str">
        <f>'Bldgs &amp; Rooms'!$A$7</f>
        <v>Main Bldg.</v>
      </c>
      <c r="B188" s="15">
        <f>'Bldgs &amp; Rooms'!$B$7</f>
        <v>0</v>
      </c>
      <c r="C188" s="14" t="str">
        <f>Hours!$A$3</f>
        <v xml:space="preserve">  Switchgear Insulated Case Breakers (Bus Mounted)</v>
      </c>
      <c r="D188" s="15">
        <f t="shared" si="4"/>
        <v>0</v>
      </c>
      <c r="E188" s="16"/>
      <c r="F188" s="17"/>
      <c r="G188" s="17"/>
      <c r="H188" s="17"/>
      <c r="I188" s="17"/>
      <c r="J188" s="17"/>
      <c r="K188" s="17"/>
      <c r="L188" s="12"/>
      <c r="M188" s="12"/>
      <c r="N188" s="12"/>
      <c r="O188" s="12"/>
      <c r="P188" s="12"/>
      <c r="Q188" s="17"/>
      <c r="R188" s="18">
        <f>IF(SUMPRODUCT((E188:Q188)*1)=0,0,E188*INDEX(Hours!M:M,MATCH(C188,Hours!$A:$A,0))+F188*INDEX(Hours!B:B,MATCH(C188,Hours!$A:$A,0))+G188*INDEX(Hours!C:C,MATCH(C188,Hours!$A:$A,0))+H188*INDEX(Hours!D:D,MATCH(C188,Hours!$A:$A,0))+I188*INDEX(Hours!E:E,MATCH(C188,Hours!$A:$A,0))+J188*INDEX(Hours!F:F,MATCH(C188,Hours!$A:$A,0))+K188*INDEX(Hours!G:G,MATCH(C188,Hours!$A:$A,0)))</f>
        <v>0</v>
      </c>
      <c r="S188" s="19">
        <f t="shared" si="5"/>
        <v>0</v>
      </c>
    </row>
    <row r="189" spans="1:19" x14ac:dyDescent="0.25">
      <c r="A189" s="15" t="str">
        <f>'Bldgs &amp; Rooms'!$A$7</f>
        <v>Main Bldg.</v>
      </c>
      <c r="B189" s="15">
        <f>'Bldgs &amp; Rooms'!$B$7</f>
        <v>0</v>
      </c>
      <c r="C189" s="14" t="str">
        <f>Hours!$A$4</f>
        <v xml:space="preserve">  SwitchGear Drawout Breakers</v>
      </c>
      <c r="D189" s="15">
        <f t="shared" si="4"/>
        <v>0</v>
      </c>
      <c r="E189" s="16"/>
      <c r="F189" s="17"/>
      <c r="G189" s="17"/>
      <c r="H189" s="17"/>
      <c r="I189" s="17"/>
      <c r="J189" s="17"/>
      <c r="K189" s="12"/>
      <c r="L189" s="17"/>
      <c r="M189" s="12"/>
      <c r="N189" s="12"/>
      <c r="O189" s="12"/>
      <c r="P189" s="12"/>
      <c r="Q189" s="17"/>
      <c r="R189" s="18">
        <f>IF(SUMPRODUCT((E189:Q189)*1)=0,0,E189*INDEX(Hours!M:M,MATCH(C189,Hours!$A:$A,0))+F189*INDEX(Hours!B:B,MATCH(C189,Hours!$A:$A,0))+G189*INDEX(Hours!C:C,MATCH(C189,Hours!$A:$A,0))+H189*INDEX(Hours!D:D,MATCH(C189,Hours!$A:$A,0))+I189*INDEX(Hours!E:E,MATCH(C189,Hours!$A:$A,0))+J189*INDEX(Hours!F:F,MATCH(C189,Hours!$A:$A,0))+L189*INDEX(Hours!H:H,MATCH(C189,Hours!$A:$A,0)))</f>
        <v>0</v>
      </c>
      <c r="S189" s="19">
        <f t="shared" si="5"/>
        <v>0</v>
      </c>
    </row>
    <row r="190" spans="1:19" x14ac:dyDescent="0.25">
      <c r="A190" s="15" t="str">
        <f>'Bldgs &amp; Rooms'!$A$7</f>
        <v>Main Bldg.</v>
      </c>
      <c r="B190" s="15">
        <f>'Bldgs &amp; Rooms'!$B$7</f>
        <v>0</v>
      </c>
      <c r="C190" s="14" t="str">
        <f>Hours!$A$5</f>
        <v>Distribution Switchboard Multi Cover (Per Section)</v>
      </c>
      <c r="D190" s="15">
        <f t="shared" si="4"/>
        <v>0</v>
      </c>
      <c r="E190" s="16"/>
      <c r="F190" s="17"/>
      <c r="G190" s="17"/>
      <c r="H190" s="17"/>
      <c r="I190" s="17"/>
      <c r="J190" s="17"/>
      <c r="K190" s="17"/>
      <c r="L190" s="12"/>
      <c r="M190" s="12"/>
      <c r="N190" s="12"/>
      <c r="O190" s="17"/>
      <c r="P190" s="12"/>
      <c r="Q190" s="17"/>
      <c r="R190" s="18">
        <f>IF(SUMPRODUCT((E190:Q190)*1)=0,0,E190*INDEX(Hours!M:M,MATCH(C190,Hours!$A:$A,0))+F190*INDEX(Hours!B:B,MATCH(C190,Hours!$A:$A,0))+G190*INDEX(Hours!C:C,MATCH(C190,Hours!$A:$A,0))+H190*INDEX(Hours!D:D,MATCH(C190,Hours!$A:$A,0))+I190*INDEX(Hours!E:E,MATCH(C190,Hours!$A:$A,0))+J190*INDEX(Hours!F:F,MATCH(C190,Hours!$A:$A,0))+K190*INDEX(Hours!G:G,MATCH(C190,Hours!$A:$A,0))+O190*INDEX(Hours!K:K,MATCH(C190,Hours!$A:$A,0)))</f>
        <v>0</v>
      </c>
      <c r="S190" s="19">
        <f t="shared" si="5"/>
        <v>0</v>
      </c>
    </row>
    <row r="191" spans="1:19" x14ac:dyDescent="0.25">
      <c r="A191" s="15" t="str">
        <f>'Bldgs &amp; Rooms'!$A$7</f>
        <v>Main Bldg.</v>
      </c>
      <c r="B191" s="15">
        <f>'Bldgs &amp; Rooms'!$B$7</f>
        <v>0</v>
      </c>
      <c r="C191" s="14" t="str">
        <f>Hours!$A$6</f>
        <v xml:space="preserve">  Switchboard Disconnects</v>
      </c>
      <c r="D191" s="15">
        <f t="shared" si="4"/>
        <v>0</v>
      </c>
      <c r="E191" s="16"/>
      <c r="F191" s="17"/>
      <c r="G191" s="17"/>
      <c r="H191" s="17"/>
      <c r="I191" s="17"/>
      <c r="J191" s="17"/>
      <c r="K191" s="12"/>
      <c r="L191" s="12"/>
      <c r="M191" s="12"/>
      <c r="N191" s="12"/>
      <c r="O191" s="12"/>
      <c r="P191" s="12"/>
      <c r="Q191" s="17"/>
      <c r="R191" s="18">
        <f>IF(SUMPRODUCT((E191:Q191)*1)=0,0,E191*INDEX(Hours!M:M,MATCH(C191,Hours!$A:$A,0))+F191*INDEX(Hours!B:B,MATCH(C191,Hours!$A:$A,0))+G191*INDEX(Hours!C:C,MATCH(C191,Hours!$A:$A,0))+H191*INDEX(Hours!D:D,MATCH(C191,Hours!$A:$A,0))+I191*INDEX(Hours!E:E,MATCH(C191,Hours!$A:$A,0))+J191*INDEX(Hours!F:F,MATCH(C191,Hours!$A:$A,0)))</f>
        <v>0</v>
      </c>
      <c r="S191" s="19">
        <f t="shared" si="5"/>
        <v>0</v>
      </c>
    </row>
    <row r="192" spans="1:19" x14ac:dyDescent="0.25">
      <c r="A192" s="15" t="str">
        <f>'Bldgs &amp; Rooms'!$A$7</f>
        <v>Main Bldg.</v>
      </c>
      <c r="B192" s="15">
        <f>'Bldgs &amp; Rooms'!$B$7</f>
        <v>0</v>
      </c>
      <c r="C192" s="14" t="str">
        <f>Hours!$A$7</f>
        <v xml:space="preserve">  Switchboard Molded Case Breakers</v>
      </c>
      <c r="D192" s="15">
        <f t="shared" si="4"/>
        <v>0</v>
      </c>
      <c r="E192" s="16"/>
      <c r="F192" s="17"/>
      <c r="G192" s="17"/>
      <c r="H192" s="17"/>
      <c r="I192" s="17"/>
      <c r="J192" s="17"/>
      <c r="K192" s="17"/>
      <c r="L192" s="12"/>
      <c r="M192" s="12"/>
      <c r="N192" s="12"/>
      <c r="O192" s="12"/>
      <c r="P192" s="12"/>
      <c r="Q192" s="17"/>
      <c r="R192" s="18">
        <f>IF(SUMPRODUCT((E192:Q192)*1)=0,0,E192*INDEX(Hours!M:M,MATCH(C192,Hours!$A:$A,0))+F192*INDEX(Hours!B:B,MATCH(C192,Hours!$A:$A,0))+G192*INDEX(Hours!C:C,MATCH(C192,Hours!$A:$A,0))+H192*INDEX(Hours!D:D,MATCH(C192,Hours!$A:$A,0))+I192*INDEX(Hours!E:E,MATCH(C192,Hours!$A:$A,0))+J192*INDEX(Hours!F:F,MATCH(C192,Hours!$A:$A,0))+K192*INDEX(Hours!G:G,MATCH(C192,Hours!$A:$A,0)))</f>
        <v>0</v>
      </c>
      <c r="S192" s="19">
        <f t="shared" si="5"/>
        <v>0</v>
      </c>
    </row>
    <row r="193" spans="1:19" x14ac:dyDescent="0.25">
      <c r="A193" s="15" t="str">
        <f>'Bldgs &amp; Rooms'!$A$7</f>
        <v>Main Bldg.</v>
      </c>
      <c r="B193" s="15">
        <f>'Bldgs &amp; Rooms'!$B$7</f>
        <v>0</v>
      </c>
      <c r="C193" s="14" t="str">
        <f>Hours!$A$8</f>
        <v>Panelboard-Single Cover &gt; 400A (Distribution Panel)</v>
      </c>
      <c r="D193" s="15">
        <f t="shared" si="4"/>
        <v>0</v>
      </c>
      <c r="E193" s="16"/>
      <c r="F193" s="17"/>
      <c r="G193" s="17"/>
      <c r="H193" s="17"/>
      <c r="I193" s="17"/>
      <c r="J193" s="17"/>
      <c r="K193" s="17"/>
      <c r="L193" s="12"/>
      <c r="M193" s="12"/>
      <c r="N193" s="12"/>
      <c r="O193" s="17"/>
      <c r="P193" s="12"/>
      <c r="Q193" s="17"/>
      <c r="R193" s="18">
        <f>IF(SUMPRODUCT((E193:Q193)*1)=0,0,E193*INDEX(Hours!M:M,MATCH(C193,Hours!$A:$A,0))+F193*INDEX(Hours!B:B,MATCH(C193,Hours!$A:$A,0))+G193*INDEX(Hours!C:C,MATCH(C193,Hours!$A:$A,0))+H193*INDEX(Hours!D:D,MATCH(C193,Hours!$A:$A,0))+I193*INDEX(Hours!E:E,MATCH(C193,Hours!$A:$A,0))+J193*INDEX(Hours!F:F,MATCH(C193,Hours!$A:$A,0))+K193*INDEX(Hours!G:G,MATCH(C193,Hours!$A:$A,0))+O193*INDEX(Hours!K:K,MATCH(C193,Hours!$A:$A,0)))</f>
        <v>0</v>
      </c>
      <c r="S193" s="19">
        <f t="shared" si="5"/>
        <v>0</v>
      </c>
    </row>
    <row r="194" spans="1:19" x14ac:dyDescent="0.25">
      <c r="A194" s="15" t="str">
        <f>'Bldgs &amp; Rooms'!$A$7</f>
        <v>Main Bldg.</v>
      </c>
      <c r="B194" s="15">
        <f>'Bldgs &amp; Rooms'!$B$7</f>
        <v>0</v>
      </c>
      <c r="C194" s="14" t="str">
        <f>Hours!$A$9</f>
        <v>Panelboard-Single Cover &lt; 400A (Branch Ckt Panel)</v>
      </c>
      <c r="D194" s="15">
        <f t="shared" ref="D194:D257" si="6">MAX(E194+F194,G194,H194,I194,J194,K194,L194,M194,N194,O194,P194,Q194)</f>
        <v>0</v>
      </c>
      <c r="E194" s="16"/>
      <c r="F194" s="17"/>
      <c r="G194" s="17"/>
      <c r="H194" s="17"/>
      <c r="I194" s="17"/>
      <c r="J194" s="17"/>
      <c r="K194" s="12"/>
      <c r="L194" s="12"/>
      <c r="M194" s="12"/>
      <c r="N194" s="12"/>
      <c r="O194" s="17"/>
      <c r="P194" s="12"/>
      <c r="Q194" s="17"/>
      <c r="R194" s="18">
        <f>IF(SUMPRODUCT((E194:Q194)*1)=0,0,E194*INDEX(Hours!M:M,MATCH(C194,Hours!$A:$A,0))+F194*INDEX(Hours!B:B,MATCH(C194,Hours!$A:$A,0))+G194*INDEX(Hours!C:C,MATCH(C194,Hours!$A:$A,0))+H194*INDEX(Hours!D:D,MATCH(C194,Hours!$A:$A,0))+I194*INDEX(Hours!E:E,MATCH(C194,Hours!$A:$A,0))+J194*INDEX(Hours!F:F,MATCH(C194,Hours!$A:$A,0))+O194*INDEX(Hours!K:K,MATCH(C194,Hours!$A:$A,0)))</f>
        <v>0</v>
      </c>
      <c r="S194" s="19">
        <f t="shared" ref="S194:S257" si="7">MAX(E194+F194,G194,H194,I194,J194,K194,L194,M194,N194,O194,P194,Q194)</f>
        <v>0</v>
      </c>
    </row>
    <row r="195" spans="1:19" x14ac:dyDescent="0.25">
      <c r="A195" s="15" t="str">
        <f>'Bldgs &amp; Rooms'!$A$7</f>
        <v>Main Bldg.</v>
      </c>
      <c r="B195" s="15">
        <f>'Bldgs &amp; Rooms'!$B$7</f>
        <v>0</v>
      </c>
      <c r="C195" s="14" t="str">
        <f>Hours!$A$10</f>
        <v>Motor Control Center (MCC-Per Vertical Section)</v>
      </c>
      <c r="D195" s="15">
        <f t="shared" si="6"/>
        <v>0</v>
      </c>
      <c r="E195" s="16"/>
      <c r="F195" s="17"/>
      <c r="G195" s="17"/>
      <c r="H195" s="17"/>
      <c r="I195" s="17"/>
      <c r="J195" s="17"/>
      <c r="K195" s="12"/>
      <c r="L195" s="12"/>
      <c r="M195" s="12"/>
      <c r="N195" s="12"/>
      <c r="O195" s="17"/>
      <c r="P195" s="12"/>
      <c r="Q195" s="17"/>
      <c r="R195" s="18">
        <f>IF(SUMPRODUCT((E195:Q195)*1)=0,0,E195*INDEX(Hours!M:M,MATCH(C195,Hours!$A:$A,0))+F195*INDEX(Hours!B:B,MATCH(C195,Hours!$A:$A,0))+G195*INDEX(Hours!C:C,MATCH(C195,Hours!$A:$A,0))+H195*INDEX(Hours!D:D,MATCH(C195,Hours!$A:$A,0))+I195*INDEX(Hours!E:E,MATCH(C195,Hours!$A:$A,0))+J195*INDEX(Hours!F:F,MATCH(C195,Hours!$A:$A,0))+O195*INDEX(Hours!K:K,MATCH(C195,Hours!$A:$A,0)))</f>
        <v>0</v>
      </c>
      <c r="S195" s="19">
        <f t="shared" si="7"/>
        <v>0</v>
      </c>
    </row>
    <row r="196" spans="1:19" x14ac:dyDescent="0.25">
      <c r="A196" s="15" t="str">
        <f>'Bldgs &amp; Rooms'!$A$7</f>
        <v>Main Bldg.</v>
      </c>
      <c r="B196" s="15">
        <f>'Bldgs &amp; Rooms'!$B$7</f>
        <v>0</v>
      </c>
      <c r="C196" s="14" t="str">
        <f>Hours!$A$11</f>
        <v xml:space="preserve">  MCC: Combination Motor Starters</v>
      </c>
      <c r="D196" s="15">
        <f t="shared" si="6"/>
        <v>0</v>
      </c>
      <c r="E196" s="16"/>
      <c r="F196" s="17"/>
      <c r="G196" s="17"/>
      <c r="H196" s="17"/>
      <c r="I196" s="17"/>
      <c r="J196" s="17"/>
      <c r="K196" s="17"/>
      <c r="L196" s="12"/>
      <c r="M196" s="12"/>
      <c r="N196" s="12"/>
      <c r="O196" s="17"/>
      <c r="P196" s="12"/>
      <c r="Q196" s="17"/>
      <c r="R196" s="18">
        <f>IF(SUMPRODUCT((E196:Q196)*1)=0,0,E196*INDEX(Hours!M:M,MATCH(C196,Hours!$A:$A,0))+F196*INDEX(Hours!B:B,MATCH(C196,Hours!$A:$A,0))+G196*INDEX(Hours!C:C,MATCH(C196,Hours!$A:$A,0))+H196*INDEX(Hours!D:D,MATCH(C196,Hours!$A:$A,0))+I196*INDEX(Hours!E:E,MATCH(C196,Hours!$A:$A,0))+J196*INDEX(Hours!F:F,MATCH(C196,Hours!$A:$A,0))+K196*INDEX(Hours!G:G,MATCH(C196,Hours!$A:$A,0))+O196*INDEX(Hours!K:K,MATCH(C196,Hours!$A:$A,0)))</f>
        <v>0</v>
      </c>
      <c r="S196" s="19">
        <f t="shared" si="7"/>
        <v>0</v>
      </c>
    </row>
    <row r="197" spans="1:19" x14ac:dyDescent="0.25">
      <c r="A197" s="15" t="str">
        <f>'Bldgs &amp; Rooms'!$A$7</f>
        <v>Main Bldg.</v>
      </c>
      <c r="B197" s="15">
        <f>'Bldgs &amp; Rooms'!$B$7</f>
        <v>0</v>
      </c>
      <c r="C197" s="14" t="str">
        <f>Hours!$A$12</f>
        <v xml:space="preserve">  MCC: Molded Case Breaker</v>
      </c>
      <c r="D197" s="15">
        <f t="shared" si="6"/>
        <v>0</v>
      </c>
      <c r="E197" s="16"/>
      <c r="F197" s="17"/>
      <c r="G197" s="17"/>
      <c r="H197" s="17"/>
      <c r="I197" s="17"/>
      <c r="J197" s="17"/>
      <c r="K197" s="17"/>
      <c r="L197" s="12"/>
      <c r="M197" s="12"/>
      <c r="N197" s="12"/>
      <c r="O197" s="12"/>
      <c r="P197" s="12"/>
      <c r="Q197" s="17"/>
      <c r="R197" s="18">
        <f>IF(SUMPRODUCT((E197:Q197)*1)=0,0,E197*INDEX(Hours!M:M,MATCH(C197,Hours!$A:$A,0))+F197*INDEX(Hours!B:B,MATCH(C197,Hours!$A:$A,0))+G197*INDEX(Hours!C:C,MATCH(C197,Hours!$A:$A,0))+H197*INDEX(Hours!D:D,MATCH(C197,Hours!$A:$A,0))+I197*INDEX(Hours!E:E,MATCH(C197,Hours!$A:$A,0))+J197*INDEX(Hours!F:F,MATCH(C197,Hours!$A:$A,0))+K197*INDEX(Hours!G:G,MATCH(C197,Hours!$A:$A,0)))</f>
        <v>0</v>
      </c>
      <c r="S197" s="19">
        <f t="shared" si="7"/>
        <v>0</v>
      </c>
    </row>
    <row r="198" spans="1:19" x14ac:dyDescent="0.25">
      <c r="A198" s="15" t="str">
        <f>'Bldgs &amp; Rooms'!$A$7</f>
        <v>Main Bldg.</v>
      </c>
      <c r="B198" s="15">
        <f>'Bldgs &amp; Rooms'!$B$7</f>
        <v>0</v>
      </c>
      <c r="C198" s="14" t="str">
        <f>Hours!$A$13</f>
        <v xml:space="preserve">  MCC: Individual Disconnect Switch</v>
      </c>
      <c r="D198" s="15">
        <f t="shared" si="6"/>
        <v>0</v>
      </c>
      <c r="E198" s="16"/>
      <c r="F198" s="17"/>
      <c r="G198" s="17"/>
      <c r="H198" s="17"/>
      <c r="I198" s="17"/>
      <c r="J198" s="17"/>
      <c r="K198" s="12"/>
      <c r="L198" s="12"/>
      <c r="M198" s="12"/>
      <c r="N198" s="12"/>
      <c r="O198" s="12"/>
      <c r="P198" s="12"/>
      <c r="Q198" s="17"/>
      <c r="R198" s="18">
        <f>IF(SUMPRODUCT((E198:Q198)*1)=0,0,E198*INDEX(Hours!M:M,MATCH(C198,Hours!$A:$A,0))+F198*INDEX(Hours!B:B,MATCH(C198,Hours!$A:$A,0))+G198*INDEX(Hours!C:C,MATCH(C198,Hours!$A:$A,0))+H198*INDEX(Hours!D:D,MATCH(C198,Hours!$A:$A,0))+I198*INDEX(Hours!E:E,MATCH(C198,Hours!$A:$A,0))+J198*INDEX(Hours!F:F,MATCH(C198,Hours!$A:$A,0)))</f>
        <v>0</v>
      </c>
      <c r="S198" s="19">
        <f t="shared" si="7"/>
        <v>0</v>
      </c>
    </row>
    <row r="199" spans="1:19" x14ac:dyDescent="0.25">
      <c r="A199" s="15" t="str">
        <f>'Bldgs &amp; Rooms'!$A$7</f>
        <v>Main Bldg.</v>
      </c>
      <c r="B199" s="15">
        <f>'Bldgs &amp; Rooms'!$B$7</f>
        <v>0</v>
      </c>
      <c r="C199" s="14" t="str">
        <f>Hours!$A$14</f>
        <v>Motor Control Panel (MCP)</v>
      </c>
      <c r="D199" s="15">
        <f t="shared" si="6"/>
        <v>0</v>
      </c>
      <c r="E199" s="16"/>
      <c r="F199" s="17"/>
      <c r="G199" s="17"/>
      <c r="H199" s="17"/>
      <c r="I199" s="17"/>
      <c r="J199" s="17"/>
      <c r="K199" s="12"/>
      <c r="L199" s="12"/>
      <c r="M199" s="12"/>
      <c r="N199" s="12"/>
      <c r="O199" s="17"/>
      <c r="P199" s="12"/>
      <c r="Q199" s="17"/>
      <c r="R199" s="18">
        <f>IF(SUMPRODUCT((E199:Q199)*1)=0,0,E199*INDEX(Hours!M:M,MATCH(C199,Hours!$A:$A,0))+F199*INDEX(Hours!B:B,MATCH(C199,Hours!$A:$A,0))+G199*INDEX(Hours!C:C,MATCH(C199,Hours!$A:$A,0))+H199*INDEX(Hours!D:D,MATCH(C199,Hours!$A:$A,0))+I199*INDEX(Hours!E:E,MATCH(C199,Hours!$A:$A,0))+J199*INDEX(Hours!F:F,MATCH(C199,Hours!$A:$A,0))+O199*INDEX(Hours!K:K,MATCH(C199,Hours!$A:$A,0)))</f>
        <v>0</v>
      </c>
      <c r="S199" s="19">
        <f t="shared" si="7"/>
        <v>0</v>
      </c>
    </row>
    <row r="200" spans="1:19" x14ac:dyDescent="0.25">
      <c r="A200" s="15" t="str">
        <f>'Bldgs &amp; Rooms'!$A$7</f>
        <v>Main Bldg.</v>
      </c>
      <c r="B200" s="15">
        <f>'Bldgs &amp; Rooms'!$B$7</f>
        <v>0</v>
      </c>
      <c r="C200" s="14" t="str">
        <f>Hours!$A$15</f>
        <v>VFD Motor Control Panel (VFD-MCP)</v>
      </c>
      <c r="D200" s="15">
        <f t="shared" si="6"/>
        <v>0</v>
      </c>
      <c r="E200" s="16"/>
      <c r="F200" s="17"/>
      <c r="G200" s="17"/>
      <c r="H200" s="17"/>
      <c r="I200" s="17"/>
      <c r="J200" s="17"/>
      <c r="K200" s="12"/>
      <c r="L200" s="12"/>
      <c r="M200" s="12"/>
      <c r="N200" s="12"/>
      <c r="O200" s="17"/>
      <c r="P200" s="12"/>
      <c r="Q200" s="17"/>
      <c r="R200" s="18">
        <f>IF(SUMPRODUCT((E200:Q200)*1)=0,0,E200*INDEX(Hours!M:M,MATCH(C200,Hours!$A:$A,0))+F200*INDEX(Hours!B:B,MATCH(C200,Hours!$A:$A,0))+G200*INDEX(Hours!C:C,MATCH(C200,Hours!$A:$A,0))+H200*INDEX(Hours!D:D,MATCH(C200,Hours!$A:$A,0))+I200*INDEX(Hours!E:E,MATCH(C200,Hours!$A:$A,0))+J200*INDEX(Hours!F:F,MATCH(C200,Hours!$A:$A,0))+O200*INDEX(Hours!K:K,MATCH(C200,Hours!$A:$A,0)))</f>
        <v>0</v>
      </c>
      <c r="S200" s="19">
        <f t="shared" si="7"/>
        <v>0</v>
      </c>
    </row>
    <row r="201" spans="1:19" x14ac:dyDescent="0.25">
      <c r="A201" s="15" t="str">
        <f>'Bldgs &amp; Rooms'!$A$7</f>
        <v>Main Bldg.</v>
      </c>
      <c r="B201" s="15">
        <f>'Bldgs &amp; Rooms'!$B$7</f>
        <v>0</v>
      </c>
      <c r="C201" s="14" t="str">
        <f>Hours!$A$16</f>
        <v>Individual Disconnect Switch &gt; 100A</v>
      </c>
      <c r="D201" s="15">
        <f t="shared" si="6"/>
        <v>0</v>
      </c>
      <c r="E201" s="16"/>
      <c r="F201" s="17"/>
      <c r="G201" s="17"/>
      <c r="H201" s="17"/>
      <c r="I201" s="17"/>
      <c r="J201" s="17"/>
      <c r="K201" s="17"/>
      <c r="L201" s="12"/>
      <c r="M201" s="12"/>
      <c r="N201" s="12"/>
      <c r="O201" s="12"/>
      <c r="P201" s="12"/>
      <c r="Q201" s="17"/>
      <c r="R201" s="18">
        <f>IF(SUMPRODUCT((E201:Q201)*1)=0,0,E201*INDEX(Hours!M:M,MATCH(C201,Hours!$A:$A,0))+F201*INDEX(Hours!B:B,MATCH(C201,Hours!$A:$A,0))+G201*INDEX(Hours!C:C,MATCH(C201,Hours!$A:$A,0))+H201*INDEX(Hours!D:D,MATCH(C201,Hours!$A:$A,0))+I201*INDEX(Hours!E:E,MATCH(C201,Hours!$A:$A,0))+J201*INDEX(Hours!F:F,MATCH(C201,Hours!$A:$A,0))+K201*INDEX(Hours!G:G,MATCH(C201,Hours!$A:$A,0)))</f>
        <v>0</v>
      </c>
      <c r="S201" s="19">
        <f t="shared" si="7"/>
        <v>0</v>
      </c>
    </row>
    <row r="202" spans="1:19" x14ac:dyDescent="0.25">
      <c r="A202" s="15" t="str">
        <f>'Bldgs &amp; Rooms'!$A$7</f>
        <v>Main Bldg.</v>
      </c>
      <c r="B202" s="15">
        <f>'Bldgs &amp; Rooms'!$B$7</f>
        <v>0</v>
      </c>
      <c r="C202" s="14" t="str">
        <f>Hours!$A$17</f>
        <v>Individual Molded Case Breaker &gt; 100A</v>
      </c>
      <c r="D202" s="15">
        <f t="shared" si="6"/>
        <v>0</v>
      </c>
      <c r="E202" s="16"/>
      <c r="F202" s="17"/>
      <c r="G202" s="17"/>
      <c r="H202" s="17"/>
      <c r="I202" s="17"/>
      <c r="J202" s="17"/>
      <c r="K202" s="17"/>
      <c r="L202" s="12"/>
      <c r="M202" s="12"/>
      <c r="N202" s="12"/>
      <c r="O202" s="12"/>
      <c r="P202" s="12"/>
      <c r="Q202" s="17"/>
      <c r="R202" s="18">
        <f>IF(SUMPRODUCT((E202:Q202)*1)=0,0,E202*INDEX(Hours!M:M,MATCH(C202,Hours!$A:$A,0))+F202*INDEX(Hours!B:B,MATCH(C202,Hours!$A:$A,0))+G202*INDEX(Hours!C:C,MATCH(C202,Hours!$A:$A,0))+H202*INDEX(Hours!D:D,MATCH(C202,Hours!$A:$A,0))+I202*INDEX(Hours!E:E,MATCH(C202,Hours!$A:$A,0))+J202*INDEX(Hours!F:F,MATCH(C202,Hours!$A:$A,0))+K202*INDEX(Hours!G:G,MATCH(C202,Hours!$A:$A,0)))</f>
        <v>0</v>
      </c>
      <c r="S202" s="19">
        <f t="shared" si="7"/>
        <v>0</v>
      </c>
    </row>
    <row r="203" spans="1:19" x14ac:dyDescent="0.25">
      <c r="A203" s="15" t="str">
        <f>'Bldgs &amp; Rooms'!$A$7</f>
        <v>Main Bldg.</v>
      </c>
      <c r="B203" s="15">
        <f>'Bldgs &amp; Rooms'!$B$7</f>
        <v>0</v>
      </c>
      <c r="C203" s="14" t="str">
        <f>Hours!$A$18</f>
        <v>Individual Combination Motor Starter &gt; 100A</v>
      </c>
      <c r="D203" s="15">
        <f t="shared" si="6"/>
        <v>0</v>
      </c>
      <c r="E203" s="16"/>
      <c r="F203" s="17"/>
      <c r="G203" s="17"/>
      <c r="H203" s="17"/>
      <c r="I203" s="17"/>
      <c r="J203" s="17"/>
      <c r="K203" s="17"/>
      <c r="L203" s="12"/>
      <c r="M203" s="12"/>
      <c r="N203" s="12"/>
      <c r="O203" s="12"/>
      <c r="P203" s="12"/>
      <c r="Q203" s="17"/>
      <c r="R203" s="18">
        <f>IF(SUMPRODUCT((E203:Q203)*1)=0,0,E203*INDEX(Hours!M:M,MATCH(C203,Hours!$A:$A,0))+F203*INDEX(Hours!B:B,MATCH(C203,Hours!$A:$A,0))+G203*INDEX(Hours!C:C,MATCH(C203,Hours!$A:$A,0))+H203*INDEX(Hours!D:D,MATCH(C203,Hours!$A:$A,0))+I203*INDEX(Hours!E:E,MATCH(C203,Hours!$A:$A,0))+J203*INDEX(Hours!F:F,MATCH(C203,Hours!$A:$A,0))+K203*INDEX(Hours!G:G,MATCH(C203,Hours!$A:$A,0)))</f>
        <v>0</v>
      </c>
      <c r="S203" s="19">
        <f t="shared" si="7"/>
        <v>0</v>
      </c>
    </row>
    <row r="204" spans="1:19" x14ac:dyDescent="0.25">
      <c r="A204" s="15" t="str">
        <f>'Bldgs &amp; Rooms'!$A$7</f>
        <v>Main Bldg.</v>
      </c>
      <c r="B204" s="15">
        <f>'Bldgs &amp; Rooms'!$B$7</f>
        <v>0</v>
      </c>
      <c r="C204" s="14" t="str">
        <f>Hours!$A$19</f>
        <v>Oil Filled Transformer - 5kV-15kV Primary - Any Size (Pad Mounted)</v>
      </c>
      <c r="D204" s="15">
        <f t="shared" si="6"/>
        <v>0</v>
      </c>
      <c r="E204" s="16"/>
      <c r="F204" s="17"/>
      <c r="G204" s="17"/>
      <c r="H204" s="17"/>
      <c r="I204" s="17"/>
      <c r="J204" s="17"/>
      <c r="K204" s="12"/>
      <c r="L204" s="12"/>
      <c r="M204" s="17"/>
      <c r="N204" s="17"/>
      <c r="O204" s="12"/>
      <c r="P204" s="17"/>
      <c r="Q204" s="17"/>
      <c r="R204" s="18">
        <f>IF(SUMPRODUCT((E204:Q204)*1)=0,0,E204*INDEX(Hours!M:M,MATCH(C204,Hours!$A:$A,0))+F204*INDEX(Hours!B:B,MATCH(C204,Hours!$A:$A,0))+G204*INDEX(Hours!C:C,MATCH(C204,Hours!$A:$A,0))+H204*INDEX(Hours!D:D,MATCH(C204,Hours!$A:$A,0))+I204*INDEX(Hours!E:E,MATCH(C204,Hours!$A:$A,0))+J204*INDEX(Hours!F:F,MATCH(C204,Hours!$A:$A,0))+M204*INDEX(Hours!I:I,MATCH(C204,Hours!$A:$A,0))+N204*INDEX(Hours!J:J,MATCH(C204,Hours!$A:$A,0))+P204*INDEX(Hours!L:L,MATCH(C204,Hours!$A:$A,0)))</f>
        <v>0</v>
      </c>
      <c r="S204" s="19">
        <f t="shared" si="7"/>
        <v>0</v>
      </c>
    </row>
    <row r="205" spans="1:19" x14ac:dyDescent="0.25">
      <c r="A205" s="15" t="str">
        <f>'Bldgs &amp; Rooms'!$A$7</f>
        <v>Main Bldg.</v>
      </c>
      <c r="B205" s="15">
        <f>'Bldgs &amp; Rooms'!$B$7</f>
        <v>0</v>
      </c>
      <c r="C205" s="14" t="str">
        <f>Hours!$A$20</f>
        <v>Oil Filled Transformer - &gt; 15kV Primary (Substation Class)</v>
      </c>
      <c r="D205" s="15">
        <f t="shared" si="6"/>
        <v>0</v>
      </c>
      <c r="E205" s="16"/>
      <c r="F205" s="17"/>
      <c r="G205" s="17"/>
      <c r="H205" s="17"/>
      <c r="I205" s="17"/>
      <c r="J205" s="17"/>
      <c r="K205" s="12"/>
      <c r="L205" s="12"/>
      <c r="M205" s="17"/>
      <c r="N205" s="17"/>
      <c r="O205" s="12"/>
      <c r="P205" s="17"/>
      <c r="Q205" s="17"/>
      <c r="R205" s="18">
        <f>IF(SUMPRODUCT((E205:Q205)*1)=0,0,E205*INDEX(Hours!M:M,MATCH(C205,Hours!$A:$A,0))+F205*INDEX(Hours!B:B,MATCH(C205,Hours!$A:$A,0))+G205*INDEX(Hours!C:C,MATCH(C205,Hours!$A:$A,0))+H205*INDEX(Hours!D:D,MATCH(C205,Hours!$A:$A,0))+I205*INDEX(Hours!E:E,MATCH(C205,Hours!$A:$A,0))+J205*INDEX(Hours!F:F,MATCH(C205,Hours!$A:$A,0))+M205*INDEX(Hours!I:I,MATCH(C205,Hours!$A:$A,0))+N205*INDEX(Hours!J:J,MATCH(C205,Hours!$A:$A,0))+P205*INDEX(Hours!L:L,MATCH(C205,Hours!$A:$A,0)))</f>
        <v>0</v>
      </c>
      <c r="S205" s="19">
        <f t="shared" si="7"/>
        <v>0</v>
      </c>
    </row>
    <row r="206" spans="1:19" x14ac:dyDescent="0.25">
      <c r="A206" s="15" t="str">
        <f>'Bldgs &amp; Rooms'!$A$7</f>
        <v>Main Bldg.</v>
      </c>
      <c r="B206" s="15">
        <f>'Bldgs &amp; Rooms'!$B$7</f>
        <v>0</v>
      </c>
      <c r="C206" s="14" t="str">
        <f>Hours!$A$21</f>
        <v>Dry Type Transformer - &lt; 480V Primary - Any Size kVA</v>
      </c>
      <c r="D206" s="15">
        <f t="shared" si="6"/>
        <v>0</v>
      </c>
      <c r="E206" s="16"/>
      <c r="F206" s="17"/>
      <c r="G206" s="17"/>
      <c r="H206" s="17"/>
      <c r="I206" s="17"/>
      <c r="J206" s="17"/>
      <c r="K206" s="12"/>
      <c r="L206" s="12"/>
      <c r="M206" s="17"/>
      <c r="N206" s="17"/>
      <c r="O206" s="12"/>
      <c r="P206" s="12"/>
      <c r="Q206" s="17"/>
      <c r="R206" s="18">
        <f>IF(SUMPRODUCT((E206:Q206)*1)=0,0,E206*INDEX(Hours!M:M,MATCH(C206,Hours!$A:$A,0))+F206*INDEX(Hours!B:B,MATCH(C206,Hours!$A:$A,0))+G206*INDEX(Hours!C:C,MATCH(C206,Hours!$A:$A,0))+H206*INDEX(Hours!D:D,MATCH(C206,Hours!$A:$A,0))+I206*INDEX(Hours!E:E,MATCH(C206,Hours!$A:$A,0))+J206*INDEX(Hours!F:F,MATCH(C206,Hours!$A:$A,0))+M206*INDEX(Hours!I:I,MATCH(C206,Hours!$A:$A,0))+N206*INDEX(Hours!J:J,MATCH(C206,Hours!$A:$A,0)))</f>
        <v>0</v>
      </c>
      <c r="S206" s="19">
        <f t="shared" si="7"/>
        <v>0</v>
      </c>
    </row>
    <row r="207" spans="1:19" x14ac:dyDescent="0.25">
      <c r="A207" s="15" t="str">
        <f>'Bldgs &amp; Rooms'!$A$7</f>
        <v>Main Bldg.</v>
      </c>
      <c r="B207" s="15">
        <f>'Bldgs &amp; Rooms'!$B$7</f>
        <v>0</v>
      </c>
      <c r="C207" s="14" t="str">
        <f>Hours!$A$22</f>
        <v>Power Factor Correction Capacitors</v>
      </c>
      <c r="D207" s="15">
        <f t="shared" si="6"/>
        <v>0</v>
      </c>
      <c r="E207" s="16"/>
      <c r="F207" s="17"/>
      <c r="G207" s="17"/>
      <c r="H207" s="17"/>
      <c r="I207" s="17"/>
      <c r="J207" s="17"/>
      <c r="K207" s="12"/>
      <c r="L207" s="12"/>
      <c r="M207" s="12"/>
      <c r="N207" s="12"/>
      <c r="O207" s="12"/>
      <c r="P207" s="12"/>
      <c r="Q207" s="17"/>
      <c r="R207" s="18">
        <f>IF(SUMPRODUCT((E207:Q207)*1)=0,0,E207*INDEX(Hours!M:M,MATCH(C207,Hours!$A:$A,0))+F207*INDEX(Hours!B:B,MATCH(C207,Hours!$A:$A,0))+G207*INDEX(Hours!C:C,MATCH(C207,Hours!$A:$A,0))+H207*INDEX(Hours!D:D,MATCH(C207,Hours!$A:$A,0))+I207*INDEX(Hours!E:E,MATCH(C207,Hours!$A:$A,0))+J207*INDEX(Hours!F:F,MATCH(C207,Hours!$A:$A,0)))</f>
        <v>0</v>
      </c>
      <c r="S207" s="19">
        <f t="shared" si="7"/>
        <v>0</v>
      </c>
    </row>
    <row r="208" spans="1:19" x14ac:dyDescent="0.25">
      <c r="A208" s="15" t="str">
        <f>'Bldgs &amp; Rooms'!$A$7</f>
        <v>Main Bldg.</v>
      </c>
      <c r="B208" s="15">
        <f>'Bldgs &amp; Rooms'!$B$7</f>
        <v>0</v>
      </c>
      <c r="C208" s="14" t="str">
        <f>Hours!$A$23</f>
        <v>Lighting Contactor &gt; 100A</v>
      </c>
      <c r="D208" s="15">
        <f t="shared" si="6"/>
        <v>0</v>
      </c>
      <c r="E208" s="16"/>
      <c r="F208" s="17"/>
      <c r="G208" s="17"/>
      <c r="H208" s="17"/>
      <c r="I208" s="17"/>
      <c r="J208" s="17"/>
      <c r="K208" s="12"/>
      <c r="L208" s="12"/>
      <c r="M208" s="12"/>
      <c r="N208" s="12"/>
      <c r="O208" s="12"/>
      <c r="P208" s="12"/>
      <c r="Q208" s="17"/>
      <c r="R208" s="18">
        <f>IF(SUMPRODUCT((E208:Q208)*1)=0,0,E208*INDEX(Hours!M:M,MATCH(C208,Hours!$A:$A,0))+F208*INDEX(Hours!B:B,MATCH(C208,Hours!$A:$A,0))+G208*INDEX(Hours!C:C,MATCH(C208,Hours!$A:$A,0))+H208*INDEX(Hours!D:D,MATCH(C208,Hours!$A:$A,0))+I208*INDEX(Hours!E:E,MATCH(C208,Hours!$A:$A,0))+J208*INDEX(Hours!F:F,MATCH(C208,Hours!$A:$A,0)))</f>
        <v>0</v>
      </c>
      <c r="S208" s="19">
        <f t="shared" si="7"/>
        <v>0</v>
      </c>
    </row>
    <row r="209" spans="1:19" x14ac:dyDescent="0.25">
      <c r="A209" s="15" t="str">
        <f>'Bldgs &amp; Rooms'!$A$7</f>
        <v>Main Bldg.</v>
      </c>
      <c r="B209" s="15">
        <f>'Bldgs &amp; Rooms'!$B$7</f>
        <v>0</v>
      </c>
      <c r="C209" s="14" t="str">
        <f>Hours!$A$24</f>
        <v>Power Distribution Unit (PDU)</v>
      </c>
      <c r="D209" s="15">
        <f t="shared" si="6"/>
        <v>0</v>
      </c>
      <c r="E209" s="16"/>
      <c r="F209" s="17"/>
      <c r="G209" s="17"/>
      <c r="H209" s="17"/>
      <c r="I209" s="17"/>
      <c r="J209" s="17"/>
      <c r="K209" s="12"/>
      <c r="L209" s="12"/>
      <c r="M209" s="12"/>
      <c r="N209" s="12"/>
      <c r="O209" s="12"/>
      <c r="P209" s="12"/>
      <c r="Q209" s="17"/>
      <c r="R209" s="18">
        <f>IF(SUMPRODUCT((E209:Q209)*1)=0,0,E209*INDEX(Hours!M:M,MATCH(C209,Hours!$A:$A,0))+F209*INDEX(Hours!B:B,MATCH(C209,Hours!$A:$A,0))+G209*INDEX(Hours!C:C,MATCH(C209,Hours!$A:$A,0))+H209*INDEX(Hours!D:D,MATCH(C209,Hours!$A:$A,0))+I209*INDEX(Hours!E:E,MATCH(C209,Hours!$A:$A,0))+J209*INDEX(Hours!F:F,MATCH(C209,Hours!$A:$A,0)))</f>
        <v>0</v>
      </c>
      <c r="S209" s="19">
        <f t="shared" si="7"/>
        <v>0</v>
      </c>
    </row>
    <row r="210" spans="1:19" x14ac:dyDescent="0.25">
      <c r="A210" s="15" t="str">
        <f>'Bldgs &amp; Rooms'!$A$7</f>
        <v>Main Bldg.</v>
      </c>
      <c r="B210" s="15">
        <f>'Bldgs &amp; Rooms'!$B$7</f>
        <v>0</v>
      </c>
      <c r="C210" s="14" t="str">
        <f>Hours!$A$25</f>
        <v>Wire Trough, Gutter, or Large Junction Boxes</v>
      </c>
      <c r="D210" s="15">
        <f t="shared" si="6"/>
        <v>0</v>
      </c>
      <c r="E210" s="16"/>
      <c r="F210" s="17"/>
      <c r="G210" s="17"/>
      <c r="H210" s="17"/>
      <c r="I210" s="17"/>
      <c r="J210" s="17"/>
      <c r="K210" s="12"/>
      <c r="L210" s="12"/>
      <c r="M210" s="12"/>
      <c r="N210" s="12"/>
      <c r="O210" s="12"/>
      <c r="P210" s="12"/>
      <c r="Q210" s="17"/>
      <c r="R210" s="18">
        <f>IF(SUMPRODUCT((E210:Q210)*1)=0,0,E210*INDEX(Hours!M:M,MATCH(C210,Hours!$A:$A,0))+F210*INDEX(Hours!B:B,MATCH(C210,Hours!$A:$A,0))+G210*INDEX(Hours!C:C,MATCH(C210,Hours!$A:$A,0))+H210*INDEX(Hours!D:D,MATCH(C210,Hours!$A:$A,0))+I210*INDEX(Hours!E:E,MATCH(C210,Hours!$A:$A,0))+J210*INDEX(Hours!F:F,MATCH(C210,Hours!$A:$A,0)))</f>
        <v>0</v>
      </c>
      <c r="S210" s="19">
        <f t="shared" si="7"/>
        <v>0</v>
      </c>
    </row>
    <row r="211" spans="1:19" x14ac:dyDescent="0.25">
      <c r="A211" s="15" t="str">
        <f>'Bldgs &amp; Rooms'!$A$7</f>
        <v>Main Bldg.</v>
      </c>
      <c r="B211" s="15">
        <f>'Bldgs &amp; Rooms'!$B$7</f>
        <v>0</v>
      </c>
      <c r="C211" s="14" t="str">
        <f>Hours!$A$26</f>
        <v>Bus Duct - Vertical or Horizontal (Per 10' section)</v>
      </c>
      <c r="D211" s="15">
        <f t="shared" si="6"/>
        <v>0</v>
      </c>
      <c r="E211" s="16"/>
      <c r="F211" s="17"/>
      <c r="G211" s="17"/>
      <c r="H211" s="17"/>
      <c r="I211" s="17"/>
      <c r="J211" s="17"/>
      <c r="K211" s="12"/>
      <c r="L211" s="12"/>
      <c r="M211" s="12"/>
      <c r="N211" s="12"/>
      <c r="O211" s="12"/>
      <c r="P211" s="12"/>
      <c r="Q211" s="17"/>
      <c r="R211" s="18">
        <f>IF(SUMPRODUCT((E211:Q211)*1)=0,0,E211*INDEX(Hours!M:M,MATCH(C211,Hours!$A:$A,0))+F211*INDEX(Hours!B:B,MATCH(C211,Hours!$A:$A,0))+G211*INDEX(Hours!C:C,MATCH(C211,Hours!$A:$A,0))+H211*INDEX(Hours!D:D,MATCH(C211,Hours!$A:$A,0))+I211*INDEX(Hours!E:E,MATCH(C211,Hours!$A:$A,0))+J211*INDEX(Hours!F:F,MATCH(C211,Hours!$A:$A,0)))</f>
        <v>0</v>
      </c>
      <c r="S211" s="19">
        <f t="shared" si="7"/>
        <v>0</v>
      </c>
    </row>
    <row r="212" spans="1:19" x14ac:dyDescent="0.25">
      <c r="A212" s="15" t="str">
        <f>'Bldgs &amp; Rooms'!$A$7</f>
        <v>Main Bldg.</v>
      </c>
      <c r="B212" s="15">
        <f>'Bldgs &amp; Rooms'!$B$7</f>
        <v>0</v>
      </c>
      <c r="C212" s="14" t="str">
        <f>Hours!$A$27</f>
        <v>Automatic Transfer Switch (ATS) &gt; 100A</v>
      </c>
      <c r="D212" s="15">
        <f t="shared" si="6"/>
        <v>0</v>
      </c>
      <c r="E212" s="16"/>
      <c r="F212" s="17"/>
      <c r="G212" s="17"/>
      <c r="H212" s="17"/>
      <c r="I212" s="17"/>
      <c r="J212" s="17"/>
      <c r="K212" s="12"/>
      <c r="L212" s="12"/>
      <c r="M212" s="12"/>
      <c r="N212" s="12"/>
      <c r="O212" s="12"/>
      <c r="P212" s="12"/>
      <c r="Q212" s="17"/>
      <c r="R212" s="18">
        <f>IF(SUMPRODUCT((E212:Q212)*1)=0,0,E212*INDEX(Hours!M:M,MATCH(C212,Hours!$A:$A,0))+F212*INDEX(Hours!B:B,MATCH(C212,Hours!$A:$A,0))+G212*INDEX(Hours!C:C,MATCH(C212,Hours!$A:$A,0))+H212*INDEX(Hours!D:D,MATCH(C212,Hours!$A:$A,0))+I212*INDEX(Hours!E:E,MATCH(C212,Hours!$A:$A,0))+J212*INDEX(Hours!F:F,MATCH(C212,Hours!$A:$A,0)))</f>
        <v>0</v>
      </c>
      <c r="S212" s="19">
        <f t="shared" si="7"/>
        <v>0</v>
      </c>
    </row>
    <row r="213" spans="1:19" x14ac:dyDescent="0.25">
      <c r="A213" s="15" t="str">
        <f>'Bldgs &amp; Rooms'!$A$7</f>
        <v>Main Bldg.</v>
      </c>
      <c r="B213" s="15">
        <f>'Bldgs &amp; Rooms'!$B$7</f>
        <v>0</v>
      </c>
      <c r="C213" s="14" t="str">
        <f>Hours!$A$28</f>
        <v>Manual Transfer Switch (MTS) &gt; 100A</v>
      </c>
      <c r="D213" s="15">
        <f t="shared" si="6"/>
        <v>0</v>
      </c>
      <c r="E213" s="16"/>
      <c r="F213" s="17"/>
      <c r="G213" s="17"/>
      <c r="H213" s="17"/>
      <c r="I213" s="17"/>
      <c r="J213" s="17"/>
      <c r="K213" s="12"/>
      <c r="L213" s="12"/>
      <c r="M213" s="12"/>
      <c r="N213" s="12"/>
      <c r="O213" s="12"/>
      <c r="P213" s="12"/>
      <c r="Q213" s="17"/>
      <c r="R213" s="18">
        <f>IF(SUMPRODUCT((E213:Q213)*1)=0,0,E213*INDEX(Hours!M:M,MATCH(C213,Hours!$A:$A,0))+F213*INDEX(Hours!B:B,MATCH(C213,Hours!$A:$A,0))+G213*INDEX(Hours!C:C,MATCH(C213,Hours!$A:$A,0))+H213*INDEX(Hours!D:D,MATCH(C213,Hours!$A:$A,0))+I213*INDEX(Hours!E:E,MATCH(C213,Hours!$A:$A,0))+J213*INDEX(Hours!F:F,MATCH(C213,Hours!$A:$A,0)))</f>
        <v>0</v>
      </c>
      <c r="S213" s="19">
        <f t="shared" si="7"/>
        <v>0</v>
      </c>
    </row>
    <row r="214" spans="1:19" x14ac:dyDescent="0.25">
      <c r="A214" s="15" t="str">
        <f>'Bldgs &amp; Rooms'!$A$7</f>
        <v>Main Bldg.</v>
      </c>
      <c r="B214" s="15">
        <f>'Bldgs &amp; Rooms'!$B$7</f>
        <v>0</v>
      </c>
      <c r="C214" s="14" t="str">
        <f>Hours!$A$29</f>
        <v>Variable Frequency Drives (VFD) &lt; 50 HP</v>
      </c>
      <c r="D214" s="15">
        <f t="shared" si="6"/>
        <v>0</v>
      </c>
      <c r="E214" s="16"/>
      <c r="F214" s="17"/>
      <c r="G214" s="17"/>
      <c r="H214" s="17"/>
      <c r="I214" s="17"/>
      <c r="J214" s="17"/>
      <c r="K214" s="12"/>
      <c r="L214" s="12"/>
      <c r="M214" s="12"/>
      <c r="N214" s="12"/>
      <c r="O214" s="12"/>
      <c r="P214" s="12"/>
      <c r="Q214" s="17"/>
      <c r="R214" s="18">
        <f>IF(SUMPRODUCT((E214:Q214)*1)=0,0,E214*INDEX(Hours!M:M,MATCH(C214,Hours!$A:$A,0))+F214*INDEX(Hours!B:B,MATCH(C214,Hours!$A:$A,0))+G214*INDEX(Hours!C:C,MATCH(C214,Hours!$A:$A,0))+H214*INDEX(Hours!D:D,MATCH(C214,Hours!$A:$A,0))+I214*INDEX(Hours!E:E,MATCH(C214,Hours!$A:$A,0))+J214*INDEX(Hours!F:F,MATCH(C214,Hours!$A:$A,0)))</f>
        <v>0</v>
      </c>
      <c r="S214" s="19">
        <f t="shared" si="7"/>
        <v>0</v>
      </c>
    </row>
    <row r="215" spans="1:19" x14ac:dyDescent="0.25">
      <c r="A215" s="15" t="str">
        <f>'Bldgs &amp; Rooms'!$A$7</f>
        <v>Main Bldg.</v>
      </c>
      <c r="B215" s="15">
        <f>'Bldgs &amp; Rooms'!$B$7</f>
        <v>0</v>
      </c>
      <c r="C215" s="14" t="str">
        <f>Hours!$A$30</f>
        <v>Variable Frequency Drives (VFD) 51-200 HP</v>
      </c>
      <c r="D215" s="15">
        <f t="shared" si="6"/>
        <v>0</v>
      </c>
      <c r="E215" s="16"/>
      <c r="F215" s="17"/>
      <c r="G215" s="17"/>
      <c r="H215" s="17"/>
      <c r="I215" s="17"/>
      <c r="J215" s="17"/>
      <c r="K215" s="12"/>
      <c r="L215" s="12"/>
      <c r="M215" s="12"/>
      <c r="N215" s="12"/>
      <c r="O215" s="12"/>
      <c r="P215" s="12"/>
      <c r="Q215" s="17"/>
      <c r="R215" s="18">
        <f>IF(SUMPRODUCT((E215:Q215)*1)=0,0,E215*INDEX(Hours!M:M,MATCH(C215,Hours!$A:$A,0))+F215*INDEX(Hours!B:B,MATCH(C215,Hours!$A:$A,0))+G215*INDEX(Hours!C:C,MATCH(C215,Hours!$A:$A,0))+H215*INDEX(Hours!D:D,MATCH(C215,Hours!$A:$A,0))+I215*INDEX(Hours!E:E,MATCH(C215,Hours!$A:$A,0))+J215*INDEX(Hours!F:F,MATCH(C215,Hours!$A:$A,0)))</f>
        <v>0</v>
      </c>
      <c r="S215" s="19">
        <f t="shared" si="7"/>
        <v>0</v>
      </c>
    </row>
    <row r="216" spans="1:19" x14ac:dyDescent="0.25">
      <c r="A216" s="15" t="str">
        <f>'Bldgs &amp; Rooms'!$A$7</f>
        <v>Main Bldg.</v>
      </c>
      <c r="B216" s="15">
        <f>'Bldgs &amp; Rooms'!$B$7</f>
        <v>0</v>
      </c>
      <c r="C216" s="14" t="str">
        <f>Hours!$A$31</f>
        <v>Motors &lt; 50 HP</v>
      </c>
      <c r="D216" s="15">
        <f t="shared" si="6"/>
        <v>0</v>
      </c>
      <c r="E216" s="16"/>
      <c r="F216" s="17"/>
      <c r="G216" s="17"/>
      <c r="H216" s="17"/>
      <c r="I216" s="17"/>
      <c r="J216" s="17"/>
      <c r="K216" s="12"/>
      <c r="L216" s="12"/>
      <c r="M216" s="12"/>
      <c r="N216" s="12"/>
      <c r="O216" s="12"/>
      <c r="P216" s="12"/>
      <c r="Q216" s="17"/>
      <c r="R216" s="18">
        <f>IF(SUMPRODUCT((E216:Q216)*1)=0,0,E216*INDEX(Hours!M:M,MATCH(C216,Hours!$A:$A,0))+F216*INDEX(Hours!B:B,MATCH(C216,Hours!$A:$A,0))+G216*INDEX(Hours!C:C,MATCH(C216,Hours!$A:$A,0))+H216*INDEX(Hours!D:D,MATCH(C216,Hours!$A:$A,0))+I216*INDEX(Hours!E:E,MATCH(C216,Hours!$A:$A,0))+J216*INDEX(Hours!F:F,MATCH(C216,Hours!$A:$A,0)))</f>
        <v>0</v>
      </c>
      <c r="S216" s="19">
        <f t="shared" si="7"/>
        <v>0</v>
      </c>
    </row>
    <row r="217" spans="1:19" x14ac:dyDescent="0.25">
      <c r="A217" s="15" t="str">
        <f>'Bldgs &amp; Rooms'!$A$7</f>
        <v>Main Bldg.</v>
      </c>
      <c r="B217" s="15">
        <f>'Bldgs &amp; Rooms'!$B$7</f>
        <v>0</v>
      </c>
      <c r="C217" s="14" t="str">
        <f>Hours!$A$32</f>
        <v>Motors 51-200 HP</v>
      </c>
      <c r="D217" s="15">
        <f t="shared" si="6"/>
        <v>0</v>
      </c>
      <c r="E217" s="16"/>
      <c r="F217" s="17"/>
      <c r="G217" s="17"/>
      <c r="H217" s="17"/>
      <c r="I217" s="17"/>
      <c r="J217" s="17"/>
      <c r="K217" s="12"/>
      <c r="L217" s="12"/>
      <c r="M217" s="12"/>
      <c r="N217" s="12"/>
      <c r="O217" s="12"/>
      <c r="P217" s="12"/>
      <c r="Q217" s="17"/>
      <c r="R217" s="18">
        <f>IF(SUMPRODUCT((E217:Q217)*1)=0,0,E217*INDEX(Hours!M:M,MATCH(C217,Hours!$A:$A,0))+F217*INDEX(Hours!B:B,MATCH(C217,Hours!$A:$A,0))+G217*INDEX(Hours!C:C,MATCH(C217,Hours!$A:$A,0))+H217*INDEX(Hours!D:D,MATCH(C217,Hours!$A:$A,0))+I217*INDEX(Hours!E:E,MATCH(C217,Hours!$A:$A,0))+J217*INDEX(Hours!F:F,MATCH(C217,Hours!$A:$A,0)))</f>
        <v>0</v>
      </c>
      <c r="S217" s="19">
        <f t="shared" si="7"/>
        <v>0</v>
      </c>
    </row>
    <row r="218" spans="1:19" x14ac:dyDescent="0.25">
      <c r="A218" s="15" t="str">
        <f>'Bldgs &amp; Rooms'!$A$7</f>
        <v>Main Bldg.</v>
      </c>
      <c r="B218" s="15">
        <f>'Bldgs &amp; Rooms'!$B$7</f>
        <v>0</v>
      </c>
      <c r="C218" s="14" t="str">
        <f>Hours!$A$33</f>
        <v>Motors 201-500 HP</v>
      </c>
      <c r="D218" s="15">
        <f t="shared" si="6"/>
        <v>0</v>
      </c>
      <c r="E218" s="16"/>
      <c r="F218" s="17"/>
      <c r="G218" s="17"/>
      <c r="H218" s="17"/>
      <c r="I218" s="17"/>
      <c r="J218" s="17"/>
      <c r="K218" s="12"/>
      <c r="L218" s="12"/>
      <c r="M218" s="12"/>
      <c r="N218" s="12"/>
      <c r="O218" s="12"/>
      <c r="P218" s="12"/>
      <c r="Q218" s="17"/>
      <c r="R218" s="18">
        <f>IF(SUMPRODUCT((E218:Q218)*1)=0,0,E218*INDEX(Hours!M:M,MATCH(C218,Hours!$A:$A,0))+F218*INDEX(Hours!B:B,MATCH(C218,Hours!$A:$A,0))+G218*INDEX(Hours!C:C,MATCH(C218,Hours!$A:$A,0))+H218*INDEX(Hours!D:D,MATCH(C218,Hours!$A:$A,0))+I218*INDEX(Hours!E:E,MATCH(C218,Hours!$A:$A,0))+J218*INDEX(Hours!F:F,MATCH(C218,Hours!$A:$A,0)))</f>
        <v>0</v>
      </c>
      <c r="S218" s="19">
        <f t="shared" si="7"/>
        <v>0</v>
      </c>
    </row>
    <row r="219" spans="1:19" x14ac:dyDescent="0.25">
      <c r="A219" s="15" t="str">
        <f>'Bldgs &amp; Rooms'!$A$7</f>
        <v>Main Bldg.</v>
      </c>
      <c r="B219" s="15">
        <f>'Bldgs &amp; Rooms'!$B$7</f>
        <v>0</v>
      </c>
      <c r="C219" s="14" t="str">
        <f>Hours!$A$34</f>
        <v>Compressed Air Equipment</v>
      </c>
      <c r="D219" s="15">
        <f t="shared" si="6"/>
        <v>0</v>
      </c>
      <c r="E219" s="16"/>
      <c r="F219" s="17"/>
      <c r="G219" s="17"/>
      <c r="H219" s="17"/>
      <c r="I219" s="17"/>
      <c r="J219" s="17"/>
      <c r="K219" s="12"/>
      <c r="L219" s="12"/>
      <c r="M219" s="12"/>
      <c r="N219" s="12"/>
      <c r="O219" s="12"/>
      <c r="P219" s="12"/>
      <c r="Q219" s="17"/>
      <c r="R219" s="18">
        <f>IF(SUMPRODUCT((E219:Q219)*1)=0,0,E219*INDEX(Hours!M:M,MATCH(C219,Hours!$A:$A,0))+F219*INDEX(Hours!B:B,MATCH(C219,Hours!$A:$A,0))+G219*INDEX(Hours!C:C,MATCH(C219,Hours!$A:$A,0))+H219*INDEX(Hours!D:D,MATCH(C219,Hours!$A:$A,0))+I219*INDEX(Hours!E:E,MATCH(C219,Hours!$A:$A,0))+J219*INDEX(Hours!F:F,MATCH(C219,Hours!$A:$A,0)))</f>
        <v>0</v>
      </c>
      <c r="S219" s="19">
        <f t="shared" si="7"/>
        <v>0</v>
      </c>
    </row>
    <row r="220" spans="1:19" x14ac:dyDescent="0.25">
      <c r="A220" s="15" t="str">
        <f>'Bldgs &amp; Rooms'!$A$7</f>
        <v>Main Bldg.</v>
      </c>
      <c r="B220" s="15">
        <f>'Bldgs &amp; Rooms'!$B$7</f>
        <v>0</v>
      </c>
      <c r="C220" s="14" t="str">
        <f>Hours!$A$35</f>
        <v>HVAC Equipment (Large)</v>
      </c>
      <c r="D220" s="15">
        <f t="shared" si="6"/>
        <v>0</v>
      </c>
      <c r="E220" s="16"/>
      <c r="F220" s="17"/>
      <c r="G220" s="17"/>
      <c r="H220" s="17"/>
      <c r="I220" s="17"/>
      <c r="J220" s="17"/>
      <c r="K220" s="12"/>
      <c r="L220" s="12"/>
      <c r="M220" s="12"/>
      <c r="N220" s="12"/>
      <c r="O220" s="12"/>
      <c r="P220" s="12"/>
      <c r="Q220" s="17"/>
      <c r="R220" s="18">
        <f>IF(SUMPRODUCT((E220:Q220)*1)=0,0,E220*INDEX(Hours!M:M,MATCH(C220,Hours!$A:$A,0))+F220*INDEX(Hours!B:B,MATCH(C220,Hours!$A:$A,0))+G220*INDEX(Hours!C:C,MATCH(C220,Hours!$A:$A,0))+H220*INDEX(Hours!D:D,MATCH(C220,Hours!$A:$A,0))+I220*INDEX(Hours!E:E,MATCH(C220,Hours!$A:$A,0))+J220*INDEX(Hours!F:F,MATCH(C220,Hours!$A:$A,0)))</f>
        <v>0</v>
      </c>
      <c r="S220" s="19">
        <f t="shared" si="7"/>
        <v>0</v>
      </c>
    </row>
    <row r="221" spans="1:19" x14ac:dyDescent="0.25">
      <c r="A221" s="15" t="str">
        <f>'Bldgs &amp; Rooms'!$A$7</f>
        <v>Main Bldg.</v>
      </c>
      <c r="B221" s="15">
        <f>'Bldgs &amp; Rooms'!$B$7</f>
        <v>0</v>
      </c>
      <c r="C221" s="14" t="str">
        <f>Hours!$A$36</f>
        <v>HVAC Equipment (Small)</v>
      </c>
      <c r="D221" s="15">
        <f t="shared" si="6"/>
        <v>0</v>
      </c>
      <c r="E221" s="16"/>
      <c r="F221" s="17"/>
      <c r="G221" s="17"/>
      <c r="H221" s="17"/>
      <c r="I221" s="17"/>
      <c r="J221" s="17"/>
      <c r="K221" s="12"/>
      <c r="L221" s="12"/>
      <c r="M221" s="12"/>
      <c r="N221" s="12"/>
      <c r="O221" s="12"/>
      <c r="P221" s="12"/>
      <c r="Q221" s="17"/>
      <c r="R221" s="18">
        <f>IF(SUMPRODUCT((E221:Q221)*1)=0,0,E221*INDEX(Hours!M:M,MATCH(C221,Hours!$A:$A,0))+F221*INDEX(Hours!B:B,MATCH(C221,Hours!$A:$A,0))+G221*INDEX(Hours!C:C,MATCH(C221,Hours!$A:$A,0))+H221*INDEX(Hours!D:D,MATCH(C221,Hours!$A:$A,0))+I221*INDEX(Hours!E:E,MATCH(C221,Hours!$A:$A,0))+J221*INDEX(Hours!F:F,MATCH(C221,Hours!$A:$A,0)))</f>
        <v>0</v>
      </c>
      <c r="S221" s="19">
        <f t="shared" si="7"/>
        <v>0</v>
      </c>
    </row>
    <row r="222" spans="1:19" x14ac:dyDescent="0.25">
      <c r="A222" s="15" t="str">
        <f>'Bldgs &amp; Rooms'!$A$7</f>
        <v>Main Bldg.</v>
      </c>
      <c r="B222" s="15">
        <f>'Bldgs &amp; Rooms'!$B$7</f>
        <v>0</v>
      </c>
      <c r="C222" s="14" t="str">
        <f>Hours!$A$37</f>
        <v>Uninterruptible Power Supply (UPS) &lt; 50kVA</v>
      </c>
      <c r="D222" s="15">
        <f t="shared" si="6"/>
        <v>0</v>
      </c>
      <c r="E222" s="16"/>
      <c r="F222" s="17"/>
      <c r="G222" s="17"/>
      <c r="H222" s="17"/>
      <c r="I222" s="17"/>
      <c r="J222" s="17"/>
      <c r="K222" s="12"/>
      <c r="L222" s="12"/>
      <c r="M222" s="12"/>
      <c r="N222" s="12"/>
      <c r="O222" s="12"/>
      <c r="P222" s="12"/>
      <c r="Q222" s="17"/>
      <c r="R222" s="18">
        <f>IF(SUMPRODUCT((E222:Q222)*1)=0,0,E222*INDEX(Hours!M:M,MATCH(C222,Hours!$A:$A,0))+F222*INDEX(Hours!B:B,MATCH(C222,Hours!$A:$A,0))+G222*INDEX(Hours!C:C,MATCH(C222,Hours!$A:$A,0))+H222*INDEX(Hours!D:D,MATCH(C222,Hours!$A:$A,0))+I222*INDEX(Hours!E:E,MATCH(C222,Hours!$A:$A,0))+J222*INDEX(Hours!F:F,MATCH(C222,Hours!$A:$A,0)))</f>
        <v>0</v>
      </c>
      <c r="S222" s="19">
        <f t="shared" si="7"/>
        <v>0</v>
      </c>
    </row>
    <row r="223" spans="1:19" x14ac:dyDescent="0.25">
      <c r="A223" s="15" t="str">
        <f>'Bldgs &amp; Rooms'!$A$7</f>
        <v>Main Bldg.</v>
      </c>
      <c r="B223" s="15">
        <f>'Bldgs &amp; Rooms'!$B$7</f>
        <v>0</v>
      </c>
      <c r="C223" s="14" t="str">
        <f>Hours!$A$38</f>
        <v>Uninterruptible Power Supply (UPS) &gt; 50kVA</v>
      </c>
      <c r="D223" s="15">
        <f t="shared" si="6"/>
        <v>0</v>
      </c>
      <c r="E223" s="16"/>
      <c r="F223" s="17"/>
      <c r="G223" s="17"/>
      <c r="H223" s="17"/>
      <c r="I223" s="17"/>
      <c r="J223" s="17"/>
      <c r="K223" s="12"/>
      <c r="L223" s="12"/>
      <c r="M223" s="12"/>
      <c r="N223" s="12"/>
      <c r="O223" s="12"/>
      <c r="P223" s="12"/>
      <c r="Q223" s="17"/>
      <c r="R223" s="18">
        <f>IF(SUMPRODUCT((E223:Q223)*1)=0,0,E223*INDEX(Hours!M:M,MATCH(C223,Hours!$A:$A,0))+F223*INDEX(Hours!B:B,MATCH(C223,Hours!$A:$A,0))+G223*INDEX(Hours!C:C,MATCH(C223,Hours!$A:$A,0))+H223*INDEX(Hours!D:D,MATCH(C223,Hours!$A:$A,0))+I223*INDEX(Hours!E:E,MATCH(C223,Hours!$A:$A,0))+J223*INDEX(Hours!F:F,MATCH(C223,Hours!$A:$A,0)))</f>
        <v>0</v>
      </c>
      <c r="S223" s="19">
        <f t="shared" si="7"/>
        <v>0</v>
      </c>
    </row>
    <row r="224" spans="1:19" x14ac:dyDescent="0.25">
      <c r="A224" s="11" t="str">
        <f>'Bldgs &amp; Rooms'!$A$8</f>
        <v>Main Bldg.</v>
      </c>
      <c r="B224" s="11">
        <f>'Bldgs &amp; Rooms'!$B$8</f>
        <v>0</v>
      </c>
      <c r="C224" s="10" t="str">
        <f>Hours!$A$2</f>
        <v>Switchgear - Incoming Main Service (Per Section)</v>
      </c>
      <c r="D224" s="11">
        <f t="shared" si="6"/>
        <v>0</v>
      </c>
      <c r="E224" s="16"/>
      <c r="F224" s="17"/>
      <c r="G224" s="17"/>
      <c r="H224" s="17"/>
      <c r="I224" s="17"/>
      <c r="J224" s="17"/>
      <c r="K224" s="17"/>
      <c r="L224" s="17"/>
      <c r="M224" s="12"/>
      <c r="N224" s="12"/>
      <c r="O224" s="17"/>
      <c r="P224" s="12"/>
      <c r="Q224" s="17"/>
      <c r="R224" s="18">
        <f>IF(SUMPRODUCT((E224:Q224)*1)=0,0,E224*INDEX(Hours!M:M,MATCH(C224,Hours!$A:$A,0))+F224*INDEX(Hours!B:B,MATCH(C224,Hours!$A:$A,0))+G224*INDEX(Hours!C:C,MATCH(C224,Hours!$A:$A,0))+H224*INDEX(Hours!D:D,MATCH(C224,Hours!$A:$A,0))+I224*INDEX(Hours!E:E,MATCH(C224,Hours!$A:$A,0))+J224*INDEX(Hours!F:F,MATCH(C224,Hours!$A:$A,0))+K224*INDEX(Hours!G:G,MATCH(C224,Hours!$A:$A,0))+L224*INDEX(Hours!H:H,MATCH(C224,Hours!$A:$A,0))+O224*INDEX(Hours!K:K,MATCH(C224,Hours!$A:$A,0)))</f>
        <v>0</v>
      </c>
      <c r="S224" s="19">
        <f t="shared" si="7"/>
        <v>0</v>
      </c>
    </row>
    <row r="225" spans="1:19" x14ac:dyDescent="0.25">
      <c r="A225" s="11" t="str">
        <f>'Bldgs &amp; Rooms'!$A$8</f>
        <v>Main Bldg.</v>
      </c>
      <c r="B225" s="11">
        <f>'Bldgs &amp; Rooms'!$B$8</f>
        <v>0</v>
      </c>
      <c r="C225" s="10" t="str">
        <f>Hours!$A$3</f>
        <v xml:space="preserve">  Switchgear Insulated Case Breakers (Bus Mounted)</v>
      </c>
      <c r="D225" s="11">
        <f t="shared" si="6"/>
        <v>0</v>
      </c>
      <c r="E225" s="16"/>
      <c r="F225" s="17"/>
      <c r="G225" s="17"/>
      <c r="H225" s="17"/>
      <c r="I225" s="17"/>
      <c r="J225" s="17"/>
      <c r="K225" s="17"/>
      <c r="L225" s="12"/>
      <c r="M225" s="12"/>
      <c r="N225" s="12"/>
      <c r="O225" s="12"/>
      <c r="P225" s="12"/>
      <c r="Q225" s="17"/>
      <c r="R225" s="18">
        <f>IF(SUMPRODUCT((E225:Q225)*1)=0,0,E225*INDEX(Hours!M:M,MATCH(C225,Hours!$A:$A,0))+F225*INDEX(Hours!B:B,MATCH(C225,Hours!$A:$A,0))+G225*INDEX(Hours!C:C,MATCH(C225,Hours!$A:$A,0))+H225*INDEX(Hours!D:D,MATCH(C225,Hours!$A:$A,0))+I225*INDEX(Hours!E:E,MATCH(C225,Hours!$A:$A,0))+J225*INDEX(Hours!F:F,MATCH(C225,Hours!$A:$A,0))+K225*INDEX(Hours!G:G,MATCH(C225,Hours!$A:$A,0)))</f>
        <v>0</v>
      </c>
      <c r="S225" s="19">
        <f t="shared" si="7"/>
        <v>0</v>
      </c>
    </row>
    <row r="226" spans="1:19" x14ac:dyDescent="0.25">
      <c r="A226" s="11" t="str">
        <f>'Bldgs &amp; Rooms'!$A$8</f>
        <v>Main Bldg.</v>
      </c>
      <c r="B226" s="11">
        <f>'Bldgs &amp; Rooms'!$B$8</f>
        <v>0</v>
      </c>
      <c r="C226" s="10" t="str">
        <f>Hours!$A$4</f>
        <v xml:space="preserve">  SwitchGear Drawout Breakers</v>
      </c>
      <c r="D226" s="11">
        <f t="shared" si="6"/>
        <v>0</v>
      </c>
      <c r="E226" s="16"/>
      <c r="F226" s="17"/>
      <c r="G226" s="17"/>
      <c r="H226" s="17"/>
      <c r="I226" s="17"/>
      <c r="J226" s="17"/>
      <c r="K226" s="12"/>
      <c r="L226" s="17"/>
      <c r="M226" s="12"/>
      <c r="N226" s="12"/>
      <c r="O226" s="12"/>
      <c r="P226" s="12"/>
      <c r="Q226" s="17"/>
      <c r="R226" s="18">
        <f>IF(SUMPRODUCT((E226:Q226)*1)=0,0,E226*INDEX(Hours!M:M,MATCH(C226,Hours!$A:$A,0))+F226*INDEX(Hours!B:B,MATCH(C226,Hours!$A:$A,0))+G226*INDEX(Hours!C:C,MATCH(C226,Hours!$A:$A,0))+H226*INDEX(Hours!D:D,MATCH(C226,Hours!$A:$A,0))+I226*INDEX(Hours!E:E,MATCH(C226,Hours!$A:$A,0))+J226*INDEX(Hours!F:F,MATCH(C226,Hours!$A:$A,0))+L226*INDEX(Hours!H:H,MATCH(C226,Hours!$A:$A,0)))</f>
        <v>0</v>
      </c>
      <c r="S226" s="19">
        <f t="shared" si="7"/>
        <v>0</v>
      </c>
    </row>
    <row r="227" spans="1:19" x14ac:dyDescent="0.25">
      <c r="A227" s="11" t="str">
        <f>'Bldgs &amp; Rooms'!$A$8</f>
        <v>Main Bldg.</v>
      </c>
      <c r="B227" s="11">
        <f>'Bldgs &amp; Rooms'!$B$8</f>
        <v>0</v>
      </c>
      <c r="C227" s="10" t="str">
        <f>Hours!$A$5</f>
        <v>Distribution Switchboard Multi Cover (Per Section)</v>
      </c>
      <c r="D227" s="11">
        <f t="shared" si="6"/>
        <v>0</v>
      </c>
      <c r="E227" s="16"/>
      <c r="F227" s="17"/>
      <c r="G227" s="17"/>
      <c r="H227" s="17"/>
      <c r="I227" s="17"/>
      <c r="J227" s="17"/>
      <c r="K227" s="17"/>
      <c r="L227" s="12"/>
      <c r="M227" s="12"/>
      <c r="N227" s="12"/>
      <c r="O227" s="17"/>
      <c r="P227" s="12"/>
      <c r="Q227" s="17"/>
      <c r="R227" s="18">
        <f>IF(SUMPRODUCT((E227:Q227)*1)=0,0,E227*INDEX(Hours!M:M,MATCH(C227,Hours!$A:$A,0))+F227*INDEX(Hours!B:B,MATCH(C227,Hours!$A:$A,0))+G227*INDEX(Hours!C:C,MATCH(C227,Hours!$A:$A,0))+H227*INDEX(Hours!D:D,MATCH(C227,Hours!$A:$A,0))+I227*INDEX(Hours!E:E,MATCH(C227,Hours!$A:$A,0))+J227*INDEX(Hours!F:F,MATCH(C227,Hours!$A:$A,0))+K227*INDEX(Hours!G:G,MATCH(C227,Hours!$A:$A,0))+O227*INDEX(Hours!K:K,MATCH(C227,Hours!$A:$A,0)))</f>
        <v>0</v>
      </c>
      <c r="S227" s="19">
        <f t="shared" si="7"/>
        <v>0</v>
      </c>
    </row>
    <row r="228" spans="1:19" x14ac:dyDescent="0.25">
      <c r="A228" s="11" t="str">
        <f>'Bldgs &amp; Rooms'!$A$8</f>
        <v>Main Bldg.</v>
      </c>
      <c r="B228" s="11">
        <f>'Bldgs &amp; Rooms'!$B$8</f>
        <v>0</v>
      </c>
      <c r="C228" s="10" t="str">
        <f>Hours!$A$6</f>
        <v xml:space="preserve">  Switchboard Disconnects</v>
      </c>
      <c r="D228" s="11">
        <f t="shared" si="6"/>
        <v>0</v>
      </c>
      <c r="E228" s="16"/>
      <c r="F228" s="17"/>
      <c r="G228" s="17"/>
      <c r="H228" s="17"/>
      <c r="I228" s="17"/>
      <c r="J228" s="17"/>
      <c r="K228" s="12"/>
      <c r="L228" s="12"/>
      <c r="M228" s="12"/>
      <c r="N228" s="12"/>
      <c r="O228" s="12"/>
      <c r="P228" s="12"/>
      <c r="Q228" s="17"/>
      <c r="R228" s="18">
        <f>IF(SUMPRODUCT((E228:Q228)*1)=0,0,E228*INDEX(Hours!M:M,MATCH(C228,Hours!$A:$A,0))+F228*INDEX(Hours!B:B,MATCH(C228,Hours!$A:$A,0))+G228*INDEX(Hours!C:C,MATCH(C228,Hours!$A:$A,0))+H228*INDEX(Hours!D:D,MATCH(C228,Hours!$A:$A,0))+I228*INDEX(Hours!E:E,MATCH(C228,Hours!$A:$A,0))+J228*INDEX(Hours!F:F,MATCH(C228,Hours!$A:$A,0)))</f>
        <v>0</v>
      </c>
      <c r="S228" s="19">
        <f t="shared" si="7"/>
        <v>0</v>
      </c>
    </row>
    <row r="229" spans="1:19" x14ac:dyDescent="0.25">
      <c r="A229" s="11" t="str">
        <f>'Bldgs &amp; Rooms'!$A$8</f>
        <v>Main Bldg.</v>
      </c>
      <c r="B229" s="11">
        <f>'Bldgs &amp; Rooms'!$B$8</f>
        <v>0</v>
      </c>
      <c r="C229" s="10" t="str">
        <f>Hours!$A$7</f>
        <v xml:space="preserve">  Switchboard Molded Case Breakers</v>
      </c>
      <c r="D229" s="11">
        <f t="shared" si="6"/>
        <v>0</v>
      </c>
      <c r="E229" s="16"/>
      <c r="F229" s="17"/>
      <c r="G229" s="17"/>
      <c r="H229" s="17"/>
      <c r="I229" s="17"/>
      <c r="J229" s="17"/>
      <c r="K229" s="17"/>
      <c r="L229" s="12"/>
      <c r="M229" s="12"/>
      <c r="N229" s="12"/>
      <c r="O229" s="12"/>
      <c r="P229" s="12"/>
      <c r="Q229" s="17"/>
      <c r="R229" s="18">
        <f>IF(SUMPRODUCT((E229:Q229)*1)=0,0,E229*INDEX(Hours!M:M,MATCH(C229,Hours!$A:$A,0))+F229*INDEX(Hours!B:B,MATCH(C229,Hours!$A:$A,0))+G229*INDEX(Hours!C:C,MATCH(C229,Hours!$A:$A,0))+H229*INDEX(Hours!D:D,MATCH(C229,Hours!$A:$A,0))+I229*INDEX(Hours!E:E,MATCH(C229,Hours!$A:$A,0))+J229*INDEX(Hours!F:F,MATCH(C229,Hours!$A:$A,0))+K229*INDEX(Hours!G:G,MATCH(C229,Hours!$A:$A,0)))</f>
        <v>0</v>
      </c>
      <c r="S229" s="19">
        <f t="shared" si="7"/>
        <v>0</v>
      </c>
    </row>
    <row r="230" spans="1:19" x14ac:dyDescent="0.25">
      <c r="A230" s="11" t="str">
        <f>'Bldgs &amp; Rooms'!$A$8</f>
        <v>Main Bldg.</v>
      </c>
      <c r="B230" s="11">
        <f>'Bldgs &amp; Rooms'!$B$8</f>
        <v>0</v>
      </c>
      <c r="C230" s="10" t="str">
        <f>Hours!$A$8</f>
        <v>Panelboard-Single Cover &gt; 400A (Distribution Panel)</v>
      </c>
      <c r="D230" s="11">
        <f t="shared" si="6"/>
        <v>0</v>
      </c>
      <c r="E230" s="16"/>
      <c r="F230" s="17"/>
      <c r="G230" s="17"/>
      <c r="H230" s="17"/>
      <c r="I230" s="17"/>
      <c r="J230" s="17"/>
      <c r="K230" s="17"/>
      <c r="L230" s="12"/>
      <c r="M230" s="12"/>
      <c r="N230" s="12"/>
      <c r="O230" s="17"/>
      <c r="P230" s="12"/>
      <c r="Q230" s="17"/>
      <c r="R230" s="18">
        <f>IF(SUMPRODUCT((E230:Q230)*1)=0,0,E230*INDEX(Hours!M:M,MATCH(C230,Hours!$A:$A,0))+F230*INDEX(Hours!B:B,MATCH(C230,Hours!$A:$A,0))+G230*INDEX(Hours!C:C,MATCH(C230,Hours!$A:$A,0))+H230*INDEX(Hours!D:D,MATCH(C230,Hours!$A:$A,0))+I230*INDEX(Hours!E:E,MATCH(C230,Hours!$A:$A,0))+J230*INDEX(Hours!F:F,MATCH(C230,Hours!$A:$A,0))+K230*INDEX(Hours!G:G,MATCH(C230,Hours!$A:$A,0))+O230*INDEX(Hours!K:K,MATCH(C230,Hours!$A:$A,0)))</f>
        <v>0</v>
      </c>
      <c r="S230" s="19">
        <f t="shared" si="7"/>
        <v>0</v>
      </c>
    </row>
    <row r="231" spans="1:19" x14ac:dyDescent="0.25">
      <c r="A231" s="11" t="str">
        <f>'Bldgs &amp; Rooms'!$A$8</f>
        <v>Main Bldg.</v>
      </c>
      <c r="B231" s="11">
        <f>'Bldgs &amp; Rooms'!$B$8</f>
        <v>0</v>
      </c>
      <c r="C231" s="10" t="str">
        <f>Hours!$A$9</f>
        <v>Panelboard-Single Cover &lt; 400A (Branch Ckt Panel)</v>
      </c>
      <c r="D231" s="11">
        <f t="shared" si="6"/>
        <v>0</v>
      </c>
      <c r="E231" s="16"/>
      <c r="F231" s="17"/>
      <c r="G231" s="17"/>
      <c r="H231" s="17"/>
      <c r="I231" s="17"/>
      <c r="J231" s="17"/>
      <c r="K231" s="12"/>
      <c r="L231" s="12"/>
      <c r="M231" s="12"/>
      <c r="N231" s="12"/>
      <c r="O231" s="17"/>
      <c r="P231" s="12"/>
      <c r="Q231" s="17"/>
      <c r="R231" s="18">
        <f>IF(SUMPRODUCT((E231:Q231)*1)=0,0,E231*INDEX(Hours!M:M,MATCH(C231,Hours!$A:$A,0))+F231*INDEX(Hours!B:B,MATCH(C231,Hours!$A:$A,0))+G231*INDEX(Hours!C:C,MATCH(C231,Hours!$A:$A,0))+H231*INDEX(Hours!D:D,MATCH(C231,Hours!$A:$A,0))+I231*INDEX(Hours!E:E,MATCH(C231,Hours!$A:$A,0))+J231*INDEX(Hours!F:F,MATCH(C231,Hours!$A:$A,0))+O231*INDEX(Hours!K:K,MATCH(C231,Hours!$A:$A,0)))</f>
        <v>0</v>
      </c>
      <c r="S231" s="19">
        <f t="shared" si="7"/>
        <v>0</v>
      </c>
    </row>
    <row r="232" spans="1:19" x14ac:dyDescent="0.25">
      <c r="A232" s="11" t="str">
        <f>'Bldgs &amp; Rooms'!$A$8</f>
        <v>Main Bldg.</v>
      </c>
      <c r="B232" s="11">
        <f>'Bldgs &amp; Rooms'!$B$8</f>
        <v>0</v>
      </c>
      <c r="C232" s="10" t="str">
        <f>Hours!$A$10</f>
        <v>Motor Control Center (MCC-Per Vertical Section)</v>
      </c>
      <c r="D232" s="11">
        <f t="shared" si="6"/>
        <v>0</v>
      </c>
      <c r="E232" s="16"/>
      <c r="F232" s="17"/>
      <c r="G232" s="17"/>
      <c r="H232" s="17"/>
      <c r="I232" s="17"/>
      <c r="J232" s="17"/>
      <c r="K232" s="12"/>
      <c r="L232" s="12"/>
      <c r="M232" s="12"/>
      <c r="N232" s="12"/>
      <c r="O232" s="17"/>
      <c r="P232" s="12"/>
      <c r="Q232" s="17"/>
      <c r="R232" s="18">
        <f>IF(SUMPRODUCT((E232:Q232)*1)=0,0,E232*INDEX(Hours!M:M,MATCH(C232,Hours!$A:$A,0))+F232*INDEX(Hours!B:B,MATCH(C232,Hours!$A:$A,0))+G232*INDEX(Hours!C:C,MATCH(C232,Hours!$A:$A,0))+H232*INDEX(Hours!D:D,MATCH(C232,Hours!$A:$A,0))+I232*INDEX(Hours!E:E,MATCH(C232,Hours!$A:$A,0))+J232*INDEX(Hours!F:F,MATCH(C232,Hours!$A:$A,0))+O232*INDEX(Hours!K:K,MATCH(C232,Hours!$A:$A,0)))</f>
        <v>0</v>
      </c>
      <c r="S232" s="19">
        <f t="shared" si="7"/>
        <v>0</v>
      </c>
    </row>
    <row r="233" spans="1:19" x14ac:dyDescent="0.25">
      <c r="A233" s="11" t="str">
        <f>'Bldgs &amp; Rooms'!$A$8</f>
        <v>Main Bldg.</v>
      </c>
      <c r="B233" s="11">
        <f>'Bldgs &amp; Rooms'!$B$8</f>
        <v>0</v>
      </c>
      <c r="C233" s="10" t="str">
        <f>Hours!$A$11</f>
        <v xml:space="preserve">  MCC: Combination Motor Starters</v>
      </c>
      <c r="D233" s="11">
        <f t="shared" si="6"/>
        <v>0</v>
      </c>
      <c r="E233" s="16"/>
      <c r="F233" s="17"/>
      <c r="G233" s="17"/>
      <c r="H233" s="17"/>
      <c r="I233" s="17"/>
      <c r="J233" s="17"/>
      <c r="K233" s="17"/>
      <c r="L233" s="12"/>
      <c r="M233" s="12"/>
      <c r="N233" s="12"/>
      <c r="O233" s="17"/>
      <c r="P233" s="12"/>
      <c r="Q233" s="17"/>
      <c r="R233" s="18">
        <f>IF(SUMPRODUCT((E233:Q233)*1)=0,0,E233*INDEX(Hours!M:M,MATCH(C233,Hours!$A:$A,0))+F233*INDEX(Hours!B:B,MATCH(C233,Hours!$A:$A,0))+G233*INDEX(Hours!C:C,MATCH(C233,Hours!$A:$A,0))+H233*INDEX(Hours!D:D,MATCH(C233,Hours!$A:$A,0))+I233*INDEX(Hours!E:E,MATCH(C233,Hours!$A:$A,0))+J233*INDEX(Hours!F:F,MATCH(C233,Hours!$A:$A,0))+K233*INDEX(Hours!G:G,MATCH(C233,Hours!$A:$A,0))+O233*INDEX(Hours!K:K,MATCH(C233,Hours!$A:$A,0)))</f>
        <v>0</v>
      </c>
      <c r="S233" s="19">
        <f t="shared" si="7"/>
        <v>0</v>
      </c>
    </row>
    <row r="234" spans="1:19" x14ac:dyDescent="0.25">
      <c r="A234" s="11" t="str">
        <f>'Bldgs &amp; Rooms'!$A$8</f>
        <v>Main Bldg.</v>
      </c>
      <c r="B234" s="11">
        <f>'Bldgs &amp; Rooms'!$B$8</f>
        <v>0</v>
      </c>
      <c r="C234" s="10" t="str">
        <f>Hours!$A$12</f>
        <v xml:space="preserve">  MCC: Molded Case Breaker</v>
      </c>
      <c r="D234" s="11">
        <f t="shared" si="6"/>
        <v>0</v>
      </c>
      <c r="E234" s="16"/>
      <c r="F234" s="17"/>
      <c r="G234" s="17"/>
      <c r="H234" s="17"/>
      <c r="I234" s="17"/>
      <c r="J234" s="17"/>
      <c r="K234" s="17"/>
      <c r="L234" s="12"/>
      <c r="M234" s="12"/>
      <c r="N234" s="12"/>
      <c r="O234" s="12"/>
      <c r="P234" s="12"/>
      <c r="Q234" s="17"/>
      <c r="R234" s="18">
        <f>IF(SUMPRODUCT((E234:Q234)*1)=0,0,E234*INDEX(Hours!M:M,MATCH(C234,Hours!$A:$A,0))+F234*INDEX(Hours!B:B,MATCH(C234,Hours!$A:$A,0))+G234*INDEX(Hours!C:C,MATCH(C234,Hours!$A:$A,0))+H234*INDEX(Hours!D:D,MATCH(C234,Hours!$A:$A,0))+I234*INDEX(Hours!E:E,MATCH(C234,Hours!$A:$A,0))+J234*INDEX(Hours!F:F,MATCH(C234,Hours!$A:$A,0))+K234*INDEX(Hours!G:G,MATCH(C234,Hours!$A:$A,0)))</f>
        <v>0</v>
      </c>
      <c r="S234" s="19">
        <f t="shared" si="7"/>
        <v>0</v>
      </c>
    </row>
    <row r="235" spans="1:19" x14ac:dyDescent="0.25">
      <c r="A235" s="11" t="str">
        <f>'Bldgs &amp; Rooms'!$A$8</f>
        <v>Main Bldg.</v>
      </c>
      <c r="B235" s="11">
        <f>'Bldgs &amp; Rooms'!$B$8</f>
        <v>0</v>
      </c>
      <c r="C235" s="10" t="str">
        <f>Hours!$A$13</f>
        <v xml:space="preserve">  MCC: Individual Disconnect Switch</v>
      </c>
      <c r="D235" s="11">
        <f t="shared" si="6"/>
        <v>0</v>
      </c>
      <c r="E235" s="16"/>
      <c r="F235" s="17"/>
      <c r="G235" s="17"/>
      <c r="H235" s="17"/>
      <c r="I235" s="17"/>
      <c r="J235" s="17"/>
      <c r="K235" s="12"/>
      <c r="L235" s="12"/>
      <c r="M235" s="12"/>
      <c r="N235" s="12"/>
      <c r="O235" s="12"/>
      <c r="P235" s="12"/>
      <c r="Q235" s="17"/>
      <c r="R235" s="18">
        <f>IF(SUMPRODUCT((E235:Q235)*1)=0,0,E235*INDEX(Hours!M:M,MATCH(C235,Hours!$A:$A,0))+F235*INDEX(Hours!B:B,MATCH(C235,Hours!$A:$A,0))+G235*INDEX(Hours!C:C,MATCH(C235,Hours!$A:$A,0))+H235*INDEX(Hours!D:D,MATCH(C235,Hours!$A:$A,0))+I235*INDEX(Hours!E:E,MATCH(C235,Hours!$A:$A,0))+J235*INDEX(Hours!F:F,MATCH(C235,Hours!$A:$A,0)))</f>
        <v>0</v>
      </c>
      <c r="S235" s="19">
        <f t="shared" si="7"/>
        <v>0</v>
      </c>
    </row>
    <row r="236" spans="1:19" x14ac:dyDescent="0.25">
      <c r="A236" s="11" t="str">
        <f>'Bldgs &amp; Rooms'!$A$8</f>
        <v>Main Bldg.</v>
      </c>
      <c r="B236" s="11">
        <f>'Bldgs &amp; Rooms'!$B$8</f>
        <v>0</v>
      </c>
      <c r="C236" s="10" t="str">
        <f>Hours!$A$14</f>
        <v>Motor Control Panel (MCP)</v>
      </c>
      <c r="D236" s="11">
        <f t="shared" si="6"/>
        <v>0</v>
      </c>
      <c r="E236" s="16"/>
      <c r="F236" s="17"/>
      <c r="G236" s="17"/>
      <c r="H236" s="17"/>
      <c r="I236" s="17"/>
      <c r="J236" s="17"/>
      <c r="K236" s="12"/>
      <c r="L236" s="12"/>
      <c r="M236" s="12"/>
      <c r="N236" s="12"/>
      <c r="O236" s="17"/>
      <c r="P236" s="12"/>
      <c r="Q236" s="17"/>
      <c r="R236" s="18">
        <f>IF(SUMPRODUCT((E236:Q236)*1)=0,0,E236*INDEX(Hours!M:M,MATCH(C236,Hours!$A:$A,0))+F236*INDEX(Hours!B:B,MATCH(C236,Hours!$A:$A,0))+G236*INDEX(Hours!C:C,MATCH(C236,Hours!$A:$A,0))+H236*INDEX(Hours!D:D,MATCH(C236,Hours!$A:$A,0))+I236*INDEX(Hours!E:E,MATCH(C236,Hours!$A:$A,0))+J236*INDEX(Hours!F:F,MATCH(C236,Hours!$A:$A,0))+O236*INDEX(Hours!K:K,MATCH(C236,Hours!$A:$A,0)))</f>
        <v>0</v>
      </c>
      <c r="S236" s="19">
        <f t="shared" si="7"/>
        <v>0</v>
      </c>
    </row>
    <row r="237" spans="1:19" x14ac:dyDescent="0.25">
      <c r="A237" s="11" t="str">
        <f>'Bldgs &amp; Rooms'!$A$8</f>
        <v>Main Bldg.</v>
      </c>
      <c r="B237" s="11">
        <f>'Bldgs &amp; Rooms'!$B$8</f>
        <v>0</v>
      </c>
      <c r="C237" s="10" t="str">
        <f>Hours!$A$15</f>
        <v>VFD Motor Control Panel (VFD-MCP)</v>
      </c>
      <c r="D237" s="11">
        <f t="shared" si="6"/>
        <v>0</v>
      </c>
      <c r="E237" s="16"/>
      <c r="F237" s="17"/>
      <c r="G237" s="17"/>
      <c r="H237" s="17"/>
      <c r="I237" s="17"/>
      <c r="J237" s="17"/>
      <c r="K237" s="12"/>
      <c r="L237" s="12"/>
      <c r="M237" s="12"/>
      <c r="N237" s="12"/>
      <c r="O237" s="17"/>
      <c r="P237" s="12"/>
      <c r="Q237" s="17"/>
      <c r="R237" s="18">
        <f>IF(SUMPRODUCT((E237:Q237)*1)=0,0,E237*INDEX(Hours!M:M,MATCH(C237,Hours!$A:$A,0))+F237*INDEX(Hours!B:B,MATCH(C237,Hours!$A:$A,0))+G237*INDEX(Hours!C:C,MATCH(C237,Hours!$A:$A,0))+H237*INDEX(Hours!D:D,MATCH(C237,Hours!$A:$A,0))+I237*INDEX(Hours!E:E,MATCH(C237,Hours!$A:$A,0))+J237*INDEX(Hours!F:F,MATCH(C237,Hours!$A:$A,0))+O237*INDEX(Hours!K:K,MATCH(C237,Hours!$A:$A,0)))</f>
        <v>0</v>
      </c>
      <c r="S237" s="19">
        <f t="shared" si="7"/>
        <v>0</v>
      </c>
    </row>
    <row r="238" spans="1:19" x14ac:dyDescent="0.25">
      <c r="A238" s="11" t="str">
        <f>'Bldgs &amp; Rooms'!$A$8</f>
        <v>Main Bldg.</v>
      </c>
      <c r="B238" s="11">
        <f>'Bldgs &amp; Rooms'!$B$8</f>
        <v>0</v>
      </c>
      <c r="C238" s="10" t="str">
        <f>Hours!$A$16</f>
        <v>Individual Disconnect Switch &gt; 100A</v>
      </c>
      <c r="D238" s="11">
        <f t="shared" si="6"/>
        <v>0</v>
      </c>
      <c r="E238" s="16"/>
      <c r="F238" s="17"/>
      <c r="G238" s="17"/>
      <c r="H238" s="17"/>
      <c r="I238" s="17"/>
      <c r="J238" s="17"/>
      <c r="K238" s="17"/>
      <c r="L238" s="12"/>
      <c r="M238" s="12"/>
      <c r="N238" s="12"/>
      <c r="O238" s="12"/>
      <c r="P238" s="12"/>
      <c r="Q238" s="17"/>
      <c r="R238" s="18">
        <f>IF(SUMPRODUCT((E238:Q238)*1)=0,0,E238*INDEX(Hours!M:M,MATCH(C238,Hours!$A:$A,0))+F238*INDEX(Hours!B:B,MATCH(C238,Hours!$A:$A,0))+G238*INDEX(Hours!C:C,MATCH(C238,Hours!$A:$A,0))+H238*INDEX(Hours!D:D,MATCH(C238,Hours!$A:$A,0))+I238*INDEX(Hours!E:E,MATCH(C238,Hours!$A:$A,0))+J238*INDEX(Hours!F:F,MATCH(C238,Hours!$A:$A,0))+K238*INDEX(Hours!G:G,MATCH(C238,Hours!$A:$A,0)))</f>
        <v>0</v>
      </c>
      <c r="S238" s="19">
        <f t="shared" si="7"/>
        <v>0</v>
      </c>
    </row>
    <row r="239" spans="1:19" x14ac:dyDescent="0.25">
      <c r="A239" s="11" t="str">
        <f>'Bldgs &amp; Rooms'!$A$8</f>
        <v>Main Bldg.</v>
      </c>
      <c r="B239" s="11">
        <f>'Bldgs &amp; Rooms'!$B$8</f>
        <v>0</v>
      </c>
      <c r="C239" s="10" t="str">
        <f>Hours!$A$17</f>
        <v>Individual Molded Case Breaker &gt; 100A</v>
      </c>
      <c r="D239" s="11">
        <f t="shared" si="6"/>
        <v>0</v>
      </c>
      <c r="E239" s="16"/>
      <c r="F239" s="17"/>
      <c r="G239" s="17"/>
      <c r="H239" s="17"/>
      <c r="I239" s="17"/>
      <c r="J239" s="17"/>
      <c r="K239" s="17"/>
      <c r="L239" s="12"/>
      <c r="M239" s="12"/>
      <c r="N239" s="12"/>
      <c r="O239" s="12"/>
      <c r="P239" s="12"/>
      <c r="Q239" s="17"/>
      <c r="R239" s="18">
        <f>IF(SUMPRODUCT((E239:Q239)*1)=0,0,E239*INDEX(Hours!M:M,MATCH(C239,Hours!$A:$A,0))+F239*INDEX(Hours!B:B,MATCH(C239,Hours!$A:$A,0))+G239*INDEX(Hours!C:C,MATCH(C239,Hours!$A:$A,0))+H239*INDEX(Hours!D:D,MATCH(C239,Hours!$A:$A,0))+I239*INDEX(Hours!E:E,MATCH(C239,Hours!$A:$A,0))+J239*INDEX(Hours!F:F,MATCH(C239,Hours!$A:$A,0))+K239*INDEX(Hours!G:G,MATCH(C239,Hours!$A:$A,0)))</f>
        <v>0</v>
      </c>
      <c r="S239" s="19">
        <f t="shared" si="7"/>
        <v>0</v>
      </c>
    </row>
    <row r="240" spans="1:19" x14ac:dyDescent="0.25">
      <c r="A240" s="11" t="str">
        <f>'Bldgs &amp; Rooms'!$A$8</f>
        <v>Main Bldg.</v>
      </c>
      <c r="B240" s="11">
        <f>'Bldgs &amp; Rooms'!$B$8</f>
        <v>0</v>
      </c>
      <c r="C240" s="10" t="str">
        <f>Hours!$A$18</f>
        <v>Individual Combination Motor Starter &gt; 100A</v>
      </c>
      <c r="D240" s="11">
        <f t="shared" si="6"/>
        <v>0</v>
      </c>
      <c r="E240" s="16"/>
      <c r="F240" s="17"/>
      <c r="G240" s="17"/>
      <c r="H240" s="17"/>
      <c r="I240" s="17"/>
      <c r="J240" s="17"/>
      <c r="K240" s="17"/>
      <c r="L240" s="12"/>
      <c r="M240" s="12"/>
      <c r="N240" s="12"/>
      <c r="O240" s="12"/>
      <c r="P240" s="12"/>
      <c r="Q240" s="17"/>
      <c r="R240" s="18">
        <f>IF(SUMPRODUCT((E240:Q240)*1)=0,0,E240*INDEX(Hours!M:M,MATCH(C240,Hours!$A:$A,0))+F240*INDEX(Hours!B:B,MATCH(C240,Hours!$A:$A,0))+G240*INDEX(Hours!C:C,MATCH(C240,Hours!$A:$A,0))+H240*INDEX(Hours!D:D,MATCH(C240,Hours!$A:$A,0))+I240*INDEX(Hours!E:E,MATCH(C240,Hours!$A:$A,0))+J240*INDEX(Hours!F:F,MATCH(C240,Hours!$A:$A,0))+K240*INDEX(Hours!G:G,MATCH(C240,Hours!$A:$A,0)))</f>
        <v>0</v>
      </c>
      <c r="S240" s="19">
        <f t="shared" si="7"/>
        <v>0</v>
      </c>
    </row>
    <row r="241" spans="1:19" x14ac:dyDescent="0.25">
      <c r="A241" s="11" t="str">
        <f>'Bldgs &amp; Rooms'!$A$8</f>
        <v>Main Bldg.</v>
      </c>
      <c r="B241" s="11">
        <f>'Bldgs &amp; Rooms'!$B$8</f>
        <v>0</v>
      </c>
      <c r="C241" s="10" t="str">
        <f>Hours!$A$19</f>
        <v>Oil Filled Transformer - 5kV-15kV Primary - Any Size (Pad Mounted)</v>
      </c>
      <c r="D241" s="11">
        <f t="shared" si="6"/>
        <v>0</v>
      </c>
      <c r="E241" s="16"/>
      <c r="F241" s="17"/>
      <c r="G241" s="17"/>
      <c r="H241" s="17"/>
      <c r="I241" s="17"/>
      <c r="J241" s="17"/>
      <c r="K241" s="12"/>
      <c r="L241" s="12"/>
      <c r="M241" s="17"/>
      <c r="N241" s="17"/>
      <c r="O241" s="12"/>
      <c r="P241" s="17"/>
      <c r="Q241" s="17"/>
      <c r="R241" s="18">
        <f>IF(SUMPRODUCT((E241:Q241)*1)=0,0,E241*INDEX(Hours!M:M,MATCH(C241,Hours!$A:$A,0))+F241*INDEX(Hours!B:B,MATCH(C241,Hours!$A:$A,0))+G241*INDEX(Hours!C:C,MATCH(C241,Hours!$A:$A,0))+H241*INDEX(Hours!D:D,MATCH(C241,Hours!$A:$A,0))+I241*INDEX(Hours!E:E,MATCH(C241,Hours!$A:$A,0))+J241*INDEX(Hours!F:F,MATCH(C241,Hours!$A:$A,0))+M241*INDEX(Hours!I:I,MATCH(C241,Hours!$A:$A,0))+N241*INDEX(Hours!J:J,MATCH(C241,Hours!$A:$A,0))+P241*INDEX(Hours!L:L,MATCH(C241,Hours!$A:$A,0)))</f>
        <v>0</v>
      </c>
      <c r="S241" s="19">
        <f t="shared" si="7"/>
        <v>0</v>
      </c>
    </row>
    <row r="242" spans="1:19" x14ac:dyDescent="0.25">
      <c r="A242" s="11" t="str">
        <f>'Bldgs &amp; Rooms'!$A$8</f>
        <v>Main Bldg.</v>
      </c>
      <c r="B242" s="11">
        <f>'Bldgs &amp; Rooms'!$B$8</f>
        <v>0</v>
      </c>
      <c r="C242" s="10" t="str">
        <f>Hours!$A$20</f>
        <v>Oil Filled Transformer - &gt; 15kV Primary (Substation Class)</v>
      </c>
      <c r="D242" s="11">
        <f t="shared" si="6"/>
        <v>0</v>
      </c>
      <c r="E242" s="16"/>
      <c r="F242" s="17"/>
      <c r="G242" s="17"/>
      <c r="H242" s="17"/>
      <c r="I242" s="17"/>
      <c r="J242" s="17"/>
      <c r="K242" s="12"/>
      <c r="L242" s="12"/>
      <c r="M242" s="17"/>
      <c r="N242" s="17"/>
      <c r="O242" s="12"/>
      <c r="P242" s="17"/>
      <c r="Q242" s="17"/>
      <c r="R242" s="18">
        <f>IF(SUMPRODUCT((E242:Q242)*1)=0,0,E242*INDEX(Hours!M:M,MATCH(C242,Hours!$A:$A,0))+F242*INDEX(Hours!B:B,MATCH(C242,Hours!$A:$A,0))+G242*INDEX(Hours!C:C,MATCH(C242,Hours!$A:$A,0))+H242*INDEX(Hours!D:D,MATCH(C242,Hours!$A:$A,0))+I242*INDEX(Hours!E:E,MATCH(C242,Hours!$A:$A,0))+J242*INDEX(Hours!F:F,MATCH(C242,Hours!$A:$A,0))+M242*INDEX(Hours!I:I,MATCH(C242,Hours!$A:$A,0))+N242*INDEX(Hours!J:J,MATCH(C242,Hours!$A:$A,0))+P242*INDEX(Hours!L:L,MATCH(C242,Hours!$A:$A,0)))</f>
        <v>0</v>
      </c>
      <c r="S242" s="19">
        <f t="shared" si="7"/>
        <v>0</v>
      </c>
    </row>
    <row r="243" spans="1:19" x14ac:dyDescent="0.25">
      <c r="A243" s="11" t="str">
        <f>'Bldgs &amp; Rooms'!$A$8</f>
        <v>Main Bldg.</v>
      </c>
      <c r="B243" s="11">
        <f>'Bldgs &amp; Rooms'!$B$8</f>
        <v>0</v>
      </c>
      <c r="C243" s="10" t="str">
        <f>Hours!$A$21</f>
        <v>Dry Type Transformer - &lt; 480V Primary - Any Size kVA</v>
      </c>
      <c r="D243" s="11">
        <f t="shared" si="6"/>
        <v>0</v>
      </c>
      <c r="E243" s="16"/>
      <c r="F243" s="17"/>
      <c r="G243" s="17"/>
      <c r="H243" s="17"/>
      <c r="I243" s="17"/>
      <c r="J243" s="17"/>
      <c r="K243" s="12"/>
      <c r="L243" s="12"/>
      <c r="M243" s="17"/>
      <c r="N243" s="17"/>
      <c r="O243" s="12"/>
      <c r="P243" s="12"/>
      <c r="Q243" s="17"/>
      <c r="R243" s="18">
        <f>IF(SUMPRODUCT((E243:Q243)*1)=0,0,E243*INDEX(Hours!M:M,MATCH(C243,Hours!$A:$A,0))+F243*INDEX(Hours!B:B,MATCH(C243,Hours!$A:$A,0))+G243*INDEX(Hours!C:C,MATCH(C243,Hours!$A:$A,0))+H243*INDEX(Hours!D:D,MATCH(C243,Hours!$A:$A,0))+I243*INDEX(Hours!E:E,MATCH(C243,Hours!$A:$A,0))+J243*INDEX(Hours!F:F,MATCH(C243,Hours!$A:$A,0))+M243*INDEX(Hours!I:I,MATCH(C243,Hours!$A:$A,0))+N243*INDEX(Hours!J:J,MATCH(C243,Hours!$A:$A,0)))</f>
        <v>0</v>
      </c>
      <c r="S243" s="19">
        <f t="shared" si="7"/>
        <v>0</v>
      </c>
    </row>
    <row r="244" spans="1:19" x14ac:dyDescent="0.25">
      <c r="A244" s="11" t="str">
        <f>'Bldgs &amp; Rooms'!$A$8</f>
        <v>Main Bldg.</v>
      </c>
      <c r="B244" s="11">
        <f>'Bldgs &amp; Rooms'!$B$8</f>
        <v>0</v>
      </c>
      <c r="C244" s="10" t="str">
        <f>Hours!$A$22</f>
        <v>Power Factor Correction Capacitors</v>
      </c>
      <c r="D244" s="11">
        <f t="shared" si="6"/>
        <v>0</v>
      </c>
      <c r="E244" s="16"/>
      <c r="F244" s="17"/>
      <c r="G244" s="17"/>
      <c r="H244" s="17"/>
      <c r="I244" s="17"/>
      <c r="J244" s="17"/>
      <c r="K244" s="12"/>
      <c r="L244" s="12"/>
      <c r="M244" s="12"/>
      <c r="N244" s="12"/>
      <c r="O244" s="12"/>
      <c r="P244" s="12"/>
      <c r="Q244" s="17"/>
      <c r="R244" s="18">
        <f>IF(SUMPRODUCT((E244:Q244)*1)=0,0,E244*INDEX(Hours!M:M,MATCH(C244,Hours!$A:$A,0))+F244*INDEX(Hours!B:B,MATCH(C244,Hours!$A:$A,0))+G244*INDEX(Hours!C:C,MATCH(C244,Hours!$A:$A,0))+H244*INDEX(Hours!D:D,MATCH(C244,Hours!$A:$A,0))+I244*INDEX(Hours!E:E,MATCH(C244,Hours!$A:$A,0))+J244*INDEX(Hours!F:F,MATCH(C244,Hours!$A:$A,0)))</f>
        <v>0</v>
      </c>
      <c r="S244" s="19">
        <f t="shared" si="7"/>
        <v>0</v>
      </c>
    </row>
    <row r="245" spans="1:19" x14ac:dyDescent="0.25">
      <c r="A245" s="11" t="str">
        <f>'Bldgs &amp; Rooms'!$A$8</f>
        <v>Main Bldg.</v>
      </c>
      <c r="B245" s="11">
        <f>'Bldgs &amp; Rooms'!$B$8</f>
        <v>0</v>
      </c>
      <c r="C245" s="10" t="str">
        <f>Hours!$A$23</f>
        <v>Lighting Contactor &gt; 100A</v>
      </c>
      <c r="D245" s="11">
        <f t="shared" si="6"/>
        <v>0</v>
      </c>
      <c r="E245" s="16"/>
      <c r="F245" s="17"/>
      <c r="G245" s="17"/>
      <c r="H245" s="17"/>
      <c r="I245" s="17"/>
      <c r="J245" s="17"/>
      <c r="K245" s="12"/>
      <c r="L245" s="12"/>
      <c r="M245" s="12"/>
      <c r="N245" s="12"/>
      <c r="O245" s="12"/>
      <c r="P245" s="12"/>
      <c r="Q245" s="17"/>
      <c r="R245" s="18">
        <f>IF(SUMPRODUCT((E245:Q245)*1)=0,0,E245*INDEX(Hours!M:M,MATCH(C245,Hours!$A:$A,0))+F245*INDEX(Hours!B:B,MATCH(C245,Hours!$A:$A,0))+G245*INDEX(Hours!C:C,MATCH(C245,Hours!$A:$A,0))+H245*INDEX(Hours!D:D,MATCH(C245,Hours!$A:$A,0))+I245*INDEX(Hours!E:E,MATCH(C245,Hours!$A:$A,0))+J245*INDEX(Hours!F:F,MATCH(C245,Hours!$A:$A,0)))</f>
        <v>0</v>
      </c>
      <c r="S245" s="19">
        <f t="shared" si="7"/>
        <v>0</v>
      </c>
    </row>
    <row r="246" spans="1:19" x14ac:dyDescent="0.25">
      <c r="A246" s="11" t="str">
        <f>'Bldgs &amp; Rooms'!$A$8</f>
        <v>Main Bldg.</v>
      </c>
      <c r="B246" s="11">
        <f>'Bldgs &amp; Rooms'!$B$8</f>
        <v>0</v>
      </c>
      <c r="C246" s="10" t="str">
        <f>Hours!$A$24</f>
        <v>Power Distribution Unit (PDU)</v>
      </c>
      <c r="D246" s="11">
        <f t="shared" si="6"/>
        <v>0</v>
      </c>
      <c r="E246" s="16"/>
      <c r="F246" s="17"/>
      <c r="G246" s="17"/>
      <c r="H246" s="17"/>
      <c r="I246" s="17"/>
      <c r="J246" s="17"/>
      <c r="K246" s="12"/>
      <c r="L246" s="12"/>
      <c r="M246" s="12"/>
      <c r="N246" s="12"/>
      <c r="O246" s="12"/>
      <c r="P246" s="12"/>
      <c r="Q246" s="17"/>
      <c r="R246" s="18">
        <f>IF(SUMPRODUCT((E246:Q246)*1)=0,0,E246*INDEX(Hours!M:M,MATCH(C246,Hours!$A:$A,0))+F246*INDEX(Hours!B:B,MATCH(C246,Hours!$A:$A,0))+G246*INDEX(Hours!C:C,MATCH(C246,Hours!$A:$A,0))+H246*INDEX(Hours!D:D,MATCH(C246,Hours!$A:$A,0))+I246*INDEX(Hours!E:E,MATCH(C246,Hours!$A:$A,0))+J246*INDEX(Hours!F:F,MATCH(C246,Hours!$A:$A,0)))</f>
        <v>0</v>
      </c>
      <c r="S246" s="19">
        <f t="shared" si="7"/>
        <v>0</v>
      </c>
    </row>
    <row r="247" spans="1:19" x14ac:dyDescent="0.25">
      <c r="A247" s="11" t="str">
        <f>'Bldgs &amp; Rooms'!$A$8</f>
        <v>Main Bldg.</v>
      </c>
      <c r="B247" s="11">
        <f>'Bldgs &amp; Rooms'!$B$8</f>
        <v>0</v>
      </c>
      <c r="C247" s="10" t="str">
        <f>Hours!$A$25</f>
        <v>Wire Trough, Gutter, or Large Junction Boxes</v>
      </c>
      <c r="D247" s="11">
        <f t="shared" si="6"/>
        <v>0</v>
      </c>
      <c r="E247" s="16"/>
      <c r="F247" s="17"/>
      <c r="G247" s="17"/>
      <c r="H247" s="17"/>
      <c r="I247" s="17"/>
      <c r="J247" s="17"/>
      <c r="K247" s="12"/>
      <c r="L247" s="12"/>
      <c r="M247" s="12"/>
      <c r="N247" s="12"/>
      <c r="O247" s="12"/>
      <c r="P247" s="12"/>
      <c r="Q247" s="17"/>
      <c r="R247" s="18">
        <f>IF(SUMPRODUCT((E247:Q247)*1)=0,0,E247*INDEX(Hours!M:M,MATCH(C247,Hours!$A:$A,0))+F247*INDEX(Hours!B:B,MATCH(C247,Hours!$A:$A,0))+G247*INDEX(Hours!C:C,MATCH(C247,Hours!$A:$A,0))+H247*INDEX(Hours!D:D,MATCH(C247,Hours!$A:$A,0))+I247*INDEX(Hours!E:E,MATCH(C247,Hours!$A:$A,0))+J247*INDEX(Hours!F:F,MATCH(C247,Hours!$A:$A,0)))</f>
        <v>0</v>
      </c>
      <c r="S247" s="19">
        <f t="shared" si="7"/>
        <v>0</v>
      </c>
    </row>
    <row r="248" spans="1:19" x14ac:dyDescent="0.25">
      <c r="A248" s="11" t="str">
        <f>'Bldgs &amp; Rooms'!$A$8</f>
        <v>Main Bldg.</v>
      </c>
      <c r="B248" s="11">
        <f>'Bldgs &amp; Rooms'!$B$8</f>
        <v>0</v>
      </c>
      <c r="C248" s="10" t="str">
        <f>Hours!$A$26</f>
        <v>Bus Duct - Vertical or Horizontal (Per 10' section)</v>
      </c>
      <c r="D248" s="11">
        <f t="shared" si="6"/>
        <v>0</v>
      </c>
      <c r="E248" s="16"/>
      <c r="F248" s="17"/>
      <c r="G248" s="17"/>
      <c r="H248" s="17"/>
      <c r="I248" s="17"/>
      <c r="J248" s="17"/>
      <c r="K248" s="12"/>
      <c r="L248" s="12"/>
      <c r="M248" s="12"/>
      <c r="N248" s="12"/>
      <c r="O248" s="12"/>
      <c r="P248" s="12"/>
      <c r="Q248" s="17"/>
      <c r="R248" s="18">
        <f>IF(SUMPRODUCT((E248:Q248)*1)=0,0,E248*INDEX(Hours!M:M,MATCH(C248,Hours!$A:$A,0))+F248*INDEX(Hours!B:B,MATCH(C248,Hours!$A:$A,0))+G248*INDEX(Hours!C:C,MATCH(C248,Hours!$A:$A,0))+H248*INDEX(Hours!D:D,MATCH(C248,Hours!$A:$A,0))+I248*INDEX(Hours!E:E,MATCH(C248,Hours!$A:$A,0))+J248*INDEX(Hours!F:F,MATCH(C248,Hours!$A:$A,0)))</f>
        <v>0</v>
      </c>
      <c r="S248" s="19">
        <f t="shared" si="7"/>
        <v>0</v>
      </c>
    </row>
    <row r="249" spans="1:19" x14ac:dyDescent="0.25">
      <c r="A249" s="11" t="str">
        <f>'Bldgs &amp; Rooms'!$A$8</f>
        <v>Main Bldg.</v>
      </c>
      <c r="B249" s="11">
        <f>'Bldgs &amp; Rooms'!$B$8</f>
        <v>0</v>
      </c>
      <c r="C249" s="10" t="str">
        <f>Hours!$A$27</f>
        <v>Automatic Transfer Switch (ATS) &gt; 100A</v>
      </c>
      <c r="D249" s="11">
        <f t="shared" si="6"/>
        <v>0</v>
      </c>
      <c r="E249" s="16"/>
      <c r="F249" s="17"/>
      <c r="G249" s="17"/>
      <c r="H249" s="17"/>
      <c r="I249" s="17"/>
      <c r="J249" s="17"/>
      <c r="K249" s="12"/>
      <c r="L249" s="12"/>
      <c r="M249" s="12"/>
      <c r="N249" s="12"/>
      <c r="O249" s="12"/>
      <c r="P249" s="12"/>
      <c r="Q249" s="17"/>
      <c r="R249" s="18">
        <f>IF(SUMPRODUCT((E249:Q249)*1)=0,0,E249*INDEX(Hours!M:M,MATCH(C249,Hours!$A:$A,0))+F249*INDEX(Hours!B:B,MATCH(C249,Hours!$A:$A,0))+G249*INDEX(Hours!C:C,MATCH(C249,Hours!$A:$A,0))+H249*INDEX(Hours!D:D,MATCH(C249,Hours!$A:$A,0))+I249*INDEX(Hours!E:E,MATCH(C249,Hours!$A:$A,0))+J249*INDEX(Hours!F:F,MATCH(C249,Hours!$A:$A,0)))</f>
        <v>0</v>
      </c>
      <c r="S249" s="19">
        <f t="shared" si="7"/>
        <v>0</v>
      </c>
    </row>
    <row r="250" spans="1:19" x14ac:dyDescent="0.25">
      <c r="A250" s="11" t="str">
        <f>'Bldgs &amp; Rooms'!$A$8</f>
        <v>Main Bldg.</v>
      </c>
      <c r="B250" s="11">
        <f>'Bldgs &amp; Rooms'!$B$8</f>
        <v>0</v>
      </c>
      <c r="C250" s="10" t="str">
        <f>Hours!$A$28</f>
        <v>Manual Transfer Switch (MTS) &gt; 100A</v>
      </c>
      <c r="D250" s="11">
        <f t="shared" si="6"/>
        <v>0</v>
      </c>
      <c r="E250" s="16"/>
      <c r="F250" s="17"/>
      <c r="G250" s="17"/>
      <c r="H250" s="17"/>
      <c r="I250" s="17"/>
      <c r="J250" s="17"/>
      <c r="K250" s="12"/>
      <c r="L250" s="12"/>
      <c r="M250" s="12"/>
      <c r="N250" s="12"/>
      <c r="O250" s="12"/>
      <c r="P250" s="12"/>
      <c r="Q250" s="17"/>
      <c r="R250" s="18">
        <f>IF(SUMPRODUCT((E250:Q250)*1)=0,0,E250*INDEX(Hours!M:M,MATCH(C250,Hours!$A:$A,0))+F250*INDEX(Hours!B:B,MATCH(C250,Hours!$A:$A,0))+G250*INDEX(Hours!C:C,MATCH(C250,Hours!$A:$A,0))+H250*INDEX(Hours!D:D,MATCH(C250,Hours!$A:$A,0))+I250*INDEX(Hours!E:E,MATCH(C250,Hours!$A:$A,0))+J250*INDEX(Hours!F:F,MATCH(C250,Hours!$A:$A,0)))</f>
        <v>0</v>
      </c>
      <c r="S250" s="19">
        <f t="shared" si="7"/>
        <v>0</v>
      </c>
    </row>
    <row r="251" spans="1:19" x14ac:dyDescent="0.25">
      <c r="A251" s="11" t="str">
        <f>'Bldgs &amp; Rooms'!$A$8</f>
        <v>Main Bldg.</v>
      </c>
      <c r="B251" s="11">
        <f>'Bldgs &amp; Rooms'!$B$8</f>
        <v>0</v>
      </c>
      <c r="C251" s="10" t="str">
        <f>Hours!$A$29</f>
        <v>Variable Frequency Drives (VFD) &lt; 50 HP</v>
      </c>
      <c r="D251" s="11">
        <f t="shared" si="6"/>
        <v>0</v>
      </c>
      <c r="E251" s="16"/>
      <c r="F251" s="17"/>
      <c r="G251" s="17"/>
      <c r="H251" s="17"/>
      <c r="I251" s="17"/>
      <c r="J251" s="17"/>
      <c r="K251" s="12"/>
      <c r="L251" s="12"/>
      <c r="M251" s="12"/>
      <c r="N251" s="12"/>
      <c r="O251" s="12"/>
      <c r="P251" s="12"/>
      <c r="Q251" s="17"/>
      <c r="R251" s="18">
        <f>IF(SUMPRODUCT((E251:Q251)*1)=0,0,E251*INDEX(Hours!M:M,MATCH(C251,Hours!$A:$A,0))+F251*INDEX(Hours!B:B,MATCH(C251,Hours!$A:$A,0))+G251*INDEX(Hours!C:C,MATCH(C251,Hours!$A:$A,0))+H251*INDEX(Hours!D:D,MATCH(C251,Hours!$A:$A,0))+I251*INDEX(Hours!E:E,MATCH(C251,Hours!$A:$A,0))+J251*INDEX(Hours!F:F,MATCH(C251,Hours!$A:$A,0)))</f>
        <v>0</v>
      </c>
      <c r="S251" s="19">
        <f t="shared" si="7"/>
        <v>0</v>
      </c>
    </row>
    <row r="252" spans="1:19" x14ac:dyDescent="0.25">
      <c r="A252" s="11" t="str">
        <f>'Bldgs &amp; Rooms'!$A$8</f>
        <v>Main Bldg.</v>
      </c>
      <c r="B252" s="11">
        <f>'Bldgs &amp; Rooms'!$B$8</f>
        <v>0</v>
      </c>
      <c r="C252" s="10" t="str">
        <f>Hours!$A$30</f>
        <v>Variable Frequency Drives (VFD) 51-200 HP</v>
      </c>
      <c r="D252" s="11">
        <f t="shared" si="6"/>
        <v>0</v>
      </c>
      <c r="E252" s="16"/>
      <c r="F252" s="17"/>
      <c r="G252" s="17"/>
      <c r="H252" s="17"/>
      <c r="I252" s="17"/>
      <c r="J252" s="17"/>
      <c r="K252" s="12"/>
      <c r="L252" s="12"/>
      <c r="M252" s="12"/>
      <c r="N252" s="12"/>
      <c r="O252" s="12"/>
      <c r="P252" s="12"/>
      <c r="Q252" s="17"/>
      <c r="R252" s="18">
        <f>IF(SUMPRODUCT((E252:Q252)*1)=0,0,E252*INDEX(Hours!M:M,MATCH(C252,Hours!$A:$A,0))+F252*INDEX(Hours!B:B,MATCH(C252,Hours!$A:$A,0))+G252*INDEX(Hours!C:C,MATCH(C252,Hours!$A:$A,0))+H252*INDEX(Hours!D:D,MATCH(C252,Hours!$A:$A,0))+I252*INDEX(Hours!E:E,MATCH(C252,Hours!$A:$A,0))+J252*INDEX(Hours!F:F,MATCH(C252,Hours!$A:$A,0)))</f>
        <v>0</v>
      </c>
      <c r="S252" s="19">
        <f t="shared" si="7"/>
        <v>0</v>
      </c>
    </row>
    <row r="253" spans="1:19" x14ac:dyDescent="0.25">
      <c r="A253" s="11" t="str">
        <f>'Bldgs &amp; Rooms'!$A$8</f>
        <v>Main Bldg.</v>
      </c>
      <c r="B253" s="11">
        <f>'Bldgs &amp; Rooms'!$B$8</f>
        <v>0</v>
      </c>
      <c r="C253" s="10" t="str">
        <f>Hours!$A$31</f>
        <v>Motors &lt; 50 HP</v>
      </c>
      <c r="D253" s="11">
        <f t="shared" si="6"/>
        <v>0</v>
      </c>
      <c r="E253" s="16"/>
      <c r="F253" s="17"/>
      <c r="G253" s="17"/>
      <c r="H253" s="17"/>
      <c r="I253" s="17"/>
      <c r="J253" s="17"/>
      <c r="K253" s="12"/>
      <c r="L253" s="12"/>
      <c r="M253" s="12"/>
      <c r="N253" s="12"/>
      <c r="O253" s="12"/>
      <c r="P253" s="12"/>
      <c r="Q253" s="17"/>
      <c r="R253" s="18">
        <f>IF(SUMPRODUCT((E253:Q253)*1)=0,0,E253*INDEX(Hours!M:M,MATCH(C253,Hours!$A:$A,0))+F253*INDEX(Hours!B:B,MATCH(C253,Hours!$A:$A,0))+G253*INDEX(Hours!C:C,MATCH(C253,Hours!$A:$A,0))+H253*INDEX(Hours!D:D,MATCH(C253,Hours!$A:$A,0))+I253*INDEX(Hours!E:E,MATCH(C253,Hours!$A:$A,0))+J253*INDEX(Hours!F:F,MATCH(C253,Hours!$A:$A,0)))</f>
        <v>0</v>
      </c>
      <c r="S253" s="19">
        <f t="shared" si="7"/>
        <v>0</v>
      </c>
    </row>
    <row r="254" spans="1:19" x14ac:dyDescent="0.25">
      <c r="A254" s="11" t="str">
        <f>'Bldgs &amp; Rooms'!$A$8</f>
        <v>Main Bldg.</v>
      </c>
      <c r="B254" s="11">
        <f>'Bldgs &amp; Rooms'!$B$8</f>
        <v>0</v>
      </c>
      <c r="C254" s="10" t="str">
        <f>Hours!$A$32</f>
        <v>Motors 51-200 HP</v>
      </c>
      <c r="D254" s="11">
        <f t="shared" si="6"/>
        <v>0</v>
      </c>
      <c r="E254" s="16"/>
      <c r="F254" s="17"/>
      <c r="G254" s="17"/>
      <c r="H254" s="17"/>
      <c r="I254" s="17"/>
      <c r="J254" s="17"/>
      <c r="K254" s="12"/>
      <c r="L254" s="12"/>
      <c r="M254" s="12"/>
      <c r="N254" s="12"/>
      <c r="O254" s="12"/>
      <c r="P254" s="12"/>
      <c r="Q254" s="17"/>
      <c r="R254" s="18">
        <f>IF(SUMPRODUCT((E254:Q254)*1)=0,0,E254*INDEX(Hours!M:M,MATCH(C254,Hours!$A:$A,0))+F254*INDEX(Hours!B:B,MATCH(C254,Hours!$A:$A,0))+G254*INDEX(Hours!C:C,MATCH(C254,Hours!$A:$A,0))+H254*INDEX(Hours!D:D,MATCH(C254,Hours!$A:$A,0))+I254*INDEX(Hours!E:E,MATCH(C254,Hours!$A:$A,0))+J254*INDEX(Hours!F:F,MATCH(C254,Hours!$A:$A,0)))</f>
        <v>0</v>
      </c>
      <c r="S254" s="19">
        <f t="shared" si="7"/>
        <v>0</v>
      </c>
    </row>
    <row r="255" spans="1:19" x14ac:dyDescent="0.25">
      <c r="A255" s="11" t="str">
        <f>'Bldgs &amp; Rooms'!$A$8</f>
        <v>Main Bldg.</v>
      </c>
      <c r="B255" s="11">
        <f>'Bldgs &amp; Rooms'!$B$8</f>
        <v>0</v>
      </c>
      <c r="C255" s="10" t="str">
        <f>Hours!$A$33</f>
        <v>Motors 201-500 HP</v>
      </c>
      <c r="D255" s="11">
        <f t="shared" si="6"/>
        <v>0</v>
      </c>
      <c r="E255" s="16"/>
      <c r="F255" s="17"/>
      <c r="G255" s="17"/>
      <c r="H255" s="17"/>
      <c r="I255" s="17"/>
      <c r="J255" s="17"/>
      <c r="K255" s="12"/>
      <c r="L255" s="12"/>
      <c r="M255" s="12"/>
      <c r="N255" s="12"/>
      <c r="O255" s="12"/>
      <c r="P255" s="12"/>
      <c r="Q255" s="17"/>
      <c r="R255" s="18">
        <f>IF(SUMPRODUCT((E255:Q255)*1)=0,0,E255*INDEX(Hours!M:M,MATCH(C255,Hours!$A:$A,0))+F255*INDEX(Hours!B:B,MATCH(C255,Hours!$A:$A,0))+G255*INDEX(Hours!C:C,MATCH(C255,Hours!$A:$A,0))+H255*INDEX(Hours!D:D,MATCH(C255,Hours!$A:$A,0))+I255*INDEX(Hours!E:E,MATCH(C255,Hours!$A:$A,0))+J255*INDEX(Hours!F:F,MATCH(C255,Hours!$A:$A,0)))</f>
        <v>0</v>
      </c>
      <c r="S255" s="19">
        <f t="shared" si="7"/>
        <v>0</v>
      </c>
    </row>
    <row r="256" spans="1:19" x14ac:dyDescent="0.25">
      <c r="A256" s="11" t="str">
        <f>'Bldgs &amp; Rooms'!$A$8</f>
        <v>Main Bldg.</v>
      </c>
      <c r="B256" s="11">
        <f>'Bldgs &amp; Rooms'!$B$8</f>
        <v>0</v>
      </c>
      <c r="C256" s="10" t="str">
        <f>Hours!$A$34</f>
        <v>Compressed Air Equipment</v>
      </c>
      <c r="D256" s="11">
        <f t="shared" si="6"/>
        <v>0</v>
      </c>
      <c r="E256" s="16"/>
      <c r="F256" s="17"/>
      <c r="G256" s="17"/>
      <c r="H256" s="17"/>
      <c r="I256" s="17"/>
      <c r="J256" s="17"/>
      <c r="K256" s="12"/>
      <c r="L256" s="12"/>
      <c r="M256" s="12"/>
      <c r="N256" s="12"/>
      <c r="O256" s="12"/>
      <c r="P256" s="12"/>
      <c r="Q256" s="17"/>
      <c r="R256" s="18">
        <f>IF(SUMPRODUCT((E256:Q256)*1)=0,0,E256*INDEX(Hours!M:M,MATCH(C256,Hours!$A:$A,0))+F256*INDEX(Hours!B:B,MATCH(C256,Hours!$A:$A,0))+G256*INDEX(Hours!C:C,MATCH(C256,Hours!$A:$A,0))+H256*INDEX(Hours!D:D,MATCH(C256,Hours!$A:$A,0))+I256*INDEX(Hours!E:E,MATCH(C256,Hours!$A:$A,0))+J256*INDEX(Hours!F:F,MATCH(C256,Hours!$A:$A,0)))</f>
        <v>0</v>
      </c>
      <c r="S256" s="19">
        <f t="shared" si="7"/>
        <v>0</v>
      </c>
    </row>
    <row r="257" spans="1:19" x14ac:dyDescent="0.25">
      <c r="A257" s="11" t="str">
        <f>'Bldgs &amp; Rooms'!$A$8</f>
        <v>Main Bldg.</v>
      </c>
      <c r="B257" s="11">
        <f>'Bldgs &amp; Rooms'!$B$8</f>
        <v>0</v>
      </c>
      <c r="C257" s="10" t="str">
        <f>Hours!$A$35</f>
        <v>HVAC Equipment (Large)</v>
      </c>
      <c r="D257" s="11">
        <f t="shared" si="6"/>
        <v>0</v>
      </c>
      <c r="E257" s="16"/>
      <c r="F257" s="17"/>
      <c r="G257" s="17"/>
      <c r="H257" s="17"/>
      <c r="I257" s="17"/>
      <c r="J257" s="17"/>
      <c r="K257" s="12"/>
      <c r="L257" s="12"/>
      <c r="M257" s="12"/>
      <c r="N257" s="12"/>
      <c r="O257" s="12"/>
      <c r="P257" s="12"/>
      <c r="Q257" s="17"/>
      <c r="R257" s="18">
        <f>IF(SUMPRODUCT((E257:Q257)*1)=0,0,E257*INDEX(Hours!M:M,MATCH(C257,Hours!$A:$A,0))+F257*INDEX(Hours!B:B,MATCH(C257,Hours!$A:$A,0))+G257*INDEX(Hours!C:C,MATCH(C257,Hours!$A:$A,0))+H257*INDEX(Hours!D:D,MATCH(C257,Hours!$A:$A,0))+I257*INDEX(Hours!E:E,MATCH(C257,Hours!$A:$A,0))+J257*INDEX(Hours!F:F,MATCH(C257,Hours!$A:$A,0)))</f>
        <v>0</v>
      </c>
      <c r="S257" s="19">
        <f t="shared" si="7"/>
        <v>0</v>
      </c>
    </row>
    <row r="258" spans="1:19" x14ac:dyDescent="0.25">
      <c r="A258" s="11" t="str">
        <f>'Bldgs &amp; Rooms'!$A$8</f>
        <v>Main Bldg.</v>
      </c>
      <c r="B258" s="11">
        <f>'Bldgs &amp; Rooms'!$B$8</f>
        <v>0</v>
      </c>
      <c r="C258" s="10" t="str">
        <f>Hours!$A$36</f>
        <v>HVAC Equipment (Small)</v>
      </c>
      <c r="D258" s="11">
        <f t="shared" ref="D258:D321" si="8">MAX(E258+F258,G258,H258,I258,J258,K258,L258,M258,N258,O258,P258,Q258)</f>
        <v>0</v>
      </c>
      <c r="E258" s="16"/>
      <c r="F258" s="17"/>
      <c r="G258" s="17"/>
      <c r="H258" s="17"/>
      <c r="I258" s="17"/>
      <c r="J258" s="17"/>
      <c r="K258" s="12"/>
      <c r="L258" s="12"/>
      <c r="M258" s="12"/>
      <c r="N258" s="12"/>
      <c r="O258" s="12"/>
      <c r="P258" s="12"/>
      <c r="Q258" s="17"/>
      <c r="R258" s="18">
        <f>IF(SUMPRODUCT((E258:Q258)*1)=0,0,E258*INDEX(Hours!M:M,MATCH(C258,Hours!$A:$A,0))+F258*INDEX(Hours!B:B,MATCH(C258,Hours!$A:$A,0))+G258*INDEX(Hours!C:C,MATCH(C258,Hours!$A:$A,0))+H258*INDEX(Hours!D:D,MATCH(C258,Hours!$A:$A,0))+I258*INDEX(Hours!E:E,MATCH(C258,Hours!$A:$A,0))+J258*INDEX(Hours!F:F,MATCH(C258,Hours!$A:$A,0)))</f>
        <v>0</v>
      </c>
      <c r="S258" s="19">
        <f t="shared" ref="S258:S321" si="9">MAX(E258+F258,G258,H258,I258,J258,K258,L258,M258,N258,O258,P258,Q258)</f>
        <v>0</v>
      </c>
    </row>
    <row r="259" spans="1:19" x14ac:dyDescent="0.25">
      <c r="A259" s="11" t="str">
        <f>'Bldgs &amp; Rooms'!$A$8</f>
        <v>Main Bldg.</v>
      </c>
      <c r="B259" s="11">
        <f>'Bldgs &amp; Rooms'!$B$8</f>
        <v>0</v>
      </c>
      <c r="C259" s="10" t="str">
        <f>Hours!$A$37</f>
        <v>Uninterruptible Power Supply (UPS) &lt; 50kVA</v>
      </c>
      <c r="D259" s="11">
        <f t="shared" si="8"/>
        <v>0</v>
      </c>
      <c r="E259" s="16"/>
      <c r="F259" s="17"/>
      <c r="G259" s="17"/>
      <c r="H259" s="17"/>
      <c r="I259" s="17"/>
      <c r="J259" s="17"/>
      <c r="K259" s="12"/>
      <c r="L259" s="12"/>
      <c r="M259" s="12"/>
      <c r="N259" s="12"/>
      <c r="O259" s="12"/>
      <c r="P259" s="12"/>
      <c r="Q259" s="17"/>
      <c r="R259" s="18">
        <f>IF(SUMPRODUCT((E259:Q259)*1)=0,0,E259*INDEX(Hours!M:M,MATCH(C259,Hours!$A:$A,0))+F259*INDEX(Hours!B:B,MATCH(C259,Hours!$A:$A,0))+G259*INDEX(Hours!C:C,MATCH(C259,Hours!$A:$A,0))+H259*INDEX(Hours!D:D,MATCH(C259,Hours!$A:$A,0))+I259*INDEX(Hours!E:E,MATCH(C259,Hours!$A:$A,0))+J259*INDEX(Hours!F:F,MATCH(C259,Hours!$A:$A,0)))</f>
        <v>0</v>
      </c>
      <c r="S259" s="19">
        <f t="shared" si="9"/>
        <v>0</v>
      </c>
    </row>
    <row r="260" spans="1:19" x14ac:dyDescent="0.25">
      <c r="A260" s="11" t="str">
        <f>'Bldgs &amp; Rooms'!$A$8</f>
        <v>Main Bldg.</v>
      </c>
      <c r="B260" s="11">
        <f>'Bldgs &amp; Rooms'!$B$8</f>
        <v>0</v>
      </c>
      <c r="C260" s="10" t="str">
        <f>Hours!$A$38</f>
        <v>Uninterruptible Power Supply (UPS) &gt; 50kVA</v>
      </c>
      <c r="D260" s="11">
        <f t="shared" si="8"/>
        <v>0</v>
      </c>
      <c r="E260" s="16"/>
      <c r="F260" s="17"/>
      <c r="G260" s="17"/>
      <c r="H260" s="17"/>
      <c r="I260" s="17"/>
      <c r="J260" s="17"/>
      <c r="K260" s="12"/>
      <c r="L260" s="12"/>
      <c r="M260" s="12"/>
      <c r="N260" s="12"/>
      <c r="O260" s="12"/>
      <c r="P260" s="12"/>
      <c r="Q260" s="17"/>
      <c r="R260" s="18">
        <f>IF(SUMPRODUCT((E260:Q260)*1)=0,0,E260*INDEX(Hours!M:M,MATCH(C260,Hours!$A:$A,0))+F260*INDEX(Hours!B:B,MATCH(C260,Hours!$A:$A,0))+G260*INDEX(Hours!C:C,MATCH(C260,Hours!$A:$A,0))+H260*INDEX(Hours!D:D,MATCH(C260,Hours!$A:$A,0))+I260*INDEX(Hours!E:E,MATCH(C260,Hours!$A:$A,0))+J260*INDEX(Hours!F:F,MATCH(C260,Hours!$A:$A,0)))</f>
        <v>0</v>
      </c>
      <c r="S260" s="19">
        <f t="shared" si="9"/>
        <v>0</v>
      </c>
    </row>
    <row r="261" spans="1:19" x14ac:dyDescent="0.25">
      <c r="A261" s="15" t="str">
        <f>'Bldgs &amp; Rooms'!$A$9</f>
        <v>Main Bldg.</v>
      </c>
      <c r="B261" s="15">
        <f>'Bldgs &amp; Rooms'!$B$9</f>
        <v>0</v>
      </c>
      <c r="C261" s="14" t="str">
        <f>Hours!$A$2</f>
        <v>Switchgear - Incoming Main Service (Per Section)</v>
      </c>
      <c r="D261" s="15">
        <f t="shared" si="8"/>
        <v>0</v>
      </c>
      <c r="E261" s="16"/>
      <c r="F261" s="17"/>
      <c r="G261" s="17"/>
      <c r="H261" s="17"/>
      <c r="I261" s="17"/>
      <c r="J261" s="17"/>
      <c r="K261" s="17"/>
      <c r="L261" s="17"/>
      <c r="M261" s="12"/>
      <c r="N261" s="12"/>
      <c r="O261" s="17"/>
      <c r="P261" s="12"/>
      <c r="Q261" s="17"/>
      <c r="R261" s="18">
        <f>IF(SUMPRODUCT((E261:Q261)*1)=0,0,E261*INDEX(Hours!M:M,MATCH(C261,Hours!$A:$A,0))+F261*INDEX(Hours!B:B,MATCH(C261,Hours!$A:$A,0))+G261*INDEX(Hours!C:C,MATCH(C261,Hours!$A:$A,0))+H261*INDEX(Hours!D:D,MATCH(C261,Hours!$A:$A,0))+I261*INDEX(Hours!E:E,MATCH(C261,Hours!$A:$A,0))+J261*INDEX(Hours!F:F,MATCH(C261,Hours!$A:$A,0))+K261*INDEX(Hours!G:G,MATCH(C261,Hours!$A:$A,0))+L261*INDEX(Hours!H:H,MATCH(C261,Hours!$A:$A,0))+O261*INDEX(Hours!K:K,MATCH(C261,Hours!$A:$A,0)))</f>
        <v>0</v>
      </c>
      <c r="S261" s="19">
        <f t="shared" si="9"/>
        <v>0</v>
      </c>
    </row>
    <row r="262" spans="1:19" x14ac:dyDescent="0.25">
      <c r="A262" s="15" t="str">
        <f>'Bldgs &amp; Rooms'!$A$9</f>
        <v>Main Bldg.</v>
      </c>
      <c r="B262" s="15">
        <f>'Bldgs &amp; Rooms'!$B$9</f>
        <v>0</v>
      </c>
      <c r="C262" s="14" t="str">
        <f>Hours!$A$3</f>
        <v xml:space="preserve">  Switchgear Insulated Case Breakers (Bus Mounted)</v>
      </c>
      <c r="D262" s="15">
        <f t="shared" si="8"/>
        <v>0</v>
      </c>
      <c r="E262" s="16"/>
      <c r="F262" s="17"/>
      <c r="G262" s="17"/>
      <c r="H262" s="17"/>
      <c r="I262" s="17"/>
      <c r="J262" s="17"/>
      <c r="K262" s="17"/>
      <c r="L262" s="12"/>
      <c r="M262" s="12"/>
      <c r="N262" s="12"/>
      <c r="O262" s="12"/>
      <c r="P262" s="12"/>
      <c r="Q262" s="17"/>
      <c r="R262" s="18">
        <f>IF(SUMPRODUCT((E262:Q262)*1)=0,0,E262*INDEX(Hours!M:M,MATCH(C262,Hours!$A:$A,0))+F262*INDEX(Hours!B:B,MATCH(C262,Hours!$A:$A,0))+G262*INDEX(Hours!C:C,MATCH(C262,Hours!$A:$A,0))+H262*INDEX(Hours!D:D,MATCH(C262,Hours!$A:$A,0))+I262*INDEX(Hours!E:E,MATCH(C262,Hours!$A:$A,0))+J262*INDEX(Hours!F:F,MATCH(C262,Hours!$A:$A,0))+K262*INDEX(Hours!G:G,MATCH(C262,Hours!$A:$A,0)))</f>
        <v>0</v>
      </c>
      <c r="S262" s="19">
        <f t="shared" si="9"/>
        <v>0</v>
      </c>
    </row>
    <row r="263" spans="1:19" x14ac:dyDescent="0.25">
      <c r="A263" s="15" t="str">
        <f>'Bldgs &amp; Rooms'!$A$9</f>
        <v>Main Bldg.</v>
      </c>
      <c r="B263" s="15">
        <f>'Bldgs &amp; Rooms'!$B$9</f>
        <v>0</v>
      </c>
      <c r="C263" s="14" t="str">
        <f>Hours!$A$4</f>
        <v xml:space="preserve">  SwitchGear Drawout Breakers</v>
      </c>
      <c r="D263" s="15">
        <f t="shared" si="8"/>
        <v>0</v>
      </c>
      <c r="E263" s="16"/>
      <c r="F263" s="17"/>
      <c r="G263" s="17"/>
      <c r="H263" s="17"/>
      <c r="I263" s="17"/>
      <c r="J263" s="17"/>
      <c r="K263" s="12"/>
      <c r="L263" s="17"/>
      <c r="M263" s="12"/>
      <c r="N263" s="12"/>
      <c r="O263" s="12"/>
      <c r="P263" s="12"/>
      <c r="Q263" s="17"/>
      <c r="R263" s="18">
        <f>IF(SUMPRODUCT((E263:Q263)*1)=0,0,E263*INDEX(Hours!M:M,MATCH(C263,Hours!$A:$A,0))+F263*INDEX(Hours!B:B,MATCH(C263,Hours!$A:$A,0))+G263*INDEX(Hours!C:C,MATCH(C263,Hours!$A:$A,0))+H263*INDEX(Hours!D:D,MATCH(C263,Hours!$A:$A,0))+I263*INDEX(Hours!E:E,MATCH(C263,Hours!$A:$A,0))+J263*INDEX(Hours!F:F,MATCH(C263,Hours!$A:$A,0))+L263*INDEX(Hours!H:H,MATCH(C263,Hours!$A:$A,0)))</f>
        <v>0</v>
      </c>
      <c r="S263" s="19">
        <f t="shared" si="9"/>
        <v>0</v>
      </c>
    </row>
    <row r="264" spans="1:19" x14ac:dyDescent="0.25">
      <c r="A264" s="15" t="str">
        <f>'Bldgs &amp; Rooms'!$A$9</f>
        <v>Main Bldg.</v>
      </c>
      <c r="B264" s="15">
        <f>'Bldgs &amp; Rooms'!$B$9</f>
        <v>0</v>
      </c>
      <c r="C264" s="14" t="str">
        <f>Hours!$A$5</f>
        <v>Distribution Switchboard Multi Cover (Per Section)</v>
      </c>
      <c r="D264" s="15">
        <f t="shared" si="8"/>
        <v>0</v>
      </c>
      <c r="E264" s="16"/>
      <c r="F264" s="17"/>
      <c r="G264" s="17"/>
      <c r="H264" s="17"/>
      <c r="I264" s="17"/>
      <c r="J264" s="17"/>
      <c r="K264" s="17"/>
      <c r="L264" s="12"/>
      <c r="M264" s="12"/>
      <c r="N264" s="12"/>
      <c r="O264" s="17"/>
      <c r="P264" s="12"/>
      <c r="Q264" s="17"/>
      <c r="R264" s="18">
        <f>IF(SUMPRODUCT((E264:Q264)*1)=0,0,E264*INDEX(Hours!M:M,MATCH(C264,Hours!$A:$A,0))+F264*INDEX(Hours!B:B,MATCH(C264,Hours!$A:$A,0))+G264*INDEX(Hours!C:C,MATCH(C264,Hours!$A:$A,0))+H264*INDEX(Hours!D:D,MATCH(C264,Hours!$A:$A,0))+I264*INDEX(Hours!E:E,MATCH(C264,Hours!$A:$A,0))+J264*INDEX(Hours!F:F,MATCH(C264,Hours!$A:$A,0))+K264*INDEX(Hours!G:G,MATCH(C264,Hours!$A:$A,0))+O264*INDEX(Hours!K:K,MATCH(C264,Hours!$A:$A,0)))</f>
        <v>0</v>
      </c>
      <c r="S264" s="19">
        <f t="shared" si="9"/>
        <v>0</v>
      </c>
    </row>
    <row r="265" spans="1:19" x14ac:dyDescent="0.25">
      <c r="A265" s="15" t="str">
        <f>'Bldgs &amp; Rooms'!$A$9</f>
        <v>Main Bldg.</v>
      </c>
      <c r="B265" s="15">
        <f>'Bldgs &amp; Rooms'!$B$9</f>
        <v>0</v>
      </c>
      <c r="C265" s="14" t="str">
        <f>Hours!$A$6</f>
        <v xml:space="preserve">  Switchboard Disconnects</v>
      </c>
      <c r="D265" s="15">
        <f t="shared" si="8"/>
        <v>0</v>
      </c>
      <c r="E265" s="16"/>
      <c r="F265" s="17"/>
      <c r="G265" s="17"/>
      <c r="H265" s="17"/>
      <c r="I265" s="17"/>
      <c r="J265" s="17"/>
      <c r="K265" s="12"/>
      <c r="L265" s="12"/>
      <c r="M265" s="12"/>
      <c r="N265" s="12"/>
      <c r="O265" s="12"/>
      <c r="P265" s="12"/>
      <c r="Q265" s="17"/>
      <c r="R265" s="18">
        <f>IF(SUMPRODUCT((E265:Q265)*1)=0,0,E265*INDEX(Hours!M:M,MATCH(C265,Hours!$A:$A,0))+F265*INDEX(Hours!B:B,MATCH(C265,Hours!$A:$A,0))+G265*INDEX(Hours!C:C,MATCH(C265,Hours!$A:$A,0))+H265*INDEX(Hours!D:D,MATCH(C265,Hours!$A:$A,0))+I265*INDEX(Hours!E:E,MATCH(C265,Hours!$A:$A,0))+J265*INDEX(Hours!F:F,MATCH(C265,Hours!$A:$A,0)))</f>
        <v>0</v>
      </c>
      <c r="S265" s="19">
        <f t="shared" si="9"/>
        <v>0</v>
      </c>
    </row>
    <row r="266" spans="1:19" x14ac:dyDescent="0.25">
      <c r="A266" s="15" t="str">
        <f>'Bldgs &amp; Rooms'!$A$9</f>
        <v>Main Bldg.</v>
      </c>
      <c r="B266" s="15">
        <f>'Bldgs &amp; Rooms'!$B$9</f>
        <v>0</v>
      </c>
      <c r="C266" s="14" t="str">
        <f>Hours!$A$7</f>
        <v xml:space="preserve">  Switchboard Molded Case Breakers</v>
      </c>
      <c r="D266" s="15">
        <f t="shared" si="8"/>
        <v>0</v>
      </c>
      <c r="E266" s="16"/>
      <c r="F266" s="17"/>
      <c r="G266" s="17"/>
      <c r="H266" s="17"/>
      <c r="I266" s="17"/>
      <c r="J266" s="17"/>
      <c r="K266" s="17"/>
      <c r="L266" s="12"/>
      <c r="M266" s="12"/>
      <c r="N266" s="12"/>
      <c r="O266" s="12"/>
      <c r="P266" s="12"/>
      <c r="Q266" s="17"/>
      <c r="R266" s="18">
        <f>IF(SUMPRODUCT((E266:Q266)*1)=0,0,E266*INDEX(Hours!M:M,MATCH(C266,Hours!$A:$A,0))+F266*INDEX(Hours!B:B,MATCH(C266,Hours!$A:$A,0))+G266*INDEX(Hours!C:C,MATCH(C266,Hours!$A:$A,0))+H266*INDEX(Hours!D:D,MATCH(C266,Hours!$A:$A,0))+I266*INDEX(Hours!E:E,MATCH(C266,Hours!$A:$A,0))+J266*INDEX(Hours!F:F,MATCH(C266,Hours!$A:$A,0))+K266*INDEX(Hours!G:G,MATCH(C266,Hours!$A:$A,0)))</f>
        <v>0</v>
      </c>
      <c r="S266" s="19">
        <f t="shared" si="9"/>
        <v>0</v>
      </c>
    </row>
    <row r="267" spans="1:19" x14ac:dyDescent="0.25">
      <c r="A267" s="15" t="str">
        <f>'Bldgs &amp; Rooms'!$A$9</f>
        <v>Main Bldg.</v>
      </c>
      <c r="B267" s="15">
        <f>'Bldgs &amp; Rooms'!$B$9</f>
        <v>0</v>
      </c>
      <c r="C267" s="14" t="str">
        <f>Hours!$A$8</f>
        <v>Panelboard-Single Cover &gt; 400A (Distribution Panel)</v>
      </c>
      <c r="D267" s="15">
        <f t="shared" si="8"/>
        <v>0</v>
      </c>
      <c r="E267" s="16"/>
      <c r="F267" s="17"/>
      <c r="G267" s="17"/>
      <c r="H267" s="17"/>
      <c r="I267" s="17"/>
      <c r="J267" s="17"/>
      <c r="K267" s="17"/>
      <c r="L267" s="12"/>
      <c r="M267" s="12"/>
      <c r="N267" s="12"/>
      <c r="O267" s="17"/>
      <c r="P267" s="12"/>
      <c r="Q267" s="17"/>
      <c r="R267" s="18">
        <f>IF(SUMPRODUCT((E267:Q267)*1)=0,0,E267*INDEX(Hours!M:M,MATCH(C267,Hours!$A:$A,0))+F267*INDEX(Hours!B:B,MATCH(C267,Hours!$A:$A,0))+G267*INDEX(Hours!C:C,MATCH(C267,Hours!$A:$A,0))+H267*INDEX(Hours!D:D,MATCH(C267,Hours!$A:$A,0))+I267*INDEX(Hours!E:E,MATCH(C267,Hours!$A:$A,0))+J267*INDEX(Hours!F:F,MATCH(C267,Hours!$A:$A,0))+K267*INDEX(Hours!G:G,MATCH(C267,Hours!$A:$A,0))+O267*INDEX(Hours!K:K,MATCH(C267,Hours!$A:$A,0)))</f>
        <v>0</v>
      </c>
      <c r="S267" s="19">
        <f t="shared" si="9"/>
        <v>0</v>
      </c>
    </row>
    <row r="268" spans="1:19" x14ac:dyDescent="0.25">
      <c r="A268" s="15" t="str">
        <f>'Bldgs &amp; Rooms'!$A$9</f>
        <v>Main Bldg.</v>
      </c>
      <c r="B268" s="15">
        <f>'Bldgs &amp; Rooms'!$B$9</f>
        <v>0</v>
      </c>
      <c r="C268" s="14" t="str">
        <f>Hours!$A$9</f>
        <v>Panelboard-Single Cover &lt; 400A (Branch Ckt Panel)</v>
      </c>
      <c r="D268" s="15">
        <f t="shared" si="8"/>
        <v>0</v>
      </c>
      <c r="E268" s="16"/>
      <c r="F268" s="17"/>
      <c r="G268" s="17"/>
      <c r="H268" s="17"/>
      <c r="I268" s="17"/>
      <c r="J268" s="17"/>
      <c r="K268" s="12"/>
      <c r="L268" s="12"/>
      <c r="M268" s="12"/>
      <c r="N268" s="12"/>
      <c r="O268" s="17"/>
      <c r="P268" s="12"/>
      <c r="Q268" s="17"/>
      <c r="R268" s="18">
        <f>IF(SUMPRODUCT((E268:Q268)*1)=0,0,E268*INDEX(Hours!M:M,MATCH(C268,Hours!$A:$A,0))+F268*INDEX(Hours!B:B,MATCH(C268,Hours!$A:$A,0))+G268*INDEX(Hours!C:C,MATCH(C268,Hours!$A:$A,0))+H268*INDEX(Hours!D:D,MATCH(C268,Hours!$A:$A,0))+I268*INDEX(Hours!E:E,MATCH(C268,Hours!$A:$A,0))+J268*INDEX(Hours!F:F,MATCH(C268,Hours!$A:$A,0))+O268*INDEX(Hours!K:K,MATCH(C268,Hours!$A:$A,0)))</f>
        <v>0</v>
      </c>
      <c r="S268" s="19">
        <f t="shared" si="9"/>
        <v>0</v>
      </c>
    </row>
    <row r="269" spans="1:19" x14ac:dyDescent="0.25">
      <c r="A269" s="15" t="str">
        <f>'Bldgs &amp; Rooms'!$A$9</f>
        <v>Main Bldg.</v>
      </c>
      <c r="B269" s="15">
        <f>'Bldgs &amp; Rooms'!$B$9</f>
        <v>0</v>
      </c>
      <c r="C269" s="14" t="str">
        <f>Hours!$A$10</f>
        <v>Motor Control Center (MCC-Per Vertical Section)</v>
      </c>
      <c r="D269" s="15">
        <f t="shared" si="8"/>
        <v>0</v>
      </c>
      <c r="E269" s="16"/>
      <c r="F269" s="17"/>
      <c r="G269" s="17"/>
      <c r="H269" s="17"/>
      <c r="I269" s="17"/>
      <c r="J269" s="17"/>
      <c r="K269" s="12"/>
      <c r="L269" s="12"/>
      <c r="M269" s="12"/>
      <c r="N269" s="12"/>
      <c r="O269" s="17"/>
      <c r="P269" s="12"/>
      <c r="Q269" s="17"/>
      <c r="R269" s="18">
        <f>IF(SUMPRODUCT((E269:Q269)*1)=0,0,E269*INDEX(Hours!M:M,MATCH(C269,Hours!$A:$A,0))+F269*INDEX(Hours!B:B,MATCH(C269,Hours!$A:$A,0))+G269*INDEX(Hours!C:C,MATCH(C269,Hours!$A:$A,0))+H269*INDEX(Hours!D:D,MATCH(C269,Hours!$A:$A,0))+I269*INDEX(Hours!E:E,MATCH(C269,Hours!$A:$A,0))+J269*INDEX(Hours!F:F,MATCH(C269,Hours!$A:$A,0))+O269*INDEX(Hours!K:K,MATCH(C269,Hours!$A:$A,0)))</f>
        <v>0</v>
      </c>
      <c r="S269" s="19">
        <f t="shared" si="9"/>
        <v>0</v>
      </c>
    </row>
    <row r="270" spans="1:19" x14ac:dyDescent="0.25">
      <c r="A270" s="15" t="str">
        <f>'Bldgs &amp; Rooms'!$A$9</f>
        <v>Main Bldg.</v>
      </c>
      <c r="B270" s="15">
        <f>'Bldgs &amp; Rooms'!$B$9</f>
        <v>0</v>
      </c>
      <c r="C270" s="14" t="str">
        <f>Hours!$A$11</f>
        <v xml:space="preserve">  MCC: Combination Motor Starters</v>
      </c>
      <c r="D270" s="15">
        <f t="shared" si="8"/>
        <v>0</v>
      </c>
      <c r="E270" s="16"/>
      <c r="F270" s="17"/>
      <c r="G270" s="17"/>
      <c r="H270" s="17"/>
      <c r="I270" s="17"/>
      <c r="J270" s="17"/>
      <c r="K270" s="17"/>
      <c r="L270" s="12"/>
      <c r="M270" s="12"/>
      <c r="N270" s="12"/>
      <c r="O270" s="17"/>
      <c r="P270" s="12"/>
      <c r="Q270" s="17"/>
      <c r="R270" s="18">
        <f>IF(SUMPRODUCT((E270:Q270)*1)=0,0,E270*INDEX(Hours!M:M,MATCH(C270,Hours!$A:$A,0))+F270*INDEX(Hours!B:B,MATCH(C270,Hours!$A:$A,0))+G270*INDEX(Hours!C:C,MATCH(C270,Hours!$A:$A,0))+H270*INDEX(Hours!D:D,MATCH(C270,Hours!$A:$A,0))+I270*INDEX(Hours!E:E,MATCH(C270,Hours!$A:$A,0))+J270*INDEX(Hours!F:F,MATCH(C270,Hours!$A:$A,0))+K270*INDEX(Hours!G:G,MATCH(C270,Hours!$A:$A,0))+O270*INDEX(Hours!K:K,MATCH(C270,Hours!$A:$A,0)))</f>
        <v>0</v>
      </c>
      <c r="S270" s="19">
        <f t="shared" si="9"/>
        <v>0</v>
      </c>
    </row>
    <row r="271" spans="1:19" x14ac:dyDescent="0.25">
      <c r="A271" s="15" t="str">
        <f>'Bldgs &amp; Rooms'!$A$9</f>
        <v>Main Bldg.</v>
      </c>
      <c r="B271" s="15">
        <f>'Bldgs &amp; Rooms'!$B$9</f>
        <v>0</v>
      </c>
      <c r="C271" s="14" t="str">
        <f>Hours!$A$12</f>
        <v xml:space="preserve">  MCC: Molded Case Breaker</v>
      </c>
      <c r="D271" s="15">
        <f t="shared" si="8"/>
        <v>0</v>
      </c>
      <c r="E271" s="16"/>
      <c r="F271" s="17"/>
      <c r="G271" s="17"/>
      <c r="H271" s="17"/>
      <c r="I271" s="17"/>
      <c r="J271" s="17"/>
      <c r="K271" s="17"/>
      <c r="L271" s="12"/>
      <c r="M271" s="12"/>
      <c r="N271" s="12"/>
      <c r="O271" s="12"/>
      <c r="P271" s="12"/>
      <c r="Q271" s="17"/>
      <c r="R271" s="18">
        <f>IF(SUMPRODUCT((E271:Q271)*1)=0,0,E271*INDEX(Hours!M:M,MATCH(C271,Hours!$A:$A,0))+F271*INDEX(Hours!B:B,MATCH(C271,Hours!$A:$A,0))+G271*INDEX(Hours!C:C,MATCH(C271,Hours!$A:$A,0))+H271*INDEX(Hours!D:D,MATCH(C271,Hours!$A:$A,0))+I271*INDEX(Hours!E:E,MATCH(C271,Hours!$A:$A,0))+J271*INDEX(Hours!F:F,MATCH(C271,Hours!$A:$A,0))+K271*INDEX(Hours!G:G,MATCH(C271,Hours!$A:$A,0)))</f>
        <v>0</v>
      </c>
      <c r="S271" s="19">
        <f t="shared" si="9"/>
        <v>0</v>
      </c>
    </row>
    <row r="272" spans="1:19" x14ac:dyDescent="0.25">
      <c r="A272" s="15" t="str">
        <f>'Bldgs &amp; Rooms'!$A$9</f>
        <v>Main Bldg.</v>
      </c>
      <c r="B272" s="15">
        <f>'Bldgs &amp; Rooms'!$B$9</f>
        <v>0</v>
      </c>
      <c r="C272" s="14" t="str">
        <f>Hours!$A$13</f>
        <v xml:space="preserve">  MCC: Individual Disconnect Switch</v>
      </c>
      <c r="D272" s="15">
        <f t="shared" si="8"/>
        <v>0</v>
      </c>
      <c r="E272" s="16"/>
      <c r="F272" s="17"/>
      <c r="G272" s="17"/>
      <c r="H272" s="17"/>
      <c r="I272" s="17"/>
      <c r="J272" s="17"/>
      <c r="K272" s="12"/>
      <c r="L272" s="12"/>
      <c r="M272" s="12"/>
      <c r="N272" s="12"/>
      <c r="O272" s="12"/>
      <c r="P272" s="12"/>
      <c r="Q272" s="17"/>
      <c r="R272" s="18">
        <f>IF(SUMPRODUCT((E272:Q272)*1)=0,0,E272*INDEX(Hours!M:M,MATCH(C272,Hours!$A:$A,0))+F272*INDEX(Hours!B:B,MATCH(C272,Hours!$A:$A,0))+G272*INDEX(Hours!C:C,MATCH(C272,Hours!$A:$A,0))+H272*INDEX(Hours!D:D,MATCH(C272,Hours!$A:$A,0))+I272*INDEX(Hours!E:E,MATCH(C272,Hours!$A:$A,0))+J272*INDEX(Hours!F:F,MATCH(C272,Hours!$A:$A,0)))</f>
        <v>0</v>
      </c>
      <c r="S272" s="19">
        <f t="shared" si="9"/>
        <v>0</v>
      </c>
    </row>
    <row r="273" spans="1:19" x14ac:dyDescent="0.25">
      <c r="A273" s="15" t="str">
        <f>'Bldgs &amp; Rooms'!$A$9</f>
        <v>Main Bldg.</v>
      </c>
      <c r="B273" s="15">
        <f>'Bldgs &amp; Rooms'!$B$9</f>
        <v>0</v>
      </c>
      <c r="C273" s="14" t="str">
        <f>Hours!$A$14</f>
        <v>Motor Control Panel (MCP)</v>
      </c>
      <c r="D273" s="15">
        <f t="shared" si="8"/>
        <v>0</v>
      </c>
      <c r="E273" s="16"/>
      <c r="F273" s="17"/>
      <c r="G273" s="17"/>
      <c r="H273" s="17"/>
      <c r="I273" s="17"/>
      <c r="J273" s="17"/>
      <c r="K273" s="12"/>
      <c r="L273" s="12"/>
      <c r="M273" s="12"/>
      <c r="N273" s="12"/>
      <c r="O273" s="17"/>
      <c r="P273" s="12"/>
      <c r="Q273" s="17"/>
      <c r="R273" s="18">
        <f>IF(SUMPRODUCT((E273:Q273)*1)=0,0,E273*INDEX(Hours!M:M,MATCH(C273,Hours!$A:$A,0))+F273*INDEX(Hours!B:B,MATCH(C273,Hours!$A:$A,0))+G273*INDEX(Hours!C:C,MATCH(C273,Hours!$A:$A,0))+H273*INDEX(Hours!D:D,MATCH(C273,Hours!$A:$A,0))+I273*INDEX(Hours!E:E,MATCH(C273,Hours!$A:$A,0))+J273*INDEX(Hours!F:F,MATCH(C273,Hours!$A:$A,0))+O273*INDEX(Hours!K:K,MATCH(C273,Hours!$A:$A,0)))</f>
        <v>0</v>
      </c>
      <c r="S273" s="19">
        <f t="shared" si="9"/>
        <v>0</v>
      </c>
    </row>
    <row r="274" spans="1:19" x14ac:dyDescent="0.25">
      <c r="A274" s="15" t="str">
        <f>'Bldgs &amp; Rooms'!$A$9</f>
        <v>Main Bldg.</v>
      </c>
      <c r="B274" s="15">
        <f>'Bldgs &amp; Rooms'!$B$9</f>
        <v>0</v>
      </c>
      <c r="C274" s="14" t="str">
        <f>Hours!$A$15</f>
        <v>VFD Motor Control Panel (VFD-MCP)</v>
      </c>
      <c r="D274" s="15">
        <f t="shared" si="8"/>
        <v>0</v>
      </c>
      <c r="E274" s="16"/>
      <c r="F274" s="17"/>
      <c r="G274" s="17"/>
      <c r="H274" s="17"/>
      <c r="I274" s="17"/>
      <c r="J274" s="17"/>
      <c r="K274" s="12"/>
      <c r="L274" s="12"/>
      <c r="M274" s="12"/>
      <c r="N274" s="12"/>
      <c r="O274" s="17"/>
      <c r="P274" s="12"/>
      <c r="Q274" s="17"/>
      <c r="R274" s="18">
        <f>IF(SUMPRODUCT((E274:Q274)*1)=0,0,E274*INDEX(Hours!M:M,MATCH(C274,Hours!$A:$A,0))+F274*INDEX(Hours!B:B,MATCH(C274,Hours!$A:$A,0))+G274*INDEX(Hours!C:C,MATCH(C274,Hours!$A:$A,0))+H274*INDEX(Hours!D:D,MATCH(C274,Hours!$A:$A,0))+I274*INDEX(Hours!E:E,MATCH(C274,Hours!$A:$A,0))+J274*INDEX(Hours!F:F,MATCH(C274,Hours!$A:$A,0))+O274*INDEX(Hours!K:K,MATCH(C274,Hours!$A:$A,0)))</f>
        <v>0</v>
      </c>
      <c r="S274" s="19">
        <f t="shared" si="9"/>
        <v>0</v>
      </c>
    </row>
    <row r="275" spans="1:19" x14ac:dyDescent="0.25">
      <c r="A275" s="15" t="str">
        <f>'Bldgs &amp; Rooms'!$A$9</f>
        <v>Main Bldg.</v>
      </c>
      <c r="B275" s="15">
        <f>'Bldgs &amp; Rooms'!$B$9</f>
        <v>0</v>
      </c>
      <c r="C275" s="14" t="str">
        <f>Hours!$A$16</f>
        <v>Individual Disconnect Switch &gt; 100A</v>
      </c>
      <c r="D275" s="15">
        <f t="shared" si="8"/>
        <v>0</v>
      </c>
      <c r="E275" s="16"/>
      <c r="F275" s="17"/>
      <c r="G275" s="17"/>
      <c r="H275" s="17"/>
      <c r="I275" s="17"/>
      <c r="J275" s="17"/>
      <c r="K275" s="17"/>
      <c r="L275" s="12"/>
      <c r="M275" s="12"/>
      <c r="N275" s="12"/>
      <c r="O275" s="12"/>
      <c r="P275" s="12"/>
      <c r="Q275" s="17"/>
      <c r="R275" s="18">
        <f>IF(SUMPRODUCT((E275:Q275)*1)=0,0,E275*INDEX(Hours!M:M,MATCH(C275,Hours!$A:$A,0))+F275*INDEX(Hours!B:B,MATCH(C275,Hours!$A:$A,0))+G275*INDEX(Hours!C:C,MATCH(C275,Hours!$A:$A,0))+H275*INDEX(Hours!D:D,MATCH(C275,Hours!$A:$A,0))+I275*INDEX(Hours!E:E,MATCH(C275,Hours!$A:$A,0))+J275*INDEX(Hours!F:F,MATCH(C275,Hours!$A:$A,0))+K275*INDEX(Hours!G:G,MATCH(C275,Hours!$A:$A,0)))</f>
        <v>0</v>
      </c>
      <c r="S275" s="19">
        <f t="shared" si="9"/>
        <v>0</v>
      </c>
    </row>
    <row r="276" spans="1:19" x14ac:dyDescent="0.25">
      <c r="A276" s="15" t="str">
        <f>'Bldgs &amp; Rooms'!$A$9</f>
        <v>Main Bldg.</v>
      </c>
      <c r="B276" s="15">
        <f>'Bldgs &amp; Rooms'!$B$9</f>
        <v>0</v>
      </c>
      <c r="C276" s="14" t="str">
        <f>Hours!$A$17</f>
        <v>Individual Molded Case Breaker &gt; 100A</v>
      </c>
      <c r="D276" s="15">
        <f t="shared" si="8"/>
        <v>0</v>
      </c>
      <c r="E276" s="16"/>
      <c r="F276" s="17"/>
      <c r="G276" s="17"/>
      <c r="H276" s="17"/>
      <c r="I276" s="17"/>
      <c r="J276" s="17"/>
      <c r="K276" s="17"/>
      <c r="L276" s="12"/>
      <c r="M276" s="12"/>
      <c r="N276" s="12"/>
      <c r="O276" s="12"/>
      <c r="P276" s="12"/>
      <c r="Q276" s="17"/>
      <c r="R276" s="18">
        <f>IF(SUMPRODUCT((E276:Q276)*1)=0,0,E276*INDEX(Hours!M:M,MATCH(C276,Hours!$A:$A,0))+F276*INDEX(Hours!B:B,MATCH(C276,Hours!$A:$A,0))+G276*INDEX(Hours!C:C,MATCH(C276,Hours!$A:$A,0))+H276*INDEX(Hours!D:D,MATCH(C276,Hours!$A:$A,0))+I276*INDEX(Hours!E:E,MATCH(C276,Hours!$A:$A,0))+J276*INDEX(Hours!F:F,MATCH(C276,Hours!$A:$A,0))+K276*INDEX(Hours!G:G,MATCH(C276,Hours!$A:$A,0)))</f>
        <v>0</v>
      </c>
      <c r="S276" s="19">
        <f t="shared" si="9"/>
        <v>0</v>
      </c>
    </row>
    <row r="277" spans="1:19" x14ac:dyDescent="0.25">
      <c r="A277" s="15" t="str">
        <f>'Bldgs &amp; Rooms'!$A$9</f>
        <v>Main Bldg.</v>
      </c>
      <c r="B277" s="15">
        <f>'Bldgs &amp; Rooms'!$B$9</f>
        <v>0</v>
      </c>
      <c r="C277" s="14" t="str">
        <f>Hours!$A$18</f>
        <v>Individual Combination Motor Starter &gt; 100A</v>
      </c>
      <c r="D277" s="15">
        <f t="shared" si="8"/>
        <v>0</v>
      </c>
      <c r="E277" s="16"/>
      <c r="F277" s="17"/>
      <c r="G277" s="17"/>
      <c r="H277" s="17"/>
      <c r="I277" s="17"/>
      <c r="J277" s="17"/>
      <c r="K277" s="17"/>
      <c r="L277" s="12"/>
      <c r="M277" s="12"/>
      <c r="N277" s="12"/>
      <c r="O277" s="12"/>
      <c r="P277" s="12"/>
      <c r="Q277" s="17"/>
      <c r="R277" s="18">
        <f>IF(SUMPRODUCT((E277:Q277)*1)=0,0,E277*INDEX(Hours!M:M,MATCH(C277,Hours!$A:$A,0))+F277*INDEX(Hours!B:B,MATCH(C277,Hours!$A:$A,0))+G277*INDEX(Hours!C:C,MATCH(C277,Hours!$A:$A,0))+H277*INDEX(Hours!D:D,MATCH(C277,Hours!$A:$A,0))+I277*INDEX(Hours!E:E,MATCH(C277,Hours!$A:$A,0))+J277*INDEX(Hours!F:F,MATCH(C277,Hours!$A:$A,0))+K277*INDEX(Hours!G:G,MATCH(C277,Hours!$A:$A,0)))</f>
        <v>0</v>
      </c>
      <c r="S277" s="19">
        <f t="shared" si="9"/>
        <v>0</v>
      </c>
    </row>
    <row r="278" spans="1:19" x14ac:dyDescent="0.25">
      <c r="A278" s="15" t="str">
        <f>'Bldgs &amp; Rooms'!$A$9</f>
        <v>Main Bldg.</v>
      </c>
      <c r="B278" s="15">
        <f>'Bldgs &amp; Rooms'!$B$9</f>
        <v>0</v>
      </c>
      <c r="C278" s="14" t="str">
        <f>Hours!$A$19</f>
        <v>Oil Filled Transformer - 5kV-15kV Primary - Any Size (Pad Mounted)</v>
      </c>
      <c r="D278" s="15">
        <f t="shared" si="8"/>
        <v>0</v>
      </c>
      <c r="E278" s="16"/>
      <c r="F278" s="17"/>
      <c r="G278" s="17"/>
      <c r="H278" s="17"/>
      <c r="I278" s="17"/>
      <c r="J278" s="17"/>
      <c r="K278" s="12"/>
      <c r="L278" s="12"/>
      <c r="M278" s="17"/>
      <c r="N278" s="17"/>
      <c r="O278" s="12"/>
      <c r="P278" s="17"/>
      <c r="Q278" s="17"/>
      <c r="R278" s="18">
        <f>IF(SUMPRODUCT((E278:Q278)*1)=0,0,E278*INDEX(Hours!M:M,MATCH(C278,Hours!$A:$A,0))+F278*INDEX(Hours!B:B,MATCH(C278,Hours!$A:$A,0))+G278*INDEX(Hours!C:C,MATCH(C278,Hours!$A:$A,0))+H278*INDEX(Hours!D:D,MATCH(C278,Hours!$A:$A,0))+I278*INDEX(Hours!E:E,MATCH(C278,Hours!$A:$A,0))+J278*INDEX(Hours!F:F,MATCH(C278,Hours!$A:$A,0))+M278*INDEX(Hours!I:I,MATCH(C278,Hours!$A:$A,0))+N278*INDEX(Hours!J:J,MATCH(C278,Hours!$A:$A,0))+P278*INDEX(Hours!L:L,MATCH(C278,Hours!$A:$A,0)))</f>
        <v>0</v>
      </c>
      <c r="S278" s="19">
        <f t="shared" si="9"/>
        <v>0</v>
      </c>
    </row>
    <row r="279" spans="1:19" x14ac:dyDescent="0.25">
      <c r="A279" s="15" t="str">
        <f>'Bldgs &amp; Rooms'!$A$9</f>
        <v>Main Bldg.</v>
      </c>
      <c r="B279" s="15">
        <f>'Bldgs &amp; Rooms'!$B$9</f>
        <v>0</v>
      </c>
      <c r="C279" s="14" t="str">
        <f>Hours!$A$20</f>
        <v>Oil Filled Transformer - &gt; 15kV Primary (Substation Class)</v>
      </c>
      <c r="D279" s="15">
        <f t="shared" si="8"/>
        <v>0</v>
      </c>
      <c r="E279" s="16"/>
      <c r="F279" s="17"/>
      <c r="G279" s="17"/>
      <c r="H279" s="17"/>
      <c r="I279" s="17"/>
      <c r="J279" s="17"/>
      <c r="K279" s="12"/>
      <c r="L279" s="12"/>
      <c r="M279" s="17"/>
      <c r="N279" s="17"/>
      <c r="O279" s="12"/>
      <c r="P279" s="17"/>
      <c r="Q279" s="17"/>
      <c r="R279" s="18">
        <f>IF(SUMPRODUCT((E279:Q279)*1)=0,0,E279*INDEX(Hours!M:M,MATCH(C279,Hours!$A:$A,0))+F279*INDEX(Hours!B:B,MATCH(C279,Hours!$A:$A,0))+G279*INDEX(Hours!C:C,MATCH(C279,Hours!$A:$A,0))+H279*INDEX(Hours!D:D,MATCH(C279,Hours!$A:$A,0))+I279*INDEX(Hours!E:E,MATCH(C279,Hours!$A:$A,0))+J279*INDEX(Hours!F:F,MATCH(C279,Hours!$A:$A,0))+M279*INDEX(Hours!I:I,MATCH(C279,Hours!$A:$A,0))+N279*INDEX(Hours!J:J,MATCH(C279,Hours!$A:$A,0))+P279*INDEX(Hours!L:L,MATCH(C279,Hours!$A:$A,0)))</f>
        <v>0</v>
      </c>
      <c r="S279" s="19">
        <f t="shared" si="9"/>
        <v>0</v>
      </c>
    </row>
    <row r="280" spans="1:19" x14ac:dyDescent="0.25">
      <c r="A280" s="15" t="str">
        <f>'Bldgs &amp; Rooms'!$A$9</f>
        <v>Main Bldg.</v>
      </c>
      <c r="B280" s="15">
        <f>'Bldgs &amp; Rooms'!$B$9</f>
        <v>0</v>
      </c>
      <c r="C280" s="14" t="str">
        <f>Hours!$A$21</f>
        <v>Dry Type Transformer - &lt; 480V Primary - Any Size kVA</v>
      </c>
      <c r="D280" s="15">
        <f t="shared" si="8"/>
        <v>0</v>
      </c>
      <c r="E280" s="16"/>
      <c r="F280" s="17"/>
      <c r="G280" s="17"/>
      <c r="H280" s="17"/>
      <c r="I280" s="17"/>
      <c r="J280" s="17"/>
      <c r="K280" s="12"/>
      <c r="L280" s="12"/>
      <c r="M280" s="17"/>
      <c r="N280" s="17"/>
      <c r="O280" s="12"/>
      <c r="P280" s="12"/>
      <c r="Q280" s="17"/>
      <c r="R280" s="18">
        <f>IF(SUMPRODUCT((E280:Q280)*1)=0,0,E280*INDEX(Hours!M:M,MATCH(C280,Hours!$A:$A,0))+F280*INDEX(Hours!B:B,MATCH(C280,Hours!$A:$A,0))+G280*INDEX(Hours!C:C,MATCH(C280,Hours!$A:$A,0))+H280*INDEX(Hours!D:D,MATCH(C280,Hours!$A:$A,0))+I280*INDEX(Hours!E:E,MATCH(C280,Hours!$A:$A,0))+J280*INDEX(Hours!F:F,MATCH(C280,Hours!$A:$A,0))+M280*INDEX(Hours!I:I,MATCH(C280,Hours!$A:$A,0))+N280*INDEX(Hours!J:J,MATCH(C280,Hours!$A:$A,0)))</f>
        <v>0</v>
      </c>
      <c r="S280" s="19">
        <f t="shared" si="9"/>
        <v>0</v>
      </c>
    </row>
    <row r="281" spans="1:19" x14ac:dyDescent="0.25">
      <c r="A281" s="15" t="str">
        <f>'Bldgs &amp; Rooms'!$A$9</f>
        <v>Main Bldg.</v>
      </c>
      <c r="B281" s="15">
        <f>'Bldgs &amp; Rooms'!$B$9</f>
        <v>0</v>
      </c>
      <c r="C281" s="14" t="str">
        <f>Hours!$A$22</f>
        <v>Power Factor Correction Capacitors</v>
      </c>
      <c r="D281" s="15">
        <f t="shared" si="8"/>
        <v>0</v>
      </c>
      <c r="E281" s="16"/>
      <c r="F281" s="17"/>
      <c r="G281" s="17"/>
      <c r="H281" s="17"/>
      <c r="I281" s="17"/>
      <c r="J281" s="17"/>
      <c r="K281" s="12"/>
      <c r="L281" s="12"/>
      <c r="M281" s="12"/>
      <c r="N281" s="12"/>
      <c r="O281" s="12"/>
      <c r="P281" s="12"/>
      <c r="Q281" s="17"/>
      <c r="R281" s="18">
        <f>IF(SUMPRODUCT((E281:Q281)*1)=0,0,E281*INDEX(Hours!M:M,MATCH(C281,Hours!$A:$A,0))+F281*INDEX(Hours!B:B,MATCH(C281,Hours!$A:$A,0))+G281*INDEX(Hours!C:C,MATCH(C281,Hours!$A:$A,0))+H281*INDEX(Hours!D:D,MATCH(C281,Hours!$A:$A,0))+I281*INDEX(Hours!E:E,MATCH(C281,Hours!$A:$A,0))+J281*INDEX(Hours!F:F,MATCH(C281,Hours!$A:$A,0)))</f>
        <v>0</v>
      </c>
      <c r="S281" s="19">
        <f t="shared" si="9"/>
        <v>0</v>
      </c>
    </row>
    <row r="282" spans="1:19" x14ac:dyDescent="0.25">
      <c r="A282" s="15" t="str">
        <f>'Bldgs &amp; Rooms'!$A$9</f>
        <v>Main Bldg.</v>
      </c>
      <c r="B282" s="15">
        <f>'Bldgs &amp; Rooms'!$B$9</f>
        <v>0</v>
      </c>
      <c r="C282" s="14" t="str">
        <f>Hours!$A$23</f>
        <v>Lighting Contactor &gt; 100A</v>
      </c>
      <c r="D282" s="15">
        <f t="shared" si="8"/>
        <v>0</v>
      </c>
      <c r="E282" s="16"/>
      <c r="F282" s="17"/>
      <c r="G282" s="17"/>
      <c r="H282" s="17"/>
      <c r="I282" s="17"/>
      <c r="J282" s="17"/>
      <c r="K282" s="12"/>
      <c r="L282" s="12"/>
      <c r="M282" s="12"/>
      <c r="N282" s="12"/>
      <c r="O282" s="12"/>
      <c r="P282" s="12"/>
      <c r="Q282" s="17"/>
      <c r="R282" s="18">
        <f>IF(SUMPRODUCT((E282:Q282)*1)=0,0,E282*INDEX(Hours!M:M,MATCH(C282,Hours!$A:$A,0))+F282*INDEX(Hours!B:B,MATCH(C282,Hours!$A:$A,0))+G282*INDEX(Hours!C:C,MATCH(C282,Hours!$A:$A,0))+H282*INDEX(Hours!D:D,MATCH(C282,Hours!$A:$A,0))+I282*INDEX(Hours!E:E,MATCH(C282,Hours!$A:$A,0))+J282*INDEX(Hours!F:F,MATCH(C282,Hours!$A:$A,0)))</f>
        <v>0</v>
      </c>
      <c r="S282" s="19">
        <f t="shared" si="9"/>
        <v>0</v>
      </c>
    </row>
    <row r="283" spans="1:19" x14ac:dyDescent="0.25">
      <c r="A283" s="15" t="str">
        <f>'Bldgs &amp; Rooms'!$A$9</f>
        <v>Main Bldg.</v>
      </c>
      <c r="B283" s="15">
        <f>'Bldgs &amp; Rooms'!$B$9</f>
        <v>0</v>
      </c>
      <c r="C283" s="14" t="str">
        <f>Hours!$A$24</f>
        <v>Power Distribution Unit (PDU)</v>
      </c>
      <c r="D283" s="15">
        <f t="shared" si="8"/>
        <v>0</v>
      </c>
      <c r="E283" s="16"/>
      <c r="F283" s="17"/>
      <c r="G283" s="17"/>
      <c r="H283" s="17"/>
      <c r="I283" s="17"/>
      <c r="J283" s="17"/>
      <c r="K283" s="12"/>
      <c r="L283" s="12"/>
      <c r="M283" s="12"/>
      <c r="N283" s="12"/>
      <c r="O283" s="12"/>
      <c r="P283" s="12"/>
      <c r="Q283" s="17"/>
      <c r="R283" s="18">
        <f>IF(SUMPRODUCT((E283:Q283)*1)=0,0,E283*INDEX(Hours!M:M,MATCH(C283,Hours!$A:$A,0))+F283*INDEX(Hours!B:B,MATCH(C283,Hours!$A:$A,0))+G283*INDEX(Hours!C:C,MATCH(C283,Hours!$A:$A,0))+H283*INDEX(Hours!D:D,MATCH(C283,Hours!$A:$A,0))+I283*INDEX(Hours!E:E,MATCH(C283,Hours!$A:$A,0))+J283*INDEX(Hours!F:F,MATCH(C283,Hours!$A:$A,0)))</f>
        <v>0</v>
      </c>
      <c r="S283" s="19">
        <f t="shared" si="9"/>
        <v>0</v>
      </c>
    </row>
    <row r="284" spans="1:19" x14ac:dyDescent="0.25">
      <c r="A284" s="15" t="str">
        <f>'Bldgs &amp; Rooms'!$A$9</f>
        <v>Main Bldg.</v>
      </c>
      <c r="B284" s="15">
        <f>'Bldgs &amp; Rooms'!$B$9</f>
        <v>0</v>
      </c>
      <c r="C284" s="14" t="str">
        <f>Hours!$A$25</f>
        <v>Wire Trough, Gutter, or Large Junction Boxes</v>
      </c>
      <c r="D284" s="15">
        <f t="shared" si="8"/>
        <v>0</v>
      </c>
      <c r="E284" s="16"/>
      <c r="F284" s="17"/>
      <c r="G284" s="17"/>
      <c r="H284" s="17"/>
      <c r="I284" s="17"/>
      <c r="J284" s="17"/>
      <c r="K284" s="12"/>
      <c r="L284" s="12"/>
      <c r="M284" s="12"/>
      <c r="N284" s="12"/>
      <c r="O284" s="12"/>
      <c r="P284" s="12"/>
      <c r="Q284" s="17"/>
      <c r="R284" s="18">
        <f>IF(SUMPRODUCT((E284:Q284)*1)=0,0,E284*INDEX(Hours!M:M,MATCH(C284,Hours!$A:$A,0))+F284*INDEX(Hours!B:B,MATCH(C284,Hours!$A:$A,0))+G284*INDEX(Hours!C:C,MATCH(C284,Hours!$A:$A,0))+H284*INDEX(Hours!D:D,MATCH(C284,Hours!$A:$A,0))+I284*INDEX(Hours!E:E,MATCH(C284,Hours!$A:$A,0))+J284*INDEX(Hours!F:F,MATCH(C284,Hours!$A:$A,0)))</f>
        <v>0</v>
      </c>
      <c r="S284" s="19">
        <f t="shared" si="9"/>
        <v>0</v>
      </c>
    </row>
    <row r="285" spans="1:19" x14ac:dyDescent="0.25">
      <c r="A285" s="15" t="str">
        <f>'Bldgs &amp; Rooms'!$A$9</f>
        <v>Main Bldg.</v>
      </c>
      <c r="B285" s="15">
        <f>'Bldgs &amp; Rooms'!$B$9</f>
        <v>0</v>
      </c>
      <c r="C285" s="14" t="str">
        <f>Hours!$A$26</f>
        <v>Bus Duct - Vertical or Horizontal (Per 10' section)</v>
      </c>
      <c r="D285" s="15">
        <f t="shared" si="8"/>
        <v>0</v>
      </c>
      <c r="E285" s="16"/>
      <c r="F285" s="17"/>
      <c r="G285" s="17"/>
      <c r="H285" s="17"/>
      <c r="I285" s="17"/>
      <c r="J285" s="17"/>
      <c r="K285" s="12"/>
      <c r="L285" s="12"/>
      <c r="M285" s="12"/>
      <c r="N285" s="12"/>
      <c r="O285" s="12"/>
      <c r="P285" s="12"/>
      <c r="Q285" s="17"/>
      <c r="R285" s="18">
        <f>IF(SUMPRODUCT((E285:Q285)*1)=0,0,E285*INDEX(Hours!M:M,MATCH(C285,Hours!$A:$A,0))+F285*INDEX(Hours!B:B,MATCH(C285,Hours!$A:$A,0))+G285*INDEX(Hours!C:C,MATCH(C285,Hours!$A:$A,0))+H285*INDEX(Hours!D:D,MATCH(C285,Hours!$A:$A,0))+I285*INDEX(Hours!E:E,MATCH(C285,Hours!$A:$A,0))+J285*INDEX(Hours!F:F,MATCH(C285,Hours!$A:$A,0)))</f>
        <v>0</v>
      </c>
      <c r="S285" s="19">
        <f t="shared" si="9"/>
        <v>0</v>
      </c>
    </row>
    <row r="286" spans="1:19" x14ac:dyDescent="0.25">
      <c r="A286" s="15" t="str">
        <f>'Bldgs &amp; Rooms'!$A$9</f>
        <v>Main Bldg.</v>
      </c>
      <c r="B286" s="15">
        <f>'Bldgs &amp; Rooms'!$B$9</f>
        <v>0</v>
      </c>
      <c r="C286" s="14" t="str">
        <f>Hours!$A$27</f>
        <v>Automatic Transfer Switch (ATS) &gt; 100A</v>
      </c>
      <c r="D286" s="15">
        <f t="shared" si="8"/>
        <v>0</v>
      </c>
      <c r="E286" s="16"/>
      <c r="F286" s="17"/>
      <c r="G286" s="17"/>
      <c r="H286" s="17"/>
      <c r="I286" s="17"/>
      <c r="J286" s="17"/>
      <c r="K286" s="12"/>
      <c r="L286" s="12"/>
      <c r="M286" s="12"/>
      <c r="N286" s="12"/>
      <c r="O286" s="12"/>
      <c r="P286" s="12"/>
      <c r="Q286" s="17"/>
      <c r="R286" s="18">
        <f>IF(SUMPRODUCT((E286:Q286)*1)=0,0,E286*INDEX(Hours!M:M,MATCH(C286,Hours!$A:$A,0))+F286*INDEX(Hours!B:B,MATCH(C286,Hours!$A:$A,0))+G286*INDEX(Hours!C:C,MATCH(C286,Hours!$A:$A,0))+H286*INDEX(Hours!D:D,MATCH(C286,Hours!$A:$A,0))+I286*INDEX(Hours!E:E,MATCH(C286,Hours!$A:$A,0))+J286*INDEX(Hours!F:F,MATCH(C286,Hours!$A:$A,0)))</f>
        <v>0</v>
      </c>
      <c r="S286" s="19">
        <f t="shared" si="9"/>
        <v>0</v>
      </c>
    </row>
    <row r="287" spans="1:19" x14ac:dyDescent="0.25">
      <c r="A287" s="15" t="str">
        <f>'Bldgs &amp; Rooms'!$A$9</f>
        <v>Main Bldg.</v>
      </c>
      <c r="B287" s="15">
        <f>'Bldgs &amp; Rooms'!$B$9</f>
        <v>0</v>
      </c>
      <c r="C287" s="14" t="str">
        <f>Hours!$A$28</f>
        <v>Manual Transfer Switch (MTS) &gt; 100A</v>
      </c>
      <c r="D287" s="15">
        <f t="shared" si="8"/>
        <v>0</v>
      </c>
      <c r="E287" s="16"/>
      <c r="F287" s="17"/>
      <c r="G287" s="17"/>
      <c r="H287" s="17"/>
      <c r="I287" s="17"/>
      <c r="J287" s="17"/>
      <c r="K287" s="12"/>
      <c r="L287" s="12"/>
      <c r="M287" s="12"/>
      <c r="N287" s="12"/>
      <c r="O287" s="12"/>
      <c r="P287" s="12"/>
      <c r="Q287" s="17"/>
      <c r="R287" s="18">
        <f>IF(SUMPRODUCT((E287:Q287)*1)=0,0,E287*INDEX(Hours!M:M,MATCH(C287,Hours!$A:$A,0))+F287*INDEX(Hours!B:B,MATCH(C287,Hours!$A:$A,0))+G287*INDEX(Hours!C:C,MATCH(C287,Hours!$A:$A,0))+H287*INDEX(Hours!D:D,MATCH(C287,Hours!$A:$A,0))+I287*INDEX(Hours!E:E,MATCH(C287,Hours!$A:$A,0))+J287*INDEX(Hours!F:F,MATCH(C287,Hours!$A:$A,0)))</f>
        <v>0</v>
      </c>
      <c r="S287" s="19">
        <f t="shared" si="9"/>
        <v>0</v>
      </c>
    </row>
    <row r="288" spans="1:19" x14ac:dyDescent="0.25">
      <c r="A288" s="15" t="str">
        <f>'Bldgs &amp; Rooms'!$A$9</f>
        <v>Main Bldg.</v>
      </c>
      <c r="B288" s="15">
        <f>'Bldgs &amp; Rooms'!$B$9</f>
        <v>0</v>
      </c>
      <c r="C288" s="14" t="str">
        <f>Hours!$A$29</f>
        <v>Variable Frequency Drives (VFD) &lt; 50 HP</v>
      </c>
      <c r="D288" s="15">
        <f t="shared" si="8"/>
        <v>0</v>
      </c>
      <c r="E288" s="16"/>
      <c r="F288" s="17"/>
      <c r="G288" s="17"/>
      <c r="H288" s="17"/>
      <c r="I288" s="17"/>
      <c r="J288" s="17"/>
      <c r="K288" s="12"/>
      <c r="L288" s="12"/>
      <c r="M288" s="12"/>
      <c r="N288" s="12"/>
      <c r="O288" s="12"/>
      <c r="P288" s="12"/>
      <c r="Q288" s="17"/>
      <c r="R288" s="18">
        <f>IF(SUMPRODUCT((E288:Q288)*1)=0,0,E288*INDEX(Hours!M:M,MATCH(C288,Hours!$A:$A,0))+F288*INDEX(Hours!B:B,MATCH(C288,Hours!$A:$A,0))+G288*INDEX(Hours!C:C,MATCH(C288,Hours!$A:$A,0))+H288*INDEX(Hours!D:D,MATCH(C288,Hours!$A:$A,0))+I288*INDEX(Hours!E:E,MATCH(C288,Hours!$A:$A,0))+J288*INDEX(Hours!F:F,MATCH(C288,Hours!$A:$A,0)))</f>
        <v>0</v>
      </c>
      <c r="S288" s="19">
        <f t="shared" si="9"/>
        <v>0</v>
      </c>
    </row>
    <row r="289" spans="1:19" x14ac:dyDescent="0.25">
      <c r="A289" s="15" t="str">
        <f>'Bldgs &amp; Rooms'!$A$9</f>
        <v>Main Bldg.</v>
      </c>
      <c r="B289" s="15">
        <f>'Bldgs &amp; Rooms'!$B$9</f>
        <v>0</v>
      </c>
      <c r="C289" s="14" t="str">
        <f>Hours!$A$30</f>
        <v>Variable Frequency Drives (VFD) 51-200 HP</v>
      </c>
      <c r="D289" s="15">
        <f t="shared" si="8"/>
        <v>0</v>
      </c>
      <c r="E289" s="16"/>
      <c r="F289" s="17"/>
      <c r="G289" s="17"/>
      <c r="H289" s="17"/>
      <c r="I289" s="17"/>
      <c r="J289" s="17"/>
      <c r="K289" s="12"/>
      <c r="L289" s="12"/>
      <c r="M289" s="12"/>
      <c r="N289" s="12"/>
      <c r="O289" s="12"/>
      <c r="P289" s="12"/>
      <c r="Q289" s="17"/>
      <c r="R289" s="18">
        <f>IF(SUMPRODUCT((E289:Q289)*1)=0,0,E289*INDEX(Hours!M:M,MATCH(C289,Hours!$A:$A,0))+F289*INDEX(Hours!B:B,MATCH(C289,Hours!$A:$A,0))+G289*INDEX(Hours!C:C,MATCH(C289,Hours!$A:$A,0))+H289*INDEX(Hours!D:D,MATCH(C289,Hours!$A:$A,0))+I289*INDEX(Hours!E:E,MATCH(C289,Hours!$A:$A,0))+J289*INDEX(Hours!F:F,MATCH(C289,Hours!$A:$A,0)))</f>
        <v>0</v>
      </c>
      <c r="S289" s="19">
        <f t="shared" si="9"/>
        <v>0</v>
      </c>
    </row>
    <row r="290" spans="1:19" x14ac:dyDescent="0.25">
      <c r="A290" s="15" t="str">
        <f>'Bldgs &amp; Rooms'!$A$9</f>
        <v>Main Bldg.</v>
      </c>
      <c r="B290" s="15">
        <f>'Bldgs &amp; Rooms'!$B$9</f>
        <v>0</v>
      </c>
      <c r="C290" s="14" t="str">
        <f>Hours!$A$31</f>
        <v>Motors &lt; 50 HP</v>
      </c>
      <c r="D290" s="15">
        <f t="shared" si="8"/>
        <v>0</v>
      </c>
      <c r="E290" s="16"/>
      <c r="F290" s="17"/>
      <c r="G290" s="17"/>
      <c r="H290" s="17"/>
      <c r="I290" s="17"/>
      <c r="J290" s="17"/>
      <c r="K290" s="12"/>
      <c r="L290" s="12"/>
      <c r="M290" s="12"/>
      <c r="N290" s="12"/>
      <c r="O290" s="12"/>
      <c r="P290" s="12"/>
      <c r="Q290" s="17"/>
      <c r="R290" s="18">
        <f>IF(SUMPRODUCT((E290:Q290)*1)=0,0,E290*INDEX(Hours!M:M,MATCH(C290,Hours!$A:$A,0))+F290*INDEX(Hours!B:B,MATCH(C290,Hours!$A:$A,0))+G290*INDEX(Hours!C:C,MATCH(C290,Hours!$A:$A,0))+H290*INDEX(Hours!D:D,MATCH(C290,Hours!$A:$A,0))+I290*INDEX(Hours!E:E,MATCH(C290,Hours!$A:$A,0))+J290*INDEX(Hours!F:F,MATCH(C290,Hours!$A:$A,0)))</f>
        <v>0</v>
      </c>
      <c r="S290" s="19">
        <f t="shared" si="9"/>
        <v>0</v>
      </c>
    </row>
    <row r="291" spans="1:19" x14ac:dyDescent="0.25">
      <c r="A291" s="15" t="str">
        <f>'Bldgs &amp; Rooms'!$A$9</f>
        <v>Main Bldg.</v>
      </c>
      <c r="B291" s="15">
        <f>'Bldgs &amp; Rooms'!$B$9</f>
        <v>0</v>
      </c>
      <c r="C291" s="14" t="str">
        <f>Hours!$A$32</f>
        <v>Motors 51-200 HP</v>
      </c>
      <c r="D291" s="15">
        <f t="shared" si="8"/>
        <v>0</v>
      </c>
      <c r="E291" s="16"/>
      <c r="F291" s="17"/>
      <c r="G291" s="17"/>
      <c r="H291" s="17"/>
      <c r="I291" s="17"/>
      <c r="J291" s="17"/>
      <c r="K291" s="12"/>
      <c r="L291" s="12"/>
      <c r="M291" s="12"/>
      <c r="N291" s="12"/>
      <c r="O291" s="12"/>
      <c r="P291" s="12"/>
      <c r="Q291" s="17"/>
      <c r="R291" s="18">
        <f>IF(SUMPRODUCT((E291:Q291)*1)=0,0,E291*INDEX(Hours!M:M,MATCH(C291,Hours!$A:$A,0))+F291*INDEX(Hours!B:B,MATCH(C291,Hours!$A:$A,0))+G291*INDEX(Hours!C:C,MATCH(C291,Hours!$A:$A,0))+H291*INDEX(Hours!D:D,MATCH(C291,Hours!$A:$A,0))+I291*INDEX(Hours!E:E,MATCH(C291,Hours!$A:$A,0))+J291*INDEX(Hours!F:F,MATCH(C291,Hours!$A:$A,0)))</f>
        <v>0</v>
      </c>
      <c r="S291" s="19">
        <f t="shared" si="9"/>
        <v>0</v>
      </c>
    </row>
    <row r="292" spans="1:19" x14ac:dyDescent="0.25">
      <c r="A292" s="15" t="str">
        <f>'Bldgs &amp; Rooms'!$A$9</f>
        <v>Main Bldg.</v>
      </c>
      <c r="B292" s="15">
        <f>'Bldgs &amp; Rooms'!$B$9</f>
        <v>0</v>
      </c>
      <c r="C292" s="14" t="str">
        <f>Hours!$A$33</f>
        <v>Motors 201-500 HP</v>
      </c>
      <c r="D292" s="15">
        <f t="shared" si="8"/>
        <v>0</v>
      </c>
      <c r="E292" s="16"/>
      <c r="F292" s="17"/>
      <c r="G292" s="17"/>
      <c r="H292" s="17"/>
      <c r="I292" s="17"/>
      <c r="J292" s="17"/>
      <c r="K292" s="12"/>
      <c r="L292" s="12"/>
      <c r="M292" s="12"/>
      <c r="N292" s="12"/>
      <c r="O292" s="12"/>
      <c r="P292" s="12"/>
      <c r="Q292" s="17"/>
      <c r="R292" s="18">
        <f>IF(SUMPRODUCT((E292:Q292)*1)=0,0,E292*INDEX(Hours!M:M,MATCH(C292,Hours!$A:$A,0))+F292*INDEX(Hours!B:B,MATCH(C292,Hours!$A:$A,0))+G292*INDEX(Hours!C:C,MATCH(C292,Hours!$A:$A,0))+H292*INDEX(Hours!D:D,MATCH(C292,Hours!$A:$A,0))+I292*INDEX(Hours!E:E,MATCH(C292,Hours!$A:$A,0))+J292*INDEX(Hours!F:F,MATCH(C292,Hours!$A:$A,0)))</f>
        <v>0</v>
      </c>
      <c r="S292" s="19">
        <f t="shared" si="9"/>
        <v>0</v>
      </c>
    </row>
    <row r="293" spans="1:19" x14ac:dyDescent="0.25">
      <c r="A293" s="15" t="str">
        <f>'Bldgs &amp; Rooms'!$A$9</f>
        <v>Main Bldg.</v>
      </c>
      <c r="B293" s="15">
        <f>'Bldgs &amp; Rooms'!$B$9</f>
        <v>0</v>
      </c>
      <c r="C293" s="14" t="str">
        <f>Hours!$A$34</f>
        <v>Compressed Air Equipment</v>
      </c>
      <c r="D293" s="15">
        <f t="shared" si="8"/>
        <v>0</v>
      </c>
      <c r="E293" s="16"/>
      <c r="F293" s="17"/>
      <c r="G293" s="17"/>
      <c r="H293" s="17"/>
      <c r="I293" s="17"/>
      <c r="J293" s="17"/>
      <c r="K293" s="12"/>
      <c r="L293" s="12"/>
      <c r="M293" s="12"/>
      <c r="N293" s="12"/>
      <c r="O293" s="12"/>
      <c r="P293" s="12"/>
      <c r="Q293" s="17"/>
      <c r="R293" s="18">
        <f>IF(SUMPRODUCT((E293:Q293)*1)=0,0,E293*INDEX(Hours!M:M,MATCH(C293,Hours!$A:$A,0))+F293*INDEX(Hours!B:B,MATCH(C293,Hours!$A:$A,0))+G293*INDEX(Hours!C:C,MATCH(C293,Hours!$A:$A,0))+H293*INDEX(Hours!D:D,MATCH(C293,Hours!$A:$A,0))+I293*INDEX(Hours!E:E,MATCH(C293,Hours!$A:$A,0))+J293*INDEX(Hours!F:F,MATCH(C293,Hours!$A:$A,0)))</f>
        <v>0</v>
      </c>
      <c r="S293" s="19">
        <f t="shared" si="9"/>
        <v>0</v>
      </c>
    </row>
    <row r="294" spans="1:19" x14ac:dyDescent="0.25">
      <c r="A294" s="15" t="str">
        <f>'Bldgs &amp; Rooms'!$A$9</f>
        <v>Main Bldg.</v>
      </c>
      <c r="B294" s="15">
        <f>'Bldgs &amp; Rooms'!$B$9</f>
        <v>0</v>
      </c>
      <c r="C294" s="14" t="str">
        <f>Hours!$A$35</f>
        <v>HVAC Equipment (Large)</v>
      </c>
      <c r="D294" s="15">
        <f t="shared" si="8"/>
        <v>0</v>
      </c>
      <c r="E294" s="16"/>
      <c r="F294" s="17"/>
      <c r="G294" s="17"/>
      <c r="H294" s="17"/>
      <c r="I294" s="17"/>
      <c r="J294" s="17"/>
      <c r="K294" s="12"/>
      <c r="L294" s="12"/>
      <c r="M294" s="12"/>
      <c r="N294" s="12"/>
      <c r="O294" s="12"/>
      <c r="P294" s="12"/>
      <c r="Q294" s="17"/>
      <c r="R294" s="18">
        <f>IF(SUMPRODUCT((E294:Q294)*1)=0,0,E294*INDEX(Hours!M:M,MATCH(C294,Hours!$A:$A,0))+F294*INDEX(Hours!B:B,MATCH(C294,Hours!$A:$A,0))+G294*INDEX(Hours!C:C,MATCH(C294,Hours!$A:$A,0))+H294*INDEX(Hours!D:D,MATCH(C294,Hours!$A:$A,0))+I294*INDEX(Hours!E:E,MATCH(C294,Hours!$A:$A,0))+J294*INDEX(Hours!F:F,MATCH(C294,Hours!$A:$A,0)))</f>
        <v>0</v>
      </c>
      <c r="S294" s="19">
        <f t="shared" si="9"/>
        <v>0</v>
      </c>
    </row>
    <row r="295" spans="1:19" x14ac:dyDescent="0.25">
      <c r="A295" s="15" t="str">
        <f>'Bldgs &amp; Rooms'!$A$9</f>
        <v>Main Bldg.</v>
      </c>
      <c r="B295" s="15">
        <f>'Bldgs &amp; Rooms'!$B$9</f>
        <v>0</v>
      </c>
      <c r="C295" s="14" t="str">
        <f>Hours!$A$36</f>
        <v>HVAC Equipment (Small)</v>
      </c>
      <c r="D295" s="15">
        <f t="shared" si="8"/>
        <v>0</v>
      </c>
      <c r="E295" s="16"/>
      <c r="F295" s="17"/>
      <c r="G295" s="17"/>
      <c r="H295" s="17"/>
      <c r="I295" s="17"/>
      <c r="J295" s="17"/>
      <c r="K295" s="12"/>
      <c r="L295" s="12"/>
      <c r="M295" s="12"/>
      <c r="N295" s="12"/>
      <c r="O295" s="12"/>
      <c r="P295" s="12"/>
      <c r="Q295" s="17"/>
      <c r="R295" s="18">
        <f>IF(SUMPRODUCT((E295:Q295)*1)=0,0,E295*INDEX(Hours!M:M,MATCH(C295,Hours!$A:$A,0))+F295*INDEX(Hours!B:B,MATCH(C295,Hours!$A:$A,0))+G295*INDEX(Hours!C:C,MATCH(C295,Hours!$A:$A,0))+H295*INDEX(Hours!D:D,MATCH(C295,Hours!$A:$A,0))+I295*INDEX(Hours!E:E,MATCH(C295,Hours!$A:$A,0))+J295*INDEX(Hours!F:F,MATCH(C295,Hours!$A:$A,0)))</f>
        <v>0</v>
      </c>
      <c r="S295" s="19">
        <f t="shared" si="9"/>
        <v>0</v>
      </c>
    </row>
    <row r="296" spans="1:19" x14ac:dyDescent="0.25">
      <c r="A296" s="15" t="str">
        <f>'Bldgs &amp; Rooms'!$A$9</f>
        <v>Main Bldg.</v>
      </c>
      <c r="B296" s="15">
        <f>'Bldgs &amp; Rooms'!$B$9</f>
        <v>0</v>
      </c>
      <c r="C296" s="14" t="str">
        <f>Hours!$A$37</f>
        <v>Uninterruptible Power Supply (UPS) &lt; 50kVA</v>
      </c>
      <c r="D296" s="15">
        <f t="shared" si="8"/>
        <v>0</v>
      </c>
      <c r="E296" s="16"/>
      <c r="F296" s="17"/>
      <c r="G296" s="17"/>
      <c r="H296" s="17"/>
      <c r="I296" s="17"/>
      <c r="J296" s="17"/>
      <c r="K296" s="12"/>
      <c r="L296" s="12"/>
      <c r="M296" s="12"/>
      <c r="N296" s="12"/>
      <c r="O296" s="12"/>
      <c r="P296" s="12"/>
      <c r="Q296" s="17"/>
      <c r="R296" s="18">
        <f>IF(SUMPRODUCT((E296:Q296)*1)=0,0,E296*INDEX(Hours!M:M,MATCH(C296,Hours!$A:$A,0))+F296*INDEX(Hours!B:B,MATCH(C296,Hours!$A:$A,0))+G296*INDEX(Hours!C:C,MATCH(C296,Hours!$A:$A,0))+H296*INDEX(Hours!D:D,MATCH(C296,Hours!$A:$A,0))+I296*INDEX(Hours!E:E,MATCH(C296,Hours!$A:$A,0))+J296*INDEX(Hours!F:F,MATCH(C296,Hours!$A:$A,0)))</f>
        <v>0</v>
      </c>
      <c r="S296" s="19">
        <f t="shared" si="9"/>
        <v>0</v>
      </c>
    </row>
    <row r="297" spans="1:19" x14ac:dyDescent="0.25">
      <c r="A297" s="15" t="str">
        <f>'Bldgs &amp; Rooms'!$A$9</f>
        <v>Main Bldg.</v>
      </c>
      <c r="B297" s="15">
        <f>'Bldgs &amp; Rooms'!$B$9</f>
        <v>0</v>
      </c>
      <c r="C297" s="14" t="str">
        <f>Hours!$A$38</f>
        <v>Uninterruptible Power Supply (UPS) &gt; 50kVA</v>
      </c>
      <c r="D297" s="15">
        <f t="shared" si="8"/>
        <v>0</v>
      </c>
      <c r="E297" s="16"/>
      <c r="F297" s="17"/>
      <c r="G297" s="17"/>
      <c r="H297" s="17"/>
      <c r="I297" s="17"/>
      <c r="J297" s="17"/>
      <c r="K297" s="12"/>
      <c r="L297" s="12"/>
      <c r="M297" s="12"/>
      <c r="N297" s="12"/>
      <c r="O297" s="12"/>
      <c r="P297" s="12"/>
      <c r="Q297" s="17"/>
      <c r="R297" s="18">
        <f>IF(SUMPRODUCT((E297:Q297)*1)=0,0,E297*INDEX(Hours!M:M,MATCH(C297,Hours!$A:$A,0))+F297*INDEX(Hours!B:B,MATCH(C297,Hours!$A:$A,0))+G297*INDEX(Hours!C:C,MATCH(C297,Hours!$A:$A,0))+H297*INDEX(Hours!D:D,MATCH(C297,Hours!$A:$A,0))+I297*INDEX(Hours!E:E,MATCH(C297,Hours!$A:$A,0))+J297*INDEX(Hours!F:F,MATCH(C297,Hours!$A:$A,0)))</f>
        <v>0</v>
      </c>
      <c r="S297" s="19">
        <f t="shared" si="9"/>
        <v>0</v>
      </c>
    </row>
    <row r="298" spans="1:19" x14ac:dyDescent="0.25">
      <c r="A298" s="11" t="str">
        <f>'Bldgs &amp; Rooms'!$A$10</f>
        <v>Main Bldg.</v>
      </c>
      <c r="B298" s="11">
        <f>'Bldgs &amp; Rooms'!$B$10</f>
        <v>0</v>
      </c>
      <c r="C298" s="10" t="str">
        <f>Hours!$A$2</f>
        <v>Switchgear - Incoming Main Service (Per Section)</v>
      </c>
      <c r="D298" s="11">
        <f t="shared" si="8"/>
        <v>0</v>
      </c>
      <c r="E298" s="16"/>
      <c r="F298" s="17"/>
      <c r="G298" s="17"/>
      <c r="H298" s="17"/>
      <c r="I298" s="17"/>
      <c r="J298" s="17"/>
      <c r="K298" s="17"/>
      <c r="L298" s="17"/>
      <c r="M298" s="12"/>
      <c r="N298" s="12"/>
      <c r="O298" s="17"/>
      <c r="P298" s="12"/>
      <c r="Q298" s="17"/>
      <c r="R298" s="18">
        <f>IF(SUMPRODUCT((E298:Q298)*1)=0,0,E298*INDEX(Hours!M:M,MATCH(C298,Hours!$A:$A,0))+F298*INDEX(Hours!B:B,MATCH(C298,Hours!$A:$A,0))+G298*INDEX(Hours!C:C,MATCH(C298,Hours!$A:$A,0))+H298*INDEX(Hours!D:D,MATCH(C298,Hours!$A:$A,0))+I298*INDEX(Hours!E:E,MATCH(C298,Hours!$A:$A,0))+J298*INDEX(Hours!F:F,MATCH(C298,Hours!$A:$A,0))+K298*INDEX(Hours!G:G,MATCH(C298,Hours!$A:$A,0))+L298*INDEX(Hours!H:H,MATCH(C298,Hours!$A:$A,0))+O298*INDEX(Hours!K:K,MATCH(C298,Hours!$A:$A,0)))</f>
        <v>0</v>
      </c>
      <c r="S298" s="19">
        <f t="shared" si="9"/>
        <v>0</v>
      </c>
    </row>
    <row r="299" spans="1:19" x14ac:dyDescent="0.25">
      <c r="A299" s="11" t="str">
        <f>'Bldgs &amp; Rooms'!$A$10</f>
        <v>Main Bldg.</v>
      </c>
      <c r="B299" s="11">
        <f>'Bldgs &amp; Rooms'!$B$10</f>
        <v>0</v>
      </c>
      <c r="C299" s="10" t="str">
        <f>Hours!$A$3</f>
        <v xml:space="preserve">  Switchgear Insulated Case Breakers (Bus Mounted)</v>
      </c>
      <c r="D299" s="11">
        <f t="shared" si="8"/>
        <v>0</v>
      </c>
      <c r="E299" s="16"/>
      <c r="F299" s="17"/>
      <c r="G299" s="17"/>
      <c r="H299" s="17"/>
      <c r="I299" s="17"/>
      <c r="J299" s="17"/>
      <c r="K299" s="17"/>
      <c r="L299" s="12"/>
      <c r="M299" s="12"/>
      <c r="N299" s="12"/>
      <c r="O299" s="12"/>
      <c r="P299" s="12"/>
      <c r="Q299" s="17"/>
      <c r="R299" s="18">
        <f>IF(SUMPRODUCT((E299:Q299)*1)=0,0,E299*INDEX(Hours!M:M,MATCH(C299,Hours!$A:$A,0))+F299*INDEX(Hours!B:B,MATCH(C299,Hours!$A:$A,0))+G299*INDEX(Hours!C:C,MATCH(C299,Hours!$A:$A,0))+H299*INDEX(Hours!D:D,MATCH(C299,Hours!$A:$A,0))+I299*INDEX(Hours!E:E,MATCH(C299,Hours!$A:$A,0))+J299*INDEX(Hours!F:F,MATCH(C299,Hours!$A:$A,0))+K299*INDEX(Hours!G:G,MATCH(C299,Hours!$A:$A,0)))</f>
        <v>0</v>
      </c>
      <c r="S299" s="19">
        <f t="shared" si="9"/>
        <v>0</v>
      </c>
    </row>
    <row r="300" spans="1:19" x14ac:dyDescent="0.25">
      <c r="A300" s="11" t="str">
        <f>'Bldgs &amp; Rooms'!$A$10</f>
        <v>Main Bldg.</v>
      </c>
      <c r="B300" s="11">
        <f>'Bldgs &amp; Rooms'!$B$10</f>
        <v>0</v>
      </c>
      <c r="C300" s="10" t="str">
        <f>Hours!$A$4</f>
        <v xml:space="preserve">  SwitchGear Drawout Breakers</v>
      </c>
      <c r="D300" s="11">
        <f t="shared" si="8"/>
        <v>0</v>
      </c>
      <c r="E300" s="16"/>
      <c r="F300" s="17"/>
      <c r="G300" s="17"/>
      <c r="H300" s="17"/>
      <c r="I300" s="17"/>
      <c r="J300" s="17"/>
      <c r="K300" s="12"/>
      <c r="L300" s="17"/>
      <c r="M300" s="12"/>
      <c r="N300" s="12"/>
      <c r="O300" s="12"/>
      <c r="P300" s="12"/>
      <c r="Q300" s="17"/>
      <c r="R300" s="18">
        <f>IF(SUMPRODUCT((E300:Q300)*1)=0,0,E300*INDEX(Hours!M:M,MATCH(C300,Hours!$A:$A,0))+F300*INDEX(Hours!B:B,MATCH(C300,Hours!$A:$A,0))+G300*INDEX(Hours!C:C,MATCH(C300,Hours!$A:$A,0))+H300*INDEX(Hours!D:D,MATCH(C300,Hours!$A:$A,0))+I300*INDEX(Hours!E:E,MATCH(C300,Hours!$A:$A,0))+J300*INDEX(Hours!F:F,MATCH(C300,Hours!$A:$A,0))+L300*INDEX(Hours!H:H,MATCH(C300,Hours!$A:$A,0)))</f>
        <v>0</v>
      </c>
      <c r="S300" s="19">
        <f t="shared" si="9"/>
        <v>0</v>
      </c>
    </row>
    <row r="301" spans="1:19" x14ac:dyDescent="0.25">
      <c r="A301" s="11" t="str">
        <f>'Bldgs &amp; Rooms'!$A$10</f>
        <v>Main Bldg.</v>
      </c>
      <c r="B301" s="11">
        <f>'Bldgs &amp; Rooms'!$B$10</f>
        <v>0</v>
      </c>
      <c r="C301" s="10" t="str">
        <f>Hours!$A$5</f>
        <v>Distribution Switchboard Multi Cover (Per Section)</v>
      </c>
      <c r="D301" s="11">
        <f t="shared" si="8"/>
        <v>0</v>
      </c>
      <c r="E301" s="16"/>
      <c r="F301" s="17"/>
      <c r="G301" s="17"/>
      <c r="H301" s="17"/>
      <c r="I301" s="17"/>
      <c r="J301" s="17"/>
      <c r="K301" s="17"/>
      <c r="L301" s="12"/>
      <c r="M301" s="12"/>
      <c r="N301" s="12"/>
      <c r="O301" s="17"/>
      <c r="P301" s="12"/>
      <c r="Q301" s="17"/>
      <c r="R301" s="18">
        <f>IF(SUMPRODUCT((E301:Q301)*1)=0,0,E301*INDEX(Hours!M:M,MATCH(C301,Hours!$A:$A,0))+F301*INDEX(Hours!B:B,MATCH(C301,Hours!$A:$A,0))+G301*INDEX(Hours!C:C,MATCH(C301,Hours!$A:$A,0))+H301*INDEX(Hours!D:D,MATCH(C301,Hours!$A:$A,0))+I301*INDEX(Hours!E:E,MATCH(C301,Hours!$A:$A,0))+J301*INDEX(Hours!F:F,MATCH(C301,Hours!$A:$A,0))+K301*INDEX(Hours!G:G,MATCH(C301,Hours!$A:$A,0))+O301*INDEX(Hours!K:K,MATCH(C301,Hours!$A:$A,0)))</f>
        <v>0</v>
      </c>
      <c r="S301" s="19">
        <f t="shared" si="9"/>
        <v>0</v>
      </c>
    </row>
    <row r="302" spans="1:19" x14ac:dyDescent="0.25">
      <c r="A302" s="11" t="str">
        <f>'Bldgs &amp; Rooms'!$A$10</f>
        <v>Main Bldg.</v>
      </c>
      <c r="B302" s="11">
        <f>'Bldgs &amp; Rooms'!$B$10</f>
        <v>0</v>
      </c>
      <c r="C302" s="10" t="str">
        <f>Hours!$A$6</f>
        <v xml:space="preserve">  Switchboard Disconnects</v>
      </c>
      <c r="D302" s="11">
        <f t="shared" si="8"/>
        <v>0</v>
      </c>
      <c r="E302" s="16"/>
      <c r="F302" s="17"/>
      <c r="G302" s="17"/>
      <c r="H302" s="17"/>
      <c r="I302" s="17"/>
      <c r="J302" s="17"/>
      <c r="K302" s="12"/>
      <c r="L302" s="12"/>
      <c r="M302" s="12"/>
      <c r="N302" s="12"/>
      <c r="O302" s="12"/>
      <c r="P302" s="12"/>
      <c r="Q302" s="17"/>
      <c r="R302" s="18">
        <f>IF(SUMPRODUCT((E302:Q302)*1)=0,0,E302*INDEX(Hours!M:M,MATCH(C302,Hours!$A:$A,0))+F302*INDEX(Hours!B:B,MATCH(C302,Hours!$A:$A,0))+G302*INDEX(Hours!C:C,MATCH(C302,Hours!$A:$A,0))+H302*INDEX(Hours!D:D,MATCH(C302,Hours!$A:$A,0))+I302*INDEX(Hours!E:E,MATCH(C302,Hours!$A:$A,0))+J302*INDEX(Hours!F:F,MATCH(C302,Hours!$A:$A,0)))</f>
        <v>0</v>
      </c>
      <c r="S302" s="19">
        <f t="shared" si="9"/>
        <v>0</v>
      </c>
    </row>
    <row r="303" spans="1:19" x14ac:dyDescent="0.25">
      <c r="A303" s="11" t="str">
        <f>'Bldgs &amp; Rooms'!$A$10</f>
        <v>Main Bldg.</v>
      </c>
      <c r="B303" s="11">
        <f>'Bldgs &amp; Rooms'!$B$10</f>
        <v>0</v>
      </c>
      <c r="C303" s="10" t="str">
        <f>Hours!$A$7</f>
        <v xml:space="preserve">  Switchboard Molded Case Breakers</v>
      </c>
      <c r="D303" s="11">
        <f t="shared" si="8"/>
        <v>0</v>
      </c>
      <c r="E303" s="16"/>
      <c r="F303" s="17"/>
      <c r="G303" s="17"/>
      <c r="H303" s="17"/>
      <c r="I303" s="17"/>
      <c r="J303" s="17"/>
      <c r="K303" s="17"/>
      <c r="L303" s="12"/>
      <c r="M303" s="12"/>
      <c r="N303" s="12"/>
      <c r="O303" s="12"/>
      <c r="P303" s="12"/>
      <c r="Q303" s="17"/>
      <c r="R303" s="18">
        <f>IF(SUMPRODUCT((E303:Q303)*1)=0,0,E303*INDEX(Hours!M:M,MATCH(C303,Hours!$A:$A,0))+F303*INDEX(Hours!B:B,MATCH(C303,Hours!$A:$A,0))+G303*INDEX(Hours!C:C,MATCH(C303,Hours!$A:$A,0))+H303*INDEX(Hours!D:D,MATCH(C303,Hours!$A:$A,0))+I303*INDEX(Hours!E:E,MATCH(C303,Hours!$A:$A,0))+J303*INDEX(Hours!F:F,MATCH(C303,Hours!$A:$A,0))+K303*INDEX(Hours!G:G,MATCH(C303,Hours!$A:$A,0)))</f>
        <v>0</v>
      </c>
      <c r="S303" s="19">
        <f t="shared" si="9"/>
        <v>0</v>
      </c>
    </row>
    <row r="304" spans="1:19" x14ac:dyDescent="0.25">
      <c r="A304" s="11" t="str">
        <f>'Bldgs &amp; Rooms'!$A$10</f>
        <v>Main Bldg.</v>
      </c>
      <c r="B304" s="11">
        <f>'Bldgs &amp; Rooms'!$B$10</f>
        <v>0</v>
      </c>
      <c r="C304" s="10" t="str">
        <f>Hours!$A$8</f>
        <v>Panelboard-Single Cover &gt; 400A (Distribution Panel)</v>
      </c>
      <c r="D304" s="11">
        <f t="shared" si="8"/>
        <v>0</v>
      </c>
      <c r="E304" s="16"/>
      <c r="F304" s="17"/>
      <c r="G304" s="17"/>
      <c r="H304" s="17"/>
      <c r="I304" s="17"/>
      <c r="J304" s="17"/>
      <c r="K304" s="17"/>
      <c r="L304" s="12"/>
      <c r="M304" s="12"/>
      <c r="N304" s="12"/>
      <c r="O304" s="17"/>
      <c r="P304" s="12"/>
      <c r="Q304" s="17"/>
      <c r="R304" s="18">
        <f>IF(SUMPRODUCT((E304:Q304)*1)=0,0,E304*INDEX(Hours!M:M,MATCH(C304,Hours!$A:$A,0))+F304*INDEX(Hours!B:B,MATCH(C304,Hours!$A:$A,0))+G304*INDEX(Hours!C:C,MATCH(C304,Hours!$A:$A,0))+H304*INDEX(Hours!D:D,MATCH(C304,Hours!$A:$A,0))+I304*INDEX(Hours!E:E,MATCH(C304,Hours!$A:$A,0))+J304*INDEX(Hours!F:F,MATCH(C304,Hours!$A:$A,0))+K304*INDEX(Hours!G:G,MATCH(C304,Hours!$A:$A,0))+O304*INDEX(Hours!K:K,MATCH(C304,Hours!$A:$A,0)))</f>
        <v>0</v>
      </c>
      <c r="S304" s="19">
        <f t="shared" si="9"/>
        <v>0</v>
      </c>
    </row>
    <row r="305" spans="1:19" x14ac:dyDescent="0.25">
      <c r="A305" s="11" t="str">
        <f>'Bldgs &amp; Rooms'!$A$10</f>
        <v>Main Bldg.</v>
      </c>
      <c r="B305" s="11">
        <f>'Bldgs &amp; Rooms'!$B$10</f>
        <v>0</v>
      </c>
      <c r="C305" s="10" t="str">
        <f>Hours!$A$9</f>
        <v>Panelboard-Single Cover &lt; 400A (Branch Ckt Panel)</v>
      </c>
      <c r="D305" s="11">
        <f t="shared" si="8"/>
        <v>0</v>
      </c>
      <c r="E305" s="16"/>
      <c r="F305" s="17"/>
      <c r="G305" s="17"/>
      <c r="H305" s="17"/>
      <c r="I305" s="17"/>
      <c r="J305" s="17"/>
      <c r="K305" s="12"/>
      <c r="L305" s="12"/>
      <c r="M305" s="12"/>
      <c r="N305" s="12"/>
      <c r="O305" s="17"/>
      <c r="P305" s="12"/>
      <c r="Q305" s="17"/>
      <c r="R305" s="18">
        <f>IF(SUMPRODUCT((E305:Q305)*1)=0,0,E305*INDEX(Hours!M:M,MATCH(C305,Hours!$A:$A,0))+F305*INDEX(Hours!B:B,MATCH(C305,Hours!$A:$A,0))+G305*INDEX(Hours!C:C,MATCH(C305,Hours!$A:$A,0))+H305*INDEX(Hours!D:D,MATCH(C305,Hours!$A:$A,0))+I305*INDEX(Hours!E:E,MATCH(C305,Hours!$A:$A,0))+J305*INDEX(Hours!F:F,MATCH(C305,Hours!$A:$A,0))+O305*INDEX(Hours!K:K,MATCH(C305,Hours!$A:$A,0)))</f>
        <v>0</v>
      </c>
      <c r="S305" s="19">
        <f t="shared" si="9"/>
        <v>0</v>
      </c>
    </row>
    <row r="306" spans="1:19" x14ac:dyDescent="0.25">
      <c r="A306" s="11" t="str">
        <f>'Bldgs &amp; Rooms'!$A$10</f>
        <v>Main Bldg.</v>
      </c>
      <c r="B306" s="11">
        <f>'Bldgs &amp; Rooms'!$B$10</f>
        <v>0</v>
      </c>
      <c r="C306" s="10" t="str">
        <f>Hours!$A$10</f>
        <v>Motor Control Center (MCC-Per Vertical Section)</v>
      </c>
      <c r="D306" s="11">
        <f t="shared" si="8"/>
        <v>0</v>
      </c>
      <c r="E306" s="16"/>
      <c r="F306" s="17"/>
      <c r="G306" s="17"/>
      <c r="H306" s="17"/>
      <c r="I306" s="17"/>
      <c r="J306" s="17"/>
      <c r="K306" s="12"/>
      <c r="L306" s="12"/>
      <c r="M306" s="12"/>
      <c r="N306" s="12"/>
      <c r="O306" s="17"/>
      <c r="P306" s="12"/>
      <c r="Q306" s="17"/>
      <c r="R306" s="18">
        <f>IF(SUMPRODUCT((E306:Q306)*1)=0,0,E306*INDEX(Hours!M:M,MATCH(C306,Hours!$A:$A,0))+F306*INDEX(Hours!B:B,MATCH(C306,Hours!$A:$A,0))+G306*INDEX(Hours!C:C,MATCH(C306,Hours!$A:$A,0))+H306*INDEX(Hours!D:D,MATCH(C306,Hours!$A:$A,0))+I306*INDEX(Hours!E:E,MATCH(C306,Hours!$A:$A,0))+J306*INDEX(Hours!F:F,MATCH(C306,Hours!$A:$A,0))+O306*INDEX(Hours!K:K,MATCH(C306,Hours!$A:$A,0)))</f>
        <v>0</v>
      </c>
      <c r="S306" s="19">
        <f t="shared" si="9"/>
        <v>0</v>
      </c>
    </row>
    <row r="307" spans="1:19" x14ac:dyDescent="0.25">
      <c r="A307" s="11" t="str">
        <f>'Bldgs &amp; Rooms'!$A$10</f>
        <v>Main Bldg.</v>
      </c>
      <c r="B307" s="11">
        <f>'Bldgs &amp; Rooms'!$B$10</f>
        <v>0</v>
      </c>
      <c r="C307" s="10" t="str">
        <f>Hours!$A$11</f>
        <v xml:space="preserve">  MCC: Combination Motor Starters</v>
      </c>
      <c r="D307" s="11">
        <f t="shared" si="8"/>
        <v>0</v>
      </c>
      <c r="E307" s="16"/>
      <c r="F307" s="17"/>
      <c r="G307" s="17"/>
      <c r="H307" s="17"/>
      <c r="I307" s="17"/>
      <c r="J307" s="17"/>
      <c r="K307" s="17"/>
      <c r="L307" s="12"/>
      <c r="M307" s="12"/>
      <c r="N307" s="12"/>
      <c r="O307" s="17"/>
      <c r="P307" s="12"/>
      <c r="Q307" s="17"/>
      <c r="R307" s="18">
        <f>IF(SUMPRODUCT((E307:Q307)*1)=0,0,E307*INDEX(Hours!M:M,MATCH(C307,Hours!$A:$A,0))+F307*INDEX(Hours!B:B,MATCH(C307,Hours!$A:$A,0))+G307*INDEX(Hours!C:C,MATCH(C307,Hours!$A:$A,0))+H307*INDEX(Hours!D:D,MATCH(C307,Hours!$A:$A,0))+I307*INDEX(Hours!E:E,MATCH(C307,Hours!$A:$A,0))+J307*INDEX(Hours!F:F,MATCH(C307,Hours!$A:$A,0))+K307*INDEX(Hours!G:G,MATCH(C307,Hours!$A:$A,0))+O307*INDEX(Hours!K:K,MATCH(C307,Hours!$A:$A,0)))</f>
        <v>0</v>
      </c>
      <c r="S307" s="19">
        <f t="shared" si="9"/>
        <v>0</v>
      </c>
    </row>
    <row r="308" spans="1:19" x14ac:dyDescent="0.25">
      <c r="A308" s="11" t="str">
        <f>'Bldgs &amp; Rooms'!$A$10</f>
        <v>Main Bldg.</v>
      </c>
      <c r="B308" s="11">
        <f>'Bldgs &amp; Rooms'!$B$10</f>
        <v>0</v>
      </c>
      <c r="C308" s="10" t="str">
        <f>Hours!$A$12</f>
        <v xml:space="preserve">  MCC: Molded Case Breaker</v>
      </c>
      <c r="D308" s="11">
        <f t="shared" si="8"/>
        <v>0</v>
      </c>
      <c r="E308" s="16"/>
      <c r="F308" s="17"/>
      <c r="G308" s="17"/>
      <c r="H308" s="17"/>
      <c r="I308" s="17"/>
      <c r="J308" s="17"/>
      <c r="K308" s="17"/>
      <c r="L308" s="12"/>
      <c r="M308" s="12"/>
      <c r="N308" s="12"/>
      <c r="O308" s="12"/>
      <c r="P308" s="12"/>
      <c r="Q308" s="17"/>
      <c r="R308" s="18">
        <f>IF(SUMPRODUCT((E308:Q308)*1)=0,0,E308*INDEX(Hours!M:M,MATCH(C308,Hours!$A:$A,0))+F308*INDEX(Hours!B:B,MATCH(C308,Hours!$A:$A,0))+G308*INDEX(Hours!C:C,MATCH(C308,Hours!$A:$A,0))+H308*INDEX(Hours!D:D,MATCH(C308,Hours!$A:$A,0))+I308*INDEX(Hours!E:E,MATCH(C308,Hours!$A:$A,0))+J308*INDEX(Hours!F:F,MATCH(C308,Hours!$A:$A,0))+K308*INDEX(Hours!G:G,MATCH(C308,Hours!$A:$A,0)))</f>
        <v>0</v>
      </c>
      <c r="S308" s="19">
        <f t="shared" si="9"/>
        <v>0</v>
      </c>
    </row>
    <row r="309" spans="1:19" x14ac:dyDescent="0.25">
      <c r="A309" s="11" t="str">
        <f>'Bldgs &amp; Rooms'!$A$10</f>
        <v>Main Bldg.</v>
      </c>
      <c r="B309" s="11">
        <f>'Bldgs &amp; Rooms'!$B$10</f>
        <v>0</v>
      </c>
      <c r="C309" s="10" t="str">
        <f>Hours!$A$13</f>
        <v xml:space="preserve">  MCC: Individual Disconnect Switch</v>
      </c>
      <c r="D309" s="11">
        <f t="shared" si="8"/>
        <v>0</v>
      </c>
      <c r="E309" s="16"/>
      <c r="F309" s="17"/>
      <c r="G309" s="17"/>
      <c r="H309" s="17"/>
      <c r="I309" s="17"/>
      <c r="J309" s="17"/>
      <c r="K309" s="12"/>
      <c r="L309" s="12"/>
      <c r="M309" s="12"/>
      <c r="N309" s="12"/>
      <c r="O309" s="12"/>
      <c r="P309" s="12"/>
      <c r="Q309" s="17"/>
      <c r="R309" s="18">
        <f>IF(SUMPRODUCT((E309:Q309)*1)=0,0,E309*INDEX(Hours!M:M,MATCH(C309,Hours!$A:$A,0))+F309*INDEX(Hours!B:B,MATCH(C309,Hours!$A:$A,0))+G309*INDEX(Hours!C:C,MATCH(C309,Hours!$A:$A,0))+H309*INDEX(Hours!D:D,MATCH(C309,Hours!$A:$A,0))+I309*INDEX(Hours!E:E,MATCH(C309,Hours!$A:$A,0))+J309*INDEX(Hours!F:F,MATCH(C309,Hours!$A:$A,0)))</f>
        <v>0</v>
      </c>
      <c r="S309" s="19">
        <f t="shared" si="9"/>
        <v>0</v>
      </c>
    </row>
    <row r="310" spans="1:19" x14ac:dyDescent="0.25">
      <c r="A310" s="11" t="str">
        <f>'Bldgs &amp; Rooms'!$A$10</f>
        <v>Main Bldg.</v>
      </c>
      <c r="B310" s="11">
        <f>'Bldgs &amp; Rooms'!$B$10</f>
        <v>0</v>
      </c>
      <c r="C310" s="10" t="str">
        <f>Hours!$A$14</f>
        <v>Motor Control Panel (MCP)</v>
      </c>
      <c r="D310" s="11">
        <f t="shared" si="8"/>
        <v>0</v>
      </c>
      <c r="E310" s="16"/>
      <c r="F310" s="17"/>
      <c r="G310" s="17"/>
      <c r="H310" s="17"/>
      <c r="I310" s="17"/>
      <c r="J310" s="17"/>
      <c r="K310" s="12"/>
      <c r="L310" s="12"/>
      <c r="M310" s="12"/>
      <c r="N310" s="12"/>
      <c r="O310" s="17"/>
      <c r="P310" s="12"/>
      <c r="Q310" s="17"/>
      <c r="R310" s="18">
        <f>IF(SUMPRODUCT((E310:Q310)*1)=0,0,E310*INDEX(Hours!M:M,MATCH(C310,Hours!$A:$A,0))+F310*INDEX(Hours!B:B,MATCH(C310,Hours!$A:$A,0))+G310*INDEX(Hours!C:C,MATCH(C310,Hours!$A:$A,0))+H310*INDEX(Hours!D:D,MATCH(C310,Hours!$A:$A,0))+I310*INDEX(Hours!E:E,MATCH(C310,Hours!$A:$A,0))+J310*INDEX(Hours!F:F,MATCH(C310,Hours!$A:$A,0))+O310*INDEX(Hours!K:K,MATCH(C310,Hours!$A:$A,0)))</f>
        <v>0</v>
      </c>
      <c r="S310" s="19">
        <f t="shared" si="9"/>
        <v>0</v>
      </c>
    </row>
    <row r="311" spans="1:19" x14ac:dyDescent="0.25">
      <c r="A311" s="11" t="str">
        <f>'Bldgs &amp; Rooms'!$A$10</f>
        <v>Main Bldg.</v>
      </c>
      <c r="B311" s="11">
        <f>'Bldgs &amp; Rooms'!$B$10</f>
        <v>0</v>
      </c>
      <c r="C311" s="10" t="str">
        <f>Hours!$A$15</f>
        <v>VFD Motor Control Panel (VFD-MCP)</v>
      </c>
      <c r="D311" s="11">
        <f t="shared" si="8"/>
        <v>0</v>
      </c>
      <c r="E311" s="16"/>
      <c r="F311" s="17"/>
      <c r="G311" s="17"/>
      <c r="H311" s="17"/>
      <c r="I311" s="17"/>
      <c r="J311" s="17"/>
      <c r="K311" s="12"/>
      <c r="L311" s="12"/>
      <c r="M311" s="12"/>
      <c r="N311" s="12"/>
      <c r="O311" s="17"/>
      <c r="P311" s="12"/>
      <c r="Q311" s="17"/>
      <c r="R311" s="18">
        <f>IF(SUMPRODUCT((E311:Q311)*1)=0,0,E311*INDEX(Hours!M:M,MATCH(C311,Hours!$A:$A,0))+F311*INDEX(Hours!B:B,MATCH(C311,Hours!$A:$A,0))+G311*INDEX(Hours!C:C,MATCH(C311,Hours!$A:$A,0))+H311*INDEX(Hours!D:D,MATCH(C311,Hours!$A:$A,0))+I311*INDEX(Hours!E:E,MATCH(C311,Hours!$A:$A,0))+J311*INDEX(Hours!F:F,MATCH(C311,Hours!$A:$A,0))+O311*INDEX(Hours!K:K,MATCH(C311,Hours!$A:$A,0)))</f>
        <v>0</v>
      </c>
      <c r="S311" s="19">
        <f t="shared" si="9"/>
        <v>0</v>
      </c>
    </row>
    <row r="312" spans="1:19" x14ac:dyDescent="0.25">
      <c r="A312" s="11" t="str">
        <f>'Bldgs &amp; Rooms'!$A$10</f>
        <v>Main Bldg.</v>
      </c>
      <c r="B312" s="11">
        <f>'Bldgs &amp; Rooms'!$B$10</f>
        <v>0</v>
      </c>
      <c r="C312" s="10" t="str">
        <f>Hours!$A$16</f>
        <v>Individual Disconnect Switch &gt; 100A</v>
      </c>
      <c r="D312" s="11">
        <f t="shared" si="8"/>
        <v>0</v>
      </c>
      <c r="E312" s="16"/>
      <c r="F312" s="17"/>
      <c r="G312" s="17"/>
      <c r="H312" s="17"/>
      <c r="I312" s="17"/>
      <c r="J312" s="17"/>
      <c r="K312" s="17"/>
      <c r="L312" s="12"/>
      <c r="M312" s="12"/>
      <c r="N312" s="12"/>
      <c r="O312" s="12"/>
      <c r="P312" s="12"/>
      <c r="Q312" s="17"/>
      <c r="R312" s="18">
        <f>IF(SUMPRODUCT((E312:Q312)*1)=0,0,E312*INDEX(Hours!M:M,MATCH(C312,Hours!$A:$A,0))+F312*INDEX(Hours!B:B,MATCH(C312,Hours!$A:$A,0))+G312*INDEX(Hours!C:C,MATCH(C312,Hours!$A:$A,0))+H312*INDEX(Hours!D:D,MATCH(C312,Hours!$A:$A,0))+I312*INDEX(Hours!E:E,MATCH(C312,Hours!$A:$A,0))+J312*INDEX(Hours!F:F,MATCH(C312,Hours!$A:$A,0))+K312*INDEX(Hours!G:G,MATCH(C312,Hours!$A:$A,0)))</f>
        <v>0</v>
      </c>
      <c r="S312" s="19">
        <f t="shared" si="9"/>
        <v>0</v>
      </c>
    </row>
    <row r="313" spans="1:19" x14ac:dyDescent="0.25">
      <c r="A313" s="11" t="str">
        <f>'Bldgs &amp; Rooms'!$A$10</f>
        <v>Main Bldg.</v>
      </c>
      <c r="B313" s="11">
        <f>'Bldgs &amp; Rooms'!$B$10</f>
        <v>0</v>
      </c>
      <c r="C313" s="10" t="str">
        <f>Hours!$A$17</f>
        <v>Individual Molded Case Breaker &gt; 100A</v>
      </c>
      <c r="D313" s="11">
        <f t="shared" si="8"/>
        <v>0</v>
      </c>
      <c r="E313" s="16"/>
      <c r="F313" s="17"/>
      <c r="G313" s="17"/>
      <c r="H313" s="17"/>
      <c r="I313" s="17"/>
      <c r="J313" s="17"/>
      <c r="K313" s="17"/>
      <c r="L313" s="12"/>
      <c r="M313" s="12"/>
      <c r="N313" s="12"/>
      <c r="O313" s="12"/>
      <c r="P313" s="12"/>
      <c r="Q313" s="17"/>
      <c r="R313" s="18">
        <f>IF(SUMPRODUCT((E313:Q313)*1)=0,0,E313*INDEX(Hours!M:M,MATCH(C313,Hours!$A:$A,0))+F313*INDEX(Hours!B:B,MATCH(C313,Hours!$A:$A,0))+G313*INDEX(Hours!C:C,MATCH(C313,Hours!$A:$A,0))+H313*INDEX(Hours!D:D,MATCH(C313,Hours!$A:$A,0))+I313*INDEX(Hours!E:E,MATCH(C313,Hours!$A:$A,0))+J313*INDEX(Hours!F:F,MATCH(C313,Hours!$A:$A,0))+K313*INDEX(Hours!G:G,MATCH(C313,Hours!$A:$A,0)))</f>
        <v>0</v>
      </c>
      <c r="S313" s="19">
        <f t="shared" si="9"/>
        <v>0</v>
      </c>
    </row>
    <row r="314" spans="1:19" x14ac:dyDescent="0.25">
      <c r="A314" s="11" t="str">
        <f>'Bldgs &amp; Rooms'!$A$10</f>
        <v>Main Bldg.</v>
      </c>
      <c r="B314" s="11">
        <f>'Bldgs &amp; Rooms'!$B$10</f>
        <v>0</v>
      </c>
      <c r="C314" s="10" t="str">
        <f>Hours!$A$18</f>
        <v>Individual Combination Motor Starter &gt; 100A</v>
      </c>
      <c r="D314" s="11">
        <f t="shared" si="8"/>
        <v>0</v>
      </c>
      <c r="E314" s="16"/>
      <c r="F314" s="17"/>
      <c r="G314" s="17"/>
      <c r="H314" s="17"/>
      <c r="I314" s="17"/>
      <c r="J314" s="17"/>
      <c r="K314" s="17"/>
      <c r="L314" s="12"/>
      <c r="M314" s="12"/>
      <c r="N314" s="12"/>
      <c r="O314" s="12"/>
      <c r="P314" s="12"/>
      <c r="Q314" s="17"/>
      <c r="R314" s="18">
        <f>IF(SUMPRODUCT((E314:Q314)*1)=0,0,E314*INDEX(Hours!M:M,MATCH(C314,Hours!$A:$A,0))+F314*INDEX(Hours!B:B,MATCH(C314,Hours!$A:$A,0))+G314*INDEX(Hours!C:C,MATCH(C314,Hours!$A:$A,0))+H314*INDEX(Hours!D:D,MATCH(C314,Hours!$A:$A,0))+I314*INDEX(Hours!E:E,MATCH(C314,Hours!$A:$A,0))+J314*INDEX(Hours!F:F,MATCH(C314,Hours!$A:$A,0))+K314*INDEX(Hours!G:G,MATCH(C314,Hours!$A:$A,0)))</f>
        <v>0</v>
      </c>
      <c r="S314" s="19">
        <f t="shared" si="9"/>
        <v>0</v>
      </c>
    </row>
    <row r="315" spans="1:19" x14ac:dyDescent="0.25">
      <c r="A315" s="11" t="str">
        <f>'Bldgs &amp; Rooms'!$A$10</f>
        <v>Main Bldg.</v>
      </c>
      <c r="B315" s="11">
        <f>'Bldgs &amp; Rooms'!$B$10</f>
        <v>0</v>
      </c>
      <c r="C315" s="10" t="str">
        <f>Hours!$A$19</f>
        <v>Oil Filled Transformer - 5kV-15kV Primary - Any Size (Pad Mounted)</v>
      </c>
      <c r="D315" s="11">
        <f t="shared" si="8"/>
        <v>0</v>
      </c>
      <c r="E315" s="16"/>
      <c r="F315" s="17"/>
      <c r="G315" s="17"/>
      <c r="H315" s="17"/>
      <c r="I315" s="17"/>
      <c r="J315" s="17"/>
      <c r="K315" s="12"/>
      <c r="L315" s="12"/>
      <c r="M315" s="17"/>
      <c r="N315" s="17"/>
      <c r="O315" s="12"/>
      <c r="P315" s="17"/>
      <c r="Q315" s="17"/>
      <c r="R315" s="18">
        <f>IF(SUMPRODUCT((E315:Q315)*1)=0,0,E315*INDEX(Hours!M:M,MATCH(C315,Hours!$A:$A,0))+F315*INDEX(Hours!B:B,MATCH(C315,Hours!$A:$A,0))+G315*INDEX(Hours!C:C,MATCH(C315,Hours!$A:$A,0))+H315*INDEX(Hours!D:D,MATCH(C315,Hours!$A:$A,0))+I315*INDEX(Hours!E:E,MATCH(C315,Hours!$A:$A,0))+J315*INDEX(Hours!F:F,MATCH(C315,Hours!$A:$A,0))+M315*INDEX(Hours!I:I,MATCH(C315,Hours!$A:$A,0))+N315*INDEX(Hours!J:J,MATCH(C315,Hours!$A:$A,0))+P315*INDEX(Hours!L:L,MATCH(C315,Hours!$A:$A,0)))</f>
        <v>0</v>
      </c>
      <c r="S315" s="19">
        <f t="shared" si="9"/>
        <v>0</v>
      </c>
    </row>
    <row r="316" spans="1:19" x14ac:dyDescent="0.25">
      <c r="A316" s="11" t="str">
        <f>'Bldgs &amp; Rooms'!$A$10</f>
        <v>Main Bldg.</v>
      </c>
      <c r="B316" s="11">
        <f>'Bldgs &amp; Rooms'!$B$10</f>
        <v>0</v>
      </c>
      <c r="C316" s="10" t="str">
        <f>Hours!$A$20</f>
        <v>Oil Filled Transformer - &gt; 15kV Primary (Substation Class)</v>
      </c>
      <c r="D316" s="11">
        <f t="shared" si="8"/>
        <v>0</v>
      </c>
      <c r="E316" s="16"/>
      <c r="F316" s="17"/>
      <c r="G316" s="17"/>
      <c r="H316" s="17"/>
      <c r="I316" s="17"/>
      <c r="J316" s="17"/>
      <c r="K316" s="12"/>
      <c r="L316" s="12"/>
      <c r="M316" s="17"/>
      <c r="N316" s="17"/>
      <c r="O316" s="12"/>
      <c r="P316" s="17"/>
      <c r="Q316" s="17"/>
      <c r="R316" s="18">
        <f>IF(SUMPRODUCT((E316:Q316)*1)=0,0,E316*INDEX(Hours!M:M,MATCH(C316,Hours!$A:$A,0))+F316*INDEX(Hours!B:B,MATCH(C316,Hours!$A:$A,0))+G316*INDEX(Hours!C:C,MATCH(C316,Hours!$A:$A,0))+H316*INDEX(Hours!D:D,MATCH(C316,Hours!$A:$A,0))+I316*INDEX(Hours!E:E,MATCH(C316,Hours!$A:$A,0))+J316*INDEX(Hours!F:F,MATCH(C316,Hours!$A:$A,0))+M316*INDEX(Hours!I:I,MATCH(C316,Hours!$A:$A,0))+N316*INDEX(Hours!J:J,MATCH(C316,Hours!$A:$A,0))+P316*INDEX(Hours!L:L,MATCH(C316,Hours!$A:$A,0)))</f>
        <v>0</v>
      </c>
      <c r="S316" s="19">
        <f t="shared" si="9"/>
        <v>0</v>
      </c>
    </row>
    <row r="317" spans="1:19" x14ac:dyDescent="0.25">
      <c r="A317" s="11" t="str">
        <f>'Bldgs &amp; Rooms'!$A$10</f>
        <v>Main Bldg.</v>
      </c>
      <c r="B317" s="11">
        <f>'Bldgs &amp; Rooms'!$B$10</f>
        <v>0</v>
      </c>
      <c r="C317" s="10" t="str">
        <f>Hours!$A$21</f>
        <v>Dry Type Transformer - &lt; 480V Primary - Any Size kVA</v>
      </c>
      <c r="D317" s="11">
        <f t="shared" si="8"/>
        <v>0</v>
      </c>
      <c r="E317" s="16"/>
      <c r="F317" s="17"/>
      <c r="G317" s="17"/>
      <c r="H317" s="17"/>
      <c r="I317" s="17"/>
      <c r="J317" s="17"/>
      <c r="K317" s="12"/>
      <c r="L317" s="12"/>
      <c r="M317" s="17"/>
      <c r="N317" s="17"/>
      <c r="O317" s="12"/>
      <c r="P317" s="12"/>
      <c r="Q317" s="17"/>
      <c r="R317" s="18">
        <f>IF(SUMPRODUCT((E317:Q317)*1)=0,0,E317*INDEX(Hours!M:M,MATCH(C317,Hours!$A:$A,0))+F317*INDEX(Hours!B:B,MATCH(C317,Hours!$A:$A,0))+G317*INDEX(Hours!C:C,MATCH(C317,Hours!$A:$A,0))+H317*INDEX(Hours!D:D,MATCH(C317,Hours!$A:$A,0))+I317*INDEX(Hours!E:E,MATCH(C317,Hours!$A:$A,0))+J317*INDEX(Hours!F:F,MATCH(C317,Hours!$A:$A,0))+M317*INDEX(Hours!I:I,MATCH(C317,Hours!$A:$A,0))+N317*INDEX(Hours!J:J,MATCH(C317,Hours!$A:$A,0)))</f>
        <v>0</v>
      </c>
      <c r="S317" s="19">
        <f t="shared" si="9"/>
        <v>0</v>
      </c>
    </row>
    <row r="318" spans="1:19" x14ac:dyDescent="0.25">
      <c r="A318" s="11" t="str">
        <f>'Bldgs &amp; Rooms'!$A$10</f>
        <v>Main Bldg.</v>
      </c>
      <c r="B318" s="11">
        <f>'Bldgs &amp; Rooms'!$B$10</f>
        <v>0</v>
      </c>
      <c r="C318" s="10" t="str">
        <f>Hours!$A$22</f>
        <v>Power Factor Correction Capacitors</v>
      </c>
      <c r="D318" s="11">
        <f t="shared" si="8"/>
        <v>0</v>
      </c>
      <c r="E318" s="16"/>
      <c r="F318" s="17"/>
      <c r="G318" s="17"/>
      <c r="H318" s="17"/>
      <c r="I318" s="17"/>
      <c r="J318" s="17"/>
      <c r="K318" s="12"/>
      <c r="L318" s="12"/>
      <c r="M318" s="12"/>
      <c r="N318" s="12"/>
      <c r="O318" s="12"/>
      <c r="P318" s="12"/>
      <c r="Q318" s="17"/>
      <c r="R318" s="18">
        <f>IF(SUMPRODUCT((E318:Q318)*1)=0,0,E318*INDEX(Hours!M:M,MATCH(C318,Hours!$A:$A,0))+F318*INDEX(Hours!B:B,MATCH(C318,Hours!$A:$A,0))+G318*INDEX(Hours!C:C,MATCH(C318,Hours!$A:$A,0))+H318*INDEX(Hours!D:D,MATCH(C318,Hours!$A:$A,0))+I318*INDEX(Hours!E:E,MATCH(C318,Hours!$A:$A,0))+J318*INDEX(Hours!F:F,MATCH(C318,Hours!$A:$A,0)))</f>
        <v>0</v>
      </c>
      <c r="S318" s="19">
        <f t="shared" si="9"/>
        <v>0</v>
      </c>
    </row>
    <row r="319" spans="1:19" x14ac:dyDescent="0.25">
      <c r="A319" s="11" t="str">
        <f>'Bldgs &amp; Rooms'!$A$10</f>
        <v>Main Bldg.</v>
      </c>
      <c r="B319" s="11">
        <f>'Bldgs &amp; Rooms'!$B$10</f>
        <v>0</v>
      </c>
      <c r="C319" s="10" t="str">
        <f>Hours!$A$23</f>
        <v>Lighting Contactor &gt; 100A</v>
      </c>
      <c r="D319" s="11">
        <f t="shared" si="8"/>
        <v>0</v>
      </c>
      <c r="E319" s="16"/>
      <c r="F319" s="17"/>
      <c r="G319" s="17"/>
      <c r="H319" s="17"/>
      <c r="I319" s="17"/>
      <c r="J319" s="17"/>
      <c r="K319" s="12"/>
      <c r="L319" s="12"/>
      <c r="M319" s="12"/>
      <c r="N319" s="12"/>
      <c r="O319" s="12"/>
      <c r="P319" s="12"/>
      <c r="Q319" s="17"/>
      <c r="R319" s="18">
        <f>IF(SUMPRODUCT((E319:Q319)*1)=0,0,E319*INDEX(Hours!M:M,MATCH(C319,Hours!$A:$A,0))+F319*INDEX(Hours!B:B,MATCH(C319,Hours!$A:$A,0))+G319*INDEX(Hours!C:C,MATCH(C319,Hours!$A:$A,0))+H319*INDEX(Hours!D:D,MATCH(C319,Hours!$A:$A,0))+I319*INDEX(Hours!E:E,MATCH(C319,Hours!$A:$A,0))+J319*INDEX(Hours!F:F,MATCH(C319,Hours!$A:$A,0)))</f>
        <v>0</v>
      </c>
      <c r="S319" s="19">
        <f t="shared" si="9"/>
        <v>0</v>
      </c>
    </row>
    <row r="320" spans="1:19" x14ac:dyDescent="0.25">
      <c r="A320" s="11" t="str">
        <f>'Bldgs &amp; Rooms'!$A$10</f>
        <v>Main Bldg.</v>
      </c>
      <c r="B320" s="11">
        <f>'Bldgs &amp; Rooms'!$B$10</f>
        <v>0</v>
      </c>
      <c r="C320" s="10" t="str">
        <f>Hours!$A$24</f>
        <v>Power Distribution Unit (PDU)</v>
      </c>
      <c r="D320" s="11">
        <f t="shared" si="8"/>
        <v>0</v>
      </c>
      <c r="E320" s="16"/>
      <c r="F320" s="17"/>
      <c r="G320" s="17"/>
      <c r="H320" s="17"/>
      <c r="I320" s="17"/>
      <c r="J320" s="17"/>
      <c r="K320" s="12"/>
      <c r="L320" s="12"/>
      <c r="M320" s="12"/>
      <c r="N320" s="12"/>
      <c r="O320" s="12"/>
      <c r="P320" s="12"/>
      <c r="Q320" s="17"/>
      <c r="R320" s="18">
        <f>IF(SUMPRODUCT((E320:Q320)*1)=0,0,E320*INDEX(Hours!M:M,MATCH(C320,Hours!$A:$A,0))+F320*INDEX(Hours!B:B,MATCH(C320,Hours!$A:$A,0))+G320*INDEX(Hours!C:C,MATCH(C320,Hours!$A:$A,0))+H320*INDEX(Hours!D:D,MATCH(C320,Hours!$A:$A,0))+I320*INDEX(Hours!E:E,MATCH(C320,Hours!$A:$A,0))+J320*INDEX(Hours!F:F,MATCH(C320,Hours!$A:$A,0)))</f>
        <v>0</v>
      </c>
      <c r="S320" s="19">
        <f t="shared" si="9"/>
        <v>0</v>
      </c>
    </row>
    <row r="321" spans="1:19" x14ac:dyDescent="0.25">
      <c r="A321" s="11" t="str">
        <f>'Bldgs &amp; Rooms'!$A$10</f>
        <v>Main Bldg.</v>
      </c>
      <c r="B321" s="11">
        <f>'Bldgs &amp; Rooms'!$B$10</f>
        <v>0</v>
      </c>
      <c r="C321" s="10" t="str">
        <f>Hours!$A$25</f>
        <v>Wire Trough, Gutter, or Large Junction Boxes</v>
      </c>
      <c r="D321" s="11">
        <f t="shared" si="8"/>
        <v>0</v>
      </c>
      <c r="E321" s="16"/>
      <c r="F321" s="17"/>
      <c r="G321" s="17"/>
      <c r="H321" s="17"/>
      <c r="I321" s="17"/>
      <c r="J321" s="17"/>
      <c r="K321" s="12"/>
      <c r="L321" s="12"/>
      <c r="M321" s="12"/>
      <c r="N321" s="12"/>
      <c r="O321" s="12"/>
      <c r="P321" s="12"/>
      <c r="Q321" s="17"/>
      <c r="R321" s="18">
        <f>IF(SUMPRODUCT((E321:Q321)*1)=0,0,E321*INDEX(Hours!M:M,MATCH(C321,Hours!$A:$A,0))+F321*INDEX(Hours!B:B,MATCH(C321,Hours!$A:$A,0))+G321*INDEX(Hours!C:C,MATCH(C321,Hours!$A:$A,0))+H321*INDEX(Hours!D:D,MATCH(C321,Hours!$A:$A,0))+I321*INDEX(Hours!E:E,MATCH(C321,Hours!$A:$A,0))+J321*INDEX(Hours!F:F,MATCH(C321,Hours!$A:$A,0)))</f>
        <v>0</v>
      </c>
      <c r="S321" s="19">
        <f t="shared" si="9"/>
        <v>0</v>
      </c>
    </row>
    <row r="322" spans="1:19" x14ac:dyDescent="0.25">
      <c r="A322" s="11" t="str">
        <f>'Bldgs &amp; Rooms'!$A$10</f>
        <v>Main Bldg.</v>
      </c>
      <c r="B322" s="11">
        <f>'Bldgs &amp; Rooms'!$B$10</f>
        <v>0</v>
      </c>
      <c r="C322" s="10" t="str">
        <f>Hours!$A$26</f>
        <v>Bus Duct - Vertical or Horizontal (Per 10' section)</v>
      </c>
      <c r="D322" s="11">
        <f t="shared" ref="D322:D385" si="10">MAX(E322+F322,G322,H322,I322,J322,K322,L322,M322,N322,O322,P322,Q322)</f>
        <v>0</v>
      </c>
      <c r="E322" s="16"/>
      <c r="F322" s="17"/>
      <c r="G322" s="17"/>
      <c r="H322" s="17"/>
      <c r="I322" s="17"/>
      <c r="J322" s="17"/>
      <c r="K322" s="12"/>
      <c r="L322" s="12"/>
      <c r="M322" s="12"/>
      <c r="N322" s="12"/>
      <c r="O322" s="12"/>
      <c r="P322" s="12"/>
      <c r="Q322" s="17"/>
      <c r="R322" s="18">
        <f>IF(SUMPRODUCT((E322:Q322)*1)=0,0,E322*INDEX(Hours!M:M,MATCH(C322,Hours!$A:$A,0))+F322*INDEX(Hours!B:B,MATCH(C322,Hours!$A:$A,0))+G322*INDEX(Hours!C:C,MATCH(C322,Hours!$A:$A,0))+H322*INDEX(Hours!D:D,MATCH(C322,Hours!$A:$A,0))+I322*INDEX(Hours!E:E,MATCH(C322,Hours!$A:$A,0))+J322*INDEX(Hours!F:F,MATCH(C322,Hours!$A:$A,0)))</f>
        <v>0</v>
      </c>
      <c r="S322" s="19">
        <f t="shared" ref="S322:S385" si="11">MAX(E322+F322,G322,H322,I322,J322,K322,L322,M322,N322,O322,P322,Q322)</f>
        <v>0</v>
      </c>
    </row>
    <row r="323" spans="1:19" x14ac:dyDescent="0.25">
      <c r="A323" s="11" t="str">
        <f>'Bldgs &amp; Rooms'!$A$10</f>
        <v>Main Bldg.</v>
      </c>
      <c r="B323" s="11">
        <f>'Bldgs &amp; Rooms'!$B$10</f>
        <v>0</v>
      </c>
      <c r="C323" s="10" t="str">
        <f>Hours!$A$27</f>
        <v>Automatic Transfer Switch (ATS) &gt; 100A</v>
      </c>
      <c r="D323" s="11">
        <f t="shared" si="10"/>
        <v>0</v>
      </c>
      <c r="E323" s="16"/>
      <c r="F323" s="17"/>
      <c r="G323" s="17"/>
      <c r="H323" s="17"/>
      <c r="I323" s="17"/>
      <c r="J323" s="17"/>
      <c r="K323" s="12"/>
      <c r="L323" s="12"/>
      <c r="M323" s="12"/>
      <c r="N323" s="12"/>
      <c r="O323" s="12"/>
      <c r="P323" s="12"/>
      <c r="Q323" s="17"/>
      <c r="R323" s="18">
        <f>IF(SUMPRODUCT((E323:Q323)*1)=0,0,E323*INDEX(Hours!M:M,MATCH(C323,Hours!$A:$A,0))+F323*INDEX(Hours!B:B,MATCH(C323,Hours!$A:$A,0))+G323*INDEX(Hours!C:C,MATCH(C323,Hours!$A:$A,0))+H323*INDEX(Hours!D:D,MATCH(C323,Hours!$A:$A,0))+I323*INDEX(Hours!E:E,MATCH(C323,Hours!$A:$A,0))+J323*INDEX(Hours!F:F,MATCH(C323,Hours!$A:$A,0)))</f>
        <v>0</v>
      </c>
      <c r="S323" s="19">
        <f t="shared" si="11"/>
        <v>0</v>
      </c>
    </row>
    <row r="324" spans="1:19" x14ac:dyDescent="0.25">
      <c r="A324" s="11" t="str">
        <f>'Bldgs &amp; Rooms'!$A$10</f>
        <v>Main Bldg.</v>
      </c>
      <c r="B324" s="11">
        <f>'Bldgs &amp; Rooms'!$B$10</f>
        <v>0</v>
      </c>
      <c r="C324" s="10" t="str">
        <f>Hours!$A$28</f>
        <v>Manual Transfer Switch (MTS) &gt; 100A</v>
      </c>
      <c r="D324" s="11">
        <f t="shared" si="10"/>
        <v>0</v>
      </c>
      <c r="E324" s="16"/>
      <c r="F324" s="17"/>
      <c r="G324" s="17"/>
      <c r="H324" s="17"/>
      <c r="I324" s="17"/>
      <c r="J324" s="17"/>
      <c r="K324" s="12"/>
      <c r="L324" s="12"/>
      <c r="M324" s="12"/>
      <c r="N324" s="12"/>
      <c r="O324" s="12"/>
      <c r="P324" s="12"/>
      <c r="Q324" s="17"/>
      <c r="R324" s="18">
        <f>IF(SUMPRODUCT((E324:Q324)*1)=0,0,E324*INDEX(Hours!M:M,MATCH(C324,Hours!$A:$A,0))+F324*INDEX(Hours!B:B,MATCH(C324,Hours!$A:$A,0))+G324*INDEX(Hours!C:C,MATCH(C324,Hours!$A:$A,0))+H324*INDEX(Hours!D:D,MATCH(C324,Hours!$A:$A,0))+I324*INDEX(Hours!E:E,MATCH(C324,Hours!$A:$A,0))+J324*INDEX(Hours!F:F,MATCH(C324,Hours!$A:$A,0)))</f>
        <v>0</v>
      </c>
      <c r="S324" s="19">
        <f t="shared" si="11"/>
        <v>0</v>
      </c>
    </row>
    <row r="325" spans="1:19" x14ac:dyDescent="0.25">
      <c r="A325" s="11" t="str">
        <f>'Bldgs &amp; Rooms'!$A$10</f>
        <v>Main Bldg.</v>
      </c>
      <c r="B325" s="11">
        <f>'Bldgs &amp; Rooms'!$B$10</f>
        <v>0</v>
      </c>
      <c r="C325" s="10" t="str">
        <f>Hours!$A$29</f>
        <v>Variable Frequency Drives (VFD) &lt; 50 HP</v>
      </c>
      <c r="D325" s="11">
        <f t="shared" si="10"/>
        <v>0</v>
      </c>
      <c r="E325" s="16"/>
      <c r="F325" s="17"/>
      <c r="G325" s="17"/>
      <c r="H325" s="17"/>
      <c r="I325" s="17"/>
      <c r="J325" s="17"/>
      <c r="K325" s="12"/>
      <c r="L325" s="12"/>
      <c r="M325" s="12"/>
      <c r="N325" s="12"/>
      <c r="O325" s="12"/>
      <c r="P325" s="12"/>
      <c r="Q325" s="17"/>
      <c r="R325" s="18">
        <f>IF(SUMPRODUCT((E325:Q325)*1)=0,0,E325*INDEX(Hours!M:M,MATCH(C325,Hours!$A:$A,0))+F325*INDEX(Hours!B:B,MATCH(C325,Hours!$A:$A,0))+G325*INDEX(Hours!C:C,MATCH(C325,Hours!$A:$A,0))+H325*INDEX(Hours!D:D,MATCH(C325,Hours!$A:$A,0))+I325*INDEX(Hours!E:E,MATCH(C325,Hours!$A:$A,0))+J325*INDEX(Hours!F:F,MATCH(C325,Hours!$A:$A,0)))</f>
        <v>0</v>
      </c>
      <c r="S325" s="19">
        <f t="shared" si="11"/>
        <v>0</v>
      </c>
    </row>
    <row r="326" spans="1:19" x14ac:dyDescent="0.25">
      <c r="A326" s="11" t="str">
        <f>'Bldgs &amp; Rooms'!$A$10</f>
        <v>Main Bldg.</v>
      </c>
      <c r="B326" s="11">
        <f>'Bldgs &amp; Rooms'!$B$10</f>
        <v>0</v>
      </c>
      <c r="C326" s="10" t="str">
        <f>Hours!$A$30</f>
        <v>Variable Frequency Drives (VFD) 51-200 HP</v>
      </c>
      <c r="D326" s="11">
        <f t="shared" si="10"/>
        <v>0</v>
      </c>
      <c r="E326" s="16"/>
      <c r="F326" s="17"/>
      <c r="G326" s="17"/>
      <c r="H326" s="17"/>
      <c r="I326" s="17"/>
      <c r="J326" s="17"/>
      <c r="K326" s="12"/>
      <c r="L326" s="12"/>
      <c r="M326" s="12"/>
      <c r="N326" s="12"/>
      <c r="O326" s="12"/>
      <c r="P326" s="12"/>
      <c r="Q326" s="17"/>
      <c r="R326" s="18">
        <f>IF(SUMPRODUCT((E326:Q326)*1)=0,0,E326*INDEX(Hours!M:M,MATCH(C326,Hours!$A:$A,0))+F326*INDEX(Hours!B:B,MATCH(C326,Hours!$A:$A,0))+G326*INDEX(Hours!C:C,MATCH(C326,Hours!$A:$A,0))+H326*INDEX(Hours!D:D,MATCH(C326,Hours!$A:$A,0))+I326*INDEX(Hours!E:E,MATCH(C326,Hours!$A:$A,0))+J326*INDEX(Hours!F:F,MATCH(C326,Hours!$A:$A,0)))</f>
        <v>0</v>
      </c>
      <c r="S326" s="19">
        <f t="shared" si="11"/>
        <v>0</v>
      </c>
    </row>
    <row r="327" spans="1:19" x14ac:dyDescent="0.25">
      <c r="A327" s="11" t="str">
        <f>'Bldgs &amp; Rooms'!$A$10</f>
        <v>Main Bldg.</v>
      </c>
      <c r="B327" s="11">
        <f>'Bldgs &amp; Rooms'!$B$10</f>
        <v>0</v>
      </c>
      <c r="C327" s="10" t="str">
        <f>Hours!$A$31</f>
        <v>Motors &lt; 50 HP</v>
      </c>
      <c r="D327" s="11">
        <f t="shared" si="10"/>
        <v>0</v>
      </c>
      <c r="E327" s="16"/>
      <c r="F327" s="17"/>
      <c r="G327" s="17"/>
      <c r="H327" s="17"/>
      <c r="I327" s="17"/>
      <c r="J327" s="17"/>
      <c r="K327" s="12"/>
      <c r="L327" s="12"/>
      <c r="M327" s="12"/>
      <c r="N327" s="12"/>
      <c r="O327" s="12"/>
      <c r="P327" s="12"/>
      <c r="Q327" s="17"/>
      <c r="R327" s="18">
        <f>IF(SUMPRODUCT((E327:Q327)*1)=0,0,E327*INDEX(Hours!M:M,MATCH(C327,Hours!$A:$A,0))+F327*INDEX(Hours!B:B,MATCH(C327,Hours!$A:$A,0))+G327*INDEX(Hours!C:C,MATCH(C327,Hours!$A:$A,0))+H327*INDEX(Hours!D:D,MATCH(C327,Hours!$A:$A,0))+I327*INDEX(Hours!E:E,MATCH(C327,Hours!$A:$A,0))+J327*INDEX(Hours!F:F,MATCH(C327,Hours!$A:$A,0)))</f>
        <v>0</v>
      </c>
      <c r="S327" s="19">
        <f t="shared" si="11"/>
        <v>0</v>
      </c>
    </row>
    <row r="328" spans="1:19" x14ac:dyDescent="0.25">
      <c r="A328" s="11" t="str">
        <f>'Bldgs &amp; Rooms'!$A$10</f>
        <v>Main Bldg.</v>
      </c>
      <c r="B328" s="11">
        <f>'Bldgs &amp; Rooms'!$B$10</f>
        <v>0</v>
      </c>
      <c r="C328" s="10" t="str">
        <f>Hours!$A$32</f>
        <v>Motors 51-200 HP</v>
      </c>
      <c r="D328" s="11">
        <f t="shared" si="10"/>
        <v>0</v>
      </c>
      <c r="E328" s="16"/>
      <c r="F328" s="17"/>
      <c r="G328" s="17"/>
      <c r="H328" s="17"/>
      <c r="I328" s="17"/>
      <c r="J328" s="17"/>
      <c r="K328" s="12"/>
      <c r="L328" s="12"/>
      <c r="M328" s="12"/>
      <c r="N328" s="12"/>
      <c r="O328" s="12"/>
      <c r="P328" s="12"/>
      <c r="Q328" s="17"/>
      <c r="R328" s="18">
        <f>IF(SUMPRODUCT((E328:Q328)*1)=0,0,E328*INDEX(Hours!M:M,MATCH(C328,Hours!$A:$A,0))+F328*INDEX(Hours!B:B,MATCH(C328,Hours!$A:$A,0))+G328*INDEX(Hours!C:C,MATCH(C328,Hours!$A:$A,0))+H328*INDEX(Hours!D:D,MATCH(C328,Hours!$A:$A,0))+I328*INDEX(Hours!E:E,MATCH(C328,Hours!$A:$A,0))+J328*INDEX(Hours!F:F,MATCH(C328,Hours!$A:$A,0)))</f>
        <v>0</v>
      </c>
      <c r="S328" s="19">
        <f t="shared" si="11"/>
        <v>0</v>
      </c>
    </row>
    <row r="329" spans="1:19" x14ac:dyDescent="0.25">
      <c r="A329" s="11" t="str">
        <f>'Bldgs &amp; Rooms'!$A$10</f>
        <v>Main Bldg.</v>
      </c>
      <c r="B329" s="11">
        <f>'Bldgs &amp; Rooms'!$B$10</f>
        <v>0</v>
      </c>
      <c r="C329" s="10" t="str">
        <f>Hours!$A$33</f>
        <v>Motors 201-500 HP</v>
      </c>
      <c r="D329" s="11">
        <f t="shared" si="10"/>
        <v>0</v>
      </c>
      <c r="E329" s="16"/>
      <c r="F329" s="17"/>
      <c r="G329" s="17"/>
      <c r="H329" s="17"/>
      <c r="I329" s="17"/>
      <c r="J329" s="17"/>
      <c r="K329" s="12"/>
      <c r="L329" s="12"/>
      <c r="M329" s="12"/>
      <c r="N329" s="12"/>
      <c r="O329" s="12"/>
      <c r="P329" s="12"/>
      <c r="Q329" s="17"/>
      <c r="R329" s="18">
        <f>IF(SUMPRODUCT((E329:Q329)*1)=0,0,E329*INDEX(Hours!M:M,MATCH(C329,Hours!$A:$A,0))+F329*INDEX(Hours!B:B,MATCH(C329,Hours!$A:$A,0))+G329*INDEX(Hours!C:C,MATCH(C329,Hours!$A:$A,0))+H329*INDEX(Hours!D:D,MATCH(C329,Hours!$A:$A,0))+I329*INDEX(Hours!E:E,MATCH(C329,Hours!$A:$A,0))+J329*INDEX(Hours!F:F,MATCH(C329,Hours!$A:$A,0)))</f>
        <v>0</v>
      </c>
      <c r="S329" s="19">
        <f t="shared" si="11"/>
        <v>0</v>
      </c>
    </row>
    <row r="330" spans="1:19" x14ac:dyDescent="0.25">
      <c r="A330" s="11" t="str">
        <f>'Bldgs &amp; Rooms'!$A$10</f>
        <v>Main Bldg.</v>
      </c>
      <c r="B330" s="11">
        <f>'Bldgs &amp; Rooms'!$B$10</f>
        <v>0</v>
      </c>
      <c r="C330" s="10" t="str">
        <f>Hours!$A$34</f>
        <v>Compressed Air Equipment</v>
      </c>
      <c r="D330" s="11">
        <f t="shared" si="10"/>
        <v>0</v>
      </c>
      <c r="E330" s="16"/>
      <c r="F330" s="17"/>
      <c r="G330" s="17"/>
      <c r="H330" s="17"/>
      <c r="I330" s="17"/>
      <c r="J330" s="17"/>
      <c r="K330" s="12"/>
      <c r="L330" s="12"/>
      <c r="M330" s="12"/>
      <c r="N330" s="12"/>
      <c r="O330" s="12"/>
      <c r="P330" s="12"/>
      <c r="Q330" s="17"/>
      <c r="R330" s="18">
        <f>IF(SUMPRODUCT((E330:Q330)*1)=0,0,E330*INDEX(Hours!M:M,MATCH(C330,Hours!$A:$A,0))+F330*INDEX(Hours!B:B,MATCH(C330,Hours!$A:$A,0))+G330*INDEX(Hours!C:C,MATCH(C330,Hours!$A:$A,0))+H330*INDEX(Hours!D:D,MATCH(C330,Hours!$A:$A,0))+I330*INDEX(Hours!E:E,MATCH(C330,Hours!$A:$A,0))+J330*INDEX(Hours!F:F,MATCH(C330,Hours!$A:$A,0)))</f>
        <v>0</v>
      </c>
      <c r="S330" s="19">
        <f t="shared" si="11"/>
        <v>0</v>
      </c>
    </row>
    <row r="331" spans="1:19" x14ac:dyDescent="0.25">
      <c r="A331" s="11" t="str">
        <f>'Bldgs &amp; Rooms'!$A$10</f>
        <v>Main Bldg.</v>
      </c>
      <c r="B331" s="11">
        <f>'Bldgs &amp; Rooms'!$B$10</f>
        <v>0</v>
      </c>
      <c r="C331" s="10" t="str">
        <f>Hours!$A$35</f>
        <v>HVAC Equipment (Large)</v>
      </c>
      <c r="D331" s="11">
        <f t="shared" si="10"/>
        <v>0</v>
      </c>
      <c r="E331" s="16"/>
      <c r="F331" s="17"/>
      <c r="G331" s="17"/>
      <c r="H331" s="17"/>
      <c r="I331" s="17"/>
      <c r="J331" s="17"/>
      <c r="K331" s="12"/>
      <c r="L331" s="12"/>
      <c r="M331" s="12"/>
      <c r="N331" s="12"/>
      <c r="O331" s="12"/>
      <c r="P331" s="12"/>
      <c r="Q331" s="17"/>
      <c r="R331" s="18">
        <f>IF(SUMPRODUCT((E331:Q331)*1)=0,0,E331*INDEX(Hours!M:M,MATCH(C331,Hours!$A:$A,0))+F331*INDEX(Hours!B:B,MATCH(C331,Hours!$A:$A,0))+G331*INDEX(Hours!C:C,MATCH(C331,Hours!$A:$A,0))+H331*INDEX(Hours!D:D,MATCH(C331,Hours!$A:$A,0))+I331*INDEX(Hours!E:E,MATCH(C331,Hours!$A:$A,0))+J331*INDEX(Hours!F:F,MATCH(C331,Hours!$A:$A,0)))</f>
        <v>0</v>
      </c>
      <c r="S331" s="19">
        <f t="shared" si="11"/>
        <v>0</v>
      </c>
    </row>
    <row r="332" spans="1:19" x14ac:dyDescent="0.25">
      <c r="A332" s="11" t="str">
        <f>'Bldgs &amp; Rooms'!$A$10</f>
        <v>Main Bldg.</v>
      </c>
      <c r="B332" s="11">
        <f>'Bldgs &amp; Rooms'!$B$10</f>
        <v>0</v>
      </c>
      <c r="C332" s="10" t="str">
        <f>Hours!$A$36</f>
        <v>HVAC Equipment (Small)</v>
      </c>
      <c r="D332" s="11">
        <f t="shared" si="10"/>
        <v>0</v>
      </c>
      <c r="E332" s="16"/>
      <c r="F332" s="17"/>
      <c r="G332" s="17"/>
      <c r="H332" s="17"/>
      <c r="I332" s="17"/>
      <c r="J332" s="17"/>
      <c r="K332" s="12"/>
      <c r="L332" s="12"/>
      <c r="M332" s="12"/>
      <c r="N332" s="12"/>
      <c r="O332" s="12"/>
      <c r="P332" s="12"/>
      <c r="Q332" s="17"/>
      <c r="R332" s="18">
        <f>IF(SUMPRODUCT((E332:Q332)*1)=0,0,E332*INDEX(Hours!M:M,MATCH(C332,Hours!$A:$A,0))+F332*INDEX(Hours!B:B,MATCH(C332,Hours!$A:$A,0))+G332*INDEX(Hours!C:C,MATCH(C332,Hours!$A:$A,0))+H332*INDEX(Hours!D:D,MATCH(C332,Hours!$A:$A,0))+I332*INDEX(Hours!E:E,MATCH(C332,Hours!$A:$A,0))+J332*INDEX(Hours!F:F,MATCH(C332,Hours!$A:$A,0)))</f>
        <v>0</v>
      </c>
      <c r="S332" s="19">
        <f t="shared" si="11"/>
        <v>0</v>
      </c>
    </row>
    <row r="333" spans="1:19" x14ac:dyDescent="0.25">
      <c r="A333" s="11" t="str">
        <f>'Bldgs &amp; Rooms'!$A$10</f>
        <v>Main Bldg.</v>
      </c>
      <c r="B333" s="11">
        <f>'Bldgs &amp; Rooms'!$B$10</f>
        <v>0</v>
      </c>
      <c r="C333" s="10" t="str">
        <f>Hours!$A$37</f>
        <v>Uninterruptible Power Supply (UPS) &lt; 50kVA</v>
      </c>
      <c r="D333" s="11">
        <f t="shared" si="10"/>
        <v>0</v>
      </c>
      <c r="E333" s="16"/>
      <c r="F333" s="17"/>
      <c r="G333" s="17"/>
      <c r="H333" s="17"/>
      <c r="I333" s="17"/>
      <c r="J333" s="17"/>
      <c r="K333" s="12"/>
      <c r="L333" s="12"/>
      <c r="M333" s="12"/>
      <c r="N333" s="12"/>
      <c r="O333" s="12"/>
      <c r="P333" s="12"/>
      <c r="Q333" s="17"/>
      <c r="R333" s="18">
        <f>IF(SUMPRODUCT((E333:Q333)*1)=0,0,E333*INDEX(Hours!M:M,MATCH(C333,Hours!$A:$A,0))+F333*INDEX(Hours!B:B,MATCH(C333,Hours!$A:$A,0))+G333*INDEX(Hours!C:C,MATCH(C333,Hours!$A:$A,0))+H333*INDEX(Hours!D:D,MATCH(C333,Hours!$A:$A,0))+I333*INDEX(Hours!E:E,MATCH(C333,Hours!$A:$A,0))+J333*INDEX(Hours!F:F,MATCH(C333,Hours!$A:$A,0)))</f>
        <v>0</v>
      </c>
      <c r="S333" s="19">
        <f t="shared" si="11"/>
        <v>0</v>
      </c>
    </row>
    <row r="334" spans="1:19" x14ac:dyDescent="0.25">
      <c r="A334" s="11" t="str">
        <f>'Bldgs &amp; Rooms'!$A$10</f>
        <v>Main Bldg.</v>
      </c>
      <c r="B334" s="11">
        <f>'Bldgs &amp; Rooms'!$B$10</f>
        <v>0</v>
      </c>
      <c r="C334" s="10" t="str">
        <f>Hours!$A$38</f>
        <v>Uninterruptible Power Supply (UPS) &gt; 50kVA</v>
      </c>
      <c r="D334" s="11">
        <f t="shared" si="10"/>
        <v>0</v>
      </c>
      <c r="E334" s="16"/>
      <c r="F334" s="17"/>
      <c r="G334" s="17"/>
      <c r="H334" s="17"/>
      <c r="I334" s="17"/>
      <c r="J334" s="17"/>
      <c r="K334" s="12"/>
      <c r="L334" s="12"/>
      <c r="M334" s="12"/>
      <c r="N334" s="12"/>
      <c r="O334" s="12"/>
      <c r="P334" s="12"/>
      <c r="Q334" s="17"/>
      <c r="R334" s="18">
        <f>IF(SUMPRODUCT((E334:Q334)*1)=0,0,E334*INDEX(Hours!M:M,MATCH(C334,Hours!$A:$A,0))+F334*INDEX(Hours!B:B,MATCH(C334,Hours!$A:$A,0))+G334*INDEX(Hours!C:C,MATCH(C334,Hours!$A:$A,0))+H334*INDEX(Hours!D:D,MATCH(C334,Hours!$A:$A,0))+I334*INDEX(Hours!E:E,MATCH(C334,Hours!$A:$A,0))+J334*INDEX(Hours!F:F,MATCH(C334,Hours!$A:$A,0)))</f>
        <v>0</v>
      </c>
      <c r="S334" s="19">
        <f t="shared" si="11"/>
        <v>0</v>
      </c>
    </row>
    <row r="335" spans="1:19" x14ac:dyDescent="0.25">
      <c r="A335" s="15" t="str">
        <f>'Bldgs &amp; Rooms'!$A$11</f>
        <v>Main Bldg.</v>
      </c>
      <c r="B335" s="15">
        <f>'Bldgs &amp; Rooms'!$B$11</f>
        <v>0</v>
      </c>
      <c r="C335" s="14" t="str">
        <f>Hours!$A$2</f>
        <v>Switchgear - Incoming Main Service (Per Section)</v>
      </c>
      <c r="D335" s="15">
        <f t="shared" si="10"/>
        <v>0</v>
      </c>
      <c r="E335" s="16"/>
      <c r="F335" s="17"/>
      <c r="G335" s="17"/>
      <c r="H335" s="17"/>
      <c r="I335" s="17"/>
      <c r="J335" s="17"/>
      <c r="K335" s="17"/>
      <c r="L335" s="17"/>
      <c r="M335" s="12"/>
      <c r="N335" s="12"/>
      <c r="O335" s="17"/>
      <c r="P335" s="12"/>
      <c r="Q335" s="17"/>
      <c r="R335" s="18">
        <f>IF(SUMPRODUCT((E335:Q335)*1)=0,0,E335*INDEX(Hours!M:M,MATCH(C335,Hours!$A:$A,0))+F335*INDEX(Hours!B:B,MATCH(C335,Hours!$A:$A,0))+G335*INDEX(Hours!C:C,MATCH(C335,Hours!$A:$A,0))+H335*INDEX(Hours!D:D,MATCH(C335,Hours!$A:$A,0))+I335*INDEX(Hours!E:E,MATCH(C335,Hours!$A:$A,0))+J335*INDEX(Hours!F:F,MATCH(C335,Hours!$A:$A,0))+K335*INDEX(Hours!G:G,MATCH(C335,Hours!$A:$A,0))+L335*INDEX(Hours!H:H,MATCH(C335,Hours!$A:$A,0))+O335*INDEX(Hours!K:K,MATCH(C335,Hours!$A:$A,0)))</f>
        <v>0</v>
      </c>
      <c r="S335" s="19">
        <f t="shared" si="11"/>
        <v>0</v>
      </c>
    </row>
    <row r="336" spans="1:19" x14ac:dyDescent="0.25">
      <c r="A336" s="15" t="str">
        <f>'Bldgs &amp; Rooms'!$A$11</f>
        <v>Main Bldg.</v>
      </c>
      <c r="B336" s="15">
        <f>'Bldgs &amp; Rooms'!$B$11</f>
        <v>0</v>
      </c>
      <c r="C336" s="14" t="str">
        <f>Hours!$A$3</f>
        <v xml:space="preserve">  Switchgear Insulated Case Breakers (Bus Mounted)</v>
      </c>
      <c r="D336" s="15">
        <f t="shared" si="10"/>
        <v>0</v>
      </c>
      <c r="E336" s="16"/>
      <c r="F336" s="17"/>
      <c r="G336" s="17"/>
      <c r="H336" s="17"/>
      <c r="I336" s="17"/>
      <c r="J336" s="17"/>
      <c r="K336" s="17"/>
      <c r="L336" s="12"/>
      <c r="M336" s="12"/>
      <c r="N336" s="12"/>
      <c r="O336" s="12"/>
      <c r="P336" s="12"/>
      <c r="Q336" s="17"/>
      <c r="R336" s="18">
        <f>IF(SUMPRODUCT((E336:Q336)*1)=0,0,E336*INDEX(Hours!M:M,MATCH(C336,Hours!$A:$A,0))+F336*INDEX(Hours!B:B,MATCH(C336,Hours!$A:$A,0))+G336*INDEX(Hours!C:C,MATCH(C336,Hours!$A:$A,0))+H336*INDEX(Hours!D:D,MATCH(C336,Hours!$A:$A,0))+I336*INDEX(Hours!E:E,MATCH(C336,Hours!$A:$A,0))+J336*INDEX(Hours!F:F,MATCH(C336,Hours!$A:$A,0))+K336*INDEX(Hours!G:G,MATCH(C336,Hours!$A:$A,0)))</f>
        <v>0</v>
      </c>
      <c r="S336" s="19">
        <f t="shared" si="11"/>
        <v>0</v>
      </c>
    </row>
    <row r="337" spans="1:19" x14ac:dyDescent="0.25">
      <c r="A337" s="15" t="str">
        <f>'Bldgs &amp; Rooms'!$A$11</f>
        <v>Main Bldg.</v>
      </c>
      <c r="B337" s="15">
        <f>'Bldgs &amp; Rooms'!$B$11</f>
        <v>0</v>
      </c>
      <c r="C337" s="14" t="str">
        <f>Hours!$A$4</f>
        <v xml:space="preserve">  SwitchGear Drawout Breakers</v>
      </c>
      <c r="D337" s="15">
        <f t="shared" si="10"/>
        <v>0</v>
      </c>
      <c r="E337" s="16"/>
      <c r="F337" s="17"/>
      <c r="G337" s="17"/>
      <c r="H337" s="17"/>
      <c r="I337" s="17"/>
      <c r="J337" s="17"/>
      <c r="K337" s="12"/>
      <c r="L337" s="17"/>
      <c r="M337" s="12"/>
      <c r="N337" s="12"/>
      <c r="O337" s="12"/>
      <c r="P337" s="12"/>
      <c r="Q337" s="17"/>
      <c r="R337" s="18">
        <f>IF(SUMPRODUCT((E337:Q337)*1)=0,0,E337*INDEX(Hours!M:M,MATCH(C337,Hours!$A:$A,0))+F337*INDEX(Hours!B:B,MATCH(C337,Hours!$A:$A,0))+G337*INDEX(Hours!C:C,MATCH(C337,Hours!$A:$A,0))+H337*INDEX(Hours!D:D,MATCH(C337,Hours!$A:$A,0))+I337*INDEX(Hours!E:E,MATCH(C337,Hours!$A:$A,0))+J337*INDEX(Hours!F:F,MATCH(C337,Hours!$A:$A,0))+L337*INDEX(Hours!H:H,MATCH(C337,Hours!$A:$A,0)))</f>
        <v>0</v>
      </c>
      <c r="S337" s="19">
        <f t="shared" si="11"/>
        <v>0</v>
      </c>
    </row>
    <row r="338" spans="1:19" x14ac:dyDescent="0.25">
      <c r="A338" s="15" t="str">
        <f>'Bldgs &amp; Rooms'!$A$11</f>
        <v>Main Bldg.</v>
      </c>
      <c r="B338" s="15">
        <f>'Bldgs &amp; Rooms'!$B$11</f>
        <v>0</v>
      </c>
      <c r="C338" s="14" t="str">
        <f>Hours!$A$5</f>
        <v>Distribution Switchboard Multi Cover (Per Section)</v>
      </c>
      <c r="D338" s="15">
        <f t="shared" si="10"/>
        <v>0</v>
      </c>
      <c r="E338" s="16"/>
      <c r="F338" s="17"/>
      <c r="G338" s="17"/>
      <c r="H338" s="17"/>
      <c r="I338" s="17"/>
      <c r="J338" s="17"/>
      <c r="K338" s="17"/>
      <c r="L338" s="12"/>
      <c r="M338" s="12"/>
      <c r="N338" s="12"/>
      <c r="O338" s="17"/>
      <c r="P338" s="12"/>
      <c r="Q338" s="17"/>
      <c r="R338" s="18">
        <f>IF(SUMPRODUCT((E338:Q338)*1)=0,0,E338*INDEX(Hours!M:M,MATCH(C338,Hours!$A:$A,0))+F338*INDEX(Hours!B:B,MATCH(C338,Hours!$A:$A,0))+G338*INDEX(Hours!C:C,MATCH(C338,Hours!$A:$A,0))+H338*INDEX(Hours!D:D,MATCH(C338,Hours!$A:$A,0))+I338*INDEX(Hours!E:E,MATCH(C338,Hours!$A:$A,0))+J338*INDEX(Hours!F:F,MATCH(C338,Hours!$A:$A,0))+K338*INDEX(Hours!G:G,MATCH(C338,Hours!$A:$A,0))+O338*INDEX(Hours!K:K,MATCH(C338,Hours!$A:$A,0)))</f>
        <v>0</v>
      </c>
      <c r="S338" s="19">
        <f t="shared" si="11"/>
        <v>0</v>
      </c>
    </row>
    <row r="339" spans="1:19" x14ac:dyDescent="0.25">
      <c r="A339" s="15" t="str">
        <f>'Bldgs &amp; Rooms'!$A$11</f>
        <v>Main Bldg.</v>
      </c>
      <c r="B339" s="15">
        <f>'Bldgs &amp; Rooms'!$B$11</f>
        <v>0</v>
      </c>
      <c r="C339" s="14" t="str">
        <f>Hours!$A$6</f>
        <v xml:space="preserve">  Switchboard Disconnects</v>
      </c>
      <c r="D339" s="15">
        <f t="shared" si="10"/>
        <v>0</v>
      </c>
      <c r="E339" s="16"/>
      <c r="F339" s="17"/>
      <c r="G339" s="17"/>
      <c r="H339" s="17"/>
      <c r="I339" s="17"/>
      <c r="J339" s="17"/>
      <c r="K339" s="12"/>
      <c r="L339" s="12"/>
      <c r="M339" s="12"/>
      <c r="N339" s="12"/>
      <c r="O339" s="12"/>
      <c r="P339" s="12"/>
      <c r="Q339" s="17"/>
      <c r="R339" s="18">
        <f>IF(SUMPRODUCT((E339:Q339)*1)=0,0,E339*INDEX(Hours!M:M,MATCH(C339,Hours!$A:$A,0))+F339*INDEX(Hours!B:B,MATCH(C339,Hours!$A:$A,0))+G339*INDEX(Hours!C:C,MATCH(C339,Hours!$A:$A,0))+H339*INDEX(Hours!D:D,MATCH(C339,Hours!$A:$A,0))+I339*INDEX(Hours!E:E,MATCH(C339,Hours!$A:$A,0))+J339*INDEX(Hours!F:F,MATCH(C339,Hours!$A:$A,0)))</f>
        <v>0</v>
      </c>
      <c r="S339" s="19">
        <f t="shared" si="11"/>
        <v>0</v>
      </c>
    </row>
    <row r="340" spans="1:19" x14ac:dyDescent="0.25">
      <c r="A340" s="15" t="str">
        <f>'Bldgs &amp; Rooms'!$A$11</f>
        <v>Main Bldg.</v>
      </c>
      <c r="B340" s="15">
        <f>'Bldgs &amp; Rooms'!$B$11</f>
        <v>0</v>
      </c>
      <c r="C340" s="14" t="str">
        <f>Hours!$A$7</f>
        <v xml:space="preserve">  Switchboard Molded Case Breakers</v>
      </c>
      <c r="D340" s="15">
        <f t="shared" si="10"/>
        <v>0</v>
      </c>
      <c r="E340" s="16"/>
      <c r="F340" s="17"/>
      <c r="G340" s="17"/>
      <c r="H340" s="17"/>
      <c r="I340" s="17"/>
      <c r="J340" s="17"/>
      <c r="K340" s="17"/>
      <c r="L340" s="12"/>
      <c r="M340" s="12"/>
      <c r="N340" s="12"/>
      <c r="O340" s="12"/>
      <c r="P340" s="12"/>
      <c r="Q340" s="17"/>
      <c r="R340" s="18">
        <f>IF(SUMPRODUCT((E340:Q340)*1)=0,0,E340*INDEX(Hours!M:M,MATCH(C340,Hours!$A:$A,0))+F340*INDEX(Hours!B:B,MATCH(C340,Hours!$A:$A,0))+G340*INDEX(Hours!C:C,MATCH(C340,Hours!$A:$A,0))+H340*INDEX(Hours!D:D,MATCH(C340,Hours!$A:$A,0))+I340*INDEX(Hours!E:E,MATCH(C340,Hours!$A:$A,0))+J340*INDEX(Hours!F:F,MATCH(C340,Hours!$A:$A,0))+K340*INDEX(Hours!G:G,MATCH(C340,Hours!$A:$A,0)))</f>
        <v>0</v>
      </c>
      <c r="S340" s="19">
        <f t="shared" si="11"/>
        <v>0</v>
      </c>
    </row>
    <row r="341" spans="1:19" x14ac:dyDescent="0.25">
      <c r="A341" s="15" t="str">
        <f>'Bldgs &amp; Rooms'!$A$11</f>
        <v>Main Bldg.</v>
      </c>
      <c r="B341" s="15">
        <f>'Bldgs &amp; Rooms'!$B$11</f>
        <v>0</v>
      </c>
      <c r="C341" s="14" t="str">
        <f>Hours!$A$8</f>
        <v>Panelboard-Single Cover &gt; 400A (Distribution Panel)</v>
      </c>
      <c r="D341" s="15">
        <f t="shared" si="10"/>
        <v>0</v>
      </c>
      <c r="E341" s="16"/>
      <c r="F341" s="17"/>
      <c r="G341" s="17"/>
      <c r="H341" s="17"/>
      <c r="I341" s="17"/>
      <c r="J341" s="17"/>
      <c r="K341" s="17"/>
      <c r="L341" s="12"/>
      <c r="M341" s="12"/>
      <c r="N341" s="12"/>
      <c r="O341" s="17"/>
      <c r="P341" s="12"/>
      <c r="Q341" s="17"/>
      <c r="R341" s="18">
        <f>IF(SUMPRODUCT((E341:Q341)*1)=0,0,E341*INDEX(Hours!M:M,MATCH(C341,Hours!$A:$A,0))+F341*INDEX(Hours!B:B,MATCH(C341,Hours!$A:$A,0))+G341*INDEX(Hours!C:C,MATCH(C341,Hours!$A:$A,0))+H341*INDEX(Hours!D:D,MATCH(C341,Hours!$A:$A,0))+I341*INDEX(Hours!E:E,MATCH(C341,Hours!$A:$A,0))+J341*INDEX(Hours!F:F,MATCH(C341,Hours!$A:$A,0))+K341*INDEX(Hours!G:G,MATCH(C341,Hours!$A:$A,0))+O341*INDEX(Hours!K:K,MATCH(C341,Hours!$A:$A,0)))</f>
        <v>0</v>
      </c>
      <c r="S341" s="19">
        <f t="shared" si="11"/>
        <v>0</v>
      </c>
    </row>
    <row r="342" spans="1:19" x14ac:dyDescent="0.25">
      <c r="A342" s="15" t="str">
        <f>'Bldgs &amp; Rooms'!$A$11</f>
        <v>Main Bldg.</v>
      </c>
      <c r="B342" s="15">
        <f>'Bldgs &amp; Rooms'!$B$11</f>
        <v>0</v>
      </c>
      <c r="C342" s="14" t="str">
        <f>Hours!$A$9</f>
        <v>Panelboard-Single Cover &lt; 400A (Branch Ckt Panel)</v>
      </c>
      <c r="D342" s="15">
        <f t="shared" si="10"/>
        <v>0</v>
      </c>
      <c r="E342" s="16"/>
      <c r="F342" s="17"/>
      <c r="G342" s="17"/>
      <c r="H342" s="17"/>
      <c r="I342" s="17"/>
      <c r="J342" s="17"/>
      <c r="K342" s="12"/>
      <c r="L342" s="12"/>
      <c r="M342" s="12"/>
      <c r="N342" s="12"/>
      <c r="O342" s="17"/>
      <c r="P342" s="12"/>
      <c r="Q342" s="17"/>
      <c r="R342" s="18">
        <f>IF(SUMPRODUCT((E342:Q342)*1)=0,0,E342*INDEX(Hours!M:M,MATCH(C342,Hours!$A:$A,0))+F342*INDEX(Hours!B:B,MATCH(C342,Hours!$A:$A,0))+G342*INDEX(Hours!C:C,MATCH(C342,Hours!$A:$A,0))+H342*INDEX(Hours!D:D,MATCH(C342,Hours!$A:$A,0))+I342*INDEX(Hours!E:E,MATCH(C342,Hours!$A:$A,0))+J342*INDEX(Hours!F:F,MATCH(C342,Hours!$A:$A,0))+O342*INDEX(Hours!K:K,MATCH(C342,Hours!$A:$A,0)))</f>
        <v>0</v>
      </c>
      <c r="S342" s="19">
        <f t="shared" si="11"/>
        <v>0</v>
      </c>
    </row>
    <row r="343" spans="1:19" x14ac:dyDescent="0.25">
      <c r="A343" s="15" t="str">
        <f>'Bldgs &amp; Rooms'!$A$11</f>
        <v>Main Bldg.</v>
      </c>
      <c r="B343" s="15">
        <f>'Bldgs &amp; Rooms'!$B$11</f>
        <v>0</v>
      </c>
      <c r="C343" s="14" t="str">
        <f>Hours!$A$10</f>
        <v>Motor Control Center (MCC-Per Vertical Section)</v>
      </c>
      <c r="D343" s="15">
        <f t="shared" si="10"/>
        <v>0</v>
      </c>
      <c r="E343" s="16"/>
      <c r="F343" s="17"/>
      <c r="G343" s="17"/>
      <c r="H343" s="17"/>
      <c r="I343" s="17"/>
      <c r="J343" s="17"/>
      <c r="K343" s="12"/>
      <c r="L343" s="12"/>
      <c r="M343" s="12"/>
      <c r="N343" s="12"/>
      <c r="O343" s="17"/>
      <c r="P343" s="12"/>
      <c r="Q343" s="17"/>
      <c r="R343" s="18">
        <f>IF(SUMPRODUCT((E343:Q343)*1)=0,0,E343*INDEX(Hours!M:M,MATCH(C343,Hours!$A:$A,0))+F343*INDEX(Hours!B:B,MATCH(C343,Hours!$A:$A,0))+G343*INDEX(Hours!C:C,MATCH(C343,Hours!$A:$A,0))+H343*INDEX(Hours!D:D,MATCH(C343,Hours!$A:$A,0))+I343*INDEX(Hours!E:E,MATCH(C343,Hours!$A:$A,0))+J343*INDEX(Hours!F:F,MATCH(C343,Hours!$A:$A,0))+O343*INDEX(Hours!K:K,MATCH(C343,Hours!$A:$A,0)))</f>
        <v>0</v>
      </c>
      <c r="S343" s="19">
        <f t="shared" si="11"/>
        <v>0</v>
      </c>
    </row>
    <row r="344" spans="1:19" x14ac:dyDescent="0.25">
      <c r="A344" s="15" t="str">
        <f>'Bldgs &amp; Rooms'!$A$11</f>
        <v>Main Bldg.</v>
      </c>
      <c r="B344" s="15">
        <f>'Bldgs &amp; Rooms'!$B$11</f>
        <v>0</v>
      </c>
      <c r="C344" s="14" t="str">
        <f>Hours!$A$11</f>
        <v xml:space="preserve">  MCC: Combination Motor Starters</v>
      </c>
      <c r="D344" s="15">
        <f t="shared" si="10"/>
        <v>0</v>
      </c>
      <c r="E344" s="16"/>
      <c r="F344" s="17"/>
      <c r="G344" s="17"/>
      <c r="H344" s="17"/>
      <c r="I344" s="17"/>
      <c r="J344" s="17"/>
      <c r="K344" s="17"/>
      <c r="L344" s="12"/>
      <c r="M344" s="12"/>
      <c r="N344" s="12"/>
      <c r="O344" s="17"/>
      <c r="P344" s="12"/>
      <c r="Q344" s="17"/>
      <c r="R344" s="18">
        <f>IF(SUMPRODUCT((E344:Q344)*1)=0,0,E344*INDEX(Hours!M:M,MATCH(C344,Hours!$A:$A,0))+F344*INDEX(Hours!B:B,MATCH(C344,Hours!$A:$A,0))+G344*INDEX(Hours!C:C,MATCH(C344,Hours!$A:$A,0))+H344*INDEX(Hours!D:D,MATCH(C344,Hours!$A:$A,0))+I344*INDEX(Hours!E:E,MATCH(C344,Hours!$A:$A,0))+J344*INDEX(Hours!F:F,MATCH(C344,Hours!$A:$A,0))+K344*INDEX(Hours!G:G,MATCH(C344,Hours!$A:$A,0))+O344*INDEX(Hours!K:K,MATCH(C344,Hours!$A:$A,0)))</f>
        <v>0</v>
      </c>
      <c r="S344" s="19">
        <f t="shared" si="11"/>
        <v>0</v>
      </c>
    </row>
    <row r="345" spans="1:19" x14ac:dyDescent="0.25">
      <c r="A345" s="15" t="str">
        <f>'Bldgs &amp; Rooms'!$A$11</f>
        <v>Main Bldg.</v>
      </c>
      <c r="B345" s="15">
        <f>'Bldgs &amp; Rooms'!$B$11</f>
        <v>0</v>
      </c>
      <c r="C345" s="14" t="str">
        <f>Hours!$A$12</f>
        <v xml:space="preserve">  MCC: Molded Case Breaker</v>
      </c>
      <c r="D345" s="15">
        <f t="shared" si="10"/>
        <v>0</v>
      </c>
      <c r="E345" s="16"/>
      <c r="F345" s="17"/>
      <c r="G345" s="17"/>
      <c r="H345" s="17"/>
      <c r="I345" s="17"/>
      <c r="J345" s="17"/>
      <c r="K345" s="17"/>
      <c r="L345" s="12"/>
      <c r="M345" s="12"/>
      <c r="N345" s="12"/>
      <c r="O345" s="12"/>
      <c r="P345" s="12"/>
      <c r="Q345" s="17"/>
      <c r="R345" s="18">
        <f>IF(SUMPRODUCT((E345:Q345)*1)=0,0,E345*INDEX(Hours!M:M,MATCH(C345,Hours!$A:$A,0))+F345*INDEX(Hours!B:B,MATCH(C345,Hours!$A:$A,0))+G345*INDEX(Hours!C:C,MATCH(C345,Hours!$A:$A,0))+H345*INDEX(Hours!D:D,MATCH(C345,Hours!$A:$A,0))+I345*INDEX(Hours!E:E,MATCH(C345,Hours!$A:$A,0))+J345*INDEX(Hours!F:F,MATCH(C345,Hours!$A:$A,0))+K345*INDEX(Hours!G:G,MATCH(C345,Hours!$A:$A,0)))</f>
        <v>0</v>
      </c>
      <c r="S345" s="19">
        <f t="shared" si="11"/>
        <v>0</v>
      </c>
    </row>
    <row r="346" spans="1:19" x14ac:dyDescent="0.25">
      <c r="A346" s="15" t="str">
        <f>'Bldgs &amp; Rooms'!$A$11</f>
        <v>Main Bldg.</v>
      </c>
      <c r="B346" s="15">
        <f>'Bldgs &amp; Rooms'!$B$11</f>
        <v>0</v>
      </c>
      <c r="C346" s="14" t="str">
        <f>Hours!$A$13</f>
        <v xml:space="preserve">  MCC: Individual Disconnect Switch</v>
      </c>
      <c r="D346" s="15">
        <f t="shared" si="10"/>
        <v>0</v>
      </c>
      <c r="E346" s="16"/>
      <c r="F346" s="17"/>
      <c r="G346" s="17"/>
      <c r="H346" s="17"/>
      <c r="I346" s="17"/>
      <c r="J346" s="17"/>
      <c r="K346" s="12"/>
      <c r="L346" s="12"/>
      <c r="M346" s="12"/>
      <c r="N346" s="12"/>
      <c r="O346" s="12"/>
      <c r="P346" s="12"/>
      <c r="Q346" s="17"/>
      <c r="R346" s="18">
        <f>IF(SUMPRODUCT((E346:Q346)*1)=0,0,E346*INDEX(Hours!M:M,MATCH(C346,Hours!$A:$A,0))+F346*INDEX(Hours!B:B,MATCH(C346,Hours!$A:$A,0))+G346*INDEX(Hours!C:C,MATCH(C346,Hours!$A:$A,0))+H346*INDEX(Hours!D:D,MATCH(C346,Hours!$A:$A,0))+I346*INDEX(Hours!E:E,MATCH(C346,Hours!$A:$A,0))+J346*INDEX(Hours!F:F,MATCH(C346,Hours!$A:$A,0)))</f>
        <v>0</v>
      </c>
      <c r="S346" s="19">
        <f t="shared" si="11"/>
        <v>0</v>
      </c>
    </row>
    <row r="347" spans="1:19" x14ac:dyDescent="0.25">
      <c r="A347" s="15" t="str">
        <f>'Bldgs &amp; Rooms'!$A$11</f>
        <v>Main Bldg.</v>
      </c>
      <c r="B347" s="15">
        <f>'Bldgs &amp; Rooms'!$B$11</f>
        <v>0</v>
      </c>
      <c r="C347" s="14" t="str">
        <f>Hours!$A$14</f>
        <v>Motor Control Panel (MCP)</v>
      </c>
      <c r="D347" s="15">
        <f t="shared" si="10"/>
        <v>0</v>
      </c>
      <c r="E347" s="16"/>
      <c r="F347" s="17"/>
      <c r="G347" s="17"/>
      <c r="H347" s="17"/>
      <c r="I347" s="17"/>
      <c r="J347" s="17"/>
      <c r="K347" s="12"/>
      <c r="L347" s="12"/>
      <c r="M347" s="12"/>
      <c r="N347" s="12"/>
      <c r="O347" s="17"/>
      <c r="P347" s="12"/>
      <c r="Q347" s="17"/>
      <c r="R347" s="18">
        <f>IF(SUMPRODUCT((E347:Q347)*1)=0,0,E347*INDEX(Hours!M:M,MATCH(C347,Hours!$A:$A,0))+F347*INDEX(Hours!B:B,MATCH(C347,Hours!$A:$A,0))+G347*INDEX(Hours!C:C,MATCH(C347,Hours!$A:$A,0))+H347*INDEX(Hours!D:D,MATCH(C347,Hours!$A:$A,0))+I347*INDEX(Hours!E:E,MATCH(C347,Hours!$A:$A,0))+J347*INDEX(Hours!F:F,MATCH(C347,Hours!$A:$A,0))+O347*INDEX(Hours!K:K,MATCH(C347,Hours!$A:$A,0)))</f>
        <v>0</v>
      </c>
      <c r="S347" s="19">
        <f t="shared" si="11"/>
        <v>0</v>
      </c>
    </row>
    <row r="348" spans="1:19" x14ac:dyDescent="0.25">
      <c r="A348" s="15" t="str">
        <f>'Bldgs &amp; Rooms'!$A$11</f>
        <v>Main Bldg.</v>
      </c>
      <c r="B348" s="15">
        <f>'Bldgs &amp; Rooms'!$B$11</f>
        <v>0</v>
      </c>
      <c r="C348" s="14" t="str">
        <f>Hours!$A$15</f>
        <v>VFD Motor Control Panel (VFD-MCP)</v>
      </c>
      <c r="D348" s="15">
        <f t="shared" si="10"/>
        <v>0</v>
      </c>
      <c r="E348" s="16"/>
      <c r="F348" s="17"/>
      <c r="G348" s="17"/>
      <c r="H348" s="17"/>
      <c r="I348" s="17"/>
      <c r="J348" s="17"/>
      <c r="K348" s="12"/>
      <c r="L348" s="12"/>
      <c r="M348" s="12"/>
      <c r="N348" s="12"/>
      <c r="O348" s="17"/>
      <c r="P348" s="12"/>
      <c r="Q348" s="17"/>
      <c r="R348" s="18">
        <f>IF(SUMPRODUCT((E348:Q348)*1)=0,0,E348*INDEX(Hours!M:M,MATCH(C348,Hours!$A:$A,0))+F348*INDEX(Hours!B:B,MATCH(C348,Hours!$A:$A,0))+G348*INDEX(Hours!C:C,MATCH(C348,Hours!$A:$A,0))+H348*INDEX(Hours!D:D,MATCH(C348,Hours!$A:$A,0))+I348*INDEX(Hours!E:E,MATCH(C348,Hours!$A:$A,0))+J348*INDEX(Hours!F:F,MATCH(C348,Hours!$A:$A,0))+O348*INDEX(Hours!K:K,MATCH(C348,Hours!$A:$A,0)))</f>
        <v>0</v>
      </c>
      <c r="S348" s="19">
        <f t="shared" si="11"/>
        <v>0</v>
      </c>
    </row>
    <row r="349" spans="1:19" x14ac:dyDescent="0.25">
      <c r="A349" s="15" t="str">
        <f>'Bldgs &amp; Rooms'!$A$11</f>
        <v>Main Bldg.</v>
      </c>
      <c r="B349" s="15">
        <f>'Bldgs &amp; Rooms'!$B$11</f>
        <v>0</v>
      </c>
      <c r="C349" s="14" t="str">
        <f>Hours!$A$16</f>
        <v>Individual Disconnect Switch &gt; 100A</v>
      </c>
      <c r="D349" s="15">
        <f t="shared" si="10"/>
        <v>0</v>
      </c>
      <c r="E349" s="16"/>
      <c r="F349" s="17"/>
      <c r="G349" s="17"/>
      <c r="H349" s="17"/>
      <c r="I349" s="17"/>
      <c r="J349" s="17"/>
      <c r="K349" s="17"/>
      <c r="L349" s="12"/>
      <c r="M349" s="12"/>
      <c r="N349" s="12"/>
      <c r="O349" s="12"/>
      <c r="P349" s="12"/>
      <c r="Q349" s="17"/>
      <c r="R349" s="18">
        <f>IF(SUMPRODUCT((E349:Q349)*1)=0,0,E349*INDEX(Hours!M:M,MATCH(C349,Hours!$A:$A,0))+F349*INDEX(Hours!B:B,MATCH(C349,Hours!$A:$A,0))+G349*INDEX(Hours!C:C,MATCH(C349,Hours!$A:$A,0))+H349*INDEX(Hours!D:D,MATCH(C349,Hours!$A:$A,0))+I349*INDEX(Hours!E:E,MATCH(C349,Hours!$A:$A,0))+J349*INDEX(Hours!F:F,MATCH(C349,Hours!$A:$A,0))+K349*INDEX(Hours!G:G,MATCH(C349,Hours!$A:$A,0)))</f>
        <v>0</v>
      </c>
      <c r="S349" s="19">
        <f t="shared" si="11"/>
        <v>0</v>
      </c>
    </row>
    <row r="350" spans="1:19" x14ac:dyDescent="0.25">
      <c r="A350" s="15" t="str">
        <f>'Bldgs &amp; Rooms'!$A$11</f>
        <v>Main Bldg.</v>
      </c>
      <c r="B350" s="15">
        <f>'Bldgs &amp; Rooms'!$B$11</f>
        <v>0</v>
      </c>
      <c r="C350" s="14" t="str">
        <f>Hours!$A$17</f>
        <v>Individual Molded Case Breaker &gt; 100A</v>
      </c>
      <c r="D350" s="15">
        <f t="shared" si="10"/>
        <v>0</v>
      </c>
      <c r="E350" s="16"/>
      <c r="F350" s="17"/>
      <c r="G350" s="17"/>
      <c r="H350" s="17"/>
      <c r="I350" s="17"/>
      <c r="J350" s="17"/>
      <c r="K350" s="17"/>
      <c r="L350" s="12"/>
      <c r="M350" s="12"/>
      <c r="N350" s="12"/>
      <c r="O350" s="12"/>
      <c r="P350" s="12"/>
      <c r="Q350" s="17"/>
      <c r="R350" s="18">
        <f>IF(SUMPRODUCT((E350:Q350)*1)=0,0,E350*INDEX(Hours!M:M,MATCH(C350,Hours!$A:$A,0))+F350*INDEX(Hours!B:B,MATCH(C350,Hours!$A:$A,0))+G350*INDEX(Hours!C:C,MATCH(C350,Hours!$A:$A,0))+H350*INDEX(Hours!D:D,MATCH(C350,Hours!$A:$A,0))+I350*INDEX(Hours!E:E,MATCH(C350,Hours!$A:$A,0))+J350*INDEX(Hours!F:F,MATCH(C350,Hours!$A:$A,0))+K350*INDEX(Hours!G:G,MATCH(C350,Hours!$A:$A,0)))</f>
        <v>0</v>
      </c>
      <c r="S350" s="19">
        <f t="shared" si="11"/>
        <v>0</v>
      </c>
    </row>
    <row r="351" spans="1:19" x14ac:dyDescent="0.25">
      <c r="A351" s="15" t="str">
        <f>'Bldgs &amp; Rooms'!$A$11</f>
        <v>Main Bldg.</v>
      </c>
      <c r="B351" s="15">
        <f>'Bldgs &amp; Rooms'!$B$11</f>
        <v>0</v>
      </c>
      <c r="C351" s="14" t="str">
        <f>Hours!$A$18</f>
        <v>Individual Combination Motor Starter &gt; 100A</v>
      </c>
      <c r="D351" s="15">
        <f t="shared" si="10"/>
        <v>0</v>
      </c>
      <c r="E351" s="16"/>
      <c r="F351" s="17"/>
      <c r="G351" s="17"/>
      <c r="H351" s="17"/>
      <c r="I351" s="17"/>
      <c r="J351" s="17"/>
      <c r="K351" s="17"/>
      <c r="L351" s="12"/>
      <c r="M351" s="12"/>
      <c r="N351" s="12"/>
      <c r="O351" s="12"/>
      <c r="P351" s="12"/>
      <c r="Q351" s="17"/>
      <c r="R351" s="18">
        <f>IF(SUMPRODUCT((E351:Q351)*1)=0,0,E351*INDEX(Hours!M:M,MATCH(C351,Hours!$A:$A,0))+F351*INDEX(Hours!B:B,MATCH(C351,Hours!$A:$A,0))+G351*INDEX(Hours!C:C,MATCH(C351,Hours!$A:$A,0))+H351*INDEX(Hours!D:D,MATCH(C351,Hours!$A:$A,0))+I351*INDEX(Hours!E:E,MATCH(C351,Hours!$A:$A,0))+J351*INDEX(Hours!F:F,MATCH(C351,Hours!$A:$A,0))+K351*INDEX(Hours!G:G,MATCH(C351,Hours!$A:$A,0)))</f>
        <v>0</v>
      </c>
      <c r="S351" s="19">
        <f t="shared" si="11"/>
        <v>0</v>
      </c>
    </row>
    <row r="352" spans="1:19" x14ac:dyDescent="0.25">
      <c r="A352" s="15" t="str">
        <f>'Bldgs &amp; Rooms'!$A$11</f>
        <v>Main Bldg.</v>
      </c>
      <c r="B352" s="15">
        <f>'Bldgs &amp; Rooms'!$B$11</f>
        <v>0</v>
      </c>
      <c r="C352" s="14" t="str">
        <f>Hours!$A$19</f>
        <v>Oil Filled Transformer - 5kV-15kV Primary - Any Size (Pad Mounted)</v>
      </c>
      <c r="D352" s="15">
        <f t="shared" si="10"/>
        <v>0</v>
      </c>
      <c r="E352" s="16"/>
      <c r="F352" s="17"/>
      <c r="G352" s="17"/>
      <c r="H352" s="17"/>
      <c r="I352" s="17"/>
      <c r="J352" s="17"/>
      <c r="K352" s="12"/>
      <c r="L352" s="12"/>
      <c r="M352" s="17"/>
      <c r="N352" s="17"/>
      <c r="O352" s="12"/>
      <c r="P352" s="17"/>
      <c r="Q352" s="17"/>
      <c r="R352" s="18">
        <f>IF(SUMPRODUCT((E352:Q352)*1)=0,0,E352*INDEX(Hours!M:M,MATCH(C352,Hours!$A:$A,0))+F352*INDEX(Hours!B:B,MATCH(C352,Hours!$A:$A,0))+G352*INDEX(Hours!C:C,MATCH(C352,Hours!$A:$A,0))+H352*INDEX(Hours!D:D,MATCH(C352,Hours!$A:$A,0))+I352*INDEX(Hours!E:E,MATCH(C352,Hours!$A:$A,0))+J352*INDEX(Hours!F:F,MATCH(C352,Hours!$A:$A,0))+M352*INDEX(Hours!I:I,MATCH(C352,Hours!$A:$A,0))+N352*INDEX(Hours!J:J,MATCH(C352,Hours!$A:$A,0))+P352*INDEX(Hours!L:L,MATCH(C352,Hours!$A:$A,0)))</f>
        <v>0</v>
      </c>
      <c r="S352" s="19">
        <f t="shared" si="11"/>
        <v>0</v>
      </c>
    </row>
    <row r="353" spans="1:19" x14ac:dyDescent="0.25">
      <c r="A353" s="15" t="str">
        <f>'Bldgs &amp; Rooms'!$A$11</f>
        <v>Main Bldg.</v>
      </c>
      <c r="B353" s="15">
        <f>'Bldgs &amp; Rooms'!$B$11</f>
        <v>0</v>
      </c>
      <c r="C353" s="14" t="str">
        <f>Hours!$A$20</f>
        <v>Oil Filled Transformer - &gt; 15kV Primary (Substation Class)</v>
      </c>
      <c r="D353" s="15">
        <f t="shared" si="10"/>
        <v>0</v>
      </c>
      <c r="E353" s="16"/>
      <c r="F353" s="17"/>
      <c r="G353" s="17"/>
      <c r="H353" s="17"/>
      <c r="I353" s="17"/>
      <c r="J353" s="17"/>
      <c r="K353" s="12"/>
      <c r="L353" s="12"/>
      <c r="M353" s="17"/>
      <c r="N353" s="17"/>
      <c r="O353" s="12"/>
      <c r="P353" s="17"/>
      <c r="Q353" s="17"/>
      <c r="R353" s="18">
        <f>IF(SUMPRODUCT((E353:Q353)*1)=0,0,E353*INDEX(Hours!M:M,MATCH(C353,Hours!$A:$A,0))+F353*INDEX(Hours!B:B,MATCH(C353,Hours!$A:$A,0))+G353*INDEX(Hours!C:C,MATCH(C353,Hours!$A:$A,0))+H353*INDEX(Hours!D:D,MATCH(C353,Hours!$A:$A,0))+I353*INDEX(Hours!E:E,MATCH(C353,Hours!$A:$A,0))+J353*INDEX(Hours!F:F,MATCH(C353,Hours!$A:$A,0))+M353*INDEX(Hours!I:I,MATCH(C353,Hours!$A:$A,0))+N353*INDEX(Hours!J:J,MATCH(C353,Hours!$A:$A,0))+P353*INDEX(Hours!L:L,MATCH(C353,Hours!$A:$A,0)))</f>
        <v>0</v>
      </c>
      <c r="S353" s="19">
        <f t="shared" si="11"/>
        <v>0</v>
      </c>
    </row>
    <row r="354" spans="1:19" x14ac:dyDescent="0.25">
      <c r="A354" s="15" t="str">
        <f>'Bldgs &amp; Rooms'!$A$11</f>
        <v>Main Bldg.</v>
      </c>
      <c r="B354" s="15">
        <f>'Bldgs &amp; Rooms'!$B$11</f>
        <v>0</v>
      </c>
      <c r="C354" s="14" t="str">
        <f>Hours!$A$21</f>
        <v>Dry Type Transformer - &lt; 480V Primary - Any Size kVA</v>
      </c>
      <c r="D354" s="15">
        <f t="shared" si="10"/>
        <v>0</v>
      </c>
      <c r="E354" s="16"/>
      <c r="F354" s="17"/>
      <c r="G354" s="17"/>
      <c r="H354" s="17"/>
      <c r="I354" s="17"/>
      <c r="J354" s="17"/>
      <c r="K354" s="12"/>
      <c r="L354" s="12"/>
      <c r="M354" s="17"/>
      <c r="N354" s="17"/>
      <c r="O354" s="12"/>
      <c r="P354" s="12"/>
      <c r="Q354" s="17"/>
      <c r="R354" s="18">
        <f>IF(SUMPRODUCT((E354:Q354)*1)=0,0,E354*INDEX(Hours!M:M,MATCH(C354,Hours!$A:$A,0))+F354*INDEX(Hours!B:B,MATCH(C354,Hours!$A:$A,0))+G354*INDEX(Hours!C:C,MATCH(C354,Hours!$A:$A,0))+H354*INDEX(Hours!D:D,MATCH(C354,Hours!$A:$A,0))+I354*INDEX(Hours!E:E,MATCH(C354,Hours!$A:$A,0))+J354*INDEX(Hours!F:F,MATCH(C354,Hours!$A:$A,0))+M354*INDEX(Hours!I:I,MATCH(C354,Hours!$A:$A,0))+N354*INDEX(Hours!J:J,MATCH(C354,Hours!$A:$A,0)))</f>
        <v>0</v>
      </c>
      <c r="S354" s="19">
        <f t="shared" si="11"/>
        <v>0</v>
      </c>
    </row>
    <row r="355" spans="1:19" x14ac:dyDescent="0.25">
      <c r="A355" s="15" t="str">
        <f>'Bldgs &amp; Rooms'!$A$11</f>
        <v>Main Bldg.</v>
      </c>
      <c r="B355" s="15">
        <f>'Bldgs &amp; Rooms'!$B$11</f>
        <v>0</v>
      </c>
      <c r="C355" s="14" t="str">
        <f>Hours!$A$22</f>
        <v>Power Factor Correction Capacitors</v>
      </c>
      <c r="D355" s="15">
        <f t="shared" si="10"/>
        <v>0</v>
      </c>
      <c r="E355" s="16"/>
      <c r="F355" s="17"/>
      <c r="G355" s="17"/>
      <c r="H355" s="17"/>
      <c r="I355" s="17"/>
      <c r="J355" s="17"/>
      <c r="K355" s="12"/>
      <c r="L355" s="12"/>
      <c r="M355" s="12"/>
      <c r="N355" s="12"/>
      <c r="O355" s="12"/>
      <c r="P355" s="12"/>
      <c r="Q355" s="17"/>
      <c r="R355" s="18">
        <f>IF(SUMPRODUCT((E355:Q355)*1)=0,0,E355*INDEX(Hours!M:M,MATCH(C355,Hours!$A:$A,0))+F355*INDEX(Hours!B:B,MATCH(C355,Hours!$A:$A,0))+G355*INDEX(Hours!C:C,MATCH(C355,Hours!$A:$A,0))+H355*INDEX(Hours!D:D,MATCH(C355,Hours!$A:$A,0))+I355*INDEX(Hours!E:E,MATCH(C355,Hours!$A:$A,0))+J355*INDEX(Hours!F:F,MATCH(C355,Hours!$A:$A,0)))</f>
        <v>0</v>
      </c>
      <c r="S355" s="19">
        <f t="shared" si="11"/>
        <v>0</v>
      </c>
    </row>
    <row r="356" spans="1:19" x14ac:dyDescent="0.25">
      <c r="A356" s="15" t="str">
        <f>'Bldgs &amp; Rooms'!$A$11</f>
        <v>Main Bldg.</v>
      </c>
      <c r="B356" s="15">
        <f>'Bldgs &amp; Rooms'!$B$11</f>
        <v>0</v>
      </c>
      <c r="C356" s="14" t="str">
        <f>Hours!$A$23</f>
        <v>Lighting Contactor &gt; 100A</v>
      </c>
      <c r="D356" s="15">
        <f t="shared" si="10"/>
        <v>0</v>
      </c>
      <c r="E356" s="16"/>
      <c r="F356" s="17"/>
      <c r="G356" s="17"/>
      <c r="H356" s="17"/>
      <c r="I356" s="17"/>
      <c r="J356" s="17"/>
      <c r="K356" s="12"/>
      <c r="L356" s="12"/>
      <c r="M356" s="12"/>
      <c r="N356" s="12"/>
      <c r="O356" s="12"/>
      <c r="P356" s="12"/>
      <c r="Q356" s="17"/>
      <c r="R356" s="18">
        <f>IF(SUMPRODUCT((E356:Q356)*1)=0,0,E356*INDEX(Hours!M:M,MATCH(C356,Hours!$A:$A,0))+F356*INDEX(Hours!B:B,MATCH(C356,Hours!$A:$A,0))+G356*INDEX(Hours!C:C,MATCH(C356,Hours!$A:$A,0))+H356*INDEX(Hours!D:D,MATCH(C356,Hours!$A:$A,0))+I356*INDEX(Hours!E:E,MATCH(C356,Hours!$A:$A,0))+J356*INDEX(Hours!F:F,MATCH(C356,Hours!$A:$A,0)))</f>
        <v>0</v>
      </c>
      <c r="S356" s="19">
        <f t="shared" si="11"/>
        <v>0</v>
      </c>
    </row>
    <row r="357" spans="1:19" x14ac:dyDescent="0.25">
      <c r="A357" s="15" t="str">
        <f>'Bldgs &amp; Rooms'!$A$11</f>
        <v>Main Bldg.</v>
      </c>
      <c r="B357" s="15">
        <f>'Bldgs &amp; Rooms'!$B$11</f>
        <v>0</v>
      </c>
      <c r="C357" s="14" t="str">
        <f>Hours!$A$24</f>
        <v>Power Distribution Unit (PDU)</v>
      </c>
      <c r="D357" s="15">
        <f t="shared" si="10"/>
        <v>0</v>
      </c>
      <c r="E357" s="16"/>
      <c r="F357" s="17"/>
      <c r="G357" s="17"/>
      <c r="H357" s="17"/>
      <c r="I357" s="17"/>
      <c r="J357" s="17"/>
      <c r="K357" s="12"/>
      <c r="L357" s="12"/>
      <c r="M357" s="12"/>
      <c r="N357" s="12"/>
      <c r="O357" s="12"/>
      <c r="P357" s="12"/>
      <c r="Q357" s="17"/>
      <c r="R357" s="18">
        <f>IF(SUMPRODUCT((E357:Q357)*1)=0,0,E357*INDEX(Hours!M:M,MATCH(C357,Hours!$A:$A,0))+F357*INDEX(Hours!B:B,MATCH(C357,Hours!$A:$A,0))+G357*INDEX(Hours!C:C,MATCH(C357,Hours!$A:$A,0))+H357*INDEX(Hours!D:D,MATCH(C357,Hours!$A:$A,0))+I357*INDEX(Hours!E:E,MATCH(C357,Hours!$A:$A,0))+J357*INDEX(Hours!F:F,MATCH(C357,Hours!$A:$A,0)))</f>
        <v>0</v>
      </c>
      <c r="S357" s="19">
        <f t="shared" si="11"/>
        <v>0</v>
      </c>
    </row>
    <row r="358" spans="1:19" x14ac:dyDescent="0.25">
      <c r="A358" s="15" t="str">
        <f>'Bldgs &amp; Rooms'!$A$11</f>
        <v>Main Bldg.</v>
      </c>
      <c r="B358" s="15">
        <f>'Bldgs &amp; Rooms'!$B$11</f>
        <v>0</v>
      </c>
      <c r="C358" s="14" t="str">
        <f>Hours!$A$25</f>
        <v>Wire Trough, Gutter, or Large Junction Boxes</v>
      </c>
      <c r="D358" s="15">
        <f t="shared" si="10"/>
        <v>0</v>
      </c>
      <c r="E358" s="16"/>
      <c r="F358" s="17"/>
      <c r="G358" s="17"/>
      <c r="H358" s="17"/>
      <c r="I358" s="17"/>
      <c r="J358" s="17"/>
      <c r="K358" s="12"/>
      <c r="L358" s="12"/>
      <c r="M358" s="12"/>
      <c r="N358" s="12"/>
      <c r="O358" s="12"/>
      <c r="P358" s="12"/>
      <c r="Q358" s="17"/>
      <c r="R358" s="18">
        <f>IF(SUMPRODUCT((E358:Q358)*1)=0,0,E358*INDEX(Hours!M:M,MATCH(C358,Hours!$A:$A,0))+F358*INDEX(Hours!B:B,MATCH(C358,Hours!$A:$A,0))+G358*INDEX(Hours!C:C,MATCH(C358,Hours!$A:$A,0))+H358*INDEX(Hours!D:D,MATCH(C358,Hours!$A:$A,0))+I358*INDEX(Hours!E:E,MATCH(C358,Hours!$A:$A,0))+J358*INDEX(Hours!F:F,MATCH(C358,Hours!$A:$A,0)))</f>
        <v>0</v>
      </c>
      <c r="S358" s="19">
        <f t="shared" si="11"/>
        <v>0</v>
      </c>
    </row>
    <row r="359" spans="1:19" x14ac:dyDescent="0.25">
      <c r="A359" s="15" t="str">
        <f>'Bldgs &amp; Rooms'!$A$11</f>
        <v>Main Bldg.</v>
      </c>
      <c r="B359" s="15">
        <f>'Bldgs &amp; Rooms'!$B$11</f>
        <v>0</v>
      </c>
      <c r="C359" s="14" t="str">
        <f>Hours!$A$26</f>
        <v>Bus Duct - Vertical or Horizontal (Per 10' section)</v>
      </c>
      <c r="D359" s="15">
        <f t="shared" si="10"/>
        <v>0</v>
      </c>
      <c r="E359" s="16"/>
      <c r="F359" s="17"/>
      <c r="G359" s="17"/>
      <c r="H359" s="17"/>
      <c r="I359" s="17"/>
      <c r="J359" s="17"/>
      <c r="K359" s="12"/>
      <c r="L359" s="12"/>
      <c r="M359" s="12"/>
      <c r="N359" s="12"/>
      <c r="O359" s="12"/>
      <c r="P359" s="12"/>
      <c r="Q359" s="17"/>
      <c r="R359" s="18">
        <f>IF(SUMPRODUCT((E359:Q359)*1)=0,0,E359*INDEX(Hours!M:M,MATCH(C359,Hours!$A:$A,0))+F359*INDEX(Hours!B:B,MATCH(C359,Hours!$A:$A,0))+G359*INDEX(Hours!C:C,MATCH(C359,Hours!$A:$A,0))+H359*INDEX(Hours!D:D,MATCH(C359,Hours!$A:$A,0))+I359*INDEX(Hours!E:E,MATCH(C359,Hours!$A:$A,0))+J359*INDEX(Hours!F:F,MATCH(C359,Hours!$A:$A,0)))</f>
        <v>0</v>
      </c>
      <c r="S359" s="19">
        <f t="shared" si="11"/>
        <v>0</v>
      </c>
    </row>
    <row r="360" spans="1:19" x14ac:dyDescent="0.25">
      <c r="A360" s="15" t="str">
        <f>'Bldgs &amp; Rooms'!$A$11</f>
        <v>Main Bldg.</v>
      </c>
      <c r="B360" s="15">
        <f>'Bldgs &amp; Rooms'!$B$11</f>
        <v>0</v>
      </c>
      <c r="C360" s="14" t="str">
        <f>Hours!$A$27</f>
        <v>Automatic Transfer Switch (ATS) &gt; 100A</v>
      </c>
      <c r="D360" s="15">
        <f t="shared" si="10"/>
        <v>0</v>
      </c>
      <c r="E360" s="16"/>
      <c r="F360" s="17"/>
      <c r="G360" s="17"/>
      <c r="H360" s="17"/>
      <c r="I360" s="17"/>
      <c r="J360" s="17"/>
      <c r="K360" s="12"/>
      <c r="L360" s="12"/>
      <c r="M360" s="12"/>
      <c r="N360" s="12"/>
      <c r="O360" s="12"/>
      <c r="P360" s="12"/>
      <c r="Q360" s="17"/>
      <c r="R360" s="18">
        <f>IF(SUMPRODUCT((E360:Q360)*1)=0,0,E360*INDEX(Hours!M:M,MATCH(C360,Hours!$A:$A,0))+F360*INDEX(Hours!B:B,MATCH(C360,Hours!$A:$A,0))+G360*INDEX(Hours!C:C,MATCH(C360,Hours!$A:$A,0))+H360*INDEX(Hours!D:D,MATCH(C360,Hours!$A:$A,0))+I360*INDEX(Hours!E:E,MATCH(C360,Hours!$A:$A,0))+J360*INDEX(Hours!F:F,MATCH(C360,Hours!$A:$A,0)))</f>
        <v>0</v>
      </c>
      <c r="S360" s="19">
        <f t="shared" si="11"/>
        <v>0</v>
      </c>
    </row>
    <row r="361" spans="1:19" x14ac:dyDescent="0.25">
      <c r="A361" s="15" t="str">
        <f>'Bldgs &amp; Rooms'!$A$11</f>
        <v>Main Bldg.</v>
      </c>
      <c r="B361" s="15">
        <f>'Bldgs &amp; Rooms'!$B$11</f>
        <v>0</v>
      </c>
      <c r="C361" s="14" t="str">
        <f>Hours!$A$28</f>
        <v>Manual Transfer Switch (MTS) &gt; 100A</v>
      </c>
      <c r="D361" s="15">
        <f t="shared" si="10"/>
        <v>0</v>
      </c>
      <c r="E361" s="16"/>
      <c r="F361" s="17"/>
      <c r="G361" s="17"/>
      <c r="H361" s="17"/>
      <c r="I361" s="17"/>
      <c r="J361" s="17"/>
      <c r="K361" s="12"/>
      <c r="L361" s="12"/>
      <c r="M361" s="12"/>
      <c r="N361" s="12"/>
      <c r="O361" s="12"/>
      <c r="P361" s="12"/>
      <c r="Q361" s="17"/>
      <c r="R361" s="18">
        <f>IF(SUMPRODUCT((E361:Q361)*1)=0,0,E361*INDEX(Hours!M:M,MATCH(C361,Hours!$A:$A,0))+F361*INDEX(Hours!B:B,MATCH(C361,Hours!$A:$A,0))+G361*INDEX(Hours!C:C,MATCH(C361,Hours!$A:$A,0))+H361*INDEX(Hours!D:D,MATCH(C361,Hours!$A:$A,0))+I361*INDEX(Hours!E:E,MATCH(C361,Hours!$A:$A,0))+J361*INDEX(Hours!F:F,MATCH(C361,Hours!$A:$A,0)))</f>
        <v>0</v>
      </c>
      <c r="S361" s="19">
        <f t="shared" si="11"/>
        <v>0</v>
      </c>
    </row>
    <row r="362" spans="1:19" x14ac:dyDescent="0.25">
      <c r="A362" s="15" t="str">
        <f>'Bldgs &amp; Rooms'!$A$11</f>
        <v>Main Bldg.</v>
      </c>
      <c r="B362" s="15">
        <f>'Bldgs &amp; Rooms'!$B$11</f>
        <v>0</v>
      </c>
      <c r="C362" s="14" t="str">
        <f>Hours!$A$29</f>
        <v>Variable Frequency Drives (VFD) &lt; 50 HP</v>
      </c>
      <c r="D362" s="15">
        <f t="shared" si="10"/>
        <v>0</v>
      </c>
      <c r="E362" s="16"/>
      <c r="F362" s="17"/>
      <c r="G362" s="17"/>
      <c r="H362" s="17"/>
      <c r="I362" s="17"/>
      <c r="J362" s="17"/>
      <c r="K362" s="12"/>
      <c r="L362" s="12"/>
      <c r="M362" s="12"/>
      <c r="N362" s="12"/>
      <c r="O362" s="12"/>
      <c r="P362" s="12"/>
      <c r="Q362" s="17"/>
      <c r="R362" s="18">
        <f>IF(SUMPRODUCT((E362:Q362)*1)=0,0,E362*INDEX(Hours!M:M,MATCH(C362,Hours!$A:$A,0))+F362*INDEX(Hours!B:B,MATCH(C362,Hours!$A:$A,0))+G362*INDEX(Hours!C:C,MATCH(C362,Hours!$A:$A,0))+H362*INDEX(Hours!D:D,MATCH(C362,Hours!$A:$A,0))+I362*INDEX(Hours!E:E,MATCH(C362,Hours!$A:$A,0))+J362*INDEX(Hours!F:F,MATCH(C362,Hours!$A:$A,0)))</f>
        <v>0</v>
      </c>
      <c r="S362" s="19">
        <f t="shared" si="11"/>
        <v>0</v>
      </c>
    </row>
    <row r="363" spans="1:19" x14ac:dyDescent="0.25">
      <c r="A363" s="15" t="str">
        <f>'Bldgs &amp; Rooms'!$A$11</f>
        <v>Main Bldg.</v>
      </c>
      <c r="B363" s="15">
        <f>'Bldgs &amp; Rooms'!$B$11</f>
        <v>0</v>
      </c>
      <c r="C363" s="14" t="str">
        <f>Hours!$A$30</f>
        <v>Variable Frequency Drives (VFD) 51-200 HP</v>
      </c>
      <c r="D363" s="15">
        <f t="shared" si="10"/>
        <v>0</v>
      </c>
      <c r="E363" s="16"/>
      <c r="F363" s="17"/>
      <c r="G363" s="17"/>
      <c r="H363" s="17"/>
      <c r="I363" s="17"/>
      <c r="J363" s="17"/>
      <c r="K363" s="12"/>
      <c r="L363" s="12"/>
      <c r="M363" s="12"/>
      <c r="N363" s="12"/>
      <c r="O363" s="12"/>
      <c r="P363" s="12"/>
      <c r="Q363" s="17"/>
      <c r="R363" s="18">
        <f>IF(SUMPRODUCT((E363:Q363)*1)=0,0,E363*INDEX(Hours!M:M,MATCH(C363,Hours!$A:$A,0))+F363*INDEX(Hours!B:B,MATCH(C363,Hours!$A:$A,0))+G363*INDEX(Hours!C:C,MATCH(C363,Hours!$A:$A,0))+H363*INDEX(Hours!D:D,MATCH(C363,Hours!$A:$A,0))+I363*INDEX(Hours!E:E,MATCH(C363,Hours!$A:$A,0))+J363*INDEX(Hours!F:F,MATCH(C363,Hours!$A:$A,0)))</f>
        <v>0</v>
      </c>
      <c r="S363" s="19">
        <f t="shared" si="11"/>
        <v>0</v>
      </c>
    </row>
    <row r="364" spans="1:19" x14ac:dyDescent="0.25">
      <c r="A364" s="15" t="str">
        <f>'Bldgs &amp; Rooms'!$A$11</f>
        <v>Main Bldg.</v>
      </c>
      <c r="B364" s="15">
        <f>'Bldgs &amp; Rooms'!$B$11</f>
        <v>0</v>
      </c>
      <c r="C364" s="14" t="str">
        <f>Hours!$A$31</f>
        <v>Motors &lt; 50 HP</v>
      </c>
      <c r="D364" s="15">
        <f t="shared" si="10"/>
        <v>0</v>
      </c>
      <c r="E364" s="16"/>
      <c r="F364" s="17"/>
      <c r="G364" s="17"/>
      <c r="H364" s="17"/>
      <c r="I364" s="17"/>
      <c r="J364" s="17"/>
      <c r="K364" s="12"/>
      <c r="L364" s="12"/>
      <c r="M364" s="12"/>
      <c r="N364" s="12"/>
      <c r="O364" s="12"/>
      <c r="P364" s="12"/>
      <c r="Q364" s="17"/>
      <c r="R364" s="18">
        <f>IF(SUMPRODUCT((E364:Q364)*1)=0,0,E364*INDEX(Hours!M:M,MATCH(C364,Hours!$A:$A,0))+F364*INDEX(Hours!B:B,MATCH(C364,Hours!$A:$A,0))+G364*INDEX(Hours!C:C,MATCH(C364,Hours!$A:$A,0))+H364*INDEX(Hours!D:D,MATCH(C364,Hours!$A:$A,0))+I364*INDEX(Hours!E:E,MATCH(C364,Hours!$A:$A,0))+J364*INDEX(Hours!F:F,MATCH(C364,Hours!$A:$A,0)))</f>
        <v>0</v>
      </c>
      <c r="S364" s="19">
        <f t="shared" si="11"/>
        <v>0</v>
      </c>
    </row>
    <row r="365" spans="1:19" x14ac:dyDescent="0.25">
      <c r="A365" s="15" t="str">
        <f>'Bldgs &amp; Rooms'!$A$11</f>
        <v>Main Bldg.</v>
      </c>
      <c r="B365" s="15">
        <f>'Bldgs &amp; Rooms'!$B$11</f>
        <v>0</v>
      </c>
      <c r="C365" s="14" t="str">
        <f>Hours!$A$32</f>
        <v>Motors 51-200 HP</v>
      </c>
      <c r="D365" s="15">
        <f t="shared" si="10"/>
        <v>0</v>
      </c>
      <c r="E365" s="16"/>
      <c r="F365" s="17"/>
      <c r="G365" s="17"/>
      <c r="H365" s="17"/>
      <c r="I365" s="17"/>
      <c r="J365" s="17"/>
      <c r="K365" s="12"/>
      <c r="L365" s="12"/>
      <c r="M365" s="12"/>
      <c r="N365" s="12"/>
      <c r="O365" s="12"/>
      <c r="P365" s="12"/>
      <c r="Q365" s="17"/>
      <c r="R365" s="18">
        <f>IF(SUMPRODUCT((E365:Q365)*1)=0,0,E365*INDEX(Hours!M:M,MATCH(C365,Hours!$A:$A,0))+F365*INDEX(Hours!B:B,MATCH(C365,Hours!$A:$A,0))+G365*INDEX(Hours!C:C,MATCH(C365,Hours!$A:$A,0))+H365*INDEX(Hours!D:D,MATCH(C365,Hours!$A:$A,0))+I365*INDEX(Hours!E:E,MATCH(C365,Hours!$A:$A,0))+J365*INDEX(Hours!F:F,MATCH(C365,Hours!$A:$A,0)))</f>
        <v>0</v>
      </c>
      <c r="S365" s="19">
        <f t="shared" si="11"/>
        <v>0</v>
      </c>
    </row>
    <row r="366" spans="1:19" x14ac:dyDescent="0.25">
      <c r="A366" s="15" t="str">
        <f>'Bldgs &amp; Rooms'!$A$11</f>
        <v>Main Bldg.</v>
      </c>
      <c r="B366" s="15">
        <f>'Bldgs &amp; Rooms'!$B$11</f>
        <v>0</v>
      </c>
      <c r="C366" s="14" t="str">
        <f>Hours!$A$33</f>
        <v>Motors 201-500 HP</v>
      </c>
      <c r="D366" s="15">
        <f t="shared" si="10"/>
        <v>0</v>
      </c>
      <c r="E366" s="16"/>
      <c r="F366" s="17"/>
      <c r="G366" s="17"/>
      <c r="H366" s="17"/>
      <c r="I366" s="17"/>
      <c r="J366" s="17"/>
      <c r="K366" s="12"/>
      <c r="L366" s="12"/>
      <c r="M366" s="12"/>
      <c r="N366" s="12"/>
      <c r="O366" s="12"/>
      <c r="P366" s="12"/>
      <c r="Q366" s="17"/>
      <c r="R366" s="18">
        <f>IF(SUMPRODUCT((E366:Q366)*1)=0,0,E366*INDEX(Hours!M:M,MATCH(C366,Hours!$A:$A,0))+F366*INDEX(Hours!B:B,MATCH(C366,Hours!$A:$A,0))+G366*INDEX(Hours!C:C,MATCH(C366,Hours!$A:$A,0))+H366*INDEX(Hours!D:D,MATCH(C366,Hours!$A:$A,0))+I366*INDEX(Hours!E:E,MATCH(C366,Hours!$A:$A,0))+J366*INDEX(Hours!F:F,MATCH(C366,Hours!$A:$A,0)))</f>
        <v>0</v>
      </c>
      <c r="S366" s="19">
        <f t="shared" si="11"/>
        <v>0</v>
      </c>
    </row>
    <row r="367" spans="1:19" x14ac:dyDescent="0.25">
      <c r="A367" s="15" t="str">
        <f>'Bldgs &amp; Rooms'!$A$11</f>
        <v>Main Bldg.</v>
      </c>
      <c r="B367" s="15">
        <f>'Bldgs &amp; Rooms'!$B$11</f>
        <v>0</v>
      </c>
      <c r="C367" s="14" t="str">
        <f>Hours!$A$34</f>
        <v>Compressed Air Equipment</v>
      </c>
      <c r="D367" s="15">
        <f t="shared" si="10"/>
        <v>0</v>
      </c>
      <c r="E367" s="16"/>
      <c r="F367" s="17"/>
      <c r="G367" s="17"/>
      <c r="H367" s="17"/>
      <c r="I367" s="17"/>
      <c r="J367" s="17"/>
      <c r="K367" s="12"/>
      <c r="L367" s="12"/>
      <c r="M367" s="12"/>
      <c r="N367" s="12"/>
      <c r="O367" s="12"/>
      <c r="P367" s="12"/>
      <c r="Q367" s="17"/>
      <c r="R367" s="18">
        <f>IF(SUMPRODUCT((E367:Q367)*1)=0,0,E367*INDEX(Hours!M:M,MATCH(C367,Hours!$A:$A,0))+F367*INDEX(Hours!B:B,MATCH(C367,Hours!$A:$A,0))+G367*INDEX(Hours!C:C,MATCH(C367,Hours!$A:$A,0))+H367*INDEX(Hours!D:D,MATCH(C367,Hours!$A:$A,0))+I367*INDEX(Hours!E:E,MATCH(C367,Hours!$A:$A,0))+J367*INDEX(Hours!F:F,MATCH(C367,Hours!$A:$A,0)))</f>
        <v>0</v>
      </c>
      <c r="S367" s="19">
        <f t="shared" si="11"/>
        <v>0</v>
      </c>
    </row>
    <row r="368" spans="1:19" x14ac:dyDescent="0.25">
      <c r="A368" s="15" t="str">
        <f>'Bldgs &amp; Rooms'!$A$11</f>
        <v>Main Bldg.</v>
      </c>
      <c r="B368" s="15">
        <f>'Bldgs &amp; Rooms'!$B$11</f>
        <v>0</v>
      </c>
      <c r="C368" s="14" t="str">
        <f>Hours!$A$35</f>
        <v>HVAC Equipment (Large)</v>
      </c>
      <c r="D368" s="15">
        <f t="shared" si="10"/>
        <v>0</v>
      </c>
      <c r="E368" s="16"/>
      <c r="F368" s="17"/>
      <c r="G368" s="17"/>
      <c r="H368" s="17"/>
      <c r="I368" s="17"/>
      <c r="J368" s="17"/>
      <c r="K368" s="12"/>
      <c r="L368" s="12"/>
      <c r="M368" s="12"/>
      <c r="N368" s="12"/>
      <c r="O368" s="12"/>
      <c r="P368" s="12"/>
      <c r="Q368" s="17"/>
      <c r="R368" s="18">
        <f>IF(SUMPRODUCT((E368:Q368)*1)=0,0,E368*INDEX(Hours!M:M,MATCH(C368,Hours!$A:$A,0))+F368*INDEX(Hours!B:B,MATCH(C368,Hours!$A:$A,0))+G368*INDEX(Hours!C:C,MATCH(C368,Hours!$A:$A,0))+H368*INDEX(Hours!D:D,MATCH(C368,Hours!$A:$A,0))+I368*INDEX(Hours!E:E,MATCH(C368,Hours!$A:$A,0))+J368*INDEX(Hours!F:F,MATCH(C368,Hours!$A:$A,0)))</f>
        <v>0</v>
      </c>
      <c r="S368" s="19">
        <f t="shared" si="11"/>
        <v>0</v>
      </c>
    </row>
    <row r="369" spans="1:19" x14ac:dyDescent="0.25">
      <c r="A369" s="15" t="str">
        <f>'Bldgs &amp; Rooms'!$A$11</f>
        <v>Main Bldg.</v>
      </c>
      <c r="B369" s="15">
        <f>'Bldgs &amp; Rooms'!$B$11</f>
        <v>0</v>
      </c>
      <c r="C369" s="14" t="str">
        <f>Hours!$A$36</f>
        <v>HVAC Equipment (Small)</v>
      </c>
      <c r="D369" s="15">
        <f t="shared" si="10"/>
        <v>0</v>
      </c>
      <c r="E369" s="16"/>
      <c r="F369" s="17"/>
      <c r="G369" s="17"/>
      <c r="H369" s="17"/>
      <c r="I369" s="17"/>
      <c r="J369" s="17"/>
      <c r="K369" s="12"/>
      <c r="L369" s="12"/>
      <c r="M369" s="12"/>
      <c r="N369" s="12"/>
      <c r="O369" s="12"/>
      <c r="P369" s="12"/>
      <c r="Q369" s="17"/>
      <c r="R369" s="18">
        <f>IF(SUMPRODUCT((E369:Q369)*1)=0,0,E369*INDEX(Hours!M:M,MATCH(C369,Hours!$A:$A,0))+F369*INDEX(Hours!B:B,MATCH(C369,Hours!$A:$A,0))+G369*INDEX(Hours!C:C,MATCH(C369,Hours!$A:$A,0))+H369*INDEX(Hours!D:D,MATCH(C369,Hours!$A:$A,0))+I369*INDEX(Hours!E:E,MATCH(C369,Hours!$A:$A,0))+J369*INDEX(Hours!F:F,MATCH(C369,Hours!$A:$A,0)))</f>
        <v>0</v>
      </c>
      <c r="S369" s="19">
        <f t="shared" si="11"/>
        <v>0</v>
      </c>
    </row>
    <row r="370" spans="1:19" x14ac:dyDescent="0.25">
      <c r="A370" s="15" t="str">
        <f>'Bldgs &amp; Rooms'!$A$11</f>
        <v>Main Bldg.</v>
      </c>
      <c r="B370" s="15">
        <f>'Bldgs &amp; Rooms'!$B$11</f>
        <v>0</v>
      </c>
      <c r="C370" s="14" t="str">
        <f>Hours!$A$37</f>
        <v>Uninterruptible Power Supply (UPS) &lt; 50kVA</v>
      </c>
      <c r="D370" s="15">
        <f t="shared" si="10"/>
        <v>0</v>
      </c>
      <c r="E370" s="16"/>
      <c r="F370" s="17"/>
      <c r="G370" s="17"/>
      <c r="H370" s="17"/>
      <c r="I370" s="17"/>
      <c r="J370" s="17"/>
      <c r="K370" s="12"/>
      <c r="L370" s="12"/>
      <c r="M370" s="12"/>
      <c r="N370" s="12"/>
      <c r="O370" s="12"/>
      <c r="P370" s="12"/>
      <c r="Q370" s="17"/>
      <c r="R370" s="18">
        <f>IF(SUMPRODUCT((E370:Q370)*1)=0,0,E370*INDEX(Hours!M:M,MATCH(C370,Hours!$A:$A,0))+F370*INDEX(Hours!B:B,MATCH(C370,Hours!$A:$A,0))+G370*INDEX(Hours!C:C,MATCH(C370,Hours!$A:$A,0))+H370*INDEX(Hours!D:D,MATCH(C370,Hours!$A:$A,0))+I370*INDEX(Hours!E:E,MATCH(C370,Hours!$A:$A,0))+J370*INDEX(Hours!F:F,MATCH(C370,Hours!$A:$A,0)))</f>
        <v>0</v>
      </c>
      <c r="S370" s="19">
        <f t="shared" si="11"/>
        <v>0</v>
      </c>
    </row>
    <row r="371" spans="1:19" x14ac:dyDescent="0.25">
      <c r="A371" s="15" t="str">
        <f>'Bldgs &amp; Rooms'!$A$11</f>
        <v>Main Bldg.</v>
      </c>
      <c r="B371" s="15">
        <f>'Bldgs &amp; Rooms'!$B$11</f>
        <v>0</v>
      </c>
      <c r="C371" s="14" t="str">
        <f>Hours!$A$38</f>
        <v>Uninterruptible Power Supply (UPS) &gt; 50kVA</v>
      </c>
      <c r="D371" s="15">
        <f t="shared" si="10"/>
        <v>0</v>
      </c>
      <c r="E371" s="16"/>
      <c r="F371" s="17"/>
      <c r="G371" s="17"/>
      <c r="H371" s="17"/>
      <c r="I371" s="17"/>
      <c r="J371" s="17"/>
      <c r="K371" s="12"/>
      <c r="L371" s="12"/>
      <c r="M371" s="12"/>
      <c r="N371" s="12"/>
      <c r="O371" s="12"/>
      <c r="P371" s="12"/>
      <c r="Q371" s="17"/>
      <c r="R371" s="18">
        <f>IF(SUMPRODUCT((E371:Q371)*1)=0,0,E371*INDEX(Hours!M:M,MATCH(C371,Hours!$A:$A,0))+F371*INDEX(Hours!B:B,MATCH(C371,Hours!$A:$A,0))+G371*INDEX(Hours!C:C,MATCH(C371,Hours!$A:$A,0))+H371*INDEX(Hours!D:D,MATCH(C371,Hours!$A:$A,0))+I371*INDEX(Hours!E:E,MATCH(C371,Hours!$A:$A,0))+J371*INDEX(Hours!F:F,MATCH(C371,Hours!$A:$A,0)))</f>
        <v>0</v>
      </c>
      <c r="S371" s="19">
        <f t="shared" si="11"/>
        <v>0</v>
      </c>
    </row>
    <row r="372" spans="1:19" x14ac:dyDescent="0.25">
      <c r="A372" s="11" t="str">
        <f>'Bldgs &amp; Rooms'!$A$12</f>
        <v>Main Bldg.</v>
      </c>
      <c r="B372" s="11">
        <f>'Bldgs &amp; Rooms'!$B$12</f>
        <v>0</v>
      </c>
      <c r="C372" s="10" t="str">
        <f>Hours!$A$2</f>
        <v>Switchgear - Incoming Main Service (Per Section)</v>
      </c>
      <c r="D372" s="11">
        <f t="shared" si="10"/>
        <v>0</v>
      </c>
      <c r="E372" s="16"/>
      <c r="F372" s="17"/>
      <c r="G372" s="17"/>
      <c r="H372" s="17"/>
      <c r="I372" s="17"/>
      <c r="J372" s="17"/>
      <c r="K372" s="17"/>
      <c r="L372" s="17"/>
      <c r="M372" s="12"/>
      <c r="N372" s="12"/>
      <c r="O372" s="17"/>
      <c r="P372" s="12"/>
      <c r="Q372" s="17"/>
      <c r="R372" s="18">
        <f>IF(SUMPRODUCT((E372:Q372)*1)=0,0,E372*INDEX(Hours!M:M,MATCH(C372,Hours!$A:$A,0))+F372*INDEX(Hours!B:B,MATCH(C372,Hours!$A:$A,0))+G372*INDEX(Hours!C:C,MATCH(C372,Hours!$A:$A,0))+H372*INDEX(Hours!D:D,MATCH(C372,Hours!$A:$A,0))+I372*INDEX(Hours!E:E,MATCH(C372,Hours!$A:$A,0))+J372*INDEX(Hours!F:F,MATCH(C372,Hours!$A:$A,0))+K372*INDEX(Hours!G:G,MATCH(C372,Hours!$A:$A,0))+L372*INDEX(Hours!H:H,MATCH(C372,Hours!$A:$A,0))+O372*INDEX(Hours!K:K,MATCH(C372,Hours!$A:$A,0)))</f>
        <v>0</v>
      </c>
      <c r="S372" s="19">
        <f t="shared" si="11"/>
        <v>0</v>
      </c>
    </row>
    <row r="373" spans="1:19" x14ac:dyDescent="0.25">
      <c r="A373" s="11" t="str">
        <f>'Bldgs &amp; Rooms'!$A$12</f>
        <v>Main Bldg.</v>
      </c>
      <c r="B373" s="11">
        <f>'Bldgs &amp; Rooms'!$B$12</f>
        <v>0</v>
      </c>
      <c r="C373" s="10" t="str">
        <f>Hours!$A$3</f>
        <v xml:space="preserve">  Switchgear Insulated Case Breakers (Bus Mounted)</v>
      </c>
      <c r="D373" s="11">
        <f t="shared" si="10"/>
        <v>0</v>
      </c>
      <c r="E373" s="16"/>
      <c r="F373" s="17"/>
      <c r="G373" s="17"/>
      <c r="H373" s="17"/>
      <c r="I373" s="17"/>
      <c r="J373" s="17"/>
      <c r="K373" s="17"/>
      <c r="L373" s="12"/>
      <c r="M373" s="12"/>
      <c r="N373" s="12"/>
      <c r="O373" s="12"/>
      <c r="P373" s="12"/>
      <c r="Q373" s="17"/>
      <c r="R373" s="18">
        <f>IF(SUMPRODUCT((E373:Q373)*1)=0,0,E373*INDEX(Hours!M:M,MATCH(C373,Hours!$A:$A,0))+F373*INDEX(Hours!B:B,MATCH(C373,Hours!$A:$A,0))+G373*INDEX(Hours!C:C,MATCH(C373,Hours!$A:$A,0))+H373*INDEX(Hours!D:D,MATCH(C373,Hours!$A:$A,0))+I373*INDEX(Hours!E:E,MATCH(C373,Hours!$A:$A,0))+J373*INDEX(Hours!F:F,MATCH(C373,Hours!$A:$A,0))+K373*INDEX(Hours!G:G,MATCH(C373,Hours!$A:$A,0)))</f>
        <v>0</v>
      </c>
      <c r="S373" s="19">
        <f t="shared" si="11"/>
        <v>0</v>
      </c>
    </row>
    <row r="374" spans="1:19" x14ac:dyDescent="0.25">
      <c r="A374" s="11" t="str">
        <f>'Bldgs &amp; Rooms'!$A$12</f>
        <v>Main Bldg.</v>
      </c>
      <c r="B374" s="11">
        <f>'Bldgs &amp; Rooms'!$B$12</f>
        <v>0</v>
      </c>
      <c r="C374" s="10" t="str">
        <f>Hours!$A$4</f>
        <v xml:space="preserve">  SwitchGear Drawout Breakers</v>
      </c>
      <c r="D374" s="11">
        <f t="shared" si="10"/>
        <v>0</v>
      </c>
      <c r="E374" s="16"/>
      <c r="F374" s="17"/>
      <c r="G374" s="17"/>
      <c r="H374" s="17"/>
      <c r="I374" s="17"/>
      <c r="J374" s="17"/>
      <c r="K374" s="12"/>
      <c r="L374" s="17"/>
      <c r="M374" s="12"/>
      <c r="N374" s="12"/>
      <c r="O374" s="12"/>
      <c r="P374" s="12"/>
      <c r="Q374" s="17"/>
      <c r="R374" s="18">
        <f>IF(SUMPRODUCT((E374:Q374)*1)=0,0,E374*INDEX(Hours!M:M,MATCH(C374,Hours!$A:$A,0))+F374*INDEX(Hours!B:B,MATCH(C374,Hours!$A:$A,0))+G374*INDEX(Hours!C:C,MATCH(C374,Hours!$A:$A,0))+H374*INDEX(Hours!D:D,MATCH(C374,Hours!$A:$A,0))+I374*INDEX(Hours!E:E,MATCH(C374,Hours!$A:$A,0))+J374*INDEX(Hours!F:F,MATCH(C374,Hours!$A:$A,0))+L374*INDEX(Hours!H:H,MATCH(C374,Hours!$A:$A,0)))</f>
        <v>0</v>
      </c>
      <c r="S374" s="19">
        <f t="shared" si="11"/>
        <v>0</v>
      </c>
    </row>
    <row r="375" spans="1:19" x14ac:dyDescent="0.25">
      <c r="A375" s="11" t="str">
        <f>'Bldgs &amp; Rooms'!$A$12</f>
        <v>Main Bldg.</v>
      </c>
      <c r="B375" s="11">
        <f>'Bldgs &amp; Rooms'!$B$12</f>
        <v>0</v>
      </c>
      <c r="C375" s="10" t="str">
        <f>Hours!$A$5</f>
        <v>Distribution Switchboard Multi Cover (Per Section)</v>
      </c>
      <c r="D375" s="11">
        <f t="shared" si="10"/>
        <v>0</v>
      </c>
      <c r="E375" s="16"/>
      <c r="F375" s="17"/>
      <c r="G375" s="17"/>
      <c r="H375" s="17"/>
      <c r="I375" s="17"/>
      <c r="J375" s="17"/>
      <c r="K375" s="17"/>
      <c r="L375" s="12"/>
      <c r="M375" s="12"/>
      <c r="N375" s="12"/>
      <c r="O375" s="17"/>
      <c r="P375" s="12"/>
      <c r="Q375" s="17"/>
      <c r="R375" s="18">
        <f>IF(SUMPRODUCT((E375:Q375)*1)=0,0,E375*INDEX(Hours!M:M,MATCH(C375,Hours!$A:$A,0))+F375*INDEX(Hours!B:B,MATCH(C375,Hours!$A:$A,0))+G375*INDEX(Hours!C:C,MATCH(C375,Hours!$A:$A,0))+H375*INDEX(Hours!D:D,MATCH(C375,Hours!$A:$A,0))+I375*INDEX(Hours!E:E,MATCH(C375,Hours!$A:$A,0))+J375*INDEX(Hours!F:F,MATCH(C375,Hours!$A:$A,0))+K375*INDEX(Hours!G:G,MATCH(C375,Hours!$A:$A,0))+O375*INDEX(Hours!K:K,MATCH(C375,Hours!$A:$A,0)))</f>
        <v>0</v>
      </c>
      <c r="S375" s="19">
        <f t="shared" si="11"/>
        <v>0</v>
      </c>
    </row>
    <row r="376" spans="1:19" x14ac:dyDescent="0.25">
      <c r="A376" s="11" t="str">
        <f>'Bldgs &amp; Rooms'!$A$12</f>
        <v>Main Bldg.</v>
      </c>
      <c r="B376" s="11">
        <f>'Bldgs &amp; Rooms'!$B$12</f>
        <v>0</v>
      </c>
      <c r="C376" s="10" t="str">
        <f>Hours!$A$6</f>
        <v xml:space="preserve">  Switchboard Disconnects</v>
      </c>
      <c r="D376" s="11">
        <f t="shared" si="10"/>
        <v>0</v>
      </c>
      <c r="E376" s="16"/>
      <c r="F376" s="17"/>
      <c r="G376" s="17"/>
      <c r="H376" s="17"/>
      <c r="I376" s="17"/>
      <c r="J376" s="17"/>
      <c r="K376" s="12"/>
      <c r="L376" s="12"/>
      <c r="M376" s="12"/>
      <c r="N376" s="12"/>
      <c r="O376" s="12"/>
      <c r="P376" s="12"/>
      <c r="Q376" s="17"/>
      <c r="R376" s="18">
        <f>IF(SUMPRODUCT((E376:Q376)*1)=0,0,E376*INDEX(Hours!M:M,MATCH(C376,Hours!$A:$A,0))+F376*INDEX(Hours!B:B,MATCH(C376,Hours!$A:$A,0))+G376*INDEX(Hours!C:C,MATCH(C376,Hours!$A:$A,0))+H376*INDEX(Hours!D:D,MATCH(C376,Hours!$A:$A,0))+I376*INDEX(Hours!E:E,MATCH(C376,Hours!$A:$A,0))+J376*INDEX(Hours!F:F,MATCH(C376,Hours!$A:$A,0)))</f>
        <v>0</v>
      </c>
      <c r="S376" s="19">
        <f t="shared" si="11"/>
        <v>0</v>
      </c>
    </row>
    <row r="377" spans="1:19" x14ac:dyDescent="0.25">
      <c r="A377" s="11" t="str">
        <f>'Bldgs &amp; Rooms'!$A$12</f>
        <v>Main Bldg.</v>
      </c>
      <c r="B377" s="11">
        <f>'Bldgs &amp; Rooms'!$B$12</f>
        <v>0</v>
      </c>
      <c r="C377" s="10" t="str">
        <f>Hours!$A$7</f>
        <v xml:space="preserve">  Switchboard Molded Case Breakers</v>
      </c>
      <c r="D377" s="11">
        <f t="shared" si="10"/>
        <v>0</v>
      </c>
      <c r="E377" s="16"/>
      <c r="F377" s="17"/>
      <c r="G377" s="17"/>
      <c r="H377" s="17"/>
      <c r="I377" s="17"/>
      <c r="J377" s="17"/>
      <c r="K377" s="17"/>
      <c r="L377" s="12"/>
      <c r="M377" s="12"/>
      <c r="N377" s="12"/>
      <c r="O377" s="12"/>
      <c r="P377" s="12"/>
      <c r="Q377" s="17"/>
      <c r="R377" s="18">
        <f>IF(SUMPRODUCT((E377:Q377)*1)=0,0,E377*INDEX(Hours!M:M,MATCH(C377,Hours!$A:$A,0))+F377*INDEX(Hours!B:B,MATCH(C377,Hours!$A:$A,0))+G377*INDEX(Hours!C:C,MATCH(C377,Hours!$A:$A,0))+H377*INDEX(Hours!D:D,MATCH(C377,Hours!$A:$A,0))+I377*INDEX(Hours!E:E,MATCH(C377,Hours!$A:$A,0))+J377*INDEX(Hours!F:F,MATCH(C377,Hours!$A:$A,0))+K377*INDEX(Hours!G:G,MATCH(C377,Hours!$A:$A,0)))</f>
        <v>0</v>
      </c>
      <c r="S377" s="19">
        <f t="shared" si="11"/>
        <v>0</v>
      </c>
    </row>
    <row r="378" spans="1:19" x14ac:dyDescent="0.25">
      <c r="A378" s="11" t="str">
        <f>'Bldgs &amp; Rooms'!$A$12</f>
        <v>Main Bldg.</v>
      </c>
      <c r="B378" s="11">
        <f>'Bldgs &amp; Rooms'!$B$12</f>
        <v>0</v>
      </c>
      <c r="C378" s="10" t="str">
        <f>Hours!$A$8</f>
        <v>Panelboard-Single Cover &gt; 400A (Distribution Panel)</v>
      </c>
      <c r="D378" s="11">
        <f t="shared" si="10"/>
        <v>0</v>
      </c>
      <c r="E378" s="16"/>
      <c r="F378" s="17"/>
      <c r="G378" s="17"/>
      <c r="H378" s="17"/>
      <c r="I378" s="17"/>
      <c r="J378" s="17"/>
      <c r="K378" s="17"/>
      <c r="L378" s="12"/>
      <c r="M378" s="12"/>
      <c r="N378" s="12"/>
      <c r="O378" s="17"/>
      <c r="P378" s="12"/>
      <c r="Q378" s="17"/>
      <c r="R378" s="18">
        <f>IF(SUMPRODUCT((E378:Q378)*1)=0,0,E378*INDEX(Hours!M:M,MATCH(C378,Hours!$A:$A,0))+F378*INDEX(Hours!B:B,MATCH(C378,Hours!$A:$A,0))+G378*INDEX(Hours!C:C,MATCH(C378,Hours!$A:$A,0))+H378*INDEX(Hours!D:D,MATCH(C378,Hours!$A:$A,0))+I378*INDEX(Hours!E:E,MATCH(C378,Hours!$A:$A,0))+J378*INDEX(Hours!F:F,MATCH(C378,Hours!$A:$A,0))+K378*INDEX(Hours!G:G,MATCH(C378,Hours!$A:$A,0))+O378*INDEX(Hours!K:K,MATCH(C378,Hours!$A:$A,0)))</f>
        <v>0</v>
      </c>
      <c r="S378" s="19">
        <f t="shared" si="11"/>
        <v>0</v>
      </c>
    </row>
    <row r="379" spans="1:19" x14ac:dyDescent="0.25">
      <c r="A379" s="11" t="str">
        <f>'Bldgs &amp; Rooms'!$A$12</f>
        <v>Main Bldg.</v>
      </c>
      <c r="B379" s="11">
        <f>'Bldgs &amp; Rooms'!$B$12</f>
        <v>0</v>
      </c>
      <c r="C379" s="10" t="str">
        <f>Hours!$A$9</f>
        <v>Panelboard-Single Cover &lt; 400A (Branch Ckt Panel)</v>
      </c>
      <c r="D379" s="11">
        <f t="shared" si="10"/>
        <v>0</v>
      </c>
      <c r="E379" s="16"/>
      <c r="F379" s="17"/>
      <c r="G379" s="17"/>
      <c r="H379" s="17"/>
      <c r="I379" s="17"/>
      <c r="J379" s="17"/>
      <c r="K379" s="12"/>
      <c r="L379" s="12"/>
      <c r="M379" s="12"/>
      <c r="N379" s="12"/>
      <c r="O379" s="17"/>
      <c r="P379" s="12"/>
      <c r="Q379" s="17"/>
      <c r="R379" s="18">
        <f>IF(SUMPRODUCT((E379:Q379)*1)=0,0,E379*INDEX(Hours!M:M,MATCH(C379,Hours!$A:$A,0))+F379*INDEX(Hours!B:B,MATCH(C379,Hours!$A:$A,0))+G379*INDEX(Hours!C:C,MATCH(C379,Hours!$A:$A,0))+H379*INDEX(Hours!D:D,MATCH(C379,Hours!$A:$A,0))+I379*INDEX(Hours!E:E,MATCH(C379,Hours!$A:$A,0))+J379*INDEX(Hours!F:F,MATCH(C379,Hours!$A:$A,0))+O379*INDEX(Hours!K:K,MATCH(C379,Hours!$A:$A,0)))</f>
        <v>0</v>
      </c>
      <c r="S379" s="19">
        <f t="shared" si="11"/>
        <v>0</v>
      </c>
    </row>
    <row r="380" spans="1:19" x14ac:dyDescent="0.25">
      <c r="A380" s="11" t="str">
        <f>'Bldgs &amp; Rooms'!$A$12</f>
        <v>Main Bldg.</v>
      </c>
      <c r="B380" s="11">
        <f>'Bldgs &amp; Rooms'!$B$12</f>
        <v>0</v>
      </c>
      <c r="C380" s="10" t="str">
        <f>Hours!$A$10</f>
        <v>Motor Control Center (MCC-Per Vertical Section)</v>
      </c>
      <c r="D380" s="11">
        <f t="shared" si="10"/>
        <v>0</v>
      </c>
      <c r="E380" s="16"/>
      <c r="F380" s="17"/>
      <c r="G380" s="17"/>
      <c r="H380" s="17"/>
      <c r="I380" s="17"/>
      <c r="J380" s="17"/>
      <c r="K380" s="12"/>
      <c r="L380" s="12"/>
      <c r="M380" s="12"/>
      <c r="N380" s="12"/>
      <c r="O380" s="17"/>
      <c r="P380" s="12"/>
      <c r="Q380" s="17"/>
      <c r="R380" s="18">
        <f>IF(SUMPRODUCT((E380:Q380)*1)=0,0,E380*INDEX(Hours!M:M,MATCH(C380,Hours!$A:$A,0))+F380*INDEX(Hours!B:B,MATCH(C380,Hours!$A:$A,0))+G380*INDEX(Hours!C:C,MATCH(C380,Hours!$A:$A,0))+H380*INDEX(Hours!D:D,MATCH(C380,Hours!$A:$A,0))+I380*INDEX(Hours!E:E,MATCH(C380,Hours!$A:$A,0))+J380*INDEX(Hours!F:F,MATCH(C380,Hours!$A:$A,0))+O380*INDEX(Hours!K:K,MATCH(C380,Hours!$A:$A,0)))</f>
        <v>0</v>
      </c>
      <c r="S380" s="19">
        <f t="shared" si="11"/>
        <v>0</v>
      </c>
    </row>
    <row r="381" spans="1:19" x14ac:dyDescent="0.25">
      <c r="A381" s="11" t="str">
        <f>'Bldgs &amp; Rooms'!$A$12</f>
        <v>Main Bldg.</v>
      </c>
      <c r="B381" s="11">
        <f>'Bldgs &amp; Rooms'!$B$12</f>
        <v>0</v>
      </c>
      <c r="C381" s="10" t="str">
        <f>Hours!$A$11</f>
        <v xml:space="preserve">  MCC: Combination Motor Starters</v>
      </c>
      <c r="D381" s="11">
        <f t="shared" si="10"/>
        <v>0</v>
      </c>
      <c r="E381" s="16"/>
      <c r="F381" s="17"/>
      <c r="G381" s="17"/>
      <c r="H381" s="17"/>
      <c r="I381" s="17"/>
      <c r="J381" s="17"/>
      <c r="K381" s="17"/>
      <c r="L381" s="12"/>
      <c r="M381" s="12"/>
      <c r="N381" s="12"/>
      <c r="O381" s="17"/>
      <c r="P381" s="12"/>
      <c r="Q381" s="17"/>
      <c r="R381" s="18">
        <f>IF(SUMPRODUCT((E381:Q381)*1)=0,0,E381*INDEX(Hours!M:M,MATCH(C381,Hours!$A:$A,0))+F381*INDEX(Hours!B:B,MATCH(C381,Hours!$A:$A,0))+G381*INDEX(Hours!C:C,MATCH(C381,Hours!$A:$A,0))+H381*INDEX(Hours!D:D,MATCH(C381,Hours!$A:$A,0))+I381*INDEX(Hours!E:E,MATCH(C381,Hours!$A:$A,0))+J381*INDEX(Hours!F:F,MATCH(C381,Hours!$A:$A,0))+K381*INDEX(Hours!G:G,MATCH(C381,Hours!$A:$A,0))+O381*INDEX(Hours!K:K,MATCH(C381,Hours!$A:$A,0)))</f>
        <v>0</v>
      </c>
      <c r="S381" s="19">
        <f t="shared" si="11"/>
        <v>0</v>
      </c>
    </row>
    <row r="382" spans="1:19" x14ac:dyDescent="0.25">
      <c r="A382" s="11" t="str">
        <f>'Bldgs &amp; Rooms'!$A$12</f>
        <v>Main Bldg.</v>
      </c>
      <c r="B382" s="11">
        <f>'Bldgs &amp; Rooms'!$B$12</f>
        <v>0</v>
      </c>
      <c r="C382" s="10" t="str">
        <f>Hours!$A$12</f>
        <v xml:space="preserve">  MCC: Molded Case Breaker</v>
      </c>
      <c r="D382" s="11">
        <f t="shared" si="10"/>
        <v>0</v>
      </c>
      <c r="E382" s="16"/>
      <c r="F382" s="17"/>
      <c r="G382" s="17"/>
      <c r="H382" s="17"/>
      <c r="I382" s="17"/>
      <c r="J382" s="17"/>
      <c r="K382" s="17"/>
      <c r="L382" s="12"/>
      <c r="M382" s="12"/>
      <c r="N382" s="12"/>
      <c r="O382" s="12"/>
      <c r="P382" s="12"/>
      <c r="Q382" s="17"/>
      <c r="R382" s="18">
        <f>IF(SUMPRODUCT((E382:Q382)*1)=0,0,E382*INDEX(Hours!M:M,MATCH(C382,Hours!$A:$A,0))+F382*INDEX(Hours!B:B,MATCH(C382,Hours!$A:$A,0))+G382*INDEX(Hours!C:C,MATCH(C382,Hours!$A:$A,0))+H382*INDEX(Hours!D:D,MATCH(C382,Hours!$A:$A,0))+I382*INDEX(Hours!E:E,MATCH(C382,Hours!$A:$A,0))+J382*INDEX(Hours!F:F,MATCH(C382,Hours!$A:$A,0))+K382*INDEX(Hours!G:G,MATCH(C382,Hours!$A:$A,0)))</f>
        <v>0</v>
      </c>
      <c r="S382" s="19">
        <f t="shared" si="11"/>
        <v>0</v>
      </c>
    </row>
    <row r="383" spans="1:19" x14ac:dyDescent="0.25">
      <c r="A383" s="11" t="str">
        <f>'Bldgs &amp; Rooms'!$A$12</f>
        <v>Main Bldg.</v>
      </c>
      <c r="B383" s="11">
        <f>'Bldgs &amp; Rooms'!$B$12</f>
        <v>0</v>
      </c>
      <c r="C383" s="10" t="str">
        <f>Hours!$A$13</f>
        <v xml:space="preserve">  MCC: Individual Disconnect Switch</v>
      </c>
      <c r="D383" s="11">
        <f t="shared" si="10"/>
        <v>0</v>
      </c>
      <c r="E383" s="16"/>
      <c r="F383" s="17"/>
      <c r="G383" s="17"/>
      <c r="H383" s="17"/>
      <c r="I383" s="17"/>
      <c r="J383" s="17"/>
      <c r="K383" s="12"/>
      <c r="L383" s="12"/>
      <c r="M383" s="12"/>
      <c r="N383" s="12"/>
      <c r="O383" s="12"/>
      <c r="P383" s="12"/>
      <c r="Q383" s="17"/>
      <c r="R383" s="18">
        <f>IF(SUMPRODUCT((E383:Q383)*1)=0,0,E383*INDEX(Hours!M:M,MATCH(C383,Hours!$A:$A,0))+F383*INDEX(Hours!B:B,MATCH(C383,Hours!$A:$A,0))+G383*INDEX(Hours!C:C,MATCH(C383,Hours!$A:$A,0))+H383*INDEX(Hours!D:D,MATCH(C383,Hours!$A:$A,0))+I383*INDEX(Hours!E:E,MATCH(C383,Hours!$A:$A,0))+J383*INDEX(Hours!F:F,MATCH(C383,Hours!$A:$A,0)))</f>
        <v>0</v>
      </c>
      <c r="S383" s="19">
        <f t="shared" si="11"/>
        <v>0</v>
      </c>
    </row>
    <row r="384" spans="1:19" x14ac:dyDescent="0.25">
      <c r="A384" s="11" t="str">
        <f>'Bldgs &amp; Rooms'!$A$12</f>
        <v>Main Bldg.</v>
      </c>
      <c r="B384" s="11">
        <f>'Bldgs &amp; Rooms'!$B$12</f>
        <v>0</v>
      </c>
      <c r="C384" s="10" t="str">
        <f>Hours!$A$14</f>
        <v>Motor Control Panel (MCP)</v>
      </c>
      <c r="D384" s="11">
        <f t="shared" si="10"/>
        <v>0</v>
      </c>
      <c r="E384" s="16"/>
      <c r="F384" s="17"/>
      <c r="G384" s="17"/>
      <c r="H384" s="17"/>
      <c r="I384" s="17"/>
      <c r="J384" s="17"/>
      <c r="K384" s="12"/>
      <c r="L384" s="12"/>
      <c r="M384" s="12"/>
      <c r="N384" s="12"/>
      <c r="O384" s="17"/>
      <c r="P384" s="12"/>
      <c r="Q384" s="17"/>
      <c r="R384" s="18">
        <f>IF(SUMPRODUCT((E384:Q384)*1)=0,0,E384*INDEX(Hours!M:M,MATCH(C384,Hours!$A:$A,0))+F384*INDEX(Hours!B:B,MATCH(C384,Hours!$A:$A,0))+G384*INDEX(Hours!C:C,MATCH(C384,Hours!$A:$A,0))+H384*INDEX(Hours!D:D,MATCH(C384,Hours!$A:$A,0))+I384*INDEX(Hours!E:E,MATCH(C384,Hours!$A:$A,0))+J384*INDEX(Hours!F:F,MATCH(C384,Hours!$A:$A,0))+O384*INDEX(Hours!K:K,MATCH(C384,Hours!$A:$A,0)))</f>
        <v>0</v>
      </c>
      <c r="S384" s="19">
        <f t="shared" si="11"/>
        <v>0</v>
      </c>
    </row>
    <row r="385" spans="1:19" x14ac:dyDescent="0.25">
      <c r="A385" s="11" t="str">
        <f>'Bldgs &amp; Rooms'!$A$12</f>
        <v>Main Bldg.</v>
      </c>
      <c r="B385" s="11">
        <f>'Bldgs &amp; Rooms'!$B$12</f>
        <v>0</v>
      </c>
      <c r="C385" s="10" t="str">
        <f>Hours!$A$15</f>
        <v>VFD Motor Control Panel (VFD-MCP)</v>
      </c>
      <c r="D385" s="11">
        <f t="shared" si="10"/>
        <v>0</v>
      </c>
      <c r="E385" s="16"/>
      <c r="F385" s="17"/>
      <c r="G385" s="17"/>
      <c r="H385" s="17"/>
      <c r="I385" s="17"/>
      <c r="J385" s="17"/>
      <c r="K385" s="12"/>
      <c r="L385" s="12"/>
      <c r="M385" s="12"/>
      <c r="N385" s="12"/>
      <c r="O385" s="17"/>
      <c r="P385" s="12"/>
      <c r="Q385" s="17"/>
      <c r="R385" s="18">
        <f>IF(SUMPRODUCT((E385:Q385)*1)=0,0,E385*INDEX(Hours!M:M,MATCH(C385,Hours!$A:$A,0))+F385*INDEX(Hours!B:B,MATCH(C385,Hours!$A:$A,0))+G385*INDEX(Hours!C:C,MATCH(C385,Hours!$A:$A,0))+H385*INDEX(Hours!D:D,MATCH(C385,Hours!$A:$A,0))+I385*INDEX(Hours!E:E,MATCH(C385,Hours!$A:$A,0))+J385*INDEX(Hours!F:F,MATCH(C385,Hours!$A:$A,0))+O385*INDEX(Hours!K:K,MATCH(C385,Hours!$A:$A,0)))</f>
        <v>0</v>
      </c>
      <c r="S385" s="19">
        <f t="shared" si="11"/>
        <v>0</v>
      </c>
    </row>
    <row r="386" spans="1:19" x14ac:dyDescent="0.25">
      <c r="A386" s="11" t="str">
        <f>'Bldgs &amp; Rooms'!$A$12</f>
        <v>Main Bldg.</v>
      </c>
      <c r="B386" s="11">
        <f>'Bldgs &amp; Rooms'!$B$12</f>
        <v>0</v>
      </c>
      <c r="C386" s="10" t="str">
        <f>Hours!$A$16</f>
        <v>Individual Disconnect Switch &gt; 100A</v>
      </c>
      <c r="D386" s="11">
        <f t="shared" ref="D386:D449" si="12">MAX(E386+F386,G386,H386,I386,J386,K386,L386,M386,N386,O386,P386,Q386)</f>
        <v>0</v>
      </c>
      <c r="E386" s="16"/>
      <c r="F386" s="17"/>
      <c r="G386" s="17"/>
      <c r="H386" s="17"/>
      <c r="I386" s="17"/>
      <c r="J386" s="17"/>
      <c r="K386" s="17"/>
      <c r="L386" s="12"/>
      <c r="M386" s="12"/>
      <c r="N386" s="12"/>
      <c r="O386" s="12"/>
      <c r="P386" s="12"/>
      <c r="Q386" s="17"/>
      <c r="R386" s="18">
        <f>IF(SUMPRODUCT((E386:Q386)*1)=0,0,E386*INDEX(Hours!M:M,MATCH(C386,Hours!$A:$A,0))+F386*INDEX(Hours!B:B,MATCH(C386,Hours!$A:$A,0))+G386*INDEX(Hours!C:C,MATCH(C386,Hours!$A:$A,0))+H386*INDEX(Hours!D:D,MATCH(C386,Hours!$A:$A,0))+I386*INDEX(Hours!E:E,MATCH(C386,Hours!$A:$A,0))+J386*INDEX(Hours!F:F,MATCH(C386,Hours!$A:$A,0))+K386*INDEX(Hours!G:G,MATCH(C386,Hours!$A:$A,0)))</f>
        <v>0</v>
      </c>
      <c r="S386" s="19">
        <f t="shared" ref="S386:S449" si="13">MAX(E386+F386,G386,H386,I386,J386,K386,L386,M386,N386,O386,P386,Q386)</f>
        <v>0</v>
      </c>
    </row>
    <row r="387" spans="1:19" x14ac:dyDescent="0.25">
      <c r="A387" s="11" t="str">
        <f>'Bldgs &amp; Rooms'!$A$12</f>
        <v>Main Bldg.</v>
      </c>
      <c r="B387" s="11">
        <f>'Bldgs &amp; Rooms'!$B$12</f>
        <v>0</v>
      </c>
      <c r="C387" s="10" t="str">
        <f>Hours!$A$17</f>
        <v>Individual Molded Case Breaker &gt; 100A</v>
      </c>
      <c r="D387" s="11">
        <f t="shared" si="12"/>
        <v>0</v>
      </c>
      <c r="E387" s="16"/>
      <c r="F387" s="17"/>
      <c r="G387" s="17"/>
      <c r="H387" s="17"/>
      <c r="I387" s="17"/>
      <c r="J387" s="17"/>
      <c r="K387" s="17"/>
      <c r="L387" s="12"/>
      <c r="M387" s="12"/>
      <c r="N387" s="12"/>
      <c r="O387" s="12"/>
      <c r="P387" s="12"/>
      <c r="Q387" s="17"/>
      <c r="R387" s="18">
        <f>IF(SUMPRODUCT((E387:Q387)*1)=0,0,E387*INDEX(Hours!M:M,MATCH(C387,Hours!$A:$A,0))+F387*INDEX(Hours!B:B,MATCH(C387,Hours!$A:$A,0))+G387*INDEX(Hours!C:C,MATCH(C387,Hours!$A:$A,0))+H387*INDEX(Hours!D:D,MATCH(C387,Hours!$A:$A,0))+I387*INDEX(Hours!E:E,MATCH(C387,Hours!$A:$A,0))+J387*INDEX(Hours!F:F,MATCH(C387,Hours!$A:$A,0))+K387*INDEX(Hours!G:G,MATCH(C387,Hours!$A:$A,0)))</f>
        <v>0</v>
      </c>
      <c r="S387" s="19">
        <f t="shared" si="13"/>
        <v>0</v>
      </c>
    </row>
    <row r="388" spans="1:19" x14ac:dyDescent="0.25">
      <c r="A388" s="11" t="str">
        <f>'Bldgs &amp; Rooms'!$A$12</f>
        <v>Main Bldg.</v>
      </c>
      <c r="B388" s="11">
        <f>'Bldgs &amp; Rooms'!$B$12</f>
        <v>0</v>
      </c>
      <c r="C388" s="10" t="str">
        <f>Hours!$A$18</f>
        <v>Individual Combination Motor Starter &gt; 100A</v>
      </c>
      <c r="D388" s="11">
        <f t="shared" si="12"/>
        <v>0</v>
      </c>
      <c r="E388" s="16"/>
      <c r="F388" s="17"/>
      <c r="G388" s="17"/>
      <c r="H388" s="17"/>
      <c r="I388" s="17"/>
      <c r="J388" s="17"/>
      <c r="K388" s="17"/>
      <c r="L388" s="12"/>
      <c r="M388" s="12"/>
      <c r="N388" s="12"/>
      <c r="O388" s="12"/>
      <c r="P388" s="12"/>
      <c r="Q388" s="17"/>
      <c r="R388" s="18">
        <f>IF(SUMPRODUCT((E388:Q388)*1)=0,0,E388*INDEX(Hours!M:M,MATCH(C388,Hours!$A:$A,0))+F388*INDEX(Hours!B:B,MATCH(C388,Hours!$A:$A,0))+G388*INDEX(Hours!C:C,MATCH(C388,Hours!$A:$A,0))+H388*INDEX(Hours!D:D,MATCH(C388,Hours!$A:$A,0))+I388*INDEX(Hours!E:E,MATCH(C388,Hours!$A:$A,0))+J388*INDEX(Hours!F:F,MATCH(C388,Hours!$A:$A,0))+K388*INDEX(Hours!G:G,MATCH(C388,Hours!$A:$A,0)))</f>
        <v>0</v>
      </c>
      <c r="S388" s="19">
        <f t="shared" si="13"/>
        <v>0</v>
      </c>
    </row>
    <row r="389" spans="1:19" x14ac:dyDescent="0.25">
      <c r="A389" s="11" t="str">
        <f>'Bldgs &amp; Rooms'!$A$12</f>
        <v>Main Bldg.</v>
      </c>
      <c r="B389" s="11">
        <f>'Bldgs &amp; Rooms'!$B$12</f>
        <v>0</v>
      </c>
      <c r="C389" s="10" t="str">
        <f>Hours!$A$19</f>
        <v>Oil Filled Transformer - 5kV-15kV Primary - Any Size (Pad Mounted)</v>
      </c>
      <c r="D389" s="11">
        <f t="shared" si="12"/>
        <v>0</v>
      </c>
      <c r="E389" s="16"/>
      <c r="F389" s="17"/>
      <c r="G389" s="17"/>
      <c r="H389" s="17"/>
      <c r="I389" s="17"/>
      <c r="J389" s="17"/>
      <c r="K389" s="12"/>
      <c r="L389" s="12"/>
      <c r="M389" s="17"/>
      <c r="N389" s="17"/>
      <c r="O389" s="12"/>
      <c r="P389" s="17"/>
      <c r="Q389" s="17"/>
      <c r="R389" s="18">
        <f>IF(SUMPRODUCT((E389:Q389)*1)=0,0,E389*INDEX(Hours!M:M,MATCH(C389,Hours!$A:$A,0))+F389*INDEX(Hours!B:B,MATCH(C389,Hours!$A:$A,0))+G389*INDEX(Hours!C:C,MATCH(C389,Hours!$A:$A,0))+H389*INDEX(Hours!D:D,MATCH(C389,Hours!$A:$A,0))+I389*INDEX(Hours!E:E,MATCH(C389,Hours!$A:$A,0))+J389*INDEX(Hours!F:F,MATCH(C389,Hours!$A:$A,0))+M389*INDEX(Hours!I:I,MATCH(C389,Hours!$A:$A,0))+N389*INDEX(Hours!J:J,MATCH(C389,Hours!$A:$A,0))+P389*INDEX(Hours!L:L,MATCH(C389,Hours!$A:$A,0)))</f>
        <v>0</v>
      </c>
      <c r="S389" s="19">
        <f t="shared" si="13"/>
        <v>0</v>
      </c>
    </row>
    <row r="390" spans="1:19" x14ac:dyDescent="0.25">
      <c r="A390" s="11" t="str">
        <f>'Bldgs &amp; Rooms'!$A$12</f>
        <v>Main Bldg.</v>
      </c>
      <c r="B390" s="11">
        <f>'Bldgs &amp; Rooms'!$B$12</f>
        <v>0</v>
      </c>
      <c r="C390" s="10" t="str">
        <f>Hours!$A$20</f>
        <v>Oil Filled Transformer - &gt; 15kV Primary (Substation Class)</v>
      </c>
      <c r="D390" s="11">
        <f t="shared" si="12"/>
        <v>0</v>
      </c>
      <c r="E390" s="16"/>
      <c r="F390" s="17"/>
      <c r="G390" s="17"/>
      <c r="H390" s="17"/>
      <c r="I390" s="17"/>
      <c r="J390" s="17"/>
      <c r="K390" s="12"/>
      <c r="L390" s="12"/>
      <c r="M390" s="17"/>
      <c r="N390" s="17"/>
      <c r="O390" s="12"/>
      <c r="P390" s="17"/>
      <c r="Q390" s="17"/>
      <c r="R390" s="18">
        <f>IF(SUMPRODUCT((E390:Q390)*1)=0,0,E390*INDEX(Hours!M:M,MATCH(C390,Hours!$A:$A,0))+F390*INDEX(Hours!B:B,MATCH(C390,Hours!$A:$A,0))+G390*INDEX(Hours!C:C,MATCH(C390,Hours!$A:$A,0))+H390*INDEX(Hours!D:D,MATCH(C390,Hours!$A:$A,0))+I390*INDEX(Hours!E:E,MATCH(C390,Hours!$A:$A,0))+J390*INDEX(Hours!F:F,MATCH(C390,Hours!$A:$A,0))+M390*INDEX(Hours!I:I,MATCH(C390,Hours!$A:$A,0))+N390*INDEX(Hours!J:J,MATCH(C390,Hours!$A:$A,0))+P390*INDEX(Hours!L:L,MATCH(C390,Hours!$A:$A,0)))</f>
        <v>0</v>
      </c>
      <c r="S390" s="19">
        <f t="shared" si="13"/>
        <v>0</v>
      </c>
    </row>
    <row r="391" spans="1:19" x14ac:dyDescent="0.25">
      <c r="A391" s="11" t="str">
        <f>'Bldgs &amp; Rooms'!$A$12</f>
        <v>Main Bldg.</v>
      </c>
      <c r="B391" s="11">
        <f>'Bldgs &amp; Rooms'!$B$12</f>
        <v>0</v>
      </c>
      <c r="C391" s="10" t="str">
        <f>Hours!$A$21</f>
        <v>Dry Type Transformer - &lt; 480V Primary - Any Size kVA</v>
      </c>
      <c r="D391" s="11">
        <f t="shared" si="12"/>
        <v>0</v>
      </c>
      <c r="E391" s="16"/>
      <c r="F391" s="17"/>
      <c r="G391" s="17"/>
      <c r="H391" s="17"/>
      <c r="I391" s="17"/>
      <c r="J391" s="17"/>
      <c r="K391" s="12"/>
      <c r="L391" s="12"/>
      <c r="M391" s="17"/>
      <c r="N391" s="17"/>
      <c r="O391" s="12"/>
      <c r="P391" s="12"/>
      <c r="Q391" s="17"/>
      <c r="R391" s="18">
        <f>IF(SUMPRODUCT((E391:Q391)*1)=0,0,E391*INDEX(Hours!M:M,MATCH(C391,Hours!$A:$A,0))+F391*INDEX(Hours!B:B,MATCH(C391,Hours!$A:$A,0))+G391*INDEX(Hours!C:C,MATCH(C391,Hours!$A:$A,0))+H391*INDEX(Hours!D:D,MATCH(C391,Hours!$A:$A,0))+I391*INDEX(Hours!E:E,MATCH(C391,Hours!$A:$A,0))+J391*INDEX(Hours!F:F,MATCH(C391,Hours!$A:$A,0))+M391*INDEX(Hours!I:I,MATCH(C391,Hours!$A:$A,0))+N391*INDEX(Hours!J:J,MATCH(C391,Hours!$A:$A,0)))</f>
        <v>0</v>
      </c>
      <c r="S391" s="19">
        <f t="shared" si="13"/>
        <v>0</v>
      </c>
    </row>
    <row r="392" spans="1:19" x14ac:dyDescent="0.25">
      <c r="A392" s="11" t="str">
        <f>'Bldgs &amp; Rooms'!$A$12</f>
        <v>Main Bldg.</v>
      </c>
      <c r="B392" s="11">
        <f>'Bldgs &amp; Rooms'!$B$12</f>
        <v>0</v>
      </c>
      <c r="C392" s="10" t="str">
        <f>Hours!$A$22</f>
        <v>Power Factor Correction Capacitors</v>
      </c>
      <c r="D392" s="11">
        <f t="shared" si="12"/>
        <v>0</v>
      </c>
      <c r="E392" s="16"/>
      <c r="F392" s="17"/>
      <c r="G392" s="17"/>
      <c r="H392" s="17"/>
      <c r="I392" s="17"/>
      <c r="J392" s="17"/>
      <c r="K392" s="12"/>
      <c r="L392" s="12"/>
      <c r="M392" s="12"/>
      <c r="N392" s="12"/>
      <c r="O392" s="12"/>
      <c r="P392" s="12"/>
      <c r="Q392" s="17"/>
      <c r="R392" s="18">
        <f>IF(SUMPRODUCT((E392:Q392)*1)=0,0,E392*INDEX(Hours!M:M,MATCH(C392,Hours!$A:$A,0))+F392*INDEX(Hours!B:B,MATCH(C392,Hours!$A:$A,0))+G392*INDEX(Hours!C:C,MATCH(C392,Hours!$A:$A,0))+H392*INDEX(Hours!D:D,MATCH(C392,Hours!$A:$A,0))+I392*INDEX(Hours!E:E,MATCH(C392,Hours!$A:$A,0))+J392*INDEX(Hours!F:F,MATCH(C392,Hours!$A:$A,0)))</f>
        <v>0</v>
      </c>
      <c r="S392" s="19">
        <f t="shared" si="13"/>
        <v>0</v>
      </c>
    </row>
    <row r="393" spans="1:19" x14ac:dyDescent="0.25">
      <c r="A393" s="11" t="str">
        <f>'Bldgs &amp; Rooms'!$A$12</f>
        <v>Main Bldg.</v>
      </c>
      <c r="B393" s="11">
        <f>'Bldgs &amp; Rooms'!$B$12</f>
        <v>0</v>
      </c>
      <c r="C393" s="10" t="str">
        <f>Hours!$A$23</f>
        <v>Lighting Contactor &gt; 100A</v>
      </c>
      <c r="D393" s="11">
        <f t="shared" si="12"/>
        <v>0</v>
      </c>
      <c r="E393" s="16"/>
      <c r="F393" s="17"/>
      <c r="G393" s="17"/>
      <c r="H393" s="17"/>
      <c r="I393" s="17"/>
      <c r="J393" s="17"/>
      <c r="K393" s="12"/>
      <c r="L393" s="12"/>
      <c r="M393" s="12"/>
      <c r="N393" s="12"/>
      <c r="O393" s="12"/>
      <c r="P393" s="12"/>
      <c r="Q393" s="17"/>
      <c r="R393" s="18">
        <f>IF(SUMPRODUCT((E393:Q393)*1)=0,0,E393*INDEX(Hours!M:M,MATCH(C393,Hours!$A:$A,0))+F393*INDEX(Hours!B:B,MATCH(C393,Hours!$A:$A,0))+G393*INDEX(Hours!C:C,MATCH(C393,Hours!$A:$A,0))+H393*INDEX(Hours!D:D,MATCH(C393,Hours!$A:$A,0))+I393*INDEX(Hours!E:E,MATCH(C393,Hours!$A:$A,0))+J393*INDEX(Hours!F:F,MATCH(C393,Hours!$A:$A,0)))</f>
        <v>0</v>
      </c>
      <c r="S393" s="19">
        <f t="shared" si="13"/>
        <v>0</v>
      </c>
    </row>
    <row r="394" spans="1:19" x14ac:dyDescent="0.25">
      <c r="A394" s="11" t="str">
        <f>'Bldgs &amp; Rooms'!$A$12</f>
        <v>Main Bldg.</v>
      </c>
      <c r="B394" s="11">
        <f>'Bldgs &amp; Rooms'!$B$12</f>
        <v>0</v>
      </c>
      <c r="C394" s="10" t="str">
        <f>Hours!$A$24</f>
        <v>Power Distribution Unit (PDU)</v>
      </c>
      <c r="D394" s="11">
        <f t="shared" si="12"/>
        <v>0</v>
      </c>
      <c r="E394" s="16"/>
      <c r="F394" s="17"/>
      <c r="G394" s="17"/>
      <c r="H394" s="17"/>
      <c r="I394" s="17"/>
      <c r="J394" s="17"/>
      <c r="K394" s="12"/>
      <c r="L394" s="12"/>
      <c r="M394" s="12"/>
      <c r="N394" s="12"/>
      <c r="O394" s="12"/>
      <c r="P394" s="12"/>
      <c r="Q394" s="17"/>
      <c r="R394" s="18">
        <f>IF(SUMPRODUCT((E394:Q394)*1)=0,0,E394*INDEX(Hours!M:M,MATCH(C394,Hours!$A:$A,0))+F394*INDEX(Hours!B:B,MATCH(C394,Hours!$A:$A,0))+G394*INDEX(Hours!C:C,MATCH(C394,Hours!$A:$A,0))+H394*INDEX(Hours!D:D,MATCH(C394,Hours!$A:$A,0))+I394*INDEX(Hours!E:E,MATCH(C394,Hours!$A:$A,0))+J394*INDEX(Hours!F:F,MATCH(C394,Hours!$A:$A,0)))</f>
        <v>0</v>
      </c>
      <c r="S394" s="19">
        <f t="shared" si="13"/>
        <v>0</v>
      </c>
    </row>
    <row r="395" spans="1:19" x14ac:dyDescent="0.25">
      <c r="A395" s="11" t="str">
        <f>'Bldgs &amp; Rooms'!$A$12</f>
        <v>Main Bldg.</v>
      </c>
      <c r="B395" s="11">
        <f>'Bldgs &amp; Rooms'!$B$12</f>
        <v>0</v>
      </c>
      <c r="C395" s="10" t="str">
        <f>Hours!$A$25</f>
        <v>Wire Trough, Gutter, or Large Junction Boxes</v>
      </c>
      <c r="D395" s="11">
        <f t="shared" si="12"/>
        <v>0</v>
      </c>
      <c r="E395" s="16"/>
      <c r="F395" s="17"/>
      <c r="G395" s="17"/>
      <c r="H395" s="17"/>
      <c r="I395" s="17"/>
      <c r="J395" s="17"/>
      <c r="K395" s="12"/>
      <c r="L395" s="12"/>
      <c r="M395" s="12"/>
      <c r="N395" s="12"/>
      <c r="O395" s="12"/>
      <c r="P395" s="12"/>
      <c r="Q395" s="17"/>
      <c r="R395" s="18">
        <f>IF(SUMPRODUCT((E395:Q395)*1)=0,0,E395*INDEX(Hours!M:M,MATCH(C395,Hours!$A:$A,0))+F395*INDEX(Hours!B:B,MATCH(C395,Hours!$A:$A,0))+G395*INDEX(Hours!C:C,MATCH(C395,Hours!$A:$A,0))+H395*INDEX(Hours!D:D,MATCH(C395,Hours!$A:$A,0))+I395*INDEX(Hours!E:E,MATCH(C395,Hours!$A:$A,0))+J395*INDEX(Hours!F:F,MATCH(C395,Hours!$A:$A,0)))</f>
        <v>0</v>
      </c>
      <c r="S395" s="19">
        <f t="shared" si="13"/>
        <v>0</v>
      </c>
    </row>
    <row r="396" spans="1:19" x14ac:dyDescent="0.25">
      <c r="A396" s="11" t="str">
        <f>'Bldgs &amp; Rooms'!$A$12</f>
        <v>Main Bldg.</v>
      </c>
      <c r="B396" s="11">
        <f>'Bldgs &amp; Rooms'!$B$12</f>
        <v>0</v>
      </c>
      <c r="C396" s="10" t="str">
        <f>Hours!$A$26</f>
        <v>Bus Duct - Vertical or Horizontal (Per 10' section)</v>
      </c>
      <c r="D396" s="11">
        <f t="shared" si="12"/>
        <v>0</v>
      </c>
      <c r="E396" s="16"/>
      <c r="F396" s="17"/>
      <c r="G396" s="17"/>
      <c r="H396" s="17"/>
      <c r="I396" s="17"/>
      <c r="J396" s="17"/>
      <c r="K396" s="12"/>
      <c r="L396" s="12"/>
      <c r="M396" s="12"/>
      <c r="N396" s="12"/>
      <c r="O396" s="12"/>
      <c r="P396" s="12"/>
      <c r="Q396" s="17"/>
      <c r="R396" s="18">
        <f>IF(SUMPRODUCT((E396:Q396)*1)=0,0,E396*INDEX(Hours!M:M,MATCH(C396,Hours!$A:$A,0))+F396*INDEX(Hours!B:B,MATCH(C396,Hours!$A:$A,0))+G396*INDEX(Hours!C:C,MATCH(C396,Hours!$A:$A,0))+H396*INDEX(Hours!D:D,MATCH(C396,Hours!$A:$A,0))+I396*INDEX(Hours!E:E,MATCH(C396,Hours!$A:$A,0))+J396*INDEX(Hours!F:F,MATCH(C396,Hours!$A:$A,0)))</f>
        <v>0</v>
      </c>
      <c r="S396" s="19">
        <f t="shared" si="13"/>
        <v>0</v>
      </c>
    </row>
    <row r="397" spans="1:19" x14ac:dyDescent="0.25">
      <c r="A397" s="11" t="str">
        <f>'Bldgs &amp; Rooms'!$A$12</f>
        <v>Main Bldg.</v>
      </c>
      <c r="B397" s="11">
        <f>'Bldgs &amp; Rooms'!$B$12</f>
        <v>0</v>
      </c>
      <c r="C397" s="10" t="str">
        <f>Hours!$A$27</f>
        <v>Automatic Transfer Switch (ATS) &gt; 100A</v>
      </c>
      <c r="D397" s="11">
        <f t="shared" si="12"/>
        <v>0</v>
      </c>
      <c r="E397" s="16"/>
      <c r="F397" s="17"/>
      <c r="G397" s="17"/>
      <c r="H397" s="17"/>
      <c r="I397" s="17"/>
      <c r="J397" s="17"/>
      <c r="K397" s="12"/>
      <c r="L397" s="12"/>
      <c r="M397" s="12"/>
      <c r="N397" s="12"/>
      <c r="O397" s="12"/>
      <c r="P397" s="12"/>
      <c r="Q397" s="17"/>
      <c r="R397" s="18">
        <f>IF(SUMPRODUCT((E397:Q397)*1)=0,0,E397*INDEX(Hours!M:M,MATCH(C397,Hours!$A:$A,0))+F397*INDEX(Hours!B:B,MATCH(C397,Hours!$A:$A,0))+G397*INDEX(Hours!C:C,MATCH(C397,Hours!$A:$A,0))+H397*INDEX(Hours!D:D,MATCH(C397,Hours!$A:$A,0))+I397*INDEX(Hours!E:E,MATCH(C397,Hours!$A:$A,0))+J397*INDEX(Hours!F:F,MATCH(C397,Hours!$A:$A,0)))</f>
        <v>0</v>
      </c>
      <c r="S397" s="19">
        <f t="shared" si="13"/>
        <v>0</v>
      </c>
    </row>
    <row r="398" spans="1:19" x14ac:dyDescent="0.25">
      <c r="A398" s="11" t="str">
        <f>'Bldgs &amp; Rooms'!$A$12</f>
        <v>Main Bldg.</v>
      </c>
      <c r="B398" s="11">
        <f>'Bldgs &amp; Rooms'!$B$12</f>
        <v>0</v>
      </c>
      <c r="C398" s="10" t="str">
        <f>Hours!$A$28</f>
        <v>Manual Transfer Switch (MTS) &gt; 100A</v>
      </c>
      <c r="D398" s="11">
        <f t="shared" si="12"/>
        <v>0</v>
      </c>
      <c r="E398" s="16"/>
      <c r="F398" s="17"/>
      <c r="G398" s="17"/>
      <c r="H398" s="17"/>
      <c r="I398" s="17"/>
      <c r="J398" s="17"/>
      <c r="K398" s="12"/>
      <c r="L398" s="12"/>
      <c r="M398" s="12"/>
      <c r="N398" s="12"/>
      <c r="O398" s="12"/>
      <c r="P398" s="12"/>
      <c r="Q398" s="17"/>
      <c r="R398" s="18">
        <f>IF(SUMPRODUCT((E398:Q398)*1)=0,0,E398*INDEX(Hours!M:M,MATCH(C398,Hours!$A:$A,0))+F398*INDEX(Hours!B:B,MATCH(C398,Hours!$A:$A,0))+G398*INDEX(Hours!C:C,MATCH(C398,Hours!$A:$A,0))+H398*INDEX(Hours!D:D,MATCH(C398,Hours!$A:$A,0))+I398*INDEX(Hours!E:E,MATCH(C398,Hours!$A:$A,0))+J398*INDEX(Hours!F:F,MATCH(C398,Hours!$A:$A,0)))</f>
        <v>0</v>
      </c>
      <c r="S398" s="19">
        <f t="shared" si="13"/>
        <v>0</v>
      </c>
    </row>
    <row r="399" spans="1:19" x14ac:dyDescent="0.25">
      <c r="A399" s="11" t="str">
        <f>'Bldgs &amp; Rooms'!$A$12</f>
        <v>Main Bldg.</v>
      </c>
      <c r="B399" s="11">
        <f>'Bldgs &amp; Rooms'!$B$12</f>
        <v>0</v>
      </c>
      <c r="C399" s="10" t="str">
        <f>Hours!$A$29</f>
        <v>Variable Frequency Drives (VFD) &lt; 50 HP</v>
      </c>
      <c r="D399" s="11">
        <f t="shared" si="12"/>
        <v>0</v>
      </c>
      <c r="E399" s="16"/>
      <c r="F399" s="17"/>
      <c r="G399" s="17"/>
      <c r="H399" s="17"/>
      <c r="I399" s="17"/>
      <c r="J399" s="17"/>
      <c r="K399" s="12"/>
      <c r="L399" s="12"/>
      <c r="M399" s="12"/>
      <c r="N399" s="12"/>
      <c r="O399" s="12"/>
      <c r="P399" s="12"/>
      <c r="Q399" s="17"/>
      <c r="R399" s="18">
        <f>IF(SUMPRODUCT((E399:Q399)*1)=0,0,E399*INDEX(Hours!M:M,MATCH(C399,Hours!$A:$A,0))+F399*INDEX(Hours!B:B,MATCH(C399,Hours!$A:$A,0))+G399*INDEX(Hours!C:C,MATCH(C399,Hours!$A:$A,0))+H399*INDEX(Hours!D:D,MATCH(C399,Hours!$A:$A,0))+I399*INDEX(Hours!E:E,MATCH(C399,Hours!$A:$A,0))+J399*INDEX(Hours!F:F,MATCH(C399,Hours!$A:$A,0)))</f>
        <v>0</v>
      </c>
      <c r="S399" s="19">
        <f t="shared" si="13"/>
        <v>0</v>
      </c>
    </row>
    <row r="400" spans="1:19" x14ac:dyDescent="0.25">
      <c r="A400" s="11" t="str">
        <f>'Bldgs &amp; Rooms'!$A$12</f>
        <v>Main Bldg.</v>
      </c>
      <c r="B400" s="11">
        <f>'Bldgs &amp; Rooms'!$B$12</f>
        <v>0</v>
      </c>
      <c r="C400" s="10" t="str">
        <f>Hours!$A$30</f>
        <v>Variable Frequency Drives (VFD) 51-200 HP</v>
      </c>
      <c r="D400" s="11">
        <f t="shared" si="12"/>
        <v>0</v>
      </c>
      <c r="E400" s="16"/>
      <c r="F400" s="17"/>
      <c r="G400" s="17"/>
      <c r="H400" s="17"/>
      <c r="I400" s="17"/>
      <c r="J400" s="17"/>
      <c r="K400" s="12"/>
      <c r="L400" s="12"/>
      <c r="M400" s="12"/>
      <c r="N400" s="12"/>
      <c r="O400" s="12"/>
      <c r="P400" s="12"/>
      <c r="Q400" s="17"/>
      <c r="R400" s="18">
        <f>IF(SUMPRODUCT((E400:Q400)*1)=0,0,E400*INDEX(Hours!M:M,MATCH(C400,Hours!$A:$A,0))+F400*INDEX(Hours!B:B,MATCH(C400,Hours!$A:$A,0))+G400*INDEX(Hours!C:C,MATCH(C400,Hours!$A:$A,0))+H400*INDEX(Hours!D:D,MATCH(C400,Hours!$A:$A,0))+I400*INDEX(Hours!E:E,MATCH(C400,Hours!$A:$A,0))+J400*INDEX(Hours!F:F,MATCH(C400,Hours!$A:$A,0)))</f>
        <v>0</v>
      </c>
      <c r="S400" s="19">
        <f t="shared" si="13"/>
        <v>0</v>
      </c>
    </row>
    <row r="401" spans="1:19" x14ac:dyDescent="0.25">
      <c r="A401" s="11" t="str">
        <f>'Bldgs &amp; Rooms'!$A$12</f>
        <v>Main Bldg.</v>
      </c>
      <c r="B401" s="11">
        <f>'Bldgs &amp; Rooms'!$B$12</f>
        <v>0</v>
      </c>
      <c r="C401" s="10" t="str">
        <f>Hours!$A$31</f>
        <v>Motors &lt; 50 HP</v>
      </c>
      <c r="D401" s="11">
        <f t="shared" si="12"/>
        <v>0</v>
      </c>
      <c r="E401" s="16"/>
      <c r="F401" s="17"/>
      <c r="G401" s="17"/>
      <c r="H401" s="17"/>
      <c r="I401" s="17"/>
      <c r="J401" s="17"/>
      <c r="K401" s="12"/>
      <c r="L401" s="12"/>
      <c r="M401" s="12"/>
      <c r="N401" s="12"/>
      <c r="O401" s="12"/>
      <c r="P401" s="12"/>
      <c r="Q401" s="17"/>
      <c r="R401" s="18">
        <f>IF(SUMPRODUCT((E401:Q401)*1)=0,0,E401*INDEX(Hours!M:M,MATCH(C401,Hours!$A:$A,0))+F401*INDEX(Hours!B:B,MATCH(C401,Hours!$A:$A,0))+G401*INDEX(Hours!C:C,MATCH(C401,Hours!$A:$A,0))+H401*INDEX(Hours!D:D,MATCH(C401,Hours!$A:$A,0))+I401*INDEX(Hours!E:E,MATCH(C401,Hours!$A:$A,0))+J401*INDEX(Hours!F:F,MATCH(C401,Hours!$A:$A,0)))</f>
        <v>0</v>
      </c>
      <c r="S401" s="19">
        <f t="shared" si="13"/>
        <v>0</v>
      </c>
    </row>
    <row r="402" spans="1:19" x14ac:dyDescent="0.25">
      <c r="A402" s="11" t="str">
        <f>'Bldgs &amp; Rooms'!$A$12</f>
        <v>Main Bldg.</v>
      </c>
      <c r="B402" s="11">
        <f>'Bldgs &amp; Rooms'!$B$12</f>
        <v>0</v>
      </c>
      <c r="C402" s="10" t="str">
        <f>Hours!$A$32</f>
        <v>Motors 51-200 HP</v>
      </c>
      <c r="D402" s="11">
        <f t="shared" si="12"/>
        <v>0</v>
      </c>
      <c r="E402" s="16"/>
      <c r="F402" s="17"/>
      <c r="G402" s="17"/>
      <c r="H402" s="17"/>
      <c r="I402" s="17"/>
      <c r="J402" s="17"/>
      <c r="K402" s="12"/>
      <c r="L402" s="12"/>
      <c r="M402" s="12"/>
      <c r="N402" s="12"/>
      <c r="O402" s="12"/>
      <c r="P402" s="12"/>
      <c r="Q402" s="17"/>
      <c r="R402" s="18">
        <f>IF(SUMPRODUCT((E402:Q402)*1)=0,0,E402*INDEX(Hours!M:M,MATCH(C402,Hours!$A:$A,0))+F402*INDEX(Hours!B:B,MATCH(C402,Hours!$A:$A,0))+G402*INDEX(Hours!C:C,MATCH(C402,Hours!$A:$A,0))+H402*INDEX(Hours!D:D,MATCH(C402,Hours!$A:$A,0))+I402*INDEX(Hours!E:E,MATCH(C402,Hours!$A:$A,0))+J402*INDEX(Hours!F:F,MATCH(C402,Hours!$A:$A,0)))</f>
        <v>0</v>
      </c>
      <c r="S402" s="19">
        <f t="shared" si="13"/>
        <v>0</v>
      </c>
    </row>
    <row r="403" spans="1:19" x14ac:dyDescent="0.25">
      <c r="A403" s="11" t="str">
        <f>'Bldgs &amp; Rooms'!$A$12</f>
        <v>Main Bldg.</v>
      </c>
      <c r="B403" s="11">
        <f>'Bldgs &amp; Rooms'!$B$12</f>
        <v>0</v>
      </c>
      <c r="C403" s="10" t="str">
        <f>Hours!$A$33</f>
        <v>Motors 201-500 HP</v>
      </c>
      <c r="D403" s="11">
        <f t="shared" si="12"/>
        <v>0</v>
      </c>
      <c r="E403" s="16"/>
      <c r="F403" s="17"/>
      <c r="G403" s="17"/>
      <c r="H403" s="17"/>
      <c r="I403" s="17"/>
      <c r="J403" s="17"/>
      <c r="K403" s="12"/>
      <c r="L403" s="12"/>
      <c r="M403" s="12"/>
      <c r="N403" s="12"/>
      <c r="O403" s="12"/>
      <c r="P403" s="12"/>
      <c r="Q403" s="17"/>
      <c r="R403" s="18">
        <f>IF(SUMPRODUCT((E403:Q403)*1)=0,0,E403*INDEX(Hours!M:M,MATCH(C403,Hours!$A:$A,0))+F403*INDEX(Hours!B:B,MATCH(C403,Hours!$A:$A,0))+G403*INDEX(Hours!C:C,MATCH(C403,Hours!$A:$A,0))+H403*INDEX(Hours!D:D,MATCH(C403,Hours!$A:$A,0))+I403*INDEX(Hours!E:E,MATCH(C403,Hours!$A:$A,0))+J403*INDEX(Hours!F:F,MATCH(C403,Hours!$A:$A,0)))</f>
        <v>0</v>
      </c>
      <c r="S403" s="19">
        <f t="shared" si="13"/>
        <v>0</v>
      </c>
    </row>
    <row r="404" spans="1:19" x14ac:dyDescent="0.25">
      <c r="A404" s="11" t="str">
        <f>'Bldgs &amp; Rooms'!$A$12</f>
        <v>Main Bldg.</v>
      </c>
      <c r="B404" s="11">
        <f>'Bldgs &amp; Rooms'!$B$12</f>
        <v>0</v>
      </c>
      <c r="C404" s="10" t="str">
        <f>Hours!$A$34</f>
        <v>Compressed Air Equipment</v>
      </c>
      <c r="D404" s="11">
        <f t="shared" si="12"/>
        <v>0</v>
      </c>
      <c r="E404" s="16"/>
      <c r="F404" s="17"/>
      <c r="G404" s="17"/>
      <c r="H404" s="17"/>
      <c r="I404" s="17"/>
      <c r="J404" s="17"/>
      <c r="K404" s="12"/>
      <c r="L404" s="12"/>
      <c r="M404" s="12"/>
      <c r="N404" s="12"/>
      <c r="O404" s="12"/>
      <c r="P404" s="12"/>
      <c r="Q404" s="17"/>
      <c r="R404" s="18">
        <f>IF(SUMPRODUCT((E404:Q404)*1)=0,0,E404*INDEX(Hours!M:M,MATCH(C404,Hours!$A:$A,0))+F404*INDEX(Hours!B:B,MATCH(C404,Hours!$A:$A,0))+G404*INDEX(Hours!C:C,MATCH(C404,Hours!$A:$A,0))+H404*INDEX(Hours!D:D,MATCH(C404,Hours!$A:$A,0))+I404*INDEX(Hours!E:E,MATCH(C404,Hours!$A:$A,0))+J404*INDEX(Hours!F:F,MATCH(C404,Hours!$A:$A,0)))</f>
        <v>0</v>
      </c>
      <c r="S404" s="19">
        <f t="shared" si="13"/>
        <v>0</v>
      </c>
    </row>
    <row r="405" spans="1:19" x14ac:dyDescent="0.25">
      <c r="A405" s="11" t="str">
        <f>'Bldgs &amp; Rooms'!$A$12</f>
        <v>Main Bldg.</v>
      </c>
      <c r="B405" s="11">
        <f>'Bldgs &amp; Rooms'!$B$12</f>
        <v>0</v>
      </c>
      <c r="C405" s="10" t="str">
        <f>Hours!$A$35</f>
        <v>HVAC Equipment (Large)</v>
      </c>
      <c r="D405" s="11">
        <f t="shared" si="12"/>
        <v>0</v>
      </c>
      <c r="E405" s="16"/>
      <c r="F405" s="17"/>
      <c r="G405" s="17"/>
      <c r="H405" s="17"/>
      <c r="I405" s="17"/>
      <c r="J405" s="17"/>
      <c r="K405" s="12"/>
      <c r="L405" s="12"/>
      <c r="M405" s="12"/>
      <c r="N405" s="12"/>
      <c r="O405" s="12"/>
      <c r="P405" s="12"/>
      <c r="Q405" s="17"/>
      <c r="R405" s="18">
        <f>IF(SUMPRODUCT((E405:Q405)*1)=0,0,E405*INDEX(Hours!M:M,MATCH(C405,Hours!$A:$A,0))+F405*INDEX(Hours!B:B,MATCH(C405,Hours!$A:$A,0))+G405*INDEX(Hours!C:C,MATCH(C405,Hours!$A:$A,0))+H405*INDEX(Hours!D:D,MATCH(C405,Hours!$A:$A,0))+I405*INDEX(Hours!E:E,MATCH(C405,Hours!$A:$A,0))+J405*INDEX(Hours!F:F,MATCH(C405,Hours!$A:$A,0)))</f>
        <v>0</v>
      </c>
      <c r="S405" s="19">
        <f t="shared" si="13"/>
        <v>0</v>
      </c>
    </row>
    <row r="406" spans="1:19" x14ac:dyDescent="0.25">
      <c r="A406" s="11" t="str">
        <f>'Bldgs &amp; Rooms'!$A$12</f>
        <v>Main Bldg.</v>
      </c>
      <c r="B406" s="11">
        <f>'Bldgs &amp; Rooms'!$B$12</f>
        <v>0</v>
      </c>
      <c r="C406" s="10" t="str">
        <f>Hours!$A$36</f>
        <v>HVAC Equipment (Small)</v>
      </c>
      <c r="D406" s="11">
        <f t="shared" si="12"/>
        <v>0</v>
      </c>
      <c r="E406" s="16"/>
      <c r="F406" s="17"/>
      <c r="G406" s="17"/>
      <c r="H406" s="17"/>
      <c r="I406" s="17"/>
      <c r="J406" s="17"/>
      <c r="K406" s="12"/>
      <c r="L406" s="12"/>
      <c r="M406" s="12"/>
      <c r="N406" s="12"/>
      <c r="O406" s="12"/>
      <c r="P406" s="12"/>
      <c r="Q406" s="17"/>
      <c r="R406" s="18">
        <f>IF(SUMPRODUCT((E406:Q406)*1)=0,0,E406*INDEX(Hours!M:M,MATCH(C406,Hours!$A:$A,0))+F406*INDEX(Hours!B:B,MATCH(C406,Hours!$A:$A,0))+G406*INDEX(Hours!C:C,MATCH(C406,Hours!$A:$A,0))+H406*INDEX(Hours!D:D,MATCH(C406,Hours!$A:$A,0))+I406*INDEX(Hours!E:E,MATCH(C406,Hours!$A:$A,0))+J406*INDEX(Hours!F:F,MATCH(C406,Hours!$A:$A,0)))</f>
        <v>0</v>
      </c>
      <c r="S406" s="19">
        <f t="shared" si="13"/>
        <v>0</v>
      </c>
    </row>
    <row r="407" spans="1:19" x14ac:dyDescent="0.25">
      <c r="A407" s="11" t="str">
        <f>'Bldgs &amp; Rooms'!$A$12</f>
        <v>Main Bldg.</v>
      </c>
      <c r="B407" s="11">
        <f>'Bldgs &amp; Rooms'!$B$12</f>
        <v>0</v>
      </c>
      <c r="C407" s="10" t="str">
        <f>Hours!$A$37</f>
        <v>Uninterruptible Power Supply (UPS) &lt; 50kVA</v>
      </c>
      <c r="D407" s="11">
        <f t="shared" si="12"/>
        <v>0</v>
      </c>
      <c r="E407" s="16"/>
      <c r="F407" s="17"/>
      <c r="G407" s="17"/>
      <c r="H407" s="17"/>
      <c r="I407" s="17"/>
      <c r="J407" s="17"/>
      <c r="K407" s="12"/>
      <c r="L407" s="12"/>
      <c r="M407" s="12"/>
      <c r="N407" s="12"/>
      <c r="O407" s="12"/>
      <c r="P407" s="12"/>
      <c r="Q407" s="17"/>
      <c r="R407" s="18">
        <f>IF(SUMPRODUCT((E407:Q407)*1)=0,0,E407*INDEX(Hours!M:M,MATCH(C407,Hours!$A:$A,0))+F407*INDEX(Hours!B:B,MATCH(C407,Hours!$A:$A,0))+G407*INDEX(Hours!C:C,MATCH(C407,Hours!$A:$A,0))+H407*INDEX(Hours!D:D,MATCH(C407,Hours!$A:$A,0))+I407*INDEX(Hours!E:E,MATCH(C407,Hours!$A:$A,0))+J407*INDEX(Hours!F:F,MATCH(C407,Hours!$A:$A,0)))</f>
        <v>0</v>
      </c>
      <c r="S407" s="19">
        <f t="shared" si="13"/>
        <v>0</v>
      </c>
    </row>
    <row r="408" spans="1:19" x14ac:dyDescent="0.25">
      <c r="A408" s="11" t="str">
        <f>'Bldgs &amp; Rooms'!$A$12</f>
        <v>Main Bldg.</v>
      </c>
      <c r="B408" s="11">
        <f>'Bldgs &amp; Rooms'!$B$12</f>
        <v>0</v>
      </c>
      <c r="C408" s="10" t="str">
        <f>Hours!$A$38</f>
        <v>Uninterruptible Power Supply (UPS) &gt; 50kVA</v>
      </c>
      <c r="D408" s="11">
        <f t="shared" si="12"/>
        <v>0</v>
      </c>
      <c r="E408" s="16"/>
      <c r="F408" s="17"/>
      <c r="G408" s="17"/>
      <c r="H408" s="17"/>
      <c r="I408" s="17"/>
      <c r="J408" s="17"/>
      <c r="K408" s="12"/>
      <c r="L408" s="12"/>
      <c r="M408" s="12"/>
      <c r="N408" s="12"/>
      <c r="O408" s="12"/>
      <c r="P408" s="12"/>
      <c r="Q408" s="17"/>
      <c r="R408" s="18">
        <f>IF(SUMPRODUCT((E408:Q408)*1)=0,0,E408*INDEX(Hours!M:M,MATCH(C408,Hours!$A:$A,0))+F408*INDEX(Hours!B:B,MATCH(C408,Hours!$A:$A,0))+G408*INDEX(Hours!C:C,MATCH(C408,Hours!$A:$A,0))+H408*INDEX(Hours!D:D,MATCH(C408,Hours!$A:$A,0))+I408*INDEX(Hours!E:E,MATCH(C408,Hours!$A:$A,0))+J408*INDEX(Hours!F:F,MATCH(C408,Hours!$A:$A,0)))</f>
        <v>0</v>
      </c>
      <c r="S408" s="19">
        <f t="shared" si="13"/>
        <v>0</v>
      </c>
    </row>
    <row r="409" spans="1:19" x14ac:dyDescent="0.25">
      <c r="A409" s="15" t="str">
        <f>'Bldgs &amp; Rooms'!$A$13</f>
        <v>Main Bldg.</v>
      </c>
      <c r="B409" s="15">
        <f>'Bldgs &amp; Rooms'!$B$13</f>
        <v>0</v>
      </c>
      <c r="C409" s="14" t="str">
        <f>Hours!$A$2</f>
        <v>Switchgear - Incoming Main Service (Per Section)</v>
      </c>
      <c r="D409" s="15">
        <f t="shared" si="12"/>
        <v>0</v>
      </c>
      <c r="E409" s="16"/>
      <c r="F409" s="17"/>
      <c r="G409" s="17"/>
      <c r="H409" s="17"/>
      <c r="I409" s="17"/>
      <c r="J409" s="17"/>
      <c r="K409" s="17"/>
      <c r="L409" s="17"/>
      <c r="M409" s="12"/>
      <c r="N409" s="12"/>
      <c r="O409" s="17"/>
      <c r="P409" s="12"/>
      <c r="Q409" s="17"/>
      <c r="R409" s="18">
        <f>IF(SUMPRODUCT((E409:Q409)*1)=0,0,E409*INDEX(Hours!M:M,MATCH(C409,Hours!$A:$A,0))+F409*INDEX(Hours!B:B,MATCH(C409,Hours!$A:$A,0))+G409*INDEX(Hours!C:C,MATCH(C409,Hours!$A:$A,0))+H409*INDEX(Hours!D:D,MATCH(C409,Hours!$A:$A,0))+I409*INDEX(Hours!E:E,MATCH(C409,Hours!$A:$A,0))+J409*INDEX(Hours!F:F,MATCH(C409,Hours!$A:$A,0))+K409*INDEX(Hours!G:G,MATCH(C409,Hours!$A:$A,0))+L409*INDEX(Hours!H:H,MATCH(C409,Hours!$A:$A,0))+O409*INDEX(Hours!K:K,MATCH(C409,Hours!$A:$A,0)))</f>
        <v>0</v>
      </c>
      <c r="S409" s="19">
        <f t="shared" si="13"/>
        <v>0</v>
      </c>
    </row>
    <row r="410" spans="1:19" x14ac:dyDescent="0.25">
      <c r="A410" s="15" t="str">
        <f>'Bldgs &amp; Rooms'!$A$13</f>
        <v>Main Bldg.</v>
      </c>
      <c r="B410" s="15">
        <f>'Bldgs &amp; Rooms'!$B$13</f>
        <v>0</v>
      </c>
      <c r="C410" s="14" t="str">
        <f>Hours!$A$3</f>
        <v xml:space="preserve">  Switchgear Insulated Case Breakers (Bus Mounted)</v>
      </c>
      <c r="D410" s="15">
        <f t="shared" si="12"/>
        <v>0</v>
      </c>
      <c r="E410" s="16"/>
      <c r="F410" s="17"/>
      <c r="G410" s="17"/>
      <c r="H410" s="17"/>
      <c r="I410" s="17"/>
      <c r="J410" s="17"/>
      <c r="K410" s="17"/>
      <c r="L410" s="12"/>
      <c r="M410" s="12"/>
      <c r="N410" s="12"/>
      <c r="O410" s="12"/>
      <c r="P410" s="12"/>
      <c r="Q410" s="17"/>
      <c r="R410" s="18">
        <f>IF(SUMPRODUCT((E410:Q410)*1)=0,0,E410*INDEX(Hours!M:M,MATCH(C410,Hours!$A:$A,0))+F410*INDEX(Hours!B:B,MATCH(C410,Hours!$A:$A,0))+G410*INDEX(Hours!C:C,MATCH(C410,Hours!$A:$A,0))+H410*INDEX(Hours!D:D,MATCH(C410,Hours!$A:$A,0))+I410*INDEX(Hours!E:E,MATCH(C410,Hours!$A:$A,0))+J410*INDEX(Hours!F:F,MATCH(C410,Hours!$A:$A,0))+K410*INDEX(Hours!G:G,MATCH(C410,Hours!$A:$A,0)))</f>
        <v>0</v>
      </c>
      <c r="S410" s="19">
        <f t="shared" si="13"/>
        <v>0</v>
      </c>
    </row>
    <row r="411" spans="1:19" x14ac:dyDescent="0.25">
      <c r="A411" s="15" t="str">
        <f>'Bldgs &amp; Rooms'!$A$13</f>
        <v>Main Bldg.</v>
      </c>
      <c r="B411" s="15">
        <f>'Bldgs &amp; Rooms'!$B$13</f>
        <v>0</v>
      </c>
      <c r="C411" s="14" t="str">
        <f>Hours!$A$4</f>
        <v xml:space="preserve">  SwitchGear Drawout Breakers</v>
      </c>
      <c r="D411" s="15">
        <f t="shared" si="12"/>
        <v>0</v>
      </c>
      <c r="E411" s="16"/>
      <c r="F411" s="17"/>
      <c r="G411" s="17"/>
      <c r="H411" s="17"/>
      <c r="I411" s="17"/>
      <c r="J411" s="17"/>
      <c r="K411" s="12"/>
      <c r="L411" s="17"/>
      <c r="M411" s="12"/>
      <c r="N411" s="12"/>
      <c r="O411" s="12"/>
      <c r="P411" s="12"/>
      <c r="Q411" s="17"/>
      <c r="R411" s="18">
        <f>IF(SUMPRODUCT((E411:Q411)*1)=0,0,E411*INDEX(Hours!M:M,MATCH(C411,Hours!$A:$A,0))+F411*INDEX(Hours!B:B,MATCH(C411,Hours!$A:$A,0))+G411*INDEX(Hours!C:C,MATCH(C411,Hours!$A:$A,0))+H411*INDEX(Hours!D:D,MATCH(C411,Hours!$A:$A,0))+I411*INDEX(Hours!E:E,MATCH(C411,Hours!$A:$A,0))+J411*INDEX(Hours!F:F,MATCH(C411,Hours!$A:$A,0))+L411*INDEX(Hours!H:H,MATCH(C411,Hours!$A:$A,0)))</f>
        <v>0</v>
      </c>
      <c r="S411" s="19">
        <f t="shared" si="13"/>
        <v>0</v>
      </c>
    </row>
    <row r="412" spans="1:19" x14ac:dyDescent="0.25">
      <c r="A412" s="15" t="str">
        <f>'Bldgs &amp; Rooms'!$A$13</f>
        <v>Main Bldg.</v>
      </c>
      <c r="B412" s="15">
        <f>'Bldgs &amp; Rooms'!$B$13</f>
        <v>0</v>
      </c>
      <c r="C412" s="14" t="str">
        <f>Hours!$A$5</f>
        <v>Distribution Switchboard Multi Cover (Per Section)</v>
      </c>
      <c r="D412" s="15">
        <f t="shared" si="12"/>
        <v>0</v>
      </c>
      <c r="E412" s="16"/>
      <c r="F412" s="17"/>
      <c r="G412" s="17"/>
      <c r="H412" s="17"/>
      <c r="I412" s="17"/>
      <c r="J412" s="17"/>
      <c r="K412" s="17"/>
      <c r="L412" s="12"/>
      <c r="M412" s="12"/>
      <c r="N412" s="12"/>
      <c r="O412" s="17"/>
      <c r="P412" s="12"/>
      <c r="Q412" s="17"/>
      <c r="R412" s="18">
        <f>IF(SUMPRODUCT((E412:Q412)*1)=0,0,E412*INDEX(Hours!M:M,MATCH(C412,Hours!$A:$A,0))+F412*INDEX(Hours!B:B,MATCH(C412,Hours!$A:$A,0))+G412*INDEX(Hours!C:C,MATCH(C412,Hours!$A:$A,0))+H412*INDEX(Hours!D:D,MATCH(C412,Hours!$A:$A,0))+I412*INDEX(Hours!E:E,MATCH(C412,Hours!$A:$A,0))+J412*INDEX(Hours!F:F,MATCH(C412,Hours!$A:$A,0))+K412*INDEX(Hours!G:G,MATCH(C412,Hours!$A:$A,0))+O412*INDEX(Hours!K:K,MATCH(C412,Hours!$A:$A,0)))</f>
        <v>0</v>
      </c>
      <c r="S412" s="19">
        <f t="shared" si="13"/>
        <v>0</v>
      </c>
    </row>
    <row r="413" spans="1:19" x14ac:dyDescent="0.25">
      <c r="A413" s="15" t="str">
        <f>'Bldgs &amp; Rooms'!$A$13</f>
        <v>Main Bldg.</v>
      </c>
      <c r="B413" s="15">
        <f>'Bldgs &amp; Rooms'!$B$13</f>
        <v>0</v>
      </c>
      <c r="C413" s="14" t="str">
        <f>Hours!$A$6</f>
        <v xml:space="preserve">  Switchboard Disconnects</v>
      </c>
      <c r="D413" s="15">
        <f t="shared" si="12"/>
        <v>0</v>
      </c>
      <c r="E413" s="16"/>
      <c r="F413" s="17"/>
      <c r="G413" s="17"/>
      <c r="H413" s="17"/>
      <c r="I413" s="17"/>
      <c r="J413" s="17"/>
      <c r="K413" s="12"/>
      <c r="L413" s="12"/>
      <c r="M413" s="12"/>
      <c r="N413" s="12"/>
      <c r="O413" s="12"/>
      <c r="P413" s="12"/>
      <c r="Q413" s="17"/>
      <c r="R413" s="18">
        <f>IF(SUMPRODUCT((E413:Q413)*1)=0,0,E413*INDEX(Hours!M:M,MATCH(C413,Hours!$A:$A,0))+F413*INDEX(Hours!B:B,MATCH(C413,Hours!$A:$A,0))+G413*INDEX(Hours!C:C,MATCH(C413,Hours!$A:$A,0))+H413*INDEX(Hours!D:D,MATCH(C413,Hours!$A:$A,0))+I413*INDEX(Hours!E:E,MATCH(C413,Hours!$A:$A,0))+J413*INDEX(Hours!F:F,MATCH(C413,Hours!$A:$A,0)))</f>
        <v>0</v>
      </c>
      <c r="S413" s="19">
        <f t="shared" si="13"/>
        <v>0</v>
      </c>
    </row>
    <row r="414" spans="1:19" x14ac:dyDescent="0.25">
      <c r="A414" s="15" t="str">
        <f>'Bldgs &amp; Rooms'!$A$13</f>
        <v>Main Bldg.</v>
      </c>
      <c r="B414" s="15">
        <f>'Bldgs &amp; Rooms'!$B$13</f>
        <v>0</v>
      </c>
      <c r="C414" s="14" t="str">
        <f>Hours!$A$7</f>
        <v xml:space="preserve">  Switchboard Molded Case Breakers</v>
      </c>
      <c r="D414" s="15">
        <f t="shared" si="12"/>
        <v>0</v>
      </c>
      <c r="E414" s="16"/>
      <c r="F414" s="17"/>
      <c r="G414" s="17"/>
      <c r="H414" s="17"/>
      <c r="I414" s="17"/>
      <c r="J414" s="17"/>
      <c r="K414" s="17"/>
      <c r="L414" s="12"/>
      <c r="M414" s="12"/>
      <c r="N414" s="12"/>
      <c r="O414" s="12"/>
      <c r="P414" s="12"/>
      <c r="Q414" s="17"/>
      <c r="R414" s="18">
        <f>IF(SUMPRODUCT((E414:Q414)*1)=0,0,E414*INDEX(Hours!M:M,MATCH(C414,Hours!$A:$A,0))+F414*INDEX(Hours!B:B,MATCH(C414,Hours!$A:$A,0))+G414*INDEX(Hours!C:C,MATCH(C414,Hours!$A:$A,0))+H414*INDEX(Hours!D:D,MATCH(C414,Hours!$A:$A,0))+I414*INDEX(Hours!E:E,MATCH(C414,Hours!$A:$A,0))+J414*INDEX(Hours!F:F,MATCH(C414,Hours!$A:$A,0))+K414*INDEX(Hours!G:G,MATCH(C414,Hours!$A:$A,0)))</f>
        <v>0</v>
      </c>
      <c r="S414" s="19">
        <f t="shared" si="13"/>
        <v>0</v>
      </c>
    </row>
    <row r="415" spans="1:19" x14ac:dyDescent="0.25">
      <c r="A415" s="15" t="str">
        <f>'Bldgs &amp; Rooms'!$A$13</f>
        <v>Main Bldg.</v>
      </c>
      <c r="B415" s="15">
        <f>'Bldgs &amp; Rooms'!$B$13</f>
        <v>0</v>
      </c>
      <c r="C415" s="14" t="str">
        <f>Hours!$A$8</f>
        <v>Panelboard-Single Cover &gt; 400A (Distribution Panel)</v>
      </c>
      <c r="D415" s="15">
        <f t="shared" si="12"/>
        <v>0</v>
      </c>
      <c r="E415" s="16"/>
      <c r="F415" s="17"/>
      <c r="G415" s="17"/>
      <c r="H415" s="17"/>
      <c r="I415" s="17"/>
      <c r="J415" s="17"/>
      <c r="K415" s="17"/>
      <c r="L415" s="12"/>
      <c r="M415" s="12"/>
      <c r="N415" s="12"/>
      <c r="O415" s="17"/>
      <c r="P415" s="12"/>
      <c r="Q415" s="17"/>
      <c r="R415" s="18">
        <f>IF(SUMPRODUCT((E415:Q415)*1)=0,0,E415*INDEX(Hours!M:M,MATCH(C415,Hours!$A:$A,0))+F415*INDEX(Hours!B:B,MATCH(C415,Hours!$A:$A,0))+G415*INDEX(Hours!C:C,MATCH(C415,Hours!$A:$A,0))+H415*INDEX(Hours!D:D,MATCH(C415,Hours!$A:$A,0))+I415*INDEX(Hours!E:E,MATCH(C415,Hours!$A:$A,0))+J415*INDEX(Hours!F:F,MATCH(C415,Hours!$A:$A,0))+K415*INDEX(Hours!G:G,MATCH(C415,Hours!$A:$A,0))+O415*INDEX(Hours!K:K,MATCH(C415,Hours!$A:$A,0)))</f>
        <v>0</v>
      </c>
      <c r="S415" s="19">
        <f t="shared" si="13"/>
        <v>0</v>
      </c>
    </row>
    <row r="416" spans="1:19" x14ac:dyDescent="0.25">
      <c r="A416" s="15" t="str">
        <f>'Bldgs &amp; Rooms'!$A$13</f>
        <v>Main Bldg.</v>
      </c>
      <c r="B416" s="15">
        <f>'Bldgs &amp; Rooms'!$B$13</f>
        <v>0</v>
      </c>
      <c r="C416" s="14" t="str">
        <f>Hours!$A$9</f>
        <v>Panelboard-Single Cover &lt; 400A (Branch Ckt Panel)</v>
      </c>
      <c r="D416" s="15">
        <f t="shared" si="12"/>
        <v>0</v>
      </c>
      <c r="E416" s="16"/>
      <c r="F416" s="17"/>
      <c r="G416" s="17"/>
      <c r="H416" s="17"/>
      <c r="I416" s="17"/>
      <c r="J416" s="17"/>
      <c r="K416" s="12"/>
      <c r="L416" s="12"/>
      <c r="M416" s="12"/>
      <c r="N416" s="12"/>
      <c r="O416" s="17"/>
      <c r="P416" s="12"/>
      <c r="Q416" s="17"/>
      <c r="R416" s="18">
        <f>IF(SUMPRODUCT((E416:Q416)*1)=0,0,E416*INDEX(Hours!M:M,MATCH(C416,Hours!$A:$A,0))+F416*INDEX(Hours!B:B,MATCH(C416,Hours!$A:$A,0))+G416*INDEX(Hours!C:C,MATCH(C416,Hours!$A:$A,0))+H416*INDEX(Hours!D:D,MATCH(C416,Hours!$A:$A,0))+I416*INDEX(Hours!E:E,MATCH(C416,Hours!$A:$A,0))+J416*INDEX(Hours!F:F,MATCH(C416,Hours!$A:$A,0))+O416*INDEX(Hours!K:K,MATCH(C416,Hours!$A:$A,0)))</f>
        <v>0</v>
      </c>
      <c r="S416" s="19">
        <f t="shared" si="13"/>
        <v>0</v>
      </c>
    </row>
    <row r="417" spans="1:19" x14ac:dyDescent="0.25">
      <c r="A417" s="15" t="str">
        <f>'Bldgs &amp; Rooms'!$A$13</f>
        <v>Main Bldg.</v>
      </c>
      <c r="B417" s="15">
        <f>'Bldgs &amp; Rooms'!$B$13</f>
        <v>0</v>
      </c>
      <c r="C417" s="14" t="str">
        <f>Hours!$A$10</f>
        <v>Motor Control Center (MCC-Per Vertical Section)</v>
      </c>
      <c r="D417" s="15">
        <f t="shared" si="12"/>
        <v>0</v>
      </c>
      <c r="E417" s="16"/>
      <c r="F417" s="17"/>
      <c r="G417" s="17"/>
      <c r="H417" s="17"/>
      <c r="I417" s="17"/>
      <c r="J417" s="17"/>
      <c r="K417" s="12"/>
      <c r="L417" s="12"/>
      <c r="M417" s="12"/>
      <c r="N417" s="12"/>
      <c r="O417" s="17"/>
      <c r="P417" s="12"/>
      <c r="Q417" s="17"/>
      <c r="R417" s="18">
        <f>IF(SUMPRODUCT((E417:Q417)*1)=0,0,E417*INDEX(Hours!M:M,MATCH(C417,Hours!$A:$A,0))+F417*INDEX(Hours!B:B,MATCH(C417,Hours!$A:$A,0))+G417*INDEX(Hours!C:C,MATCH(C417,Hours!$A:$A,0))+H417*INDEX(Hours!D:D,MATCH(C417,Hours!$A:$A,0))+I417*INDEX(Hours!E:E,MATCH(C417,Hours!$A:$A,0))+J417*INDEX(Hours!F:F,MATCH(C417,Hours!$A:$A,0))+O417*INDEX(Hours!K:K,MATCH(C417,Hours!$A:$A,0)))</f>
        <v>0</v>
      </c>
      <c r="S417" s="19">
        <f t="shared" si="13"/>
        <v>0</v>
      </c>
    </row>
    <row r="418" spans="1:19" x14ac:dyDescent="0.25">
      <c r="A418" s="15" t="str">
        <f>'Bldgs &amp; Rooms'!$A$13</f>
        <v>Main Bldg.</v>
      </c>
      <c r="B418" s="15">
        <f>'Bldgs &amp; Rooms'!$B$13</f>
        <v>0</v>
      </c>
      <c r="C418" s="14" t="str">
        <f>Hours!$A$11</f>
        <v xml:space="preserve">  MCC: Combination Motor Starters</v>
      </c>
      <c r="D418" s="15">
        <f t="shared" si="12"/>
        <v>0</v>
      </c>
      <c r="E418" s="16"/>
      <c r="F418" s="17"/>
      <c r="G418" s="17"/>
      <c r="H418" s="17"/>
      <c r="I418" s="17"/>
      <c r="J418" s="17"/>
      <c r="K418" s="17"/>
      <c r="L418" s="12"/>
      <c r="M418" s="12"/>
      <c r="N418" s="12"/>
      <c r="O418" s="17"/>
      <c r="P418" s="12"/>
      <c r="Q418" s="17"/>
      <c r="R418" s="18">
        <f>IF(SUMPRODUCT((E418:Q418)*1)=0,0,E418*INDEX(Hours!M:M,MATCH(C418,Hours!$A:$A,0))+F418*INDEX(Hours!B:B,MATCH(C418,Hours!$A:$A,0))+G418*INDEX(Hours!C:C,MATCH(C418,Hours!$A:$A,0))+H418*INDEX(Hours!D:D,MATCH(C418,Hours!$A:$A,0))+I418*INDEX(Hours!E:E,MATCH(C418,Hours!$A:$A,0))+J418*INDEX(Hours!F:F,MATCH(C418,Hours!$A:$A,0))+K418*INDEX(Hours!G:G,MATCH(C418,Hours!$A:$A,0))+O418*INDEX(Hours!K:K,MATCH(C418,Hours!$A:$A,0)))</f>
        <v>0</v>
      </c>
      <c r="S418" s="19">
        <f t="shared" si="13"/>
        <v>0</v>
      </c>
    </row>
    <row r="419" spans="1:19" x14ac:dyDescent="0.25">
      <c r="A419" s="15" t="str">
        <f>'Bldgs &amp; Rooms'!$A$13</f>
        <v>Main Bldg.</v>
      </c>
      <c r="B419" s="15">
        <f>'Bldgs &amp; Rooms'!$B$13</f>
        <v>0</v>
      </c>
      <c r="C419" s="14" t="str">
        <f>Hours!$A$12</f>
        <v xml:space="preserve">  MCC: Molded Case Breaker</v>
      </c>
      <c r="D419" s="15">
        <f t="shared" si="12"/>
        <v>0</v>
      </c>
      <c r="E419" s="16"/>
      <c r="F419" s="17"/>
      <c r="G419" s="17"/>
      <c r="H419" s="17"/>
      <c r="I419" s="17"/>
      <c r="J419" s="17"/>
      <c r="K419" s="17"/>
      <c r="L419" s="12"/>
      <c r="M419" s="12"/>
      <c r="N419" s="12"/>
      <c r="O419" s="12"/>
      <c r="P419" s="12"/>
      <c r="Q419" s="17"/>
      <c r="R419" s="18">
        <f>IF(SUMPRODUCT((E419:Q419)*1)=0,0,E419*INDEX(Hours!M:M,MATCH(C419,Hours!$A:$A,0))+F419*INDEX(Hours!B:B,MATCH(C419,Hours!$A:$A,0))+G419*INDEX(Hours!C:C,MATCH(C419,Hours!$A:$A,0))+H419*INDEX(Hours!D:D,MATCH(C419,Hours!$A:$A,0))+I419*INDEX(Hours!E:E,MATCH(C419,Hours!$A:$A,0))+J419*INDEX(Hours!F:F,MATCH(C419,Hours!$A:$A,0))+K419*INDEX(Hours!G:G,MATCH(C419,Hours!$A:$A,0)))</f>
        <v>0</v>
      </c>
      <c r="S419" s="19">
        <f t="shared" si="13"/>
        <v>0</v>
      </c>
    </row>
    <row r="420" spans="1:19" x14ac:dyDescent="0.25">
      <c r="A420" s="15" t="str">
        <f>'Bldgs &amp; Rooms'!$A$13</f>
        <v>Main Bldg.</v>
      </c>
      <c r="B420" s="15">
        <f>'Bldgs &amp; Rooms'!$B$13</f>
        <v>0</v>
      </c>
      <c r="C420" s="14" t="str">
        <f>Hours!$A$13</f>
        <v xml:space="preserve">  MCC: Individual Disconnect Switch</v>
      </c>
      <c r="D420" s="15">
        <f t="shared" si="12"/>
        <v>0</v>
      </c>
      <c r="E420" s="16"/>
      <c r="F420" s="17"/>
      <c r="G420" s="17"/>
      <c r="H420" s="17"/>
      <c r="I420" s="17"/>
      <c r="J420" s="17"/>
      <c r="K420" s="12"/>
      <c r="L420" s="12"/>
      <c r="M420" s="12"/>
      <c r="N420" s="12"/>
      <c r="O420" s="12"/>
      <c r="P420" s="12"/>
      <c r="Q420" s="17"/>
      <c r="R420" s="18">
        <f>IF(SUMPRODUCT((E420:Q420)*1)=0,0,E420*INDEX(Hours!M:M,MATCH(C420,Hours!$A:$A,0))+F420*INDEX(Hours!B:B,MATCH(C420,Hours!$A:$A,0))+G420*INDEX(Hours!C:C,MATCH(C420,Hours!$A:$A,0))+H420*INDEX(Hours!D:D,MATCH(C420,Hours!$A:$A,0))+I420*INDEX(Hours!E:E,MATCH(C420,Hours!$A:$A,0))+J420*INDEX(Hours!F:F,MATCH(C420,Hours!$A:$A,0)))</f>
        <v>0</v>
      </c>
      <c r="S420" s="19">
        <f t="shared" si="13"/>
        <v>0</v>
      </c>
    </row>
    <row r="421" spans="1:19" x14ac:dyDescent="0.25">
      <c r="A421" s="15" t="str">
        <f>'Bldgs &amp; Rooms'!$A$13</f>
        <v>Main Bldg.</v>
      </c>
      <c r="B421" s="15">
        <f>'Bldgs &amp; Rooms'!$B$13</f>
        <v>0</v>
      </c>
      <c r="C421" s="14" t="str">
        <f>Hours!$A$14</f>
        <v>Motor Control Panel (MCP)</v>
      </c>
      <c r="D421" s="15">
        <f t="shared" si="12"/>
        <v>0</v>
      </c>
      <c r="E421" s="16"/>
      <c r="F421" s="17"/>
      <c r="G421" s="17"/>
      <c r="H421" s="17"/>
      <c r="I421" s="17"/>
      <c r="J421" s="17"/>
      <c r="K421" s="12"/>
      <c r="L421" s="12"/>
      <c r="M421" s="12"/>
      <c r="N421" s="12"/>
      <c r="O421" s="17"/>
      <c r="P421" s="12"/>
      <c r="Q421" s="17"/>
      <c r="R421" s="18">
        <f>IF(SUMPRODUCT((E421:Q421)*1)=0,0,E421*INDEX(Hours!M:M,MATCH(C421,Hours!$A:$A,0))+F421*INDEX(Hours!B:B,MATCH(C421,Hours!$A:$A,0))+G421*INDEX(Hours!C:C,MATCH(C421,Hours!$A:$A,0))+H421*INDEX(Hours!D:D,MATCH(C421,Hours!$A:$A,0))+I421*INDEX(Hours!E:E,MATCH(C421,Hours!$A:$A,0))+J421*INDEX(Hours!F:F,MATCH(C421,Hours!$A:$A,0))+O421*INDEX(Hours!K:K,MATCH(C421,Hours!$A:$A,0)))</f>
        <v>0</v>
      </c>
      <c r="S421" s="19">
        <f t="shared" si="13"/>
        <v>0</v>
      </c>
    </row>
    <row r="422" spans="1:19" x14ac:dyDescent="0.25">
      <c r="A422" s="15" t="str">
        <f>'Bldgs &amp; Rooms'!$A$13</f>
        <v>Main Bldg.</v>
      </c>
      <c r="B422" s="15">
        <f>'Bldgs &amp; Rooms'!$B$13</f>
        <v>0</v>
      </c>
      <c r="C422" s="14" t="str">
        <f>Hours!$A$15</f>
        <v>VFD Motor Control Panel (VFD-MCP)</v>
      </c>
      <c r="D422" s="15">
        <f t="shared" si="12"/>
        <v>0</v>
      </c>
      <c r="E422" s="16"/>
      <c r="F422" s="17"/>
      <c r="G422" s="17"/>
      <c r="H422" s="17"/>
      <c r="I422" s="17"/>
      <c r="J422" s="17"/>
      <c r="K422" s="12"/>
      <c r="L422" s="12"/>
      <c r="M422" s="12"/>
      <c r="N422" s="12"/>
      <c r="O422" s="17"/>
      <c r="P422" s="12"/>
      <c r="Q422" s="17"/>
      <c r="R422" s="18">
        <f>IF(SUMPRODUCT((E422:Q422)*1)=0,0,E422*INDEX(Hours!M:M,MATCH(C422,Hours!$A:$A,0))+F422*INDEX(Hours!B:B,MATCH(C422,Hours!$A:$A,0))+G422*INDEX(Hours!C:C,MATCH(C422,Hours!$A:$A,0))+H422*INDEX(Hours!D:D,MATCH(C422,Hours!$A:$A,0))+I422*INDEX(Hours!E:E,MATCH(C422,Hours!$A:$A,0))+J422*INDEX(Hours!F:F,MATCH(C422,Hours!$A:$A,0))+O422*INDEX(Hours!K:K,MATCH(C422,Hours!$A:$A,0)))</f>
        <v>0</v>
      </c>
      <c r="S422" s="19">
        <f t="shared" si="13"/>
        <v>0</v>
      </c>
    </row>
    <row r="423" spans="1:19" x14ac:dyDescent="0.25">
      <c r="A423" s="15" t="str">
        <f>'Bldgs &amp; Rooms'!$A$13</f>
        <v>Main Bldg.</v>
      </c>
      <c r="B423" s="15">
        <f>'Bldgs &amp; Rooms'!$B$13</f>
        <v>0</v>
      </c>
      <c r="C423" s="14" t="str">
        <f>Hours!$A$16</f>
        <v>Individual Disconnect Switch &gt; 100A</v>
      </c>
      <c r="D423" s="15">
        <f t="shared" si="12"/>
        <v>0</v>
      </c>
      <c r="E423" s="16"/>
      <c r="F423" s="17"/>
      <c r="G423" s="17"/>
      <c r="H423" s="17"/>
      <c r="I423" s="17"/>
      <c r="J423" s="17"/>
      <c r="K423" s="17"/>
      <c r="L423" s="12"/>
      <c r="M423" s="12"/>
      <c r="N423" s="12"/>
      <c r="O423" s="12"/>
      <c r="P423" s="12"/>
      <c r="Q423" s="17"/>
      <c r="R423" s="18">
        <f>IF(SUMPRODUCT((E423:Q423)*1)=0,0,E423*INDEX(Hours!M:M,MATCH(C423,Hours!$A:$A,0))+F423*INDEX(Hours!B:B,MATCH(C423,Hours!$A:$A,0))+G423*INDEX(Hours!C:C,MATCH(C423,Hours!$A:$A,0))+H423*INDEX(Hours!D:D,MATCH(C423,Hours!$A:$A,0))+I423*INDEX(Hours!E:E,MATCH(C423,Hours!$A:$A,0))+J423*INDEX(Hours!F:F,MATCH(C423,Hours!$A:$A,0))+K423*INDEX(Hours!G:G,MATCH(C423,Hours!$A:$A,0)))</f>
        <v>0</v>
      </c>
      <c r="S423" s="19">
        <f t="shared" si="13"/>
        <v>0</v>
      </c>
    </row>
    <row r="424" spans="1:19" x14ac:dyDescent="0.25">
      <c r="A424" s="15" t="str">
        <f>'Bldgs &amp; Rooms'!$A$13</f>
        <v>Main Bldg.</v>
      </c>
      <c r="B424" s="15">
        <f>'Bldgs &amp; Rooms'!$B$13</f>
        <v>0</v>
      </c>
      <c r="C424" s="14" t="str">
        <f>Hours!$A$17</f>
        <v>Individual Molded Case Breaker &gt; 100A</v>
      </c>
      <c r="D424" s="15">
        <f t="shared" si="12"/>
        <v>0</v>
      </c>
      <c r="E424" s="16"/>
      <c r="F424" s="17"/>
      <c r="G424" s="17"/>
      <c r="H424" s="17"/>
      <c r="I424" s="17"/>
      <c r="J424" s="17"/>
      <c r="K424" s="17"/>
      <c r="L424" s="12"/>
      <c r="M424" s="12"/>
      <c r="N424" s="12"/>
      <c r="O424" s="12"/>
      <c r="P424" s="12"/>
      <c r="Q424" s="17"/>
      <c r="R424" s="18">
        <f>IF(SUMPRODUCT((E424:Q424)*1)=0,0,E424*INDEX(Hours!M:M,MATCH(C424,Hours!$A:$A,0))+F424*INDEX(Hours!B:B,MATCH(C424,Hours!$A:$A,0))+G424*INDEX(Hours!C:C,MATCH(C424,Hours!$A:$A,0))+H424*INDEX(Hours!D:D,MATCH(C424,Hours!$A:$A,0))+I424*INDEX(Hours!E:E,MATCH(C424,Hours!$A:$A,0))+J424*INDEX(Hours!F:F,MATCH(C424,Hours!$A:$A,0))+K424*INDEX(Hours!G:G,MATCH(C424,Hours!$A:$A,0)))</f>
        <v>0</v>
      </c>
      <c r="S424" s="19">
        <f t="shared" si="13"/>
        <v>0</v>
      </c>
    </row>
    <row r="425" spans="1:19" x14ac:dyDescent="0.25">
      <c r="A425" s="15" t="str">
        <f>'Bldgs &amp; Rooms'!$A$13</f>
        <v>Main Bldg.</v>
      </c>
      <c r="B425" s="15">
        <f>'Bldgs &amp; Rooms'!$B$13</f>
        <v>0</v>
      </c>
      <c r="C425" s="14" t="str">
        <f>Hours!$A$18</f>
        <v>Individual Combination Motor Starter &gt; 100A</v>
      </c>
      <c r="D425" s="15">
        <f t="shared" si="12"/>
        <v>0</v>
      </c>
      <c r="E425" s="16"/>
      <c r="F425" s="17"/>
      <c r="G425" s="17"/>
      <c r="H425" s="17"/>
      <c r="I425" s="17"/>
      <c r="J425" s="17"/>
      <c r="K425" s="17"/>
      <c r="L425" s="12"/>
      <c r="M425" s="12"/>
      <c r="N425" s="12"/>
      <c r="O425" s="12"/>
      <c r="P425" s="12"/>
      <c r="Q425" s="17"/>
      <c r="R425" s="18">
        <f>IF(SUMPRODUCT((E425:Q425)*1)=0,0,E425*INDEX(Hours!M:M,MATCH(C425,Hours!$A:$A,0))+F425*INDEX(Hours!B:B,MATCH(C425,Hours!$A:$A,0))+G425*INDEX(Hours!C:C,MATCH(C425,Hours!$A:$A,0))+H425*INDEX(Hours!D:D,MATCH(C425,Hours!$A:$A,0))+I425*INDEX(Hours!E:E,MATCH(C425,Hours!$A:$A,0))+J425*INDEX(Hours!F:F,MATCH(C425,Hours!$A:$A,0))+K425*INDEX(Hours!G:G,MATCH(C425,Hours!$A:$A,0)))</f>
        <v>0</v>
      </c>
      <c r="S425" s="19">
        <f t="shared" si="13"/>
        <v>0</v>
      </c>
    </row>
    <row r="426" spans="1:19" x14ac:dyDescent="0.25">
      <c r="A426" s="15" t="str">
        <f>'Bldgs &amp; Rooms'!$A$13</f>
        <v>Main Bldg.</v>
      </c>
      <c r="B426" s="15">
        <f>'Bldgs &amp; Rooms'!$B$13</f>
        <v>0</v>
      </c>
      <c r="C426" s="14" t="str">
        <f>Hours!$A$19</f>
        <v>Oil Filled Transformer - 5kV-15kV Primary - Any Size (Pad Mounted)</v>
      </c>
      <c r="D426" s="15">
        <f t="shared" si="12"/>
        <v>0</v>
      </c>
      <c r="E426" s="16"/>
      <c r="F426" s="17"/>
      <c r="G426" s="17"/>
      <c r="H426" s="17"/>
      <c r="I426" s="17"/>
      <c r="J426" s="17"/>
      <c r="K426" s="12"/>
      <c r="L426" s="12"/>
      <c r="M426" s="17"/>
      <c r="N426" s="17"/>
      <c r="O426" s="12"/>
      <c r="P426" s="17"/>
      <c r="Q426" s="17"/>
      <c r="R426" s="18">
        <f>IF(SUMPRODUCT((E426:Q426)*1)=0,0,E426*INDEX(Hours!M:M,MATCH(C426,Hours!$A:$A,0))+F426*INDEX(Hours!B:B,MATCH(C426,Hours!$A:$A,0))+G426*INDEX(Hours!C:C,MATCH(C426,Hours!$A:$A,0))+H426*INDEX(Hours!D:D,MATCH(C426,Hours!$A:$A,0))+I426*INDEX(Hours!E:E,MATCH(C426,Hours!$A:$A,0))+J426*INDEX(Hours!F:F,MATCH(C426,Hours!$A:$A,0))+M426*INDEX(Hours!I:I,MATCH(C426,Hours!$A:$A,0))+N426*INDEX(Hours!J:J,MATCH(C426,Hours!$A:$A,0))+P426*INDEX(Hours!L:L,MATCH(C426,Hours!$A:$A,0)))</f>
        <v>0</v>
      </c>
      <c r="S426" s="19">
        <f t="shared" si="13"/>
        <v>0</v>
      </c>
    </row>
    <row r="427" spans="1:19" x14ac:dyDescent="0.25">
      <c r="A427" s="15" t="str">
        <f>'Bldgs &amp; Rooms'!$A$13</f>
        <v>Main Bldg.</v>
      </c>
      <c r="B427" s="15">
        <f>'Bldgs &amp; Rooms'!$B$13</f>
        <v>0</v>
      </c>
      <c r="C427" s="14" t="str">
        <f>Hours!$A$20</f>
        <v>Oil Filled Transformer - &gt; 15kV Primary (Substation Class)</v>
      </c>
      <c r="D427" s="15">
        <f t="shared" si="12"/>
        <v>0</v>
      </c>
      <c r="E427" s="16"/>
      <c r="F427" s="17"/>
      <c r="G427" s="17"/>
      <c r="H427" s="17"/>
      <c r="I427" s="17"/>
      <c r="J427" s="17"/>
      <c r="K427" s="12"/>
      <c r="L427" s="12"/>
      <c r="M427" s="17"/>
      <c r="N427" s="17"/>
      <c r="O427" s="12"/>
      <c r="P427" s="17"/>
      <c r="Q427" s="17"/>
      <c r="R427" s="18">
        <f>IF(SUMPRODUCT((E427:Q427)*1)=0,0,E427*INDEX(Hours!M:M,MATCH(C427,Hours!$A:$A,0))+F427*INDEX(Hours!B:B,MATCH(C427,Hours!$A:$A,0))+G427*INDEX(Hours!C:C,MATCH(C427,Hours!$A:$A,0))+H427*INDEX(Hours!D:D,MATCH(C427,Hours!$A:$A,0))+I427*INDEX(Hours!E:E,MATCH(C427,Hours!$A:$A,0))+J427*INDEX(Hours!F:F,MATCH(C427,Hours!$A:$A,0))+M427*INDEX(Hours!I:I,MATCH(C427,Hours!$A:$A,0))+N427*INDEX(Hours!J:J,MATCH(C427,Hours!$A:$A,0))+P427*INDEX(Hours!L:L,MATCH(C427,Hours!$A:$A,0)))</f>
        <v>0</v>
      </c>
      <c r="S427" s="19">
        <f t="shared" si="13"/>
        <v>0</v>
      </c>
    </row>
    <row r="428" spans="1:19" x14ac:dyDescent="0.25">
      <c r="A428" s="15" t="str">
        <f>'Bldgs &amp; Rooms'!$A$13</f>
        <v>Main Bldg.</v>
      </c>
      <c r="B428" s="15">
        <f>'Bldgs &amp; Rooms'!$B$13</f>
        <v>0</v>
      </c>
      <c r="C428" s="14" t="str">
        <f>Hours!$A$21</f>
        <v>Dry Type Transformer - &lt; 480V Primary - Any Size kVA</v>
      </c>
      <c r="D428" s="15">
        <f t="shared" si="12"/>
        <v>0</v>
      </c>
      <c r="E428" s="16"/>
      <c r="F428" s="17"/>
      <c r="G428" s="17"/>
      <c r="H428" s="17"/>
      <c r="I428" s="17"/>
      <c r="J428" s="17"/>
      <c r="K428" s="12"/>
      <c r="L428" s="12"/>
      <c r="M428" s="17"/>
      <c r="N428" s="17"/>
      <c r="O428" s="12"/>
      <c r="P428" s="12"/>
      <c r="Q428" s="17"/>
      <c r="R428" s="18">
        <f>IF(SUMPRODUCT((E428:Q428)*1)=0,0,E428*INDEX(Hours!M:M,MATCH(C428,Hours!$A:$A,0))+F428*INDEX(Hours!B:B,MATCH(C428,Hours!$A:$A,0))+G428*INDEX(Hours!C:C,MATCH(C428,Hours!$A:$A,0))+H428*INDEX(Hours!D:D,MATCH(C428,Hours!$A:$A,0))+I428*INDEX(Hours!E:E,MATCH(C428,Hours!$A:$A,0))+J428*INDEX(Hours!F:F,MATCH(C428,Hours!$A:$A,0))+M428*INDEX(Hours!I:I,MATCH(C428,Hours!$A:$A,0))+N428*INDEX(Hours!J:J,MATCH(C428,Hours!$A:$A,0)))</f>
        <v>0</v>
      </c>
      <c r="S428" s="19">
        <f t="shared" si="13"/>
        <v>0</v>
      </c>
    </row>
    <row r="429" spans="1:19" x14ac:dyDescent="0.25">
      <c r="A429" s="15" t="str">
        <f>'Bldgs &amp; Rooms'!$A$13</f>
        <v>Main Bldg.</v>
      </c>
      <c r="B429" s="15">
        <f>'Bldgs &amp; Rooms'!$B$13</f>
        <v>0</v>
      </c>
      <c r="C429" s="14" t="str">
        <f>Hours!$A$22</f>
        <v>Power Factor Correction Capacitors</v>
      </c>
      <c r="D429" s="15">
        <f t="shared" si="12"/>
        <v>0</v>
      </c>
      <c r="E429" s="16"/>
      <c r="F429" s="17"/>
      <c r="G429" s="17"/>
      <c r="H429" s="17"/>
      <c r="I429" s="17"/>
      <c r="J429" s="17"/>
      <c r="K429" s="12"/>
      <c r="L429" s="12"/>
      <c r="M429" s="12"/>
      <c r="N429" s="12"/>
      <c r="O429" s="12"/>
      <c r="P429" s="12"/>
      <c r="Q429" s="17"/>
      <c r="R429" s="18">
        <f>IF(SUMPRODUCT((E429:Q429)*1)=0,0,E429*INDEX(Hours!M:M,MATCH(C429,Hours!$A:$A,0))+F429*INDEX(Hours!B:B,MATCH(C429,Hours!$A:$A,0))+G429*INDEX(Hours!C:C,MATCH(C429,Hours!$A:$A,0))+H429*INDEX(Hours!D:D,MATCH(C429,Hours!$A:$A,0))+I429*INDEX(Hours!E:E,MATCH(C429,Hours!$A:$A,0))+J429*INDEX(Hours!F:F,MATCH(C429,Hours!$A:$A,0)))</f>
        <v>0</v>
      </c>
      <c r="S429" s="19">
        <f t="shared" si="13"/>
        <v>0</v>
      </c>
    </row>
    <row r="430" spans="1:19" x14ac:dyDescent="0.25">
      <c r="A430" s="15" t="str">
        <f>'Bldgs &amp; Rooms'!$A$13</f>
        <v>Main Bldg.</v>
      </c>
      <c r="B430" s="15">
        <f>'Bldgs &amp; Rooms'!$B$13</f>
        <v>0</v>
      </c>
      <c r="C430" s="14" t="str">
        <f>Hours!$A$23</f>
        <v>Lighting Contactor &gt; 100A</v>
      </c>
      <c r="D430" s="15">
        <f t="shared" si="12"/>
        <v>0</v>
      </c>
      <c r="E430" s="16"/>
      <c r="F430" s="17"/>
      <c r="G430" s="17"/>
      <c r="H430" s="17"/>
      <c r="I430" s="17"/>
      <c r="J430" s="17"/>
      <c r="K430" s="12"/>
      <c r="L430" s="12"/>
      <c r="M430" s="12"/>
      <c r="N430" s="12"/>
      <c r="O430" s="12"/>
      <c r="P430" s="12"/>
      <c r="Q430" s="17"/>
      <c r="R430" s="18">
        <f>IF(SUMPRODUCT((E430:Q430)*1)=0,0,E430*INDEX(Hours!M:M,MATCH(C430,Hours!$A:$A,0))+F430*INDEX(Hours!B:B,MATCH(C430,Hours!$A:$A,0))+G430*INDEX(Hours!C:C,MATCH(C430,Hours!$A:$A,0))+H430*INDEX(Hours!D:D,MATCH(C430,Hours!$A:$A,0))+I430*INDEX(Hours!E:E,MATCH(C430,Hours!$A:$A,0))+J430*INDEX(Hours!F:F,MATCH(C430,Hours!$A:$A,0)))</f>
        <v>0</v>
      </c>
      <c r="S430" s="19">
        <f t="shared" si="13"/>
        <v>0</v>
      </c>
    </row>
    <row r="431" spans="1:19" x14ac:dyDescent="0.25">
      <c r="A431" s="15" t="str">
        <f>'Bldgs &amp; Rooms'!$A$13</f>
        <v>Main Bldg.</v>
      </c>
      <c r="B431" s="15">
        <f>'Bldgs &amp; Rooms'!$B$13</f>
        <v>0</v>
      </c>
      <c r="C431" s="14" t="str">
        <f>Hours!$A$24</f>
        <v>Power Distribution Unit (PDU)</v>
      </c>
      <c r="D431" s="15">
        <f t="shared" si="12"/>
        <v>0</v>
      </c>
      <c r="E431" s="16"/>
      <c r="F431" s="17"/>
      <c r="G431" s="17"/>
      <c r="H431" s="17"/>
      <c r="I431" s="17"/>
      <c r="J431" s="17"/>
      <c r="K431" s="12"/>
      <c r="L431" s="12"/>
      <c r="M431" s="12"/>
      <c r="N431" s="12"/>
      <c r="O431" s="12"/>
      <c r="P431" s="12"/>
      <c r="Q431" s="17"/>
      <c r="R431" s="18">
        <f>IF(SUMPRODUCT((E431:Q431)*1)=0,0,E431*INDEX(Hours!M:M,MATCH(C431,Hours!$A:$A,0))+F431*INDEX(Hours!B:B,MATCH(C431,Hours!$A:$A,0))+G431*INDEX(Hours!C:C,MATCH(C431,Hours!$A:$A,0))+H431*INDEX(Hours!D:D,MATCH(C431,Hours!$A:$A,0))+I431*INDEX(Hours!E:E,MATCH(C431,Hours!$A:$A,0))+J431*INDEX(Hours!F:F,MATCH(C431,Hours!$A:$A,0)))</f>
        <v>0</v>
      </c>
      <c r="S431" s="19">
        <f t="shared" si="13"/>
        <v>0</v>
      </c>
    </row>
    <row r="432" spans="1:19" x14ac:dyDescent="0.25">
      <c r="A432" s="15" t="str">
        <f>'Bldgs &amp; Rooms'!$A$13</f>
        <v>Main Bldg.</v>
      </c>
      <c r="B432" s="15">
        <f>'Bldgs &amp; Rooms'!$B$13</f>
        <v>0</v>
      </c>
      <c r="C432" s="14" t="str">
        <f>Hours!$A$25</f>
        <v>Wire Trough, Gutter, or Large Junction Boxes</v>
      </c>
      <c r="D432" s="15">
        <f t="shared" si="12"/>
        <v>0</v>
      </c>
      <c r="E432" s="16"/>
      <c r="F432" s="17"/>
      <c r="G432" s="17"/>
      <c r="H432" s="17"/>
      <c r="I432" s="17"/>
      <c r="J432" s="17"/>
      <c r="K432" s="12"/>
      <c r="L432" s="12"/>
      <c r="M432" s="12"/>
      <c r="N432" s="12"/>
      <c r="O432" s="12"/>
      <c r="P432" s="12"/>
      <c r="Q432" s="17"/>
      <c r="R432" s="18">
        <f>IF(SUMPRODUCT((E432:Q432)*1)=0,0,E432*INDEX(Hours!M:M,MATCH(C432,Hours!$A:$A,0))+F432*INDEX(Hours!B:B,MATCH(C432,Hours!$A:$A,0))+G432*INDEX(Hours!C:C,MATCH(C432,Hours!$A:$A,0))+H432*INDEX(Hours!D:D,MATCH(C432,Hours!$A:$A,0))+I432*INDEX(Hours!E:E,MATCH(C432,Hours!$A:$A,0))+J432*INDEX(Hours!F:F,MATCH(C432,Hours!$A:$A,0)))</f>
        <v>0</v>
      </c>
      <c r="S432" s="19">
        <f t="shared" si="13"/>
        <v>0</v>
      </c>
    </row>
    <row r="433" spans="1:19" x14ac:dyDescent="0.25">
      <c r="A433" s="15" t="str">
        <f>'Bldgs &amp; Rooms'!$A$13</f>
        <v>Main Bldg.</v>
      </c>
      <c r="B433" s="15">
        <f>'Bldgs &amp; Rooms'!$B$13</f>
        <v>0</v>
      </c>
      <c r="C433" s="14" t="str">
        <f>Hours!$A$26</f>
        <v>Bus Duct - Vertical or Horizontal (Per 10' section)</v>
      </c>
      <c r="D433" s="15">
        <f t="shared" si="12"/>
        <v>0</v>
      </c>
      <c r="E433" s="16"/>
      <c r="F433" s="17"/>
      <c r="G433" s="17"/>
      <c r="H433" s="17"/>
      <c r="I433" s="17"/>
      <c r="J433" s="17"/>
      <c r="K433" s="12"/>
      <c r="L433" s="12"/>
      <c r="M433" s="12"/>
      <c r="N433" s="12"/>
      <c r="O433" s="12"/>
      <c r="P433" s="12"/>
      <c r="Q433" s="17"/>
      <c r="R433" s="18">
        <f>IF(SUMPRODUCT((E433:Q433)*1)=0,0,E433*INDEX(Hours!M:M,MATCH(C433,Hours!$A:$A,0))+F433*INDEX(Hours!B:B,MATCH(C433,Hours!$A:$A,0))+G433*INDEX(Hours!C:C,MATCH(C433,Hours!$A:$A,0))+H433*INDEX(Hours!D:D,MATCH(C433,Hours!$A:$A,0))+I433*INDEX(Hours!E:E,MATCH(C433,Hours!$A:$A,0))+J433*INDEX(Hours!F:F,MATCH(C433,Hours!$A:$A,0)))</f>
        <v>0</v>
      </c>
      <c r="S433" s="19">
        <f t="shared" si="13"/>
        <v>0</v>
      </c>
    </row>
    <row r="434" spans="1:19" x14ac:dyDescent="0.25">
      <c r="A434" s="15" t="str">
        <f>'Bldgs &amp; Rooms'!$A$13</f>
        <v>Main Bldg.</v>
      </c>
      <c r="B434" s="15">
        <f>'Bldgs &amp; Rooms'!$B$13</f>
        <v>0</v>
      </c>
      <c r="C434" s="14" t="str">
        <f>Hours!$A$27</f>
        <v>Automatic Transfer Switch (ATS) &gt; 100A</v>
      </c>
      <c r="D434" s="15">
        <f t="shared" si="12"/>
        <v>0</v>
      </c>
      <c r="E434" s="16"/>
      <c r="F434" s="17"/>
      <c r="G434" s="17"/>
      <c r="H434" s="17"/>
      <c r="I434" s="17"/>
      <c r="J434" s="17"/>
      <c r="K434" s="12"/>
      <c r="L434" s="12"/>
      <c r="M434" s="12"/>
      <c r="N434" s="12"/>
      <c r="O434" s="12"/>
      <c r="P434" s="12"/>
      <c r="Q434" s="17"/>
      <c r="R434" s="18">
        <f>IF(SUMPRODUCT((E434:Q434)*1)=0,0,E434*INDEX(Hours!M:M,MATCH(C434,Hours!$A:$A,0))+F434*INDEX(Hours!B:B,MATCH(C434,Hours!$A:$A,0))+G434*INDEX(Hours!C:C,MATCH(C434,Hours!$A:$A,0))+H434*INDEX(Hours!D:D,MATCH(C434,Hours!$A:$A,0))+I434*INDEX(Hours!E:E,MATCH(C434,Hours!$A:$A,0))+J434*INDEX(Hours!F:F,MATCH(C434,Hours!$A:$A,0)))</f>
        <v>0</v>
      </c>
      <c r="S434" s="19">
        <f t="shared" si="13"/>
        <v>0</v>
      </c>
    </row>
    <row r="435" spans="1:19" x14ac:dyDescent="0.25">
      <c r="A435" s="15" t="str">
        <f>'Bldgs &amp; Rooms'!$A$13</f>
        <v>Main Bldg.</v>
      </c>
      <c r="B435" s="15">
        <f>'Bldgs &amp; Rooms'!$B$13</f>
        <v>0</v>
      </c>
      <c r="C435" s="14" t="str">
        <f>Hours!$A$28</f>
        <v>Manual Transfer Switch (MTS) &gt; 100A</v>
      </c>
      <c r="D435" s="15">
        <f t="shared" si="12"/>
        <v>0</v>
      </c>
      <c r="E435" s="16"/>
      <c r="F435" s="17"/>
      <c r="G435" s="17"/>
      <c r="H435" s="17"/>
      <c r="I435" s="17"/>
      <c r="J435" s="17"/>
      <c r="K435" s="12"/>
      <c r="L435" s="12"/>
      <c r="M435" s="12"/>
      <c r="N435" s="12"/>
      <c r="O435" s="12"/>
      <c r="P435" s="12"/>
      <c r="Q435" s="17"/>
      <c r="R435" s="18">
        <f>IF(SUMPRODUCT((E435:Q435)*1)=0,0,E435*INDEX(Hours!M:M,MATCH(C435,Hours!$A:$A,0))+F435*INDEX(Hours!B:B,MATCH(C435,Hours!$A:$A,0))+G435*INDEX(Hours!C:C,MATCH(C435,Hours!$A:$A,0))+H435*INDEX(Hours!D:D,MATCH(C435,Hours!$A:$A,0))+I435*INDEX(Hours!E:E,MATCH(C435,Hours!$A:$A,0))+J435*INDEX(Hours!F:F,MATCH(C435,Hours!$A:$A,0)))</f>
        <v>0</v>
      </c>
      <c r="S435" s="19">
        <f t="shared" si="13"/>
        <v>0</v>
      </c>
    </row>
    <row r="436" spans="1:19" x14ac:dyDescent="0.25">
      <c r="A436" s="15" t="str">
        <f>'Bldgs &amp; Rooms'!$A$13</f>
        <v>Main Bldg.</v>
      </c>
      <c r="B436" s="15">
        <f>'Bldgs &amp; Rooms'!$B$13</f>
        <v>0</v>
      </c>
      <c r="C436" s="14" t="str">
        <f>Hours!$A$29</f>
        <v>Variable Frequency Drives (VFD) &lt; 50 HP</v>
      </c>
      <c r="D436" s="15">
        <f t="shared" si="12"/>
        <v>0</v>
      </c>
      <c r="E436" s="16"/>
      <c r="F436" s="17"/>
      <c r="G436" s="17"/>
      <c r="H436" s="17"/>
      <c r="I436" s="17"/>
      <c r="J436" s="17"/>
      <c r="K436" s="12"/>
      <c r="L436" s="12"/>
      <c r="M436" s="12"/>
      <c r="N436" s="12"/>
      <c r="O436" s="12"/>
      <c r="P436" s="12"/>
      <c r="Q436" s="17"/>
      <c r="R436" s="18">
        <f>IF(SUMPRODUCT((E436:Q436)*1)=0,0,E436*INDEX(Hours!M:M,MATCH(C436,Hours!$A:$A,0))+F436*INDEX(Hours!B:B,MATCH(C436,Hours!$A:$A,0))+G436*INDEX(Hours!C:C,MATCH(C436,Hours!$A:$A,0))+H436*INDEX(Hours!D:D,MATCH(C436,Hours!$A:$A,0))+I436*INDEX(Hours!E:E,MATCH(C436,Hours!$A:$A,0))+J436*INDEX(Hours!F:F,MATCH(C436,Hours!$A:$A,0)))</f>
        <v>0</v>
      </c>
      <c r="S436" s="19">
        <f t="shared" si="13"/>
        <v>0</v>
      </c>
    </row>
    <row r="437" spans="1:19" x14ac:dyDescent="0.25">
      <c r="A437" s="15" t="str">
        <f>'Bldgs &amp; Rooms'!$A$13</f>
        <v>Main Bldg.</v>
      </c>
      <c r="B437" s="15">
        <f>'Bldgs &amp; Rooms'!$B$13</f>
        <v>0</v>
      </c>
      <c r="C437" s="14" t="str">
        <f>Hours!$A$30</f>
        <v>Variable Frequency Drives (VFD) 51-200 HP</v>
      </c>
      <c r="D437" s="15">
        <f t="shared" si="12"/>
        <v>0</v>
      </c>
      <c r="E437" s="16"/>
      <c r="F437" s="17"/>
      <c r="G437" s="17"/>
      <c r="H437" s="17"/>
      <c r="I437" s="17"/>
      <c r="J437" s="17"/>
      <c r="K437" s="12"/>
      <c r="L437" s="12"/>
      <c r="M437" s="12"/>
      <c r="N437" s="12"/>
      <c r="O437" s="12"/>
      <c r="P437" s="12"/>
      <c r="Q437" s="17"/>
      <c r="R437" s="18">
        <f>IF(SUMPRODUCT((E437:Q437)*1)=0,0,E437*INDEX(Hours!M:M,MATCH(C437,Hours!$A:$A,0))+F437*INDEX(Hours!B:B,MATCH(C437,Hours!$A:$A,0))+G437*INDEX(Hours!C:C,MATCH(C437,Hours!$A:$A,0))+H437*INDEX(Hours!D:D,MATCH(C437,Hours!$A:$A,0))+I437*INDEX(Hours!E:E,MATCH(C437,Hours!$A:$A,0))+J437*INDEX(Hours!F:F,MATCH(C437,Hours!$A:$A,0)))</f>
        <v>0</v>
      </c>
      <c r="S437" s="19">
        <f t="shared" si="13"/>
        <v>0</v>
      </c>
    </row>
    <row r="438" spans="1:19" x14ac:dyDescent="0.25">
      <c r="A438" s="15" t="str">
        <f>'Bldgs &amp; Rooms'!$A$13</f>
        <v>Main Bldg.</v>
      </c>
      <c r="B438" s="15">
        <f>'Bldgs &amp; Rooms'!$B$13</f>
        <v>0</v>
      </c>
      <c r="C438" s="14" t="str">
        <f>Hours!$A$31</f>
        <v>Motors &lt; 50 HP</v>
      </c>
      <c r="D438" s="15">
        <f t="shared" si="12"/>
        <v>0</v>
      </c>
      <c r="E438" s="16"/>
      <c r="F438" s="17"/>
      <c r="G438" s="17"/>
      <c r="H438" s="17"/>
      <c r="I438" s="17"/>
      <c r="J438" s="17"/>
      <c r="K438" s="12"/>
      <c r="L438" s="12"/>
      <c r="M438" s="12"/>
      <c r="N438" s="12"/>
      <c r="O438" s="12"/>
      <c r="P438" s="12"/>
      <c r="Q438" s="17"/>
      <c r="R438" s="18">
        <f>IF(SUMPRODUCT((E438:Q438)*1)=0,0,E438*INDEX(Hours!M:M,MATCH(C438,Hours!$A:$A,0))+F438*INDEX(Hours!B:B,MATCH(C438,Hours!$A:$A,0))+G438*INDEX(Hours!C:C,MATCH(C438,Hours!$A:$A,0))+H438*INDEX(Hours!D:D,MATCH(C438,Hours!$A:$A,0))+I438*INDEX(Hours!E:E,MATCH(C438,Hours!$A:$A,0))+J438*INDEX(Hours!F:F,MATCH(C438,Hours!$A:$A,0)))</f>
        <v>0</v>
      </c>
      <c r="S438" s="19">
        <f t="shared" si="13"/>
        <v>0</v>
      </c>
    </row>
    <row r="439" spans="1:19" x14ac:dyDescent="0.25">
      <c r="A439" s="15" t="str">
        <f>'Bldgs &amp; Rooms'!$A$13</f>
        <v>Main Bldg.</v>
      </c>
      <c r="B439" s="15">
        <f>'Bldgs &amp; Rooms'!$B$13</f>
        <v>0</v>
      </c>
      <c r="C439" s="14" t="str">
        <f>Hours!$A$32</f>
        <v>Motors 51-200 HP</v>
      </c>
      <c r="D439" s="15">
        <f t="shared" si="12"/>
        <v>0</v>
      </c>
      <c r="E439" s="16"/>
      <c r="F439" s="17"/>
      <c r="G439" s="17"/>
      <c r="H439" s="17"/>
      <c r="I439" s="17"/>
      <c r="J439" s="17"/>
      <c r="K439" s="12"/>
      <c r="L439" s="12"/>
      <c r="M439" s="12"/>
      <c r="N439" s="12"/>
      <c r="O439" s="12"/>
      <c r="P439" s="12"/>
      <c r="Q439" s="17"/>
      <c r="R439" s="18">
        <f>IF(SUMPRODUCT((E439:Q439)*1)=0,0,E439*INDEX(Hours!M:M,MATCH(C439,Hours!$A:$A,0))+F439*INDEX(Hours!B:B,MATCH(C439,Hours!$A:$A,0))+G439*INDEX(Hours!C:C,MATCH(C439,Hours!$A:$A,0))+H439*INDEX(Hours!D:D,MATCH(C439,Hours!$A:$A,0))+I439*INDEX(Hours!E:E,MATCH(C439,Hours!$A:$A,0))+J439*INDEX(Hours!F:F,MATCH(C439,Hours!$A:$A,0)))</f>
        <v>0</v>
      </c>
      <c r="S439" s="19">
        <f t="shared" si="13"/>
        <v>0</v>
      </c>
    </row>
    <row r="440" spans="1:19" x14ac:dyDescent="0.25">
      <c r="A440" s="15" t="str">
        <f>'Bldgs &amp; Rooms'!$A$13</f>
        <v>Main Bldg.</v>
      </c>
      <c r="B440" s="15">
        <f>'Bldgs &amp; Rooms'!$B$13</f>
        <v>0</v>
      </c>
      <c r="C440" s="14" t="str">
        <f>Hours!$A$33</f>
        <v>Motors 201-500 HP</v>
      </c>
      <c r="D440" s="15">
        <f t="shared" si="12"/>
        <v>0</v>
      </c>
      <c r="E440" s="16"/>
      <c r="F440" s="17"/>
      <c r="G440" s="17"/>
      <c r="H440" s="17"/>
      <c r="I440" s="17"/>
      <c r="J440" s="17"/>
      <c r="K440" s="12"/>
      <c r="L440" s="12"/>
      <c r="M440" s="12"/>
      <c r="N440" s="12"/>
      <c r="O440" s="12"/>
      <c r="P440" s="12"/>
      <c r="Q440" s="17"/>
      <c r="R440" s="18">
        <f>IF(SUMPRODUCT((E440:Q440)*1)=0,0,E440*INDEX(Hours!M:M,MATCH(C440,Hours!$A:$A,0))+F440*INDEX(Hours!B:B,MATCH(C440,Hours!$A:$A,0))+G440*INDEX(Hours!C:C,MATCH(C440,Hours!$A:$A,0))+H440*INDEX(Hours!D:D,MATCH(C440,Hours!$A:$A,0))+I440*INDEX(Hours!E:E,MATCH(C440,Hours!$A:$A,0))+J440*INDEX(Hours!F:F,MATCH(C440,Hours!$A:$A,0)))</f>
        <v>0</v>
      </c>
      <c r="S440" s="19">
        <f t="shared" si="13"/>
        <v>0</v>
      </c>
    </row>
    <row r="441" spans="1:19" x14ac:dyDescent="0.25">
      <c r="A441" s="15" t="str">
        <f>'Bldgs &amp; Rooms'!$A$13</f>
        <v>Main Bldg.</v>
      </c>
      <c r="B441" s="15">
        <f>'Bldgs &amp; Rooms'!$B$13</f>
        <v>0</v>
      </c>
      <c r="C441" s="14" t="str">
        <f>Hours!$A$34</f>
        <v>Compressed Air Equipment</v>
      </c>
      <c r="D441" s="15">
        <f t="shared" si="12"/>
        <v>0</v>
      </c>
      <c r="E441" s="16"/>
      <c r="F441" s="17"/>
      <c r="G441" s="17"/>
      <c r="H441" s="17"/>
      <c r="I441" s="17"/>
      <c r="J441" s="17"/>
      <c r="K441" s="12"/>
      <c r="L441" s="12"/>
      <c r="M441" s="12"/>
      <c r="N441" s="12"/>
      <c r="O441" s="12"/>
      <c r="P441" s="12"/>
      <c r="Q441" s="17"/>
      <c r="R441" s="18">
        <f>IF(SUMPRODUCT((E441:Q441)*1)=0,0,E441*INDEX(Hours!M:M,MATCH(C441,Hours!$A:$A,0))+F441*INDEX(Hours!B:B,MATCH(C441,Hours!$A:$A,0))+G441*INDEX(Hours!C:C,MATCH(C441,Hours!$A:$A,0))+H441*INDEX(Hours!D:D,MATCH(C441,Hours!$A:$A,0))+I441*INDEX(Hours!E:E,MATCH(C441,Hours!$A:$A,0))+J441*INDEX(Hours!F:F,MATCH(C441,Hours!$A:$A,0)))</f>
        <v>0</v>
      </c>
      <c r="S441" s="19">
        <f t="shared" si="13"/>
        <v>0</v>
      </c>
    </row>
    <row r="442" spans="1:19" x14ac:dyDescent="0.25">
      <c r="A442" s="15" t="str">
        <f>'Bldgs &amp; Rooms'!$A$13</f>
        <v>Main Bldg.</v>
      </c>
      <c r="B442" s="15">
        <f>'Bldgs &amp; Rooms'!$B$13</f>
        <v>0</v>
      </c>
      <c r="C442" s="14" t="str">
        <f>Hours!$A$35</f>
        <v>HVAC Equipment (Large)</v>
      </c>
      <c r="D442" s="15">
        <f t="shared" si="12"/>
        <v>0</v>
      </c>
      <c r="E442" s="16"/>
      <c r="F442" s="17"/>
      <c r="G442" s="17"/>
      <c r="H442" s="17"/>
      <c r="I442" s="17"/>
      <c r="J442" s="17"/>
      <c r="K442" s="12"/>
      <c r="L442" s="12"/>
      <c r="M442" s="12"/>
      <c r="N442" s="12"/>
      <c r="O442" s="12"/>
      <c r="P442" s="12"/>
      <c r="Q442" s="17"/>
      <c r="R442" s="18">
        <f>IF(SUMPRODUCT((E442:Q442)*1)=0,0,E442*INDEX(Hours!M:M,MATCH(C442,Hours!$A:$A,0))+F442*INDEX(Hours!B:B,MATCH(C442,Hours!$A:$A,0))+G442*INDEX(Hours!C:C,MATCH(C442,Hours!$A:$A,0))+H442*INDEX(Hours!D:D,MATCH(C442,Hours!$A:$A,0))+I442*INDEX(Hours!E:E,MATCH(C442,Hours!$A:$A,0))+J442*INDEX(Hours!F:F,MATCH(C442,Hours!$A:$A,0)))</f>
        <v>0</v>
      </c>
      <c r="S442" s="19">
        <f t="shared" si="13"/>
        <v>0</v>
      </c>
    </row>
    <row r="443" spans="1:19" x14ac:dyDescent="0.25">
      <c r="A443" s="15" t="str">
        <f>'Bldgs &amp; Rooms'!$A$13</f>
        <v>Main Bldg.</v>
      </c>
      <c r="B443" s="15">
        <f>'Bldgs &amp; Rooms'!$B$13</f>
        <v>0</v>
      </c>
      <c r="C443" s="14" t="str">
        <f>Hours!$A$36</f>
        <v>HVAC Equipment (Small)</v>
      </c>
      <c r="D443" s="15">
        <f t="shared" si="12"/>
        <v>0</v>
      </c>
      <c r="E443" s="16"/>
      <c r="F443" s="17"/>
      <c r="G443" s="17"/>
      <c r="H443" s="17"/>
      <c r="I443" s="17"/>
      <c r="J443" s="17"/>
      <c r="K443" s="12"/>
      <c r="L443" s="12"/>
      <c r="M443" s="12"/>
      <c r="N443" s="12"/>
      <c r="O443" s="12"/>
      <c r="P443" s="12"/>
      <c r="Q443" s="17"/>
      <c r="R443" s="18">
        <f>IF(SUMPRODUCT((E443:Q443)*1)=0,0,E443*INDEX(Hours!M:M,MATCH(C443,Hours!$A:$A,0))+F443*INDEX(Hours!B:B,MATCH(C443,Hours!$A:$A,0))+G443*INDEX(Hours!C:C,MATCH(C443,Hours!$A:$A,0))+H443*INDEX(Hours!D:D,MATCH(C443,Hours!$A:$A,0))+I443*INDEX(Hours!E:E,MATCH(C443,Hours!$A:$A,0))+J443*INDEX(Hours!F:F,MATCH(C443,Hours!$A:$A,0)))</f>
        <v>0</v>
      </c>
      <c r="S443" s="19">
        <f t="shared" si="13"/>
        <v>0</v>
      </c>
    </row>
    <row r="444" spans="1:19" x14ac:dyDescent="0.25">
      <c r="A444" s="15" t="str">
        <f>'Bldgs &amp; Rooms'!$A$13</f>
        <v>Main Bldg.</v>
      </c>
      <c r="B444" s="15">
        <f>'Bldgs &amp; Rooms'!$B$13</f>
        <v>0</v>
      </c>
      <c r="C444" s="14" t="str">
        <f>Hours!$A$37</f>
        <v>Uninterruptible Power Supply (UPS) &lt; 50kVA</v>
      </c>
      <c r="D444" s="15">
        <f t="shared" si="12"/>
        <v>0</v>
      </c>
      <c r="E444" s="16"/>
      <c r="F444" s="17"/>
      <c r="G444" s="17"/>
      <c r="H444" s="17"/>
      <c r="I444" s="17"/>
      <c r="J444" s="17"/>
      <c r="K444" s="12"/>
      <c r="L444" s="12"/>
      <c r="M444" s="12"/>
      <c r="N444" s="12"/>
      <c r="O444" s="12"/>
      <c r="P444" s="12"/>
      <c r="Q444" s="17"/>
      <c r="R444" s="18">
        <f>IF(SUMPRODUCT((E444:Q444)*1)=0,0,E444*INDEX(Hours!M:M,MATCH(C444,Hours!$A:$A,0))+F444*INDEX(Hours!B:B,MATCH(C444,Hours!$A:$A,0))+G444*INDEX(Hours!C:C,MATCH(C444,Hours!$A:$A,0))+H444*INDEX(Hours!D:D,MATCH(C444,Hours!$A:$A,0))+I444*INDEX(Hours!E:E,MATCH(C444,Hours!$A:$A,0))+J444*INDEX(Hours!F:F,MATCH(C444,Hours!$A:$A,0)))</f>
        <v>0</v>
      </c>
      <c r="S444" s="19">
        <f t="shared" si="13"/>
        <v>0</v>
      </c>
    </row>
    <row r="445" spans="1:19" x14ac:dyDescent="0.25">
      <c r="A445" s="15" t="str">
        <f>'Bldgs &amp; Rooms'!$A$13</f>
        <v>Main Bldg.</v>
      </c>
      <c r="B445" s="15">
        <f>'Bldgs &amp; Rooms'!$B$13</f>
        <v>0</v>
      </c>
      <c r="C445" s="14" t="str">
        <f>Hours!$A$38</f>
        <v>Uninterruptible Power Supply (UPS) &gt; 50kVA</v>
      </c>
      <c r="D445" s="15">
        <f t="shared" si="12"/>
        <v>0</v>
      </c>
      <c r="E445" s="16"/>
      <c r="F445" s="17"/>
      <c r="G445" s="17"/>
      <c r="H445" s="17"/>
      <c r="I445" s="17"/>
      <c r="J445" s="17"/>
      <c r="K445" s="12"/>
      <c r="L445" s="12"/>
      <c r="M445" s="12"/>
      <c r="N445" s="12"/>
      <c r="O445" s="12"/>
      <c r="P445" s="12"/>
      <c r="Q445" s="17"/>
      <c r="R445" s="18">
        <f>IF(SUMPRODUCT((E445:Q445)*1)=0,0,E445*INDEX(Hours!M:M,MATCH(C445,Hours!$A:$A,0))+F445*INDEX(Hours!B:B,MATCH(C445,Hours!$A:$A,0))+G445*INDEX(Hours!C:C,MATCH(C445,Hours!$A:$A,0))+H445*INDEX(Hours!D:D,MATCH(C445,Hours!$A:$A,0))+I445*INDEX(Hours!E:E,MATCH(C445,Hours!$A:$A,0))+J445*INDEX(Hours!F:F,MATCH(C445,Hours!$A:$A,0)))</f>
        <v>0</v>
      </c>
      <c r="S445" s="19">
        <f t="shared" si="13"/>
        <v>0</v>
      </c>
    </row>
    <row r="446" spans="1:19" x14ac:dyDescent="0.25">
      <c r="A446" s="11" t="str">
        <f>'Bldgs &amp; Rooms'!$A$14</f>
        <v>Main Bldg.</v>
      </c>
      <c r="B446" s="11">
        <f>'Bldgs &amp; Rooms'!$B$14</f>
        <v>0</v>
      </c>
      <c r="C446" s="10" t="str">
        <f>Hours!$A$2</f>
        <v>Switchgear - Incoming Main Service (Per Section)</v>
      </c>
      <c r="D446" s="11">
        <f t="shared" si="12"/>
        <v>0</v>
      </c>
      <c r="E446" s="16"/>
      <c r="F446" s="17"/>
      <c r="G446" s="17"/>
      <c r="H446" s="17"/>
      <c r="I446" s="17"/>
      <c r="J446" s="17"/>
      <c r="K446" s="17"/>
      <c r="L446" s="17"/>
      <c r="M446" s="12"/>
      <c r="N446" s="12"/>
      <c r="O446" s="17"/>
      <c r="P446" s="12"/>
      <c r="Q446" s="17"/>
      <c r="R446" s="18">
        <f>IF(SUMPRODUCT((E446:Q446)*1)=0,0,E446*INDEX(Hours!M:M,MATCH(C446,Hours!$A:$A,0))+F446*INDEX(Hours!B:B,MATCH(C446,Hours!$A:$A,0))+G446*INDEX(Hours!C:C,MATCH(C446,Hours!$A:$A,0))+H446*INDEX(Hours!D:D,MATCH(C446,Hours!$A:$A,0))+I446*INDEX(Hours!E:E,MATCH(C446,Hours!$A:$A,0))+J446*INDEX(Hours!F:F,MATCH(C446,Hours!$A:$A,0))+K446*INDEX(Hours!G:G,MATCH(C446,Hours!$A:$A,0))+L446*INDEX(Hours!H:H,MATCH(C446,Hours!$A:$A,0))+O446*INDEX(Hours!K:K,MATCH(C446,Hours!$A:$A,0)))</f>
        <v>0</v>
      </c>
      <c r="S446" s="19">
        <f t="shared" si="13"/>
        <v>0</v>
      </c>
    </row>
    <row r="447" spans="1:19" x14ac:dyDescent="0.25">
      <c r="A447" s="11" t="str">
        <f>'Bldgs &amp; Rooms'!$A$14</f>
        <v>Main Bldg.</v>
      </c>
      <c r="B447" s="11">
        <f>'Bldgs &amp; Rooms'!$B$14</f>
        <v>0</v>
      </c>
      <c r="C447" s="10" t="str">
        <f>Hours!$A$3</f>
        <v xml:space="preserve">  Switchgear Insulated Case Breakers (Bus Mounted)</v>
      </c>
      <c r="D447" s="11">
        <f t="shared" si="12"/>
        <v>0</v>
      </c>
      <c r="E447" s="16"/>
      <c r="F447" s="17"/>
      <c r="G447" s="17"/>
      <c r="H447" s="17"/>
      <c r="I447" s="17"/>
      <c r="J447" s="17"/>
      <c r="K447" s="17"/>
      <c r="L447" s="12"/>
      <c r="M447" s="12"/>
      <c r="N447" s="12"/>
      <c r="O447" s="12"/>
      <c r="P447" s="12"/>
      <c r="Q447" s="17"/>
      <c r="R447" s="18">
        <f>IF(SUMPRODUCT((E447:Q447)*1)=0,0,E447*INDEX(Hours!M:M,MATCH(C447,Hours!$A:$A,0))+F447*INDEX(Hours!B:B,MATCH(C447,Hours!$A:$A,0))+G447*INDEX(Hours!C:C,MATCH(C447,Hours!$A:$A,0))+H447*INDEX(Hours!D:D,MATCH(C447,Hours!$A:$A,0))+I447*INDEX(Hours!E:E,MATCH(C447,Hours!$A:$A,0))+J447*INDEX(Hours!F:F,MATCH(C447,Hours!$A:$A,0))+K447*INDEX(Hours!G:G,MATCH(C447,Hours!$A:$A,0)))</f>
        <v>0</v>
      </c>
      <c r="S447" s="19">
        <f t="shared" si="13"/>
        <v>0</v>
      </c>
    </row>
    <row r="448" spans="1:19" x14ac:dyDescent="0.25">
      <c r="A448" s="11" t="str">
        <f>'Bldgs &amp; Rooms'!$A$14</f>
        <v>Main Bldg.</v>
      </c>
      <c r="B448" s="11">
        <f>'Bldgs &amp; Rooms'!$B$14</f>
        <v>0</v>
      </c>
      <c r="C448" s="10" t="str">
        <f>Hours!$A$4</f>
        <v xml:space="preserve">  SwitchGear Drawout Breakers</v>
      </c>
      <c r="D448" s="11">
        <f t="shared" si="12"/>
        <v>0</v>
      </c>
      <c r="E448" s="16"/>
      <c r="F448" s="17"/>
      <c r="G448" s="17"/>
      <c r="H448" s="17"/>
      <c r="I448" s="17"/>
      <c r="J448" s="17"/>
      <c r="K448" s="12"/>
      <c r="L448" s="17"/>
      <c r="M448" s="12"/>
      <c r="N448" s="12"/>
      <c r="O448" s="12"/>
      <c r="P448" s="12"/>
      <c r="Q448" s="17"/>
      <c r="R448" s="18">
        <f>IF(SUMPRODUCT((E448:Q448)*1)=0,0,E448*INDEX(Hours!M:M,MATCH(C448,Hours!$A:$A,0))+F448*INDEX(Hours!B:B,MATCH(C448,Hours!$A:$A,0))+G448*INDEX(Hours!C:C,MATCH(C448,Hours!$A:$A,0))+H448*INDEX(Hours!D:D,MATCH(C448,Hours!$A:$A,0))+I448*INDEX(Hours!E:E,MATCH(C448,Hours!$A:$A,0))+J448*INDEX(Hours!F:F,MATCH(C448,Hours!$A:$A,0))+L448*INDEX(Hours!H:H,MATCH(C448,Hours!$A:$A,0)))</f>
        <v>0</v>
      </c>
      <c r="S448" s="19">
        <f t="shared" si="13"/>
        <v>0</v>
      </c>
    </row>
    <row r="449" spans="1:19" x14ac:dyDescent="0.25">
      <c r="A449" s="11" t="str">
        <f>'Bldgs &amp; Rooms'!$A$14</f>
        <v>Main Bldg.</v>
      </c>
      <c r="B449" s="11">
        <f>'Bldgs &amp; Rooms'!$B$14</f>
        <v>0</v>
      </c>
      <c r="C449" s="10" t="str">
        <f>Hours!$A$5</f>
        <v>Distribution Switchboard Multi Cover (Per Section)</v>
      </c>
      <c r="D449" s="11">
        <f t="shared" si="12"/>
        <v>0</v>
      </c>
      <c r="E449" s="16"/>
      <c r="F449" s="17"/>
      <c r="G449" s="17"/>
      <c r="H449" s="17"/>
      <c r="I449" s="17"/>
      <c r="J449" s="17"/>
      <c r="K449" s="17"/>
      <c r="L449" s="12"/>
      <c r="M449" s="12"/>
      <c r="N449" s="12"/>
      <c r="O449" s="17"/>
      <c r="P449" s="12"/>
      <c r="Q449" s="17"/>
      <c r="R449" s="18">
        <f>IF(SUMPRODUCT((E449:Q449)*1)=0,0,E449*INDEX(Hours!M:M,MATCH(C449,Hours!$A:$A,0))+F449*INDEX(Hours!B:B,MATCH(C449,Hours!$A:$A,0))+G449*INDEX(Hours!C:C,MATCH(C449,Hours!$A:$A,0))+H449*INDEX(Hours!D:D,MATCH(C449,Hours!$A:$A,0))+I449*INDEX(Hours!E:E,MATCH(C449,Hours!$A:$A,0))+J449*INDEX(Hours!F:F,MATCH(C449,Hours!$A:$A,0))+K449*INDEX(Hours!G:G,MATCH(C449,Hours!$A:$A,0))+O449*INDEX(Hours!K:K,MATCH(C449,Hours!$A:$A,0)))</f>
        <v>0</v>
      </c>
      <c r="S449" s="19">
        <f t="shared" si="13"/>
        <v>0</v>
      </c>
    </row>
    <row r="450" spans="1:19" x14ac:dyDescent="0.25">
      <c r="A450" s="11" t="str">
        <f>'Bldgs &amp; Rooms'!$A$14</f>
        <v>Main Bldg.</v>
      </c>
      <c r="B450" s="11">
        <f>'Bldgs &amp; Rooms'!$B$14</f>
        <v>0</v>
      </c>
      <c r="C450" s="10" t="str">
        <f>Hours!$A$6</f>
        <v xml:space="preserve">  Switchboard Disconnects</v>
      </c>
      <c r="D450" s="11">
        <f t="shared" ref="D450:D513" si="14">MAX(E450+F450,G450,H450,I450,J450,K450,L450,M450,N450,O450,P450,Q450)</f>
        <v>0</v>
      </c>
      <c r="E450" s="16"/>
      <c r="F450" s="17"/>
      <c r="G450" s="17"/>
      <c r="H450" s="17"/>
      <c r="I450" s="17"/>
      <c r="J450" s="17"/>
      <c r="K450" s="12"/>
      <c r="L450" s="12"/>
      <c r="M450" s="12"/>
      <c r="N450" s="12"/>
      <c r="O450" s="12"/>
      <c r="P450" s="12"/>
      <c r="Q450" s="17"/>
      <c r="R450" s="18">
        <f>IF(SUMPRODUCT((E450:Q450)*1)=0,0,E450*INDEX(Hours!M:M,MATCH(C450,Hours!$A:$A,0))+F450*INDEX(Hours!B:B,MATCH(C450,Hours!$A:$A,0))+G450*INDEX(Hours!C:C,MATCH(C450,Hours!$A:$A,0))+H450*INDEX(Hours!D:D,MATCH(C450,Hours!$A:$A,0))+I450*INDEX(Hours!E:E,MATCH(C450,Hours!$A:$A,0))+J450*INDEX(Hours!F:F,MATCH(C450,Hours!$A:$A,0)))</f>
        <v>0</v>
      </c>
      <c r="S450" s="19">
        <f t="shared" ref="S450:S513" si="15">MAX(E450+F450,G450,H450,I450,J450,K450,L450,M450,N450,O450,P450,Q450)</f>
        <v>0</v>
      </c>
    </row>
    <row r="451" spans="1:19" x14ac:dyDescent="0.25">
      <c r="A451" s="11" t="str">
        <f>'Bldgs &amp; Rooms'!$A$14</f>
        <v>Main Bldg.</v>
      </c>
      <c r="B451" s="11">
        <f>'Bldgs &amp; Rooms'!$B$14</f>
        <v>0</v>
      </c>
      <c r="C451" s="10" t="str">
        <f>Hours!$A$7</f>
        <v xml:space="preserve">  Switchboard Molded Case Breakers</v>
      </c>
      <c r="D451" s="11">
        <f t="shared" si="14"/>
        <v>0</v>
      </c>
      <c r="E451" s="16"/>
      <c r="F451" s="17"/>
      <c r="G451" s="17"/>
      <c r="H451" s="17"/>
      <c r="I451" s="17"/>
      <c r="J451" s="17"/>
      <c r="K451" s="17"/>
      <c r="L451" s="12"/>
      <c r="M451" s="12"/>
      <c r="N451" s="12"/>
      <c r="O451" s="12"/>
      <c r="P451" s="12"/>
      <c r="Q451" s="17"/>
      <c r="R451" s="18">
        <f>IF(SUMPRODUCT((E451:Q451)*1)=0,0,E451*INDEX(Hours!M:M,MATCH(C451,Hours!$A:$A,0))+F451*INDEX(Hours!B:B,MATCH(C451,Hours!$A:$A,0))+G451*INDEX(Hours!C:C,MATCH(C451,Hours!$A:$A,0))+H451*INDEX(Hours!D:D,MATCH(C451,Hours!$A:$A,0))+I451*INDEX(Hours!E:E,MATCH(C451,Hours!$A:$A,0))+J451*INDEX(Hours!F:F,MATCH(C451,Hours!$A:$A,0))+K451*INDEX(Hours!G:G,MATCH(C451,Hours!$A:$A,0)))</f>
        <v>0</v>
      </c>
      <c r="S451" s="19">
        <f t="shared" si="15"/>
        <v>0</v>
      </c>
    </row>
    <row r="452" spans="1:19" x14ac:dyDescent="0.25">
      <c r="A452" s="11" t="str">
        <f>'Bldgs &amp; Rooms'!$A$14</f>
        <v>Main Bldg.</v>
      </c>
      <c r="B452" s="11">
        <f>'Bldgs &amp; Rooms'!$B$14</f>
        <v>0</v>
      </c>
      <c r="C452" s="10" t="str">
        <f>Hours!$A$8</f>
        <v>Panelboard-Single Cover &gt; 400A (Distribution Panel)</v>
      </c>
      <c r="D452" s="11">
        <f t="shared" si="14"/>
        <v>0</v>
      </c>
      <c r="E452" s="16"/>
      <c r="F452" s="17"/>
      <c r="G452" s="17"/>
      <c r="H452" s="17"/>
      <c r="I452" s="17"/>
      <c r="J452" s="17"/>
      <c r="K452" s="17"/>
      <c r="L452" s="12"/>
      <c r="M452" s="12"/>
      <c r="N452" s="12"/>
      <c r="O452" s="17"/>
      <c r="P452" s="12"/>
      <c r="Q452" s="17"/>
      <c r="R452" s="18">
        <f>IF(SUMPRODUCT((E452:Q452)*1)=0,0,E452*INDEX(Hours!M:M,MATCH(C452,Hours!$A:$A,0))+F452*INDEX(Hours!B:B,MATCH(C452,Hours!$A:$A,0))+G452*INDEX(Hours!C:C,MATCH(C452,Hours!$A:$A,0))+H452*INDEX(Hours!D:D,MATCH(C452,Hours!$A:$A,0))+I452*INDEX(Hours!E:E,MATCH(C452,Hours!$A:$A,0))+J452*INDEX(Hours!F:F,MATCH(C452,Hours!$A:$A,0))+K452*INDEX(Hours!G:G,MATCH(C452,Hours!$A:$A,0))+O452*INDEX(Hours!K:K,MATCH(C452,Hours!$A:$A,0)))</f>
        <v>0</v>
      </c>
      <c r="S452" s="19">
        <f t="shared" si="15"/>
        <v>0</v>
      </c>
    </row>
    <row r="453" spans="1:19" x14ac:dyDescent="0.25">
      <c r="A453" s="11" t="str">
        <f>'Bldgs &amp; Rooms'!$A$14</f>
        <v>Main Bldg.</v>
      </c>
      <c r="B453" s="11">
        <f>'Bldgs &amp; Rooms'!$B$14</f>
        <v>0</v>
      </c>
      <c r="C453" s="10" t="str">
        <f>Hours!$A$9</f>
        <v>Panelboard-Single Cover &lt; 400A (Branch Ckt Panel)</v>
      </c>
      <c r="D453" s="11">
        <f t="shared" si="14"/>
        <v>0</v>
      </c>
      <c r="E453" s="16"/>
      <c r="F453" s="17"/>
      <c r="G453" s="17"/>
      <c r="H453" s="17"/>
      <c r="I453" s="17"/>
      <c r="J453" s="17"/>
      <c r="K453" s="12"/>
      <c r="L453" s="12"/>
      <c r="M453" s="12"/>
      <c r="N453" s="12"/>
      <c r="O453" s="17"/>
      <c r="P453" s="12"/>
      <c r="Q453" s="17"/>
      <c r="R453" s="18">
        <f>IF(SUMPRODUCT((E453:Q453)*1)=0,0,E453*INDEX(Hours!M:M,MATCH(C453,Hours!$A:$A,0))+F453*INDEX(Hours!B:B,MATCH(C453,Hours!$A:$A,0))+G453*INDEX(Hours!C:C,MATCH(C453,Hours!$A:$A,0))+H453*INDEX(Hours!D:D,MATCH(C453,Hours!$A:$A,0))+I453*INDEX(Hours!E:E,MATCH(C453,Hours!$A:$A,0))+J453*INDEX(Hours!F:F,MATCH(C453,Hours!$A:$A,0))+O453*INDEX(Hours!K:K,MATCH(C453,Hours!$A:$A,0)))</f>
        <v>0</v>
      </c>
      <c r="S453" s="19">
        <f t="shared" si="15"/>
        <v>0</v>
      </c>
    </row>
    <row r="454" spans="1:19" x14ac:dyDescent="0.25">
      <c r="A454" s="11" t="str">
        <f>'Bldgs &amp; Rooms'!$A$14</f>
        <v>Main Bldg.</v>
      </c>
      <c r="B454" s="11">
        <f>'Bldgs &amp; Rooms'!$B$14</f>
        <v>0</v>
      </c>
      <c r="C454" s="10" t="str">
        <f>Hours!$A$10</f>
        <v>Motor Control Center (MCC-Per Vertical Section)</v>
      </c>
      <c r="D454" s="11">
        <f t="shared" si="14"/>
        <v>0</v>
      </c>
      <c r="E454" s="16"/>
      <c r="F454" s="17"/>
      <c r="G454" s="17"/>
      <c r="H454" s="17"/>
      <c r="I454" s="17"/>
      <c r="J454" s="17"/>
      <c r="K454" s="12"/>
      <c r="L454" s="12"/>
      <c r="M454" s="12"/>
      <c r="N454" s="12"/>
      <c r="O454" s="17"/>
      <c r="P454" s="12"/>
      <c r="Q454" s="17"/>
      <c r="R454" s="18">
        <f>IF(SUMPRODUCT((E454:Q454)*1)=0,0,E454*INDEX(Hours!M:M,MATCH(C454,Hours!$A:$A,0))+F454*INDEX(Hours!B:B,MATCH(C454,Hours!$A:$A,0))+G454*INDEX(Hours!C:C,MATCH(C454,Hours!$A:$A,0))+H454*INDEX(Hours!D:D,MATCH(C454,Hours!$A:$A,0))+I454*INDEX(Hours!E:E,MATCH(C454,Hours!$A:$A,0))+J454*INDEX(Hours!F:F,MATCH(C454,Hours!$A:$A,0))+O454*INDEX(Hours!K:K,MATCH(C454,Hours!$A:$A,0)))</f>
        <v>0</v>
      </c>
      <c r="S454" s="19">
        <f t="shared" si="15"/>
        <v>0</v>
      </c>
    </row>
    <row r="455" spans="1:19" x14ac:dyDescent="0.25">
      <c r="A455" s="11" t="str">
        <f>'Bldgs &amp; Rooms'!$A$14</f>
        <v>Main Bldg.</v>
      </c>
      <c r="B455" s="11">
        <f>'Bldgs &amp; Rooms'!$B$14</f>
        <v>0</v>
      </c>
      <c r="C455" s="10" t="str">
        <f>Hours!$A$11</f>
        <v xml:space="preserve">  MCC: Combination Motor Starters</v>
      </c>
      <c r="D455" s="11">
        <f t="shared" si="14"/>
        <v>0</v>
      </c>
      <c r="E455" s="16"/>
      <c r="F455" s="17"/>
      <c r="G455" s="17"/>
      <c r="H455" s="17"/>
      <c r="I455" s="17"/>
      <c r="J455" s="17"/>
      <c r="K455" s="17"/>
      <c r="L455" s="12"/>
      <c r="M455" s="12"/>
      <c r="N455" s="12"/>
      <c r="O455" s="17"/>
      <c r="P455" s="12"/>
      <c r="Q455" s="17"/>
      <c r="R455" s="18">
        <f>IF(SUMPRODUCT((E455:Q455)*1)=0,0,E455*INDEX(Hours!M:M,MATCH(C455,Hours!$A:$A,0))+F455*INDEX(Hours!B:B,MATCH(C455,Hours!$A:$A,0))+G455*INDEX(Hours!C:C,MATCH(C455,Hours!$A:$A,0))+H455*INDEX(Hours!D:D,MATCH(C455,Hours!$A:$A,0))+I455*INDEX(Hours!E:E,MATCH(C455,Hours!$A:$A,0))+J455*INDEX(Hours!F:F,MATCH(C455,Hours!$A:$A,0))+K455*INDEX(Hours!G:G,MATCH(C455,Hours!$A:$A,0))+O455*INDEX(Hours!K:K,MATCH(C455,Hours!$A:$A,0)))</f>
        <v>0</v>
      </c>
      <c r="S455" s="19">
        <f t="shared" si="15"/>
        <v>0</v>
      </c>
    </row>
    <row r="456" spans="1:19" x14ac:dyDescent="0.25">
      <c r="A456" s="11" t="str">
        <f>'Bldgs &amp; Rooms'!$A$14</f>
        <v>Main Bldg.</v>
      </c>
      <c r="B456" s="11">
        <f>'Bldgs &amp; Rooms'!$B$14</f>
        <v>0</v>
      </c>
      <c r="C456" s="10" t="str">
        <f>Hours!$A$12</f>
        <v xml:space="preserve">  MCC: Molded Case Breaker</v>
      </c>
      <c r="D456" s="11">
        <f t="shared" si="14"/>
        <v>0</v>
      </c>
      <c r="E456" s="16"/>
      <c r="F456" s="17"/>
      <c r="G456" s="17"/>
      <c r="H456" s="17"/>
      <c r="I456" s="17"/>
      <c r="J456" s="17"/>
      <c r="K456" s="17"/>
      <c r="L456" s="12"/>
      <c r="M456" s="12"/>
      <c r="N456" s="12"/>
      <c r="O456" s="12"/>
      <c r="P456" s="12"/>
      <c r="Q456" s="17"/>
      <c r="R456" s="18">
        <f>IF(SUMPRODUCT((E456:Q456)*1)=0,0,E456*INDEX(Hours!M:M,MATCH(C456,Hours!$A:$A,0))+F456*INDEX(Hours!B:B,MATCH(C456,Hours!$A:$A,0))+G456*INDEX(Hours!C:C,MATCH(C456,Hours!$A:$A,0))+H456*INDEX(Hours!D:D,MATCH(C456,Hours!$A:$A,0))+I456*INDEX(Hours!E:E,MATCH(C456,Hours!$A:$A,0))+J456*INDEX(Hours!F:F,MATCH(C456,Hours!$A:$A,0))+K456*INDEX(Hours!G:G,MATCH(C456,Hours!$A:$A,0)))</f>
        <v>0</v>
      </c>
      <c r="S456" s="19">
        <f t="shared" si="15"/>
        <v>0</v>
      </c>
    </row>
    <row r="457" spans="1:19" x14ac:dyDescent="0.25">
      <c r="A457" s="11" t="str">
        <f>'Bldgs &amp; Rooms'!$A$14</f>
        <v>Main Bldg.</v>
      </c>
      <c r="B457" s="11">
        <f>'Bldgs &amp; Rooms'!$B$14</f>
        <v>0</v>
      </c>
      <c r="C457" s="10" t="str">
        <f>Hours!$A$13</f>
        <v xml:space="preserve">  MCC: Individual Disconnect Switch</v>
      </c>
      <c r="D457" s="11">
        <f t="shared" si="14"/>
        <v>0</v>
      </c>
      <c r="E457" s="16"/>
      <c r="F457" s="17"/>
      <c r="G457" s="17"/>
      <c r="H457" s="17"/>
      <c r="I457" s="17"/>
      <c r="J457" s="17"/>
      <c r="K457" s="12"/>
      <c r="L457" s="12"/>
      <c r="M457" s="12"/>
      <c r="N457" s="12"/>
      <c r="O457" s="12"/>
      <c r="P457" s="12"/>
      <c r="Q457" s="17"/>
      <c r="R457" s="18">
        <f>IF(SUMPRODUCT((E457:Q457)*1)=0,0,E457*INDEX(Hours!M:M,MATCH(C457,Hours!$A:$A,0))+F457*INDEX(Hours!B:B,MATCH(C457,Hours!$A:$A,0))+G457*INDEX(Hours!C:C,MATCH(C457,Hours!$A:$A,0))+H457*INDEX(Hours!D:D,MATCH(C457,Hours!$A:$A,0))+I457*INDEX(Hours!E:E,MATCH(C457,Hours!$A:$A,0))+J457*INDEX(Hours!F:F,MATCH(C457,Hours!$A:$A,0)))</f>
        <v>0</v>
      </c>
      <c r="S457" s="19">
        <f t="shared" si="15"/>
        <v>0</v>
      </c>
    </row>
    <row r="458" spans="1:19" x14ac:dyDescent="0.25">
      <c r="A458" s="11" t="str">
        <f>'Bldgs &amp; Rooms'!$A$14</f>
        <v>Main Bldg.</v>
      </c>
      <c r="B458" s="11">
        <f>'Bldgs &amp; Rooms'!$B$14</f>
        <v>0</v>
      </c>
      <c r="C458" s="10" t="str">
        <f>Hours!$A$14</f>
        <v>Motor Control Panel (MCP)</v>
      </c>
      <c r="D458" s="11">
        <f t="shared" si="14"/>
        <v>0</v>
      </c>
      <c r="E458" s="16"/>
      <c r="F458" s="17"/>
      <c r="G458" s="17"/>
      <c r="H458" s="17"/>
      <c r="I458" s="17"/>
      <c r="J458" s="17"/>
      <c r="K458" s="12"/>
      <c r="L458" s="12"/>
      <c r="M458" s="12"/>
      <c r="N458" s="12"/>
      <c r="O458" s="17"/>
      <c r="P458" s="12"/>
      <c r="Q458" s="17"/>
      <c r="R458" s="18">
        <f>IF(SUMPRODUCT((E458:Q458)*1)=0,0,E458*INDEX(Hours!M:M,MATCH(C458,Hours!$A:$A,0))+F458*INDEX(Hours!B:B,MATCH(C458,Hours!$A:$A,0))+G458*INDEX(Hours!C:C,MATCH(C458,Hours!$A:$A,0))+H458*INDEX(Hours!D:D,MATCH(C458,Hours!$A:$A,0))+I458*INDEX(Hours!E:E,MATCH(C458,Hours!$A:$A,0))+J458*INDEX(Hours!F:F,MATCH(C458,Hours!$A:$A,0))+O458*INDEX(Hours!K:K,MATCH(C458,Hours!$A:$A,0)))</f>
        <v>0</v>
      </c>
      <c r="S458" s="19">
        <f t="shared" si="15"/>
        <v>0</v>
      </c>
    </row>
    <row r="459" spans="1:19" x14ac:dyDescent="0.25">
      <c r="A459" s="11" t="str">
        <f>'Bldgs &amp; Rooms'!$A$14</f>
        <v>Main Bldg.</v>
      </c>
      <c r="B459" s="11">
        <f>'Bldgs &amp; Rooms'!$B$14</f>
        <v>0</v>
      </c>
      <c r="C459" s="10" t="str">
        <f>Hours!$A$15</f>
        <v>VFD Motor Control Panel (VFD-MCP)</v>
      </c>
      <c r="D459" s="11">
        <f t="shared" si="14"/>
        <v>0</v>
      </c>
      <c r="E459" s="16"/>
      <c r="F459" s="17"/>
      <c r="G459" s="17"/>
      <c r="H459" s="17"/>
      <c r="I459" s="17"/>
      <c r="J459" s="17"/>
      <c r="K459" s="12"/>
      <c r="L459" s="12"/>
      <c r="M459" s="12"/>
      <c r="N459" s="12"/>
      <c r="O459" s="17"/>
      <c r="P459" s="12"/>
      <c r="Q459" s="17"/>
      <c r="R459" s="18">
        <f>IF(SUMPRODUCT((E459:Q459)*1)=0,0,E459*INDEX(Hours!M:M,MATCH(C459,Hours!$A:$A,0))+F459*INDEX(Hours!B:B,MATCH(C459,Hours!$A:$A,0))+G459*INDEX(Hours!C:C,MATCH(C459,Hours!$A:$A,0))+H459*INDEX(Hours!D:D,MATCH(C459,Hours!$A:$A,0))+I459*INDEX(Hours!E:E,MATCH(C459,Hours!$A:$A,0))+J459*INDEX(Hours!F:F,MATCH(C459,Hours!$A:$A,0))+O459*INDEX(Hours!K:K,MATCH(C459,Hours!$A:$A,0)))</f>
        <v>0</v>
      </c>
      <c r="S459" s="19">
        <f t="shared" si="15"/>
        <v>0</v>
      </c>
    </row>
    <row r="460" spans="1:19" x14ac:dyDescent="0.25">
      <c r="A460" s="11" t="str">
        <f>'Bldgs &amp; Rooms'!$A$14</f>
        <v>Main Bldg.</v>
      </c>
      <c r="B460" s="11">
        <f>'Bldgs &amp; Rooms'!$B$14</f>
        <v>0</v>
      </c>
      <c r="C460" s="10" t="str">
        <f>Hours!$A$16</f>
        <v>Individual Disconnect Switch &gt; 100A</v>
      </c>
      <c r="D460" s="11">
        <f t="shared" si="14"/>
        <v>0</v>
      </c>
      <c r="E460" s="16"/>
      <c r="F460" s="17"/>
      <c r="G460" s="17"/>
      <c r="H460" s="17"/>
      <c r="I460" s="17"/>
      <c r="J460" s="17"/>
      <c r="K460" s="17"/>
      <c r="L460" s="12"/>
      <c r="M460" s="12"/>
      <c r="N460" s="12"/>
      <c r="O460" s="12"/>
      <c r="P460" s="12"/>
      <c r="Q460" s="17"/>
      <c r="R460" s="18">
        <f>IF(SUMPRODUCT((E460:Q460)*1)=0,0,E460*INDEX(Hours!M:M,MATCH(C460,Hours!$A:$A,0))+F460*INDEX(Hours!B:B,MATCH(C460,Hours!$A:$A,0))+G460*INDEX(Hours!C:C,MATCH(C460,Hours!$A:$A,0))+H460*INDEX(Hours!D:D,MATCH(C460,Hours!$A:$A,0))+I460*INDEX(Hours!E:E,MATCH(C460,Hours!$A:$A,0))+J460*INDEX(Hours!F:F,MATCH(C460,Hours!$A:$A,0))+K460*INDEX(Hours!G:G,MATCH(C460,Hours!$A:$A,0)))</f>
        <v>0</v>
      </c>
      <c r="S460" s="19">
        <f t="shared" si="15"/>
        <v>0</v>
      </c>
    </row>
    <row r="461" spans="1:19" x14ac:dyDescent="0.25">
      <c r="A461" s="11" t="str">
        <f>'Bldgs &amp; Rooms'!$A$14</f>
        <v>Main Bldg.</v>
      </c>
      <c r="B461" s="11">
        <f>'Bldgs &amp; Rooms'!$B$14</f>
        <v>0</v>
      </c>
      <c r="C461" s="10" t="str">
        <f>Hours!$A$17</f>
        <v>Individual Molded Case Breaker &gt; 100A</v>
      </c>
      <c r="D461" s="11">
        <f t="shared" si="14"/>
        <v>0</v>
      </c>
      <c r="E461" s="16"/>
      <c r="F461" s="17"/>
      <c r="G461" s="17"/>
      <c r="H461" s="17"/>
      <c r="I461" s="17"/>
      <c r="J461" s="17"/>
      <c r="K461" s="17"/>
      <c r="L461" s="12"/>
      <c r="M461" s="12"/>
      <c r="N461" s="12"/>
      <c r="O461" s="12"/>
      <c r="P461" s="12"/>
      <c r="Q461" s="17"/>
      <c r="R461" s="18">
        <f>IF(SUMPRODUCT((E461:Q461)*1)=0,0,E461*INDEX(Hours!M:M,MATCH(C461,Hours!$A:$A,0))+F461*INDEX(Hours!B:B,MATCH(C461,Hours!$A:$A,0))+G461*INDEX(Hours!C:C,MATCH(C461,Hours!$A:$A,0))+H461*INDEX(Hours!D:D,MATCH(C461,Hours!$A:$A,0))+I461*INDEX(Hours!E:E,MATCH(C461,Hours!$A:$A,0))+J461*INDEX(Hours!F:F,MATCH(C461,Hours!$A:$A,0))+K461*INDEX(Hours!G:G,MATCH(C461,Hours!$A:$A,0)))</f>
        <v>0</v>
      </c>
      <c r="S461" s="19">
        <f t="shared" si="15"/>
        <v>0</v>
      </c>
    </row>
    <row r="462" spans="1:19" x14ac:dyDescent="0.25">
      <c r="A462" s="11" t="str">
        <f>'Bldgs &amp; Rooms'!$A$14</f>
        <v>Main Bldg.</v>
      </c>
      <c r="B462" s="11">
        <f>'Bldgs &amp; Rooms'!$B$14</f>
        <v>0</v>
      </c>
      <c r="C462" s="10" t="str">
        <f>Hours!$A$18</f>
        <v>Individual Combination Motor Starter &gt; 100A</v>
      </c>
      <c r="D462" s="11">
        <f t="shared" si="14"/>
        <v>0</v>
      </c>
      <c r="E462" s="16"/>
      <c r="F462" s="17"/>
      <c r="G462" s="17"/>
      <c r="H462" s="17"/>
      <c r="I462" s="17"/>
      <c r="J462" s="17"/>
      <c r="K462" s="17"/>
      <c r="L462" s="12"/>
      <c r="M462" s="12"/>
      <c r="N462" s="12"/>
      <c r="O462" s="12"/>
      <c r="P462" s="12"/>
      <c r="Q462" s="17"/>
      <c r="R462" s="18">
        <f>IF(SUMPRODUCT((E462:Q462)*1)=0,0,E462*INDEX(Hours!M:M,MATCH(C462,Hours!$A:$A,0))+F462*INDEX(Hours!B:B,MATCH(C462,Hours!$A:$A,0))+G462*INDEX(Hours!C:C,MATCH(C462,Hours!$A:$A,0))+H462*INDEX(Hours!D:D,MATCH(C462,Hours!$A:$A,0))+I462*INDEX(Hours!E:E,MATCH(C462,Hours!$A:$A,0))+J462*INDEX(Hours!F:F,MATCH(C462,Hours!$A:$A,0))+K462*INDEX(Hours!G:G,MATCH(C462,Hours!$A:$A,0)))</f>
        <v>0</v>
      </c>
      <c r="S462" s="19">
        <f t="shared" si="15"/>
        <v>0</v>
      </c>
    </row>
    <row r="463" spans="1:19" x14ac:dyDescent="0.25">
      <c r="A463" s="11" t="str">
        <f>'Bldgs &amp; Rooms'!$A$14</f>
        <v>Main Bldg.</v>
      </c>
      <c r="B463" s="11">
        <f>'Bldgs &amp; Rooms'!$B$14</f>
        <v>0</v>
      </c>
      <c r="C463" s="10" t="str">
        <f>Hours!$A$19</f>
        <v>Oil Filled Transformer - 5kV-15kV Primary - Any Size (Pad Mounted)</v>
      </c>
      <c r="D463" s="11">
        <f t="shared" si="14"/>
        <v>0</v>
      </c>
      <c r="E463" s="16"/>
      <c r="F463" s="17"/>
      <c r="G463" s="17"/>
      <c r="H463" s="17"/>
      <c r="I463" s="17"/>
      <c r="J463" s="17"/>
      <c r="K463" s="12"/>
      <c r="L463" s="12"/>
      <c r="M463" s="17"/>
      <c r="N463" s="17"/>
      <c r="O463" s="12"/>
      <c r="P463" s="17"/>
      <c r="Q463" s="17"/>
      <c r="R463" s="18">
        <f>IF(SUMPRODUCT((E463:Q463)*1)=0,0,E463*INDEX(Hours!M:M,MATCH(C463,Hours!$A:$A,0))+F463*INDEX(Hours!B:B,MATCH(C463,Hours!$A:$A,0))+G463*INDEX(Hours!C:C,MATCH(C463,Hours!$A:$A,0))+H463*INDEX(Hours!D:D,MATCH(C463,Hours!$A:$A,0))+I463*INDEX(Hours!E:E,MATCH(C463,Hours!$A:$A,0))+J463*INDEX(Hours!F:F,MATCH(C463,Hours!$A:$A,0))+M463*INDEX(Hours!I:I,MATCH(C463,Hours!$A:$A,0))+N463*INDEX(Hours!J:J,MATCH(C463,Hours!$A:$A,0))+P463*INDEX(Hours!L:L,MATCH(C463,Hours!$A:$A,0)))</f>
        <v>0</v>
      </c>
      <c r="S463" s="19">
        <f t="shared" si="15"/>
        <v>0</v>
      </c>
    </row>
    <row r="464" spans="1:19" x14ac:dyDescent="0.25">
      <c r="A464" s="11" t="str">
        <f>'Bldgs &amp; Rooms'!$A$14</f>
        <v>Main Bldg.</v>
      </c>
      <c r="B464" s="11">
        <f>'Bldgs &amp; Rooms'!$B$14</f>
        <v>0</v>
      </c>
      <c r="C464" s="10" t="str">
        <f>Hours!$A$20</f>
        <v>Oil Filled Transformer - &gt; 15kV Primary (Substation Class)</v>
      </c>
      <c r="D464" s="11">
        <f t="shared" si="14"/>
        <v>0</v>
      </c>
      <c r="E464" s="16"/>
      <c r="F464" s="17"/>
      <c r="G464" s="17"/>
      <c r="H464" s="17"/>
      <c r="I464" s="17"/>
      <c r="J464" s="17"/>
      <c r="K464" s="12"/>
      <c r="L464" s="12"/>
      <c r="M464" s="17"/>
      <c r="N464" s="17"/>
      <c r="O464" s="12"/>
      <c r="P464" s="17"/>
      <c r="Q464" s="17"/>
      <c r="R464" s="18">
        <f>IF(SUMPRODUCT((E464:Q464)*1)=0,0,E464*INDEX(Hours!M:M,MATCH(C464,Hours!$A:$A,0))+F464*INDEX(Hours!B:B,MATCH(C464,Hours!$A:$A,0))+G464*INDEX(Hours!C:C,MATCH(C464,Hours!$A:$A,0))+H464*INDEX(Hours!D:D,MATCH(C464,Hours!$A:$A,0))+I464*INDEX(Hours!E:E,MATCH(C464,Hours!$A:$A,0))+J464*INDEX(Hours!F:F,MATCH(C464,Hours!$A:$A,0))+M464*INDEX(Hours!I:I,MATCH(C464,Hours!$A:$A,0))+N464*INDEX(Hours!J:J,MATCH(C464,Hours!$A:$A,0))+P464*INDEX(Hours!L:L,MATCH(C464,Hours!$A:$A,0)))</f>
        <v>0</v>
      </c>
      <c r="S464" s="19">
        <f t="shared" si="15"/>
        <v>0</v>
      </c>
    </row>
    <row r="465" spans="1:19" x14ac:dyDescent="0.25">
      <c r="A465" s="11" t="str">
        <f>'Bldgs &amp; Rooms'!$A$14</f>
        <v>Main Bldg.</v>
      </c>
      <c r="B465" s="11">
        <f>'Bldgs &amp; Rooms'!$B$14</f>
        <v>0</v>
      </c>
      <c r="C465" s="10" t="str">
        <f>Hours!$A$21</f>
        <v>Dry Type Transformer - &lt; 480V Primary - Any Size kVA</v>
      </c>
      <c r="D465" s="11">
        <f t="shared" si="14"/>
        <v>0</v>
      </c>
      <c r="E465" s="16"/>
      <c r="F465" s="17"/>
      <c r="G465" s="17"/>
      <c r="H465" s="17"/>
      <c r="I465" s="17"/>
      <c r="J465" s="17"/>
      <c r="K465" s="12"/>
      <c r="L465" s="12"/>
      <c r="M465" s="17"/>
      <c r="N465" s="17"/>
      <c r="O465" s="12"/>
      <c r="P465" s="12"/>
      <c r="Q465" s="17"/>
      <c r="R465" s="18">
        <f>IF(SUMPRODUCT((E465:Q465)*1)=0,0,E465*INDEX(Hours!M:M,MATCH(C465,Hours!$A:$A,0))+F465*INDEX(Hours!B:B,MATCH(C465,Hours!$A:$A,0))+G465*INDEX(Hours!C:C,MATCH(C465,Hours!$A:$A,0))+H465*INDEX(Hours!D:D,MATCH(C465,Hours!$A:$A,0))+I465*INDEX(Hours!E:E,MATCH(C465,Hours!$A:$A,0))+J465*INDEX(Hours!F:F,MATCH(C465,Hours!$A:$A,0))+M465*INDEX(Hours!I:I,MATCH(C465,Hours!$A:$A,0))+N465*INDEX(Hours!J:J,MATCH(C465,Hours!$A:$A,0)))</f>
        <v>0</v>
      </c>
      <c r="S465" s="19">
        <f t="shared" si="15"/>
        <v>0</v>
      </c>
    </row>
    <row r="466" spans="1:19" x14ac:dyDescent="0.25">
      <c r="A466" s="11" t="str">
        <f>'Bldgs &amp; Rooms'!$A$14</f>
        <v>Main Bldg.</v>
      </c>
      <c r="B466" s="11">
        <f>'Bldgs &amp; Rooms'!$B$14</f>
        <v>0</v>
      </c>
      <c r="C466" s="10" t="str">
        <f>Hours!$A$22</f>
        <v>Power Factor Correction Capacitors</v>
      </c>
      <c r="D466" s="11">
        <f t="shared" si="14"/>
        <v>0</v>
      </c>
      <c r="E466" s="16"/>
      <c r="F466" s="17"/>
      <c r="G466" s="17"/>
      <c r="H466" s="17"/>
      <c r="I466" s="17"/>
      <c r="J466" s="17"/>
      <c r="K466" s="12"/>
      <c r="L466" s="12"/>
      <c r="M466" s="12"/>
      <c r="N466" s="12"/>
      <c r="O466" s="12"/>
      <c r="P466" s="12"/>
      <c r="Q466" s="17"/>
      <c r="R466" s="18">
        <f>IF(SUMPRODUCT((E466:Q466)*1)=0,0,E466*INDEX(Hours!M:M,MATCH(C466,Hours!$A:$A,0))+F466*INDEX(Hours!B:B,MATCH(C466,Hours!$A:$A,0))+G466*INDEX(Hours!C:C,MATCH(C466,Hours!$A:$A,0))+H466*INDEX(Hours!D:D,MATCH(C466,Hours!$A:$A,0))+I466*INDEX(Hours!E:E,MATCH(C466,Hours!$A:$A,0))+J466*INDEX(Hours!F:F,MATCH(C466,Hours!$A:$A,0)))</f>
        <v>0</v>
      </c>
      <c r="S466" s="19">
        <f t="shared" si="15"/>
        <v>0</v>
      </c>
    </row>
    <row r="467" spans="1:19" x14ac:dyDescent="0.25">
      <c r="A467" s="11" t="str">
        <f>'Bldgs &amp; Rooms'!$A$14</f>
        <v>Main Bldg.</v>
      </c>
      <c r="B467" s="11">
        <f>'Bldgs &amp; Rooms'!$B$14</f>
        <v>0</v>
      </c>
      <c r="C467" s="10" t="str">
        <f>Hours!$A$23</f>
        <v>Lighting Contactor &gt; 100A</v>
      </c>
      <c r="D467" s="11">
        <f t="shared" si="14"/>
        <v>0</v>
      </c>
      <c r="E467" s="16"/>
      <c r="F467" s="17"/>
      <c r="G467" s="17"/>
      <c r="H467" s="17"/>
      <c r="I467" s="17"/>
      <c r="J467" s="17"/>
      <c r="K467" s="12"/>
      <c r="L467" s="12"/>
      <c r="M467" s="12"/>
      <c r="N467" s="12"/>
      <c r="O467" s="12"/>
      <c r="P467" s="12"/>
      <c r="Q467" s="17"/>
      <c r="R467" s="18">
        <f>IF(SUMPRODUCT((E467:Q467)*1)=0,0,E467*INDEX(Hours!M:M,MATCH(C467,Hours!$A:$A,0))+F467*INDEX(Hours!B:B,MATCH(C467,Hours!$A:$A,0))+G467*INDEX(Hours!C:C,MATCH(C467,Hours!$A:$A,0))+H467*INDEX(Hours!D:D,MATCH(C467,Hours!$A:$A,0))+I467*INDEX(Hours!E:E,MATCH(C467,Hours!$A:$A,0))+J467*INDEX(Hours!F:F,MATCH(C467,Hours!$A:$A,0)))</f>
        <v>0</v>
      </c>
      <c r="S467" s="19">
        <f t="shared" si="15"/>
        <v>0</v>
      </c>
    </row>
    <row r="468" spans="1:19" x14ac:dyDescent="0.25">
      <c r="A468" s="11" t="str">
        <f>'Bldgs &amp; Rooms'!$A$14</f>
        <v>Main Bldg.</v>
      </c>
      <c r="B468" s="11">
        <f>'Bldgs &amp; Rooms'!$B$14</f>
        <v>0</v>
      </c>
      <c r="C468" s="10" t="str">
        <f>Hours!$A$24</f>
        <v>Power Distribution Unit (PDU)</v>
      </c>
      <c r="D468" s="11">
        <f t="shared" si="14"/>
        <v>0</v>
      </c>
      <c r="E468" s="16"/>
      <c r="F468" s="17"/>
      <c r="G468" s="17"/>
      <c r="H468" s="17"/>
      <c r="I468" s="17"/>
      <c r="J468" s="17"/>
      <c r="K468" s="12"/>
      <c r="L468" s="12"/>
      <c r="M468" s="12"/>
      <c r="N468" s="12"/>
      <c r="O468" s="12"/>
      <c r="P468" s="12"/>
      <c r="Q468" s="17"/>
      <c r="R468" s="18">
        <f>IF(SUMPRODUCT((E468:Q468)*1)=0,0,E468*INDEX(Hours!M:M,MATCH(C468,Hours!$A:$A,0))+F468*INDEX(Hours!B:B,MATCH(C468,Hours!$A:$A,0))+G468*INDEX(Hours!C:C,MATCH(C468,Hours!$A:$A,0))+H468*INDEX(Hours!D:D,MATCH(C468,Hours!$A:$A,0))+I468*INDEX(Hours!E:E,MATCH(C468,Hours!$A:$A,0))+J468*INDEX(Hours!F:F,MATCH(C468,Hours!$A:$A,0)))</f>
        <v>0</v>
      </c>
      <c r="S468" s="19">
        <f t="shared" si="15"/>
        <v>0</v>
      </c>
    </row>
    <row r="469" spans="1:19" x14ac:dyDescent="0.25">
      <c r="A469" s="11" t="str">
        <f>'Bldgs &amp; Rooms'!$A$14</f>
        <v>Main Bldg.</v>
      </c>
      <c r="B469" s="11">
        <f>'Bldgs &amp; Rooms'!$B$14</f>
        <v>0</v>
      </c>
      <c r="C469" s="10" t="str">
        <f>Hours!$A$25</f>
        <v>Wire Trough, Gutter, or Large Junction Boxes</v>
      </c>
      <c r="D469" s="11">
        <f t="shared" si="14"/>
        <v>0</v>
      </c>
      <c r="E469" s="16"/>
      <c r="F469" s="17"/>
      <c r="G469" s="17"/>
      <c r="H469" s="17"/>
      <c r="I469" s="17"/>
      <c r="J469" s="17"/>
      <c r="K469" s="12"/>
      <c r="L469" s="12"/>
      <c r="M469" s="12"/>
      <c r="N469" s="12"/>
      <c r="O469" s="12"/>
      <c r="P469" s="12"/>
      <c r="Q469" s="17"/>
      <c r="R469" s="18">
        <f>IF(SUMPRODUCT((E469:Q469)*1)=0,0,E469*INDEX(Hours!M:M,MATCH(C469,Hours!$A:$A,0))+F469*INDEX(Hours!B:B,MATCH(C469,Hours!$A:$A,0))+G469*INDEX(Hours!C:C,MATCH(C469,Hours!$A:$A,0))+H469*INDEX(Hours!D:D,MATCH(C469,Hours!$A:$A,0))+I469*INDEX(Hours!E:E,MATCH(C469,Hours!$A:$A,0))+J469*INDEX(Hours!F:F,MATCH(C469,Hours!$A:$A,0)))</f>
        <v>0</v>
      </c>
      <c r="S469" s="19">
        <f t="shared" si="15"/>
        <v>0</v>
      </c>
    </row>
    <row r="470" spans="1:19" x14ac:dyDescent="0.25">
      <c r="A470" s="11" t="str">
        <f>'Bldgs &amp; Rooms'!$A$14</f>
        <v>Main Bldg.</v>
      </c>
      <c r="B470" s="11">
        <f>'Bldgs &amp; Rooms'!$B$14</f>
        <v>0</v>
      </c>
      <c r="C470" s="10" t="str">
        <f>Hours!$A$26</f>
        <v>Bus Duct - Vertical or Horizontal (Per 10' section)</v>
      </c>
      <c r="D470" s="11">
        <f t="shared" si="14"/>
        <v>0</v>
      </c>
      <c r="E470" s="16"/>
      <c r="F470" s="17"/>
      <c r="G470" s="17"/>
      <c r="H470" s="17"/>
      <c r="I470" s="17"/>
      <c r="J470" s="17"/>
      <c r="K470" s="12"/>
      <c r="L470" s="12"/>
      <c r="M470" s="12"/>
      <c r="N470" s="12"/>
      <c r="O470" s="12"/>
      <c r="P470" s="12"/>
      <c r="Q470" s="17"/>
      <c r="R470" s="18">
        <f>IF(SUMPRODUCT((E470:Q470)*1)=0,0,E470*INDEX(Hours!M:M,MATCH(C470,Hours!$A:$A,0))+F470*INDEX(Hours!B:B,MATCH(C470,Hours!$A:$A,0))+G470*INDEX(Hours!C:C,MATCH(C470,Hours!$A:$A,0))+H470*INDEX(Hours!D:D,MATCH(C470,Hours!$A:$A,0))+I470*INDEX(Hours!E:E,MATCH(C470,Hours!$A:$A,0))+J470*INDEX(Hours!F:F,MATCH(C470,Hours!$A:$A,0)))</f>
        <v>0</v>
      </c>
      <c r="S470" s="19">
        <f t="shared" si="15"/>
        <v>0</v>
      </c>
    </row>
    <row r="471" spans="1:19" x14ac:dyDescent="0.25">
      <c r="A471" s="11" t="str">
        <f>'Bldgs &amp; Rooms'!$A$14</f>
        <v>Main Bldg.</v>
      </c>
      <c r="B471" s="11">
        <f>'Bldgs &amp; Rooms'!$B$14</f>
        <v>0</v>
      </c>
      <c r="C471" s="10" t="str">
        <f>Hours!$A$27</f>
        <v>Automatic Transfer Switch (ATS) &gt; 100A</v>
      </c>
      <c r="D471" s="11">
        <f t="shared" si="14"/>
        <v>0</v>
      </c>
      <c r="E471" s="16"/>
      <c r="F471" s="17"/>
      <c r="G471" s="17"/>
      <c r="H471" s="17"/>
      <c r="I471" s="17"/>
      <c r="J471" s="17"/>
      <c r="K471" s="12"/>
      <c r="L471" s="12"/>
      <c r="M471" s="12"/>
      <c r="N471" s="12"/>
      <c r="O471" s="12"/>
      <c r="P471" s="12"/>
      <c r="Q471" s="17"/>
      <c r="R471" s="18">
        <f>IF(SUMPRODUCT((E471:Q471)*1)=0,0,E471*INDEX(Hours!M:M,MATCH(C471,Hours!$A:$A,0))+F471*INDEX(Hours!B:B,MATCH(C471,Hours!$A:$A,0))+G471*INDEX(Hours!C:C,MATCH(C471,Hours!$A:$A,0))+H471*INDEX(Hours!D:D,MATCH(C471,Hours!$A:$A,0))+I471*INDEX(Hours!E:E,MATCH(C471,Hours!$A:$A,0))+J471*INDEX(Hours!F:F,MATCH(C471,Hours!$A:$A,0)))</f>
        <v>0</v>
      </c>
      <c r="S471" s="19">
        <f t="shared" si="15"/>
        <v>0</v>
      </c>
    </row>
    <row r="472" spans="1:19" x14ac:dyDescent="0.25">
      <c r="A472" s="11" t="str">
        <f>'Bldgs &amp; Rooms'!$A$14</f>
        <v>Main Bldg.</v>
      </c>
      <c r="B472" s="11">
        <f>'Bldgs &amp; Rooms'!$B$14</f>
        <v>0</v>
      </c>
      <c r="C472" s="10" t="str">
        <f>Hours!$A$28</f>
        <v>Manual Transfer Switch (MTS) &gt; 100A</v>
      </c>
      <c r="D472" s="11">
        <f t="shared" si="14"/>
        <v>0</v>
      </c>
      <c r="E472" s="16"/>
      <c r="F472" s="17"/>
      <c r="G472" s="17"/>
      <c r="H472" s="17"/>
      <c r="I472" s="17"/>
      <c r="J472" s="17"/>
      <c r="K472" s="12"/>
      <c r="L472" s="12"/>
      <c r="M472" s="12"/>
      <c r="N472" s="12"/>
      <c r="O472" s="12"/>
      <c r="P472" s="12"/>
      <c r="Q472" s="17"/>
      <c r="R472" s="18">
        <f>IF(SUMPRODUCT((E472:Q472)*1)=0,0,E472*INDEX(Hours!M:M,MATCH(C472,Hours!$A:$A,0))+F472*INDEX(Hours!B:B,MATCH(C472,Hours!$A:$A,0))+G472*INDEX(Hours!C:C,MATCH(C472,Hours!$A:$A,0))+H472*INDEX(Hours!D:D,MATCH(C472,Hours!$A:$A,0))+I472*INDEX(Hours!E:E,MATCH(C472,Hours!$A:$A,0))+J472*INDEX(Hours!F:F,MATCH(C472,Hours!$A:$A,0)))</f>
        <v>0</v>
      </c>
      <c r="S472" s="19">
        <f t="shared" si="15"/>
        <v>0</v>
      </c>
    </row>
    <row r="473" spans="1:19" x14ac:dyDescent="0.25">
      <c r="A473" s="11" t="str">
        <f>'Bldgs &amp; Rooms'!$A$14</f>
        <v>Main Bldg.</v>
      </c>
      <c r="B473" s="11">
        <f>'Bldgs &amp; Rooms'!$B$14</f>
        <v>0</v>
      </c>
      <c r="C473" s="10" t="str">
        <f>Hours!$A$29</f>
        <v>Variable Frequency Drives (VFD) &lt; 50 HP</v>
      </c>
      <c r="D473" s="11">
        <f t="shared" si="14"/>
        <v>0</v>
      </c>
      <c r="E473" s="16"/>
      <c r="F473" s="17"/>
      <c r="G473" s="17"/>
      <c r="H473" s="17"/>
      <c r="I473" s="17"/>
      <c r="J473" s="17"/>
      <c r="K473" s="12"/>
      <c r="L473" s="12"/>
      <c r="M473" s="12"/>
      <c r="N473" s="12"/>
      <c r="O473" s="12"/>
      <c r="P473" s="12"/>
      <c r="Q473" s="17"/>
      <c r="R473" s="18">
        <f>IF(SUMPRODUCT((E473:Q473)*1)=0,0,E473*INDEX(Hours!M:M,MATCH(C473,Hours!$A:$A,0))+F473*INDEX(Hours!B:B,MATCH(C473,Hours!$A:$A,0))+G473*INDEX(Hours!C:C,MATCH(C473,Hours!$A:$A,0))+H473*INDEX(Hours!D:D,MATCH(C473,Hours!$A:$A,0))+I473*INDEX(Hours!E:E,MATCH(C473,Hours!$A:$A,0))+J473*INDEX(Hours!F:F,MATCH(C473,Hours!$A:$A,0)))</f>
        <v>0</v>
      </c>
      <c r="S473" s="19">
        <f t="shared" si="15"/>
        <v>0</v>
      </c>
    </row>
    <row r="474" spans="1:19" x14ac:dyDescent="0.25">
      <c r="A474" s="11" t="str">
        <f>'Bldgs &amp; Rooms'!$A$14</f>
        <v>Main Bldg.</v>
      </c>
      <c r="B474" s="11">
        <f>'Bldgs &amp; Rooms'!$B$14</f>
        <v>0</v>
      </c>
      <c r="C474" s="10" t="str">
        <f>Hours!$A$30</f>
        <v>Variable Frequency Drives (VFD) 51-200 HP</v>
      </c>
      <c r="D474" s="11">
        <f t="shared" si="14"/>
        <v>0</v>
      </c>
      <c r="E474" s="16"/>
      <c r="F474" s="17"/>
      <c r="G474" s="17"/>
      <c r="H474" s="17"/>
      <c r="I474" s="17"/>
      <c r="J474" s="17"/>
      <c r="K474" s="12"/>
      <c r="L474" s="12"/>
      <c r="M474" s="12"/>
      <c r="N474" s="12"/>
      <c r="O474" s="12"/>
      <c r="P474" s="12"/>
      <c r="Q474" s="17"/>
      <c r="R474" s="18">
        <f>IF(SUMPRODUCT((E474:Q474)*1)=0,0,E474*INDEX(Hours!M:M,MATCH(C474,Hours!$A:$A,0))+F474*INDEX(Hours!B:B,MATCH(C474,Hours!$A:$A,0))+G474*INDEX(Hours!C:C,MATCH(C474,Hours!$A:$A,0))+H474*INDEX(Hours!D:D,MATCH(C474,Hours!$A:$A,0))+I474*INDEX(Hours!E:E,MATCH(C474,Hours!$A:$A,0))+J474*INDEX(Hours!F:F,MATCH(C474,Hours!$A:$A,0)))</f>
        <v>0</v>
      </c>
      <c r="S474" s="19">
        <f t="shared" si="15"/>
        <v>0</v>
      </c>
    </row>
    <row r="475" spans="1:19" x14ac:dyDescent="0.25">
      <c r="A475" s="11" t="str">
        <f>'Bldgs &amp; Rooms'!$A$14</f>
        <v>Main Bldg.</v>
      </c>
      <c r="B475" s="11">
        <f>'Bldgs &amp; Rooms'!$B$14</f>
        <v>0</v>
      </c>
      <c r="C475" s="10" t="str">
        <f>Hours!$A$31</f>
        <v>Motors &lt; 50 HP</v>
      </c>
      <c r="D475" s="11">
        <f t="shared" si="14"/>
        <v>0</v>
      </c>
      <c r="E475" s="16"/>
      <c r="F475" s="17"/>
      <c r="G475" s="17"/>
      <c r="H475" s="17"/>
      <c r="I475" s="17"/>
      <c r="J475" s="17"/>
      <c r="K475" s="12"/>
      <c r="L475" s="12"/>
      <c r="M475" s="12"/>
      <c r="N475" s="12"/>
      <c r="O475" s="12"/>
      <c r="P475" s="12"/>
      <c r="Q475" s="17"/>
      <c r="R475" s="18">
        <f>IF(SUMPRODUCT((E475:Q475)*1)=0,0,E475*INDEX(Hours!M:M,MATCH(C475,Hours!$A:$A,0))+F475*INDEX(Hours!B:B,MATCH(C475,Hours!$A:$A,0))+G475*INDEX(Hours!C:C,MATCH(C475,Hours!$A:$A,0))+H475*INDEX(Hours!D:D,MATCH(C475,Hours!$A:$A,0))+I475*INDEX(Hours!E:E,MATCH(C475,Hours!$A:$A,0))+J475*INDEX(Hours!F:F,MATCH(C475,Hours!$A:$A,0)))</f>
        <v>0</v>
      </c>
      <c r="S475" s="19">
        <f t="shared" si="15"/>
        <v>0</v>
      </c>
    </row>
    <row r="476" spans="1:19" x14ac:dyDescent="0.25">
      <c r="A476" s="11" t="str">
        <f>'Bldgs &amp; Rooms'!$A$14</f>
        <v>Main Bldg.</v>
      </c>
      <c r="B476" s="11">
        <f>'Bldgs &amp; Rooms'!$B$14</f>
        <v>0</v>
      </c>
      <c r="C476" s="10" t="str">
        <f>Hours!$A$32</f>
        <v>Motors 51-200 HP</v>
      </c>
      <c r="D476" s="11">
        <f t="shared" si="14"/>
        <v>0</v>
      </c>
      <c r="E476" s="16"/>
      <c r="F476" s="17"/>
      <c r="G476" s="17"/>
      <c r="H476" s="17"/>
      <c r="I476" s="17"/>
      <c r="J476" s="17"/>
      <c r="K476" s="12"/>
      <c r="L476" s="12"/>
      <c r="M476" s="12"/>
      <c r="N476" s="12"/>
      <c r="O476" s="12"/>
      <c r="P476" s="12"/>
      <c r="Q476" s="17"/>
      <c r="R476" s="18">
        <f>IF(SUMPRODUCT((E476:Q476)*1)=0,0,E476*INDEX(Hours!M:M,MATCH(C476,Hours!$A:$A,0))+F476*INDEX(Hours!B:B,MATCH(C476,Hours!$A:$A,0))+G476*INDEX(Hours!C:C,MATCH(C476,Hours!$A:$A,0))+H476*INDEX(Hours!D:D,MATCH(C476,Hours!$A:$A,0))+I476*INDEX(Hours!E:E,MATCH(C476,Hours!$A:$A,0))+J476*INDEX(Hours!F:F,MATCH(C476,Hours!$A:$A,0)))</f>
        <v>0</v>
      </c>
      <c r="S476" s="19">
        <f t="shared" si="15"/>
        <v>0</v>
      </c>
    </row>
    <row r="477" spans="1:19" x14ac:dyDescent="0.25">
      <c r="A477" s="11" t="str">
        <f>'Bldgs &amp; Rooms'!$A$14</f>
        <v>Main Bldg.</v>
      </c>
      <c r="B477" s="11">
        <f>'Bldgs &amp; Rooms'!$B$14</f>
        <v>0</v>
      </c>
      <c r="C477" s="10" t="str">
        <f>Hours!$A$33</f>
        <v>Motors 201-500 HP</v>
      </c>
      <c r="D477" s="11">
        <f t="shared" si="14"/>
        <v>0</v>
      </c>
      <c r="E477" s="16"/>
      <c r="F477" s="17"/>
      <c r="G477" s="17"/>
      <c r="H477" s="17"/>
      <c r="I477" s="17"/>
      <c r="J477" s="17"/>
      <c r="K477" s="12"/>
      <c r="L477" s="12"/>
      <c r="M477" s="12"/>
      <c r="N477" s="12"/>
      <c r="O477" s="12"/>
      <c r="P477" s="12"/>
      <c r="Q477" s="17"/>
      <c r="R477" s="18">
        <f>IF(SUMPRODUCT((E477:Q477)*1)=0,0,E477*INDEX(Hours!M:M,MATCH(C477,Hours!$A:$A,0))+F477*INDEX(Hours!B:B,MATCH(C477,Hours!$A:$A,0))+G477*INDEX(Hours!C:C,MATCH(C477,Hours!$A:$A,0))+H477*INDEX(Hours!D:D,MATCH(C477,Hours!$A:$A,0))+I477*INDEX(Hours!E:E,MATCH(C477,Hours!$A:$A,0))+J477*INDEX(Hours!F:F,MATCH(C477,Hours!$A:$A,0)))</f>
        <v>0</v>
      </c>
      <c r="S477" s="19">
        <f t="shared" si="15"/>
        <v>0</v>
      </c>
    </row>
    <row r="478" spans="1:19" x14ac:dyDescent="0.25">
      <c r="A478" s="11" t="str">
        <f>'Bldgs &amp; Rooms'!$A$14</f>
        <v>Main Bldg.</v>
      </c>
      <c r="B478" s="11">
        <f>'Bldgs &amp; Rooms'!$B$14</f>
        <v>0</v>
      </c>
      <c r="C478" s="10" t="str">
        <f>Hours!$A$34</f>
        <v>Compressed Air Equipment</v>
      </c>
      <c r="D478" s="11">
        <f t="shared" si="14"/>
        <v>0</v>
      </c>
      <c r="E478" s="16"/>
      <c r="F478" s="17"/>
      <c r="G478" s="17"/>
      <c r="H478" s="17"/>
      <c r="I478" s="17"/>
      <c r="J478" s="17"/>
      <c r="K478" s="12"/>
      <c r="L478" s="12"/>
      <c r="M478" s="12"/>
      <c r="N478" s="12"/>
      <c r="O478" s="12"/>
      <c r="P478" s="12"/>
      <c r="Q478" s="17"/>
      <c r="R478" s="18">
        <f>IF(SUMPRODUCT((E478:Q478)*1)=0,0,E478*INDEX(Hours!M:M,MATCH(C478,Hours!$A:$A,0))+F478*INDEX(Hours!B:B,MATCH(C478,Hours!$A:$A,0))+G478*INDEX(Hours!C:C,MATCH(C478,Hours!$A:$A,0))+H478*INDEX(Hours!D:D,MATCH(C478,Hours!$A:$A,0))+I478*INDEX(Hours!E:E,MATCH(C478,Hours!$A:$A,0))+J478*INDEX(Hours!F:F,MATCH(C478,Hours!$A:$A,0)))</f>
        <v>0</v>
      </c>
      <c r="S478" s="19">
        <f t="shared" si="15"/>
        <v>0</v>
      </c>
    </row>
    <row r="479" spans="1:19" x14ac:dyDescent="0.25">
      <c r="A479" s="11" t="str">
        <f>'Bldgs &amp; Rooms'!$A$14</f>
        <v>Main Bldg.</v>
      </c>
      <c r="B479" s="11">
        <f>'Bldgs &amp; Rooms'!$B$14</f>
        <v>0</v>
      </c>
      <c r="C479" s="10" t="str">
        <f>Hours!$A$35</f>
        <v>HVAC Equipment (Large)</v>
      </c>
      <c r="D479" s="11">
        <f t="shared" si="14"/>
        <v>0</v>
      </c>
      <c r="E479" s="16"/>
      <c r="F479" s="17"/>
      <c r="G479" s="17"/>
      <c r="H479" s="17"/>
      <c r="I479" s="17"/>
      <c r="J479" s="17"/>
      <c r="K479" s="12"/>
      <c r="L479" s="12"/>
      <c r="M479" s="12"/>
      <c r="N479" s="12"/>
      <c r="O479" s="12"/>
      <c r="P479" s="12"/>
      <c r="Q479" s="17"/>
      <c r="R479" s="18">
        <f>IF(SUMPRODUCT((E479:Q479)*1)=0,0,E479*INDEX(Hours!M:M,MATCH(C479,Hours!$A:$A,0))+F479*INDEX(Hours!B:B,MATCH(C479,Hours!$A:$A,0))+G479*INDEX(Hours!C:C,MATCH(C479,Hours!$A:$A,0))+H479*INDEX(Hours!D:D,MATCH(C479,Hours!$A:$A,0))+I479*INDEX(Hours!E:E,MATCH(C479,Hours!$A:$A,0))+J479*INDEX(Hours!F:F,MATCH(C479,Hours!$A:$A,0)))</f>
        <v>0</v>
      </c>
      <c r="S479" s="19">
        <f t="shared" si="15"/>
        <v>0</v>
      </c>
    </row>
    <row r="480" spans="1:19" x14ac:dyDescent="0.25">
      <c r="A480" s="11" t="str">
        <f>'Bldgs &amp; Rooms'!$A$14</f>
        <v>Main Bldg.</v>
      </c>
      <c r="B480" s="11">
        <f>'Bldgs &amp; Rooms'!$B$14</f>
        <v>0</v>
      </c>
      <c r="C480" s="10" t="str">
        <f>Hours!$A$36</f>
        <v>HVAC Equipment (Small)</v>
      </c>
      <c r="D480" s="11">
        <f t="shared" si="14"/>
        <v>0</v>
      </c>
      <c r="E480" s="16"/>
      <c r="F480" s="17"/>
      <c r="G480" s="17"/>
      <c r="H480" s="17"/>
      <c r="I480" s="17"/>
      <c r="J480" s="17"/>
      <c r="K480" s="12"/>
      <c r="L480" s="12"/>
      <c r="M480" s="12"/>
      <c r="N480" s="12"/>
      <c r="O480" s="12"/>
      <c r="P480" s="12"/>
      <c r="Q480" s="17"/>
      <c r="R480" s="18">
        <f>IF(SUMPRODUCT((E480:Q480)*1)=0,0,E480*INDEX(Hours!M:M,MATCH(C480,Hours!$A:$A,0))+F480*INDEX(Hours!B:B,MATCH(C480,Hours!$A:$A,0))+G480*INDEX(Hours!C:C,MATCH(C480,Hours!$A:$A,0))+H480*INDEX(Hours!D:D,MATCH(C480,Hours!$A:$A,0))+I480*INDEX(Hours!E:E,MATCH(C480,Hours!$A:$A,0))+J480*INDEX(Hours!F:F,MATCH(C480,Hours!$A:$A,0)))</f>
        <v>0</v>
      </c>
      <c r="S480" s="19">
        <f t="shared" si="15"/>
        <v>0</v>
      </c>
    </row>
    <row r="481" spans="1:19" x14ac:dyDescent="0.25">
      <c r="A481" s="11" t="str">
        <f>'Bldgs &amp; Rooms'!$A$14</f>
        <v>Main Bldg.</v>
      </c>
      <c r="B481" s="11">
        <f>'Bldgs &amp; Rooms'!$B$14</f>
        <v>0</v>
      </c>
      <c r="C481" s="10" t="str">
        <f>Hours!$A$37</f>
        <v>Uninterruptible Power Supply (UPS) &lt; 50kVA</v>
      </c>
      <c r="D481" s="11">
        <f t="shared" si="14"/>
        <v>0</v>
      </c>
      <c r="E481" s="16"/>
      <c r="F481" s="17"/>
      <c r="G481" s="17"/>
      <c r="H481" s="17"/>
      <c r="I481" s="17"/>
      <c r="J481" s="17"/>
      <c r="K481" s="12"/>
      <c r="L481" s="12"/>
      <c r="M481" s="12"/>
      <c r="N481" s="12"/>
      <c r="O481" s="12"/>
      <c r="P481" s="12"/>
      <c r="Q481" s="17"/>
      <c r="R481" s="18">
        <f>IF(SUMPRODUCT((E481:Q481)*1)=0,0,E481*INDEX(Hours!M:M,MATCH(C481,Hours!$A:$A,0))+F481*INDEX(Hours!B:B,MATCH(C481,Hours!$A:$A,0))+G481*INDEX(Hours!C:C,MATCH(C481,Hours!$A:$A,0))+H481*INDEX(Hours!D:D,MATCH(C481,Hours!$A:$A,0))+I481*INDEX(Hours!E:E,MATCH(C481,Hours!$A:$A,0))+J481*INDEX(Hours!F:F,MATCH(C481,Hours!$A:$A,0)))</f>
        <v>0</v>
      </c>
      <c r="S481" s="19">
        <f t="shared" si="15"/>
        <v>0</v>
      </c>
    </row>
    <row r="482" spans="1:19" x14ac:dyDescent="0.25">
      <c r="A482" s="11" t="str">
        <f>'Bldgs &amp; Rooms'!$A$14</f>
        <v>Main Bldg.</v>
      </c>
      <c r="B482" s="11">
        <f>'Bldgs &amp; Rooms'!$B$14</f>
        <v>0</v>
      </c>
      <c r="C482" s="10" t="str">
        <f>Hours!$A$38</f>
        <v>Uninterruptible Power Supply (UPS) &gt; 50kVA</v>
      </c>
      <c r="D482" s="11">
        <f t="shared" si="14"/>
        <v>0</v>
      </c>
      <c r="E482" s="16"/>
      <c r="F482" s="17"/>
      <c r="G482" s="17"/>
      <c r="H482" s="17"/>
      <c r="I482" s="17"/>
      <c r="J482" s="17"/>
      <c r="K482" s="12"/>
      <c r="L482" s="12"/>
      <c r="M482" s="12"/>
      <c r="N482" s="12"/>
      <c r="O482" s="12"/>
      <c r="P482" s="12"/>
      <c r="Q482" s="17"/>
      <c r="R482" s="18">
        <f>IF(SUMPRODUCT((E482:Q482)*1)=0,0,E482*INDEX(Hours!M:M,MATCH(C482,Hours!$A:$A,0))+F482*INDEX(Hours!B:B,MATCH(C482,Hours!$A:$A,0))+G482*INDEX(Hours!C:C,MATCH(C482,Hours!$A:$A,0))+H482*INDEX(Hours!D:D,MATCH(C482,Hours!$A:$A,0))+I482*INDEX(Hours!E:E,MATCH(C482,Hours!$A:$A,0))+J482*INDEX(Hours!F:F,MATCH(C482,Hours!$A:$A,0)))</f>
        <v>0</v>
      </c>
      <c r="S482" s="19">
        <f t="shared" si="15"/>
        <v>0</v>
      </c>
    </row>
    <row r="483" spans="1:19" x14ac:dyDescent="0.25">
      <c r="A483" s="15" t="str">
        <f>'Bldgs &amp; Rooms'!$A$15</f>
        <v>Main Bldg.</v>
      </c>
      <c r="B483" s="15">
        <f>'Bldgs &amp; Rooms'!$B$15</f>
        <v>0</v>
      </c>
      <c r="C483" s="14" t="str">
        <f>Hours!$A$2</f>
        <v>Switchgear - Incoming Main Service (Per Section)</v>
      </c>
      <c r="D483" s="15">
        <f t="shared" si="14"/>
        <v>0</v>
      </c>
      <c r="E483" s="16"/>
      <c r="F483" s="17"/>
      <c r="G483" s="17"/>
      <c r="H483" s="17"/>
      <c r="I483" s="17"/>
      <c r="J483" s="17"/>
      <c r="K483" s="17"/>
      <c r="L483" s="17"/>
      <c r="M483" s="12"/>
      <c r="N483" s="12"/>
      <c r="O483" s="17"/>
      <c r="P483" s="12"/>
      <c r="Q483" s="17"/>
      <c r="R483" s="18">
        <f>IF(SUMPRODUCT((E483:Q483)*1)=0,0,E483*INDEX(Hours!M:M,MATCH(C483,Hours!$A:$A,0))+F483*INDEX(Hours!B:B,MATCH(C483,Hours!$A:$A,0))+G483*INDEX(Hours!C:C,MATCH(C483,Hours!$A:$A,0))+H483*INDEX(Hours!D:D,MATCH(C483,Hours!$A:$A,0))+I483*INDEX(Hours!E:E,MATCH(C483,Hours!$A:$A,0))+J483*INDEX(Hours!F:F,MATCH(C483,Hours!$A:$A,0))+K483*INDEX(Hours!G:G,MATCH(C483,Hours!$A:$A,0))+L483*INDEX(Hours!H:H,MATCH(C483,Hours!$A:$A,0))+O483*INDEX(Hours!K:K,MATCH(C483,Hours!$A:$A,0)))</f>
        <v>0</v>
      </c>
      <c r="S483" s="19">
        <f t="shared" si="15"/>
        <v>0</v>
      </c>
    </row>
    <row r="484" spans="1:19" x14ac:dyDescent="0.25">
      <c r="A484" s="15" t="str">
        <f>'Bldgs &amp; Rooms'!$A$15</f>
        <v>Main Bldg.</v>
      </c>
      <c r="B484" s="15">
        <f>'Bldgs &amp; Rooms'!$B$15</f>
        <v>0</v>
      </c>
      <c r="C484" s="14" t="str">
        <f>Hours!$A$3</f>
        <v xml:space="preserve">  Switchgear Insulated Case Breakers (Bus Mounted)</v>
      </c>
      <c r="D484" s="15">
        <f t="shared" si="14"/>
        <v>0</v>
      </c>
      <c r="E484" s="16"/>
      <c r="F484" s="17"/>
      <c r="G484" s="17"/>
      <c r="H484" s="17"/>
      <c r="I484" s="17"/>
      <c r="J484" s="17"/>
      <c r="K484" s="17"/>
      <c r="L484" s="12"/>
      <c r="M484" s="12"/>
      <c r="N484" s="12"/>
      <c r="O484" s="12"/>
      <c r="P484" s="12"/>
      <c r="Q484" s="17"/>
      <c r="R484" s="18">
        <f>IF(SUMPRODUCT((E484:Q484)*1)=0,0,E484*INDEX(Hours!M:M,MATCH(C484,Hours!$A:$A,0))+F484*INDEX(Hours!B:B,MATCH(C484,Hours!$A:$A,0))+G484*INDEX(Hours!C:C,MATCH(C484,Hours!$A:$A,0))+H484*INDEX(Hours!D:D,MATCH(C484,Hours!$A:$A,0))+I484*INDEX(Hours!E:E,MATCH(C484,Hours!$A:$A,0))+J484*INDEX(Hours!F:F,MATCH(C484,Hours!$A:$A,0))+K484*INDEX(Hours!G:G,MATCH(C484,Hours!$A:$A,0)))</f>
        <v>0</v>
      </c>
      <c r="S484" s="19">
        <f t="shared" si="15"/>
        <v>0</v>
      </c>
    </row>
    <row r="485" spans="1:19" x14ac:dyDescent="0.25">
      <c r="A485" s="15" t="str">
        <f>'Bldgs &amp; Rooms'!$A$15</f>
        <v>Main Bldg.</v>
      </c>
      <c r="B485" s="15">
        <f>'Bldgs &amp; Rooms'!$B$15</f>
        <v>0</v>
      </c>
      <c r="C485" s="14" t="str">
        <f>Hours!$A$4</f>
        <v xml:space="preserve">  SwitchGear Drawout Breakers</v>
      </c>
      <c r="D485" s="15">
        <f t="shared" si="14"/>
        <v>0</v>
      </c>
      <c r="E485" s="16"/>
      <c r="F485" s="17"/>
      <c r="G485" s="17"/>
      <c r="H485" s="17"/>
      <c r="I485" s="17"/>
      <c r="J485" s="17"/>
      <c r="K485" s="12"/>
      <c r="L485" s="17"/>
      <c r="M485" s="12"/>
      <c r="N485" s="12"/>
      <c r="O485" s="12"/>
      <c r="P485" s="12"/>
      <c r="Q485" s="17"/>
      <c r="R485" s="18">
        <f>IF(SUMPRODUCT((E485:Q485)*1)=0,0,E485*INDEX(Hours!M:M,MATCH(C485,Hours!$A:$A,0))+F485*INDEX(Hours!B:B,MATCH(C485,Hours!$A:$A,0))+G485*INDEX(Hours!C:C,MATCH(C485,Hours!$A:$A,0))+H485*INDEX(Hours!D:D,MATCH(C485,Hours!$A:$A,0))+I485*INDEX(Hours!E:E,MATCH(C485,Hours!$A:$A,0))+J485*INDEX(Hours!F:F,MATCH(C485,Hours!$A:$A,0))+L485*INDEX(Hours!H:H,MATCH(C485,Hours!$A:$A,0)))</f>
        <v>0</v>
      </c>
      <c r="S485" s="19">
        <f t="shared" si="15"/>
        <v>0</v>
      </c>
    </row>
    <row r="486" spans="1:19" x14ac:dyDescent="0.25">
      <c r="A486" s="15" t="str">
        <f>'Bldgs &amp; Rooms'!$A$15</f>
        <v>Main Bldg.</v>
      </c>
      <c r="B486" s="15">
        <f>'Bldgs &amp; Rooms'!$B$15</f>
        <v>0</v>
      </c>
      <c r="C486" s="14" t="str">
        <f>Hours!$A$5</f>
        <v>Distribution Switchboard Multi Cover (Per Section)</v>
      </c>
      <c r="D486" s="15">
        <f t="shared" si="14"/>
        <v>0</v>
      </c>
      <c r="E486" s="16"/>
      <c r="F486" s="17"/>
      <c r="G486" s="17"/>
      <c r="H486" s="17"/>
      <c r="I486" s="17"/>
      <c r="J486" s="17"/>
      <c r="K486" s="17"/>
      <c r="L486" s="12"/>
      <c r="M486" s="12"/>
      <c r="N486" s="12"/>
      <c r="O486" s="17"/>
      <c r="P486" s="12"/>
      <c r="Q486" s="17"/>
      <c r="R486" s="18">
        <f>IF(SUMPRODUCT((E486:Q486)*1)=0,0,E486*INDEX(Hours!M:M,MATCH(C486,Hours!$A:$A,0))+F486*INDEX(Hours!B:B,MATCH(C486,Hours!$A:$A,0))+G486*INDEX(Hours!C:C,MATCH(C486,Hours!$A:$A,0))+H486*INDEX(Hours!D:D,MATCH(C486,Hours!$A:$A,0))+I486*INDEX(Hours!E:E,MATCH(C486,Hours!$A:$A,0))+J486*INDEX(Hours!F:F,MATCH(C486,Hours!$A:$A,0))+K486*INDEX(Hours!G:G,MATCH(C486,Hours!$A:$A,0))+O486*INDEX(Hours!K:K,MATCH(C486,Hours!$A:$A,0)))</f>
        <v>0</v>
      </c>
      <c r="S486" s="19">
        <f t="shared" si="15"/>
        <v>0</v>
      </c>
    </row>
    <row r="487" spans="1:19" x14ac:dyDescent="0.25">
      <c r="A487" s="15" t="str">
        <f>'Bldgs &amp; Rooms'!$A$15</f>
        <v>Main Bldg.</v>
      </c>
      <c r="B487" s="15">
        <f>'Bldgs &amp; Rooms'!$B$15</f>
        <v>0</v>
      </c>
      <c r="C487" s="14" t="str">
        <f>Hours!$A$6</f>
        <v xml:space="preserve">  Switchboard Disconnects</v>
      </c>
      <c r="D487" s="15">
        <f t="shared" si="14"/>
        <v>0</v>
      </c>
      <c r="E487" s="16"/>
      <c r="F487" s="17"/>
      <c r="G487" s="17"/>
      <c r="H487" s="17"/>
      <c r="I487" s="17"/>
      <c r="J487" s="17"/>
      <c r="K487" s="12"/>
      <c r="L487" s="12"/>
      <c r="M487" s="12"/>
      <c r="N487" s="12"/>
      <c r="O487" s="12"/>
      <c r="P487" s="12"/>
      <c r="Q487" s="17"/>
      <c r="R487" s="18">
        <f>IF(SUMPRODUCT((E487:Q487)*1)=0,0,E487*INDEX(Hours!M:M,MATCH(C487,Hours!$A:$A,0))+F487*INDEX(Hours!B:B,MATCH(C487,Hours!$A:$A,0))+G487*INDEX(Hours!C:C,MATCH(C487,Hours!$A:$A,0))+H487*INDEX(Hours!D:D,MATCH(C487,Hours!$A:$A,0))+I487*INDEX(Hours!E:E,MATCH(C487,Hours!$A:$A,0))+J487*INDEX(Hours!F:F,MATCH(C487,Hours!$A:$A,0)))</f>
        <v>0</v>
      </c>
      <c r="S487" s="19">
        <f t="shared" si="15"/>
        <v>0</v>
      </c>
    </row>
    <row r="488" spans="1:19" x14ac:dyDescent="0.25">
      <c r="A488" s="15" t="str">
        <f>'Bldgs &amp; Rooms'!$A$15</f>
        <v>Main Bldg.</v>
      </c>
      <c r="B488" s="15">
        <f>'Bldgs &amp; Rooms'!$B$15</f>
        <v>0</v>
      </c>
      <c r="C488" s="14" t="str">
        <f>Hours!$A$7</f>
        <v xml:space="preserve">  Switchboard Molded Case Breakers</v>
      </c>
      <c r="D488" s="15">
        <f t="shared" si="14"/>
        <v>0</v>
      </c>
      <c r="E488" s="16"/>
      <c r="F488" s="17"/>
      <c r="G488" s="17"/>
      <c r="H488" s="17"/>
      <c r="I488" s="17"/>
      <c r="J488" s="17"/>
      <c r="K488" s="17"/>
      <c r="L488" s="12"/>
      <c r="M488" s="12"/>
      <c r="N488" s="12"/>
      <c r="O488" s="12"/>
      <c r="P488" s="12"/>
      <c r="Q488" s="17"/>
      <c r="R488" s="18">
        <f>IF(SUMPRODUCT((E488:Q488)*1)=0,0,E488*INDEX(Hours!M:M,MATCH(C488,Hours!$A:$A,0))+F488*INDEX(Hours!B:B,MATCH(C488,Hours!$A:$A,0))+G488*INDEX(Hours!C:C,MATCH(C488,Hours!$A:$A,0))+H488*INDEX(Hours!D:D,MATCH(C488,Hours!$A:$A,0))+I488*INDEX(Hours!E:E,MATCH(C488,Hours!$A:$A,0))+J488*INDEX(Hours!F:F,MATCH(C488,Hours!$A:$A,0))+K488*INDEX(Hours!G:G,MATCH(C488,Hours!$A:$A,0)))</f>
        <v>0</v>
      </c>
      <c r="S488" s="19">
        <f t="shared" si="15"/>
        <v>0</v>
      </c>
    </row>
    <row r="489" spans="1:19" x14ac:dyDescent="0.25">
      <c r="A489" s="15" t="str">
        <f>'Bldgs &amp; Rooms'!$A$15</f>
        <v>Main Bldg.</v>
      </c>
      <c r="B489" s="15">
        <f>'Bldgs &amp; Rooms'!$B$15</f>
        <v>0</v>
      </c>
      <c r="C489" s="14" t="str">
        <f>Hours!$A$8</f>
        <v>Panelboard-Single Cover &gt; 400A (Distribution Panel)</v>
      </c>
      <c r="D489" s="15">
        <f t="shared" si="14"/>
        <v>0</v>
      </c>
      <c r="E489" s="16"/>
      <c r="F489" s="17"/>
      <c r="G489" s="17"/>
      <c r="H489" s="17"/>
      <c r="I489" s="17"/>
      <c r="J489" s="17"/>
      <c r="K489" s="17"/>
      <c r="L489" s="12"/>
      <c r="M489" s="12"/>
      <c r="N489" s="12"/>
      <c r="O489" s="17"/>
      <c r="P489" s="12"/>
      <c r="Q489" s="17"/>
      <c r="R489" s="18">
        <f>IF(SUMPRODUCT((E489:Q489)*1)=0,0,E489*INDEX(Hours!M:M,MATCH(C489,Hours!$A:$A,0))+F489*INDEX(Hours!B:B,MATCH(C489,Hours!$A:$A,0))+G489*INDEX(Hours!C:C,MATCH(C489,Hours!$A:$A,0))+H489*INDEX(Hours!D:D,MATCH(C489,Hours!$A:$A,0))+I489*INDEX(Hours!E:E,MATCH(C489,Hours!$A:$A,0))+J489*INDEX(Hours!F:F,MATCH(C489,Hours!$A:$A,0))+K489*INDEX(Hours!G:G,MATCH(C489,Hours!$A:$A,0))+O489*INDEX(Hours!K:K,MATCH(C489,Hours!$A:$A,0)))</f>
        <v>0</v>
      </c>
      <c r="S489" s="19">
        <f t="shared" si="15"/>
        <v>0</v>
      </c>
    </row>
    <row r="490" spans="1:19" x14ac:dyDescent="0.25">
      <c r="A490" s="15" t="str">
        <f>'Bldgs &amp; Rooms'!$A$15</f>
        <v>Main Bldg.</v>
      </c>
      <c r="B490" s="15">
        <f>'Bldgs &amp; Rooms'!$B$15</f>
        <v>0</v>
      </c>
      <c r="C490" s="14" t="str">
        <f>Hours!$A$9</f>
        <v>Panelboard-Single Cover &lt; 400A (Branch Ckt Panel)</v>
      </c>
      <c r="D490" s="15">
        <f t="shared" si="14"/>
        <v>0</v>
      </c>
      <c r="E490" s="16"/>
      <c r="F490" s="17"/>
      <c r="G490" s="17"/>
      <c r="H490" s="17"/>
      <c r="I490" s="17"/>
      <c r="J490" s="17"/>
      <c r="K490" s="12"/>
      <c r="L490" s="12"/>
      <c r="M490" s="12"/>
      <c r="N490" s="12"/>
      <c r="O490" s="17"/>
      <c r="P490" s="12"/>
      <c r="Q490" s="17"/>
      <c r="R490" s="18">
        <f>IF(SUMPRODUCT((E490:Q490)*1)=0,0,E490*INDEX(Hours!M:M,MATCH(C490,Hours!$A:$A,0))+F490*INDEX(Hours!B:B,MATCH(C490,Hours!$A:$A,0))+G490*INDEX(Hours!C:C,MATCH(C490,Hours!$A:$A,0))+H490*INDEX(Hours!D:D,MATCH(C490,Hours!$A:$A,0))+I490*INDEX(Hours!E:E,MATCH(C490,Hours!$A:$A,0))+J490*INDEX(Hours!F:F,MATCH(C490,Hours!$A:$A,0))+O490*INDEX(Hours!K:K,MATCH(C490,Hours!$A:$A,0)))</f>
        <v>0</v>
      </c>
      <c r="S490" s="19">
        <f t="shared" si="15"/>
        <v>0</v>
      </c>
    </row>
    <row r="491" spans="1:19" x14ac:dyDescent="0.25">
      <c r="A491" s="15" t="str">
        <f>'Bldgs &amp; Rooms'!$A$15</f>
        <v>Main Bldg.</v>
      </c>
      <c r="B491" s="15">
        <f>'Bldgs &amp; Rooms'!$B$15</f>
        <v>0</v>
      </c>
      <c r="C491" s="14" t="str">
        <f>Hours!$A$10</f>
        <v>Motor Control Center (MCC-Per Vertical Section)</v>
      </c>
      <c r="D491" s="15">
        <f t="shared" si="14"/>
        <v>0</v>
      </c>
      <c r="E491" s="16"/>
      <c r="F491" s="17"/>
      <c r="G491" s="17"/>
      <c r="H491" s="17"/>
      <c r="I491" s="17"/>
      <c r="J491" s="17"/>
      <c r="K491" s="12"/>
      <c r="L491" s="12"/>
      <c r="M491" s="12"/>
      <c r="N491" s="12"/>
      <c r="O491" s="17"/>
      <c r="P491" s="12"/>
      <c r="Q491" s="17"/>
      <c r="R491" s="18">
        <f>IF(SUMPRODUCT((E491:Q491)*1)=0,0,E491*INDEX(Hours!M:M,MATCH(C491,Hours!$A:$A,0))+F491*INDEX(Hours!B:B,MATCH(C491,Hours!$A:$A,0))+G491*INDEX(Hours!C:C,MATCH(C491,Hours!$A:$A,0))+H491*INDEX(Hours!D:D,MATCH(C491,Hours!$A:$A,0))+I491*INDEX(Hours!E:E,MATCH(C491,Hours!$A:$A,0))+J491*INDEX(Hours!F:F,MATCH(C491,Hours!$A:$A,0))+O491*INDEX(Hours!K:K,MATCH(C491,Hours!$A:$A,0)))</f>
        <v>0</v>
      </c>
      <c r="S491" s="19">
        <f t="shared" si="15"/>
        <v>0</v>
      </c>
    </row>
    <row r="492" spans="1:19" x14ac:dyDescent="0.25">
      <c r="A492" s="15" t="str">
        <f>'Bldgs &amp; Rooms'!$A$15</f>
        <v>Main Bldg.</v>
      </c>
      <c r="B492" s="15">
        <f>'Bldgs &amp; Rooms'!$B$15</f>
        <v>0</v>
      </c>
      <c r="C492" s="14" t="str">
        <f>Hours!$A$11</f>
        <v xml:space="preserve">  MCC: Combination Motor Starters</v>
      </c>
      <c r="D492" s="15">
        <f t="shared" si="14"/>
        <v>0</v>
      </c>
      <c r="E492" s="16"/>
      <c r="F492" s="17"/>
      <c r="G492" s="17"/>
      <c r="H492" s="17"/>
      <c r="I492" s="17"/>
      <c r="J492" s="17"/>
      <c r="K492" s="17"/>
      <c r="L492" s="12"/>
      <c r="M492" s="12"/>
      <c r="N492" s="12"/>
      <c r="O492" s="17"/>
      <c r="P492" s="12"/>
      <c r="Q492" s="17"/>
      <c r="R492" s="18">
        <f>IF(SUMPRODUCT((E492:Q492)*1)=0,0,E492*INDEX(Hours!M:M,MATCH(C492,Hours!$A:$A,0))+F492*INDEX(Hours!B:B,MATCH(C492,Hours!$A:$A,0))+G492*INDEX(Hours!C:C,MATCH(C492,Hours!$A:$A,0))+H492*INDEX(Hours!D:D,MATCH(C492,Hours!$A:$A,0))+I492*INDEX(Hours!E:E,MATCH(C492,Hours!$A:$A,0))+J492*INDEX(Hours!F:F,MATCH(C492,Hours!$A:$A,0))+K492*INDEX(Hours!G:G,MATCH(C492,Hours!$A:$A,0))+O492*INDEX(Hours!K:K,MATCH(C492,Hours!$A:$A,0)))</f>
        <v>0</v>
      </c>
      <c r="S492" s="19">
        <f t="shared" si="15"/>
        <v>0</v>
      </c>
    </row>
    <row r="493" spans="1:19" x14ac:dyDescent="0.25">
      <c r="A493" s="15" t="str">
        <f>'Bldgs &amp; Rooms'!$A$15</f>
        <v>Main Bldg.</v>
      </c>
      <c r="B493" s="15">
        <f>'Bldgs &amp; Rooms'!$B$15</f>
        <v>0</v>
      </c>
      <c r="C493" s="14" t="str">
        <f>Hours!$A$12</f>
        <v xml:space="preserve">  MCC: Molded Case Breaker</v>
      </c>
      <c r="D493" s="15">
        <f t="shared" si="14"/>
        <v>0</v>
      </c>
      <c r="E493" s="16"/>
      <c r="F493" s="17"/>
      <c r="G493" s="17"/>
      <c r="H493" s="17"/>
      <c r="I493" s="17"/>
      <c r="J493" s="17"/>
      <c r="K493" s="17"/>
      <c r="L493" s="12"/>
      <c r="M493" s="12"/>
      <c r="N493" s="12"/>
      <c r="O493" s="12"/>
      <c r="P493" s="12"/>
      <c r="Q493" s="17"/>
      <c r="R493" s="18">
        <f>IF(SUMPRODUCT((E493:Q493)*1)=0,0,E493*INDEX(Hours!M:M,MATCH(C493,Hours!$A:$A,0))+F493*INDEX(Hours!B:B,MATCH(C493,Hours!$A:$A,0))+G493*INDEX(Hours!C:C,MATCH(C493,Hours!$A:$A,0))+H493*INDEX(Hours!D:D,MATCH(C493,Hours!$A:$A,0))+I493*INDEX(Hours!E:E,MATCH(C493,Hours!$A:$A,0))+J493*INDEX(Hours!F:F,MATCH(C493,Hours!$A:$A,0))+K493*INDEX(Hours!G:G,MATCH(C493,Hours!$A:$A,0)))</f>
        <v>0</v>
      </c>
      <c r="S493" s="19">
        <f t="shared" si="15"/>
        <v>0</v>
      </c>
    </row>
    <row r="494" spans="1:19" x14ac:dyDescent="0.25">
      <c r="A494" s="15" t="str">
        <f>'Bldgs &amp; Rooms'!$A$15</f>
        <v>Main Bldg.</v>
      </c>
      <c r="B494" s="15">
        <f>'Bldgs &amp; Rooms'!$B$15</f>
        <v>0</v>
      </c>
      <c r="C494" s="14" t="str">
        <f>Hours!$A$13</f>
        <v xml:space="preserve">  MCC: Individual Disconnect Switch</v>
      </c>
      <c r="D494" s="15">
        <f t="shared" si="14"/>
        <v>0</v>
      </c>
      <c r="E494" s="16"/>
      <c r="F494" s="17"/>
      <c r="G494" s="17"/>
      <c r="H494" s="17"/>
      <c r="I494" s="17"/>
      <c r="J494" s="17"/>
      <c r="K494" s="12"/>
      <c r="L494" s="12"/>
      <c r="M494" s="12"/>
      <c r="N494" s="12"/>
      <c r="O494" s="12"/>
      <c r="P494" s="12"/>
      <c r="Q494" s="17"/>
      <c r="R494" s="18">
        <f>IF(SUMPRODUCT((E494:Q494)*1)=0,0,E494*INDEX(Hours!M:M,MATCH(C494,Hours!$A:$A,0))+F494*INDEX(Hours!B:B,MATCH(C494,Hours!$A:$A,0))+G494*INDEX(Hours!C:C,MATCH(C494,Hours!$A:$A,0))+H494*INDEX(Hours!D:D,MATCH(C494,Hours!$A:$A,0))+I494*INDEX(Hours!E:E,MATCH(C494,Hours!$A:$A,0))+J494*INDEX(Hours!F:F,MATCH(C494,Hours!$A:$A,0)))</f>
        <v>0</v>
      </c>
      <c r="S494" s="19">
        <f t="shared" si="15"/>
        <v>0</v>
      </c>
    </row>
    <row r="495" spans="1:19" x14ac:dyDescent="0.25">
      <c r="A495" s="15" t="str">
        <f>'Bldgs &amp; Rooms'!$A$15</f>
        <v>Main Bldg.</v>
      </c>
      <c r="B495" s="15">
        <f>'Bldgs &amp; Rooms'!$B$15</f>
        <v>0</v>
      </c>
      <c r="C495" s="14" t="str">
        <f>Hours!$A$14</f>
        <v>Motor Control Panel (MCP)</v>
      </c>
      <c r="D495" s="15">
        <f t="shared" si="14"/>
        <v>0</v>
      </c>
      <c r="E495" s="16"/>
      <c r="F495" s="17"/>
      <c r="G495" s="17"/>
      <c r="H495" s="17"/>
      <c r="I495" s="17"/>
      <c r="J495" s="17"/>
      <c r="K495" s="12"/>
      <c r="L495" s="12"/>
      <c r="M495" s="12"/>
      <c r="N495" s="12"/>
      <c r="O495" s="17"/>
      <c r="P495" s="12"/>
      <c r="Q495" s="17"/>
      <c r="R495" s="18">
        <f>IF(SUMPRODUCT((E495:Q495)*1)=0,0,E495*INDEX(Hours!M:M,MATCH(C495,Hours!$A:$A,0))+F495*INDEX(Hours!B:B,MATCH(C495,Hours!$A:$A,0))+G495*INDEX(Hours!C:C,MATCH(C495,Hours!$A:$A,0))+H495*INDEX(Hours!D:D,MATCH(C495,Hours!$A:$A,0))+I495*INDEX(Hours!E:E,MATCH(C495,Hours!$A:$A,0))+J495*INDEX(Hours!F:F,MATCH(C495,Hours!$A:$A,0))+O495*INDEX(Hours!K:K,MATCH(C495,Hours!$A:$A,0)))</f>
        <v>0</v>
      </c>
      <c r="S495" s="19">
        <f t="shared" si="15"/>
        <v>0</v>
      </c>
    </row>
    <row r="496" spans="1:19" x14ac:dyDescent="0.25">
      <c r="A496" s="15" t="str">
        <f>'Bldgs &amp; Rooms'!$A$15</f>
        <v>Main Bldg.</v>
      </c>
      <c r="B496" s="15">
        <f>'Bldgs &amp; Rooms'!$B$15</f>
        <v>0</v>
      </c>
      <c r="C496" s="14" t="str">
        <f>Hours!$A$15</f>
        <v>VFD Motor Control Panel (VFD-MCP)</v>
      </c>
      <c r="D496" s="15">
        <f t="shared" si="14"/>
        <v>0</v>
      </c>
      <c r="E496" s="16"/>
      <c r="F496" s="17"/>
      <c r="G496" s="17"/>
      <c r="H496" s="17"/>
      <c r="I496" s="17"/>
      <c r="J496" s="17"/>
      <c r="K496" s="12"/>
      <c r="L496" s="12"/>
      <c r="M496" s="12"/>
      <c r="N496" s="12"/>
      <c r="O496" s="17"/>
      <c r="P496" s="12"/>
      <c r="Q496" s="17"/>
      <c r="R496" s="18">
        <f>IF(SUMPRODUCT((E496:Q496)*1)=0,0,E496*INDEX(Hours!M:M,MATCH(C496,Hours!$A:$A,0))+F496*INDEX(Hours!B:B,MATCH(C496,Hours!$A:$A,0))+G496*INDEX(Hours!C:C,MATCH(C496,Hours!$A:$A,0))+H496*INDEX(Hours!D:D,MATCH(C496,Hours!$A:$A,0))+I496*INDEX(Hours!E:E,MATCH(C496,Hours!$A:$A,0))+J496*INDEX(Hours!F:F,MATCH(C496,Hours!$A:$A,0))+O496*INDEX(Hours!K:K,MATCH(C496,Hours!$A:$A,0)))</f>
        <v>0</v>
      </c>
      <c r="S496" s="19">
        <f t="shared" si="15"/>
        <v>0</v>
      </c>
    </row>
    <row r="497" spans="1:19" x14ac:dyDescent="0.25">
      <c r="A497" s="15" t="str">
        <f>'Bldgs &amp; Rooms'!$A$15</f>
        <v>Main Bldg.</v>
      </c>
      <c r="B497" s="15">
        <f>'Bldgs &amp; Rooms'!$B$15</f>
        <v>0</v>
      </c>
      <c r="C497" s="14" t="str">
        <f>Hours!$A$16</f>
        <v>Individual Disconnect Switch &gt; 100A</v>
      </c>
      <c r="D497" s="15">
        <f t="shared" si="14"/>
        <v>0</v>
      </c>
      <c r="E497" s="16"/>
      <c r="F497" s="17"/>
      <c r="G497" s="17"/>
      <c r="H497" s="17"/>
      <c r="I497" s="17"/>
      <c r="J497" s="17"/>
      <c r="K497" s="17"/>
      <c r="L497" s="12"/>
      <c r="M497" s="12"/>
      <c r="N497" s="12"/>
      <c r="O497" s="12"/>
      <c r="P497" s="12"/>
      <c r="Q497" s="17"/>
      <c r="R497" s="18">
        <f>IF(SUMPRODUCT((E497:Q497)*1)=0,0,E497*INDEX(Hours!M:M,MATCH(C497,Hours!$A:$A,0))+F497*INDEX(Hours!B:B,MATCH(C497,Hours!$A:$A,0))+G497*INDEX(Hours!C:C,MATCH(C497,Hours!$A:$A,0))+H497*INDEX(Hours!D:D,MATCH(C497,Hours!$A:$A,0))+I497*INDEX(Hours!E:E,MATCH(C497,Hours!$A:$A,0))+J497*INDEX(Hours!F:F,MATCH(C497,Hours!$A:$A,0))+K497*INDEX(Hours!G:G,MATCH(C497,Hours!$A:$A,0)))</f>
        <v>0</v>
      </c>
      <c r="S497" s="19">
        <f t="shared" si="15"/>
        <v>0</v>
      </c>
    </row>
    <row r="498" spans="1:19" x14ac:dyDescent="0.25">
      <c r="A498" s="15" t="str">
        <f>'Bldgs &amp; Rooms'!$A$15</f>
        <v>Main Bldg.</v>
      </c>
      <c r="B498" s="15">
        <f>'Bldgs &amp; Rooms'!$B$15</f>
        <v>0</v>
      </c>
      <c r="C498" s="14" t="str">
        <f>Hours!$A$17</f>
        <v>Individual Molded Case Breaker &gt; 100A</v>
      </c>
      <c r="D498" s="15">
        <f t="shared" si="14"/>
        <v>0</v>
      </c>
      <c r="E498" s="16"/>
      <c r="F498" s="17"/>
      <c r="G498" s="17"/>
      <c r="H498" s="17"/>
      <c r="I498" s="17"/>
      <c r="J498" s="17"/>
      <c r="K498" s="17"/>
      <c r="L498" s="12"/>
      <c r="M498" s="12"/>
      <c r="N498" s="12"/>
      <c r="O498" s="12"/>
      <c r="P498" s="12"/>
      <c r="Q498" s="17"/>
      <c r="R498" s="18">
        <f>IF(SUMPRODUCT((E498:Q498)*1)=0,0,E498*INDEX(Hours!M:M,MATCH(C498,Hours!$A:$A,0))+F498*INDEX(Hours!B:B,MATCH(C498,Hours!$A:$A,0))+G498*INDEX(Hours!C:C,MATCH(C498,Hours!$A:$A,0))+H498*INDEX(Hours!D:D,MATCH(C498,Hours!$A:$A,0))+I498*INDEX(Hours!E:E,MATCH(C498,Hours!$A:$A,0))+J498*INDEX(Hours!F:F,MATCH(C498,Hours!$A:$A,0))+K498*INDEX(Hours!G:G,MATCH(C498,Hours!$A:$A,0)))</f>
        <v>0</v>
      </c>
      <c r="S498" s="19">
        <f t="shared" si="15"/>
        <v>0</v>
      </c>
    </row>
    <row r="499" spans="1:19" x14ac:dyDescent="0.25">
      <c r="A499" s="15" t="str">
        <f>'Bldgs &amp; Rooms'!$A$15</f>
        <v>Main Bldg.</v>
      </c>
      <c r="B499" s="15">
        <f>'Bldgs &amp; Rooms'!$B$15</f>
        <v>0</v>
      </c>
      <c r="C499" s="14" t="str">
        <f>Hours!$A$18</f>
        <v>Individual Combination Motor Starter &gt; 100A</v>
      </c>
      <c r="D499" s="15">
        <f t="shared" si="14"/>
        <v>0</v>
      </c>
      <c r="E499" s="16"/>
      <c r="F499" s="17"/>
      <c r="G499" s="17"/>
      <c r="H499" s="17"/>
      <c r="I499" s="17"/>
      <c r="J499" s="17"/>
      <c r="K499" s="17"/>
      <c r="L499" s="12"/>
      <c r="M499" s="12"/>
      <c r="N499" s="12"/>
      <c r="O499" s="12"/>
      <c r="P499" s="12"/>
      <c r="Q499" s="17"/>
      <c r="R499" s="18">
        <f>IF(SUMPRODUCT((E499:Q499)*1)=0,0,E499*INDEX(Hours!M:M,MATCH(C499,Hours!$A:$A,0))+F499*INDEX(Hours!B:B,MATCH(C499,Hours!$A:$A,0))+G499*INDEX(Hours!C:C,MATCH(C499,Hours!$A:$A,0))+H499*INDEX(Hours!D:D,MATCH(C499,Hours!$A:$A,0))+I499*INDEX(Hours!E:E,MATCH(C499,Hours!$A:$A,0))+J499*INDEX(Hours!F:F,MATCH(C499,Hours!$A:$A,0))+K499*INDEX(Hours!G:G,MATCH(C499,Hours!$A:$A,0)))</f>
        <v>0</v>
      </c>
      <c r="S499" s="19">
        <f t="shared" si="15"/>
        <v>0</v>
      </c>
    </row>
    <row r="500" spans="1:19" x14ac:dyDescent="0.25">
      <c r="A500" s="15" t="str">
        <f>'Bldgs &amp; Rooms'!$A$15</f>
        <v>Main Bldg.</v>
      </c>
      <c r="B500" s="15">
        <f>'Bldgs &amp; Rooms'!$B$15</f>
        <v>0</v>
      </c>
      <c r="C500" s="14" t="str">
        <f>Hours!$A$19</f>
        <v>Oil Filled Transformer - 5kV-15kV Primary - Any Size (Pad Mounted)</v>
      </c>
      <c r="D500" s="15">
        <f t="shared" si="14"/>
        <v>0</v>
      </c>
      <c r="E500" s="16"/>
      <c r="F500" s="17"/>
      <c r="G500" s="17"/>
      <c r="H500" s="17"/>
      <c r="I500" s="17"/>
      <c r="J500" s="17"/>
      <c r="K500" s="12"/>
      <c r="L500" s="12"/>
      <c r="M500" s="17"/>
      <c r="N500" s="17"/>
      <c r="O500" s="12"/>
      <c r="P500" s="17"/>
      <c r="Q500" s="17"/>
      <c r="R500" s="18">
        <f>IF(SUMPRODUCT((E500:Q500)*1)=0,0,E500*INDEX(Hours!M:M,MATCH(C500,Hours!$A:$A,0))+F500*INDEX(Hours!B:B,MATCH(C500,Hours!$A:$A,0))+G500*INDEX(Hours!C:C,MATCH(C500,Hours!$A:$A,0))+H500*INDEX(Hours!D:D,MATCH(C500,Hours!$A:$A,0))+I500*INDEX(Hours!E:E,MATCH(C500,Hours!$A:$A,0))+J500*INDEX(Hours!F:F,MATCH(C500,Hours!$A:$A,0))+M500*INDEX(Hours!I:I,MATCH(C500,Hours!$A:$A,0))+N500*INDEX(Hours!J:J,MATCH(C500,Hours!$A:$A,0))+P500*INDEX(Hours!L:L,MATCH(C500,Hours!$A:$A,0)))</f>
        <v>0</v>
      </c>
      <c r="S500" s="19">
        <f t="shared" si="15"/>
        <v>0</v>
      </c>
    </row>
    <row r="501" spans="1:19" x14ac:dyDescent="0.25">
      <c r="A501" s="15" t="str">
        <f>'Bldgs &amp; Rooms'!$A$15</f>
        <v>Main Bldg.</v>
      </c>
      <c r="B501" s="15">
        <f>'Bldgs &amp; Rooms'!$B$15</f>
        <v>0</v>
      </c>
      <c r="C501" s="14" t="str">
        <f>Hours!$A$20</f>
        <v>Oil Filled Transformer - &gt; 15kV Primary (Substation Class)</v>
      </c>
      <c r="D501" s="15">
        <f t="shared" si="14"/>
        <v>0</v>
      </c>
      <c r="E501" s="16"/>
      <c r="F501" s="17"/>
      <c r="G501" s="17"/>
      <c r="H501" s="17"/>
      <c r="I501" s="17"/>
      <c r="J501" s="17"/>
      <c r="K501" s="12"/>
      <c r="L501" s="12"/>
      <c r="M501" s="17"/>
      <c r="N501" s="17"/>
      <c r="O501" s="12"/>
      <c r="P501" s="17"/>
      <c r="Q501" s="17"/>
      <c r="R501" s="18">
        <f>IF(SUMPRODUCT((E501:Q501)*1)=0,0,E501*INDEX(Hours!M:M,MATCH(C501,Hours!$A:$A,0))+F501*INDEX(Hours!B:B,MATCH(C501,Hours!$A:$A,0))+G501*INDEX(Hours!C:C,MATCH(C501,Hours!$A:$A,0))+H501*INDEX(Hours!D:D,MATCH(C501,Hours!$A:$A,0))+I501*INDEX(Hours!E:E,MATCH(C501,Hours!$A:$A,0))+J501*INDEX(Hours!F:F,MATCH(C501,Hours!$A:$A,0))+M501*INDEX(Hours!I:I,MATCH(C501,Hours!$A:$A,0))+N501*INDEX(Hours!J:J,MATCH(C501,Hours!$A:$A,0))+P501*INDEX(Hours!L:L,MATCH(C501,Hours!$A:$A,0)))</f>
        <v>0</v>
      </c>
      <c r="S501" s="19">
        <f t="shared" si="15"/>
        <v>0</v>
      </c>
    </row>
    <row r="502" spans="1:19" x14ac:dyDescent="0.25">
      <c r="A502" s="15" t="str">
        <f>'Bldgs &amp; Rooms'!$A$15</f>
        <v>Main Bldg.</v>
      </c>
      <c r="B502" s="15">
        <f>'Bldgs &amp; Rooms'!$B$15</f>
        <v>0</v>
      </c>
      <c r="C502" s="14" t="str">
        <f>Hours!$A$21</f>
        <v>Dry Type Transformer - &lt; 480V Primary - Any Size kVA</v>
      </c>
      <c r="D502" s="15">
        <f t="shared" si="14"/>
        <v>0</v>
      </c>
      <c r="E502" s="16"/>
      <c r="F502" s="17"/>
      <c r="G502" s="17"/>
      <c r="H502" s="17"/>
      <c r="I502" s="17"/>
      <c r="J502" s="17"/>
      <c r="K502" s="12"/>
      <c r="L502" s="12"/>
      <c r="M502" s="17"/>
      <c r="N502" s="17"/>
      <c r="O502" s="12"/>
      <c r="P502" s="12"/>
      <c r="Q502" s="17"/>
      <c r="R502" s="18">
        <f>IF(SUMPRODUCT((E502:Q502)*1)=0,0,E502*INDEX(Hours!M:M,MATCH(C502,Hours!$A:$A,0))+F502*INDEX(Hours!B:B,MATCH(C502,Hours!$A:$A,0))+G502*INDEX(Hours!C:C,MATCH(C502,Hours!$A:$A,0))+H502*INDEX(Hours!D:D,MATCH(C502,Hours!$A:$A,0))+I502*INDEX(Hours!E:E,MATCH(C502,Hours!$A:$A,0))+J502*INDEX(Hours!F:F,MATCH(C502,Hours!$A:$A,0))+M502*INDEX(Hours!I:I,MATCH(C502,Hours!$A:$A,0))+N502*INDEX(Hours!J:J,MATCH(C502,Hours!$A:$A,0)))</f>
        <v>0</v>
      </c>
      <c r="S502" s="19">
        <f t="shared" si="15"/>
        <v>0</v>
      </c>
    </row>
    <row r="503" spans="1:19" x14ac:dyDescent="0.25">
      <c r="A503" s="15" t="str">
        <f>'Bldgs &amp; Rooms'!$A$15</f>
        <v>Main Bldg.</v>
      </c>
      <c r="B503" s="15">
        <f>'Bldgs &amp; Rooms'!$B$15</f>
        <v>0</v>
      </c>
      <c r="C503" s="14" t="str">
        <f>Hours!$A$22</f>
        <v>Power Factor Correction Capacitors</v>
      </c>
      <c r="D503" s="15">
        <f t="shared" si="14"/>
        <v>0</v>
      </c>
      <c r="E503" s="16"/>
      <c r="F503" s="17"/>
      <c r="G503" s="17"/>
      <c r="H503" s="17"/>
      <c r="I503" s="17"/>
      <c r="J503" s="17"/>
      <c r="K503" s="12"/>
      <c r="L503" s="12"/>
      <c r="M503" s="12"/>
      <c r="N503" s="12"/>
      <c r="O503" s="12"/>
      <c r="P503" s="12"/>
      <c r="Q503" s="17"/>
      <c r="R503" s="18">
        <f>IF(SUMPRODUCT((E503:Q503)*1)=0,0,E503*INDEX(Hours!M:M,MATCH(C503,Hours!$A:$A,0))+F503*INDEX(Hours!B:B,MATCH(C503,Hours!$A:$A,0))+G503*INDEX(Hours!C:C,MATCH(C503,Hours!$A:$A,0))+H503*INDEX(Hours!D:D,MATCH(C503,Hours!$A:$A,0))+I503*INDEX(Hours!E:E,MATCH(C503,Hours!$A:$A,0))+J503*INDEX(Hours!F:F,MATCH(C503,Hours!$A:$A,0)))</f>
        <v>0</v>
      </c>
      <c r="S503" s="19">
        <f t="shared" si="15"/>
        <v>0</v>
      </c>
    </row>
    <row r="504" spans="1:19" x14ac:dyDescent="0.25">
      <c r="A504" s="15" t="str">
        <f>'Bldgs &amp; Rooms'!$A$15</f>
        <v>Main Bldg.</v>
      </c>
      <c r="B504" s="15">
        <f>'Bldgs &amp; Rooms'!$B$15</f>
        <v>0</v>
      </c>
      <c r="C504" s="14" t="str">
        <f>Hours!$A$23</f>
        <v>Lighting Contactor &gt; 100A</v>
      </c>
      <c r="D504" s="15">
        <f t="shared" si="14"/>
        <v>0</v>
      </c>
      <c r="E504" s="16"/>
      <c r="F504" s="17"/>
      <c r="G504" s="17"/>
      <c r="H504" s="17"/>
      <c r="I504" s="17"/>
      <c r="J504" s="17"/>
      <c r="K504" s="12"/>
      <c r="L504" s="12"/>
      <c r="M504" s="12"/>
      <c r="N504" s="12"/>
      <c r="O504" s="12"/>
      <c r="P504" s="12"/>
      <c r="Q504" s="17"/>
      <c r="R504" s="18">
        <f>IF(SUMPRODUCT((E504:Q504)*1)=0,0,E504*INDEX(Hours!M:M,MATCH(C504,Hours!$A:$A,0))+F504*INDEX(Hours!B:B,MATCH(C504,Hours!$A:$A,0))+G504*INDEX(Hours!C:C,MATCH(C504,Hours!$A:$A,0))+H504*INDEX(Hours!D:D,MATCH(C504,Hours!$A:$A,0))+I504*INDEX(Hours!E:E,MATCH(C504,Hours!$A:$A,0))+J504*INDEX(Hours!F:F,MATCH(C504,Hours!$A:$A,0)))</f>
        <v>0</v>
      </c>
      <c r="S504" s="19">
        <f t="shared" si="15"/>
        <v>0</v>
      </c>
    </row>
    <row r="505" spans="1:19" x14ac:dyDescent="0.25">
      <c r="A505" s="15" t="str">
        <f>'Bldgs &amp; Rooms'!$A$15</f>
        <v>Main Bldg.</v>
      </c>
      <c r="B505" s="15">
        <f>'Bldgs &amp; Rooms'!$B$15</f>
        <v>0</v>
      </c>
      <c r="C505" s="14" t="str">
        <f>Hours!$A$24</f>
        <v>Power Distribution Unit (PDU)</v>
      </c>
      <c r="D505" s="15">
        <f t="shared" si="14"/>
        <v>0</v>
      </c>
      <c r="E505" s="16"/>
      <c r="F505" s="17"/>
      <c r="G505" s="17"/>
      <c r="H505" s="17"/>
      <c r="I505" s="17"/>
      <c r="J505" s="17"/>
      <c r="K505" s="12"/>
      <c r="L505" s="12"/>
      <c r="M505" s="12"/>
      <c r="N505" s="12"/>
      <c r="O505" s="12"/>
      <c r="P505" s="12"/>
      <c r="Q505" s="17"/>
      <c r="R505" s="18">
        <f>IF(SUMPRODUCT((E505:Q505)*1)=0,0,E505*INDEX(Hours!M:M,MATCH(C505,Hours!$A:$A,0))+F505*INDEX(Hours!B:B,MATCH(C505,Hours!$A:$A,0))+G505*INDEX(Hours!C:C,MATCH(C505,Hours!$A:$A,0))+H505*INDEX(Hours!D:D,MATCH(C505,Hours!$A:$A,0))+I505*INDEX(Hours!E:E,MATCH(C505,Hours!$A:$A,0))+J505*INDEX(Hours!F:F,MATCH(C505,Hours!$A:$A,0)))</f>
        <v>0</v>
      </c>
      <c r="S505" s="19">
        <f t="shared" si="15"/>
        <v>0</v>
      </c>
    </row>
    <row r="506" spans="1:19" x14ac:dyDescent="0.25">
      <c r="A506" s="15" t="str">
        <f>'Bldgs &amp; Rooms'!$A$15</f>
        <v>Main Bldg.</v>
      </c>
      <c r="B506" s="15">
        <f>'Bldgs &amp; Rooms'!$B$15</f>
        <v>0</v>
      </c>
      <c r="C506" s="14" t="str">
        <f>Hours!$A$25</f>
        <v>Wire Trough, Gutter, or Large Junction Boxes</v>
      </c>
      <c r="D506" s="15">
        <f t="shared" si="14"/>
        <v>0</v>
      </c>
      <c r="E506" s="16"/>
      <c r="F506" s="17"/>
      <c r="G506" s="17"/>
      <c r="H506" s="17"/>
      <c r="I506" s="17"/>
      <c r="J506" s="17"/>
      <c r="K506" s="12"/>
      <c r="L506" s="12"/>
      <c r="M506" s="12"/>
      <c r="N506" s="12"/>
      <c r="O506" s="12"/>
      <c r="P506" s="12"/>
      <c r="Q506" s="17"/>
      <c r="R506" s="18">
        <f>IF(SUMPRODUCT((E506:Q506)*1)=0,0,E506*INDEX(Hours!M:M,MATCH(C506,Hours!$A:$A,0))+F506*INDEX(Hours!B:B,MATCH(C506,Hours!$A:$A,0))+G506*INDEX(Hours!C:C,MATCH(C506,Hours!$A:$A,0))+H506*INDEX(Hours!D:D,MATCH(C506,Hours!$A:$A,0))+I506*INDEX(Hours!E:E,MATCH(C506,Hours!$A:$A,0))+J506*INDEX(Hours!F:F,MATCH(C506,Hours!$A:$A,0)))</f>
        <v>0</v>
      </c>
      <c r="S506" s="19">
        <f t="shared" si="15"/>
        <v>0</v>
      </c>
    </row>
    <row r="507" spans="1:19" x14ac:dyDescent="0.25">
      <c r="A507" s="15" t="str">
        <f>'Bldgs &amp; Rooms'!$A$15</f>
        <v>Main Bldg.</v>
      </c>
      <c r="B507" s="15">
        <f>'Bldgs &amp; Rooms'!$B$15</f>
        <v>0</v>
      </c>
      <c r="C507" s="14" t="str">
        <f>Hours!$A$26</f>
        <v>Bus Duct - Vertical or Horizontal (Per 10' section)</v>
      </c>
      <c r="D507" s="15">
        <f t="shared" si="14"/>
        <v>0</v>
      </c>
      <c r="E507" s="16"/>
      <c r="F507" s="17"/>
      <c r="G507" s="17"/>
      <c r="H507" s="17"/>
      <c r="I507" s="17"/>
      <c r="J507" s="17"/>
      <c r="K507" s="12"/>
      <c r="L507" s="12"/>
      <c r="M507" s="12"/>
      <c r="N507" s="12"/>
      <c r="O507" s="12"/>
      <c r="P507" s="12"/>
      <c r="Q507" s="17"/>
      <c r="R507" s="18">
        <f>IF(SUMPRODUCT((E507:Q507)*1)=0,0,E507*INDEX(Hours!M:M,MATCH(C507,Hours!$A:$A,0))+F507*INDEX(Hours!B:B,MATCH(C507,Hours!$A:$A,0))+G507*INDEX(Hours!C:C,MATCH(C507,Hours!$A:$A,0))+H507*INDEX(Hours!D:D,MATCH(C507,Hours!$A:$A,0))+I507*INDEX(Hours!E:E,MATCH(C507,Hours!$A:$A,0))+J507*INDEX(Hours!F:F,MATCH(C507,Hours!$A:$A,0)))</f>
        <v>0</v>
      </c>
      <c r="S507" s="19">
        <f t="shared" si="15"/>
        <v>0</v>
      </c>
    </row>
    <row r="508" spans="1:19" x14ac:dyDescent="0.25">
      <c r="A508" s="15" t="str">
        <f>'Bldgs &amp; Rooms'!$A$15</f>
        <v>Main Bldg.</v>
      </c>
      <c r="B508" s="15">
        <f>'Bldgs &amp; Rooms'!$B$15</f>
        <v>0</v>
      </c>
      <c r="C508" s="14" t="str">
        <f>Hours!$A$27</f>
        <v>Automatic Transfer Switch (ATS) &gt; 100A</v>
      </c>
      <c r="D508" s="15">
        <f t="shared" si="14"/>
        <v>0</v>
      </c>
      <c r="E508" s="16"/>
      <c r="F508" s="17"/>
      <c r="G508" s="17"/>
      <c r="H508" s="17"/>
      <c r="I508" s="17"/>
      <c r="J508" s="17"/>
      <c r="K508" s="12"/>
      <c r="L508" s="12"/>
      <c r="M508" s="12"/>
      <c r="N508" s="12"/>
      <c r="O508" s="12"/>
      <c r="P508" s="12"/>
      <c r="Q508" s="17"/>
      <c r="R508" s="18">
        <f>IF(SUMPRODUCT((E508:Q508)*1)=0,0,E508*INDEX(Hours!M:M,MATCH(C508,Hours!$A:$A,0))+F508*INDEX(Hours!B:B,MATCH(C508,Hours!$A:$A,0))+G508*INDEX(Hours!C:C,MATCH(C508,Hours!$A:$A,0))+H508*INDEX(Hours!D:D,MATCH(C508,Hours!$A:$A,0))+I508*INDEX(Hours!E:E,MATCH(C508,Hours!$A:$A,0))+J508*INDEX(Hours!F:F,MATCH(C508,Hours!$A:$A,0)))</f>
        <v>0</v>
      </c>
      <c r="S508" s="19">
        <f t="shared" si="15"/>
        <v>0</v>
      </c>
    </row>
    <row r="509" spans="1:19" x14ac:dyDescent="0.25">
      <c r="A509" s="15" t="str">
        <f>'Bldgs &amp; Rooms'!$A$15</f>
        <v>Main Bldg.</v>
      </c>
      <c r="B509" s="15">
        <f>'Bldgs &amp; Rooms'!$B$15</f>
        <v>0</v>
      </c>
      <c r="C509" s="14" t="str">
        <f>Hours!$A$28</f>
        <v>Manual Transfer Switch (MTS) &gt; 100A</v>
      </c>
      <c r="D509" s="15">
        <f t="shared" si="14"/>
        <v>0</v>
      </c>
      <c r="E509" s="16"/>
      <c r="F509" s="17"/>
      <c r="G509" s="17"/>
      <c r="H509" s="17"/>
      <c r="I509" s="17"/>
      <c r="J509" s="17"/>
      <c r="K509" s="12"/>
      <c r="L509" s="12"/>
      <c r="M509" s="12"/>
      <c r="N509" s="12"/>
      <c r="O509" s="12"/>
      <c r="P509" s="12"/>
      <c r="Q509" s="17"/>
      <c r="R509" s="18">
        <f>IF(SUMPRODUCT((E509:Q509)*1)=0,0,E509*INDEX(Hours!M:M,MATCH(C509,Hours!$A:$A,0))+F509*INDEX(Hours!B:B,MATCH(C509,Hours!$A:$A,0))+G509*INDEX(Hours!C:C,MATCH(C509,Hours!$A:$A,0))+H509*INDEX(Hours!D:D,MATCH(C509,Hours!$A:$A,0))+I509*INDEX(Hours!E:E,MATCH(C509,Hours!$A:$A,0))+J509*INDEX(Hours!F:F,MATCH(C509,Hours!$A:$A,0)))</f>
        <v>0</v>
      </c>
      <c r="S509" s="19">
        <f t="shared" si="15"/>
        <v>0</v>
      </c>
    </row>
    <row r="510" spans="1:19" x14ac:dyDescent="0.25">
      <c r="A510" s="15" t="str">
        <f>'Bldgs &amp; Rooms'!$A$15</f>
        <v>Main Bldg.</v>
      </c>
      <c r="B510" s="15">
        <f>'Bldgs &amp; Rooms'!$B$15</f>
        <v>0</v>
      </c>
      <c r="C510" s="14" t="str">
        <f>Hours!$A$29</f>
        <v>Variable Frequency Drives (VFD) &lt; 50 HP</v>
      </c>
      <c r="D510" s="15">
        <f t="shared" si="14"/>
        <v>0</v>
      </c>
      <c r="E510" s="16"/>
      <c r="F510" s="17"/>
      <c r="G510" s="17"/>
      <c r="H510" s="17"/>
      <c r="I510" s="17"/>
      <c r="J510" s="17"/>
      <c r="K510" s="12"/>
      <c r="L510" s="12"/>
      <c r="M510" s="12"/>
      <c r="N510" s="12"/>
      <c r="O510" s="12"/>
      <c r="P510" s="12"/>
      <c r="Q510" s="17"/>
      <c r="R510" s="18">
        <f>IF(SUMPRODUCT((E510:Q510)*1)=0,0,E510*INDEX(Hours!M:M,MATCH(C510,Hours!$A:$A,0))+F510*INDEX(Hours!B:B,MATCH(C510,Hours!$A:$A,0))+G510*INDEX(Hours!C:C,MATCH(C510,Hours!$A:$A,0))+H510*INDEX(Hours!D:D,MATCH(C510,Hours!$A:$A,0))+I510*INDEX(Hours!E:E,MATCH(C510,Hours!$A:$A,0))+J510*INDEX(Hours!F:F,MATCH(C510,Hours!$A:$A,0)))</f>
        <v>0</v>
      </c>
      <c r="S510" s="19">
        <f t="shared" si="15"/>
        <v>0</v>
      </c>
    </row>
    <row r="511" spans="1:19" x14ac:dyDescent="0.25">
      <c r="A511" s="15" t="str">
        <f>'Bldgs &amp; Rooms'!$A$15</f>
        <v>Main Bldg.</v>
      </c>
      <c r="B511" s="15">
        <f>'Bldgs &amp; Rooms'!$B$15</f>
        <v>0</v>
      </c>
      <c r="C511" s="14" t="str">
        <f>Hours!$A$30</f>
        <v>Variable Frequency Drives (VFD) 51-200 HP</v>
      </c>
      <c r="D511" s="15">
        <f t="shared" si="14"/>
        <v>0</v>
      </c>
      <c r="E511" s="16"/>
      <c r="F511" s="17"/>
      <c r="G511" s="17"/>
      <c r="H511" s="17"/>
      <c r="I511" s="17"/>
      <c r="J511" s="17"/>
      <c r="K511" s="12"/>
      <c r="L511" s="12"/>
      <c r="M511" s="12"/>
      <c r="N511" s="12"/>
      <c r="O511" s="12"/>
      <c r="P511" s="12"/>
      <c r="Q511" s="17"/>
      <c r="R511" s="18">
        <f>IF(SUMPRODUCT((E511:Q511)*1)=0,0,E511*INDEX(Hours!M:M,MATCH(C511,Hours!$A:$A,0))+F511*INDEX(Hours!B:B,MATCH(C511,Hours!$A:$A,0))+G511*INDEX(Hours!C:C,MATCH(C511,Hours!$A:$A,0))+H511*INDEX(Hours!D:D,MATCH(C511,Hours!$A:$A,0))+I511*INDEX(Hours!E:E,MATCH(C511,Hours!$A:$A,0))+J511*INDEX(Hours!F:F,MATCH(C511,Hours!$A:$A,0)))</f>
        <v>0</v>
      </c>
      <c r="S511" s="19">
        <f t="shared" si="15"/>
        <v>0</v>
      </c>
    </row>
    <row r="512" spans="1:19" x14ac:dyDescent="0.25">
      <c r="A512" s="15" t="str">
        <f>'Bldgs &amp; Rooms'!$A$15</f>
        <v>Main Bldg.</v>
      </c>
      <c r="B512" s="15">
        <f>'Bldgs &amp; Rooms'!$B$15</f>
        <v>0</v>
      </c>
      <c r="C512" s="14" t="str">
        <f>Hours!$A$31</f>
        <v>Motors &lt; 50 HP</v>
      </c>
      <c r="D512" s="15">
        <f t="shared" si="14"/>
        <v>0</v>
      </c>
      <c r="E512" s="16"/>
      <c r="F512" s="17"/>
      <c r="G512" s="17"/>
      <c r="H512" s="17"/>
      <c r="I512" s="17"/>
      <c r="J512" s="17"/>
      <c r="K512" s="12"/>
      <c r="L512" s="12"/>
      <c r="M512" s="12"/>
      <c r="N512" s="12"/>
      <c r="O512" s="12"/>
      <c r="P512" s="12"/>
      <c r="Q512" s="17"/>
      <c r="R512" s="18">
        <f>IF(SUMPRODUCT((E512:Q512)*1)=0,0,E512*INDEX(Hours!M:M,MATCH(C512,Hours!$A:$A,0))+F512*INDEX(Hours!B:B,MATCH(C512,Hours!$A:$A,0))+G512*INDEX(Hours!C:C,MATCH(C512,Hours!$A:$A,0))+H512*INDEX(Hours!D:D,MATCH(C512,Hours!$A:$A,0))+I512*INDEX(Hours!E:E,MATCH(C512,Hours!$A:$A,0))+J512*INDEX(Hours!F:F,MATCH(C512,Hours!$A:$A,0)))</f>
        <v>0</v>
      </c>
      <c r="S512" s="19">
        <f t="shared" si="15"/>
        <v>0</v>
      </c>
    </row>
    <row r="513" spans="1:19" x14ac:dyDescent="0.25">
      <c r="A513" s="15" t="str">
        <f>'Bldgs &amp; Rooms'!$A$15</f>
        <v>Main Bldg.</v>
      </c>
      <c r="B513" s="15">
        <f>'Bldgs &amp; Rooms'!$B$15</f>
        <v>0</v>
      </c>
      <c r="C513" s="14" t="str">
        <f>Hours!$A$32</f>
        <v>Motors 51-200 HP</v>
      </c>
      <c r="D513" s="15">
        <f t="shared" si="14"/>
        <v>0</v>
      </c>
      <c r="E513" s="16"/>
      <c r="F513" s="17"/>
      <c r="G513" s="17"/>
      <c r="H513" s="17"/>
      <c r="I513" s="17"/>
      <c r="J513" s="17"/>
      <c r="K513" s="12"/>
      <c r="L513" s="12"/>
      <c r="M513" s="12"/>
      <c r="N513" s="12"/>
      <c r="O513" s="12"/>
      <c r="P513" s="12"/>
      <c r="Q513" s="17"/>
      <c r="R513" s="18">
        <f>IF(SUMPRODUCT((E513:Q513)*1)=0,0,E513*INDEX(Hours!M:M,MATCH(C513,Hours!$A:$A,0))+F513*INDEX(Hours!B:B,MATCH(C513,Hours!$A:$A,0))+G513*INDEX(Hours!C:C,MATCH(C513,Hours!$A:$A,0))+H513*INDEX(Hours!D:D,MATCH(C513,Hours!$A:$A,0))+I513*INDEX(Hours!E:E,MATCH(C513,Hours!$A:$A,0))+J513*INDEX(Hours!F:F,MATCH(C513,Hours!$A:$A,0)))</f>
        <v>0</v>
      </c>
      <c r="S513" s="19">
        <f t="shared" si="15"/>
        <v>0</v>
      </c>
    </row>
    <row r="514" spans="1:19" x14ac:dyDescent="0.25">
      <c r="A514" s="15" t="str">
        <f>'Bldgs &amp; Rooms'!$A$15</f>
        <v>Main Bldg.</v>
      </c>
      <c r="B514" s="15">
        <f>'Bldgs &amp; Rooms'!$B$15</f>
        <v>0</v>
      </c>
      <c r="C514" s="14" t="str">
        <f>Hours!$A$33</f>
        <v>Motors 201-500 HP</v>
      </c>
      <c r="D514" s="15">
        <f t="shared" ref="D514:D577" si="16">MAX(E514+F514,G514,H514,I514,J514,K514,L514,M514,N514,O514,P514,Q514)</f>
        <v>0</v>
      </c>
      <c r="E514" s="16"/>
      <c r="F514" s="17"/>
      <c r="G514" s="17"/>
      <c r="H514" s="17"/>
      <c r="I514" s="17"/>
      <c r="J514" s="17"/>
      <c r="K514" s="12"/>
      <c r="L514" s="12"/>
      <c r="M514" s="12"/>
      <c r="N514" s="12"/>
      <c r="O514" s="12"/>
      <c r="P514" s="12"/>
      <c r="Q514" s="17"/>
      <c r="R514" s="18">
        <f>IF(SUMPRODUCT((E514:Q514)*1)=0,0,E514*INDEX(Hours!M:M,MATCH(C514,Hours!$A:$A,0))+F514*INDEX(Hours!B:B,MATCH(C514,Hours!$A:$A,0))+G514*INDEX(Hours!C:C,MATCH(C514,Hours!$A:$A,0))+H514*INDEX(Hours!D:D,MATCH(C514,Hours!$A:$A,0))+I514*INDEX(Hours!E:E,MATCH(C514,Hours!$A:$A,0))+J514*INDEX(Hours!F:F,MATCH(C514,Hours!$A:$A,0)))</f>
        <v>0</v>
      </c>
      <c r="S514" s="19">
        <f t="shared" ref="S514:S577" si="17">MAX(E514+F514,G514,H514,I514,J514,K514,L514,M514,N514,O514,P514,Q514)</f>
        <v>0</v>
      </c>
    </row>
    <row r="515" spans="1:19" x14ac:dyDescent="0.25">
      <c r="A515" s="15" t="str">
        <f>'Bldgs &amp; Rooms'!$A$15</f>
        <v>Main Bldg.</v>
      </c>
      <c r="B515" s="15">
        <f>'Bldgs &amp; Rooms'!$B$15</f>
        <v>0</v>
      </c>
      <c r="C515" s="14" t="str">
        <f>Hours!$A$34</f>
        <v>Compressed Air Equipment</v>
      </c>
      <c r="D515" s="15">
        <f t="shared" si="16"/>
        <v>0</v>
      </c>
      <c r="E515" s="16"/>
      <c r="F515" s="17"/>
      <c r="G515" s="17"/>
      <c r="H515" s="17"/>
      <c r="I515" s="17"/>
      <c r="J515" s="17"/>
      <c r="K515" s="12"/>
      <c r="L515" s="12"/>
      <c r="M515" s="12"/>
      <c r="N515" s="12"/>
      <c r="O515" s="12"/>
      <c r="P515" s="12"/>
      <c r="Q515" s="17"/>
      <c r="R515" s="18">
        <f>IF(SUMPRODUCT((E515:Q515)*1)=0,0,E515*INDEX(Hours!M:M,MATCH(C515,Hours!$A:$A,0))+F515*INDEX(Hours!B:B,MATCH(C515,Hours!$A:$A,0))+G515*INDEX(Hours!C:C,MATCH(C515,Hours!$A:$A,0))+H515*INDEX(Hours!D:D,MATCH(C515,Hours!$A:$A,0))+I515*INDEX(Hours!E:E,MATCH(C515,Hours!$A:$A,0))+J515*INDEX(Hours!F:F,MATCH(C515,Hours!$A:$A,0)))</f>
        <v>0</v>
      </c>
      <c r="S515" s="19">
        <f t="shared" si="17"/>
        <v>0</v>
      </c>
    </row>
    <row r="516" spans="1:19" x14ac:dyDescent="0.25">
      <c r="A516" s="15" t="str">
        <f>'Bldgs &amp; Rooms'!$A$15</f>
        <v>Main Bldg.</v>
      </c>
      <c r="B516" s="15">
        <f>'Bldgs &amp; Rooms'!$B$15</f>
        <v>0</v>
      </c>
      <c r="C516" s="14" t="str">
        <f>Hours!$A$35</f>
        <v>HVAC Equipment (Large)</v>
      </c>
      <c r="D516" s="15">
        <f t="shared" si="16"/>
        <v>0</v>
      </c>
      <c r="E516" s="16"/>
      <c r="F516" s="17"/>
      <c r="G516" s="17"/>
      <c r="H516" s="17"/>
      <c r="I516" s="17"/>
      <c r="J516" s="17"/>
      <c r="K516" s="12"/>
      <c r="L516" s="12"/>
      <c r="M516" s="12"/>
      <c r="N516" s="12"/>
      <c r="O516" s="12"/>
      <c r="P516" s="12"/>
      <c r="Q516" s="17"/>
      <c r="R516" s="18">
        <f>IF(SUMPRODUCT((E516:Q516)*1)=0,0,E516*INDEX(Hours!M:M,MATCH(C516,Hours!$A:$A,0))+F516*INDEX(Hours!B:B,MATCH(C516,Hours!$A:$A,0))+G516*INDEX(Hours!C:C,MATCH(C516,Hours!$A:$A,0))+H516*INDEX(Hours!D:D,MATCH(C516,Hours!$A:$A,0))+I516*INDEX(Hours!E:E,MATCH(C516,Hours!$A:$A,0))+J516*INDEX(Hours!F:F,MATCH(C516,Hours!$A:$A,0)))</f>
        <v>0</v>
      </c>
      <c r="S516" s="19">
        <f t="shared" si="17"/>
        <v>0</v>
      </c>
    </row>
    <row r="517" spans="1:19" x14ac:dyDescent="0.25">
      <c r="A517" s="15" t="str">
        <f>'Bldgs &amp; Rooms'!$A$15</f>
        <v>Main Bldg.</v>
      </c>
      <c r="B517" s="15">
        <f>'Bldgs &amp; Rooms'!$B$15</f>
        <v>0</v>
      </c>
      <c r="C517" s="14" t="str">
        <f>Hours!$A$36</f>
        <v>HVAC Equipment (Small)</v>
      </c>
      <c r="D517" s="15">
        <f t="shared" si="16"/>
        <v>0</v>
      </c>
      <c r="E517" s="16"/>
      <c r="F517" s="17"/>
      <c r="G517" s="17"/>
      <c r="H517" s="17"/>
      <c r="I517" s="17"/>
      <c r="J517" s="17"/>
      <c r="K517" s="12"/>
      <c r="L517" s="12"/>
      <c r="M517" s="12"/>
      <c r="N517" s="12"/>
      <c r="O517" s="12"/>
      <c r="P517" s="12"/>
      <c r="Q517" s="17"/>
      <c r="R517" s="18">
        <f>IF(SUMPRODUCT((E517:Q517)*1)=0,0,E517*INDEX(Hours!M:M,MATCH(C517,Hours!$A:$A,0))+F517*INDEX(Hours!B:B,MATCH(C517,Hours!$A:$A,0))+G517*INDEX(Hours!C:C,MATCH(C517,Hours!$A:$A,0))+H517*INDEX(Hours!D:D,MATCH(C517,Hours!$A:$A,0))+I517*INDEX(Hours!E:E,MATCH(C517,Hours!$A:$A,0))+J517*INDEX(Hours!F:F,MATCH(C517,Hours!$A:$A,0)))</f>
        <v>0</v>
      </c>
      <c r="S517" s="19">
        <f t="shared" si="17"/>
        <v>0</v>
      </c>
    </row>
    <row r="518" spans="1:19" x14ac:dyDescent="0.25">
      <c r="A518" s="15" t="str">
        <f>'Bldgs &amp; Rooms'!$A$15</f>
        <v>Main Bldg.</v>
      </c>
      <c r="B518" s="15">
        <f>'Bldgs &amp; Rooms'!$B$15</f>
        <v>0</v>
      </c>
      <c r="C518" s="14" t="str">
        <f>Hours!$A$37</f>
        <v>Uninterruptible Power Supply (UPS) &lt; 50kVA</v>
      </c>
      <c r="D518" s="15">
        <f t="shared" si="16"/>
        <v>0</v>
      </c>
      <c r="E518" s="16"/>
      <c r="F518" s="17"/>
      <c r="G518" s="17"/>
      <c r="H518" s="17"/>
      <c r="I518" s="17"/>
      <c r="J518" s="17"/>
      <c r="K518" s="12"/>
      <c r="L518" s="12"/>
      <c r="M518" s="12"/>
      <c r="N518" s="12"/>
      <c r="O518" s="12"/>
      <c r="P518" s="12"/>
      <c r="Q518" s="17"/>
      <c r="R518" s="18">
        <f>IF(SUMPRODUCT((E518:Q518)*1)=0,0,E518*INDEX(Hours!M:M,MATCH(C518,Hours!$A:$A,0))+F518*INDEX(Hours!B:B,MATCH(C518,Hours!$A:$A,0))+G518*INDEX(Hours!C:C,MATCH(C518,Hours!$A:$A,0))+H518*INDEX(Hours!D:D,MATCH(C518,Hours!$A:$A,0))+I518*INDEX(Hours!E:E,MATCH(C518,Hours!$A:$A,0))+J518*INDEX(Hours!F:F,MATCH(C518,Hours!$A:$A,0)))</f>
        <v>0</v>
      </c>
      <c r="S518" s="19">
        <f t="shared" si="17"/>
        <v>0</v>
      </c>
    </row>
    <row r="519" spans="1:19" x14ac:dyDescent="0.25">
      <c r="A519" s="15" t="str">
        <f>'Bldgs &amp; Rooms'!$A$15</f>
        <v>Main Bldg.</v>
      </c>
      <c r="B519" s="15">
        <f>'Bldgs &amp; Rooms'!$B$15</f>
        <v>0</v>
      </c>
      <c r="C519" s="14" t="str">
        <f>Hours!$A$38</f>
        <v>Uninterruptible Power Supply (UPS) &gt; 50kVA</v>
      </c>
      <c r="D519" s="15">
        <f t="shared" si="16"/>
        <v>0</v>
      </c>
      <c r="E519" s="16"/>
      <c r="F519" s="17"/>
      <c r="G519" s="17"/>
      <c r="H519" s="17"/>
      <c r="I519" s="17"/>
      <c r="J519" s="17"/>
      <c r="K519" s="12"/>
      <c r="L519" s="12"/>
      <c r="M519" s="12"/>
      <c r="N519" s="12"/>
      <c r="O519" s="12"/>
      <c r="P519" s="12"/>
      <c r="Q519" s="17"/>
      <c r="R519" s="18">
        <f>IF(SUMPRODUCT((E519:Q519)*1)=0,0,E519*INDEX(Hours!M:M,MATCH(C519,Hours!$A:$A,0))+F519*INDEX(Hours!B:B,MATCH(C519,Hours!$A:$A,0))+G519*INDEX(Hours!C:C,MATCH(C519,Hours!$A:$A,0))+H519*INDEX(Hours!D:D,MATCH(C519,Hours!$A:$A,0))+I519*INDEX(Hours!E:E,MATCH(C519,Hours!$A:$A,0))+J519*INDEX(Hours!F:F,MATCH(C519,Hours!$A:$A,0)))</f>
        <v>0</v>
      </c>
      <c r="S519" s="19">
        <f t="shared" si="17"/>
        <v>0</v>
      </c>
    </row>
    <row r="520" spans="1:19" x14ac:dyDescent="0.25">
      <c r="A520" s="11" t="str">
        <f>'Bldgs &amp; Rooms'!$A$16</f>
        <v>Main Bldg.</v>
      </c>
      <c r="B520" s="11">
        <f>'Bldgs &amp; Rooms'!$B$16</f>
        <v>0</v>
      </c>
      <c r="C520" s="10" t="str">
        <f>Hours!$A$2</f>
        <v>Switchgear - Incoming Main Service (Per Section)</v>
      </c>
      <c r="D520" s="11">
        <f t="shared" si="16"/>
        <v>0</v>
      </c>
      <c r="E520" s="16"/>
      <c r="F520" s="17"/>
      <c r="G520" s="17"/>
      <c r="H520" s="17"/>
      <c r="I520" s="17"/>
      <c r="J520" s="17"/>
      <c r="K520" s="17"/>
      <c r="L520" s="17"/>
      <c r="M520" s="12"/>
      <c r="N520" s="12"/>
      <c r="O520" s="17"/>
      <c r="P520" s="12"/>
      <c r="Q520" s="17"/>
      <c r="R520" s="18">
        <f>IF(SUMPRODUCT((E520:Q520)*1)=0,0,E520*INDEX(Hours!M:M,MATCH(C520,Hours!$A:$A,0))+F520*INDEX(Hours!B:B,MATCH(C520,Hours!$A:$A,0))+G520*INDEX(Hours!C:C,MATCH(C520,Hours!$A:$A,0))+H520*INDEX(Hours!D:D,MATCH(C520,Hours!$A:$A,0))+I520*INDEX(Hours!E:E,MATCH(C520,Hours!$A:$A,0))+J520*INDEX(Hours!F:F,MATCH(C520,Hours!$A:$A,0))+K520*INDEX(Hours!G:G,MATCH(C520,Hours!$A:$A,0))+L520*INDEX(Hours!H:H,MATCH(C520,Hours!$A:$A,0))+O520*INDEX(Hours!K:K,MATCH(C520,Hours!$A:$A,0)))</f>
        <v>0</v>
      </c>
      <c r="S520" s="19">
        <f t="shared" si="17"/>
        <v>0</v>
      </c>
    </row>
    <row r="521" spans="1:19" x14ac:dyDescent="0.25">
      <c r="A521" s="11" t="str">
        <f>'Bldgs &amp; Rooms'!$A$16</f>
        <v>Main Bldg.</v>
      </c>
      <c r="B521" s="11">
        <f>'Bldgs &amp; Rooms'!$B$16</f>
        <v>0</v>
      </c>
      <c r="C521" s="10" t="str">
        <f>Hours!$A$3</f>
        <v xml:space="preserve">  Switchgear Insulated Case Breakers (Bus Mounted)</v>
      </c>
      <c r="D521" s="11">
        <f t="shared" si="16"/>
        <v>0</v>
      </c>
      <c r="E521" s="16"/>
      <c r="F521" s="17"/>
      <c r="G521" s="17"/>
      <c r="H521" s="17"/>
      <c r="I521" s="17"/>
      <c r="J521" s="17"/>
      <c r="K521" s="17"/>
      <c r="L521" s="12"/>
      <c r="M521" s="12"/>
      <c r="N521" s="12"/>
      <c r="O521" s="12"/>
      <c r="P521" s="12"/>
      <c r="Q521" s="17"/>
      <c r="R521" s="18">
        <f>IF(SUMPRODUCT((E521:Q521)*1)=0,0,E521*INDEX(Hours!M:M,MATCH(C521,Hours!$A:$A,0))+F521*INDEX(Hours!B:B,MATCH(C521,Hours!$A:$A,0))+G521*INDEX(Hours!C:C,MATCH(C521,Hours!$A:$A,0))+H521*INDEX(Hours!D:D,MATCH(C521,Hours!$A:$A,0))+I521*INDEX(Hours!E:E,MATCH(C521,Hours!$A:$A,0))+J521*INDEX(Hours!F:F,MATCH(C521,Hours!$A:$A,0))+K521*INDEX(Hours!G:G,MATCH(C521,Hours!$A:$A,0)))</f>
        <v>0</v>
      </c>
      <c r="S521" s="19">
        <f t="shared" si="17"/>
        <v>0</v>
      </c>
    </row>
    <row r="522" spans="1:19" x14ac:dyDescent="0.25">
      <c r="A522" s="11" t="str">
        <f>'Bldgs &amp; Rooms'!$A$16</f>
        <v>Main Bldg.</v>
      </c>
      <c r="B522" s="11">
        <f>'Bldgs &amp; Rooms'!$B$16</f>
        <v>0</v>
      </c>
      <c r="C522" s="10" t="str">
        <f>Hours!$A$4</f>
        <v xml:space="preserve">  SwitchGear Drawout Breakers</v>
      </c>
      <c r="D522" s="11">
        <f t="shared" si="16"/>
        <v>0</v>
      </c>
      <c r="E522" s="16"/>
      <c r="F522" s="17"/>
      <c r="G522" s="17"/>
      <c r="H522" s="17"/>
      <c r="I522" s="17"/>
      <c r="J522" s="17"/>
      <c r="K522" s="12"/>
      <c r="L522" s="17"/>
      <c r="M522" s="12"/>
      <c r="N522" s="12"/>
      <c r="O522" s="12"/>
      <c r="P522" s="12"/>
      <c r="Q522" s="17"/>
      <c r="R522" s="18">
        <f>IF(SUMPRODUCT((E522:Q522)*1)=0,0,E522*INDEX(Hours!M:M,MATCH(C522,Hours!$A:$A,0))+F522*INDEX(Hours!B:B,MATCH(C522,Hours!$A:$A,0))+G522*INDEX(Hours!C:C,MATCH(C522,Hours!$A:$A,0))+H522*INDEX(Hours!D:D,MATCH(C522,Hours!$A:$A,0))+I522*INDEX(Hours!E:E,MATCH(C522,Hours!$A:$A,0))+J522*INDEX(Hours!F:F,MATCH(C522,Hours!$A:$A,0))+L522*INDEX(Hours!H:H,MATCH(C522,Hours!$A:$A,0)))</f>
        <v>0</v>
      </c>
      <c r="S522" s="19">
        <f t="shared" si="17"/>
        <v>0</v>
      </c>
    </row>
    <row r="523" spans="1:19" x14ac:dyDescent="0.25">
      <c r="A523" s="11" t="str">
        <f>'Bldgs &amp; Rooms'!$A$16</f>
        <v>Main Bldg.</v>
      </c>
      <c r="B523" s="11">
        <f>'Bldgs &amp; Rooms'!$B$16</f>
        <v>0</v>
      </c>
      <c r="C523" s="10" t="str">
        <f>Hours!$A$5</f>
        <v>Distribution Switchboard Multi Cover (Per Section)</v>
      </c>
      <c r="D523" s="11">
        <f t="shared" si="16"/>
        <v>0</v>
      </c>
      <c r="E523" s="16"/>
      <c r="F523" s="17"/>
      <c r="G523" s="17"/>
      <c r="H523" s="17"/>
      <c r="I523" s="17"/>
      <c r="J523" s="17"/>
      <c r="K523" s="17"/>
      <c r="L523" s="12"/>
      <c r="M523" s="12"/>
      <c r="N523" s="12"/>
      <c r="O523" s="17"/>
      <c r="P523" s="12"/>
      <c r="Q523" s="17"/>
      <c r="R523" s="18">
        <f>IF(SUMPRODUCT((E523:Q523)*1)=0,0,E523*INDEX(Hours!M:M,MATCH(C523,Hours!$A:$A,0))+F523*INDEX(Hours!B:B,MATCH(C523,Hours!$A:$A,0))+G523*INDEX(Hours!C:C,MATCH(C523,Hours!$A:$A,0))+H523*INDEX(Hours!D:D,MATCH(C523,Hours!$A:$A,0))+I523*INDEX(Hours!E:E,MATCH(C523,Hours!$A:$A,0))+J523*INDEX(Hours!F:F,MATCH(C523,Hours!$A:$A,0))+K523*INDEX(Hours!G:G,MATCH(C523,Hours!$A:$A,0))+O523*INDEX(Hours!K:K,MATCH(C523,Hours!$A:$A,0)))</f>
        <v>0</v>
      </c>
      <c r="S523" s="19">
        <f t="shared" si="17"/>
        <v>0</v>
      </c>
    </row>
    <row r="524" spans="1:19" x14ac:dyDescent="0.25">
      <c r="A524" s="11" t="str">
        <f>'Bldgs &amp; Rooms'!$A$16</f>
        <v>Main Bldg.</v>
      </c>
      <c r="B524" s="11">
        <f>'Bldgs &amp; Rooms'!$B$16</f>
        <v>0</v>
      </c>
      <c r="C524" s="10" t="str">
        <f>Hours!$A$6</f>
        <v xml:space="preserve">  Switchboard Disconnects</v>
      </c>
      <c r="D524" s="11">
        <f t="shared" si="16"/>
        <v>0</v>
      </c>
      <c r="E524" s="16"/>
      <c r="F524" s="17"/>
      <c r="G524" s="17"/>
      <c r="H524" s="17"/>
      <c r="I524" s="17"/>
      <c r="J524" s="17"/>
      <c r="K524" s="12"/>
      <c r="L524" s="12"/>
      <c r="M524" s="12"/>
      <c r="N524" s="12"/>
      <c r="O524" s="12"/>
      <c r="P524" s="12"/>
      <c r="Q524" s="17"/>
      <c r="R524" s="18">
        <f>IF(SUMPRODUCT((E524:Q524)*1)=0,0,E524*INDEX(Hours!M:M,MATCH(C524,Hours!$A:$A,0))+F524*INDEX(Hours!B:B,MATCH(C524,Hours!$A:$A,0))+G524*INDEX(Hours!C:C,MATCH(C524,Hours!$A:$A,0))+H524*INDEX(Hours!D:D,MATCH(C524,Hours!$A:$A,0))+I524*INDEX(Hours!E:E,MATCH(C524,Hours!$A:$A,0))+J524*INDEX(Hours!F:F,MATCH(C524,Hours!$A:$A,0)))</f>
        <v>0</v>
      </c>
      <c r="S524" s="19">
        <f t="shared" si="17"/>
        <v>0</v>
      </c>
    </row>
    <row r="525" spans="1:19" x14ac:dyDescent="0.25">
      <c r="A525" s="11" t="str">
        <f>'Bldgs &amp; Rooms'!$A$16</f>
        <v>Main Bldg.</v>
      </c>
      <c r="B525" s="11">
        <f>'Bldgs &amp; Rooms'!$B$16</f>
        <v>0</v>
      </c>
      <c r="C525" s="10" t="str">
        <f>Hours!$A$7</f>
        <v xml:space="preserve">  Switchboard Molded Case Breakers</v>
      </c>
      <c r="D525" s="11">
        <f t="shared" si="16"/>
        <v>0</v>
      </c>
      <c r="E525" s="16"/>
      <c r="F525" s="17"/>
      <c r="G525" s="17"/>
      <c r="H525" s="17"/>
      <c r="I525" s="17"/>
      <c r="J525" s="17"/>
      <c r="K525" s="17"/>
      <c r="L525" s="12"/>
      <c r="M525" s="12"/>
      <c r="N525" s="12"/>
      <c r="O525" s="12"/>
      <c r="P525" s="12"/>
      <c r="Q525" s="17"/>
      <c r="R525" s="18">
        <f>IF(SUMPRODUCT((E525:Q525)*1)=0,0,E525*INDEX(Hours!M:M,MATCH(C525,Hours!$A:$A,0))+F525*INDEX(Hours!B:B,MATCH(C525,Hours!$A:$A,0))+G525*INDEX(Hours!C:C,MATCH(C525,Hours!$A:$A,0))+H525*INDEX(Hours!D:D,MATCH(C525,Hours!$A:$A,0))+I525*INDEX(Hours!E:E,MATCH(C525,Hours!$A:$A,0))+J525*INDEX(Hours!F:F,MATCH(C525,Hours!$A:$A,0))+K525*INDEX(Hours!G:G,MATCH(C525,Hours!$A:$A,0)))</f>
        <v>0</v>
      </c>
      <c r="S525" s="19">
        <f t="shared" si="17"/>
        <v>0</v>
      </c>
    </row>
    <row r="526" spans="1:19" x14ac:dyDescent="0.25">
      <c r="A526" s="11" t="str">
        <f>'Bldgs &amp; Rooms'!$A$16</f>
        <v>Main Bldg.</v>
      </c>
      <c r="B526" s="11">
        <f>'Bldgs &amp; Rooms'!$B$16</f>
        <v>0</v>
      </c>
      <c r="C526" s="10" t="str">
        <f>Hours!$A$8</f>
        <v>Panelboard-Single Cover &gt; 400A (Distribution Panel)</v>
      </c>
      <c r="D526" s="11">
        <f t="shared" si="16"/>
        <v>0</v>
      </c>
      <c r="E526" s="16"/>
      <c r="F526" s="17"/>
      <c r="G526" s="17"/>
      <c r="H526" s="17"/>
      <c r="I526" s="17"/>
      <c r="J526" s="17"/>
      <c r="K526" s="17"/>
      <c r="L526" s="12"/>
      <c r="M526" s="12"/>
      <c r="N526" s="12"/>
      <c r="O526" s="17"/>
      <c r="P526" s="12"/>
      <c r="Q526" s="17"/>
      <c r="R526" s="18">
        <f>IF(SUMPRODUCT((E526:Q526)*1)=0,0,E526*INDEX(Hours!M:M,MATCH(C526,Hours!$A:$A,0))+F526*INDEX(Hours!B:B,MATCH(C526,Hours!$A:$A,0))+G526*INDEX(Hours!C:C,MATCH(C526,Hours!$A:$A,0))+H526*INDEX(Hours!D:D,MATCH(C526,Hours!$A:$A,0))+I526*INDEX(Hours!E:E,MATCH(C526,Hours!$A:$A,0))+J526*INDEX(Hours!F:F,MATCH(C526,Hours!$A:$A,0))+K526*INDEX(Hours!G:G,MATCH(C526,Hours!$A:$A,0))+O526*INDEX(Hours!K:K,MATCH(C526,Hours!$A:$A,0)))</f>
        <v>0</v>
      </c>
      <c r="S526" s="19">
        <f t="shared" si="17"/>
        <v>0</v>
      </c>
    </row>
    <row r="527" spans="1:19" x14ac:dyDescent="0.25">
      <c r="A527" s="11" t="str">
        <f>'Bldgs &amp; Rooms'!$A$16</f>
        <v>Main Bldg.</v>
      </c>
      <c r="B527" s="11">
        <f>'Bldgs &amp; Rooms'!$B$16</f>
        <v>0</v>
      </c>
      <c r="C527" s="10" t="str">
        <f>Hours!$A$9</f>
        <v>Panelboard-Single Cover &lt; 400A (Branch Ckt Panel)</v>
      </c>
      <c r="D527" s="11">
        <f t="shared" si="16"/>
        <v>0</v>
      </c>
      <c r="E527" s="16"/>
      <c r="F527" s="17"/>
      <c r="G527" s="17"/>
      <c r="H527" s="17"/>
      <c r="I527" s="17"/>
      <c r="J527" s="17"/>
      <c r="K527" s="12"/>
      <c r="L527" s="12"/>
      <c r="M527" s="12"/>
      <c r="N527" s="12"/>
      <c r="O527" s="17"/>
      <c r="P527" s="12"/>
      <c r="Q527" s="17"/>
      <c r="R527" s="18">
        <f>IF(SUMPRODUCT((E527:Q527)*1)=0,0,E527*INDEX(Hours!M:M,MATCH(C527,Hours!$A:$A,0))+F527*INDEX(Hours!B:B,MATCH(C527,Hours!$A:$A,0))+G527*INDEX(Hours!C:C,MATCH(C527,Hours!$A:$A,0))+H527*INDEX(Hours!D:D,MATCH(C527,Hours!$A:$A,0))+I527*INDEX(Hours!E:E,MATCH(C527,Hours!$A:$A,0))+J527*INDEX(Hours!F:F,MATCH(C527,Hours!$A:$A,0))+O527*INDEX(Hours!K:K,MATCH(C527,Hours!$A:$A,0)))</f>
        <v>0</v>
      </c>
      <c r="S527" s="19">
        <f t="shared" si="17"/>
        <v>0</v>
      </c>
    </row>
    <row r="528" spans="1:19" x14ac:dyDescent="0.25">
      <c r="A528" s="11" t="str">
        <f>'Bldgs &amp; Rooms'!$A$16</f>
        <v>Main Bldg.</v>
      </c>
      <c r="B528" s="11">
        <f>'Bldgs &amp; Rooms'!$B$16</f>
        <v>0</v>
      </c>
      <c r="C528" s="10" t="str">
        <f>Hours!$A$10</f>
        <v>Motor Control Center (MCC-Per Vertical Section)</v>
      </c>
      <c r="D528" s="11">
        <f t="shared" si="16"/>
        <v>0</v>
      </c>
      <c r="E528" s="16"/>
      <c r="F528" s="17"/>
      <c r="G528" s="17"/>
      <c r="H528" s="17"/>
      <c r="I528" s="17"/>
      <c r="J528" s="17"/>
      <c r="K528" s="12"/>
      <c r="L528" s="12"/>
      <c r="M528" s="12"/>
      <c r="N528" s="12"/>
      <c r="O528" s="17"/>
      <c r="P528" s="12"/>
      <c r="Q528" s="17"/>
      <c r="R528" s="18">
        <f>IF(SUMPRODUCT((E528:Q528)*1)=0,0,E528*INDEX(Hours!M:M,MATCH(C528,Hours!$A:$A,0))+F528*INDEX(Hours!B:B,MATCH(C528,Hours!$A:$A,0))+G528*INDEX(Hours!C:C,MATCH(C528,Hours!$A:$A,0))+H528*INDEX(Hours!D:D,MATCH(C528,Hours!$A:$A,0))+I528*INDEX(Hours!E:E,MATCH(C528,Hours!$A:$A,0))+J528*INDEX(Hours!F:F,MATCH(C528,Hours!$A:$A,0))+O528*INDEX(Hours!K:K,MATCH(C528,Hours!$A:$A,0)))</f>
        <v>0</v>
      </c>
      <c r="S528" s="19">
        <f t="shared" si="17"/>
        <v>0</v>
      </c>
    </row>
    <row r="529" spans="1:19" x14ac:dyDescent="0.25">
      <c r="A529" s="11" t="str">
        <f>'Bldgs &amp; Rooms'!$A$16</f>
        <v>Main Bldg.</v>
      </c>
      <c r="B529" s="11">
        <f>'Bldgs &amp; Rooms'!$B$16</f>
        <v>0</v>
      </c>
      <c r="C529" s="10" t="str">
        <f>Hours!$A$11</f>
        <v xml:space="preserve">  MCC: Combination Motor Starters</v>
      </c>
      <c r="D529" s="11">
        <f t="shared" si="16"/>
        <v>0</v>
      </c>
      <c r="E529" s="16"/>
      <c r="F529" s="17"/>
      <c r="G529" s="17"/>
      <c r="H529" s="17"/>
      <c r="I529" s="17"/>
      <c r="J529" s="17"/>
      <c r="K529" s="17"/>
      <c r="L529" s="12"/>
      <c r="M529" s="12"/>
      <c r="N529" s="12"/>
      <c r="O529" s="17"/>
      <c r="P529" s="12"/>
      <c r="Q529" s="17"/>
      <c r="R529" s="18">
        <f>IF(SUMPRODUCT((E529:Q529)*1)=0,0,E529*INDEX(Hours!M:M,MATCH(C529,Hours!$A:$A,0))+F529*INDEX(Hours!B:B,MATCH(C529,Hours!$A:$A,0))+G529*INDEX(Hours!C:C,MATCH(C529,Hours!$A:$A,0))+H529*INDEX(Hours!D:D,MATCH(C529,Hours!$A:$A,0))+I529*INDEX(Hours!E:E,MATCH(C529,Hours!$A:$A,0))+J529*INDEX(Hours!F:F,MATCH(C529,Hours!$A:$A,0))+K529*INDEX(Hours!G:G,MATCH(C529,Hours!$A:$A,0))+O529*INDEX(Hours!K:K,MATCH(C529,Hours!$A:$A,0)))</f>
        <v>0</v>
      </c>
      <c r="S529" s="19">
        <f t="shared" si="17"/>
        <v>0</v>
      </c>
    </row>
    <row r="530" spans="1:19" x14ac:dyDescent="0.25">
      <c r="A530" s="11" t="str">
        <f>'Bldgs &amp; Rooms'!$A$16</f>
        <v>Main Bldg.</v>
      </c>
      <c r="B530" s="11">
        <f>'Bldgs &amp; Rooms'!$B$16</f>
        <v>0</v>
      </c>
      <c r="C530" s="10" t="str">
        <f>Hours!$A$12</f>
        <v xml:space="preserve">  MCC: Molded Case Breaker</v>
      </c>
      <c r="D530" s="11">
        <f t="shared" si="16"/>
        <v>0</v>
      </c>
      <c r="E530" s="16"/>
      <c r="F530" s="17"/>
      <c r="G530" s="17"/>
      <c r="H530" s="17"/>
      <c r="I530" s="17"/>
      <c r="J530" s="17"/>
      <c r="K530" s="17"/>
      <c r="L530" s="12"/>
      <c r="M530" s="12"/>
      <c r="N530" s="12"/>
      <c r="O530" s="12"/>
      <c r="P530" s="12"/>
      <c r="Q530" s="17"/>
      <c r="R530" s="18">
        <f>IF(SUMPRODUCT((E530:Q530)*1)=0,0,E530*INDEX(Hours!M:M,MATCH(C530,Hours!$A:$A,0))+F530*INDEX(Hours!B:B,MATCH(C530,Hours!$A:$A,0))+G530*INDEX(Hours!C:C,MATCH(C530,Hours!$A:$A,0))+H530*INDEX(Hours!D:D,MATCH(C530,Hours!$A:$A,0))+I530*INDEX(Hours!E:E,MATCH(C530,Hours!$A:$A,0))+J530*INDEX(Hours!F:F,MATCH(C530,Hours!$A:$A,0))+K530*INDEX(Hours!G:G,MATCH(C530,Hours!$A:$A,0)))</f>
        <v>0</v>
      </c>
      <c r="S530" s="19">
        <f t="shared" si="17"/>
        <v>0</v>
      </c>
    </row>
    <row r="531" spans="1:19" x14ac:dyDescent="0.25">
      <c r="A531" s="11" t="str">
        <f>'Bldgs &amp; Rooms'!$A$16</f>
        <v>Main Bldg.</v>
      </c>
      <c r="B531" s="11">
        <f>'Bldgs &amp; Rooms'!$B$16</f>
        <v>0</v>
      </c>
      <c r="C531" s="10" t="str">
        <f>Hours!$A$13</f>
        <v xml:space="preserve">  MCC: Individual Disconnect Switch</v>
      </c>
      <c r="D531" s="11">
        <f t="shared" si="16"/>
        <v>0</v>
      </c>
      <c r="E531" s="16"/>
      <c r="F531" s="17"/>
      <c r="G531" s="17"/>
      <c r="H531" s="17"/>
      <c r="I531" s="17"/>
      <c r="J531" s="17"/>
      <c r="K531" s="12"/>
      <c r="L531" s="12"/>
      <c r="M531" s="12"/>
      <c r="N531" s="12"/>
      <c r="O531" s="12"/>
      <c r="P531" s="12"/>
      <c r="Q531" s="17"/>
      <c r="R531" s="18">
        <f>IF(SUMPRODUCT((E531:Q531)*1)=0,0,E531*INDEX(Hours!M:M,MATCH(C531,Hours!$A:$A,0))+F531*INDEX(Hours!B:B,MATCH(C531,Hours!$A:$A,0))+G531*INDEX(Hours!C:C,MATCH(C531,Hours!$A:$A,0))+H531*INDEX(Hours!D:D,MATCH(C531,Hours!$A:$A,0))+I531*INDEX(Hours!E:E,MATCH(C531,Hours!$A:$A,0))+J531*INDEX(Hours!F:F,MATCH(C531,Hours!$A:$A,0)))</f>
        <v>0</v>
      </c>
      <c r="S531" s="19">
        <f t="shared" si="17"/>
        <v>0</v>
      </c>
    </row>
    <row r="532" spans="1:19" x14ac:dyDescent="0.25">
      <c r="A532" s="11" t="str">
        <f>'Bldgs &amp; Rooms'!$A$16</f>
        <v>Main Bldg.</v>
      </c>
      <c r="B532" s="11">
        <f>'Bldgs &amp; Rooms'!$B$16</f>
        <v>0</v>
      </c>
      <c r="C532" s="10" t="str">
        <f>Hours!$A$14</f>
        <v>Motor Control Panel (MCP)</v>
      </c>
      <c r="D532" s="11">
        <f t="shared" si="16"/>
        <v>0</v>
      </c>
      <c r="E532" s="16"/>
      <c r="F532" s="17"/>
      <c r="G532" s="17"/>
      <c r="H532" s="17"/>
      <c r="I532" s="17"/>
      <c r="J532" s="17"/>
      <c r="K532" s="12"/>
      <c r="L532" s="12"/>
      <c r="M532" s="12"/>
      <c r="N532" s="12"/>
      <c r="O532" s="17"/>
      <c r="P532" s="12"/>
      <c r="Q532" s="17"/>
      <c r="R532" s="18">
        <f>IF(SUMPRODUCT((E532:Q532)*1)=0,0,E532*INDEX(Hours!M:M,MATCH(C532,Hours!$A:$A,0))+F532*INDEX(Hours!B:B,MATCH(C532,Hours!$A:$A,0))+G532*INDEX(Hours!C:C,MATCH(C532,Hours!$A:$A,0))+H532*INDEX(Hours!D:D,MATCH(C532,Hours!$A:$A,0))+I532*INDEX(Hours!E:E,MATCH(C532,Hours!$A:$A,0))+J532*INDEX(Hours!F:F,MATCH(C532,Hours!$A:$A,0))+O532*INDEX(Hours!K:K,MATCH(C532,Hours!$A:$A,0)))</f>
        <v>0</v>
      </c>
      <c r="S532" s="19">
        <f t="shared" si="17"/>
        <v>0</v>
      </c>
    </row>
    <row r="533" spans="1:19" x14ac:dyDescent="0.25">
      <c r="A533" s="11" t="str">
        <f>'Bldgs &amp; Rooms'!$A$16</f>
        <v>Main Bldg.</v>
      </c>
      <c r="B533" s="11">
        <f>'Bldgs &amp; Rooms'!$B$16</f>
        <v>0</v>
      </c>
      <c r="C533" s="10" t="str">
        <f>Hours!$A$15</f>
        <v>VFD Motor Control Panel (VFD-MCP)</v>
      </c>
      <c r="D533" s="11">
        <f t="shared" si="16"/>
        <v>0</v>
      </c>
      <c r="E533" s="16"/>
      <c r="F533" s="17"/>
      <c r="G533" s="17"/>
      <c r="H533" s="17"/>
      <c r="I533" s="17"/>
      <c r="J533" s="17"/>
      <c r="K533" s="12"/>
      <c r="L533" s="12"/>
      <c r="M533" s="12"/>
      <c r="N533" s="12"/>
      <c r="O533" s="17"/>
      <c r="P533" s="12"/>
      <c r="Q533" s="17"/>
      <c r="R533" s="18">
        <f>IF(SUMPRODUCT((E533:Q533)*1)=0,0,E533*INDEX(Hours!M:M,MATCH(C533,Hours!$A:$A,0))+F533*INDEX(Hours!B:B,MATCH(C533,Hours!$A:$A,0))+G533*INDEX(Hours!C:C,MATCH(C533,Hours!$A:$A,0))+H533*INDEX(Hours!D:D,MATCH(C533,Hours!$A:$A,0))+I533*INDEX(Hours!E:E,MATCH(C533,Hours!$A:$A,0))+J533*INDEX(Hours!F:F,MATCH(C533,Hours!$A:$A,0))+O533*INDEX(Hours!K:K,MATCH(C533,Hours!$A:$A,0)))</f>
        <v>0</v>
      </c>
      <c r="S533" s="19">
        <f t="shared" si="17"/>
        <v>0</v>
      </c>
    </row>
    <row r="534" spans="1:19" x14ac:dyDescent="0.25">
      <c r="A534" s="11" t="str">
        <f>'Bldgs &amp; Rooms'!$A$16</f>
        <v>Main Bldg.</v>
      </c>
      <c r="B534" s="11">
        <f>'Bldgs &amp; Rooms'!$B$16</f>
        <v>0</v>
      </c>
      <c r="C534" s="10" t="str">
        <f>Hours!$A$16</f>
        <v>Individual Disconnect Switch &gt; 100A</v>
      </c>
      <c r="D534" s="11">
        <f t="shared" si="16"/>
        <v>0</v>
      </c>
      <c r="E534" s="16"/>
      <c r="F534" s="17"/>
      <c r="G534" s="17"/>
      <c r="H534" s="17"/>
      <c r="I534" s="17"/>
      <c r="J534" s="17"/>
      <c r="K534" s="17"/>
      <c r="L534" s="12"/>
      <c r="M534" s="12"/>
      <c r="N534" s="12"/>
      <c r="O534" s="12"/>
      <c r="P534" s="12"/>
      <c r="Q534" s="17"/>
      <c r="R534" s="18">
        <f>IF(SUMPRODUCT((E534:Q534)*1)=0,0,E534*INDEX(Hours!M:M,MATCH(C534,Hours!$A:$A,0))+F534*INDEX(Hours!B:B,MATCH(C534,Hours!$A:$A,0))+G534*INDEX(Hours!C:C,MATCH(C534,Hours!$A:$A,0))+H534*INDEX(Hours!D:D,MATCH(C534,Hours!$A:$A,0))+I534*INDEX(Hours!E:E,MATCH(C534,Hours!$A:$A,0))+J534*INDEX(Hours!F:F,MATCH(C534,Hours!$A:$A,0))+K534*INDEX(Hours!G:G,MATCH(C534,Hours!$A:$A,0)))</f>
        <v>0</v>
      </c>
      <c r="S534" s="19">
        <f t="shared" si="17"/>
        <v>0</v>
      </c>
    </row>
    <row r="535" spans="1:19" x14ac:dyDescent="0.25">
      <c r="A535" s="11" t="str">
        <f>'Bldgs &amp; Rooms'!$A$16</f>
        <v>Main Bldg.</v>
      </c>
      <c r="B535" s="11">
        <f>'Bldgs &amp; Rooms'!$B$16</f>
        <v>0</v>
      </c>
      <c r="C535" s="10" t="str">
        <f>Hours!$A$17</f>
        <v>Individual Molded Case Breaker &gt; 100A</v>
      </c>
      <c r="D535" s="11">
        <f t="shared" si="16"/>
        <v>0</v>
      </c>
      <c r="E535" s="16"/>
      <c r="F535" s="17"/>
      <c r="G535" s="17"/>
      <c r="H535" s="17"/>
      <c r="I535" s="17"/>
      <c r="J535" s="17"/>
      <c r="K535" s="17"/>
      <c r="L535" s="12"/>
      <c r="M535" s="12"/>
      <c r="N535" s="12"/>
      <c r="O535" s="12"/>
      <c r="P535" s="12"/>
      <c r="Q535" s="17"/>
      <c r="R535" s="18">
        <f>IF(SUMPRODUCT((E535:Q535)*1)=0,0,E535*INDEX(Hours!M:M,MATCH(C535,Hours!$A:$A,0))+F535*INDEX(Hours!B:B,MATCH(C535,Hours!$A:$A,0))+G535*INDEX(Hours!C:C,MATCH(C535,Hours!$A:$A,0))+H535*INDEX(Hours!D:D,MATCH(C535,Hours!$A:$A,0))+I535*INDEX(Hours!E:E,MATCH(C535,Hours!$A:$A,0))+J535*INDEX(Hours!F:F,MATCH(C535,Hours!$A:$A,0))+K535*INDEX(Hours!G:G,MATCH(C535,Hours!$A:$A,0)))</f>
        <v>0</v>
      </c>
      <c r="S535" s="19">
        <f t="shared" si="17"/>
        <v>0</v>
      </c>
    </row>
    <row r="536" spans="1:19" x14ac:dyDescent="0.25">
      <c r="A536" s="11" t="str">
        <f>'Bldgs &amp; Rooms'!$A$16</f>
        <v>Main Bldg.</v>
      </c>
      <c r="B536" s="11">
        <f>'Bldgs &amp; Rooms'!$B$16</f>
        <v>0</v>
      </c>
      <c r="C536" s="10" t="str">
        <f>Hours!$A$18</f>
        <v>Individual Combination Motor Starter &gt; 100A</v>
      </c>
      <c r="D536" s="11">
        <f t="shared" si="16"/>
        <v>0</v>
      </c>
      <c r="E536" s="16"/>
      <c r="F536" s="17"/>
      <c r="G536" s="17"/>
      <c r="H536" s="17"/>
      <c r="I536" s="17"/>
      <c r="J536" s="17"/>
      <c r="K536" s="17"/>
      <c r="L536" s="12"/>
      <c r="M536" s="12"/>
      <c r="N536" s="12"/>
      <c r="O536" s="12"/>
      <c r="P536" s="12"/>
      <c r="Q536" s="17"/>
      <c r="R536" s="18">
        <f>IF(SUMPRODUCT((E536:Q536)*1)=0,0,E536*INDEX(Hours!M:M,MATCH(C536,Hours!$A:$A,0))+F536*INDEX(Hours!B:B,MATCH(C536,Hours!$A:$A,0))+G536*INDEX(Hours!C:C,MATCH(C536,Hours!$A:$A,0))+H536*INDEX(Hours!D:D,MATCH(C536,Hours!$A:$A,0))+I536*INDEX(Hours!E:E,MATCH(C536,Hours!$A:$A,0))+J536*INDEX(Hours!F:F,MATCH(C536,Hours!$A:$A,0))+K536*INDEX(Hours!G:G,MATCH(C536,Hours!$A:$A,0)))</f>
        <v>0</v>
      </c>
      <c r="S536" s="19">
        <f t="shared" si="17"/>
        <v>0</v>
      </c>
    </row>
    <row r="537" spans="1:19" x14ac:dyDescent="0.25">
      <c r="A537" s="11" t="str">
        <f>'Bldgs &amp; Rooms'!$A$16</f>
        <v>Main Bldg.</v>
      </c>
      <c r="B537" s="11">
        <f>'Bldgs &amp; Rooms'!$B$16</f>
        <v>0</v>
      </c>
      <c r="C537" s="10" t="str">
        <f>Hours!$A$19</f>
        <v>Oil Filled Transformer - 5kV-15kV Primary - Any Size (Pad Mounted)</v>
      </c>
      <c r="D537" s="11">
        <f t="shared" si="16"/>
        <v>0</v>
      </c>
      <c r="E537" s="16"/>
      <c r="F537" s="17"/>
      <c r="G537" s="17"/>
      <c r="H537" s="17"/>
      <c r="I537" s="17"/>
      <c r="J537" s="17"/>
      <c r="K537" s="12"/>
      <c r="L537" s="12"/>
      <c r="M537" s="17"/>
      <c r="N537" s="17"/>
      <c r="O537" s="12"/>
      <c r="P537" s="17"/>
      <c r="Q537" s="17"/>
      <c r="R537" s="18">
        <f>IF(SUMPRODUCT((E537:Q537)*1)=0,0,E537*INDEX(Hours!M:M,MATCH(C537,Hours!$A:$A,0))+F537*INDEX(Hours!B:B,MATCH(C537,Hours!$A:$A,0))+G537*INDEX(Hours!C:C,MATCH(C537,Hours!$A:$A,0))+H537*INDEX(Hours!D:D,MATCH(C537,Hours!$A:$A,0))+I537*INDEX(Hours!E:E,MATCH(C537,Hours!$A:$A,0))+J537*INDEX(Hours!F:F,MATCH(C537,Hours!$A:$A,0))+M537*INDEX(Hours!I:I,MATCH(C537,Hours!$A:$A,0))+N537*INDEX(Hours!J:J,MATCH(C537,Hours!$A:$A,0))+P537*INDEX(Hours!L:L,MATCH(C537,Hours!$A:$A,0)))</f>
        <v>0</v>
      </c>
      <c r="S537" s="19">
        <f t="shared" si="17"/>
        <v>0</v>
      </c>
    </row>
    <row r="538" spans="1:19" x14ac:dyDescent="0.25">
      <c r="A538" s="11" t="str">
        <f>'Bldgs &amp; Rooms'!$A$16</f>
        <v>Main Bldg.</v>
      </c>
      <c r="B538" s="11">
        <f>'Bldgs &amp; Rooms'!$B$16</f>
        <v>0</v>
      </c>
      <c r="C538" s="10" t="str">
        <f>Hours!$A$20</f>
        <v>Oil Filled Transformer - &gt; 15kV Primary (Substation Class)</v>
      </c>
      <c r="D538" s="11">
        <f t="shared" si="16"/>
        <v>0</v>
      </c>
      <c r="E538" s="16"/>
      <c r="F538" s="17"/>
      <c r="G538" s="17"/>
      <c r="H538" s="17"/>
      <c r="I538" s="17"/>
      <c r="J538" s="17"/>
      <c r="K538" s="12"/>
      <c r="L538" s="12"/>
      <c r="M538" s="17"/>
      <c r="N538" s="17"/>
      <c r="O538" s="12"/>
      <c r="P538" s="17"/>
      <c r="Q538" s="17"/>
      <c r="R538" s="18">
        <f>IF(SUMPRODUCT((E538:Q538)*1)=0,0,E538*INDEX(Hours!M:M,MATCH(C538,Hours!$A:$A,0))+F538*INDEX(Hours!B:B,MATCH(C538,Hours!$A:$A,0))+G538*INDEX(Hours!C:C,MATCH(C538,Hours!$A:$A,0))+H538*INDEX(Hours!D:D,MATCH(C538,Hours!$A:$A,0))+I538*INDEX(Hours!E:E,MATCH(C538,Hours!$A:$A,0))+J538*INDEX(Hours!F:F,MATCH(C538,Hours!$A:$A,0))+M538*INDEX(Hours!I:I,MATCH(C538,Hours!$A:$A,0))+N538*INDEX(Hours!J:J,MATCH(C538,Hours!$A:$A,0))+P538*INDEX(Hours!L:L,MATCH(C538,Hours!$A:$A,0)))</f>
        <v>0</v>
      </c>
      <c r="S538" s="19">
        <f t="shared" si="17"/>
        <v>0</v>
      </c>
    </row>
    <row r="539" spans="1:19" x14ac:dyDescent="0.25">
      <c r="A539" s="11" t="str">
        <f>'Bldgs &amp; Rooms'!$A$16</f>
        <v>Main Bldg.</v>
      </c>
      <c r="B539" s="11">
        <f>'Bldgs &amp; Rooms'!$B$16</f>
        <v>0</v>
      </c>
      <c r="C539" s="10" t="str">
        <f>Hours!$A$21</f>
        <v>Dry Type Transformer - &lt; 480V Primary - Any Size kVA</v>
      </c>
      <c r="D539" s="11">
        <f t="shared" si="16"/>
        <v>0</v>
      </c>
      <c r="E539" s="16"/>
      <c r="F539" s="17"/>
      <c r="G539" s="17"/>
      <c r="H539" s="17"/>
      <c r="I539" s="17"/>
      <c r="J539" s="17"/>
      <c r="K539" s="12"/>
      <c r="L539" s="12"/>
      <c r="M539" s="17"/>
      <c r="N539" s="17"/>
      <c r="O539" s="12"/>
      <c r="P539" s="12"/>
      <c r="Q539" s="17"/>
      <c r="R539" s="18">
        <f>IF(SUMPRODUCT((E539:Q539)*1)=0,0,E539*INDEX(Hours!M:M,MATCH(C539,Hours!$A:$A,0))+F539*INDEX(Hours!B:B,MATCH(C539,Hours!$A:$A,0))+G539*INDEX(Hours!C:C,MATCH(C539,Hours!$A:$A,0))+H539*INDEX(Hours!D:D,MATCH(C539,Hours!$A:$A,0))+I539*INDEX(Hours!E:E,MATCH(C539,Hours!$A:$A,0))+J539*INDEX(Hours!F:F,MATCH(C539,Hours!$A:$A,0))+M539*INDEX(Hours!I:I,MATCH(C539,Hours!$A:$A,0))+N539*INDEX(Hours!J:J,MATCH(C539,Hours!$A:$A,0)))</f>
        <v>0</v>
      </c>
      <c r="S539" s="19">
        <f t="shared" si="17"/>
        <v>0</v>
      </c>
    </row>
    <row r="540" spans="1:19" x14ac:dyDescent="0.25">
      <c r="A540" s="11" t="str">
        <f>'Bldgs &amp; Rooms'!$A$16</f>
        <v>Main Bldg.</v>
      </c>
      <c r="B540" s="11">
        <f>'Bldgs &amp; Rooms'!$B$16</f>
        <v>0</v>
      </c>
      <c r="C540" s="10" t="str">
        <f>Hours!$A$22</f>
        <v>Power Factor Correction Capacitors</v>
      </c>
      <c r="D540" s="11">
        <f t="shared" si="16"/>
        <v>0</v>
      </c>
      <c r="E540" s="16"/>
      <c r="F540" s="17"/>
      <c r="G540" s="17"/>
      <c r="H540" s="17"/>
      <c r="I540" s="17"/>
      <c r="J540" s="17"/>
      <c r="K540" s="12"/>
      <c r="L540" s="12"/>
      <c r="M540" s="12"/>
      <c r="N540" s="12"/>
      <c r="O540" s="12"/>
      <c r="P540" s="12"/>
      <c r="Q540" s="17"/>
      <c r="R540" s="18">
        <f>IF(SUMPRODUCT((E540:Q540)*1)=0,0,E540*INDEX(Hours!M:M,MATCH(C540,Hours!$A:$A,0))+F540*INDEX(Hours!B:B,MATCH(C540,Hours!$A:$A,0))+G540*INDEX(Hours!C:C,MATCH(C540,Hours!$A:$A,0))+H540*INDEX(Hours!D:D,MATCH(C540,Hours!$A:$A,0))+I540*INDEX(Hours!E:E,MATCH(C540,Hours!$A:$A,0))+J540*INDEX(Hours!F:F,MATCH(C540,Hours!$A:$A,0)))</f>
        <v>0</v>
      </c>
      <c r="S540" s="19">
        <f t="shared" si="17"/>
        <v>0</v>
      </c>
    </row>
    <row r="541" spans="1:19" x14ac:dyDescent="0.25">
      <c r="A541" s="11" t="str">
        <f>'Bldgs &amp; Rooms'!$A$16</f>
        <v>Main Bldg.</v>
      </c>
      <c r="B541" s="11">
        <f>'Bldgs &amp; Rooms'!$B$16</f>
        <v>0</v>
      </c>
      <c r="C541" s="10" t="str">
        <f>Hours!$A$23</f>
        <v>Lighting Contactor &gt; 100A</v>
      </c>
      <c r="D541" s="11">
        <f t="shared" si="16"/>
        <v>0</v>
      </c>
      <c r="E541" s="16"/>
      <c r="F541" s="17"/>
      <c r="G541" s="17"/>
      <c r="H541" s="17"/>
      <c r="I541" s="17"/>
      <c r="J541" s="17"/>
      <c r="K541" s="12"/>
      <c r="L541" s="12"/>
      <c r="M541" s="12"/>
      <c r="N541" s="12"/>
      <c r="O541" s="12"/>
      <c r="P541" s="12"/>
      <c r="Q541" s="17"/>
      <c r="R541" s="18">
        <f>IF(SUMPRODUCT((E541:Q541)*1)=0,0,E541*INDEX(Hours!M:M,MATCH(C541,Hours!$A:$A,0))+F541*INDEX(Hours!B:B,MATCH(C541,Hours!$A:$A,0))+G541*INDEX(Hours!C:C,MATCH(C541,Hours!$A:$A,0))+H541*INDEX(Hours!D:D,MATCH(C541,Hours!$A:$A,0))+I541*INDEX(Hours!E:E,MATCH(C541,Hours!$A:$A,0))+J541*INDEX(Hours!F:F,MATCH(C541,Hours!$A:$A,0)))</f>
        <v>0</v>
      </c>
      <c r="S541" s="19">
        <f t="shared" si="17"/>
        <v>0</v>
      </c>
    </row>
    <row r="542" spans="1:19" x14ac:dyDescent="0.25">
      <c r="A542" s="11" t="str">
        <f>'Bldgs &amp; Rooms'!$A$16</f>
        <v>Main Bldg.</v>
      </c>
      <c r="B542" s="11">
        <f>'Bldgs &amp; Rooms'!$B$16</f>
        <v>0</v>
      </c>
      <c r="C542" s="10" t="str">
        <f>Hours!$A$24</f>
        <v>Power Distribution Unit (PDU)</v>
      </c>
      <c r="D542" s="11">
        <f t="shared" si="16"/>
        <v>0</v>
      </c>
      <c r="E542" s="16"/>
      <c r="F542" s="17"/>
      <c r="G542" s="17"/>
      <c r="H542" s="17"/>
      <c r="I542" s="17"/>
      <c r="J542" s="17"/>
      <c r="K542" s="12"/>
      <c r="L542" s="12"/>
      <c r="M542" s="12"/>
      <c r="N542" s="12"/>
      <c r="O542" s="12"/>
      <c r="P542" s="12"/>
      <c r="Q542" s="17"/>
      <c r="R542" s="18">
        <f>IF(SUMPRODUCT((E542:Q542)*1)=0,0,E542*INDEX(Hours!M:M,MATCH(C542,Hours!$A:$A,0))+F542*INDEX(Hours!B:B,MATCH(C542,Hours!$A:$A,0))+G542*INDEX(Hours!C:C,MATCH(C542,Hours!$A:$A,0))+H542*INDEX(Hours!D:D,MATCH(C542,Hours!$A:$A,0))+I542*INDEX(Hours!E:E,MATCH(C542,Hours!$A:$A,0))+J542*INDEX(Hours!F:F,MATCH(C542,Hours!$A:$A,0)))</f>
        <v>0</v>
      </c>
      <c r="S542" s="19">
        <f t="shared" si="17"/>
        <v>0</v>
      </c>
    </row>
    <row r="543" spans="1:19" x14ac:dyDescent="0.25">
      <c r="A543" s="11" t="str">
        <f>'Bldgs &amp; Rooms'!$A$16</f>
        <v>Main Bldg.</v>
      </c>
      <c r="B543" s="11">
        <f>'Bldgs &amp; Rooms'!$B$16</f>
        <v>0</v>
      </c>
      <c r="C543" s="10" t="str">
        <f>Hours!$A$25</f>
        <v>Wire Trough, Gutter, or Large Junction Boxes</v>
      </c>
      <c r="D543" s="11">
        <f t="shared" si="16"/>
        <v>0</v>
      </c>
      <c r="E543" s="16"/>
      <c r="F543" s="17"/>
      <c r="G543" s="17"/>
      <c r="H543" s="17"/>
      <c r="I543" s="17"/>
      <c r="J543" s="17"/>
      <c r="K543" s="12"/>
      <c r="L543" s="12"/>
      <c r="M543" s="12"/>
      <c r="N543" s="12"/>
      <c r="O543" s="12"/>
      <c r="P543" s="12"/>
      <c r="Q543" s="17"/>
      <c r="R543" s="18">
        <f>IF(SUMPRODUCT((E543:Q543)*1)=0,0,E543*INDEX(Hours!M:M,MATCH(C543,Hours!$A:$A,0))+F543*INDEX(Hours!B:B,MATCH(C543,Hours!$A:$A,0))+G543*INDEX(Hours!C:C,MATCH(C543,Hours!$A:$A,0))+H543*INDEX(Hours!D:D,MATCH(C543,Hours!$A:$A,0))+I543*INDEX(Hours!E:E,MATCH(C543,Hours!$A:$A,0))+J543*INDEX(Hours!F:F,MATCH(C543,Hours!$A:$A,0)))</f>
        <v>0</v>
      </c>
      <c r="S543" s="19">
        <f t="shared" si="17"/>
        <v>0</v>
      </c>
    </row>
    <row r="544" spans="1:19" x14ac:dyDescent="0.25">
      <c r="A544" s="11" t="str">
        <f>'Bldgs &amp; Rooms'!$A$16</f>
        <v>Main Bldg.</v>
      </c>
      <c r="B544" s="11">
        <f>'Bldgs &amp; Rooms'!$B$16</f>
        <v>0</v>
      </c>
      <c r="C544" s="10" t="str">
        <f>Hours!$A$26</f>
        <v>Bus Duct - Vertical or Horizontal (Per 10' section)</v>
      </c>
      <c r="D544" s="11">
        <f t="shared" si="16"/>
        <v>0</v>
      </c>
      <c r="E544" s="16"/>
      <c r="F544" s="17"/>
      <c r="G544" s="17"/>
      <c r="H544" s="17"/>
      <c r="I544" s="17"/>
      <c r="J544" s="17"/>
      <c r="K544" s="12"/>
      <c r="L544" s="12"/>
      <c r="M544" s="12"/>
      <c r="N544" s="12"/>
      <c r="O544" s="12"/>
      <c r="P544" s="12"/>
      <c r="Q544" s="17"/>
      <c r="R544" s="18">
        <f>IF(SUMPRODUCT((E544:Q544)*1)=0,0,E544*INDEX(Hours!M:M,MATCH(C544,Hours!$A:$A,0))+F544*INDEX(Hours!B:B,MATCH(C544,Hours!$A:$A,0))+G544*INDEX(Hours!C:C,MATCH(C544,Hours!$A:$A,0))+H544*INDEX(Hours!D:D,MATCH(C544,Hours!$A:$A,0))+I544*INDEX(Hours!E:E,MATCH(C544,Hours!$A:$A,0))+J544*INDEX(Hours!F:F,MATCH(C544,Hours!$A:$A,0)))</f>
        <v>0</v>
      </c>
      <c r="S544" s="19">
        <f t="shared" si="17"/>
        <v>0</v>
      </c>
    </row>
    <row r="545" spans="1:19" x14ac:dyDescent="0.25">
      <c r="A545" s="11" t="str">
        <f>'Bldgs &amp; Rooms'!$A$16</f>
        <v>Main Bldg.</v>
      </c>
      <c r="B545" s="11">
        <f>'Bldgs &amp; Rooms'!$B$16</f>
        <v>0</v>
      </c>
      <c r="C545" s="10" t="str">
        <f>Hours!$A$27</f>
        <v>Automatic Transfer Switch (ATS) &gt; 100A</v>
      </c>
      <c r="D545" s="11">
        <f t="shared" si="16"/>
        <v>0</v>
      </c>
      <c r="E545" s="16"/>
      <c r="F545" s="17"/>
      <c r="G545" s="17"/>
      <c r="H545" s="17"/>
      <c r="I545" s="17"/>
      <c r="J545" s="17"/>
      <c r="K545" s="12"/>
      <c r="L545" s="12"/>
      <c r="M545" s="12"/>
      <c r="N545" s="12"/>
      <c r="O545" s="12"/>
      <c r="P545" s="12"/>
      <c r="Q545" s="17"/>
      <c r="R545" s="18">
        <f>IF(SUMPRODUCT((E545:Q545)*1)=0,0,E545*INDEX(Hours!M:M,MATCH(C545,Hours!$A:$A,0))+F545*INDEX(Hours!B:B,MATCH(C545,Hours!$A:$A,0))+G545*INDEX(Hours!C:C,MATCH(C545,Hours!$A:$A,0))+H545*INDEX(Hours!D:D,MATCH(C545,Hours!$A:$A,0))+I545*INDEX(Hours!E:E,MATCH(C545,Hours!$A:$A,0))+J545*INDEX(Hours!F:F,MATCH(C545,Hours!$A:$A,0)))</f>
        <v>0</v>
      </c>
      <c r="S545" s="19">
        <f t="shared" si="17"/>
        <v>0</v>
      </c>
    </row>
    <row r="546" spans="1:19" x14ac:dyDescent="0.25">
      <c r="A546" s="11" t="str">
        <f>'Bldgs &amp; Rooms'!$A$16</f>
        <v>Main Bldg.</v>
      </c>
      <c r="B546" s="11">
        <f>'Bldgs &amp; Rooms'!$B$16</f>
        <v>0</v>
      </c>
      <c r="C546" s="10" t="str">
        <f>Hours!$A$28</f>
        <v>Manual Transfer Switch (MTS) &gt; 100A</v>
      </c>
      <c r="D546" s="11">
        <f t="shared" si="16"/>
        <v>0</v>
      </c>
      <c r="E546" s="16"/>
      <c r="F546" s="17"/>
      <c r="G546" s="17"/>
      <c r="H546" s="17"/>
      <c r="I546" s="17"/>
      <c r="J546" s="17"/>
      <c r="K546" s="12"/>
      <c r="L546" s="12"/>
      <c r="M546" s="12"/>
      <c r="N546" s="12"/>
      <c r="O546" s="12"/>
      <c r="P546" s="12"/>
      <c r="Q546" s="17"/>
      <c r="R546" s="18">
        <f>IF(SUMPRODUCT((E546:Q546)*1)=0,0,E546*INDEX(Hours!M:M,MATCH(C546,Hours!$A:$A,0))+F546*INDEX(Hours!B:B,MATCH(C546,Hours!$A:$A,0))+G546*INDEX(Hours!C:C,MATCH(C546,Hours!$A:$A,0))+H546*INDEX(Hours!D:D,MATCH(C546,Hours!$A:$A,0))+I546*INDEX(Hours!E:E,MATCH(C546,Hours!$A:$A,0))+J546*INDEX(Hours!F:F,MATCH(C546,Hours!$A:$A,0)))</f>
        <v>0</v>
      </c>
      <c r="S546" s="19">
        <f t="shared" si="17"/>
        <v>0</v>
      </c>
    </row>
    <row r="547" spans="1:19" x14ac:dyDescent="0.25">
      <c r="A547" s="11" t="str">
        <f>'Bldgs &amp; Rooms'!$A$16</f>
        <v>Main Bldg.</v>
      </c>
      <c r="B547" s="11">
        <f>'Bldgs &amp; Rooms'!$B$16</f>
        <v>0</v>
      </c>
      <c r="C547" s="10" t="str">
        <f>Hours!$A$29</f>
        <v>Variable Frequency Drives (VFD) &lt; 50 HP</v>
      </c>
      <c r="D547" s="11">
        <f t="shared" si="16"/>
        <v>0</v>
      </c>
      <c r="E547" s="16"/>
      <c r="F547" s="17"/>
      <c r="G547" s="17"/>
      <c r="H547" s="17"/>
      <c r="I547" s="17"/>
      <c r="J547" s="17"/>
      <c r="K547" s="12"/>
      <c r="L547" s="12"/>
      <c r="M547" s="12"/>
      <c r="N547" s="12"/>
      <c r="O547" s="12"/>
      <c r="P547" s="12"/>
      <c r="Q547" s="17"/>
      <c r="R547" s="18">
        <f>IF(SUMPRODUCT((E547:Q547)*1)=0,0,E547*INDEX(Hours!M:M,MATCH(C547,Hours!$A:$A,0))+F547*INDEX(Hours!B:B,MATCH(C547,Hours!$A:$A,0))+G547*INDEX(Hours!C:C,MATCH(C547,Hours!$A:$A,0))+H547*INDEX(Hours!D:D,MATCH(C547,Hours!$A:$A,0))+I547*INDEX(Hours!E:E,MATCH(C547,Hours!$A:$A,0))+J547*INDEX(Hours!F:F,MATCH(C547,Hours!$A:$A,0)))</f>
        <v>0</v>
      </c>
      <c r="S547" s="19">
        <f t="shared" si="17"/>
        <v>0</v>
      </c>
    </row>
    <row r="548" spans="1:19" x14ac:dyDescent="0.25">
      <c r="A548" s="11" t="str">
        <f>'Bldgs &amp; Rooms'!$A$16</f>
        <v>Main Bldg.</v>
      </c>
      <c r="B548" s="11">
        <f>'Bldgs &amp; Rooms'!$B$16</f>
        <v>0</v>
      </c>
      <c r="C548" s="10" t="str">
        <f>Hours!$A$30</f>
        <v>Variable Frequency Drives (VFD) 51-200 HP</v>
      </c>
      <c r="D548" s="11">
        <f t="shared" si="16"/>
        <v>0</v>
      </c>
      <c r="E548" s="16"/>
      <c r="F548" s="17"/>
      <c r="G548" s="17"/>
      <c r="H548" s="17"/>
      <c r="I548" s="17"/>
      <c r="J548" s="17"/>
      <c r="K548" s="12"/>
      <c r="L548" s="12"/>
      <c r="M548" s="12"/>
      <c r="N548" s="12"/>
      <c r="O548" s="12"/>
      <c r="P548" s="12"/>
      <c r="Q548" s="17"/>
      <c r="R548" s="18">
        <f>IF(SUMPRODUCT((E548:Q548)*1)=0,0,E548*INDEX(Hours!M:M,MATCH(C548,Hours!$A:$A,0))+F548*INDEX(Hours!B:B,MATCH(C548,Hours!$A:$A,0))+G548*INDEX(Hours!C:C,MATCH(C548,Hours!$A:$A,0))+H548*INDEX(Hours!D:D,MATCH(C548,Hours!$A:$A,0))+I548*INDEX(Hours!E:E,MATCH(C548,Hours!$A:$A,0))+J548*INDEX(Hours!F:F,MATCH(C548,Hours!$A:$A,0)))</f>
        <v>0</v>
      </c>
      <c r="S548" s="19">
        <f t="shared" si="17"/>
        <v>0</v>
      </c>
    </row>
    <row r="549" spans="1:19" x14ac:dyDescent="0.25">
      <c r="A549" s="11" t="str">
        <f>'Bldgs &amp; Rooms'!$A$16</f>
        <v>Main Bldg.</v>
      </c>
      <c r="B549" s="11">
        <f>'Bldgs &amp; Rooms'!$B$16</f>
        <v>0</v>
      </c>
      <c r="C549" s="10" t="str">
        <f>Hours!$A$31</f>
        <v>Motors &lt; 50 HP</v>
      </c>
      <c r="D549" s="11">
        <f t="shared" si="16"/>
        <v>0</v>
      </c>
      <c r="E549" s="16"/>
      <c r="F549" s="17"/>
      <c r="G549" s="17"/>
      <c r="H549" s="17"/>
      <c r="I549" s="17"/>
      <c r="J549" s="17"/>
      <c r="K549" s="12"/>
      <c r="L549" s="12"/>
      <c r="M549" s="12"/>
      <c r="N549" s="12"/>
      <c r="O549" s="12"/>
      <c r="P549" s="12"/>
      <c r="Q549" s="17"/>
      <c r="R549" s="18">
        <f>IF(SUMPRODUCT((E549:Q549)*1)=0,0,E549*INDEX(Hours!M:M,MATCH(C549,Hours!$A:$A,0))+F549*INDEX(Hours!B:B,MATCH(C549,Hours!$A:$A,0))+G549*INDEX(Hours!C:C,MATCH(C549,Hours!$A:$A,0))+H549*INDEX(Hours!D:D,MATCH(C549,Hours!$A:$A,0))+I549*INDEX(Hours!E:E,MATCH(C549,Hours!$A:$A,0))+J549*INDEX(Hours!F:F,MATCH(C549,Hours!$A:$A,0)))</f>
        <v>0</v>
      </c>
      <c r="S549" s="19">
        <f t="shared" si="17"/>
        <v>0</v>
      </c>
    </row>
    <row r="550" spans="1:19" x14ac:dyDescent="0.25">
      <c r="A550" s="11" t="str">
        <f>'Bldgs &amp; Rooms'!$A$16</f>
        <v>Main Bldg.</v>
      </c>
      <c r="B550" s="11">
        <f>'Bldgs &amp; Rooms'!$B$16</f>
        <v>0</v>
      </c>
      <c r="C550" s="10" t="str">
        <f>Hours!$A$32</f>
        <v>Motors 51-200 HP</v>
      </c>
      <c r="D550" s="11">
        <f t="shared" si="16"/>
        <v>0</v>
      </c>
      <c r="E550" s="16"/>
      <c r="F550" s="17"/>
      <c r="G550" s="17"/>
      <c r="H550" s="17"/>
      <c r="I550" s="17"/>
      <c r="J550" s="17"/>
      <c r="K550" s="12"/>
      <c r="L550" s="12"/>
      <c r="M550" s="12"/>
      <c r="N550" s="12"/>
      <c r="O550" s="12"/>
      <c r="P550" s="12"/>
      <c r="Q550" s="17"/>
      <c r="R550" s="18">
        <f>IF(SUMPRODUCT((E550:Q550)*1)=0,0,E550*INDEX(Hours!M:M,MATCH(C550,Hours!$A:$A,0))+F550*INDEX(Hours!B:B,MATCH(C550,Hours!$A:$A,0))+G550*INDEX(Hours!C:C,MATCH(C550,Hours!$A:$A,0))+H550*INDEX(Hours!D:D,MATCH(C550,Hours!$A:$A,0))+I550*INDEX(Hours!E:E,MATCH(C550,Hours!$A:$A,0))+J550*INDEX(Hours!F:F,MATCH(C550,Hours!$A:$A,0)))</f>
        <v>0</v>
      </c>
      <c r="S550" s="19">
        <f t="shared" si="17"/>
        <v>0</v>
      </c>
    </row>
    <row r="551" spans="1:19" x14ac:dyDescent="0.25">
      <c r="A551" s="11" t="str">
        <f>'Bldgs &amp; Rooms'!$A$16</f>
        <v>Main Bldg.</v>
      </c>
      <c r="B551" s="11">
        <f>'Bldgs &amp; Rooms'!$B$16</f>
        <v>0</v>
      </c>
      <c r="C551" s="10" t="str">
        <f>Hours!$A$33</f>
        <v>Motors 201-500 HP</v>
      </c>
      <c r="D551" s="11">
        <f t="shared" si="16"/>
        <v>0</v>
      </c>
      <c r="E551" s="16"/>
      <c r="F551" s="17"/>
      <c r="G551" s="17"/>
      <c r="H551" s="17"/>
      <c r="I551" s="17"/>
      <c r="J551" s="17"/>
      <c r="K551" s="12"/>
      <c r="L551" s="12"/>
      <c r="M551" s="12"/>
      <c r="N551" s="12"/>
      <c r="O551" s="12"/>
      <c r="P551" s="12"/>
      <c r="Q551" s="17"/>
      <c r="R551" s="18">
        <f>IF(SUMPRODUCT((E551:Q551)*1)=0,0,E551*INDEX(Hours!M:M,MATCH(C551,Hours!$A:$A,0))+F551*INDEX(Hours!B:B,MATCH(C551,Hours!$A:$A,0))+G551*INDEX(Hours!C:C,MATCH(C551,Hours!$A:$A,0))+H551*INDEX(Hours!D:D,MATCH(C551,Hours!$A:$A,0))+I551*INDEX(Hours!E:E,MATCH(C551,Hours!$A:$A,0))+J551*INDEX(Hours!F:F,MATCH(C551,Hours!$A:$A,0)))</f>
        <v>0</v>
      </c>
      <c r="S551" s="19">
        <f t="shared" si="17"/>
        <v>0</v>
      </c>
    </row>
    <row r="552" spans="1:19" x14ac:dyDescent="0.25">
      <c r="A552" s="11" t="str">
        <f>'Bldgs &amp; Rooms'!$A$16</f>
        <v>Main Bldg.</v>
      </c>
      <c r="B552" s="11">
        <f>'Bldgs &amp; Rooms'!$B$16</f>
        <v>0</v>
      </c>
      <c r="C552" s="10" t="str">
        <f>Hours!$A$34</f>
        <v>Compressed Air Equipment</v>
      </c>
      <c r="D552" s="11">
        <f t="shared" si="16"/>
        <v>0</v>
      </c>
      <c r="E552" s="16"/>
      <c r="F552" s="17"/>
      <c r="G552" s="17"/>
      <c r="H552" s="17"/>
      <c r="I552" s="17"/>
      <c r="J552" s="17"/>
      <c r="K552" s="12"/>
      <c r="L552" s="12"/>
      <c r="M552" s="12"/>
      <c r="N552" s="12"/>
      <c r="O552" s="12"/>
      <c r="P552" s="12"/>
      <c r="Q552" s="17"/>
      <c r="R552" s="18">
        <f>IF(SUMPRODUCT((E552:Q552)*1)=0,0,E552*INDEX(Hours!M:M,MATCH(C552,Hours!$A:$A,0))+F552*INDEX(Hours!B:B,MATCH(C552,Hours!$A:$A,0))+G552*INDEX(Hours!C:C,MATCH(C552,Hours!$A:$A,0))+H552*INDEX(Hours!D:D,MATCH(C552,Hours!$A:$A,0))+I552*INDEX(Hours!E:E,MATCH(C552,Hours!$A:$A,0))+J552*INDEX(Hours!F:F,MATCH(C552,Hours!$A:$A,0)))</f>
        <v>0</v>
      </c>
      <c r="S552" s="19">
        <f t="shared" si="17"/>
        <v>0</v>
      </c>
    </row>
    <row r="553" spans="1:19" x14ac:dyDescent="0.25">
      <c r="A553" s="11" t="str">
        <f>'Bldgs &amp; Rooms'!$A$16</f>
        <v>Main Bldg.</v>
      </c>
      <c r="B553" s="11">
        <f>'Bldgs &amp; Rooms'!$B$16</f>
        <v>0</v>
      </c>
      <c r="C553" s="10" t="str">
        <f>Hours!$A$35</f>
        <v>HVAC Equipment (Large)</v>
      </c>
      <c r="D553" s="11">
        <f t="shared" si="16"/>
        <v>0</v>
      </c>
      <c r="E553" s="16"/>
      <c r="F553" s="17"/>
      <c r="G553" s="17"/>
      <c r="H553" s="17"/>
      <c r="I553" s="17"/>
      <c r="J553" s="17"/>
      <c r="K553" s="12"/>
      <c r="L553" s="12"/>
      <c r="M553" s="12"/>
      <c r="N553" s="12"/>
      <c r="O553" s="12"/>
      <c r="P553" s="12"/>
      <c r="Q553" s="17"/>
      <c r="R553" s="18">
        <f>IF(SUMPRODUCT((E553:Q553)*1)=0,0,E553*INDEX(Hours!M:M,MATCH(C553,Hours!$A:$A,0))+F553*INDEX(Hours!B:B,MATCH(C553,Hours!$A:$A,0))+G553*INDEX(Hours!C:C,MATCH(C553,Hours!$A:$A,0))+H553*INDEX(Hours!D:D,MATCH(C553,Hours!$A:$A,0))+I553*INDEX(Hours!E:E,MATCH(C553,Hours!$A:$A,0))+J553*INDEX(Hours!F:F,MATCH(C553,Hours!$A:$A,0)))</f>
        <v>0</v>
      </c>
      <c r="S553" s="19">
        <f t="shared" si="17"/>
        <v>0</v>
      </c>
    </row>
    <row r="554" spans="1:19" x14ac:dyDescent="0.25">
      <c r="A554" s="11" t="str">
        <f>'Bldgs &amp; Rooms'!$A$16</f>
        <v>Main Bldg.</v>
      </c>
      <c r="B554" s="11">
        <f>'Bldgs &amp; Rooms'!$B$16</f>
        <v>0</v>
      </c>
      <c r="C554" s="10" t="str">
        <f>Hours!$A$36</f>
        <v>HVAC Equipment (Small)</v>
      </c>
      <c r="D554" s="11">
        <f t="shared" si="16"/>
        <v>0</v>
      </c>
      <c r="E554" s="16"/>
      <c r="F554" s="17"/>
      <c r="G554" s="17"/>
      <c r="H554" s="17"/>
      <c r="I554" s="17"/>
      <c r="J554" s="17"/>
      <c r="K554" s="12"/>
      <c r="L554" s="12"/>
      <c r="M554" s="12"/>
      <c r="N554" s="12"/>
      <c r="O554" s="12"/>
      <c r="P554" s="12"/>
      <c r="Q554" s="17"/>
      <c r="R554" s="18">
        <f>IF(SUMPRODUCT((E554:Q554)*1)=0,0,E554*INDEX(Hours!M:M,MATCH(C554,Hours!$A:$A,0))+F554*INDEX(Hours!B:B,MATCH(C554,Hours!$A:$A,0))+G554*INDEX(Hours!C:C,MATCH(C554,Hours!$A:$A,0))+H554*INDEX(Hours!D:D,MATCH(C554,Hours!$A:$A,0))+I554*INDEX(Hours!E:E,MATCH(C554,Hours!$A:$A,0))+J554*INDEX(Hours!F:F,MATCH(C554,Hours!$A:$A,0)))</f>
        <v>0</v>
      </c>
      <c r="S554" s="19">
        <f t="shared" si="17"/>
        <v>0</v>
      </c>
    </row>
    <row r="555" spans="1:19" x14ac:dyDescent="0.25">
      <c r="A555" s="11" t="str">
        <f>'Bldgs &amp; Rooms'!$A$16</f>
        <v>Main Bldg.</v>
      </c>
      <c r="B555" s="11">
        <f>'Bldgs &amp; Rooms'!$B$16</f>
        <v>0</v>
      </c>
      <c r="C555" s="10" t="str">
        <f>Hours!$A$37</f>
        <v>Uninterruptible Power Supply (UPS) &lt; 50kVA</v>
      </c>
      <c r="D555" s="11">
        <f t="shared" si="16"/>
        <v>0</v>
      </c>
      <c r="E555" s="16"/>
      <c r="F555" s="17"/>
      <c r="G555" s="17"/>
      <c r="H555" s="17"/>
      <c r="I555" s="17"/>
      <c r="J555" s="17"/>
      <c r="K555" s="12"/>
      <c r="L555" s="12"/>
      <c r="M555" s="12"/>
      <c r="N555" s="12"/>
      <c r="O555" s="12"/>
      <c r="P555" s="12"/>
      <c r="Q555" s="17"/>
      <c r="R555" s="18">
        <f>IF(SUMPRODUCT((E555:Q555)*1)=0,0,E555*INDEX(Hours!M:M,MATCH(C555,Hours!$A:$A,0))+F555*INDEX(Hours!B:B,MATCH(C555,Hours!$A:$A,0))+G555*INDEX(Hours!C:C,MATCH(C555,Hours!$A:$A,0))+H555*INDEX(Hours!D:D,MATCH(C555,Hours!$A:$A,0))+I555*INDEX(Hours!E:E,MATCH(C555,Hours!$A:$A,0))+J555*INDEX(Hours!F:F,MATCH(C555,Hours!$A:$A,0)))</f>
        <v>0</v>
      </c>
      <c r="S555" s="19">
        <f t="shared" si="17"/>
        <v>0</v>
      </c>
    </row>
    <row r="556" spans="1:19" x14ac:dyDescent="0.25">
      <c r="A556" s="11" t="str">
        <f>'Bldgs &amp; Rooms'!$A$16</f>
        <v>Main Bldg.</v>
      </c>
      <c r="B556" s="11">
        <f>'Bldgs &amp; Rooms'!$B$16</f>
        <v>0</v>
      </c>
      <c r="C556" s="10" t="str">
        <f>Hours!$A$38</f>
        <v>Uninterruptible Power Supply (UPS) &gt; 50kVA</v>
      </c>
      <c r="D556" s="11">
        <f t="shared" si="16"/>
        <v>0</v>
      </c>
      <c r="E556" s="16"/>
      <c r="F556" s="17"/>
      <c r="G556" s="17"/>
      <c r="H556" s="17"/>
      <c r="I556" s="17"/>
      <c r="J556" s="17"/>
      <c r="K556" s="12"/>
      <c r="L556" s="12"/>
      <c r="M556" s="12"/>
      <c r="N556" s="12"/>
      <c r="O556" s="12"/>
      <c r="P556" s="12"/>
      <c r="Q556" s="17"/>
      <c r="R556" s="18">
        <f>IF(SUMPRODUCT((E556:Q556)*1)=0,0,E556*INDEX(Hours!M:M,MATCH(C556,Hours!$A:$A,0))+F556*INDEX(Hours!B:B,MATCH(C556,Hours!$A:$A,0))+G556*INDEX(Hours!C:C,MATCH(C556,Hours!$A:$A,0))+H556*INDEX(Hours!D:D,MATCH(C556,Hours!$A:$A,0))+I556*INDEX(Hours!E:E,MATCH(C556,Hours!$A:$A,0))+J556*INDEX(Hours!F:F,MATCH(C556,Hours!$A:$A,0)))</f>
        <v>0</v>
      </c>
      <c r="S556" s="19">
        <f t="shared" si="17"/>
        <v>0</v>
      </c>
    </row>
    <row r="557" spans="1:19" x14ac:dyDescent="0.25">
      <c r="A557" s="15" t="str">
        <f>'Bldgs &amp; Rooms'!$A$17</f>
        <v>Main Bldg.</v>
      </c>
      <c r="B557" s="15">
        <f>'Bldgs &amp; Rooms'!$B$17</f>
        <v>0</v>
      </c>
      <c r="C557" s="14" t="str">
        <f>Hours!$A$2</f>
        <v>Switchgear - Incoming Main Service (Per Section)</v>
      </c>
      <c r="D557" s="15">
        <f t="shared" si="16"/>
        <v>0</v>
      </c>
      <c r="E557" s="16"/>
      <c r="F557" s="17"/>
      <c r="G557" s="17"/>
      <c r="H557" s="17"/>
      <c r="I557" s="17"/>
      <c r="J557" s="17"/>
      <c r="K557" s="17"/>
      <c r="L557" s="17"/>
      <c r="M557" s="12"/>
      <c r="N557" s="12"/>
      <c r="O557" s="17"/>
      <c r="P557" s="12"/>
      <c r="Q557" s="17"/>
      <c r="R557" s="18">
        <f>IF(SUMPRODUCT((E557:Q557)*1)=0,0,E557*INDEX(Hours!M:M,MATCH(C557,Hours!$A:$A,0))+F557*INDEX(Hours!B:B,MATCH(C557,Hours!$A:$A,0))+G557*INDEX(Hours!C:C,MATCH(C557,Hours!$A:$A,0))+H557*INDEX(Hours!D:D,MATCH(C557,Hours!$A:$A,0))+I557*INDEX(Hours!E:E,MATCH(C557,Hours!$A:$A,0))+J557*INDEX(Hours!F:F,MATCH(C557,Hours!$A:$A,0))+K557*INDEX(Hours!G:G,MATCH(C557,Hours!$A:$A,0))+L557*INDEX(Hours!H:H,MATCH(C557,Hours!$A:$A,0))+O557*INDEX(Hours!K:K,MATCH(C557,Hours!$A:$A,0)))</f>
        <v>0</v>
      </c>
      <c r="S557" s="19">
        <f t="shared" si="17"/>
        <v>0</v>
      </c>
    </row>
    <row r="558" spans="1:19" x14ac:dyDescent="0.25">
      <c r="A558" s="15" t="str">
        <f>'Bldgs &amp; Rooms'!$A$17</f>
        <v>Main Bldg.</v>
      </c>
      <c r="B558" s="15">
        <f>'Bldgs &amp; Rooms'!$B$17</f>
        <v>0</v>
      </c>
      <c r="C558" s="14" t="str">
        <f>Hours!$A$3</f>
        <v xml:space="preserve">  Switchgear Insulated Case Breakers (Bus Mounted)</v>
      </c>
      <c r="D558" s="15">
        <f t="shared" si="16"/>
        <v>0</v>
      </c>
      <c r="E558" s="16"/>
      <c r="F558" s="17"/>
      <c r="G558" s="17"/>
      <c r="H558" s="17"/>
      <c r="I558" s="17"/>
      <c r="J558" s="17"/>
      <c r="K558" s="17"/>
      <c r="L558" s="12"/>
      <c r="M558" s="12"/>
      <c r="N558" s="12"/>
      <c r="O558" s="12"/>
      <c r="P558" s="12"/>
      <c r="Q558" s="17"/>
      <c r="R558" s="18">
        <f>IF(SUMPRODUCT((E558:Q558)*1)=0,0,E558*INDEX(Hours!M:M,MATCH(C558,Hours!$A:$A,0))+F558*INDEX(Hours!B:B,MATCH(C558,Hours!$A:$A,0))+G558*INDEX(Hours!C:C,MATCH(C558,Hours!$A:$A,0))+H558*INDEX(Hours!D:D,MATCH(C558,Hours!$A:$A,0))+I558*INDEX(Hours!E:E,MATCH(C558,Hours!$A:$A,0))+J558*INDEX(Hours!F:F,MATCH(C558,Hours!$A:$A,0))+K558*INDEX(Hours!G:G,MATCH(C558,Hours!$A:$A,0)))</f>
        <v>0</v>
      </c>
      <c r="S558" s="19">
        <f t="shared" si="17"/>
        <v>0</v>
      </c>
    </row>
    <row r="559" spans="1:19" x14ac:dyDescent="0.25">
      <c r="A559" s="15" t="str">
        <f>'Bldgs &amp; Rooms'!$A$17</f>
        <v>Main Bldg.</v>
      </c>
      <c r="B559" s="15">
        <f>'Bldgs &amp; Rooms'!$B$17</f>
        <v>0</v>
      </c>
      <c r="C559" s="14" t="str">
        <f>Hours!$A$4</f>
        <v xml:space="preserve">  SwitchGear Drawout Breakers</v>
      </c>
      <c r="D559" s="15">
        <f t="shared" si="16"/>
        <v>0</v>
      </c>
      <c r="E559" s="16"/>
      <c r="F559" s="17"/>
      <c r="G559" s="17"/>
      <c r="H559" s="17"/>
      <c r="I559" s="17"/>
      <c r="J559" s="17"/>
      <c r="K559" s="12"/>
      <c r="L559" s="17"/>
      <c r="M559" s="12"/>
      <c r="N559" s="12"/>
      <c r="O559" s="12"/>
      <c r="P559" s="12"/>
      <c r="Q559" s="17"/>
      <c r="R559" s="18">
        <f>IF(SUMPRODUCT((E559:Q559)*1)=0,0,E559*INDEX(Hours!M:M,MATCH(C559,Hours!$A:$A,0))+F559*INDEX(Hours!B:B,MATCH(C559,Hours!$A:$A,0))+G559*INDEX(Hours!C:C,MATCH(C559,Hours!$A:$A,0))+H559*INDEX(Hours!D:D,MATCH(C559,Hours!$A:$A,0))+I559*INDEX(Hours!E:E,MATCH(C559,Hours!$A:$A,0))+J559*INDEX(Hours!F:F,MATCH(C559,Hours!$A:$A,0))+L559*INDEX(Hours!H:H,MATCH(C559,Hours!$A:$A,0)))</f>
        <v>0</v>
      </c>
      <c r="S559" s="19">
        <f t="shared" si="17"/>
        <v>0</v>
      </c>
    </row>
    <row r="560" spans="1:19" x14ac:dyDescent="0.25">
      <c r="A560" s="15" t="str">
        <f>'Bldgs &amp; Rooms'!$A$17</f>
        <v>Main Bldg.</v>
      </c>
      <c r="B560" s="15">
        <f>'Bldgs &amp; Rooms'!$B$17</f>
        <v>0</v>
      </c>
      <c r="C560" s="14" t="str">
        <f>Hours!$A$5</f>
        <v>Distribution Switchboard Multi Cover (Per Section)</v>
      </c>
      <c r="D560" s="15">
        <f t="shared" si="16"/>
        <v>0</v>
      </c>
      <c r="E560" s="16"/>
      <c r="F560" s="17"/>
      <c r="G560" s="17"/>
      <c r="H560" s="17"/>
      <c r="I560" s="17"/>
      <c r="J560" s="17"/>
      <c r="K560" s="17"/>
      <c r="L560" s="12"/>
      <c r="M560" s="12"/>
      <c r="N560" s="12"/>
      <c r="O560" s="17"/>
      <c r="P560" s="12"/>
      <c r="Q560" s="17"/>
      <c r="R560" s="18">
        <f>IF(SUMPRODUCT((E560:Q560)*1)=0,0,E560*INDEX(Hours!M:M,MATCH(C560,Hours!$A:$A,0))+F560*INDEX(Hours!B:B,MATCH(C560,Hours!$A:$A,0))+G560*INDEX(Hours!C:C,MATCH(C560,Hours!$A:$A,0))+H560*INDEX(Hours!D:D,MATCH(C560,Hours!$A:$A,0))+I560*INDEX(Hours!E:E,MATCH(C560,Hours!$A:$A,0))+J560*INDEX(Hours!F:F,MATCH(C560,Hours!$A:$A,0))+K560*INDEX(Hours!G:G,MATCH(C560,Hours!$A:$A,0))+O560*INDEX(Hours!K:K,MATCH(C560,Hours!$A:$A,0)))</f>
        <v>0</v>
      </c>
      <c r="S560" s="19">
        <f t="shared" si="17"/>
        <v>0</v>
      </c>
    </row>
    <row r="561" spans="1:19" x14ac:dyDescent="0.25">
      <c r="A561" s="15" t="str">
        <f>'Bldgs &amp; Rooms'!$A$17</f>
        <v>Main Bldg.</v>
      </c>
      <c r="B561" s="15">
        <f>'Bldgs &amp; Rooms'!$B$17</f>
        <v>0</v>
      </c>
      <c r="C561" s="14" t="str">
        <f>Hours!$A$6</f>
        <v xml:space="preserve">  Switchboard Disconnects</v>
      </c>
      <c r="D561" s="15">
        <f t="shared" si="16"/>
        <v>0</v>
      </c>
      <c r="E561" s="16"/>
      <c r="F561" s="17"/>
      <c r="G561" s="17"/>
      <c r="H561" s="17"/>
      <c r="I561" s="17"/>
      <c r="J561" s="17"/>
      <c r="K561" s="12"/>
      <c r="L561" s="12"/>
      <c r="M561" s="12"/>
      <c r="N561" s="12"/>
      <c r="O561" s="12"/>
      <c r="P561" s="12"/>
      <c r="Q561" s="17"/>
      <c r="R561" s="18">
        <f>IF(SUMPRODUCT((E561:Q561)*1)=0,0,E561*INDEX(Hours!M:M,MATCH(C561,Hours!$A:$A,0))+F561*INDEX(Hours!B:B,MATCH(C561,Hours!$A:$A,0))+G561*INDEX(Hours!C:C,MATCH(C561,Hours!$A:$A,0))+H561*INDEX(Hours!D:D,MATCH(C561,Hours!$A:$A,0))+I561*INDEX(Hours!E:E,MATCH(C561,Hours!$A:$A,0))+J561*INDEX(Hours!F:F,MATCH(C561,Hours!$A:$A,0)))</f>
        <v>0</v>
      </c>
      <c r="S561" s="19">
        <f t="shared" si="17"/>
        <v>0</v>
      </c>
    </row>
    <row r="562" spans="1:19" x14ac:dyDescent="0.25">
      <c r="A562" s="15" t="str">
        <f>'Bldgs &amp; Rooms'!$A$17</f>
        <v>Main Bldg.</v>
      </c>
      <c r="B562" s="15">
        <f>'Bldgs &amp; Rooms'!$B$17</f>
        <v>0</v>
      </c>
      <c r="C562" s="14" t="str">
        <f>Hours!$A$7</f>
        <v xml:space="preserve">  Switchboard Molded Case Breakers</v>
      </c>
      <c r="D562" s="15">
        <f t="shared" si="16"/>
        <v>0</v>
      </c>
      <c r="E562" s="16"/>
      <c r="F562" s="17"/>
      <c r="G562" s="17"/>
      <c r="H562" s="17"/>
      <c r="I562" s="17"/>
      <c r="J562" s="17"/>
      <c r="K562" s="17"/>
      <c r="L562" s="12"/>
      <c r="M562" s="12"/>
      <c r="N562" s="12"/>
      <c r="O562" s="12"/>
      <c r="P562" s="12"/>
      <c r="Q562" s="17"/>
      <c r="R562" s="18">
        <f>IF(SUMPRODUCT((E562:Q562)*1)=0,0,E562*INDEX(Hours!M:M,MATCH(C562,Hours!$A:$A,0))+F562*INDEX(Hours!B:B,MATCH(C562,Hours!$A:$A,0))+G562*INDEX(Hours!C:C,MATCH(C562,Hours!$A:$A,0))+H562*INDEX(Hours!D:D,MATCH(C562,Hours!$A:$A,0))+I562*INDEX(Hours!E:E,MATCH(C562,Hours!$A:$A,0))+J562*INDEX(Hours!F:F,MATCH(C562,Hours!$A:$A,0))+K562*INDEX(Hours!G:G,MATCH(C562,Hours!$A:$A,0)))</f>
        <v>0</v>
      </c>
      <c r="S562" s="19">
        <f t="shared" si="17"/>
        <v>0</v>
      </c>
    </row>
    <row r="563" spans="1:19" x14ac:dyDescent="0.25">
      <c r="A563" s="15" t="str">
        <f>'Bldgs &amp; Rooms'!$A$17</f>
        <v>Main Bldg.</v>
      </c>
      <c r="B563" s="15">
        <f>'Bldgs &amp; Rooms'!$B$17</f>
        <v>0</v>
      </c>
      <c r="C563" s="14" t="str">
        <f>Hours!$A$8</f>
        <v>Panelboard-Single Cover &gt; 400A (Distribution Panel)</v>
      </c>
      <c r="D563" s="15">
        <f t="shared" si="16"/>
        <v>0</v>
      </c>
      <c r="E563" s="16"/>
      <c r="F563" s="17"/>
      <c r="G563" s="17"/>
      <c r="H563" s="17"/>
      <c r="I563" s="17"/>
      <c r="J563" s="17"/>
      <c r="K563" s="17"/>
      <c r="L563" s="12"/>
      <c r="M563" s="12"/>
      <c r="N563" s="12"/>
      <c r="O563" s="17"/>
      <c r="P563" s="12"/>
      <c r="Q563" s="17"/>
      <c r="R563" s="18">
        <f>IF(SUMPRODUCT((E563:Q563)*1)=0,0,E563*INDEX(Hours!M:M,MATCH(C563,Hours!$A:$A,0))+F563*INDEX(Hours!B:B,MATCH(C563,Hours!$A:$A,0))+G563*INDEX(Hours!C:C,MATCH(C563,Hours!$A:$A,0))+H563*INDEX(Hours!D:D,MATCH(C563,Hours!$A:$A,0))+I563*INDEX(Hours!E:E,MATCH(C563,Hours!$A:$A,0))+J563*INDEX(Hours!F:F,MATCH(C563,Hours!$A:$A,0))+K563*INDEX(Hours!G:G,MATCH(C563,Hours!$A:$A,0))+O563*INDEX(Hours!K:K,MATCH(C563,Hours!$A:$A,0)))</f>
        <v>0</v>
      </c>
      <c r="S563" s="19">
        <f t="shared" si="17"/>
        <v>0</v>
      </c>
    </row>
    <row r="564" spans="1:19" x14ac:dyDescent="0.25">
      <c r="A564" s="15" t="str">
        <f>'Bldgs &amp; Rooms'!$A$17</f>
        <v>Main Bldg.</v>
      </c>
      <c r="B564" s="15">
        <f>'Bldgs &amp; Rooms'!$B$17</f>
        <v>0</v>
      </c>
      <c r="C564" s="14" t="str">
        <f>Hours!$A$9</f>
        <v>Panelboard-Single Cover &lt; 400A (Branch Ckt Panel)</v>
      </c>
      <c r="D564" s="15">
        <f t="shared" si="16"/>
        <v>0</v>
      </c>
      <c r="E564" s="16"/>
      <c r="F564" s="17"/>
      <c r="G564" s="17"/>
      <c r="H564" s="17"/>
      <c r="I564" s="17"/>
      <c r="J564" s="17"/>
      <c r="K564" s="12"/>
      <c r="L564" s="12"/>
      <c r="M564" s="12"/>
      <c r="N564" s="12"/>
      <c r="O564" s="17"/>
      <c r="P564" s="12"/>
      <c r="Q564" s="17"/>
      <c r="R564" s="18">
        <f>IF(SUMPRODUCT((E564:Q564)*1)=0,0,E564*INDEX(Hours!M:M,MATCH(C564,Hours!$A:$A,0))+F564*INDEX(Hours!B:B,MATCH(C564,Hours!$A:$A,0))+G564*INDEX(Hours!C:C,MATCH(C564,Hours!$A:$A,0))+H564*INDEX(Hours!D:D,MATCH(C564,Hours!$A:$A,0))+I564*INDEX(Hours!E:E,MATCH(C564,Hours!$A:$A,0))+J564*INDEX(Hours!F:F,MATCH(C564,Hours!$A:$A,0))+O564*INDEX(Hours!K:K,MATCH(C564,Hours!$A:$A,0)))</f>
        <v>0</v>
      </c>
      <c r="S564" s="19">
        <f t="shared" si="17"/>
        <v>0</v>
      </c>
    </row>
    <row r="565" spans="1:19" x14ac:dyDescent="0.25">
      <c r="A565" s="15" t="str">
        <f>'Bldgs &amp; Rooms'!$A$17</f>
        <v>Main Bldg.</v>
      </c>
      <c r="B565" s="15">
        <f>'Bldgs &amp; Rooms'!$B$17</f>
        <v>0</v>
      </c>
      <c r="C565" s="14" t="str">
        <f>Hours!$A$10</f>
        <v>Motor Control Center (MCC-Per Vertical Section)</v>
      </c>
      <c r="D565" s="15">
        <f t="shared" si="16"/>
        <v>0</v>
      </c>
      <c r="E565" s="16"/>
      <c r="F565" s="17"/>
      <c r="G565" s="17"/>
      <c r="H565" s="17"/>
      <c r="I565" s="17"/>
      <c r="J565" s="17"/>
      <c r="K565" s="12"/>
      <c r="L565" s="12"/>
      <c r="M565" s="12"/>
      <c r="N565" s="12"/>
      <c r="O565" s="17"/>
      <c r="P565" s="12"/>
      <c r="Q565" s="17"/>
      <c r="R565" s="18">
        <f>IF(SUMPRODUCT((E565:Q565)*1)=0,0,E565*INDEX(Hours!M:M,MATCH(C565,Hours!$A:$A,0))+F565*INDEX(Hours!B:B,MATCH(C565,Hours!$A:$A,0))+G565*INDEX(Hours!C:C,MATCH(C565,Hours!$A:$A,0))+H565*INDEX(Hours!D:D,MATCH(C565,Hours!$A:$A,0))+I565*INDEX(Hours!E:E,MATCH(C565,Hours!$A:$A,0))+J565*INDEX(Hours!F:F,MATCH(C565,Hours!$A:$A,0))+O565*INDEX(Hours!K:K,MATCH(C565,Hours!$A:$A,0)))</f>
        <v>0</v>
      </c>
      <c r="S565" s="19">
        <f t="shared" si="17"/>
        <v>0</v>
      </c>
    </row>
    <row r="566" spans="1:19" x14ac:dyDescent="0.25">
      <c r="A566" s="15" t="str">
        <f>'Bldgs &amp; Rooms'!$A$17</f>
        <v>Main Bldg.</v>
      </c>
      <c r="B566" s="15">
        <f>'Bldgs &amp; Rooms'!$B$17</f>
        <v>0</v>
      </c>
      <c r="C566" s="14" t="str">
        <f>Hours!$A$11</f>
        <v xml:space="preserve">  MCC: Combination Motor Starters</v>
      </c>
      <c r="D566" s="15">
        <f t="shared" si="16"/>
        <v>0</v>
      </c>
      <c r="E566" s="16"/>
      <c r="F566" s="17"/>
      <c r="G566" s="17"/>
      <c r="H566" s="17"/>
      <c r="I566" s="17"/>
      <c r="J566" s="17"/>
      <c r="K566" s="17"/>
      <c r="L566" s="12"/>
      <c r="M566" s="12"/>
      <c r="N566" s="12"/>
      <c r="O566" s="17"/>
      <c r="P566" s="12"/>
      <c r="Q566" s="17"/>
      <c r="R566" s="18">
        <f>IF(SUMPRODUCT((E566:Q566)*1)=0,0,E566*INDEX(Hours!M:M,MATCH(C566,Hours!$A:$A,0))+F566*INDEX(Hours!B:B,MATCH(C566,Hours!$A:$A,0))+G566*INDEX(Hours!C:C,MATCH(C566,Hours!$A:$A,0))+H566*INDEX(Hours!D:D,MATCH(C566,Hours!$A:$A,0))+I566*INDEX(Hours!E:E,MATCH(C566,Hours!$A:$A,0))+J566*INDEX(Hours!F:F,MATCH(C566,Hours!$A:$A,0))+K566*INDEX(Hours!G:G,MATCH(C566,Hours!$A:$A,0))+O566*INDEX(Hours!K:K,MATCH(C566,Hours!$A:$A,0)))</f>
        <v>0</v>
      </c>
      <c r="S566" s="19">
        <f t="shared" si="17"/>
        <v>0</v>
      </c>
    </row>
    <row r="567" spans="1:19" x14ac:dyDescent="0.25">
      <c r="A567" s="15" t="str">
        <f>'Bldgs &amp; Rooms'!$A$17</f>
        <v>Main Bldg.</v>
      </c>
      <c r="B567" s="15">
        <f>'Bldgs &amp; Rooms'!$B$17</f>
        <v>0</v>
      </c>
      <c r="C567" s="14" t="str">
        <f>Hours!$A$12</f>
        <v xml:space="preserve">  MCC: Molded Case Breaker</v>
      </c>
      <c r="D567" s="15">
        <f t="shared" si="16"/>
        <v>0</v>
      </c>
      <c r="E567" s="16"/>
      <c r="F567" s="17"/>
      <c r="G567" s="17"/>
      <c r="H567" s="17"/>
      <c r="I567" s="17"/>
      <c r="J567" s="17"/>
      <c r="K567" s="17"/>
      <c r="L567" s="12"/>
      <c r="M567" s="12"/>
      <c r="N567" s="12"/>
      <c r="O567" s="12"/>
      <c r="P567" s="12"/>
      <c r="Q567" s="17"/>
      <c r="R567" s="18">
        <f>IF(SUMPRODUCT((E567:Q567)*1)=0,0,E567*INDEX(Hours!M:M,MATCH(C567,Hours!$A:$A,0))+F567*INDEX(Hours!B:B,MATCH(C567,Hours!$A:$A,0))+G567*INDEX(Hours!C:C,MATCH(C567,Hours!$A:$A,0))+H567*INDEX(Hours!D:D,MATCH(C567,Hours!$A:$A,0))+I567*INDEX(Hours!E:E,MATCH(C567,Hours!$A:$A,0))+J567*INDEX(Hours!F:F,MATCH(C567,Hours!$A:$A,0))+K567*INDEX(Hours!G:G,MATCH(C567,Hours!$A:$A,0)))</f>
        <v>0</v>
      </c>
      <c r="S567" s="19">
        <f t="shared" si="17"/>
        <v>0</v>
      </c>
    </row>
    <row r="568" spans="1:19" x14ac:dyDescent="0.25">
      <c r="A568" s="15" t="str">
        <f>'Bldgs &amp; Rooms'!$A$17</f>
        <v>Main Bldg.</v>
      </c>
      <c r="B568" s="15">
        <f>'Bldgs &amp; Rooms'!$B$17</f>
        <v>0</v>
      </c>
      <c r="C568" s="14" t="str">
        <f>Hours!$A$13</f>
        <v xml:space="preserve">  MCC: Individual Disconnect Switch</v>
      </c>
      <c r="D568" s="15">
        <f t="shared" si="16"/>
        <v>0</v>
      </c>
      <c r="E568" s="16"/>
      <c r="F568" s="17"/>
      <c r="G568" s="17"/>
      <c r="H568" s="17"/>
      <c r="I568" s="17"/>
      <c r="J568" s="17"/>
      <c r="K568" s="12"/>
      <c r="L568" s="12"/>
      <c r="M568" s="12"/>
      <c r="N568" s="12"/>
      <c r="O568" s="12"/>
      <c r="P568" s="12"/>
      <c r="Q568" s="17"/>
      <c r="R568" s="18">
        <f>IF(SUMPRODUCT((E568:Q568)*1)=0,0,E568*INDEX(Hours!M:M,MATCH(C568,Hours!$A:$A,0))+F568*INDEX(Hours!B:B,MATCH(C568,Hours!$A:$A,0))+G568*INDEX(Hours!C:C,MATCH(C568,Hours!$A:$A,0))+H568*INDEX(Hours!D:D,MATCH(C568,Hours!$A:$A,0))+I568*INDEX(Hours!E:E,MATCH(C568,Hours!$A:$A,0))+J568*INDEX(Hours!F:F,MATCH(C568,Hours!$A:$A,0)))</f>
        <v>0</v>
      </c>
      <c r="S568" s="19">
        <f t="shared" si="17"/>
        <v>0</v>
      </c>
    </row>
    <row r="569" spans="1:19" x14ac:dyDescent="0.25">
      <c r="A569" s="15" t="str">
        <f>'Bldgs &amp; Rooms'!$A$17</f>
        <v>Main Bldg.</v>
      </c>
      <c r="B569" s="15">
        <f>'Bldgs &amp; Rooms'!$B$17</f>
        <v>0</v>
      </c>
      <c r="C569" s="14" t="str">
        <f>Hours!$A$14</f>
        <v>Motor Control Panel (MCP)</v>
      </c>
      <c r="D569" s="15">
        <f t="shared" si="16"/>
        <v>0</v>
      </c>
      <c r="E569" s="16"/>
      <c r="F569" s="17"/>
      <c r="G569" s="17"/>
      <c r="H569" s="17"/>
      <c r="I569" s="17"/>
      <c r="J569" s="17"/>
      <c r="K569" s="12"/>
      <c r="L569" s="12"/>
      <c r="M569" s="12"/>
      <c r="N569" s="12"/>
      <c r="O569" s="17"/>
      <c r="P569" s="12"/>
      <c r="Q569" s="17"/>
      <c r="R569" s="18">
        <f>IF(SUMPRODUCT((E569:Q569)*1)=0,0,E569*INDEX(Hours!M:M,MATCH(C569,Hours!$A:$A,0))+F569*INDEX(Hours!B:B,MATCH(C569,Hours!$A:$A,0))+G569*INDEX(Hours!C:C,MATCH(C569,Hours!$A:$A,0))+H569*INDEX(Hours!D:D,MATCH(C569,Hours!$A:$A,0))+I569*INDEX(Hours!E:E,MATCH(C569,Hours!$A:$A,0))+J569*INDEX(Hours!F:F,MATCH(C569,Hours!$A:$A,0))+O569*INDEX(Hours!K:K,MATCH(C569,Hours!$A:$A,0)))</f>
        <v>0</v>
      </c>
      <c r="S569" s="19">
        <f t="shared" si="17"/>
        <v>0</v>
      </c>
    </row>
    <row r="570" spans="1:19" x14ac:dyDescent="0.25">
      <c r="A570" s="15" t="str">
        <f>'Bldgs &amp; Rooms'!$A$17</f>
        <v>Main Bldg.</v>
      </c>
      <c r="B570" s="15">
        <f>'Bldgs &amp; Rooms'!$B$17</f>
        <v>0</v>
      </c>
      <c r="C570" s="14" t="str">
        <f>Hours!$A$15</f>
        <v>VFD Motor Control Panel (VFD-MCP)</v>
      </c>
      <c r="D570" s="15">
        <f t="shared" si="16"/>
        <v>0</v>
      </c>
      <c r="E570" s="16"/>
      <c r="F570" s="17"/>
      <c r="G570" s="17"/>
      <c r="H570" s="17"/>
      <c r="I570" s="17"/>
      <c r="J570" s="17"/>
      <c r="K570" s="12"/>
      <c r="L570" s="12"/>
      <c r="M570" s="12"/>
      <c r="N570" s="12"/>
      <c r="O570" s="17"/>
      <c r="P570" s="12"/>
      <c r="Q570" s="17"/>
      <c r="R570" s="18">
        <f>IF(SUMPRODUCT((E570:Q570)*1)=0,0,E570*INDEX(Hours!M:M,MATCH(C570,Hours!$A:$A,0))+F570*INDEX(Hours!B:B,MATCH(C570,Hours!$A:$A,0))+G570*INDEX(Hours!C:C,MATCH(C570,Hours!$A:$A,0))+H570*INDEX(Hours!D:D,MATCH(C570,Hours!$A:$A,0))+I570*INDEX(Hours!E:E,MATCH(C570,Hours!$A:$A,0))+J570*INDEX(Hours!F:F,MATCH(C570,Hours!$A:$A,0))+O570*INDEX(Hours!K:K,MATCH(C570,Hours!$A:$A,0)))</f>
        <v>0</v>
      </c>
      <c r="S570" s="19">
        <f t="shared" si="17"/>
        <v>0</v>
      </c>
    </row>
    <row r="571" spans="1:19" x14ac:dyDescent="0.25">
      <c r="A571" s="15" t="str">
        <f>'Bldgs &amp; Rooms'!$A$17</f>
        <v>Main Bldg.</v>
      </c>
      <c r="B571" s="15">
        <f>'Bldgs &amp; Rooms'!$B$17</f>
        <v>0</v>
      </c>
      <c r="C571" s="14" t="str">
        <f>Hours!$A$16</f>
        <v>Individual Disconnect Switch &gt; 100A</v>
      </c>
      <c r="D571" s="15">
        <f t="shared" si="16"/>
        <v>0</v>
      </c>
      <c r="E571" s="16"/>
      <c r="F571" s="17"/>
      <c r="G571" s="17"/>
      <c r="H571" s="17"/>
      <c r="I571" s="17"/>
      <c r="J571" s="17"/>
      <c r="K571" s="17"/>
      <c r="L571" s="12"/>
      <c r="M571" s="12"/>
      <c r="N571" s="12"/>
      <c r="O571" s="12"/>
      <c r="P571" s="12"/>
      <c r="Q571" s="17"/>
      <c r="R571" s="18">
        <f>IF(SUMPRODUCT((E571:Q571)*1)=0,0,E571*INDEX(Hours!M:M,MATCH(C571,Hours!$A:$A,0))+F571*INDEX(Hours!B:B,MATCH(C571,Hours!$A:$A,0))+G571*INDEX(Hours!C:C,MATCH(C571,Hours!$A:$A,0))+H571*INDEX(Hours!D:D,MATCH(C571,Hours!$A:$A,0))+I571*INDEX(Hours!E:E,MATCH(C571,Hours!$A:$A,0))+J571*INDEX(Hours!F:F,MATCH(C571,Hours!$A:$A,0))+K571*INDEX(Hours!G:G,MATCH(C571,Hours!$A:$A,0)))</f>
        <v>0</v>
      </c>
      <c r="S571" s="19">
        <f t="shared" si="17"/>
        <v>0</v>
      </c>
    </row>
    <row r="572" spans="1:19" x14ac:dyDescent="0.25">
      <c r="A572" s="15" t="str">
        <f>'Bldgs &amp; Rooms'!$A$17</f>
        <v>Main Bldg.</v>
      </c>
      <c r="B572" s="15">
        <f>'Bldgs &amp; Rooms'!$B$17</f>
        <v>0</v>
      </c>
      <c r="C572" s="14" t="str">
        <f>Hours!$A$17</f>
        <v>Individual Molded Case Breaker &gt; 100A</v>
      </c>
      <c r="D572" s="15">
        <f t="shared" si="16"/>
        <v>0</v>
      </c>
      <c r="E572" s="16"/>
      <c r="F572" s="17"/>
      <c r="G572" s="17"/>
      <c r="H572" s="17"/>
      <c r="I572" s="17"/>
      <c r="J572" s="17"/>
      <c r="K572" s="17"/>
      <c r="L572" s="12"/>
      <c r="M572" s="12"/>
      <c r="N572" s="12"/>
      <c r="O572" s="12"/>
      <c r="P572" s="12"/>
      <c r="Q572" s="17"/>
      <c r="R572" s="18">
        <f>IF(SUMPRODUCT((E572:Q572)*1)=0,0,E572*INDEX(Hours!M:M,MATCH(C572,Hours!$A:$A,0))+F572*INDEX(Hours!B:B,MATCH(C572,Hours!$A:$A,0))+G572*INDEX(Hours!C:C,MATCH(C572,Hours!$A:$A,0))+H572*INDEX(Hours!D:D,MATCH(C572,Hours!$A:$A,0))+I572*INDEX(Hours!E:E,MATCH(C572,Hours!$A:$A,0))+J572*INDEX(Hours!F:F,MATCH(C572,Hours!$A:$A,0))+K572*INDEX(Hours!G:G,MATCH(C572,Hours!$A:$A,0)))</f>
        <v>0</v>
      </c>
      <c r="S572" s="19">
        <f t="shared" si="17"/>
        <v>0</v>
      </c>
    </row>
    <row r="573" spans="1:19" x14ac:dyDescent="0.25">
      <c r="A573" s="15" t="str">
        <f>'Bldgs &amp; Rooms'!$A$17</f>
        <v>Main Bldg.</v>
      </c>
      <c r="B573" s="15">
        <f>'Bldgs &amp; Rooms'!$B$17</f>
        <v>0</v>
      </c>
      <c r="C573" s="14" t="str">
        <f>Hours!$A$18</f>
        <v>Individual Combination Motor Starter &gt; 100A</v>
      </c>
      <c r="D573" s="15">
        <f t="shared" si="16"/>
        <v>0</v>
      </c>
      <c r="E573" s="16"/>
      <c r="F573" s="17"/>
      <c r="G573" s="17"/>
      <c r="H573" s="17"/>
      <c r="I573" s="17"/>
      <c r="J573" s="17"/>
      <c r="K573" s="17"/>
      <c r="L573" s="12"/>
      <c r="M573" s="12"/>
      <c r="N573" s="12"/>
      <c r="O573" s="12"/>
      <c r="P573" s="12"/>
      <c r="Q573" s="17"/>
      <c r="R573" s="18">
        <f>IF(SUMPRODUCT((E573:Q573)*1)=0,0,E573*INDEX(Hours!M:M,MATCH(C573,Hours!$A:$A,0))+F573*INDEX(Hours!B:B,MATCH(C573,Hours!$A:$A,0))+G573*INDEX(Hours!C:C,MATCH(C573,Hours!$A:$A,0))+H573*INDEX(Hours!D:D,MATCH(C573,Hours!$A:$A,0))+I573*INDEX(Hours!E:E,MATCH(C573,Hours!$A:$A,0))+J573*INDEX(Hours!F:F,MATCH(C573,Hours!$A:$A,0))+K573*INDEX(Hours!G:G,MATCH(C573,Hours!$A:$A,0)))</f>
        <v>0</v>
      </c>
      <c r="S573" s="19">
        <f t="shared" si="17"/>
        <v>0</v>
      </c>
    </row>
    <row r="574" spans="1:19" x14ac:dyDescent="0.25">
      <c r="A574" s="15" t="str">
        <f>'Bldgs &amp; Rooms'!$A$17</f>
        <v>Main Bldg.</v>
      </c>
      <c r="B574" s="15">
        <f>'Bldgs &amp; Rooms'!$B$17</f>
        <v>0</v>
      </c>
      <c r="C574" s="14" t="str">
        <f>Hours!$A$19</f>
        <v>Oil Filled Transformer - 5kV-15kV Primary - Any Size (Pad Mounted)</v>
      </c>
      <c r="D574" s="15">
        <f t="shared" si="16"/>
        <v>0</v>
      </c>
      <c r="E574" s="16"/>
      <c r="F574" s="17"/>
      <c r="G574" s="17"/>
      <c r="H574" s="17"/>
      <c r="I574" s="17"/>
      <c r="J574" s="17"/>
      <c r="K574" s="12"/>
      <c r="L574" s="12"/>
      <c r="M574" s="17"/>
      <c r="N574" s="17"/>
      <c r="O574" s="12"/>
      <c r="P574" s="17"/>
      <c r="Q574" s="17"/>
      <c r="R574" s="18">
        <f>IF(SUMPRODUCT((E574:Q574)*1)=0,0,E574*INDEX(Hours!M:M,MATCH(C574,Hours!$A:$A,0))+F574*INDEX(Hours!B:B,MATCH(C574,Hours!$A:$A,0))+G574*INDEX(Hours!C:C,MATCH(C574,Hours!$A:$A,0))+H574*INDEX(Hours!D:D,MATCH(C574,Hours!$A:$A,0))+I574*INDEX(Hours!E:E,MATCH(C574,Hours!$A:$A,0))+J574*INDEX(Hours!F:F,MATCH(C574,Hours!$A:$A,0))+M574*INDEX(Hours!I:I,MATCH(C574,Hours!$A:$A,0))+N574*INDEX(Hours!J:J,MATCH(C574,Hours!$A:$A,0))+P574*INDEX(Hours!L:L,MATCH(C574,Hours!$A:$A,0)))</f>
        <v>0</v>
      </c>
      <c r="S574" s="19">
        <f t="shared" si="17"/>
        <v>0</v>
      </c>
    </row>
    <row r="575" spans="1:19" x14ac:dyDescent="0.25">
      <c r="A575" s="15" t="str">
        <f>'Bldgs &amp; Rooms'!$A$17</f>
        <v>Main Bldg.</v>
      </c>
      <c r="B575" s="15">
        <f>'Bldgs &amp; Rooms'!$B$17</f>
        <v>0</v>
      </c>
      <c r="C575" s="14" t="str">
        <f>Hours!$A$20</f>
        <v>Oil Filled Transformer - &gt; 15kV Primary (Substation Class)</v>
      </c>
      <c r="D575" s="15">
        <f t="shared" si="16"/>
        <v>0</v>
      </c>
      <c r="E575" s="16"/>
      <c r="F575" s="17"/>
      <c r="G575" s="17"/>
      <c r="H575" s="17"/>
      <c r="I575" s="17"/>
      <c r="J575" s="17"/>
      <c r="K575" s="12"/>
      <c r="L575" s="12"/>
      <c r="M575" s="17"/>
      <c r="N575" s="17"/>
      <c r="O575" s="12"/>
      <c r="P575" s="17"/>
      <c r="Q575" s="17"/>
      <c r="R575" s="18">
        <f>IF(SUMPRODUCT((E575:Q575)*1)=0,0,E575*INDEX(Hours!M:M,MATCH(C575,Hours!$A:$A,0))+F575*INDEX(Hours!B:B,MATCH(C575,Hours!$A:$A,0))+G575*INDEX(Hours!C:C,MATCH(C575,Hours!$A:$A,0))+H575*INDEX(Hours!D:D,MATCH(C575,Hours!$A:$A,0))+I575*INDEX(Hours!E:E,MATCH(C575,Hours!$A:$A,0))+J575*INDEX(Hours!F:F,MATCH(C575,Hours!$A:$A,0))+M575*INDEX(Hours!I:I,MATCH(C575,Hours!$A:$A,0))+N575*INDEX(Hours!J:J,MATCH(C575,Hours!$A:$A,0))+P575*INDEX(Hours!L:L,MATCH(C575,Hours!$A:$A,0)))</f>
        <v>0</v>
      </c>
      <c r="S575" s="19">
        <f t="shared" si="17"/>
        <v>0</v>
      </c>
    </row>
    <row r="576" spans="1:19" x14ac:dyDescent="0.25">
      <c r="A576" s="15" t="str">
        <f>'Bldgs &amp; Rooms'!$A$17</f>
        <v>Main Bldg.</v>
      </c>
      <c r="B576" s="15">
        <f>'Bldgs &amp; Rooms'!$B$17</f>
        <v>0</v>
      </c>
      <c r="C576" s="14" t="str">
        <f>Hours!$A$21</f>
        <v>Dry Type Transformer - &lt; 480V Primary - Any Size kVA</v>
      </c>
      <c r="D576" s="15">
        <f t="shared" si="16"/>
        <v>0</v>
      </c>
      <c r="E576" s="16"/>
      <c r="F576" s="17"/>
      <c r="G576" s="17"/>
      <c r="H576" s="17"/>
      <c r="I576" s="17"/>
      <c r="J576" s="17"/>
      <c r="K576" s="12"/>
      <c r="L576" s="12"/>
      <c r="M576" s="17"/>
      <c r="N576" s="17"/>
      <c r="O576" s="12"/>
      <c r="P576" s="12"/>
      <c r="Q576" s="17"/>
      <c r="R576" s="18">
        <f>IF(SUMPRODUCT((E576:Q576)*1)=0,0,E576*INDEX(Hours!M:M,MATCH(C576,Hours!$A:$A,0))+F576*INDEX(Hours!B:B,MATCH(C576,Hours!$A:$A,0))+G576*INDEX(Hours!C:C,MATCH(C576,Hours!$A:$A,0))+H576*INDEX(Hours!D:D,MATCH(C576,Hours!$A:$A,0))+I576*INDEX(Hours!E:E,MATCH(C576,Hours!$A:$A,0))+J576*INDEX(Hours!F:F,MATCH(C576,Hours!$A:$A,0))+M576*INDEX(Hours!I:I,MATCH(C576,Hours!$A:$A,0))+N576*INDEX(Hours!J:J,MATCH(C576,Hours!$A:$A,0)))</f>
        <v>0</v>
      </c>
      <c r="S576" s="19">
        <f t="shared" si="17"/>
        <v>0</v>
      </c>
    </row>
    <row r="577" spans="1:19" x14ac:dyDescent="0.25">
      <c r="A577" s="15" t="str">
        <f>'Bldgs &amp; Rooms'!$A$17</f>
        <v>Main Bldg.</v>
      </c>
      <c r="B577" s="15">
        <f>'Bldgs &amp; Rooms'!$B$17</f>
        <v>0</v>
      </c>
      <c r="C577" s="14" t="str">
        <f>Hours!$A$22</f>
        <v>Power Factor Correction Capacitors</v>
      </c>
      <c r="D577" s="15">
        <f t="shared" si="16"/>
        <v>0</v>
      </c>
      <c r="E577" s="16"/>
      <c r="F577" s="17"/>
      <c r="G577" s="17"/>
      <c r="H577" s="17"/>
      <c r="I577" s="17"/>
      <c r="J577" s="17"/>
      <c r="K577" s="12"/>
      <c r="L577" s="12"/>
      <c r="M577" s="12"/>
      <c r="N577" s="12"/>
      <c r="O577" s="12"/>
      <c r="P577" s="12"/>
      <c r="Q577" s="17"/>
      <c r="R577" s="18">
        <f>IF(SUMPRODUCT((E577:Q577)*1)=0,0,E577*INDEX(Hours!M:M,MATCH(C577,Hours!$A:$A,0))+F577*INDEX(Hours!B:B,MATCH(C577,Hours!$A:$A,0))+G577*INDEX(Hours!C:C,MATCH(C577,Hours!$A:$A,0))+H577*INDEX(Hours!D:D,MATCH(C577,Hours!$A:$A,0))+I577*INDEX(Hours!E:E,MATCH(C577,Hours!$A:$A,0))+J577*INDEX(Hours!F:F,MATCH(C577,Hours!$A:$A,0)))</f>
        <v>0</v>
      </c>
      <c r="S577" s="19">
        <f t="shared" si="17"/>
        <v>0</v>
      </c>
    </row>
    <row r="578" spans="1:19" x14ac:dyDescent="0.25">
      <c r="A578" s="15" t="str">
        <f>'Bldgs &amp; Rooms'!$A$17</f>
        <v>Main Bldg.</v>
      </c>
      <c r="B578" s="15">
        <f>'Bldgs &amp; Rooms'!$B$17</f>
        <v>0</v>
      </c>
      <c r="C578" s="14" t="str">
        <f>Hours!$A$23</f>
        <v>Lighting Contactor &gt; 100A</v>
      </c>
      <c r="D578" s="15">
        <f t="shared" ref="D578:D641" si="18">MAX(E578+F578,G578,H578,I578,J578,K578,L578,M578,N578,O578,P578,Q578)</f>
        <v>0</v>
      </c>
      <c r="E578" s="16"/>
      <c r="F578" s="17"/>
      <c r="G578" s="17"/>
      <c r="H578" s="17"/>
      <c r="I578" s="17"/>
      <c r="J578" s="17"/>
      <c r="K578" s="12"/>
      <c r="L578" s="12"/>
      <c r="M578" s="12"/>
      <c r="N578" s="12"/>
      <c r="O578" s="12"/>
      <c r="P578" s="12"/>
      <c r="Q578" s="17"/>
      <c r="R578" s="18">
        <f>IF(SUMPRODUCT((E578:Q578)*1)=0,0,E578*INDEX(Hours!M:M,MATCH(C578,Hours!$A:$A,0))+F578*INDEX(Hours!B:B,MATCH(C578,Hours!$A:$A,0))+G578*INDEX(Hours!C:C,MATCH(C578,Hours!$A:$A,0))+H578*INDEX(Hours!D:D,MATCH(C578,Hours!$A:$A,0))+I578*INDEX(Hours!E:E,MATCH(C578,Hours!$A:$A,0))+J578*INDEX(Hours!F:F,MATCH(C578,Hours!$A:$A,0)))</f>
        <v>0</v>
      </c>
      <c r="S578" s="19">
        <f t="shared" ref="S578:S641" si="19">MAX(E578+F578,G578,H578,I578,J578,K578,L578,M578,N578,O578,P578,Q578)</f>
        <v>0</v>
      </c>
    </row>
    <row r="579" spans="1:19" x14ac:dyDescent="0.25">
      <c r="A579" s="15" t="str">
        <f>'Bldgs &amp; Rooms'!$A$17</f>
        <v>Main Bldg.</v>
      </c>
      <c r="B579" s="15">
        <f>'Bldgs &amp; Rooms'!$B$17</f>
        <v>0</v>
      </c>
      <c r="C579" s="14" t="str">
        <f>Hours!$A$24</f>
        <v>Power Distribution Unit (PDU)</v>
      </c>
      <c r="D579" s="15">
        <f t="shared" si="18"/>
        <v>0</v>
      </c>
      <c r="E579" s="16"/>
      <c r="F579" s="17"/>
      <c r="G579" s="17"/>
      <c r="H579" s="17"/>
      <c r="I579" s="17"/>
      <c r="J579" s="17"/>
      <c r="K579" s="12"/>
      <c r="L579" s="12"/>
      <c r="M579" s="12"/>
      <c r="N579" s="12"/>
      <c r="O579" s="12"/>
      <c r="P579" s="12"/>
      <c r="Q579" s="17"/>
      <c r="R579" s="18">
        <f>IF(SUMPRODUCT((E579:Q579)*1)=0,0,E579*INDEX(Hours!M:M,MATCH(C579,Hours!$A:$A,0))+F579*INDEX(Hours!B:B,MATCH(C579,Hours!$A:$A,0))+G579*INDEX(Hours!C:C,MATCH(C579,Hours!$A:$A,0))+H579*INDEX(Hours!D:D,MATCH(C579,Hours!$A:$A,0))+I579*INDEX(Hours!E:E,MATCH(C579,Hours!$A:$A,0))+J579*INDEX(Hours!F:F,MATCH(C579,Hours!$A:$A,0)))</f>
        <v>0</v>
      </c>
      <c r="S579" s="19">
        <f t="shared" si="19"/>
        <v>0</v>
      </c>
    </row>
    <row r="580" spans="1:19" x14ac:dyDescent="0.25">
      <c r="A580" s="15" t="str">
        <f>'Bldgs &amp; Rooms'!$A$17</f>
        <v>Main Bldg.</v>
      </c>
      <c r="B580" s="15">
        <f>'Bldgs &amp; Rooms'!$B$17</f>
        <v>0</v>
      </c>
      <c r="C580" s="14" t="str">
        <f>Hours!$A$25</f>
        <v>Wire Trough, Gutter, or Large Junction Boxes</v>
      </c>
      <c r="D580" s="15">
        <f t="shared" si="18"/>
        <v>0</v>
      </c>
      <c r="E580" s="16"/>
      <c r="F580" s="17"/>
      <c r="G580" s="17"/>
      <c r="H580" s="17"/>
      <c r="I580" s="17"/>
      <c r="J580" s="17"/>
      <c r="K580" s="12"/>
      <c r="L580" s="12"/>
      <c r="M580" s="12"/>
      <c r="N580" s="12"/>
      <c r="O580" s="12"/>
      <c r="P580" s="12"/>
      <c r="Q580" s="17"/>
      <c r="R580" s="18">
        <f>IF(SUMPRODUCT((E580:Q580)*1)=0,0,E580*INDEX(Hours!M:M,MATCH(C580,Hours!$A:$A,0))+F580*INDEX(Hours!B:B,MATCH(C580,Hours!$A:$A,0))+G580*INDEX(Hours!C:C,MATCH(C580,Hours!$A:$A,0))+H580*INDEX(Hours!D:D,MATCH(C580,Hours!$A:$A,0))+I580*INDEX(Hours!E:E,MATCH(C580,Hours!$A:$A,0))+J580*INDEX(Hours!F:F,MATCH(C580,Hours!$A:$A,0)))</f>
        <v>0</v>
      </c>
      <c r="S580" s="19">
        <f t="shared" si="19"/>
        <v>0</v>
      </c>
    </row>
    <row r="581" spans="1:19" x14ac:dyDescent="0.25">
      <c r="A581" s="15" t="str">
        <f>'Bldgs &amp; Rooms'!$A$17</f>
        <v>Main Bldg.</v>
      </c>
      <c r="B581" s="15">
        <f>'Bldgs &amp; Rooms'!$B$17</f>
        <v>0</v>
      </c>
      <c r="C581" s="14" t="str">
        <f>Hours!$A$26</f>
        <v>Bus Duct - Vertical or Horizontal (Per 10' section)</v>
      </c>
      <c r="D581" s="15">
        <f t="shared" si="18"/>
        <v>0</v>
      </c>
      <c r="E581" s="16"/>
      <c r="F581" s="17"/>
      <c r="G581" s="17"/>
      <c r="H581" s="17"/>
      <c r="I581" s="17"/>
      <c r="J581" s="17"/>
      <c r="K581" s="12"/>
      <c r="L581" s="12"/>
      <c r="M581" s="12"/>
      <c r="N581" s="12"/>
      <c r="O581" s="12"/>
      <c r="P581" s="12"/>
      <c r="Q581" s="17"/>
      <c r="R581" s="18">
        <f>IF(SUMPRODUCT((E581:Q581)*1)=0,0,E581*INDEX(Hours!M:M,MATCH(C581,Hours!$A:$A,0))+F581*INDEX(Hours!B:B,MATCH(C581,Hours!$A:$A,0))+G581*INDEX(Hours!C:C,MATCH(C581,Hours!$A:$A,0))+H581*INDEX(Hours!D:D,MATCH(C581,Hours!$A:$A,0))+I581*INDEX(Hours!E:E,MATCH(C581,Hours!$A:$A,0))+J581*INDEX(Hours!F:F,MATCH(C581,Hours!$A:$A,0)))</f>
        <v>0</v>
      </c>
      <c r="S581" s="19">
        <f t="shared" si="19"/>
        <v>0</v>
      </c>
    </row>
    <row r="582" spans="1:19" x14ac:dyDescent="0.25">
      <c r="A582" s="15" t="str">
        <f>'Bldgs &amp; Rooms'!$A$17</f>
        <v>Main Bldg.</v>
      </c>
      <c r="B582" s="15">
        <f>'Bldgs &amp; Rooms'!$B$17</f>
        <v>0</v>
      </c>
      <c r="C582" s="14" t="str">
        <f>Hours!$A$27</f>
        <v>Automatic Transfer Switch (ATS) &gt; 100A</v>
      </c>
      <c r="D582" s="15">
        <f t="shared" si="18"/>
        <v>0</v>
      </c>
      <c r="E582" s="16"/>
      <c r="F582" s="17"/>
      <c r="G582" s="17"/>
      <c r="H582" s="17"/>
      <c r="I582" s="17"/>
      <c r="J582" s="17"/>
      <c r="K582" s="12"/>
      <c r="L582" s="12"/>
      <c r="M582" s="12"/>
      <c r="N582" s="12"/>
      <c r="O582" s="12"/>
      <c r="P582" s="12"/>
      <c r="Q582" s="17"/>
      <c r="R582" s="18">
        <f>IF(SUMPRODUCT((E582:Q582)*1)=0,0,E582*INDEX(Hours!M:M,MATCH(C582,Hours!$A:$A,0))+F582*INDEX(Hours!B:B,MATCH(C582,Hours!$A:$A,0))+G582*INDEX(Hours!C:C,MATCH(C582,Hours!$A:$A,0))+H582*INDEX(Hours!D:D,MATCH(C582,Hours!$A:$A,0))+I582*INDEX(Hours!E:E,MATCH(C582,Hours!$A:$A,0))+J582*INDEX(Hours!F:F,MATCH(C582,Hours!$A:$A,0)))</f>
        <v>0</v>
      </c>
      <c r="S582" s="19">
        <f t="shared" si="19"/>
        <v>0</v>
      </c>
    </row>
    <row r="583" spans="1:19" x14ac:dyDescent="0.25">
      <c r="A583" s="15" t="str">
        <f>'Bldgs &amp; Rooms'!$A$17</f>
        <v>Main Bldg.</v>
      </c>
      <c r="B583" s="15">
        <f>'Bldgs &amp; Rooms'!$B$17</f>
        <v>0</v>
      </c>
      <c r="C583" s="14" t="str">
        <f>Hours!$A$28</f>
        <v>Manual Transfer Switch (MTS) &gt; 100A</v>
      </c>
      <c r="D583" s="15">
        <f t="shared" si="18"/>
        <v>0</v>
      </c>
      <c r="E583" s="16"/>
      <c r="F583" s="17"/>
      <c r="G583" s="17"/>
      <c r="H583" s="17"/>
      <c r="I583" s="17"/>
      <c r="J583" s="17"/>
      <c r="K583" s="12"/>
      <c r="L583" s="12"/>
      <c r="M583" s="12"/>
      <c r="N583" s="12"/>
      <c r="O583" s="12"/>
      <c r="P583" s="12"/>
      <c r="Q583" s="17"/>
      <c r="R583" s="18">
        <f>IF(SUMPRODUCT((E583:Q583)*1)=0,0,E583*INDEX(Hours!M:M,MATCH(C583,Hours!$A:$A,0))+F583*INDEX(Hours!B:B,MATCH(C583,Hours!$A:$A,0))+G583*INDEX(Hours!C:C,MATCH(C583,Hours!$A:$A,0))+H583*INDEX(Hours!D:D,MATCH(C583,Hours!$A:$A,0))+I583*INDEX(Hours!E:E,MATCH(C583,Hours!$A:$A,0))+J583*INDEX(Hours!F:F,MATCH(C583,Hours!$A:$A,0)))</f>
        <v>0</v>
      </c>
      <c r="S583" s="19">
        <f t="shared" si="19"/>
        <v>0</v>
      </c>
    </row>
    <row r="584" spans="1:19" x14ac:dyDescent="0.25">
      <c r="A584" s="15" t="str">
        <f>'Bldgs &amp; Rooms'!$A$17</f>
        <v>Main Bldg.</v>
      </c>
      <c r="B584" s="15">
        <f>'Bldgs &amp; Rooms'!$B$17</f>
        <v>0</v>
      </c>
      <c r="C584" s="14" t="str">
        <f>Hours!$A$29</f>
        <v>Variable Frequency Drives (VFD) &lt; 50 HP</v>
      </c>
      <c r="D584" s="15">
        <f t="shared" si="18"/>
        <v>0</v>
      </c>
      <c r="E584" s="16"/>
      <c r="F584" s="17"/>
      <c r="G584" s="17"/>
      <c r="H584" s="17"/>
      <c r="I584" s="17"/>
      <c r="J584" s="17"/>
      <c r="K584" s="12"/>
      <c r="L584" s="12"/>
      <c r="M584" s="12"/>
      <c r="N584" s="12"/>
      <c r="O584" s="12"/>
      <c r="P584" s="12"/>
      <c r="Q584" s="17"/>
      <c r="R584" s="18">
        <f>IF(SUMPRODUCT((E584:Q584)*1)=0,0,E584*INDEX(Hours!M:M,MATCH(C584,Hours!$A:$A,0))+F584*INDEX(Hours!B:B,MATCH(C584,Hours!$A:$A,0))+G584*INDEX(Hours!C:C,MATCH(C584,Hours!$A:$A,0))+H584*INDEX(Hours!D:D,MATCH(C584,Hours!$A:$A,0))+I584*INDEX(Hours!E:E,MATCH(C584,Hours!$A:$A,0))+J584*INDEX(Hours!F:F,MATCH(C584,Hours!$A:$A,0)))</f>
        <v>0</v>
      </c>
      <c r="S584" s="19">
        <f t="shared" si="19"/>
        <v>0</v>
      </c>
    </row>
    <row r="585" spans="1:19" x14ac:dyDescent="0.25">
      <c r="A585" s="15" t="str">
        <f>'Bldgs &amp; Rooms'!$A$17</f>
        <v>Main Bldg.</v>
      </c>
      <c r="B585" s="15">
        <f>'Bldgs &amp; Rooms'!$B$17</f>
        <v>0</v>
      </c>
      <c r="C585" s="14" t="str">
        <f>Hours!$A$30</f>
        <v>Variable Frequency Drives (VFD) 51-200 HP</v>
      </c>
      <c r="D585" s="15">
        <f t="shared" si="18"/>
        <v>0</v>
      </c>
      <c r="E585" s="16"/>
      <c r="F585" s="17"/>
      <c r="G585" s="17"/>
      <c r="H585" s="17"/>
      <c r="I585" s="17"/>
      <c r="J585" s="17"/>
      <c r="K585" s="12"/>
      <c r="L585" s="12"/>
      <c r="M585" s="12"/>
      <c r="N585" s="12"/>
      <c r="O585" s="12"/>
      <c r="P585" s="12"/>
      <c r="Q585" s="17"/>
      <c r="R585" s="18">
        <f>IF(SUMPRODUCT((E585:Q585)*1)=0,0,E585*INDEX(Hours!M:M,MATCH(C585,Hours!$A:$A,0))+F585*INDEX(Hours!B:B,MATCH(C585,Hours!$A:$A,0))+G585*INDEX(Hours!C:C,MATCH(C585,Hours!$A:$A,0))+H585*INDEX(Hours!D:D,MATCH(C585,Hours!$A:$A,0))+I585*INDEX(Hours!E:E,MATCH(C585,Hours!$A:$A,0))+J585*INDEX(Hours!F:F,MATCH(C585,Hours!$A:$A,0)))</f>
        <v>0</v>
      </c>
      <c r="S585" s="19">
        <f t="shared" si="19"/>
        <v>0</v>
      </c>
    </row>
    <row r="586" spans="1:19" x14ac:dyDescent="0.25">
      <c r="A586" s="15" t="str">
        <f>'Bldgs &amp; Rooms'!$A$17</f>
        <v>Main Bldg.</v>
      </c>
      <c r="B586" s="15">
        <f>'Bldgs &amp; Rooms'!$B$17</f>
        <v>0</v>
      </c>
      <c r="C586" s="14" t="str">
        <f>Hours!$A$31</f>
        <v>Motors &lt; 50 HP</v>
      </c>
      <c r="D586" s="15">
        <f t="shared" si="18"/>
        <v>0</v>
      </c>
      <c r="E586" s="16"/>
      <c r="F586" s="17"/>
      <c r="G586" s="17"/>
      <c r="H586" s="17"/>
      <c r="I586" s="17"/>
      <c r="J586" s="17"/>
      <c r="K586" s="12"/>
      <c r="L586" s="12"/>
      <c r="M586" s="12"/>
      <c r="N586" s="12"/>
      <c r="O586" s="12"/>
      <c r="P586" s="12"/>
      <c r="Q586" s="17"/>
      <c r="R586" s="18">
        <f>IF(SUMPRODUCT((E586:Q586)*1)=0,0,E586*INDEX(Hours!M:M,MATCH(C586,Hours!$A:$A,0))+F586*INDEX(Hours!B:B,MATCH(C586,Hours!$A:$A,0))+G586*INDEX(Hours!C:C,MATCH(C586,Hours!$A:$A,0))+H586*INDEX(Hours!D:D,MATCH(C586,Hours!$A:$A,0))+I586*INDEX(Hours!E:E,MATCH(C586,Hours!$A:$A,0))+J586*INDEX(Hours!F:F,MATCH(C586,Hours!$A:$A,0)))</f>
        <v>0</v>
      </c>
      <c r="S586" s="19">
        <f t="shared" si="19"/>
        <v>0</v>
      </c>
    </row>
    <row r="587" spans="1:19" x14ac:dyDescent="0.25">
      <c r="A587" s="15" t="str">
        <f>'Bldgs &amp; Rooms'!$A$17</f>
        <v>Main Bldg.</v>
      </c>
      <c r="B587" s="15">
        <f>'Bldgs &amp; Rooms'!$B$17</f>
        <v>0</v>
      </c>
      <c r="C587" s="14" t="str">
        <f>Hours!$A$32</f>
        <v>Motors 51-200 HP</v>
      </c>
      <c r="D587" s="15">
        <f t="shared" si="18"/>
        <v>0</v>
      </c>
      <c r="E587" s="16"/>
      <c r="F587" s="17"/>
      <c r="G587" s="17"/>
      <c r="H587" s="17"/>
      <c r="I587" s="17"/>
      <c r="J587" s="17"/>
      <c r="K587" s="12"/>
      <c r="L587" s="12"/>
      <c r="M587" s="12"/>
      <c r="N587" s="12"/>
      <c r="O587" s="12"/>
      <c r="P587" s="12"/>
      <c r="Q587" s="17"/>
      <c r="R587" s="18">
        <f>IF(SUMPRODUCT((E587:Q587)*1)=0,0,E587*INDEX(Hours!M:M,MATCH(C587,Hours!$A:$A,0))+F587*INDEX(Hours!B:B,MATCH(C587,Hours!$A:$A,0))+G587*INDEX(Hours!C:C,MATCH(C587,Hours!$A:$A,0))+H587*INDEX(Hours!D:D,MATCH(C587,Hours!$A:$A,0))+I587*INDEX(Hours!E:E,MATCH(C587,Hours!$A:$A,0))+J587*INDEX(Hours!F:F,MATCH(C587,Hours!$A:$A,0)))</f>
        <v>0</v>
      </c>
      <c r="S587" s="19">
        <f t="shared" si="19"/>
        <v>0</v>
      </c>
    </row>
    <row r="588" spans="1:19" x14ac:dyDescent="0.25">
      <c r="A588" s="15" t="str">
        <f>'Bldgs &amp; Rooms'!$A$17</f>
        <v>Main Bldg.</v>
      </c>
      <c r="B588" s="15">
        <f>'Bldgs &amp; Rooms'!$B$17</f>
        <v>0</v>
      </c>
      <c r="C588" s="14" t="str">
        <f>Hours!$A$33</f>
        <v>Motors 201-500 HP</v>
      </c>
      <c r="D588" s="15">
        <f t="shared" si="18"/>
        <v>0</v>
      </c>
      <c r="E588" s="16"/>
      <c r="F588" s="17"/>
      <c r="G588" s="17"/>
      <c r="H588" s="17"/>
      <c r="I588" s="17"/>
      <c r="J588" s="17"/>
      <c r="K588" s="12"/>
      <c r="L588" s="12"/>
      <c r="M588" s="12"/>
      <c r="N588" s="12"/>
      <c r="O588" s="12"/>
      <c r="P588" s="12"/>
      <c r="Q588" s="17"/>
      <c r="R588" s="18">
        <f>IF(SUMPRODUCT((E588:Q588)*1)=0,0,E588*INDEX(Hours!M:M,MATCH(C588,Hours!$A:$A,0))+F588*INDEX(Hours!B:B,MATCH(C588,Hours!$A:$A,0))+G588*INDEX(Hours!C:C,MATCH(C588,Hours!$A:$A,0))+H588*INDEX(Hours!D:D,MATCH(C588,Hours!$A:$A,0))+I588*INDEX(Hours!E:E,MATCH(C588,Hours!$A:$A,0))+J588*INDEX(Hours!F:F,MATCH(C588,Hours!$A:$A,0)))</f>
        <v>0</v>
      </c>
      <c r="S588" s="19">
        <f t="shared" si="19"/>
        <v>0</v>
      </c>
    </row>
    <row r="589" spans="1:19" x14ac:dyDescent="0.25">
      <c r="A589" s="15" t="str">
        <f>'Bldgs &amp; Rooms'!$A$17</f>
        <v>Main Bldg.</v>
      </c>
      <c r="B589" s="15">
        <f>'Bldgs &amp; Rooms'!$B$17</f>
        <v>0</v>
      </c>
      <c r="C589" s="14" t="str">
        <f>Hours!$A$34</f>
        <v>Compressed Air Equipment</v>
      </c>
      <c r="D589" s="15">
        <f t="shared" si="18"/>
        <v>0</v>
      </c>
      <c r="E589" s="16"/>
      <c r="F589" s="17"/>
      <c r="G589" s="17"/>
      <c r="H589" s="17"/>
      <c r="I589" s="17"/>
      <c r="J589" s="17"/>
      <c r="K589" s="12"/>
      <c r="L589" s="12"/>
      <c r="M589" s="12"/>
      <c r="N589" s="12"/>
      <c r="O589" s="12"/>
      <c r="P589" s="12"/>
      <c r="Q589" s="17"/>
      <c r="R589" s="18">
        <f>IF(SUMPRODUCT((E589:Q589)*1)=0,0,E589*INDEX(Hours!M:M,MATCH(C589,Hours!$A:$A,0))+F589*INDEX(Hours!B:B,MATCH(C589,Hours!$A:$A,0))+G589*INDEX(Hours!C:C,MATCH(C589,Hours!$A:$A,0))+H589*INDEX(Hours!D:D,MATCH(C589,Hours!$A:$A,0))+I589*INDEX(Hours!E:E,MATCH(C589,Hours!$A:$A,0))+J589*INDEX(Hours!F:F,MATCH(C589,Hours!$A:$A,0)))</f>
        <v>0</v>
      </c>
      <c r="S589" s="19">
        <f t="shared" si="19"/>
        <v>0</v>
      </c>
    </row>
    <row r="590" spans="1:19" x14ac:dyDescent="0.25">
      <c r="A590" s="15" t="str">
        <f>'Bldgs &amp; Rooms'!$A$17</f>
        <v>Main Bldg.</v>
      </c>
      <c r="B590" s="15">
        <f>'Bldgs &amp; Rooms'!$B$17</f>
        <v>0</v>
      </c>
      <c r="C590" s="14" t="str">
        <f>Hours!$A$35</f>
        <v>HVAC Equipment (Large)</v>
      </c>
      <c r="D590" s="15">
        <f t="shared" si="18"/>
        <v>0</v>
      </c>
      <c r="E590" s="16"/>
      <c r="F590" s="17"/>
      <c r="G590" s="17"/>
      <c r="H590" s="17"/>
      <c r="I590" s="17"/>
      <c r="J590" s="17"/>
      <c r="K590" s="12"/>
      <c r="L590" s="12"/>
      <c r="M590" s="12"/>
      <c r="N590" s="12"/>
      <c r="O590" s="12"/>
      <c r="P590" s="12"/>
      <c r="Q590" s="17"/>
      <c r="R590" s="18">
        <f>IF(SUMPRODUCT((E590:Q590)*1)=0,0,E590*INDEX(Hours!M:M,MATCH(C590,Hours!$A:$A,0))+F590*INDEX(Hours!B:B,MATCH(C590,Hours!$A:$A,0))+G590*INDEX(Hours!C:C,MATCH(C590,Hours!$A:$A,0))+H590*INDEX(Hours!D:D,MATCH(C590,Hours!$A:$A,0))+I590*INDEX(Hours!E:E,MATCH(C590,Hours!$A:$A,0))+J590*INDEX(Hours!F:F,MATCH(C590,Hours!$A:$A,0)))</f>
        <v>0</v>
      </c>
      <c r="S590" s="19">
        <f t="shared" si="19"/>
        <v>0</v>
      </c>
    </row>
    <row r="591" spans="1:19" x14ac:dyDescent="0.25">
      <c r="A591" s="15" t="str">
        <f>'Bldgs &amp; Rooms'!$A$17</f>
        <v>Main Bldg.</v>
      </c>
      <c r="B591" s="15">
        <f>'Bldgs &amp; Rooms'!$B$17</f>
        <v>0</v>
      </c>
      <c r="C591" s="14" t="str">
        <f>Hours!$A$36</f>
        <v>HVAC Equipment (Small)</v>
      </c>
      <c r="D591" s="15">
        <f t="shared" si="18"/>
        <v>0</v>
      </c>
      <c r="E591" s="16"/>
      <c r="F591" s="17"/>
      <c r="G591" s="17"/>
      <c r="H591" s="17"/>
      <c r="I591" s="17"/>
      <c r="J591" s="17"/>
      <c r="K591" s="12"/>
      <c r="L591" s="12"/>
      <c r="M591" s="12"/>
      <c r="N591" s="12"/>
      <c r="O591" s="12"/>
      <c r="P591" s="12"/>
      <c r="Q591" s="17"/>
      <c r="R591" s="18">
        <f>IF(SUMPRODUCT((E591:Q591)*1)=0,0,E591*INDEX(Hours!M:M,MATCH(C591,Hours!$A:$A,0))+F591*INDEX(Hours!B:B,MATCH(C591,Hours!$A:$A,0))+G591*INDEX(Hours!C:C,MATCH(C591,Hours!$A:$A,0))+H591*INDEX(Hours!D:D,MATCH(C591,Hours!$A:$A,0))+I591*INDEX(Hours!E:E,MATCH(C591,Hours!$A:$A,0))+J591*INDEX(Hours!F:F,MATCH(C591,Hours!$A:$A,0)))</f>
        <v>0</v>
      </c>
      <c r="S591" s="19">
        <f t="shared" si="19"/>
        <v>0</v>
      </c>
    </row>
    <row r="592" spans="1:19" x14ac:dyDescent="0.25">
      <c r="A592" s="15" t="str">
        <f>'Bldgs &amp; Rooms'!$A$17</f>
        <v>Main Bldg.</v>
      </c>
      <c r="B592" s="15">
        <f>'Bldgs &amp; Rooms'!$B$17</f>
        <v>0</v>
      </c>
      <c r="C592" s="14" t="str">
        <f>Hours!$A$37</f>
        <v>Uninterruptible Power Supply (UPS) &lt; 50kVA</v>
      </c>
      <c r="D592" s="15">
        <f t="shared" si="18"/>
        <v>0</v>
      </c>
      <c r="E592" s="16"/>
      <c r="F592" s="17"/>
      <c r="G592" s="17"/>
      <c r="H592" s="17"/>
      <c r="I592" s="17"/>
      <c r="J592" s="17"/>
      <c r="K592" s="12"/>
      <c r="L592" s="12"/>
      <c r="M592" s="12"/>
      <c r="N592" s="12"/>
      <c r="O592" s="12"/>
      <c r="P592" s="12"/>
      <c r="Q592" s="17"/>
      <c r="R592" s="18">
        <f>IF(SUMPRODUCT((E592:Q592)*1)=0,0,E592*INDEX(Hours!M:M,MATCH(C592,Hours!$A:$A,0))+F592*INDEX(Hours!B:B,MATCH(C592,Hours!$A:$A,0))+G592*INDEX(Hours!C:C,MATCH(C592,Hours!$A:$A,0))+H592*INDEX(Hours!D:D,MATCH(C592,Hours!$A:$A,0))+I592*INDEX(Hours!E:E,MATCH(C592,Hours!$A:$A,0))+J592*INDEX(Hours!F:F,MATCH(C592,Hours!$A:$A,0)))</f>
        <v>0</v>
      </c>
      <c r="S592" s="19">
        <f t="shared" si="19"/>
        <v>0</v>
      </c>
    </row>
    <row r="593" spans="1:19" x14ac:dyDescent="0.25">
      <c r="A593" s="15" t="str">
        <f>'Bldgs &amp; Rooms'!$A$17</f>
        <v>Main Bldg.</v>
      </c>
      <c r="B593" s="15">
        <f>'Bldgs &amp; Rooms'!$B$17</f>
        <v>0</v>
      </c>
      <c r="C593" s="14" t="str">
        <f>Hours!$A$38</f>
        <v>Uninterruptible Power Supply (UPS) &gt; 50kVA</v>
      </c>
      <c r="D593" s="15">
        <f t="shared" si="18"/>
        <v>0</v>
      </c>
      <c r="E593" s="16"/>
      <c r="F593" s="17"/>
      <c r="G593" s="17"/>
      <c r="H593" s="17"/>
      <c r="I593" s="17"/>
      <c r="J593" s="17"/>
      <c r="K593" s="12"/>
      <c r="L593" s="12"/>
      <c r="M593" s="12"/>
      <c r="N593" s="12"/>
      <c r="O593" s="12"/>
      <c r="P593" s="12"/>
      <c r="Q593" s="17"/>
      <c r="R593" s="18">
        <f>IF(SUMPRODUCT((E593:Q593)*1)=0,0,E593*INDEX(Hours!M:M,MATCH(C593,Hours!$A:$A,0))+F593*INDEX(Hours!B:B,MATCH(C593,Hours!$A:$A,0))+G593*INDEX(Hours!C:C,MATCH(C593,Hours!$A:$A,0))+H593*INDEX(Hours!D:D,MATCH(C593,Hours!$A:$A,0))+I593*INDEX(Hours!E:E,MATCH(C593,Hours!$A:$A,0))+J593*INDEX(Hours!F:F,MATCH(C593,Hours!$A:$A,0)))</f>
        <v>0</v>
      </c>
      <c r="S593" s="19">
        <f t="shared" si="19"/>
        <v>0</v>
      </c>
    </row>
    <row r="594" spans="1:19" x14ac:dyDescent="0.25">
      <c r="A594" s="11" t="str">
        <f>'Bldgs &amp; Rooms'!$A$18</f>
        <v>Main Bldg.</v>
      </c>
      <c r="B594" s="11">
        <f>'Bldgs &amp; Rooms'!$B$18</f>
        <v>0</v>
      </c>
      <c r="C594" s="10" t="str">
        <f>Hours!$A$2</f>
        <v>Switchgear - Incoming Main Service (Per Section)</v>
      </c>
      <c r="D594" s="11">
        <f t="shared" si="18"/>
        <v>0</v>
      </c>
      <c r="E594" s="16"/>
      <c r="F594" s="17"/>
      <c r="G594" s="17"/>
      <c r="H594" s="17"/>
      <c r="I594" s="17"/>
      <c r="J594" s="17"/>
      <c r="K594" s="17"/>
      <c r="L594" s="17"/>
      <c r="M594" s="12"/>
      <c r="N594" s="12"/>
      <c r="O594" s="17"/>
      <c r="P594" s="12"/>
      <c r="Q594" s="17"/>
      <c r="R594" s="18">
        <f>IF(SUMPRODUCT((E594:Q594)*1)=0,0,E594*INDEX(Hours!M:M,MATCH(C594,Hours!$A:$A,0))+F594*INDEX(Hours!B:B,MATCH(C594,Hours!$A:$A,0))+G594*INDEX(Hours!C:C,MATCH(C594,Hours!$A:$A,0))+H594*INDEX(Hours!D:D,MATCH(C594,Hours!$A:$A,0))+I594*INDEX(Hours!E:E,MATCH(C594,Hours!$A:$A,0))+J594*INDEX(Hours!F:F,MATCH(C594,Hours!$A:$A,0))+K594*INDEX(Hours!G:G,MATCH(C594,Hours!$A:$A,0))+L594*INDEX(Hours!H:H,MATCH(C594,Hours!$A:$A,0))+O594*INDEX(Hours!K:K,MATCH(C594,Hours!$A:$A,0)))</f>
        <v>0</v>
      </c>
      <c r="S594" s="19">
        <f t="shared" si="19"/>
        <v>0</v>
      </c>
    </row>
    <row r="595" spans="1:19" x14ac:dyDescent="0.25">
      <c r="A595" s="11" t="str">
        <f>'Bldgs &amp; Rooms'!$A$18</f>
        <v>Main Bldg.</v>
      </c>
      <c r="B595" s="11">
        <f>'Bldgs &amp; Rooms'!$B$18</f>
        <v>0</v>
      </c>
      <c r="C595" s="10" t="str">
        <f>Hours!$A$3</f>
        <v xml:space="preserve">  Switchgear Insulated Case Breakers (Bus Mounted)</v>
      </c>
      <c r="D595" s="11">
        <f t="shared" si="18"/>
        <v>0</v>
      </c>
      <c r="E595" s="16"/>
      <c r="F595" s="17"/>
      <c r="G595" s="17"/>
      <c r="H595" s="17"/>
      <c r="I595" s="17"/>
      <c r="J595" s="17"/>
      <c r="K595" s="17"/>
      <c r="L595" s="12"/>
      <c r="M595" s="12"/>
      <c r="N595" s="12"/>
      <c r="O595" s="12"/>
      <c r="P595" s="12"/>
      <c r="Q595" s="17"/>
      <c r="R595" s="18">
        <f>IF(SUMPRODUCT((E595:Q595)*1)=0,0,E595*INDEX(Hours!M:M,MATCH(C595,Hours!$A:$A,0))+F595*INDEX(Hours!B:B,MATCH(C595,Hours!$A:$A,0))+G595*INDEX(Hours!C:C,MATCH(C595,Hours!$A:$A,0))+H595*INDEX(Hours!D:D,MATCH(C595,Hours!$A:$A,0))+I595*INDEX(Hours!E:E,MATCH(C595,Hours!$A:$A,0))+J595*INDEX(Hours!F:F,MATCH(C595,Hours!$A:$A,0))+K595*INDEX(Hours!G:G,MATCH(C595,Hours!$A:$A,0)))</f>
        <v>0</v>
      </c>
      <c r="S595" s="19">
        <f t="shared" si="19"/>
        <v>0</v>
      </c>
    </row>
    <row r="596" spans="1:19" x14ac:dyDescent="0.25">
      <c r="A596" s="11" t="str">
        <f>'Bldgs &amp; Rooms'!$A$18</f>
        <v>Main Bldg.</v>
      </c>
      <c r="B596" s="11">
        <f>'Bldgs &amp; Rooms'!$B$18</f>
        <v>0</v>
      </c>
      <c r="C596" s="10" t="str">
        <f>Hours!$A$4</f>
        <v xml:space="preserve">  SwitchGear Drawout Breakers</v>
      </c>
      <c r="D596" s="11">
        <f t="shared" si="18"/>
        <v>0</v>
      </c>
      <c r="E596" s="16"/>
      <c r="F596" s="17"/>
      <c r="G596" s="17"/>
      <c r="H596" s="17"/>
      <c r="I596" s="17"/>
      <c r="J596" s="17"/>
      <c r="K596" s="12"/>
      <c r="L596" s="17"/>
      <c r="M596" s="12"/>
      <c r="N596" s="12"/>
      <c r="O596" s="12"/>
      <c r="P596" s="12"/>
      <c r="Q596" s="17"/>
      <c r="R596" s="18">
        <f>IF(SUMPRODUCT((E596:Q596)*1)=0,0,E596*INDEX(Hours!M:M,MATCH(C596,Hours!$A:$A,0))+F596*INDEX(Hours!B:B,MATCH(C596,Hours!$A:$A,0))+G596*INDEX(Hours!C:C,MATCH(C596,Hours!$A:$A,0))+H596*INDEX(Hours!D:D,MATCH(C596,Hours!$A:$A,0))+I596*INDEX(Hours!E:E,MATCH(C596,Hours!$A:$A,0))+J596*INDEX(Hours!F:F,MATCH(C596,Hours!$A:$A,0))+L596*INDEX(Hours!H:H,MATCH(C596,Hours!$A:$A,0)))</f>
        <v>0</v>
      </c>
      <c r="S596" s="19">
        <f t="shared" si="19"/>
        <v>0</v>
      </c>
    </row>
    <row r="597" spans="1:19" x14ac:dyDescent="0.25">
      <c r="A597" s="11" t="str">
        <f>'Bldgs &amp; Rooms'!$A$18</f>
        <v>Main Bldg.</v>
      </c>
      <c r="B597" s="11">
        <f>'Bldgs &amp; Rooms'!$B$18</f>
        <v>0</v>
      </c>
      <c r="C597" s="10" t="str">
        <f>Hours!$A$5</f>
        <v>Distribution Switchboard Multi Cover (Per Section)</v>
      </c>
      <c r="D597" s="11">
        <f t="shared" si="18"/>
        <v>0</v>
      </c>
      <c r="E597" s="16"/>
      <c r="F597" s="17"/>
      <c r="G597" s="17"/>
      <c r="H597" s="17"/>
      <c r="I597" s="17"/>
      <c r="J597" s="17"/>
      <c r="K597" s="17"/>
      <c r="L597" s="12"/>
      <c r="M597" s="12"/>
      <c r="N597" s="12"/>
      <c r="O597" s="17"/>
      <c r="P597" s="12"/>
      <c r="Q597" s="17"/>
      <c r="R597" s="18">
        <f>IF(SUMPRODUCT((E597:Q597)*1)=0,0,E597*INDEX(Hours!M:M,MATCH(C597,Hours!$A:$A,0))+F597*INDEX(Hours!B:B,MATCH(C597,Hours!$A:$A,0))+G597*INDEX(Hours!C:C,MATCH(C597,Hours!$A:$A,0))+H597*INDEX(Hours!D:D,MATCH(C597,Hours!$A:$A,0))+I597*INDEX(Hours!E:E,MATCH(C597,Hours!$A:$A,0))+J597*INDEX(Hours!F:F,MATCH(C597,Hours!$A:$A,0))+K597*INDEX(Hours!G:G,MATCH(C597,Hours!$A:$A,0))+O597*INDEX(Hours!K:K,MATCH(C597,Hours!$A:$A,0)))</f>
        <v>0</v>
      </c>
      <c r="S597" s="19">
        <f t="shared" si="19"/>
        <v>0</v>
      </c>
    </row>
    <row r="598" spans="1:19" x14ac:dyDescent="0.25">
      <c r="A598" s="11" t="str">
        <f>'Bldgs &amp; Rooms'!$A$18</f>
        <v>Main Bldg.</v>
      </c>
      <c r="B598" s="11">
        <f>'Bldgs &amp; Rooms'!$B$18</f>
        <v>0</v>
      </c>
      <c r="C598" s="10" t="str">
        <f>Hours!$A$6</f>
        <v xml:space="preserve">  Switchboard Disconnects</v>
      </c>
      <c r="D598" s="11">
        <f t="shared" si="18"/>
        <v>0</v>
      </c>
      <c r="E598" s="16"/>
      <c r="F598" s="17"/>
      <c r="G598" s="17"/>
      <c r="H598" s="17"/>
      <c r="I598" s="17"/>
      <c r="J598" s="17"/>
      <c r="K598" s="12"/>
      <c r="L598" s="12"/>
      <c r="M598" s="12"/>
      <c r="N598" s="12"/>
      <c r="O598" s="12"/>
      <c r="P598" s="12"/>
      <c r="Q598" s="17"/>
      <c r="R598" s="18">
        <f>IF(SUMPRODUCT((E598:Q598)*1)=0,0,E598*INDEX(Hours!M:M,MATCH(C598,Hours!$A:$A,0))+F598*INDEX(Hours!B:B,MATCH(C598,Hours!$A:$A,0))+G598*INDEX(Hours!C:C,MATCH(C598,Hours!$A:$A,0))+H598*INDEX(Hours!D:D,MATCH(C598,Hours!$A:$A,0))+I598*INDEX(Hours!E:E,MATCH(C598,Hours!$A:$A,0))+J598*INDEX(Hours!F:F,MATCH(C598,Hours!$A:$A,0)))</f>
        <v>0</v>
      </c>
      <c r="S598" s="19">
        <f t="shared" si="19"/>
        <v>0</v>
      </c>
    </row>
    <row r="599" spans="1:19" x14ac:dyDescent="0.25">
      <c r="A599" s="11" t="str">
        <f>'Bldgs &amp; Rooms'!$A$18</f>
        <v>Main Bldg.</v>
      </c>
      <c r="B599" s="11">
        <f>'Bldgs &amp; Rooms'!$B$18</f>
        <v>0</v>
      </c>
      <c r="C599" s="10" t="str">
        <f>Hours!$A$7</f>
        <v xml:space="preserve">  Switchboard Molded Case Breakers</v>
      </c>
      <c r="D599" s="11">
        <f t="shared" si="18"/>
        <v>0</v>
      </c>
      <c r="E599" s="16"/>
      <c r="F599" s="17"/>
      <c r="G599" s="17"/>
      <c r="H599" s="17"/>
      <c r="I599" s="17"/>
      <c r="J599" s="17"/>
      <c r="K599" s="17"/>
      <c r="L599" s="12"/>
      <c r="M599" s="12"/>
      <c r="N599" s="12"/>
      <c r="O599" s="12"/>
      <c r="P599" s="12"/>
      <c r="Q599" s="17"/>
      <c r="R599" s="18">
        <f>IF(SUMPRODUCT((E599:Q599)*1)=0,0,E599*INDEX(Hours!M:M,MATCH(C599,Hours!$A:$A,0))+F599*INDEX(Hours!B:B,MATCH(C599,Hours!$A:$A,0))+G599*INDEX(Hours!C:C,MATCH(C599,Hours!$A:$A,0))+H599*INDEX(Hours!D:D,MATCH(C599,Hours!$A:$A,0))+I599*INDEX(Hours!E:E,MATCH(C599,Hours!$A:$A,0))+J599*INDEX(Hours!F:F,MATCH(C599,Hours!$A:$A,0))+K599*INDEX(Hours!G:G,MATCH(C599,Hours!$A:$A,0)))</f>
        <v>0</v>
      </c>
      <c r="S599" s="19">
        <f t="shared" si="19"/>
        <v>0</v>
      </c>
    </row>
    <row r="600" spans="1:19" x14ac:dyDescent="0.25">
      <c r="A600" s="11" t="str">
        <f>'Bldgs &amp; Rooms'!$A$18</f>
        <v>Main Bldg.</v>
      </c>
      <c r="B600" s="11">
        <f>'Bldgs &amp; Rooms'!$B$18</f>
        <v>0</v>
      </c>
      <c r="C600" s="10" t="str">
        <f>Hours!$A$8</f>
        <v>Panelboard-Single Cover &gt; 400A (Distribution Panel)</v>
      </c>
      <c r="D600" s="11">
        <f t="shared" si="18"/>
        <v>0</v>
      </c>
      <c r="E600" s="16"/>
      <c r="F600" s="17"/>
      <c r="G600" s="17"/>
      <c r="H600" s="17"/>
      <c r="I600" s="17"/>
      <c r="J600" s="17"/>
      <c r="K600" s="17"/>
      <c r="L600" s="12"/>
      <c r="M600" s="12"/>
      <c r="N600" s="12"/>
      <c r="O600" s="17"/>
      <c r="P600" s="12"/>
      <c r="Q600" s="17"/>
      <c r="R600" s="18">
        <f>IF(SUMPRODUCT((E600:Q600)*1)=0,0,E600*INDEX(Hours!M:M,MATCH(C600,Hours!$A:$A,0))+F600*INDEX(Hours!B:B,MATCH(C600,Hours!$A:$A,0))+G600*INDEX(Hours!C:C,MATCH(C600,Hours!$A:$A,0))+H600*INDEX(Hours!D:D,MATCH(C600,Hours!$A:$A,0))+I600*INDEX(Hours!E:E,MATCH(C600,Hours!$A:$A,0))+J600*INDEX(Hours!F:F,MATCH(C600,Hours!$A:$A,0))+K600*INDEX(Hours!G:G,MATCH(C600,Hours!$A:$A,0))+O600*INDEX(Hours!K:K,MATCH(C600,Hours!$A:$A,0)))</f>
        <v>0</v>
      </c>
      <c r="S600" s="19">
        <f t="shared" si="19"/>
        <v>0</v>
      </c>
    </row>
    <row r="601" spans="1:19" x14ac:dyDescent="0.25">
      <c r="A601" s="11" t="str">
        <f>'Bldgs &amp; Rooms'!$A$18</f>
        <v>Main Bldg.</v>
      </c>
      <c r="B601" s="11">
        <f>'Bldgs &amp; Rooms'!$B$18</f>
        <v>0</v>
      </c>
      <c r="C601" s="10" t="str">
        <f>Hours!$A$9</f>
        <v>Panelboard-Single Cover &lt; 400A (Branch Ckt Panel)</v>
      </c>
      <c r="D601" s="11">
        <f t="shared" si="18"/>
        <v>0</v>
      </c>
      <c r="E601" s="16"/>
      <c r="F601" s="17"/>
      <c r="G601" s="17"/>
      <c r="H601" s="17"/>
      <c r="I601" s="17"/>
      <c r="J601" s="17"/>
      <c r="K601" s="12"/>
      <c r="L601" s="12"/>
      <c r="M601" s="12"/>
      <c r="N601" s="12"/>
      <c r="O601" s="17"/>
      <c r="P601" s="12"/>
      <c r="Q601" s="17"/>
      <c r="R601" s="18">
        <f>IF(SUMPRODUCT((E601:Q601)*1)=0,0,E601*INDEX(Hours!M:M,MATCH(C601,Hours!$A:$A,0))+F601*INDEX(Hours!B:B,MATCH(C601,Hours!$A:$A,0))+G601*INDEX(Hours!C:C,MATCH(C601,Hours!$A:$A,0))+H601*INDEX(Hours!D:D,MATCH(C601,Hours!$A:$A,0))+I601*INDEX(Hours!E:E,MATCH(C601,Hours!$A:$A,0))+J601*INDEX(Hours!F:F,MATCH(C601,Hours!$A:$A,0))+O601*INDEX(Hours!K:K,MATCH(C601,Hours!$A:$A,0)))</f>
        <v>0</v>
      </c>
      <c r="S601" s="19">
        <f t="shared" si="19"/>
        <v>0</v>
      </c>
    </row>
    <row r="602" spans="1:19" x14ac:dyDescent="0.25">
      <c r="A602" s="11" t="str">
        <f>'Bldgs &amp; Rooms'!$A$18</f>
        <v>Main Bldg.</v>
      </c>
      <c r="B602" s="11">
        <f>'Bldgs &amp; Rooms'!$B$18</f>
        <v>0</v>
      </c>
      <c r="C602" s="10" t="str">
        <f>Hours!$A$10</f>
        <v>Motor Control Center (MCC-Per Vertical Section)</v>
      </c>
      <c r="D602" s="11">
        <f t="shared" si="18"/>
        <v>0</v>
      </c>
      <c r="E602" s="16"/>
      <c r="F602" s="17"/>
      <c r="G602" s="17"/>
      <c r="H602" s="17"/>
      <c r="I602" s="17"/>
      <c r="J602" s="17"/>
      <c r="K602" s="12"/>
      <c r="L602" s="12"/>
      <c r="M602" s="12"/>
      <c r="N602" s="12"/>
      <c r="O602" s="17"/>
      <c r="P602" s="12"/>
      <c r="Q602" s="17"/>
      <c r="R602" s="18">
        <f>IF(SUMPRODUCT((E602:Q602)*1)=0,0,E602*INDEX(Hours!M:M,MATCH(C602,Hours!$A:$A,0))+F602*INDEX(Hours!B:B,MATCH(C602,Hours!$A:$A,0))+G602*INDEX(Hours!C:C,MATCH(C602,Hours!$A:$A,0))+H602*INDEX(Hours!D:D,MATCH(C602,Hours!$A:$A,0))+I602*INDEX(Hours!E:E,MATCH(C602,Hours!$A:$A,0))+J602*INDEX(Hours!F:F,MATCH(C602,Hours!$A:$A,0))+O602*INDEX(Hours!K:K,MATCH(C602,Hours!$A:$A,0)))</f>
        <v>0</v>
      </c>
      <c r="S602" s="19">
        <f t="shared" si="19"/>
        <v>0</v>
      </c>
    </row>
    <row r="603" spans="1:19" x14ac:dyDescent="0.25">
      <c r="A603" s="11" t="str">
        <f>'Bldgs &amp; Rooms'!$A$18</f>
        <v>Main Bldg.</v>
      </c>
      <c r="B603" s="11">
        <f>'Bldgs &amp; Rooms'!$B$18</f>
        <v>0</v>
      </c>
      <c r="C603" s="10" t="str">
        <f>Hours!$A$11</f>
        <v xml:space="preserve">  MCC: Combination Motor Starters</v>
      </c>
      <c r="D603" s="11">
        <f t="shared" si="18"/>
        <v>0</v>
      </c>
      <c r="E603" s="16"/>
      <c r="F603" s="17"/>
      <c r="G603" s="17"/>
      <c r="H603" s="17"/>
      <c r="I603" s="17"/>
      <c r="J603" s="17"/>
      <c r="K603" s="17"/>
      <c r="L603" s="12"/>
      <c r="M603" s="12"/>
      <c r="N603" s="12"/>
      <c r="O603" s="17"/>
      <c r="P603" s="12"/>
      <c r="Q603" s="17"/>
      <c r="R603" s="18">
        <f>IF(SUMPRODUCT((E603:Q603)*1)=0,0,E603*INDEX(Hours!M:M,MATCH(C603,Hours!$A:$A,0))+F603*INDEX(Hours!B:B,MATCH(C603,Hours!$A:$A,0))+G603*INDEX(Hours!C:C,MATCH(C603,Hours!$A:$A,0))+H603*INDEX(Hours!D:D,MATCH(C603,Hours!$A:$A,0))+I603*INDEX(Hours!E:E,MATCH(C603,Hours!$A:$A,0))+J603*INDEX(Hours!F:F,MATCH(C603,Hours!$A:$A,0))+K603*INDEX(Hours!G:G,MATCH(C603,Hours!$A:$A,0))+O603*INDEX(Hours!K:K,MATCH(C603,Hours!$A:$A,0)))</f>
        <v>0</v>
      </c>
      <c r="S603" s="19">
        <f t="shared" si="19"/>
        <v>0</v>
      </c>
    </row>
    <row r="604" spans="1:19" x14ac:dyDescent="0.25">
      <c r="A604" s="11" t="str">
        <f>'Bldgs &amp; Rooms'!$A$18</f>
        <v>Main Bldg.</v>
      </c>
      <c r="B604" s="11">
        <f>'Bldgs &amp; Rooms'!$B$18</f>
        <v>0</v>
      </c>
      <c r="C604" s="10" t="str">
        <f>Hours!$A$12</f>
        <v xml:space="preserve">  MCC: Molded Case Breaker</v>
      </c>
      <c r="D604" s="11">
        <f t="shared" si="18"/>
        <v>0</v>
      </c>
      <c r="E604" s="16"/>
      <c r="F604" s="17"/>
      <c r="G604" s="17"/>
      <c r="H604" s="17"/>
      <c r="I604" s="17"/>
      <c r="J604" s="17"/>
      <c r="K604" s="17"/>
      <c r="L604" s="12"/>
      <c r="M604" s="12"/>
      <c r="N604" s="12"/>
      <c r="O604" s="12"/>
      <c r="P604" s="12"/>
      <c r="Q604" s="17"/>
      <c r="R604" s="18">
        <f>IF(SUMPRODUCT((E604:Q604)*1)=0,0,E604*INDEX(Hours!M:M,MATCH(C604,Hours!$A:$A,0))+F604*INDEX(Hours!B:B,MATCH(C604,Hours!$A:$A,0))+G604*INDEX(Hours!C:C,MATCH(C604,Hours!$A:$A,0))+H604*INDEX(Hours!D:D,MATCH(C604,Hours!$A:$A,0))+I604*INDEX(Hours!E:E,MATCH(C604,Hours!$A:$A,0))+J604*INDEX(Hours!F:F,MATCH(C604,Hours!$A:$A,0))+K604*INDEX(Hours!G:G,MATCH(C604,Hours!$A:$A,0)))</f>
        <v>0</v>
      </c>
      <c r="S604" s="19">
        <f t="shared" si="19"/>
        <v>0</v>
      </c>
    </row>
    <row r="605" spans="1:19" x14ac:dyDescent="0.25">
      <c r="A605" s="11" t="str">
        <f>'Bldgs &amp; Rooms'!$A$18</f>
        <v>Main Bldg.</v>
      </c>
      <c r="B605" s="11">
        <f>'Bldgs &amp; Rooms'!$B$18</f>
        <v>0</v>
      </c>
      <c r="C605" s="10" t="str">
        <f>Hours!$A$13</f>
        <v xml:space="preserve">  MCC: Individual Disconnect Switch</v>
      </c>
      <c r="D605" s="11">
        <f t="shared" si="18"/>
        <v>0</v>
      </c>
      <c r="E605" s="16"/>
      <c r="F605" s="17"/>
      <c r="G605" s="17"/>
      <c r="H605" s="17"/>
      <c r="I605" s="17"/>
      <c r="J605" s="17"/>
      <c r="K605" s="12"/>
      <c r="L605" s="12"/>
      <c r="M605" s="12"/>
      <c r="N605" s="12"/>
      <c r="O605" s="12"/>
      <c r="P605" s="12"/>
      <c r="Q605" s="17"/>
      <c r="R605" s="18">
        <f>IF(SUMPRODUCT((E605:Q605)*1)=0,0,E605*INDEX(Hours!M:M,MATCH(C605,Hours!$A:$A,0))+F605*INDEX(Hours!B:B,MATCH(C605,Hours!$A:$A,0))+G605*INDEX(Hours!C:C,MATCH(C605,Hours!$A:$A,0))+H605*INDEX(Hours!D:D,MATCH(C605,Hours!$A:$A,0))+I605*INDEX(Hours!E:E,MATCH(C605,Hours!$A:$A,0))+J605*INDEX(Hours!F:F,MATCH(C605,Hours!$A:$A,0)))</f>
        <v>0</v>
      </c>
      <c r="S605" s="19">
        <f t="shared" si="19"/>
        <v>0</v>
      </c>
    </row>
    <row r="606" spans="1:19" x14ac:dyDescent="0.25">
      <c r="A606" s="11" t="str">
        <f>'Bldgs &amp; Rooms'!$A$18</f>
        <v>Main Bldg.</v>
      </c>
      <c r="B606" s="11">
        <f>'Bldgs &amp; Rooms'!$B$18</f>
        <v>0</v>
      </c>
      <c r="C606" s="10" t="str">
        <f>Hours!$A$14</f>
        <v>Motor Control Panel (MCP)</v>
      </c>
      <c r="D606" s="11">
        <f t="shared" si="18"/>
        <v>0</v>
      </c>
      <c r="E606" s="16"/>
      <c r="F606" s="17"/>
      <c r="G606" s="17"/>
      <c r="H606" s="17"/>
      <c r="I606" s="17"/>
      <c r="J606" s="17"/>
      <c r="K606" s="12"/>
      <c r="L606" s="12"/>
      <c r="M606" s="12"/>
      <c r="N606" s="12"/>
      <c r="O606" s="17"/>
      <c r="P606" s="12"/>
      <c r="Q606" s="17"/>
      <c r="R606" s="18">
        <f>IF(SUMPRODUCT((E606:Q606)*1)=0,0,E606*INDEX(Hours!M:M,MATCH(C606,Hours!$A:$A,0))+F606*INDEX(Hours!B:B,MATCH(C606,Hours!$A:$A,0))+G606*INDEX(Hours!C:C,MATCH(C606,Hours!$A:$A,0))+H606*INDEX(Hours!D:D,MATCH(C606,Hours!$A:$A,0))+I606*INDEX(Hours!E:E,MATCH(C606,Hours!$A:$A,0))+J606*INDEX(Hours!F:F,MATCH(C606,Hours!$A:$A,0))+O606*INDEX(Hours!K:K,MATCH(C606,Hours!$A:$A,0)))</f>
        <v>0</v>
      </c>
      <c r="S606" s="19">
        <f t="shared" si="19"/>
        <v>0</v>
      </c>
    </row>
    <row r="607" spans="1:19" x14ac:dyDescent="0.25">
      <c r="A607" s="11" t="str">
        <f>'Bldgs &amp; Rooms'!$A$18</f>
        <v>Main Bldg.</v>
      </c>
      <c r="B607" s="11">
        <f>'Bldgs &amp; Rooms'!$B$18</f>
        <v>0</v>
      </c>
      <c r="C607" s="10" t="str">
        <f>Hours!$A$15</f>
        <v>VFD Motor Control Panel (VFD-MCP)</v>
      </c>
      <c r="D607" s="11">
        <f t="shared" si="18"/>
        <v>0</v>
      </c>
      <c r="E607" s="16"/>
      <c r="F607" s="17"/>
      <c r="G607" s="17"/>
      <c r="H607" s="17"/>
      <c r="I607" s="17"/>
      <c r="J607" s="17"/>
      <c r="K607" s="12"/>
      <c r="L607" s="12"/>
      <c r="M607" s="12"/>
      <c r="N607" s="12"/>
      <c r="O607" s="17"/>
      <c r="P607" s="12"/>
      <c r="Q607" s="17"/>
      <c r="R607" s="18">
        <f>IF(SUMPRODUCT((E607:Q607)*1)=0,0,E607*INDEX(Hours!M:M,MATCH(C607,Hours!$A:$A,0))+F607*INDEX(Hours!B:B,MATCH(C607,Hours!$A:$A,0))+G607*INDEX(Hours!C:C,MATCH(C607,Hours!$A:$A,0))+H607*INDEX(Hours!D:D,MATCH(C607,Hours!$A:$A,0))+I607*INDEX(Hours!E:E,MATCH(C607,Hours!$A:$A,0))+J607*INDEX(Hours!F:F,MATCH(C607,Hours!$A:$A,0))+O607*INDEX(Hours!K:K,MATCH(C607,Hours!$A:$A,0)))</f>
        <v>0</v>
      </c>
      <c r="S607" s="19">
        <f t="shared" si="19"/>
        <v>0</v>
      </c>
    </row>
    <row r="608" spans="1:19" x14ac:dyDescent="0.25">
      <c r="A608" s="11" t="str">
        <f>'Bldgs &amp; Rooms'!$A$18</f>
        <v>Main Bldg.</v>
      </c>
      <c r="B608" s="11">
        <f>'Bldgs &amp; Rooms'!$B$18</f>
        <v>0</v>
      </c>
      <c r="C608" s="10" t="str">
        <f>Hours!$A$16</f>
        <v>Individual Disconnect Switch &gt; 100A</v>
      </c>
      <c r="D608" s="11">
        <f t="shared" si="18"/>
        <v>0</v>
      </c>
      <c r="E608" s="16"/>
      <c r="F608" s="17"/>
      <c r="G608" s="17"/>
      <c r="H608" s="17"/>
      <c r="I608" s="17"/>
      <c r="J608" s="17"/>
      <c r="K608" s="17"/>
      <c r="L608" s="12"/>
      <c r="M608" s="12"/>
      <c r="N608" s="12"/>
      <c r="O608" s="12"/>
      <c r="P608" s="12"/>
      <c r="Q608" s="17"/>
      <c r="R608" s="18">
        <f>IF(SUMPRODUCT((E608:Q608)*1)=0,0,E608*INDEX(Hours!M:M,MATCH(C608,Hours!$A:$A,0))+F608*INDEX(Hours!B:B,MATCH(C608,Hours!$A:$A,0))+G608*INDEX(Hours!C:C,MATCH(C608,Hours!$A:$A,0))+H608*INDEX(Hours!D:D,MATCH(C608,Hours!$A:$A,0))+I608*INDEX(Hours!E:E,MATCH(C608,Hours!$A:$A,0))+J608*INDEX(Hours!F:F,MATCH(C608,Hours!$A:$A,0))+K608*INDEX(Hours!G:G,MATCH(C608,Hours!$A:$A,0)))</f>
        <v>0</v>
      </c>
      <c r="S608" s="19">
        <f t="shared" si="19"/>
        <v>0</v>
      </c>
    </row>
    <row r="609" spans="1:19" x14ac:dyDescent="0.25">
      <c r="A609" s="11" t="str">
        <f>'Bldgs &amp; Rooms'!$A$18</f>
        <v>Main Bldg.</v>
      </c>
      <c r="B609" s="11">
        <f>'Bldgs &amp; Rooms'!$B$18</f>
        <v>0</v>
      </c>
      <c r="C609" s="10" t="str">
        <f>Hours!$A$17</f>
        <v>Individual Molded Case Breaker &gt; 100A</v>
      </c>
      <c r="D609" s="11">
        <f t="shared" si="18"/>
        <v>0</v>
      </c>
      <c r="E609" s="16"/>
      <c r="F609" s="17"/>
      <c r="G609" s="17"/>
      <c r="H609" s="17"/>
      <c r="I609" s="17"/>
      <c r="J609" s="17"/>
      <c r="K609" s="17"/>
      <c r="L609" s="12"/>
      <c r="M609" s="12"/>
      <c r="N609" s="12"/>
      <c r="O609" s="12"/>
      <c r="P609" s="12"/>
      <c r="Q609" s="17"/>
      <c r="R609" s="18">
        <f>IF(SUMPRODUCT((E609:Q609)*1)=0,0,E609*INDEX(Hours!M:M,MATCH(C609,Hours!$A:$A,0))+F609*INDEX(Hours!B:B,MATCH(C609,Hours!$A:$A,0))+G609*INDEX(Hours!C:C,MATCH(C609,Hours!$A:$A,0))+H609*INDEX(Hours!D:D,MATCH(C609,Hours!$A:$A,0))+I609*INDEX(Hours!E:E,MATCH(C609,Hours!$A:$A,0))+J609*INDEX(Hours!F:F,MATCH(C609,Hours!$A:$A,0))+K609*INDEX(Hours!G:G,MATCH(C609,Hours!$A:$A,0)))</f>
        <v>0</v>
      </c>
      <c r="S609" s="19">
        <f t="shared" si="19"/>
        <v>0</v>
      </c>
    </row>
    <row r="610" spans="1:19" x14ac:dyDescent="0.25">
      <c r="A610" s="11" t="str">
        <f>'Bldgs &amp; Rooms'!$A$18</f>
        <v>Main Bldg.</v>
      </c>
      <c r="B610" s="11">
        <f>'Bldgs &amp; Rooms'!$B$18</f>
        <v>0</v>
      </c>
      <c r="C610" s="10" t="str">
        <f>Hours!$A$18</f>
        <v>Individual Combination Motor Starter &gt; 100A</v>
      </c>
      <c r="D610" s="11">
        <f t="shared" si="18"/>
        <v>0</v>
      </c>
      <c r="E610" s="16"/>
      <c r="F610" s="17"/>
      <c r="G610" s="17"/>
      <c r="H610" s="17"/>
      <c r="I610" s="17"/>
      <c r="J610" s="17"/>
      <c r="K610" s="17"/>
      <c r="L610" s="12"/>
      <c r="M610" s="12"/>
      <c r="N610" s="12"/>
      <c r="O610" s="12"/>
      <c r="P610" s="12"/>
      <c r="Q610" s="17"/>
      <c r="R610" s="18">
        <f>IF(SUMPRODUCT((E610:Q610)*1)=0,0,E610*INDEX(Hours!M:M,MATCH(C610,Hours!$A:$A,0))+F610*INDEX(Hours!B:B,MATCH(C610,Hours!$A:$A,0))+G610*INDEX(Hours!C:C,MATCH(C610,Hours!$A:$A,0))+H610*INDEX(Hours!D:D,MATCH(C610,Hours!$A:$A,0))+I610*INDEX(Hours!E:E,MATCH(C610,Hours!$A:$A,0))+J610*INDEX(Hours!F:F,MATCH(C610,Hours!$A:$A,0))+K610*INDEX(Hours!G:G,MATCH(C610,Hours!$A:$A,0)))</f>
        <v>0</v>
      </c>
      <c r="S610" s="19">
        <f t="shared" si="19"/>
        <v>0</v>
      </c>
    </row>
    <row r="611" spans="1:19" x14ac:dyDescent="0.25">
      <c r="A611" s="11" t="str">
        <f>'Bldgs &amp; Rooms'!$A$18</f>
        <v>Main Bldg.</v>
      </c>
      <c r="B611" s="11">
        <f>'Bldgs &amp; Rooms'!$B$18</f>
        <v>0</v>
      </c>
      <c r="C611" s="10" t="str">
        <f>Hours!$A$19</f>
        <v>Oil Filled Transformer - 5kV-15kV Primary - Any Size (Pad Mounted)</v>
      </c>
      <c r="D611" s="11">
        <f t="shared" si="18"/>
        <v>0</v>
      </c>
      <c r="E611" s="16"/>
      <c r="F611" s="17"/>
      <c r="G611" s="17"/>
      <c r="H611" s="17"/>
      <c r="I611" s="17"/>
      <c r="J611" s="17"/>
      <c r="K611" s="12"/>
      <c r="L611" s="12"/>
      <c r="M611" s="17"/>
      <c r="N611" s="17"/>
      <c r="O611" s="12"/>
      <c r="P611" s="17"/>
      <c r="Q611" s="17"/>
      <c r="R611" s="18">
        <f>IF(SUMPRODUCT((E611:Q611)*1)=0,0,E611*INDEX(Hours!M:M,MATCH(C611,Hours!$A:$A,0))+F611*INDEX(Hours!B:B,MATCH(C611,Hours!$A:$A,0))+G611*INDEX(Hours!C:C,MATCH(C611,Hours!$A:$A,0))+H611*INDEX(Hours!D:D,MATCH(C611,Hours!$A:$A,0))+I611*INDEX(Hours!E:E,MATCH(C611,Hours!$A:$A,0))+J611*INDEX(Hours!F:F,MATCH(C611,Hours!$A:$A,0))+M611*INDEX(Hours!I:I,MATCH(C611,Hours!$A:$A,0))+N611*INDEX(Hours!J:J,MATCH(C611,Hours!$A:$A,0))+P611*INDEX(Hours!L:L,MATCH(C611,Hours!$A:$A,0)))</f>
        <v>0</v>
      </c>
      <c r="S611" s="19">
        <f t="shared" si="19"/>
        <v>0</v>
      </c>
    </row>
    <row r="612" spans="1:19" x14ac:dyDescent="0.25">
      <c r="A612" s="11" t="str">
        <f>'Bldgs &amp; Rooms'!$A$18</f>
        <v>Main Bldg.</v>
      </c>
      <c r="B612" s="11">
        <f>'Bldgs &amp; Rooms'!$B$18</f>
        <v>0</v>
      </c>
      <c r="C612" s="10" t="str">
        <f>Hours!$A$20</f>
        <v>Oil Filled Transformer - &gt; 15kV Primary (Substation Class)</v>
      </c>
      <c r="D612" s="11">
        <f t="shared" si="18"/>
        <v>0</v>
      </c>
      <c r="E612" s="16"/>
      <c r="F612" s="17"/>
      <c r="G612" s="17"/>
      <c r="H612" s="17"/>
      <c r="I612" s="17"/>
      <c r="J612" s="17"/>
      <c r="K612" s="12"/>
      <c r="L612" s="12"/>
      <c r="M612" s="17"/>
      <c r="N612" s="17"/>
      <c r="O612" s="12"/>
      <c r="P612" s="17"/>
      <c r="Q612" s="17"/>
      <c r="R612" s="18">
        <f>IF(SUMPRODUCT((E612:Q612)*1)=0,0,E612*INDEX(Hours!M:M,MATCH(C612,Hours!$A:$A,0))+F612*INDEX(Hours!B:B,MATCH(C612,Hours!$A:$A,0))+G612*INDEX(Hours!C:C,MATCH(C612,Hours!$A:$A,0))+H612*INDEX(Hours!D:D,MATCH(C612,Hours!$A:$A,0))+I612*INDEX(Hours!E:E,MATCH(C612,Hours!$A:$A,0))+J612*INDEX(Hours!F:F,MATCH(C612,Hours!$A:$A,0))+M612*INDEX(Hours!I:I,MATCH(C612,Hours!$A:$A,0))+N612*INDEX(Hours!J:J,MATCH(C612,Hours!$A:$A,0))+P612*INDEX(Hours!L:L,MATCH(C612,Hours!$A:$A,0)))</f>
        <v>0</v>
      </c>
      <c r="S612" s="19">
        <f t="shared" si="19"/>
        <v>0</v>
      </c>
    </row>
    <row r="613" spans="1:19" x14ac:dyDescent="0.25">
      <c r="A613" s="11" t="str">
        <f>'Bldgs &amp; Rooms'!$A$18</f>
        <v>Main Bldg.</v>
      </c>
      <c r="B613" s="11">
        <f>'Bldgs &amp; Rooms'!$B$18</f>
        <v>0</v>
      </c>
      <c r="C613" s="10" t="str">
        <f>Hours!$A$21</f>
        <v>Dry Type Transformer - &lt; 480V Primary - Any Size kVA</v>
      </c>
      <c r="D613" s="11">
        <f t="shared" si="18"/>
        <v>0</v>
      </c>
      <c r="E613" s="16"/>
      <c r="F613" s="17"/>
      <c r="G613" s="17"/>
      <c r="H613" s="17"/>
      <c r="I613" s="17"/>
      <c r="J613" s="17"/>
      <c r="K613" s="12"/>
      <c r="L613" s="12"/>
      <c r="M613" s="17"/>
      <c r="N613" s="17"/>
      <c r="O613" s="12"/>
      <c r="P613" s="12"/>
      <c r="Q613" s="17"/>
      <c r="R613" s="18">
        <f>IF(SUMPRODUCT((E613:Q613)*1)=0,0,E613*INDEX(Hours!M:M,MATCH(C613,Hours!$A:$A,0))+F613*INDEX(Hours!B:B,MATCH(C613,Hours!$A:$A,0))+G613*INDEX(Hours!C:C,MATCH(C613,Hours!$A:$A,0))+H613*INDEX(Hours!D:D,MATCH(C613,Hours!$A:$A,0))+I613*INDEX(Hours!E:E,MATCH(C613,Hours!$A:$A,0))+J613*INDEX(Hours!F:F,MATCH(C613,Hours!$A:$A,0))+M613*INDEX(Hours!I:I,MATCH(C613,Hours!$A:$A,0))+N613*INDEX(Hours!J:J,MATCH(C613,Hours!$A:$A,0)))</f>
        <v>0</v>
      </c>
      <c r="S613" s="19">
        <f t="shared" si="19"/>
        <v>0</v>
      </c>
    </row>
    <row r="614" spans="1:19" x14ac:dyDescent="0.25">
      <c r="A614" s="11" t="str">
        <f>'Bldgs &amp; Rooms'!$A$18</f>
        <v>Main Bldg.</v>
      </c>
      <c r="B614" s="11">
        <f>'Bldgs &amp; Rooms'!$B$18</f>
        <v>0</v>
      </c>
      <c r="C614" s="10" t="str">
        <f>Hours!$A$22</f>
        <v>Power Factor Correction Capacitors</v>
      </c>
      <c r="D614" s="11">
        <f t="shared" si="18"/>
        <v>0</v>
      </c>
      <c r="E614" s="16"/>
      <c r="F614" s="17"/>
      <c r="G614" s="17"/>
      <c r="H614" s="17"/>
      <c r="I614" s="17"/>
      <c r="J614" s="17"/>
      <c r="K614" s="12"/>
      <c r="L614" s="12"/>
      <c r="M614" s="12"/>
      <c r="N614" s="12"/>
      <c r="O614" s="12"/>
      <c r="P614" s="12"/>
      <c r="Q614" s="17"/>
      <c r="R614" s="18">
        <f>IF(SUMPRODUCT((E614:Q614)*1)=0,0,E614*INDEX(Hours!M:M,MATCH(C614,Hours!$A:$A,0))+F614*INDEX(Hours!B:B,MATCH(C614,Hours!$A:$A,0))+G614*INDEX(Hours!C:C,MATCH(C614,Hours!$A:$A,0))+H614*INDEX(Hours!D:D,MATCH(C614,Hours!$A:$A,0))+I614*INDEX(Hours!E:E,MATCH(C614,Hours!$A:$A,0))+J614*INDEX(Hours!F:F,MATCH(C614,Hours!$A:$A,0)))</f>
        <v>0</v>
      </c>
      <c r="S614" s="19">
        <f t="shared" si="19"/>
        <v>0</v>
      </c>
    </row>
    <row r="615" spans="1:19" x14ac:dyDescent="0.25">
      <c r="A615" s="11" t="str">
        <f>'Bldgs &amp; Rooms'!$A$18</f>
        <v>Main Bldg.</v>
      </c>
      <c r="B615" s="11">
        <f>'Bldgs &amp; Rooms'!$B$18</f>
        <v>0</v>
      </c>
      <c r="C615" s="10" t="str">
        <f>Hours!$A$23</f>
        <v>Lighting Contactor &gt; 100A</v>
      </c>
      <c r="D615" s="11">
        <f t="shared" si="18"/>
        <v>0</v>
      </c>
      <c r="E615" s="16"/>
      <c r="F615" s="17"/>
      <c r="G615" s="17"/>
      <c r="H615" s="17"/>
      <c r="I615" s="17"/>
      <c r="J615" s="17"/>
      <c r="K615" s="12"/>
      <c r="L615" s="12"/>
      <c r="M615" s="12"/>
      <c r="N615" s="12"/>
      <c r="O615" s="12"/>
      <c r="P615" s="12"/>
      <c r="Q615" s="17"/>
      <c r="R615" s="18">
        <f>IF(SUMPRODUCT((E615:Q615)*1)=0,0,E615*INDEX(Hours!M:M,MATCH(C615,Hours!$A:$A,0))+F615*INDEX(Hours!B:B,MATCH(C615,Hours!$A:$A,0))+G615*INDEX(Hours!C:C,MATCH(C615,Hours!$A:$A,0))+H615*INDEX(Hours!D:D,MATCH(C615,Hours!$A:$A,0))+I615*INDEX(Hours!E:E,MATCH(C615,Hours!$A:$A,0))+J615*INDEX(Hours!F:F,MATCH(C615,Hours!$A:$A,0)))</f>
        <v>0</v>
      </c>
      <c r="S615" s="19">
        <f t="shared" si="19"/>
        <v>0</v>
      </c>
    </row>
    <row r="616" spans="1:19" x14ac:dyDescent="0.25">
      <c r="A616" s="11" t="str">
        <f>'Bldgs &amp; Rooms'!$A$18</f>
        <v>Main Bldg.</v>
      </c>
      <c r="B616" s="11">
        <f>'Bldgs &amp; Rooms'!$B$18</f>
        <v>0</v>
      </c>
      <c r="C616" s="10" t="str">
        <f>Hours!$A$24</f>
        <v>Power Distribution Unit (PDU)</v>
      </c>
      <c r="D616" s="11">
        <f t="shared" si="18"/>
        <v>0</v>
      </c>
      <c r="E616" s="16"/>
      <c r="F616" s="17"/>
      <c r="G616" s="17"/>
      <c r="H616" s="17"/>
      <c r="I616" s="17"/>
      <c r="J616" s="17"/>
      <c r="K616" s="12"/>
      <c r="L616" s="12"/>
      <c r="M616" s="12"/>
      <c r="N616" s="12"/>
      <c r="O616" s="12"/>
      <c r="P616" s="12"/>
      <c r="Q616" s="17"/>
      <c r="R616" s="18">
        <f>IF(SUMPRODUCT((E616:Q616)*1)=0,0,E616*INDEX(Hours!M:M,MATCH(C616,Hours!$A:$A,0))+F616*INDEX(Hours!B:B,MATCH(C616,Hours!$A:$A,0))+G616*INDEX(Hours!C:C,MATCH(C616,Hours!$A:$A,0))+H616*INDEX(Hours!D:D,MATCH(C616,Hours!$A:$A,0))+I616*INDEX(Hours!E:E,MATCH(C616,Hours!$A:$A,0))+J616*INDEX(Hours!F:F,MATCH(C616,Hours!$A:$A,0)))</f>
        <v>0</v>
      </c>
      <c r="S616" s="19">
        <f t="shared" si="19"/>
        <v>0</v>
      </c>
    </row>
    <row r="617" spans="1:19" x14ac:dyDescent="0.25">
      <c r="A617" s="11" t="str">
        <f>'Bldgs &amp; Rooms'!$A$18</f>
        <v>Main Bldg.</v>
      </c>
      <c r="B617" s="11">
        <f>'Bldgs &amp; Rooms'!$B$18</f>
        <v>0</v>
      </c>
      <c r="C617" s="10" t="str">
        <f>Hours!$A$25</f>
        <v>Wire Trough, Gutter, or Large Junction Boxes</v>
      </c>
      <c r="D617" s="11">
        <f t="shared" si="18"/>
        <v>0</v>
      </c>
      <c r="E617" s="16"/>
      <c r="F617" s="17"/>
      <c r="G617" s="17"/>
      <c r="H617" s="17"/>
      <c r="I617" s="17"/>
      <c r="J617" s="17"/>
      <c r="K617" s="12"/>
      <c r="L617" s="12"/>
      <c r="M617" s="12"/>
      <c r="N617" s="12"/>
      <c r="O617" s="12"/>
      <c r="P617" s="12"/>
      <c r="Q617" s="17"/>
      <c r="R617" s="18">
        <f>IF(SUMPRODUCT((E617:Q617)*1)=0,0,E617*INDEX(Hours!M:M,MATCH(C617,Hours!$A:$A,0))+F617*INDEX(Hours!B:B,MATCH(C617,Hours!$A:$A,0))+G617*INDEX(Hours!C:C,MATCH(C617,Hours!$A:$A,0))+H617*INDEX(Hours!D:D,MATCH(C617,Hours!$A:$A,0))+I617*INDEX(Hours!E:E,MATCH(C617,Hours!$A:$A,0))+J617*INDEX(Hours!F:F,MATCH(C617,Hours!$A:$A,0)))</f>
        <v>0</v>
      </c>
      <c r="S617" s="19">
        <f t="shared" si="19"/>
        <v>0</v>
      </c>
    </row>
    <row r="618" spans="1:19" x14ac:dyDescent="0.25">
      <c r="A618" s="11" t="str">
        <f>'Bldgs &amp; Rooms'!$A$18</f>
        <v>Main Bldg.</v>
      </c>
      <c r="B618" s="11">
        <f>'Bldgs &amp; Rooms'!$B$18</f>
        <v>0</v>
      </c>
      <c r="C618" s="10" t="str">
        <f>Hours!$A$26</f>
        <v>Bus Duct - Vertical or Horizontal (Per 10' section)</v>
      </c>
      <c r="D618" s="11">
        <f t="shared" si="18"/>
        <v>0</v>
      </c>
      <c r="E618" s="16"/>
      <c r="F618" s="17"/>
      <c r="G618" s="17"/>
      <c r="H618" s="17"/>
      <c r="I618" s="17"/>
      <c r="J618" s="17"/>
      <c r="K618" s="12"/>
      <c r="L618" s="12"/>
      <c r="M618" s="12"/>
      <c r="N618" s="12"/>
      <c r="O618" s="12"/>
      <c r="P618" s="12"/>
      <c r="Q618" s="17"/>
      <c r="R618" s="18">
        <f>IF(SUMPRODUCT((E618:Q618)*1)=0,0,E618*INDEX(Hours!M:M,MATCH(C618,Hours!$A:$A,0))+F618*INDEX(Hours!B:B,MATCH(C618,Hours!$A:$A,0))+G618*INDEX(Hours!C:C,MATCH(C618,Hours!$A:$A,0))+H618*INDEX(Hours!D:D,MATCH(C618,Hours!$A:$A,0))+I618*INDEX(Hours!E:E,MATCH(C618,Hours!$A:$A,0))+J618*INDEX(Hours!F:F,MATCH(C618,Hours!$A:$A,0)))</f>
        <v>0</v>
      </c>
      <c r="S618" s="19">
        <f t="shared" si="19"/>
        <v>0</v>
      </c>
    </row>
    <row r="619" spans="1:19" x14ac:dyDescent="0.25">
      <c r="A619" s="11" t="str">
        <f>'Bldgs &amp; Rooms'!$A$18</f>
        <v>Main Bldg.</v>
      </c>
      <c r="B619" s="11">
        <f>'Bldgs &amp; Rooms'!$B$18</f>
        <v>0</v>
      </c>
      <c r="C619" s="10" t="str">
        <f>Hours!$A$27</f>
        <v>Automatic Transfer Switch (ATS) &gt; 100A</v>
      </c>
      <c r="D619" s="11">
        <f t="shared" si="18"/>
        <v>0</v>
      </c>
      <c r="E619" s="16"/>
      <c r="F619" s="17"/>
      <c r="G619" s="17"/>
      <c r="H619" s="17"/>
      <c r="I619" s="17"/>
      <c r="J619" s="17"/>
      <c r="K619" s="12"/>
      <c r="L619" s="12"/>
      <c r="M619" s="12"/>
      <c r="N619" s="12"/>
      <c r="O619" s="12"/>
      <c r="P619" s="12"/>
      <c r="Q619" s="17"/>
      <c r="R619" s="18">
        <f>IF(SUMPRODUCT((E619:Q619)*1)=0,0,E619*INDEX(Hours!M:M,MATCH(C619,Hours!$A:$A,0))+F619*INDEX(Hours!B:B,MATCH(C619,Hours!$A:$A,0))+G619*INDEX(Hours!C:C,MATCH(C619,Hours!$A:$A,0))+H619*INDEX(Hours!D:D,MATCH(C619,Hours!$A:$A,0))+I619*INDEX(Hours!E:E,MATCH(C619,Hours!$A:$A,0))+J619*INDEX(Hours!F:F,MATCH(C619,Hours!$A:$A,0)))</f>
        <v>0</v>
      </c>
      <c r="S619" s="19">
        <f t="shared" si="19"/>
        <v>0</v>
      </c>
    </row>
    <row r="620" spans="1:19" x14ac:dyDescent="0.25">
      <c r="A620" s="11" t="str">
        <f>'Bldgs &amp; Rooms'!$A$18</f>
        <v>Main Bldg.</v>
      </c>
      <c r="B620" s="11">
        <f>'Bldgs &amp; Rooms'!$B$18</f>
        <v>0</v>
      </c>
      <c r="C620" s="10" t="str">
        <f>Hours!$A$28</f>
        <v>Manual Transfer Switch (MTS) &gt; 100A</v>
      </c>
      <c r="D620" s="11">
        <f t="shared" si="18"/>
        <v>0</v>
      </c>
      <c r="E620" s="16"/>
      <c r="F620" s="17"/>
      <c r="G620" s="17"/>
      <c r="H620" s="17"/>
      <c r="I620" s="17"/>
      <c r="J620" s="17"/>
      <c r="K620" s="12"/>
      <c r="L620" s="12"/>
      <c r="M620" s="12"/>
      <c r="N620" s="12"/>
      <c r="O620" s="12"/>
      <c r="P620" s="12"/>
      <c r="Q620" s="17"/>
      <c r="R620" s="18">
        <f>IF(SUMPRODUCT((E620:Q620)*1)=0,0,E620*INDEX(Hours!M:M,MATCH(C620,Hours!$A:$A,0))+F620*INDEX(Hours!B:B,MATCH(C620,Hours!$A:$A,0))+G620*INDEX(Hours!C:C,MATCH(C620,Hours!$A:$A,0))+H620*INDEX(Hours!D:D,MATCH(C620,Hours!$A:$A,0))+I620*INDEX(Hours!E:E,MATCH(C620,Hours!$A:$A,0))+J620*INDEX(Hours!F:F,MATCH(C620,Hours!$A:$A,0)))</f>
        <v>0</v>
      </c>
      <c r="S620" s="19">
        <f t="shared" si="19"/>
        <v>0</v>
      </c>
    </row>
    <row r="621" spans="1:19" x14ac:dyDescent="0.25">
      <c r="A621" s="11" t="str">
        <f>'Bldgs &amp; Rooms'!$A$18</f>
        <v>Main Bldg.</v>
      </c>
      <c r="B621" s="11">
        <f>'Bldgs &amp; Rooms'!$B$18</f>
        <v>0</v>
      </c>
      <c r="C621" s="10" t="str">
        <f>Hours!$A$29</f>
        <v>Variable Frequency Drives (VFD) &lt; 50 HP</v>
      </c>
      <c r="D621" s="11">
        <f t="shared" si="18"/>
        <v>0</v>
      </c>
      <c r="E621" s="16"/>
      <c r="F621" s="17"/>
      <c r="G621" s="17"/>
      <c r="H621" s="17"/>
      <c r="I621" s="17"/>
      <c r="J621" s="17"/>
      <c r="K621" s="12"/>
      <c r="L621" s="12"/>
      <c r="M621" s="12"/>
      <c r="N621" s="12"/>
      <c r="O621" s="12"/>
      <c r="P621" s="12"/>
      <c r="Q621" s="17"/>
      <c r="R621" s="18">
        <f>IF(SUMPRODUCT((E621:Q621)*1)=0,0,E621*INDEX(Hours!M:M,MATCH(C621,Hours!$A:$A,0))+F621*INDEX(Hours!B:B,MATCH(C621,Hours!$A:$A,0))+G621*INDEX(Hours!C:C,MATCH(C621,Hours!$A:$A,0))+H621*INDEX(Hours!D:D,MATCH(C621,Hours!$A:$A,0))+I621*INDEX(Hours!E:E,MATCH(C621,Hours!$A:$A,0))+J621*INDEX(Hours!F:F,MATCH(C621,Hours!$A:$A,0)))</f>
        <v>0</v>
      </c>
      <c r="S621" s="19">
        <f t="shared" si="19"/>
        <v>0</v>
      </c>
    </row>
    <row r="622" spans="1:19" x14ac:dyDescent="0.25">
      <c r="A622" s="11" t="str">
        <f>'Bldgs &amp; Rooms'!$A$18</f>
        <v>Main Bldg.</v>
      </c>
      <c r="B622" s="11">
        <f>'Bldgs &amp; Rooms'!$B$18</f>
        <v>0</v>
      </c>
      <c r="C622" s="10" t="str">
        <f>Hours!$A$30</f>
        <v>Variable Frequency Drives (VFD) 51-200 HP</v>
      </c>
      <c r="D622" s="11">
        <f t="shared" si="18"/>
        <v>0</v>
      </c>
      <c r="E622" s="16"/>
      <c r="F622" s="17"/>
      <c r="G622" s="17"/>
      <c r="H622" s="17"/>
      <c r="I622" s="17"/>
      <c r="J622" s="17"/>
      <c r="K622" s="12"/>
      <c r="L622" s="12"/>
      <c r="M622" s="12"/>
      <c r="N622" s="12"/>
      <c r="O622" s="12"/>
      <c r="P622" s="12"/>
      <c r="Q622" s="17"/>
      <c r="R622" s="18">
        <f>IF(SUMPRODUCT((E622:Q622)*1)=0,0,E622*INDEX(Hours!M:M,MATCH(C622,Hours!$A:$A,0))+F622*INDEX(Hours!B:B,MATCH(C622,Hours!$A:$A,0))+G622*INDEX(Hours!C:C,MATCH(C622,Hours!$A:$A,0))+H622*INDEX(Hours!D:D,MATCH(C622,Hours!$A:$A,0))+I622*INDEX(Hours!E:E,MATCH(C622,Hours!$A:$A,0))+J622*INDEX(Hours!F:F,MATCH(C622,Hours!$A:$A,0)))</f>
        <v>0</v>
      </c>
      <c r="S622" s="19">
        <f t="shared" si="19"/>
        <v>0</v>
      </c>
    </row>
    <row r="623" spans="1:19" x14ac:dyDescent="0.25">
      <c r="A623" s="11" t="str">
        <f>'Bldgs &amp; Rooms'!$A$18</f>
        <v>Main Bldg.</v>
      </c>
      <c r="B623" s="11">
        <f>'Bldgs &amp; Rooms'!$B$18</f>
        <v>0</v>
      </c>
      <c r="C623" s="10" t="str">
        <f>Hours!$A$31</f>
        <v>Motors &lt; 50 HP</v>
      </c>
      <c r="D623" s="11">
        <f t="shared" si="18"/>
        <v>0</v>
      </c>
      <c r="E623" s="16"/>
      <c r="F623" s="17"/>
      <c r="G623" s="17"/>
      <c r="H623" s="17"/>
      <c r="I623" s="17"/>
      <c r="J623" s="17"/>
      <c r="K623" s="12"/>
      <c r="L623" s="12"/>
      <c r="M623" s="12"/>
      <c r="N623" s="12"/>
      <c r="O623" s="12"/>
      <c r="P623" s="12"/>
      <c r="Q623" s="17"/>
      <c r="R623" s="18">
        <f>IF(SUMPRODUCT((E623:Q623)*1)=0,0,E623*INDEX(Hours!M:M,MATCH(C623,Hours!$A:$A,0))+F623*INDEX(Hours!B:B,MATCH(C623,Hours!$A:$A,0))+G623*INDEX(Hours!C:C,MATCH(C623,Hours!$A:$A,0))+H623*INDEX(Hours!D:D,MATCH(C623,Hours!$A:$A,0))+I623*INDEX(Hours!E:E,MATCH(C623,Hours!$A:$A,0))+J623*INDEX(Hours!F:F,MATCH(C623,Hours!$A:$A,0)))</f>
        <v>0</v>
      </c>
      <c r="S623" s="19">
        <f t="shared" si="19"/>
        <v>0</v>
      </c>
    </row>
    <row r="624" spans="1:19" x14ac:dyDescent="0.25">
      <c r="A624" s="11" t="str">
        <f>'Bldgs &amp; Rooms'!$A$18</f>
        <v>Main Bldg.</v>
      </c>
      <c r="B624" s="11">
        <f>'Bldgs &amp; Rooms'!$B$18</f>
        <v>0</v>
      </c>
      <c r="C624" s="10" t="str">
        <f>Hours!$A$32</f>
        <v>Motors 51-200 HP</v>
      </c>
      <c r="D624" s="11">
        <f t="shared" si="18"/>
        <v>0</v>
      </c>
      <c r="E624" s="16"/>
      <c r="F624" s="17"/>
      <c r="G624" s="17"/>
      <c r="H624" s="17"/>
      <c r="I624" s="17"/>
      <c r="J624" s="17"/>
      <c r="K624" s="12"/>
      <c r="L624" s="12"/>
      <c r="M624" s="12"/>
      <c r="N624" s="12"/>
      <c r="O624" s="12"/>
      <c r="P624" s="12"/>
      <c r="Q624" s="17"/>
      <c r="R624" s="18">
        <f>IF(SUMPRODUCT((E624:Q624)*1)=0,0,E624*INDEX(Hours!M:M,MATCH(C624,Hours!$A:$A,0))+F624*INDEX(Hours!B:B,MATCH(C624,Hours!$A:$A,0))+G624*INDEX(Hours!C:C,MATCH(C624,Hours!$A:$A,0))+H624*INDEX(Hours!D:D,MATCH(C624,Hours!$A:$A,0))+I624*INDEX(Hours!E:E,MATCH(C624,Hours!$A:$A,0))+J624*INDEX(Hours!F:F,MATCH(C624,Hours!$A:$A,0)))</f>
        <v>0</v>
      </c>
      <c r="S624" s="19">
        <f t="shared" si="19"/>
        <v>0</v>
      </c>
    </row>
    <row r="625" spans="1:19" x14ac:dyDescent="0.25">
      <c r="A625" s="11" t="str">
        <f>'Bldgs &amp; Rooms'!$A$18</f>
        <v>Main Bldg.</v>
      </c>
      <c r="B625" s="11">
        <f>'Bldgs &amp; Rooms'!$B$18</f>
        <v>0</v>
      </c>
      <c r="C625" s="10" t="str">
        <f>Hours!$A$33</f>
        <v>Motors 201-500 HP</v>
      </c>
      <c r="D625" s="11">
        <f t="shared" si="18"/>
        <v>0</v>
      </c>
      <c r="E625" s="16"/>
      <c r="F625" s="17"/>
      <c r="G625" s="17"/>
      <c r="H625" s="17"/>
      <c r="I625" s="17"/>
      <c r="J625" s="17"/>
      <c r="K625" s="12"/>
      <c r="L625" s="12"/>
      <c r="M625" s="12"/>
      <c r="N625" s="12"/>
      <c r="O625" s="12"/>
      <c r="P625" s="12"/>
      <c r="Q625" s="17"/>
      <c r="R625" s="18">
        <f>IF(SUMPRODUCT((E625:Q625)*1)=0,0,E625*INDEX(Hours!M:M,MATCH(C625,Hours!$A:$A,0))+F625*INDEX(Hours!B:B,MATCH(C625,Hours!$A:$A,0))+G625*INDEX(Hours!C:C,MATCH(C625,Hours!$A:$A,0))+H625*INDEX(Hours!D:D,MATCH(C625,Hours!$A:$A,0))+I625*INDEX(Hours!E:E,MATCH(C625,Hours!$A:$A,0))+J625*INDEX(Hours!F:F,MATCH(C625,Hours!$A:$A,0)))</f>
        <v>0</v>
      </c>
      <c r="S625" s="19">
        <f t="shared" si="19"/>
        <v>0</v>
      </c>
    </row>
    <row r="626" spans="1:19" x14ac:dyDescent="0.25">
      <c r="A626" s="11" t="str">
        <f>'Bldgs &amp; Rooms'!$A$18</f>
        <v>Main Bldg.</v>
      </c>
      <c r="B626" s="11">
        <f>'Bldgs &amp; Rooms'!$B$18</f>
        <v>0</v>
      </c>
      <c r="C626" s="10" t="str">
        <f>Hours!$A$34</f>
        <v>Compressed Air Equipment</v>
      </c>
      <c r="D626" s="11">
        <f t="shared" si="18"/>
        <v>0</v>
      </c>
      <c r="E626" s="16"/>
      <c r="F626" s="17"/>
      <c r="G626" s="17"/>
      <c r="H626" s="17"/>
      <c r="I626" s="17"/>
      <c r="J626" s="17"/>
      <c r="K626" s="12"/>
      <c r="L626" s="12"/>
      <c r="M626" s="12"/>
      <c r="N626" s="12"/>
      <c r="O626" s="12"/>
      <c r="P626" s="12"/>
      <c r="Q626" s="17"/>
      <c r="R626" s="18">
        <f>IF(SUMPRODUCT((E626:Q626)*1)=0,0,E626*INDEX(Hours!M:M,MATCH(C626,Hours!$A:$A,0))+F626*INDEX(Hours!B:B,MATCH(C626,Hours!$A:$A,0))+G626*INDEX(Hours!C:C,MATCH(C626,Hours!$A:$A,0))+H626*INDEX(Hours!D:D,MATCH(C626,Hours!$A:$A,0))+I626*INDEX(Hours!E:E,MATCH(C626,Hours!$A:$A,0))+J626*INDEX(Hours!F:F,MATCH(C626,Hours!$A:$A,0)))</f>
        <v>0</v>
      </c>
      <c r="S626" s="19">
        <f t="shared" si="19"/>
        <v>0</v>
      </c>
    </row>
    <row r="627" spans="1:19" x14ac:dyDescent="0.25">
      <c r="A627" s="11" t="str">
        <f>'Bldgs &amp; Rooms'!$A$18</f>
        <v>Main Bldg.</v>
      </c>
      <c r="B627" s="11">
        <f>'Bldgs &amp; Rooms'!$B$18</f>
        <v>0</v>
      </c>
      <c r="C627" s="10" t="str">
        <f>Hours!$A$35</f>
        <v>HVAC Equipment (Large)</v>
      </c>
      <c r="D627" s="11">
        <f t="shared" si="18"/>
        <v>0</v>
      </c>
      <c r="E627" s="16"/>
      <c r="F627" s="17"/>
      <c r="G627" s="17"/>
      <c r="H627" s="17"/>
      <c r="I627" s="17"/>
      <c r="J627" s="17"/>
      <c r="K627" s="12"/>
      <c r="L627" s="12"/>
      <c r="M627" s="12"/>
      <c r="N627" s="12"/>
      <c r="O627" s="12"/>
      <c r="P627" s="12"/>
      <c r="Q627" s="17"/>
      <c r="R627" s="18">
        <f>IF(SUMPRODUCT((E627:Q627)*1)=0,0,E627*INDEX(Hours!M:M,MATCH(C627,Hours!$A:$A,0))+F627*INDEX(Hours!B:B,MATCH(C627,Hours!$A:$A,0))+G627*INDEX(Hours!C:C,MATCH(C627,Hours!$A:$A,0))+H627*INDEX(Hours!D:D,MATCH(C627,Hours!$A:$A,0))+I627*INDEX(Hours!E:E,MATCH(C627,Hours!$A:$A,0))+J627*INDEX(Hours!F:F,MATCH(C627,Hours!$A:$A,0)))</f>
        <v>0</v>
      </c>
      <c r="S627" s="19">
        <f t="shared" si="19"/>
        <v>0</v>
      </c>
    </row>
    <row r="628" spans="1:19" x14ac:dyDescent="0.25">
      <c r="A628" s="11" t="str">
        <f>'Bldgs &amp; Rooms'!$A$18</f>
        <v>Main Bldg.</v>
      </c>
      <c r="B628" s="11">
        <f>'Bldgs &amp; Rooms'!$B$18</f>
        <v>0</v>
      </c>
      <c r="C628" s="10" t="str">
        <f>Hours!$A$36</f>
        <v>HVAC Equipment (Small)</v>
      </c>
      <c r="D628" s="11">
        <f t="shared" si="18"/>
        <v>0</v>
      </c>
      <c r="E628" s="16"/>
      <c r="F628" s="17"/>
      <c r="G628" s="17"/>
      <c r="H628" s="17"/>
      <c r="I628" s="17"/>
      <c r="J628" s="17"/>
      <c r="K628" s="12"/>
      <c r="L628" s="12"/>
      <c r="M628" s="12"/>
      <c r="N628" s="12"/>
      <c r="O628" s="12"/>
      <c r="P628" s="12"/>
      <c r="Q628" s="17"/>
      <c r="R628" s="18">
        <f>IF(SUMPRODUCT((E628:Q628)*1)=0,0,E628*INDEX(Hours!M:M,MATCH(C628,Hours!$A:$A,0))+F628*INDEX(Hours!B:B,MATCH(C628,Hours!$A:$A,0))+G628*INDEX(Hours!C:C,MATCH(C628,Hours!$A:$A,0))+H628*INDEX(Hours!D:D,MATCH(C628,Hours!$A:$A,0))+I628*INDEX(Hours!E:E,MATCH(C628,Hours!$A:$A,0))+J628*INDEX(Hours!F:F,MATCH(C628,Hours!$A:$A,0)))</f>
        <v>0</v>
      </c>
      <c r="S628" s="19">
        <f t="shared" si="19"/>
        <v>0</v>
      </c>
    </row>
    <row r="629" spans="1:19" x14ac:dyDescent="0.25">
      <c r="A629" s="11" t="str">
        <f>'Bldgs &amp; Rooms'!$A$18</f>
        <v>Main Bldg.</v>
      </c>
      <c r="B629" s="11">
        <f>'Bldgs &amp; Rooms'!$B$18</f>
        <v>0</v>
      </c>
      <c r="C629" s="10" t="str">
        <f>Hours!$A$37</f>
        <v>Uninterruptible Power Supply (UPS) &lt; 50kVA</v>
      </c>
      <c r="D629" s="11">
        <f t="shared" si="18"/>
        <v>0</v>
      </c>
      <c r="E629" s="16"/>
      <c r="F629" s="17"/>
      <c r="G629" s="17"/>
      <c r="H629" s="17"/>
      <c r="I629" s="17"/>
      <c r="J629" s="17"/>
      <c r="K629" s="12"/>
      <c r="L629" s="12"/>
      <c r="M629" s="12"/>
      <c r="N629" s="12"/>
      <c r="O629" s="12"/>
      <c r="P629" s="12"/>
      <c r="Q629" s="17"/>
      <c r="R629" s="18">
        <f>IF(SUMPRODUCT((E629:Q629)*1)=0,0,E629*INDEX(Hours!M:M,MATCH(C629,Hours!$A:$A,0))+F629*INDEX(Hours!B:B,MATCH(C629,Hours!$A:$A,0))+G629*INDEX(Hours!C:C,MATCH(C629,Hours!$A:$A,0))+H629*INDEX(Hours!D:D,MATCH(C629,Hours!$A:$A,0))+I629*INDEX(Hours!E:E,MATCH(C629,Hours!$A:$A,0))+J629*INDEX(Hours!F:F,MATCH(C629,Hours!$A:$A,0)))</f>
        <v>0</v>
      </c>
      <c r="S629" s="19">
        <f t="shared" si="19"/>
        <v>0</v>
      </c>
    </row>
    <row r="630" spans="1:19" x14ac:dyDescent="0.25">
      <c r="A630" s="11" t="str">
        <f>'Bldgs &amp; Rooms'!$A$18</f>
        <v>Main Bldg.</v>
      </c>
      <c r="B630" s="11">
        <f>'Bldgs &amp; Rooms'!$B$18</f>
        <v>0</v>
      </c>
      <c r="C630" s="10" t="str">
        <f>Hours!$A$38</f>
        <v>Uninterruptible Power Supply (UPS) &gt; 50kVA</v>
      </c>
      <c r="D630" s="11">
        <f t="shared" si="18"/>
        <v>0</v>
      </c>
      <c r="E630" s="16"/>
      <c r="F630" s="17"/>
      <c r="G630" s="17"/>
      <c r="H630" s="17"/>
      <c r="I630" s="17"/>
      <c r="J630" s="17"/>
      <c r="K630" s="12"/>
      <c r="L630" s="12"/>
      <c r="M630" s="12"/>
      <c r="N630" s="12"/>
      <c r="O630" s="12"/>
      <c r="P630" s="12"/>
      <c r="Q630" s="17"/>
      <c r="R630" s="18">
        <f>IF(SUMPRODUCT((E630:Q630)*1)=0,0,E630*INDEX(Hours!M:M,MATCH(C630,Hours!$A:$A,0))+F630*INDEX(Hours!B:B,MATCH(C630,Hours!$A:$A,0))+G630*INDEX(Hours!C:C,MATCH(C630,Hours!$A:$A,0))+H630*INDEX(Hours!D:D,MATCH(C630,Hours!$A:$A,0))+I630*INDEX(Hours!E:E,MATCH(C630,Hours!$A:$A,0))+J630*INDEX(Hours!F:F,MATCH(C630,Hours!$A:$A,0)))</f>
        <v>0</v>
      </c>
      <c r="S630" s="19">
        <f t="shared" si="19"/>
        <v>0</v>
      </c>
    </row>
    <row r="631" spans="1:19" x14ac:dyDescent="0.25">
      <c r="A631" s="15" t="str">
        <f>'Bldgs &amp; Rooms'!$A$19</f>
        <v>Main Bldg.</v>
      </c>
      <c r="B631" s="15">
        <f>'Bldgs &amp; Rooms'!$B$19</f>
        <v>0</v>
      </c>
      <c r="C631" s="14" t="str">
        <f>Hours!$A$2</f>
        <v>Switchgear - Incoming Main Service (Per Section)</v>
      </c>
      <c r="D631" s="15">
        <f t="shared" si="18"/>
        <v>0</v>
      </c>
      <c r="E631" s="16"/>
      <c r="F631" s="17"/>
      <c r="G631" s="17"/>
      <c r="H631" s="17"/>
      <c r="I631" s="17"/>
      <c r="J631" s="17"/>
      <c r="K631" s="17"/>
      <c r="L631" s="17"/>
      <c r="M631" s="12"/>
      <c r="N631" s="12"/>
      <c r="O631" s="17"/>
      <c r="P631" s="12"/>
      <c r="Q631" s="17"/>
      <c r="R631" s="18">
        <f>IF(SUMPRODUCT((E631:Q631)*1)=0,0,E631*INDEX(Hours!M:M,MATCH(C631,Hours!$A:$A,0))+F631*INDEX(Hours!B:B,MATCH(C631,Hours!$A:$A,0))+G631*INDEX(Hours!C:C,MATCH(C631,Hours!$A:$A,0))+H631*INDEX(Hours!D:D,MATCH(C631,Hours!$A:$A,0))+I631*INDEX(Hours!E:E,MATCH(C631,Hours!$A:$A,0))+J631*INDEX(Hours!F:F,MATCH(C631,Hours!$A:$A,0))+K631*INDEX(Hours!G:G,MATCH(C631,Hours!$A:$A,0))+L631*INDEX(Hours!H:H,MATCH(C631,Hours!$A:$A,0))+O631*INDEX(Hours!K:K,MATCH(C631,Hours!$A:$A,0)))</f>
        <v>0</v>
      </c>
      <c r="S631" s="19">
        <f t="shared" si="19"/>
        <v>0</v>
      </c>
    </row>
    <row r="632" spans="1:19" x14ac:dyDescent="0.25">
      <c r="A632" s="15" t="str">
        <f>'Bldgs &amp; Rooms'!$A$19</f>
        <v>Main Bldg.</v>
      </c>
      <c r="B632" s="15">
        <f>'Bldgs &amp; Rooms'!$B$19</f>
        <v>0</v>
      </c>
      <c r="C632" s="14" t="str">
        <f>Hours!$A$3</f>
        <v xml:space="preserve">  Switchgear Insulated Case Breakers (Bus Mounted)</v>
      </c>
      <c r="D632" s="15">
        <f t="shared" si="18"/>
        <v>0</v>
      </c>
      <c r="E632" s="16"/>
      <c r="F632" s="17"/>
      <c r="G632" s="17"/>
      <c r="H632" s="17"/>
      <c r="I632" s="17"/>
      <c r="J632" s="17"/>
      <c r="K632" s="17"/>
      <c r="L632" s="12"/>
      <c r="M632" s="12"/>
      <c r="N632" s="12"/>
      <c r="O632" s="12"/>
      <c r="P632" s="12"/>
      <c r="Q632" s="17"/>
      <c r="R632" s="18">
        <f>IF(SUMPRODUCT((E632:Q632)*1)=0,0,E632*INDEX(Hours!M:M,MATCH(C632,Hours!$A:$A,0))+F632*INDEX(Hours!B:B,MATCH(C632,Hours!$A:$A,0))+G632*INDEX(Hours!C:C,MATCH(C632,Hours!$A:$A,0))+H632*INDEX(Hours!D:D,MATCH(C632,Hours!$A:$A,0))+I632*INDEX(Hours!E:E,MATCH(C632,Hours!$A:$A,0))+J632*INDEX(Hours!F:F,MATCH(C632,Hours!$A:$A,0))+K632*INDEX(Hours!G:G,MATCH(C632,Hours!$A:$A,0)))</f>
        <v>0</v>
      </c>
      <c r="S632" s="19">
        <f t="shared" si="19"/>
        <v>0</v>
      </c>
    </row>
    <row r="633" spans="1:19" x14ac:dyDescent="0.25">
      <c r="A633" s="15" t="str">
        <f>'Bldgs &amp; Rooms'!$A$19</f>
        <v>Main Bldg.</v>
      </c>
      <c r="B633" s="15">
        <f>'Bldgs &amp; Rooms'!$B$19</f>
        <v>0</v>
      </c>
      <c r="C633" s="14" t="str">
        <f>Hours!$A$4</f>
        <v xml:space="preserve">  SwitchGear Drawout Breakers</v>
      </c>
      <c r="D633" s="15">
        <f t="shared" si="18"/>
        <v>0</v>
      </c>
      <c r="E633" s="16"/>
      <c r="F633" s="17"/>
      <c r="G633" s="17"/>
      <c r="H633" s="17"/>
      <c r="I633" s="17"/>
      <c r="J633" s="17"/>
      <c r="K633" s="12"/>
      <c r="L633" s="17"/>
      <c r="M633" s="12"/>
      <c r="N633" s="12"/>
      <c r="O633" s="12"/>
      <c r="P633" s="12"/>
      <c r="Q633" s="17"/>
      <c r="R633" s="18">
        <f>IF(SUMPRODUCT((E633:Q633)*1)=0,0,E633*INDEX(Hours!M:M,MATCH(C633,Hours!$A:$A,0))+F633*INDEX(Hours!B:B,MATCH(C633,Hours!$A:$A,0))+G633*INDEX(Hours!C:C,MATCH(C633,Hours!$A:$A,0))+H633*INDEX(Hours!D:D,MATCH(C633,Hours!$A:$A,0))+I633*INDEX(Hours!E:E,MATCH(C633,Hours!$A:$A,0))+J633*INDEX(Hours!F:F,MATCH(C633,Hours!$A:$A,0))+L633*INDEX(Hours!H:H,MATCH(C633,Hours!$A:$A,0)))</f>
        <v>0</v>
      </c>
      <c r="S633" s="19">
        <f t="shared" si="19"/>
        <v>0</v>
      </c>
    </row>
    <row r="634" spans="1:19" x14ac:dyDescent="0.25">
      <c r="A634" s="15" t="str">
        <f>'Bldgs &amp; Rooms'!$A$19</f>
        <v>Main Bldg.</v>
      </c>
      <c r="B634" s="15">
        <f>'Bldgs &amp; Rooms'!$B$19</f>
        <v>0</v>
      </c>
      <c r="C634" s="14" t="str">
        <f>Hours!$A$5</f>
        <v>Distribution Switchboard Multi Cover (Per Section)</v>
      </c>
      <c r="D634" s="15">
        <f t="shared" si="18"/>
        <v>0</v>
      </c>
      <c r="E634" s="16"/>
      <c r="F634" s="17"/>
      <c r="G634" s="17"/>
      <c r="H634" s="17"/>
      <c r="I634" s="17"/>
      <c r="J634" s="17"/>
      <c r="K634" s="17"/>
      <c r="L634" s="12"/>
      <c r="M634" s="12"/>
      <c r="N634" s="12"/>
      <c r="O634" s="17"/>
      <c r="P634" s="12"/>
      <c r="Q634" s="17"/>
      <c r="R634" s="18">
        <f>IF(SUMPRODUCT((E634:Q634)*1)=0,0,E634*INDEX(Hours!M:M,MATCH(C634,Hours!$A:$A,0))+F634*INDEX(Hours!B:B,MATCH(C634,Hours!$A:$A,0))+G634*INDEX(Hours!C:C,MATCH(C634,Hours!$A:$A,0))+H634*INDEX(Hours!D:D,MATCH(C634,Hours!$A:$A,0))+I634*INDEX(Hours!E:E,MATCH(C634,Hours!$A:$A,0))+J634*INDEX(Hours!F:F,MATCH(C634,Hours!$A:$A,0))+K634*INDEX(Hours!G:G,MATCH(C634,Hours!$A:$A,0))+O634*INDEX(Hours!K:K,MATCH(C634,Hours!$A:$A,0)))</f>
        <v>0</v>
      </c>
      <c r="S634" s="19">
        <f t="shared" si="19"/>
        <v>0</v>
      </c>
    </row>
    <row r="635" spans="1:19" x14ac:dyDescent="0.25">
      <c r="A635" s="15" t="str">
        <f>'Bldgs &amp; Rooms'!$A$19</f>
        <v>Main Bldg.</v>
      </c>
      <c r="B635" s="15">
        <f>'Bldgs &amp; Rooms'!$B$19</f>
        <v>0</v>
      </c>
      <c r="C635" s="14" t="str">
        <f>Hours!$A$6</f>
        <v xml:space="preserve">  Switchboard Disconnects</v>
      </c>
      <c r="D635" s="15">
        <f t="shared" si="18"/>
        <v>0</v>
      </c>
      <c r="E635" s="16"/>
      <c r="F635" s="17"/>
      <c r="G635" s="17"/>
      <c r="H635" s="17"/>
      <c r="I635" s="17"/>
      <c r="J635" s="17"/>
      <c r="K635" s="12"/>
      <c r="L635" s="12"/>
      <c r="M635" s="12"/>
      <c r="N635" s="12"/>
      <c r="O635" s="12"/>
      <c r="P635" s="12"/>
      <c r="Q635" s="17"/>
      <c r="R635" s="18">
        <f>IF(SUMPRODUCT((E635:Q635)*1)=0,0,E635*INDEX(Hours!M:M,MATCH(C635,Hours!$A:$A,0))+F635*INDEX(Hours!B:B,MATCH(C635,Hours!$A:$A,0))+G635*INDEX(Hours!C:C,MATCH(C635,Hours!$A:$A,0))+H635*INDEX(Hours!D:D,MATCH(C635,Hours!$A:$A,0))+I635*INDEX(Hours!E:E,MATCH(C635,Hours!$A:$A,0))+J635*INDEX(Hours!F:F,MATCH(C635,Hours!$A:$A,0)))</f>
        <v>0</v>
      </c>
      <c r="S635" s="19">
        <f t="shared" si="19"/>
        <v>0</v>
      </c>
    </row>
    <row r="636" spans="1:19" x14ac:dyDescent="0.25">
      <c r="A636" s="15" t="str">
        <f>'Bldgs &amp; Rooms'!$A$19</f>
        <v>Main Bldg.</v>
      </c>
      <c r="B636" s="15">
        <f>'Bldgs &amp; Rooms'!$B$19</f>
        <v>0</v>
      </c>
      <c r="C636" s="14" t="str">
        <f>Hours!$A$7</f>
        <v xml:space="preserve">  Switchboard Molded Case Breakers</v>
      </c>
      <c r="D636" s="15">
        <f t="shared" si="18"/>
        <v>0</v>
      </c>
      <c r="E636" s="16"/>
      <c r="F636" s="17"/>
      <c r="G636" s="17"/>
      <c r="H636" s="17"/>
      <c r="I636" s="17"/>
      <c r="J636" s="17"/>
      <c r="K636" s="17"/>
      <c r="L636" s="12"/>
      <c r="M636" s="12"/>
      <c r="N636" s="12"/>
      <c r="O636" s="12"/>
      <c r="P636" s="12"/>
      <c r="Q636" s="17"/>
      <c r="R636" s="18">
        <f>IF(SUMPRODUCT((E636:Q636)*1)=0,0,E636*INDEX(Hours!M:M,MATCH(C636,Hours!$A:$A,0))+F636*INDEX(Hours!B:B,MATCH(C636,Hours!$A:$A,0))+G636*INDEX(Hours!C:C,MATCH(C636,Hours!$A:$A,0))+H636*INDEX(Hours!D:D,MATCH(C636,Hours!$A:$A,0))+I636*INDEX(Hours!E:E,MATCH(C636,Hours!$A:$A,0))+J636*INDEX(Hours!F:F,MATCH(C636,Hours!$A:$A,0))+K636*INDEX(Hours!G:G,MATCH(C636,Hours!$A:$A,0)))</f>
        <v>0</v>
      </c>
      <c r="S636" s="19">
        <f t="shared" si="19"/>
        <v>0</v>
      </c>
    </row>
    <row r="637" spans="1:19" x14ac:dyDescent="0.25">
      <c r="A637" s="15" t="str">
        <f>'Bldgs &amp; Rooms'!$A$19</f>
        <v>Main Bldg.</v>
      </c>
      <c r="B637" s="15">
        <f>'Bldgs &amp; Rooms'!$B$19</f>
        <v>0</v>
      </c>
      <c r="C637" s="14" t="str">
        <f>Hours!$A$8</f>
        <v>Panelboard-Single Cover &gt; 400A (Distribution Panel)</v>
      </c>
      <c r="D637" s="15">
        <f t="shared" si="18"/>
        <v>0</v>
      </c>
      <c r="E637" s="16"/>
      <c r="F637" s="17"/>
      <c r="G637" s="17"/>
      <c r="H637" s="17"/>
      <c r="I637" s="17"/>
      <c r="J637" s="17"/>
      <c r="K637" s="17"/>
      <c r="L637" s="12"/>
      <c r="M637" s="12"/>
      <c r="N637" s="12"/>
      <c r="O637" s="17"/>
      <c r="P637" s="12"/>
      <c r="Q637" s="17"/>
      <c r="R637" s="18">
        <f>IF(SUMPRODUCT((E637:Q637)*1)=0,0,E637*INDEX(Hours!M:M,MATCH(C637,Hours!$A:$A,0))+F637*INDEX(Hours!B:B,MATCH(C637,Hours!$A:$A,0))+G637*INDEX(Hours!C:C,MATCH(C637,Hours!$A:$A,0))+H637*INDEX(Hours!D:D,MATCH(C637,Hours!$A:$A,0))+I637*INDEX(Hours!E:E,MATCH(C637,Hours!$A:$A,0))+J637*INDEX(Hours!F:F,MATCH(C637,Hours!$A:$A,0))+K637*INDEX(Hours!G:G,MATCH(C637,Hours!$A:$A,0))+O637*INDEX(Hours!K:K,MATCH(C637,Hours!$A:$A,0)))</f>
        <v>0</v>
      </c>
      <c r="S637" s="19">
        <f t="shared" si="19"/>
        <v>0</v>
      </c>
    </row>
    <row r="638" spans="1:19" x14ac:dyDescent="0.25">
      <c r="A638" s="15" t="str">
        <f>'Bldgs &amp; Rooms'!$A$19</f>
        <v>Main Bldg.</v>
      </c>
      <c r="B638" s="15">
        <f>'Bldgs &amp; Rooms'!$B$19</f>
        <v>0</v>
      </c>
      <c r="C638" s="14" t="str">
        <f>Hours!$A$9</f>
        <v>Panelboard-Single Cover &lt; 400A (Branch Ckt Panel)</v>
      </c>
      <c r="D638" s="15">
        <f t="shared" si="18"/>
        <v>0</v>
      </c>
      <c r="E638" s="16"/>
      <c r="F638" s="17"/>
      <c r="G638" s="17"/>
      <c r="H638" s="17"/>
      <c r="I638" s="17"/>
      <c r="J638" s="17"/>
      <c r="K638" s="12"/>
      <c r="L638" s="12"/>
      <c r="M638" s="12"/>
      <c r="N638" s="12"/>
      <c r="O638" s="17"/>
      <c r="P638" s="12"/>
      <c r="Q638" s="17"/>
      <c r="R638" s="18">
        <f>IF(SUMPRODUCT((E638:Q638)*1)=0,0,E638*INDEX(Hours!M:M,MATCH(C638,Hours!$A:$A,0))+F638*INDEX(Hours!B:B,MATCH(C638,Hours!$A:$A,0))+G638*INDEX(Hours!C:C,MATCH(C638,Hours!$A:$A,0))+H638*INDEX(Hours!D:D,MATCH(C638,Hours!$A:$A,0))+I638*INDEX(Hours!E:E,MATCH(C638,Hours!$A:$A,0))+J638*INDEX(Hours!F:F,MATCH(C638,Hours!$A:$A,0))+O638*INDEX(Hours!K:K,MATCH(C638,Hours!$A:$A,0)))</f>
        <v>0</v>
      </c>
      <c r="S638" s="19">
        <f t="shared" si="19"/>
        <v>0</v>
      </c>
    </row>
    <row r="639" spans="1:19" x14ac:dyDescent="0.25">
      <c r="A639" s="15" t="str">
        <f>'Bldgs &amp; Rooms'!$A$19</f>
        <v>Main Bldg.</v>
      </c>
      <c r="B639" s="15">
        <f>'Bldgs &amp; Rooms'!$B$19</f>
        <v>0</v>
      </c>
      <c r="C639" s="14" t="str">
        <f>Hours!$A$10</f>
        <v>Motor Control Center (MCC-Per Vertical Section)</v>
      </c>
      <c r="D639" s="15">
        <f t="shared" si="18"/>
        <v>0</v>
      </c>
      <c r="E639" s="16"/>
      <c r="F639" s="17"/>
      <c r="G639" s="17"/>
      <c r="H639" s="17"/>
      <c r="I639" s="17"/>
      <c r="J639" s="17"/>
      <c r="K639" s="12"/>
      <c r="L639" s="12"/>
      <c r="M639" s="12"/>
      <c r="N639" s="12"/>
      <c r="O639" s="17"/>
      <c r="P639" s="12"/>
      <c r="Q639" s="17"/>
      <c r="R639" s="18">
        <f>IF(SUMPRODUCT((E639:Q639)*1)=0,0,E639*INDEX(Hours!M:M,MATCH(C639,Hours!$A:$A,0))+F639*INDEX(Hours!B:B,MATCH(C639,Hours!$A:$A,0))+G639*INDEX(Hours!C:C,MATCH(C639,Hours!$A:$A,0))+H639*INDEX(Hours!D:D,MATCH(C639,Hours!$A:$A,0))+I639*INDEX(Hours!E:E,MATCH(C639,Hours!$A:$A,0))+J639*INDEX(Hours!F:F,MATCH(C639,Hours!$A:$A,0))+O639*INDEX(Hours!K:K,MATCH(C639,Hours!$A:$A,0)))</f>
        <v>0</v>
      </c>
      <c r="S639" s="19">
        <f t="shared" si="19"/>
        <v>0</v>
      </c>
    </row>
    <row r="640" spans="1:19" x14ac:dyDescent="0.25">
      <c r="A640" s="15" t="str">
        <f>'Bldgs &amp; Rooms'!$A$19</f>
        <v>Main Bldg.</v>
      </c>
      <c r="B640" s="15">
        <f>'Bldgs &amp; Rooms'!$B$19</f>
        <v>0</v>
      </c>
      <c r="C640" s="14" t="str">
        <f>Hours!$A$11</f>
        <v xml:space="preserve">  MCC: Combination Motor Starters</v>
      </c>
      <c r="D640" s="15">
        <f t="shared" si="18"/>
        <v>0</v>
      </c>
      <c r="E640" s="16"/>
      <c r="F640" s="17"/>
      <c r="G640" s="17"/>
      <c r="H640" s="17"/>
      <c r="I640" s="17"/>
      <c r="J640" s="17"/>
      <c r="K640" s="17"/>
      <c r="L640" s="12"/>
      <c r="M640" s="12"/>
      <c r="N640" s="12"/>
      <c r="O640" s="17"/>
      <c r="P640" s="12"/>
      <c r="Q640" s="17"/>
      <c r="R640" s="18">
        <f>IF(SUMPRODUCT((E640:Q640)*1)=0,0,E640*INDEX(Hours!M:M,MATCH(C640,Hours!$A:$A,0))+F640*INDEX(Hours!B:B,MATCH(C640,Hours!$A:$A,0))+G640*INDEX(Hours!C:C,MATCH(C640,Hours!$A:$A,0))+H640*INDEX(Hours!D:D,MATCH(C640,Hours!$A:$A,0))+I640*INDEX(Hours!E:E,MATCH(C640,Hours!$A:$A,0))+J640*INDEX(Hours!F:F,MATCH(C640,Hours!$A:$A,0))+K640*INDEX(Hours!G:G,MATCH(C640,Hours!$A:$A,0))+O640*INDEX(Hours!K:K,MATCH(C640,Hours!$A:$A,0)))</f>
        <v>0</v>
      </c>
      <c r="S640" s="19">
        <f t="shared" si="19"/>
        <v>0</v>
      </c>
    </row>
    <row r="641" spans="1:19" x14ac:dyDescent="0.25">
      <c r="A641" s="15" t="str">
        <f>'Bldgs &amp; Rooms'!$A$19</f>
        <v>Main Bldg.</v>
      </c>
      <c r="B641" s="15">
        <f>'Bldgs &amp; Rooms'!$B$19</f>
        <v>0</v>
      </c>
      <c r="C641" s="14" t="str">
        <f>Hours!$A$12</f>
        <v xml:space="preserve">  MCC: Molded Case Breaker</v>
      </c>
      <c r="D641" s="15">
        <f t="shared" si="18"/>
        <v>0</v>
      </c>
      <c r="E641" s="16"/>
      <c r="F641" s="17"/>
      <c r="G641" s="17"/>
      <c r="H641" s="17"/>
      <c r="I641" s="17"/>
      <c r="J641" s="17"/>
      <c r="K641" s="17"/>
      <c r="L641" s="12"/>
      <c r="M641" s="12"/>
      <c r="N641" s="12"/>
      <c r="O641" s="12"/>
      <c r="P641" s="12"/>
      <c r="Q641" s="17"/>
      <c r="R641" s="18">
        <f>IF(SUMPRODUCT((E641:Q641)*1)=0,0,E641*INDEX(Hours!M:M,MATCH(C641,Hours!$A:$A,0))+F641*INDEX(Hours!B:B,MATCH(C641,Hours!$A:$A,0))+G641*INDEX(Hours!C:C,MATCH(C641,Hours!$A:$A,0))+H641*INDEX(Hours!D:D,MATCH(C641,Hours!$A:$A,0))+I641*INDEX(Hours!E:E,MATCH(C641,Hours!$A:$A,0))+J641*INDEX(Hours!F:F,MATCH(C641,Hours!$A:$A,0))+K641*INDEX(Hours!G:G,MATCH(C641,Hours!$A:$A,0)))</f>
        <v>0</v>
      </c>
      <c r="S641" s="19">
        <f t="shared" si="19"/>
        <v>0</v>
      </c>
    </row>
    <row r="642" spans="1:19" x14ac:dyDescent="0.25">
      <c r="A642" s="15" t="str">
        <f>'Bldgs &amp; Rooms'!$A$19</f>
        <v>Main Bldg.</v>
      </c>
      <c r="B642" s="15">
        <f>'Bldgs &amp; Rooms'!$B$19</f>
        <v>0</v>
      </c>
      <c r="C642" s="14" t="str">
        <f>Hours!$A$13</f>
        <v xml:space="preserve">  MCC: Individual Disconnect Switch</v>
      </c>
      <c r="D642" s="15">
        <f t="shared" ref="D642:D705" si="20">MAX(E642+F642,G642,H642,I642,J642,K642,L642,M642,N642,O642,P642,Q642)</f>
        <v>0</v>
      </c>
      <c r="E642" s="16"/>
      <c r="F642" s="17"/>
      <c r="G642" s="17"/>
      <c r="H642" s="17"/>
      <c r="I642" s="17"/>
      <c r="J642" s="17"/>
      <c r="K642" s="12"/>
      <c r="L642" s="12"/>
      <c r="M642" s="12"/>
      <c r="N642" s="12"/>
      <c r="O642" s="12"/>
      <c r="P642" s="12"/>
      <c r="Q642" s="17"/>
      <c r="R642" s="18">
        <f>IF(SUMPRODUCT((E642:Q642)*1)=0,0,E642*INDEX(Hours!M:M,MATCH(C642,Hours!$A:$A,0))+F642*INDEX(Hours!B:B,MATCH(C642,Hours!$A:$A,0))+G642*INDEX(Hours!C:C,MATCH(C642,Hours!$A:$A,0))+H642*INDEX(Hours!D:D,MATCH(C642,Hours!$A:$A,0))+I642*INDEX(Hours!E:E,MATCH(C642,Hours!$A:$A,0))+J642*INDEX(Hours!F:F,MATCH(C642,Hours!$A:$A,0)))</f>
        <v>0</v>
      </c>
      <c r="S642" s="19">
        <f t="shared" ref="S642:S705" si="21">MAX(E642+F642,G642,H642,I642,J642,K642,L642,M642,N642,O642,P642,Q642)</f>
        <v>0</v>
      </c>
    </row>
    <row r="643" spans="1:19" x14ac:dyDescent="0.25">
      <c r="A643" s="15" t="str">
        <f>'Bldgs &amp; Rooms'!$A$19</f>
        <v>Main Bldg.</v>
      </c>
      <c r="B643" s="15">
        <f>'Bldgs &amp; Rooms'!$B$19</f>
        <v>0</v>
      </c>
      <c r="C643" s="14" t="str">
        <f>Hours!$A$14</f>
        <v>Motor Control Panel (MCP)</v>
      </c>
      <c r="D643" s="15">
        <f t="shared" si="20"/>
        <v>0</v>
      </c>
      <c r="E643" s="16"/>
      <c r="F643" s="17"/>
      <c r="G643" s="17"/>
      <c r="H643" s="17"/>
      <c r="I643" s="17"/>
      <c r="J643" s="17"/>
      <c r="K643" s="12"/>
      <c r="L643" s="12"/>
      <c r="M643" s="12"/>
      <c r="N643" s="12"/>
      <c r="O643" s="17"/>
      <c r="P643" s="12"/>
      <c r="Q643" s="17"/>
      <c r="R643" s="18">
        <f>IF(SUMPRODUCT((E643:Q643)*1)=0,0,E643*INDEX(Hours!M:M,MATCH(C643,Hours!$A:$A,0))+F643*INDEX(Hours!B:B,MATCH(C643,Hours!$A:$A,0))+G643*INDEX(Hours!C:C,MATCH(C643,Hours!$A:$A,0))+H643*INDEX(Hours!D:D,MATCH(C643,Hours!$A:$A,0))+I643*INDEX(Hours!E:E,MATCH(C643,Hours!$A:$A,0))+J643*INDEX(Hours!F:F,MATCH(C643,Hours!$A:$A,0))+O643*INDEX(Hours!K:K,MATCH(C643,Hours!$A:$A,0)))</f>
        <v>0</v>
      </c>
      <c r="S643" s="19">
        <f t="shared" si="21"/>
        <v>0</v>
      </c>
    </row>
    <row r="644" spans="1:19" x14ac:dyDescent="0.25">
      <c r="A644" s="15" t="str">
        <f>'Bldgs &amp; Rooms'!$A$19</f>
        <v>Main Bldg.</v>
      </c>
      <c r="B644" s="15">
        <f>'Bldgs &amp; Rooms'!$B$19</f>
        <v>0</v>
      </c>
      <c r="C644" s="14" t="str">
        <f>Hours!$A$15</f>
        <v>VFD Motor Control Panel (VFD-MCP)</v>
      </c>
      <c r="D644" s="15">
        <f t="shared" si="20"/>
        <v>0</v>
      </c>
      <c r="E644" s="16"/>
      <c r="F644" s="17"/>
      <c r="G644" s="17"/>
      <c r="H644" s="17"/>
      <c r="I644" s="17"/>
      <c r="J644" s="17"/>
      <c r="K644" s="12"/>
      <c r="L644" s="12"/>
      <c r="M644" s="12"/>
      <c r="N644" s="12"/>
      <c r="O644" s="17"/>
      <c r="P644" s="12"/>
      <c r="Q644" s="17"/>
      <c r="R644" s="18">
        <f>IF(SUMPRODUCT((E644:Q644)*1)=0,0,E644*INDEX(Hours!M:M,MATCH(C644,Hours!$A:$A,0))+F644*INDEX(Hours!B:B,MATCH(C644,Hours!$A:$A,0))+G644*INDEX(Hours!C:C,MATCH(C644,Hours!$A:$A,0))+H644*INDEX(Hours!D:D,MATCH(C644,Hours!$A:$A,0))+I644*INDEX(Hours!E:E,MATCH(C644,Hours!$A:$A,0))+J644*INDEX(Hours!F:F,MATCH(C644,Hours!$A:$A,0))+O644*INDEX(Hours!K:K,MATCH(C644,Hours!$A:$A,0)))</f>
        <v>0</v>
      </c>
      <c r="S644" s="19">
        <f t="shared" si="21"/>
        <v>0</v>
      </c>
    </row>
    <row r="645" spans="1:19" x14ac:dyDescent="0.25">
      <c r="A645" s="15" t="str">
        <f>'Bldgs &amp; Rooms'!$A$19</f>
        <v>Main Bldg.</v>
      </c>
      <c r="B645" s="15">
        <f>'Bldgs &amp; Rooms'!$B$19</f>
        <v>0</v>
      </c>
      <c r="C645" s="14" t="str">
        <f>Hours!$A$16</f>
        <v>Individual Disconnect Switch &gt; 100A</v>
      </c>
      <c r="D645" s="15">
        <f t="shared" si="20"/>
        <v>0</v>
      </c>
      <c r="E645" s="16"/>
      <c r="F645" s="17"/>
      <c r="G645" s="17"/>
      <c r="H645" s="17"/>
      <c r="I645" s="17"/>
      <c r="J645" s="17"/>
      <c r="K645" s="17"/>
      <c r="L645" s="12"/>
      <c r="M645" s="12"/>
      <c r="N645" s="12"/>
      <c r="O645" s="12"/>
      <c r="P645" s="12"/>
      <c r="Q645" s="17"/>
      <c r="R645" s="18">
        <f>IF(SUMPRODUCT((E645:Q645)*1)=0,0,E645*INDEX(Hours!M:M,MATCH(C645,Hours!$A:$A,0))+F645*INDEX(Hours!B:B,MATCH(C645,Hours!$A:$A,0))+G645*INDEX(Hours!C:C,MATCH(C645,Hours!$A:$A,0))+H645*INDEX(Hours!D:D,MATCH(C645,Hours!$A:$A,0))+I645*INDEX(Hours!E:E,MATCH(C645,Hours!$A:$A,0))+J645*INDEX(Hours!F:F,MATCH(C645,Hours!$A:$A,0))+K645*INDEX(Hours!G:G,MATCH(C645,Hours!$A:$A,0)))</f>
        <v>0</v>
      </c>
      <c r="S645" s="19">
        <f t="shared" si="21"/>
        <v>0</v>
      </c>
    </row>
    <row r="646" spans="1:19" x14ac:dyDescent="0.25">
      <c r="A646" s="15" t="str">
        <f>'Bldgs &amp; Rooms'!$A$19</f>
        <v>Main Bldg.</v>
      </c>
      <c r="B646" s="15">
        <f>'Bldgs &amp; Rooms'!$B$19</f>
        <v>0</v>
      </c>
      <c r="C646" s="14" t="str">
        <f>Hours!$A$17</f>
        <v>Individual Molded Case Breaker &gt; 100A</v>
      </c>
      <c r="D646" s="15">
        <f t="shared" si="20"/>
        <v>0</v>
      </c>
      <c r="E646" s="16"/>
      <c r="F646" s="17"/>
      <c r="G646" s="17"/>
      <c r="H646" s="17"/>
      <c r="I646" s="17"/>
      <c r="J646" s="17"/>
      <c r="K646" s="17"/>
      <c r="L646" s="12"/>
      <c r="M646" s="12"/>
      <c r="N646" s="12"/>
      <c r="O646" s="12"/>
      <c r="P646" s="12"/>
      <c r="Q646" s="17"/>
      <c r="R646" s="18">
        <f>IF(SUMPRODUCT((E646:Q646)*1)=0,0,E646*INDEX(Hours!M:M,MATCH(C646,Hours!$A:$A,0))+F646*INDEX(Hours!B:B,MATCH(C646,Hours!$A:$A,0))+G646*INDEX(Hours!C:C,MATCH(C646,Hours!$A:$A,0))+H646*INDEX(Hours!D:D,MATCH(C646,Hours!$A:$A,0))+I646*INDEX(Hours!E:E,MATCH(C646,Hours!$A:$A,0))+J646*INDEX(Hours!F:F,MATCH(C646,Hours!$A:$A,0))+K646*INDEX(Hours!G:G,MATCH(C646,Hours!$A:$A,0)))</f>
        <v>0</v>
      </c>
      <c r="S646" s="19">
        <f t="shared" si="21"/>
        <v>0</v>
      </c>
    </row>
    <row r="647" spans="1:19" x14ac:dyDescent="0.25">
      <c r="A647" s="15" t="str">
        <f>'Bldgs &amp; Rooms'!$A$19</f>
        <v>Main Bldg.</v>
      </c>
      <c r="B647" s="15">
        <f>'Bldgs &amp; Rooms'!$B$19</f>
        <v>0</v>
      </c>
      <c r="C647" s="14" t="str">
        <f>Hours!$A$18</f>
        <v>Individual Combination Motor Starter &gt; 100A</v>
      </c>
      <c r="D647" s="15">
        <f t="shared" si="20"/>
        <v>0</v>
      </c>
      <c r="E647" s="16"/>
      <c r="F647" s="17"/>
      <c r="G647" s="17"/>
      <c r="H647" s="17"/>
      <c r="I647" s="17"/>
      <c r="J647" s="17"/>
      <c r="K647" s="17"/>
      <c r="L647" s="12"/>
      <c r="M647" s="12"/>
      <c r="N647" s="12"/>
      <c r="O647" s="12"/>
      <c r="P647" s="12"/>
      <c r="Q647" s="17"/>
      <c r="R647" s="18">
        <f>IF(SUMPRODUCT((E647:Q647)*1)=0,0,E647*INDEX(Hours!M:M,MATCH(C647,Hours!$A:$A,0))+F647*INDEX(Hours!B:B,MATCH(C647,Hours!$A:$A,0))+G647*INDEX(Hours!C:C,MATCH(C647,Hours!$A:$A,0))+H647*INDEX(Hours!D:D,MATCH(C647,Hours!$A:$A,0))+I647*INDEX(Hours!E:E,MATCH(C647,Hours!$A:$A,0))+J647*INDEX(Hours!F:F,MATCH(C647,Hours!$A:$A,0))+K647*INDEX(Hours!G:G,MATCH(C647,Hours!$A:$A,0)))</f>
        <v>0</v>
      </c>
      <c r="S647" s="19">
        <f t="shared" si="21"/>
        <v>0</v>
      </c>
    </row>
    <row r="648" spans="1:19" x14ac:dyDescent="0.25">
      <c r="A648" s="15" t="str">
        <f>'Bldgs &amp; Rooms'!$A$19</f>
        <v>Main Bldg.</v>
      </c>
      <c r="B648" s="15">
        <f>'Bldgs &amp; Rooms'!$B$19</f>
        <v>0</v>
      </c>
      <c r="C648" s="14" t="str">
        <f>Hours!$A$19</f>
        <v>Oil Filled Transformer - 5kV-15kV Primary - Any Size (Pad Mounted)</v>
      </c>
      <c r="D648" s="15">
        <f t="shared" si="20"/>
        <v>0</v>
      </c>
      <c r="E648" s="16"/>
      <c r="F648" s="17"/>
      <c r="G648" s="17"/>
      <c r="H648" s="17"/>
      <c r="I648" s="17"/>
      <c r="J648" s="17"/>
      <c r="K648" s="12"/>
      <c r="L648" s="12"/>
      <c r="M648" s="17"/>
      <c r="N648" s="17"/>
      <c r="O648" s="12"/>
      <c r="P648" s="17"/>
      <c r="Q648" s="17"/>
      <c r="R648" s="18">
        <f>IF(SUMPRODUCT((E648:Q648)*1)=0,0,E648*INDEX(Hours!M:M,MATCH(C648,Hours!$A:$A,0))+F648*INDEX(Hours!B:B,MATCH(C648,Hours!$A:$A,0))+G648*INDEX(Hours!C:C,MATCH(C648,Hours!$A:$A,0))+H648*INDEX(Hours!D:D,MATCH(C648,Hours!$A:$A,0))+I648*INDEX(Hours!E:E,MATCH(C648,Hours!$A:$A,0))+J648*INDEX(Hours!F:F,MATCH(C648,Hours!$A:$A,0))+M648*INDEX(Hours!I:I,MATCH(C648,Hours!$A:$A,0))+N648*INDEX(Hours!J:J,MATCH(C648,Hours!$A:$A,0))+P648*INDEX(Hours!L:L,MATCH(C648,Hours!$A:$A,0)))</f>
        <v>0</v>
      </c>
      <c r="S648" s="19">
        <f t="shared" si="21"/>
        <v>0</v>
      </c>
    </row>
    <row r="649" spans="1:19" x14ac:dyDescent="0.25">
      <c r="A649" s="15" t="str">
        <f>'Bldgs &amp; Rooms'!$A$19</f>
        <v>Main Bldg.</v>
      </c>
      <c r="B649" s="15">
        <f>'Bldgs &amp; Rooms'!$B$19</f>
        <v>0</v>
      </c>
      <c r="C649" s="14" t="str">
        <f>Hours!$A$20</f>
        <v>Oil Filled Transformer - &gt; 15kV Primary (Substation Class)</v>
      </c>
      <c r="D649" s="15">
        <f t="shared" si="20"/>
        <v>0</v>
      </c>
      <c r="E649" s="16"/>
      <c r="F649" s="17"/>
      <c r="G649" s="17"/>
      <c r="H649" s="17"/>
      <c r="I649" s="17"/>
      <c r="J649" s="17"/>
      <c r="K649" s="12"/>
      <c r="L649" s="12"/>
      <c r="M649" s="17"/>
      <c r="N649" s="17"/>
      <c r="O649" s="12"/>
      <c r="P649" s="17"/>
      <c r="Q649" s="17"/>
      <c r="R649" s="18">
        <f>IF(SUMPRODUCT((E649:Q649)*1)=0,0,E649*INDEX(Hours!M:M,MATCH(C649,Hours!$A:$A,0))+F649*INDEX(Hours!B:B,MATCH(C649,Hours!$A:$A,0))+G649*INDEX(Hours!C:C,MATCH(C649,Hours!$A:$A,0))+H649*INDEX(Hours!D:D,MATCH(C649,Hours!$A:$A,0))+I649*INDEX(Hours!E:E,MATCH(C649,Hours!$A:$A,0))+J649*INDEX(Hours!F:F,MATCH(C649,Hours!$A:$A,0))+M649*INDEX(Hours!I:I,MATCH(C649,Hours!$A:$A,0))+N649*INDEX(Hours!J:J,MATCH(C649,Hours!$A:$A,0))+P649*INDEX(Hours!L:L,MATCH(C649,Hours!$A:$A,0)))</f>
        <v>0</v>
      </c>
      <c r="S649" s="19">
        <f t="shared" si="21"/>
        <v>0</v>
      </c>
    </row>
    <row r="650" spans="1:19" x14ac:dyDescent="0.25">
      <c r="A650" s="15" t="str">
        <f>'Bldgs &amp; Rooms'!$A$19</f>
        <v>Main Bldg.</v>
      </c>
      <c r="B650" s="15">
        <f>'Bldgs &amp; Rooms'!$B$19</f>
        <v>0</v>
      </c>
      <c r="C650" s="14" t="str">
        <f>Hours!$A$21</f>
        <v>Dry Type Transformer - &lt; 480V Primary - Any Size kVA</v>
      </c>
      <c r="D650" s="15">
        <f t="shared" si="20"/>
        <v>0</v>
      </c>
      <c r="E650" s="16"/>
      <c r="F650" s="17"/>
      <c r="G650" s="17"/>
      <c r="H650" s="17"/>
      <c r="I650" s="17"/>
      <c r="J650" s="17"/>
      <c r="K650" s="12"/>
      <c r="L650" s="12"/>
      <c r="M650" s="17"/>
      <c r="N650" s="17"/>
      <c r="O650" s="12"/>
      <c r="P650" s="12"/>
      <c r="Q650" s="17"/>
      <c r="R650" s="18">
        <f>IF(SUMPRODUCT((E650:Q650)*1)=0,0,E650*INDEX(Hours!M:M,MATCH(C650,Hours!$A:$A,0))+F650*INDEX(Hours!B:B,MATCH(C650,Hours!$A:$A,0))+G650*INDEX(Hours!C:C,MATCH(C650,Hours!$A:$A,0))+H650*INDEX(Hours!D:D,MATCH(C650,Hours!$A:$A,0))+I650*INDEX(Hours!E:E,MATCH(C650,Hours!$A:$A,0))+J650*INDEX(Hours!F:F,MATCH(C650,Hours!$A:$A,0))+M650*INDEX(Hours!I:I,MATCH(C650,Hours!$A:$A,0))+N650*INDEX(Hours!J:J,MATCH(C650,Hours!$A:$A,0)))</f>
        <v>0</v>
      </c>
      <c r="S650" s="19">
        <f t="shared" si="21"/>
        <v>0</v>
      </c>
    </row>
    <row r="651" spans="1:19" x14ac:dyDescent="0.25">
      <c r="A651" s="15" t="str">
        <f>'Bldgs &amp; Rooms'!$A$19</f>
        <v>Main Bldg.</v>
      </c>
      <c r="B651" s="15">
        <f>'Bldgs &amp; Rooms'!$B$19</f>
        <v>0</v>
      </c>
      <c r="C651" s="14" t="str">
        <f>Hours!$A$22</f>
        <v>Power Factor Correction Capacitors</v>
      </c>
      <c r="D651" s="15">
        <f t="shared" si="20"/>
        <v>0</v>
      </c>
      <c r="E651" s="16"/>
      <c r="F651" s="17"/>
      <c r="G651" s="17"/>
      <c r="H651" s="17"/>
      <c r="I651" s="17"/>
      <c r="J651" s="17"/>
      <c r="K651" s="12"/>
      <c r="L651" s="12"/>
      <c r="M651" s="12"/>
      <c r="N651" s="12"/>
      <c r="O651" s="12"/>
      <c r="P651" s="12"/>
      <c r="Q651" s="17"/>
      <c r="R651" s="18">
        <f>IF(SUMPRODUCT((E651:Q651)*1)=0,0,E651*INDEX(Hours!M:M,MATCH(C651,Hours!$A:$A,0))+F651*INDEX(Hours!B:B,MATCH(C651,Hours!$A:$A,0))+G651*INDEX(Hours!C:C,MATCH(C651,Hours!$A:$A,0))+H651*INDEX(Hours!D:D,MATCH(C651,Hours!$A:$A,0))+I651*INDEX(Hours!E:E,MATCH(C651,Hours!$A:$A,0))+J651*INDEX(Hours!F:F,MATCH(C651,Hours!$A:$A,0)))</f>
        <v>0</v>
      </c>
      <c r="S651" s="19">
        <f t="shared" si="21"/>
        <v>0</v>
      </c>
    </row>
    <row r="652" spans="1:19" x14ac:dyDescent="0.25">
      <c r="A652" s="15" t="str">
        <f>'Bldgs &amp; Rooms'!$A$19</f>
        <v>Main Bldg.</v>
      </c>
      <c r="B652" s="15">
        <f>'Bldgs &amp; Rooms'!$B$19</f>
        <v>0</v>
      </c>
      <c r="C652" s="14" t="str">
        <f>Hours!$A$23</f>
        <v>Lighting Contactor &gt; 100A</v>
      </c>
      <c r="D652" s="15">
        <f t="shared" si="20"/>
        <v>0</v>
      </c>
      <c r="E652" s="16"/>
      <c r="F652" s="17"/>
      <c r="G652" s="17"/>
      <c r="H652" s="17"/>
      <c r="I652" s="17"/>
      <c r="J652" s="17"/>
      <c r="K652" s="12"/>
      <c r="L652" s="12"/>
      <c r="M652" s="12"/>
      <c r="N652" s="12"/>
      <c r="O652" s="12"/>
      <c r="P652" s="12"/>
      <c r="Q652" s="17"/>
      <c r="R652" s="18">
        <f>IF(SUMPRODUCT((E652:Q652)*1)=0,0,E652*INDEX(Hours!M:M,MATCH(C652,Hours!$A:$A,0))+F652*INDEX(Hours!B:B,MATCH(C652,Hours!$A:$A,0))+G652*INDEX(Hours!C:C,MATCH(C652,Hours!$A:$A,0))+H652*INDEX(Hours!D:D,MATCH(C652,Hours!$A:$A,0))+I652*INDEX(Hours!E:E,MATCH(C652,Hours!$A:$A,0))+J652*INDEX(Hours!F:F,MATCH(C652,Hours!$A:$A,0)))</f>
        <v>0</v>
      </c>
      <c r="S652" s="19">
        <f t="shared" si="21"/>
        <v>0</v>
      </c>
    </row>
    <row r="653" spans="1:19" x14ac:dyDescent="0.25">
      <c r="A653" s="15" t="str">
        <f>'Bldgs &amp; Rooms'!$A$19</f>
        <v>Main Bldg.</v>
      </c>
      <c r="B653" s="15">
        <f>'Bldgs &amp; Rooms'!$B$19</f>
        <v>0</v>
      </c>
      <c r="C653" s="14" t="str">
        <f>Hours!$A$24</f>
        <v>Power Distribution Unit (PDU)</v>
      </c>
      <c r="D653" s="15">
        <f t="shared" si="20"/>
        <v>0</v>
      </c>
      <c r="E653" s="16"/>
      <c r="F653" s="17"/>
      <c r="G653" s="17"/>
      <c r="H653" s="17"/>
      <c r="I653" s="17"/>
      <c r="J653" s="17"/>
      <c r="K653" s="12"/>
      <c r="L653" s="12"/>
      <c r="M653" s="12"/>
      <c r="N653" s="12"/>
      <c r="O653" s="12"/>
      <c r="P653" s="12"/>
      <c r="Q653" s="17"/>
      <c r="R653" s="18">
        <f>IF(SUMPRODUCT((E653:Q653)*1)=0,0,E653*INDEX(Hours!M:M,MATCH(C653,Hours!$A:$A,0))+F653*INDEX(Hours!B:B,MATCH(C653,Hours!$A:$A,0))+G653*INDEX(Hours!C:C,MATCH(C653,Hours!$A:$A,0))+H653*INDEX(Hours!D:D,MATCH(C653,Hours!$A:$A,0))+I653*INDEX(Hours!E:E,MATCH(C653,Hours!$A:$A,0))+J653*INDEX(Hours!F:F,MATCH(C653,Hours!$A:$A,0)))</f>
        <v>0</v>
      </c>
      <c r="S653" s="19">
        <f t="shared" si="21"/>
        <v>0</v>
      </c>
    </row>
    <row r="654" spans="1:19" x14ac:dyDescent="0.25">
      <c r="A654" s="15" t="str">
        <f>'Bldgs &amp; Rooms'!$A$19</f>
        <v>Main Bldg.</v>
      </c>
      <c r="B654" s="15">
        <f>'Bldgs &amp; Rooms'!$B$19</f>
        <v>0</v>
      </c>
      <c r="C654" s="14" t="str">
        <f>Hours!$A$25</f>
        <v>Wire Trough, Gutter, or Large Junction Boxes</v>
      </c>
      <c r="D654" s="15">
        <f t="shared" si="20"/>
        <v>0</v>
      </c>
      <c r="E654" s="16"/>
      <c r="F654" s="17"/>
      <c r="G654" s="17"/>
      <c r="H654" s="17"/>
      <c r="I654" s="17"/>
      <c r="J654" s="17"/>
      <c r="K654" s="12"/>
      <c r="L654" s="12"/>
      <c r="M654" s="12"/>
      <c r="N654" s="12"/>
      <c r="O654" s="12"/>
      <c r="P654" s="12"/>
      <c r="Q654" s="17"/>
      <c r="R654" s="18">
        <f>IF(SUMPRODUCT((E654:Q654)*1)=0,0,E654*INDEX(Hours!M:M,MATCH(C654,Hours!$A:$A,0))+F654*INDEX(Hours!B:B,MATCH(C654,Hours!$A:$A,0))+G654*INDEX(Hours!C:C,MATCH(C654,Hours!$A:$A,0))+H654*INDEX(Hours!D:D,MATCH(C654,Hours!$A:$A,0))+I654*INDEX(Hours!E:E,MATCH(C654,Hours!$A:$A,0))+J654*INDEX(Hours!F:F,MATCH(C654,Hours!$A:$A,0)))</f>
        <v>0</v>
      </c>
      <c r="S654" s="19">
        <f t="shared" si="21"/>
        <v>0</v>
      </c>
    </row>
    <row r="655" spans="1:19" x14ac:dyDescent="0.25">
      <c r="A655" s="15" t="str">
        <f>'Bldgs &amp; Rooms'!$A$19</f>
        <v>Main Bldg.</v>
      </c>
      <c r="B655" s="15">
        <f>'Bldgs &amp; Rooms'!$B$19</f>
        <v>0</v>
      </c>
      <c r="C655" s="14" t="str">
        <f>Hours!$A$26</f>
        <v>Bus Duct - Vertical or Horizontal (Per 10' section)</v>
      </c>
      <c r="D655" s="15">
        <f t="shared" si="20"/>
        <v>0</v>
      </c>
      <c r="E655" s="16"/>
      <c r="F655" s="17"/>
      <c r="G655" s="17"/>
      <c r="H655" s="17"/>
      <c r="I655" s="17"/>
      <c r="J655" s="17"/>
      <c r="K655" s="12"/>
      <c r="L655" s="12"/>
      <c r="M655" s="12"/>
      <c r="N655" s="12"/>
      <c r="O655" s="12"/>
      <c r="P655" s="12"/>
      <c r="Q655" s="17"/>
      <c r="R655" s="18">
        <f>IF(SUMPRODUCT((E655:Q655)*1)=0,0,E655*INDEX(Hours!M:M,MATCH(C655,Hours!$A:$A,0))+F655*INDEX(Hours!B:B,MATCH(C655,Hours!$A:$A,0))+G655*INDEX(Hours!C:C,MATCH(C655,Hours!$A:$A,0))+H655*INDEX(Hours!D:D,MATCH(C655,Hours!$A:$A,0))+I655*INDEX(Hours!E:E,MATCH(C655,Hours!$A:$A,0))+J655*INDEX(Hours!F:F,MATCH(C655,Hours!$A:$A,0)))</f>
        <v>0</v>
      </c>
      <c r="S655" s="19">
        <f t="shared" si="21"/>
        <v>0</v>
      </c>
    </row>
    <row r="656" spans="1:19" x14ac:dyDescent="0.25">
      <c r="A656" s="15" t="str">
        <f>'Bldgs &amp; Rooms'!$A$19</f>
        <v>Main Bldg.</v>
      </c>
      <c r="B656" s="15">
        <f>'Bldgs &amp; Rooms'!$B$19</f>
        <v>0</v>
      </c>
      <c r="C656" s="14" t="str">
        <f>Hours!$A$27</f>
        <v>Automatic Transfer Switch (ATS) &gt; 100A</v>
      </c>
      <c r="D656" s="15">
        <f t="shared" si="20"/>
        <v>0</v>
      </c>
      <c r="E656" s="16"/>
      <c r="F656" s="17"/>
      <c r="G656" s="17"/>
      <c r="H656" s="17"/>
      <c r="I656" s="17"/>
      <c r="J656" s="17"/>
      <c r="K656" s="12"/>
      <c r="L656" s="12"/>
      <c r="M656" s="12"/>
      <c r="N656" s="12"/>
      <c r="O656" s="12"/>
      <c r="P656" s="12"/>
      <c r="Q656" s="17"/>
      <c r="R656" s="18">
        <f>IF(SUMPRODUCT((E656:Q656)*1)=0,0,E656*INDEX(Hours!M:M,MATCH(C656,Hours!$A:$A,0))+F656*INDEX(Hours!B:B,MATCH(C656,Hours!$A:$A,0))+G656*INDEX(Hours!C:C,MATCH(C656,Hours!$A:$A,0))+H656*INDEX(Hours!D:D,MATCH(C656,Hours!$A:$A,0))+I656*INDEX(Hours!E:E,MATCH(C656,Hours!$A:$A,0))+J656*INDEX(Hours!F:F,MATCH(C656,Hours!$A:$A,0)))</f>
        <v>0</v>
      </c>
      <c r="S656" s="19">
        <f t="shared" si="21"/>
        <v>0</v>
      </c>
    </row>
    <row r="657" spans="1:19" x14ac:dyDescent="0.25">
      <c r="A657" s="15" t="str">
        <f>'Bldgs &amp; Rooms'!$A$19</f>
        <v>Main Bldg.</v>
      </c>
      <c r="B657" s="15">
        <f>'Bldgs &amp; Rooms'!$B$19</f>
        <v>0</v>
      </c>
      <c r="C657" s="14" t="str">
        <f>Hours!$A$28</f>
        <v>Manual Transfer Switch (MTS) &gt; 100A</v>
      </c>
      <c r="D657" s="15">
        <f t="shared" si="20"/>
        <v>0</v>
      </c>
      <c r="E657" s="16"/>
      <c r="F657" s="17"/>
      <c r="G657" s="17"/>
      <c r="H657" s="17"/>
      <c r="I657" s="17"/>
      <c r="J657" s="17"/>
      <c r="K657" s="12"/>
      <c r="L657" s="12"/>
      <c r="M657" s="12"/>
      <c r="N657" s="12"/>
      <c r="O657" s="12"/>
      <c r="P657" s="12"/>
      <c r="Q657" s="17"/>
      <c r="R657" s="18">
        <f>IF(SUMPRODUCT((E657:Q657)*1)=0,0,E657*INDEX(Hours!M:M,MATCH(C657,Hours!$A:$A,0))+F657*INDEX(Hours!B:B,MATCH(C657,Hours!$A:$A,0))+G657*INDEX(Hours!C:C,MATCH(C657,Hours!$A:$A,0))+H657*INDEX(Hours!D:D,MATCH(C657,Hours!$A:$A,0))+I657*INDEX(Hours!E:E,MATCH(C657,Hours!$A:$A,0))+J657*INDEX(Hours!F:F,MATCH(C657,Hours!$A:$A,0)))</f>
        <v>0</v>
      </c>
      <c r="S657" s="19">
        <f t="shared" si="21"/>
        <v>0</v>
      </c>
    </row>
    <row r="658" spans="1:19" x14ac:dyDescent="0.25">
      <c r="A658" s="15" t="str">
        <f>'Bldgs &amp; Rooms'!$A$19</f>
        <v>Main Bldg.</v>
      </c>
      <c r="B658" s="15">
        <f>'Bldgs &amp; Rooms'!$B$19</f>
        <v>0</v>
      </c>
      <c r="C658" s="14" t="str">
        <f>Hours!$A$29</f>
        <v>Variable Frequency Drives (VFD) &lt; 50 HP</v>
      </c>
      <c r="D658" s="15">
        <f t="shared" si="20"/>
        <v>0</v>
      </c>
      <c r="E658" s="16"/>
      <c r="F658" s="17"/>
      <c r="G658" s="17"/>
      <c r="H658" s="17"/>
      <c r="I658" s="17"/>
      <c r="J658" s="17"/>
      <c r="K658" s="12"/>
      <c r="L658" s="12"/>
      <c r="M658" s="12"/>
      <c r="N658" s="12"/>
      <c r="O658" s="12"/>
      <c r="P658" s="12"/>
      <c r="Q658" s="17"/>
      <c r="R658" s="18">
        <f>IF(SUMPRODUCT((E658:Q658)*1)=0,0,E658*INDEX(Hours!M:M,MATCH(C658,Hours!$A:$A,0))+F658*INDEX(Hours!B:B,MATCH(C658,Hours!$A:$A,0))+G658*INDEX(Hours!C:C,MATCH(C658,Hours!$A:$A,0))+H658*INDEX(Hours!D:D,MATCH(C658,Hours!$A:$A,0))+I658*INDEX(Hours!E:E,MATCH(C658,Hours!$A:$A,0))+J658*INDEX(Hours!F:F,MATCH(C658,Hours!$A:$A,0)))</f>
        <v>0</v>
      </c>
      <c r="S658" s="19">
        <f t="shared" si="21"/>
        <v>0</v>
      </c>
    </row>
    <row r="659" spans="1:19" x14ac:dyDescent="0.25">
      <c r="A659" s="15" t="str">
        <f>'Bldgs &amp; Rooms'!$A$19</f>
        <v>Main Bldg.</v>
      </c>
      <c r="B659" s="15">
        <f>'Bldgs &amp; Rooms'!$B$19</f>
        <v>0</v>
      </c>
      <c r="C659" s="14" t="str">
        <f>Hours!$A$30</f>
        <v>Variable Frequency Drives (VFD) 51-200 HP</v>
      </c>
      <c r="D659" s="15">
        <f t="shared" si="20"/>
        <v>0</v>
      </c>
      <c r="E659" s="16"/>
      <c r="F659" s="17"/>
      <c r="G659" s="17"/>
      <c r="H659" s="17"/>
      <c r="I659" s="17"/>
      <c r="J659" s="17"/>
      <c r="K659" s="12"/>
      <c r="L659" s="12"/>
      <c r="M659" s="12"/>
      <c r="N659" s="12"/>
      <c r="O659" s="12"/>
      <c r="P659" s="12"/>
      <c r="Q659" s="17"/>
      <c r="R659" s="18">
        <f>IF(SUMPRODUCT((E659:Q659)*1)=0,0,E659*INDEX(Hours!M:M,MATCH(C659,Hours!$A:$A,0))+F659*INDEX(Hours!B:B,MATCH(C659,Hours!$A:$A,0))+G659*INDEX(Hours!C:C,MATCH(C659,Hours!$A:$A,0))+H659*INDEX(Hours!D:D,MATCH(C659,Hours!$A:$A,0))+I659*INDEX(Hours!E:E,MATCH(C659,Hours!$A:$A,0))+J659*INDEX(Hours!F:F,MATCH(C659,Hours!$A:$A,0)))</f>
        <v>0</v>
      </c>
      <c r="S659" s="19">
        <f t="shared" si="21"/>
        <v>0</v>
      </c>
    </row>
    <row r="660" spans="1:19" x14ac:dyDescent="0.25">
      <c r="A660" s="15" t="str">
        <f>'Bldgs &amp; Rooms'!$A$19</f>
        <v>Main Bldg.</v>
      </c>
      <c r="B660" s="15">
        <f>'Bldgs &amp; Rooms'!$B$19</f>
        <v>0</v>
      </c>
      <c r="C660" s="14" t="str">
        <f>Hours!$A$31</f>
        <v>Motors &lt; 50 HP</v>
      </c>
      <c r="D660" s="15">
        <f t="shared" si="20"/>
        <v>0</v>
      </c>
      <c r="E660" s="16"/>
      <c r="F660" s="17"/>
      <c r="G660" s="17"/>
      <c r="H660" s="17"/>
      <c r="I660" s="17"/>
      <c r="J660" s="17"/>
      <c r="K660" s="12"/>
      <c r="L660" s="12"/>
      <c r="M660" s="12"/>
      <c r="N660" s="12"/>
      <c r="O660" s="12"/>
      <c r="P660" s="12"/>
      <c r="Q660" s="17"/>
      <c r="R660" s="18">
        <f>IF(SUMPRODUCT((E660:Q660)*1)=0,0,E660*INDEX(Hours!M:M,MATCH(C660,Hours!$A:$A,0))+F660*INDEX(Hours!B:B,MATCH(C660,Hours!$A:$A,0))+G660*INDEX(Hours!C:C,MATCH(C660,Hours!$A:$A,0))+H660*INDEX(Hours!D:D,MATCH(C660,Hours!$A:$A,0))+I660*INDEX(Hours!E:E,MATCH(C660,Hours!$A:$A,0))+J660*INDEX(Hours!F:F,MATCH(C660,Hours!$A:$A,0)))</f>
        <v>0</v>
      </c>
      <c r="S660" s="19">
        <f t="shared" si="21"/>
        <v>0</v>
      </c>
    </row>
    <row r="661" spans="1:19" x14ac:dyDescent="0.25">
      <c r="A661" s="15" t="str">
        <f>'Bldgs &amp; Rooms'!$A$19</f>
        <v>Main Bldg.</v>
      </c>
      <c r="B661" s="15">
        <f>'Bldgs &amp; Rooms'!$B$19</f>
        <v>0</v>
      </c>
      <c r="C661" s="14" t="str">
        <f>Hours!$A$32</f>
        <v>Motors 51-200 HP</v>
      </c>
      <c r="D661" s="15">
        <f t="shared" si="20"/>
        <v>0</v>
      </c>
      <c r="E661" s="16"/>
      <c r="F661" s="17"/>
      <c r="G661" s="17"/>
      <c r="H661" s="17"/>
      <c r="I661" s="17"/>
      <c r="J661" s="17"/>
      <c r="K661" s="12"/>
      <c r="L661" s="12"/>
      <c r="M661" s="12"/>
      <c r="N661" s="12"/>
      <c r="O661" s="12"/>
      <c r="P661" s="12"/>
      <c r="Q661" s="17"/>
      <c r="R661" s="18">
        <f>IF(SUMPRODUCT((E661:Q661)*1)=0,0,E661*INDEX(Hours!M:M,MATCH(C661,Hours!$A:$A,0))+F661*INDEX(Hours!B:B,MATCH(C661,Hours!$A:$A,0))+G661*INDEX(Hours!C:C,MATCH(C661,Hours!$A:$A,0))+H661*INDEX(Hours!D:D,MATCH(C661,Hours!$A:$A,0))+I661*INDEX(Hours!E:E,MATCH(C661,Hours!$A:$A,0))+J661*INDEX(Hours!F:F,MATCH(C661,Hours!$A:$A,0)))</f>
        <v>0</v>
      </c>
      <c r="S661" s="19">
        <f t="shared" si="21"/>
        <v>0</v>
      </c>
    </row>
    <row r="662" spans="1:19" x14ac:dyDescent="0.25">
      <c r="A662" s="15" t="str">
        <f>'Bldgs &amp; Rooms'!$A$19</f>
        <v>Main Bldg.</v>
      </c>
      <c r="B662" s="15">
        <f>'Bldgs &amp; Rooms'!$B$19</f>
        <v>0</v>
      </c>
      <c r="C662" s="14" t="str">
        <f>Hours!$A$33</f>
        <v>Motors 201-500 HP</v>
      </c>
      <c r="D662" s="15">
        <f t="shared" si="20"/>
        <v>0</v>
      </c>
      <c r="E662" s="16"/>
      <c r="F662" s="17"/>
      <c r="G662" s="17"/>
      <c r="H662" s="17"/>
      <c r="I662" s="17"/>
      <c r="J662" s="17"/>
      <c r="K662" s="12"/>
      <c r="L662" s="12"/>
      <c r="M662" s="12"/>
      <c r="N662" s="12"/>
      <c r="O662" s="12"/>
      <c r="P662" s="12"/>
      <c r="Q662" s="17"/>
      <c r="R662" s="18">
        <f>IF(SUMPRODUCT((E662:Q662)*1)=0,0,E662*INDEX(Hours!M:M,MATCH(C662,Hours!$A:$A,0))+F662*INDEX(Hours!B:B,MATCH(C662,Hours!$A:$A,0))+G662*INDEX(Hours!C:C,MATCH(C662,Hours!$A:$A,0))+H662*INDEX(Hours!D:D,MATCH(C662,Hours!$A:$A,0))+I662*INDEX(Hours!E:E,MATCH(C662,Hours!$A:$A,0))+J662*INDEX(Hours!F:F,MATCH(C662,Hours!$A:$A,0)))</f>
        <v>0</v>
      </c>
      <c r="S662" s="19">
        <f t="shared" si="21"/>
        <v>0</v>
      </c>
    </row>
    <row r="663" spans="1:19" x14ac:dyDescent="0.25">
      <c r="A663" s="15" t="str">
        <f>'Bldgs &amp; Rooms'!$A$19</f>
        <v>Main Bldg.</v>
      </c>
      <c r="B663" s="15">
        <f>'Bldgs &amp; Rooms'!$B$19</f>
        <v>0</v>
      </c>
      <c r="C663" s="14" t="str">
        <f>Hours!$A$34</f>
        <v>Compressed Air Equipment</v>
      </c>
      <c r="D663" s="15">
        <f t="shared" si="20"/>
        <v>0</v>
      </c>
      <c r="E663" s="16"/>
      <c r="F663" s="17"/>
      <c r="G663" s="17"/>
      <c r="H663" s="17"/>
      <c r="I663" s="17"/>
      <c r="J663" s="17"/>
      <c r="K663" s="12"/>
      <c r="L663" s="12"/>
      <c r="M663" s="12"/>
      <c r="N663" s="12"/>
      <c r="O663" s="12"/>
      <c r="P663" s="12"/>
      <c r="Q663" s="17"/>
      <c r="R663" s="18">
        <f>IF(SUMPRODUCT((E663:Q663)*1)=0,0,E663*INDEX(Hours!M:M,MATCH(C663,Hours!$A:$A,0))+F663*INDEX(Hours!B:B,MATCH(C663,Hours!$A:$A,0))+G663*INDEX(Hours!C:C,MATCH(C663,Hours!$A:$A,0))+H663*INDEX(Hours!D:D,MATCH(C663,Hours!$A:$A,0))+I663*INDEX(Hours!E:E,MATCH(C663,Hours!$A:$A,0))+J663*INDEX(Hours!F:F,MATCH(C663,Hours!$A:$A,0)))</f>
        <v>0</v>
      </c>
      <c r="S663" s="19">
        <f t="shared" si="21"/>
        <v>0</v>
      </c>
    </row>
    <row r="664" spans="1:19" x14ac:dyDescent="0.25">
      <c r="A664" s="15" t="str">
        <f>'Bldgs &amp; Rooms'!$A$19</f>
        <v>Main Bldg.</v>
      </c>
      <c r="B664" s="15">
        <f>'Bldgs &amp; Rooms'!$B$19</f>
        <v>0</v>
      </c>
      <c r="C664" s="14" t="str">
        <f>Hours!$A$35</f>
        <v>HVAC Equipment (Large)</v>
      </c>
      <c r="D664" s="15">
        <f t="shared" si="20"/>
        <v>0</v>
      </c>
      <c r="E664" s="16"/>
      <c r="F664" s="17"/>
      <c r="G664" s="17"/>
      <c r="H664" s="17"/>
      <c r="I664" s="17"/>
      <c r="J664" s="17"/>
      <c r="K664" s="12"/>
      <c r="L664" s="12"/>
      <c r="M664" s="12"/>
      <c r="N664" s="12"/>
      <c r="O664" s="12"/>
      <c r="P664" s="12"/>
      <c r="Q664" s="17"/>
      <c r="R664" s="18">
        <f>IF(SUMPRODUCT((E664:Q664)*1)=0,0,E664*INDEX(Hours!M:M,MATCH(C664,Hours!$A:$A,0))+F664*INDEX(Hours!B:B,MATCH(C664,Hours!$A:$A,0))+G664*INDEX(Hours!C:C,MATCH(C664,Hours!$A:$A,0))+H664*INDEX(Hours!D:D,MATCH(C664,Hours!$A:$A,0))+I664*INDEX(Hours!E:E,MATCH(C664,Hours!$A:$A,0))+J664*INDEX(Hours!F:F,MATCH(C664,Hours!$A:$A,0)))</f>
        <v>0</v>
      </c>
      <c r="S664" s="19">
        <f t="shared" si="21"/>
        <v>0</v>
      </c>
    </row>
    <row r="665" spans="1:19" x14ac:dyDescent="0.25">
      <c r="A665" s="15" t="str">
        <f>'Bldgs &amp; Rooms'!$A$19</f>
        <v>Main Bldg.</v>
      </c>
      <c r="B665" s="15">
        <f>'Bldgs &amp; Rooms'!$B$19</f>
        <v>0</v>
      </c>
      <c r="C665" s="14" t="str">
        <f>Hours!$A$36</f>
        <v>HVAC Equipment (Small)</v>
      </c>
      <c r="D665" s="15">
        <f t="shared" si="20"/>
        <v>0</v>
      </c>
      <c r="E665" s="16"/>
      <c r="F665" s="17"/>
      <c r="G665" s="17"/>
      <c r="H665" s="17"/>
      <c r="I665" s="17"/>
      <c r="J665" s="17"/>
      <c r="K665" s="12"/>
      <c r="L665" s="12"/>
      <c r="M665" s="12"/>
      <c r="N665" s="12"/>
      <c r="O665" s="12"/>
      <c r="P665" s="12"/>
      <c r="Q665" s="17"/>
      <c r="R665" s="18">
        <f>IF(SUMPRODUCT((E665:Q665)*1)=0,0,E665*INDEX(Hours!M:M,MATCH(C665,Hours!$A:$A,0))+F665*INDEX(Hours!B:B,MATCH(C665,Hours!$A:$A,0))+G665*INDEX(Hours!C:C,MATCH(C665,Hours!$A:$A,0))+H665*INDEX(Hours!D:D,MATCH(C665,Hours!$A:$A,0))+I665*INDEX(Hours!E:E,MATCH(C665,Hours!$A:$A,0))+J665*INDEX(Hours!F:F,MATCH(C665,Hours!$A:$A,0)))</f>
        <v>0</v>
      </c>
      <c r="S665" s="19">
        <f t="shared" si="21"/>
        <v>0</v>
      </c>
    </row>
    <row r="666" spans="1:19" x14ac:dyDescent="0.25">
      <c r="A666" s="15" t="str">
        <f>'Bldgs &amp; Rooms'!$A$19</f>
        <v>Main Bldg.</v>
      </c>
      <c r="B666" s="15">
        <f>'Bldgs &amp; Rooms'!$B$19</f>
        <v>0</v>
      </c>
      <c r="C666" s="14" t="str">
        <f>Hours!$A$37</f>
        <v>Uninterruptible Power Supply (UPS) &lt; 50kVA</v>
      </c>
      <c r="D666" s="15">
        <f t="shared" si="20"/>
        <v>0</v>
      </c>
      <c r="E666" s="16"/>
      <c r="F666" s="17"/>
      <c r="G666" s="17"/>
      <c r="H666" s="17"/>
      <c r="I666" s="17"/>
      <c r="J666" s="17"/>
      <c r="K666" s="12"/>
      <c r="L666" s="12"/>
      <c r="M666" s="12"/>
      <c r="N666" s="12"/>
      <c r="O666" s="12"/>
      <c r="P666" s="12"/>
      <c r="Q666" s="17"/>
      <c r="R666" s="18">
        <f>IF(SUMPRODUCT((E666:Q666)*1)=0,0,E666*INDEX(Hours!M:M,MATCH(C666,Hours!$A:$A,0))+F666*INDEX(Hours!B:B,MATCH(C666,Hours!$A:$A,0))+G666*INDEX(Hours!C:C,MATCH(C666,Hours!$A:$A,0))+H666*INDEX(Hours!D:D,MATCH(C666,Hours!$A:$A,0))+I666*INDEX(Hours!E:E,MATCH(C666,Hours!$A:$A,0))+J666*INDEX(Hours!F:F,MATCH(C666,Hours!$A:$A,0)))</f>
        <v>0</v>
      </c>
      <c r="S666" s="19">
        <f t="shared" si="21"/>
        <v>0</v>
      </c>
    </row>
    <row r="667" spans="1:19" x14ac:dyDescent="0.25">
      <c r="A667" s="15" t="str">
        <f>'Bldgs &amp; Rooms'!$A$19</f>
        <v>Main Bldg.</v>
      </c>
      <c r="B667" s="15">
        <f>'Bldgs &amp; Rooms'!$B$19</f>
        <v>0</v>
      </c>
      <c r="C667" s="14" t="str">
        <f>Hours!$A$38</f>
        <v>Uninterruptible Power Supply (UPS) &gt; 50kVA</v>
      </c>
      <c r="D667" s="15">
        <f t="shared" si="20"/>
        <v>0</v>
      </c>
      <c r="E667" s="16"/>
      <c r="F667" s="17"/>
      <c r="G667" s="17"/>
      <c r="H667" s="17"/>
      <c r="I667" s="17"/>
      <c r="J667" s="17"/>
      <c r="K667" s="12"/>
      <c r="L667" s="12"/>
      <c r="M667" s="12"/>
      <c r="N667" s="12"/>
      <c r="O667" s="12"/>
      <c r="P667" s="12"/>
      <c r="Q667" s="17"/>
      <c r="R667" s="18">
        <f>IF(SUMPRODUCT((E667:Q667)*1)=0,0,E667*INDEX(Hours!M:M,MATCH(C667,Hours!$A:$A,0))+F667*INDEX(Hours!B:B,MATCH(C667,Hours!$A:$A,0))+G667*INDEX(Hours!C:C,MATCH(C667,Hours!$A:$A,0))+H667*INDEX(Hours!D:D,MATCH(C667,Hours!$A:$A,0))+I667*INDEX(Hours!E:E,MATCH(C667,Hours!$A:$A,0))+J667*INDEX(Hours!F:F,MATCH(C667,Hours!$A:$A,0)))</f>
        <v>0</v>
      </c>
      <c r="S667" s="19">
        <f t="shared" si="21"/>
        <v>0</v>
      </c>
    </row>
    <row r="668" spans="1:19" x14ac:dyDescent="0.25">
      <c r="A668" s="11" t="str">
        <f>'Bldgs &amp; Rooms'!$A$20</f>
        <v>Main Bldg.</v>
      </c>
      <c r="B668" s="11">
        <f>'Bldgs &amp; Rooms'!$B$20</f>
        <v>0</v>
      </c>
      <c r="C668" s="10" t="str">
        <f>Hours!$A$2</f>
        <v>Switchgear - Incoming Main Service (Per Section)</v>
      </c>
      <c r="D668" s="11">
        <f t="shared" si="20"/>
        <v>0</v>
      </c>
      <c r="E668" s="16"/>
      <c r="F668" s="17"/>
      <c r="G668" s="17"/>
      <c r="H668" s="17"/>
      <c r="I668" s="17"/>
      <c r="J668" s="17"/>
      <c r="K668" s="17"/>
      <c r="L668" s="17"/>
      <c r="M668" s="12"/>
      <c r="N668" s="12"/>
      <c r="O668" s="17"/>
      <c r="P668" s="12"/>
      <c r="Q668" s="17"/>
      <c r="R668" s="18">
        <f>IF(SUMPRODUCT((E668:Q668)*1)=0,0,E668*INDEX(Hours!M:M,MATCH(C668,Hours!$A:$A,0))+F668*INDEX(Hours!B:B,MATCH(C668,Hours!$A:$A,0))+G668*INDEX(Hours!C:C,MATCH(C668,Hours!$A:$A,0))+H668*INDEX(Hours!D:D,MATCH(C668,Hours!$A:$A,0))+I668*INDEX(Hours!E:E,MATCH(C668,Hours!$A:$A,0))+J668*INDEX(Hours!F:F,MATCH(C668,Hours!$A:$A,0))+K668*INDEX(Hours!G:G,MATCH(C668,Hours!$A:$A,0))+L668*INDEX(Hours!H:H,MATCH(C668,Hours!$A:$A,0))+O668*INDEX(Hours!K:K,MATCH(C668,Hours!$A:$A,0)))</f>
        <v>0</v>
      </c>
      <c r="S668" s="19">
        <f t="shared" si="21"/>
        <v>0</v>
      </c>
    </row>
    <row r="669" spans="1:19" x14ac:dyDescent="0.25">
      <c r="A669" s="11" t="str">
        <f>'Bldgs &amp; Rooms'!$A$20</f>
        <v>Main Bldg.</v>
      </c>
      <c r="B669" s="11">
        <f>'Bldgs &amp; Rooms'!$B$20</f>
        <v>0</v>
      </c>
      <c r="C669" s="10" t="str">
        <f>Hours!$A$3</f>
        <v xml:space="preserve">  Switchgear Insulated Case Breakers (Bus Mounted)</v>
      </c>
      <c r="D669" s="11">
        <f t="shared" si="20"/>
        <v>0</v>
      </c>
      <c r="E669" s="16"/>
      <c r="F669" s="17"/>
      <c r="G669" s="17"/>
      <c r="H669" s="17"/>
      <c r="I669" s="17"/>
      <c r="J669" s="17"/>
      <c r="K669" s="17"/>
      <c r="L669" s="12"/>
      <c r="M669" s="12"/>
      <c r="N669" s="12"/>
      <c r="O669" s="12"/>
      <c r="P669" s="12"/>
      <c r="Q669" s="17"/>
      <c r="R669" s="18">
        <f>IF(SUMPRODUCT((E669:Q669)*1)=0,0,E669*INDEX(Hours!M:M,MATCH(C669,Hours!$A:$A,0))+F669*INDEX(Hours!B:B,MATCH(C669,Hours!$A:$A,0))+G669*INDEX(Hours!C:C,MATCH(C669,Hours!$A:$A,0))+H669*INDEX(Hours!D:D,MATCH(C669,Hours!$A:$A,0))+I669*INDEX(Hours!E:E,MATCH(C669,Hours!$A:$A,0))+J669*INDEX(Hours!F:F,MATCH(C669,Hours!$A:$A,0))+K669*INDEX(Hours!G:G,MATCH(C669,Hours!$A:$A,0)))</f>
        <v>0</v>
      </c>
      <c r="S669" s="19">
        <f t="shared" si="21"/>
        <v>0</v>
      </c>
    </row>
    <row r="670" spans="1:19" x14ac:dyDescent="0.25">
      <c r="A670" s="11" t="str">
        <f>'Bldgs &amp; Rooms'!$A$20</f>
        <v>Main Bldg.</v>
      </c>
      <c r="B670" s="11">
        <f>'Bldgs &amp; Rooms'!$B$20</f>
        <v>0</v>
      </c>
      <c r="C670" s="10" t="str">
        <f>Hours!$A$4</f>
        <v xml:space="preserve">  SwitchGear Drawout Breakers</v>
      </c>
      <c r="D670" s="11">
        <f t="shared" si="20"/>
        <v>0</v>
      </c>
      <c r="E670" s="16"/>
      <c r="F670" s="17"/>
      <c r="G670" s="17"/>
      <c r="H670" s="17"/>
      <c r="I670" s="17"/>
      <c r="J670" s="17"/>
      <c r="K670" s="12"/>
      <c r="L670" s="17"/>
      <c r="M670" s="12"/>
      <c r="N670" s="12"/>
      <c r="O670" s="12"/>
      <c r="P670" s="12"/>
      <c r="Q670" s="17"/>
      <c r="R670" s="18">
        <f>IF(SUMPRODUCT((E670:Q670)*1)=0,0,E670*INDEX(Hours!M:M,MATCH(C670,Hours!$A:$A,0))+F670*INDEX(Hours!B:B,MATCH(C670,Hours!$A:$A,0))+G670*INDEX(Hours!C:C,MATCH(C670,Hours!$A:$A,0))+H670*INDEX(Hours!D:D,MATCH(C670,Hours!$A:$A,0))+I670*INDEX(Hours!E:E,MATCH(C670,Hours!$A:$A,0))+J670*INDEX(Hours!F:F,MATCH(C670,Hours!$A:$A,0))+L670*INDEX(Hours!H:H,MATCH(C670,Hours!$A:$A,0)))</f>
        <v>0</v>
      </c>
      <c r="S670" s="19">
        <f t="shared" si="21"/>
        <v>0</v>
      </c>
    </row>
    <row r="671" spans="1:19" x14ac:dyDescent="0.25">
      <c r="A671" s="11" t="str">
        <f>'Bldgs &amp; Rooms'!$A$20</f>
        <v>Main Bldg.</v>
      </c>
      <c r="B671" s="11">
        <f>'Bldgs &amp; Rooms'!$B$20</f>
        <v>0</v>
      </c>
      <c r="C671" s="10" t="str">
        <f>Hours!$A$5</f>
        <v>Distribution Switchboard Multi Cover (Per Section)</v>
      </c>
      <c r="D671" s="11">
        <f t="shared" si="20"/>
        <v>0</v>
      </c>
      <c r="E671" s="16"/>
      <c r="F671" s="17"/>
      <c r="G671" s="17"/>
      <c r="H671" s="17"/>
      <c r="I671" s="17"/>
      <c r="J671" s="17"/>
      <c r="K671" s="17"/>
      <c r="L671" s="12"/>
      <c r="M671" s="12"/>
      <c r="N671" s="12"/>
      <c r="O671" s="17"/>
      <c r="P671" s="12"/>
      <c r="Q671" s="17"/>
      <c r="R671" s="18">
        <f>IF(SUMPRODUCT((E671:Q671)*1)=0,0,E671*INDEX(Hours!M:M,MATCH(C671,Hours!$A:$A,0))+F671*INDEX(Hours!B:B,MATCH(C671,Hours!$A:$A,0))+G671*INDEX(Hours!C:C,MATCH(C671,Hours!$A:$A,0))+H671*INDEX(Hours!D:D,MATCH(C671,Hours!$A:$A,0))+I671*INDEX(Hours!E:E,MATCH(C671,Hours!$A:$A,0))+J671*INDEX(Hours!F:F,MATCH(C671,Hours!$A:$A,0))+K671*INDEX(Hours!G:G,MATCH(C671,Hours!$A:$A,0))+O671*INDEX(Hours!K:K,MATCH(C671,Hours!$A:$A,0)))</f>
        <v>0</v>
      </c>
      <c r="S671" s="19">
        <f t="shared" si="21"/>
        <v>0</v>
      </c>
    </row>
    <row r="672" spans="1:19" x14ac:dyDescent="0.25">
      <c r="A672" s="11" t="str">
        <f>'Bldgs &amp; Rooms'!$A$20</f>
        <v>Main Bldg.</v>
      </c>
      <c r="B672" s="11">
        <f>'Bldgs &amp; Rooms'!$B$20</f>
        <v>0</v>
      </c>
      <c r="C672" s="10" t="str">
        <f>Hours!$A$6</f>
        <v xml:space="preserve">  Switchboard Disconnects</v>
      </c>
      <c r="D672" s="11">
        <f t="shared" si="20"/>
        <v>0</v>
      </c>
      <c r="E672" s="16"/>
      <c r="F672" s="17"/>
      <c r="G672" s="17"/>
      <c r="H672" s="17"/>
      <c r="I672" s="17"/>
      <c r="J672" s="17"/>
      <c r="K672" s="12"/>
      <c r="L672" s="12"/>
      <c r="M672" s="12"/>
      <c r="N672" s="12"/>
      <c r="O672" s="12"/>
      <c r="P672" s="12"/>
      <c r="Q672" s="17"/>
      <c r="R672" s="18">
        <f>IF(SUMPRODUCT((E672:Q672)*1)=0,0,E672*INDEX(Hours!M:M,MATCH(C672,Hours!$A:$A,0))+F672*INDEX(Hours!B:B,MATCH(C672,Hours!$A:$A,0))+G672*INDEX(Hours!C:C,MATCH(C672,Hours!$A:$A,0))+H672*INDEX(Hours!D:D,MATCH(C672,Hours!$A:$A,0))+I672*INDEX(Hours!E:E,MATCH(C672,Hours!$A:$A,0))+J672*INDEX(Hours!F:F,MATCH(C672,Hours!$A:$A,0)))</f>
        <v>0</v>
      </c>
      <c r="S672" s="19">
        <f t="shared" si="21"/>
        <v>0</v>
      </c>
    </row>
    <row r="673" spans="1:19" x14ac:dyDescent="0.25">
      <c r="A673" s="11" t="str">
        <f>'Bldgs &amp; Rooms'!$A$20</f>
        <v>Main Bldg.</v>
      </c>
      <c r="B673" s="11">
        <f>'Bldgs &amp; Rooms'!$B$20</f>
        <v>0</v>
      </c>
      <c r="C673" s="10" t="str">
        <f>Hours!$A$7</f>
        <v xml:space="preserve">  Switchboard Molded Case Breakers</v>
      </c>
      <c r="D673" s="11">
        <f t="shared" si="20"/>
        <v>0</v>
      </c>
      <c r="E673" s="16"/>
      <c r="F673" s="17"/>
      <c r="G673" s="17"/>
      <c r="H673" s="17"/>
      <c r="I673" s="17"/>
      <c r="J673" s="17"/>
      <c r="K673" s="17"/>
      <c r="L673" s="12"/>
      <c r="M673" s="12"/>
      <c r="N673" s="12"/>
      <c r="O673" s="12"/>
      <c r="P673" s="12"/>
      <c r="Q673" s="17"/>
      <c r="R673" s="18">
        <f>IF(SUMPRODUCT((E673:Q673)*1)=0,0,E673*INDEX(Hours!M:M,MATCH(C673,Hours!$A:$A,0))+F673*INDEX(Hours!B:B,MATCH(C673,Hours!$A:$A,0))+G673*INDEX(Hours!C:C,MATCH(C673,Hours!$A:$A,0))+H673*INDEX(Hours!D:D,MATCH(C673,Hours!$A:$A,0))+I673*INDEX(Hours!E:E,MATCH(C673,Hours!$A:$A,0))+J673*INDEX(Hours!F:F,MATCH(C673,Hours!$A:$A,0))+K673*INDEX(Hours!G:G,MATCH(C673,Hours!$A:$A,0)))</f>
        <v>0</v>
      </c>
      <c r="S673" s="19">
        <f t="shared" si="21"/>
        <v>0</v>
      </c>
    </row>
    <row r="674" spans="1:19" x14ac:dyDescent="0.25">
      <c r="A674" s="11" t="str">
        <f>'Bldgs &amp; Rooms'!$A$20</f>
        <v>Main Bldg.</v>
      </c>
      <c r="B674" s="11">
        <f>'Bldgs &amp; Rooms'!$B$20</f>
        <v>0</v>
      </c>
      <c r="C674" s="10" t="str">
        <f>Hours!$A$8</f>
        <v>Panelboard-Single Cover &gt; 400A (Distribution Panel)</v>
      </c>
      <c r="D674" s="11">
        <f t="shared" si="20"/>
        <v>0</v>
      </c>
      <c r="E674" s="16"/>
      <c r="F674" s="17"/>
      <c r="G674" s="17"/>
      <c r="H674" s="17"/>
      <c r="I674" s="17"/>
      <c r="J674" s="17"/>
      <c r="K674" s="17"/>
      <c r="L674" s="12"/>
      <c r="M674" s="12"/>
      <c r="N674" s="12"/>
      <c r="O674" s="17"/>
      <c r="P674" s="12"/>
      <c r="Q674" s="17"/>
      <c r="R674" s="18">
        <f>IF(SUMPRODUCT((E674:Q674)*1)=0,0,E674*INDEX(Hours!M:M,MATCH(C674,Hours!$A:$A,0))+F674*INDEX(Hours!B:B,MATCH(C674,Hours!$A:$A,0))+G674*INDEX(Hours!C:C,MATCH(C674,Hours!$A:$A,0))+H674*INDEX(Hours!D:D,MATCH(C674,Hours!$A:$A,0))+I674*INDEX(Hours!E:E,MATCH(C674,Hours!$A:$A,0))+J674*INDEX(Hours!F:F,MATCH(C674,Hours!$A:$A,0))+K674*INDEX(Hours!G:G,MATCH(C674,Hours!$A:$A,0))+O674*INDEX(Hours!K:K,MATCH(C674,Hours!$A:$A,0)))</f>
        <v>0</v>
      </c>
      <c r="S674" s="19">
        <f t="shared" si="21"/>
        <v>0</v>
      </c>
    </row>
    <row r="675" spans="1:19" x14ac:dyDescent="0.25">
      <c r="A675" s="11" t="str">
        <f>'Bldgs &amp; Rooms'!$A$20</f>
        <v>Main Bldg.</v>
      </c>
      <c r="B675" s="11">
        <f>'Bldgs &amp; Rooms'!$B$20</f>
        <v>0</v>
      </c>
      <c r="C675" s="10" t="str">
        <f>Hours!$A$9</f>
        <v>Panelboard-Single Cover &lt; 400A (Branch Ckt Panel)</v>
      </c>
      <c r="D675" s="11">
        <f t="shared" si="20"/>
        <v>0</v>
      </c>
      <c r="E675" s="16"/>
      <c r="F675" s="17"/>
      <c r="G675" s="17"/>
      <c r="H675" s="17"/>
      <c r="I675" s="17"/>
      <c r="J675" s="17"/>
      <c r="K675" s="12"/>
      <c r="L675" s="12"/>
      <c r="M675" s="12"/>
      <c r="N675" s="12"/>
      <c r="O675" s="17"/>
      <c r="P675" s="12"/>
      <c r="Q675" s="17"/>
      <c r="R675" s="18">
        <f>IF(SUMPRODUCT((E675:Q675)*1)=0,0,E675*INDEX(Hours!M:M,MATCH(C675,Hours!$A:$A,0))+F675*INDEX(Hours!B:B,MATCH(C675,Hours!$A:$A,0))+G675*INDEX(Hours!C:C,MATCH(C675,Hours!$A:$A,0))+H675*INDEX(Hours!D:D,MATCH(C675,Hours!$A:$A,0))+I675*INDEX(Hours!E:E,MATCH(C675,Hours!$A:$A,0))+J675*INDEX(Hours!F:F,MATCH(C675,Hours!$A:$A,0))+O675*INDEX(Hours!K:K,MATCH(C675,Hours!$A:$A,0)))</f>
        <v>0</v>
      </c>
      <c r="S675" s="19">
        <f t="shared" si="21"/>
        <v>0</v>
      </c>
    </row>
    <row r="676" spans="1:19" x14ac:dyDescent="0.25">
      <c r="A676" s="11" t="str">
        <f>'Bldgs &amp; Rooms'!$A$20</f>
        <v>Main Bldg.</v>
      </c>
      <c r="B676" s="11">
        <f>'Bldgs &amp; Rooms'!$B$20</f>
        <v>0</v>
      </c>
      <c r="C676" s="10" t="str">
        <f>Hours!$A$10</f>
        <v>Motor Control Center (MCC-Per Vertical Section)</v>
      </c>
      <c r="D676" s="11">
        <f t="shared" si="20"/>
        <v>0</v>
      </c>
      <c r="E676" s="16"/>
      <c r="F676" s="17"/>
      <c r="G676" s="17"/>
      <c r="H676" s="17"/>
      <c r="I676" s="17"/>
      <c r="J676" s="17"/>
      <c r="K676" s="12"/>
      <c r="L676" s="12"/>
      <c r="M676" s="12"/>
      <c r="N676" s="12"/>
      <c r="O676" s="17"/>
      <c r="P676" s="12"/>
      <c r="Q676" s="17"/>
      <c r="R676" s="18">
        <f>IF(SUMPRODUCT((E676:Q676)*1)=0,0,E676*INDEX(Hours!M:M,MATCH(C676,Hours!$A:$A,0))+F676*INDEX(Hours!B:B,MATCH(C676,Hours!$A:$A,0))+G676*INDEX(Hours!C:C,MATCH(C676,Hours!$A:$A,0))+H676*INDEX(Hours!D:D,MATCH(C676,Hours!$A:$A,0))+I676*INDEX(Hours!E:E,MATCH(C676,Hours!$A:$A,0))+J676*INDEX(Hours!F:F,MATCH(C676,Hours!$A:$A,0))+O676*INDEX(Hours!K:K,MATCH(C676,Hours!$A:$A,0)))</f>
        <v>0</v>
      </c>
      <c r="S676" s="19">
        <f t="shared" si="21"/>
        <v>0</v>
      </c>
    </row>
    <row r="677" spans="1:19" x14ac:dyDescent="0.25">
      <c r="A677" s="11" t="str">
        <f>'Bldgs &amp; Rooms'!$A$20</f>
        <v>Main Bldg.</v>
      </c>
      <c r="B677" s="11">
        <f>'Bldgs &amp; Rooms'!$B$20</f>
        <v>0</v>
      </c>
      <c r="C677" s="10" t="str">
        <f>Hours!$A$11</f>
        <v xml:space="preserve">  MCC: Combination Motor Starters</v>
      </c>
      <c r="D677" s="11">
        <f t="shared" si="20"/>
        <v>0</v>
      </c>
      <c r="E677" s="16"/>
      <c r="F677" s="17"/>
      <c r="G677" s="17"/>
      <c r="H677" s="17"/>
      <c r="I677" s="17"/>
      <c r="J677" s="17"/>
      <c r="K677" s="17"/>
      <c r="L677" s="12"/>
      <c r="M677" s="12"/>
      <c r="N677" s="12"/>
      <c r="O677" s="17"/>
      <c r="P677" s="12"/>
      <c r="Q677" s="17"/>
      <c r="R677" s="18">
        <f>IF(SUMPRODUCT((E677:Q677)*1)=0,0,E677*INDEX(Hours!M:M,MATCH(C677,Hours!$A:$A,0))+F677*INDEX(Hours!B:B,MATCH(C677,Hours!$A:$A,0))+G677*INDEX(Hours!C:C,MATCH(C677,Hours!$A:$A,0))+H677*INDEX(Hours!D:D,MATCH(C677,Hours!$A:$A,0))+I677*INDEX(Hours!E:E,MATCH(C677,Hours!$A:$A,0))+J677*INDEX(Hours!F:F,MATCH(C677,Hours!$A:$A,0))+K677*INDEX(Hours!G:G,MATCH(C677,Hours!$A:$A,0))+O677*INDEX(Hours!K:K,MATCH(C677,Hours!$A:$A,0)))</f>
        <v>0</v>
      </c>
      <c r="S677" s="19">
        <f t="shared" si="21"/>
        <v>0</v>
      </c>
    </row>
    <row r="678" spans="1:19" x14ac:dyDescent="0.25">
      <c r="A678" s="11" t="str">
        <f>'Bldgs &amp; Rooms'!$A$20</f>
        <v>Main Bldg.</v>
      </c>
      <c r="B678" s="11">
        <f>'Bldgs &amp; Rooms'!$B$20</f>
        <v>0</v>
      </c>
      <c r="C678" s="10" t="str">
        <f>Hours!$A$12</f>
        <v xml:space="preserve">  MCC: Molded Case Breaker</v>
      </c>
      <c r="D678" s="11">
        <f t="shared" si="20"/>
        <v>0</v>
      </c>
      <c r="E678" s="16"/>
      <c r="F678" s="17"/>
      <c r="G678" s="17"/>
      <c r="H678" s="17"/>
      <c r="I678" s="17"/>
      <c r="J678" s="17"/>
      <c r="K678" s="17"/>
      <c r="L678" s="12"/>
      <c r="M678" s="12"/>
      <c r="N678" s="12"/>
      <c r="O678" s="12"/>
      <c r="P678" s="12"/>
      <c r="Q678" s="17"/>
      <c r="R678" s="18">
        <f>IF(SUMPRODUCT((E678:Q678)*1)=0,0,E678*INDEX(Hours!M:M,MATCH(C678,Hours!$A:$A,0))+F678*INDEX(Hours!B:B,MATCH(C678,Hours!$A:$A,0))+G678*INDEX(Hours!C:C,MATCH(C678,Hours!$A:$A,0))+H678*INDEX(Hours!D:D,MATCH(C678,Hours!$A:$A,0))+I678*INDEX(Hours!E:E,MATCH(C678,Hours!$A:$A,0))+J678*INDEX(Hours!F:F,MATCH(C678,Hours!$A:$A,0))+K678*INDEX(Hours!G:G,MATCH(C678,Hours!$A:$A,0)))</f>
        <v>0</v>
      </c>
      <c r="S678" s="19">
        <f t="shared" si="21"/>
        <v>0</v>
      </c>
    </row>
    <row r="679" spans="1:19" x14ac:dyDescent="0.25">
      <c r="A679" s="11" t="str">
        <f>'Bldgs &amp; Rooms'!$A$20</f>
        <v>Main Bldg.</v>
      </c>
      <c r="B679" s="11">
        <f>'Bldgs &amp; Rooms'!$B$20</f>
        <v>0</v>
      </c>
      <c r="C679" s="10" t="str">
        <f>Hours!$A$13</f>
        <v xml:space="preserve">  MCC: Individual Disconnect Switch</v>
      </c>
      <c r="D679" s="11">
        <f t="shared" si="20"/>
        <v>0</v>
      </c>
      <c r="E679" s="16"/>
      <c r="F679" s="17"/>
      <c r="G679" s="17"/>
      <c r="H679" s="17"/>
      <c r="I679" s="17"/>
      <c r="J679" s="17"/>
      <c r="K679" s="12"/>
      <c r="L679" s="12"/>
      <c r="M679" s="12"/>
      <c r="N679" s="12"/>
      <c r="O679" s="12"/>
      <c r="P679" s="12"/>
      <c r="Q679" s="17"/>
      <c r="R679" s="18">
        <f>IF(SUMPRODUCT((E679:Q679)*1)=0,0,E679*INDEX(Hours!M:M,MATCH(C679,Hours!$A:$A,0))+F679*INDEX(Hours!B:B,MATCH(C679,Hours!$A:$A,0))+G679*INDEX(Hours!C:C,MATCH(C679,Hours!$A:$A,0))+H679*INDEX(Hours!D:D,MATCH(C679,Hours!$A:$A,0))+I679*INDEX(Hours!E:E,MATCH(C679,Hours!$A:$A,0))+J679*INDEX(Hours!F:F,MATCH(C679,Hours!$A:$A,0)))</f>
        <v>0</v>
      </c>
      <c r="S679" s="19">
        <f t="shared" si="21"/>
        <v>0</v>
      </c>
    </row>
    <row r="680" spans="1:19" x14ac:dyDescent="0.25">
      <c r="A680" s="11" t="str">
        <f>'Bldgs &amp; Rooms'!$A$20</f>
        <v>Main Bldg.</v>
      </c>
      <c r="B680" s="11">
        <f>'Bldgs &amp; Rooms'!$B$20</f>
        <v>0</v>
      </c>
      <c r="C680" s="10" t="str">
        <f>Hours!$A$14</f>
        <v>Motor Control Panel (MCP)</v>
      </c>
      <c r="D680" s="11">
        <f t="shared" si="20"/>
        <v>0</v>
      </c>
      <c r="E680" s="16"/>
      <c r="F680" s="17"/>
      <c r="G680" s="17"/>
      <c r="H680" s="17"/>
      <c r="I680" s="17"/>
      <c r="J680" s="17"/>
      <c r="K680" s="12"/>
      <c r="L680" s="12"/>
      <c r="M680" s="12"/>
      <c r="N680" s="12"/>
      <c r="O680" s="17"/>
      <c r="P680" s="12"/>
      <c r="Q680" s="17"/>
      <c r="R680" s="18">
        <f>IF(SUMPRODUCT((E680:Q680)*1)=0,0,E680*INDEX(Hours!M:M,MATCH(C680,Hours!$A:$A,0))+F680*INDEX(Hours!B:B,MATCH(C680,Hours!$A:$A,0))+G680*INDEX(Hours!C:C,MATCH(C680,Hours!$A:$A,0))+H680*INDEX(Hours!D:D,MATCH(C680,Hours!$A:$A,0))+I680*INDEX(Hours!E:E,MATCH(C680,Hours!$A:$A,0))+J680*INDEX(Hours!F:F,MATCH(C680,Hours!$A:$A,0))+O680*INDEX(Hours!K:K,MATCH(C680,Hours!$A:$A,0)))</f>
        <v>0</v>
      </c>
      <c r="S680" s="19">
        <f t="shared" si="21"/>
        <v>0</v>
      </c>
    </row>
    <row r="681" spans="1:19" x14ac:dyDescent="0.25">
      <c r="A681" s="11" t="str">
        <f>'Bldgs &amp; Rooms'!$A$20</f>
        <v>Main Bldg.</v>
      </c>
      <c r="B681" s="11">
        <f>'Bldgs &amp; Rooms'!$B$20</f>
        <v>0</v>
      </c>
      <c r="C681" s="10" t="str">
        <f>Hours!$A$15</f>
        <v>VFD Motor Control Panel (VFD-MCP)</v>
      </c>
      <c r="D681" s="11">
        <f t="shared" si="20"/>
        <v>0</v>
      </c>
      <c r="E681" s="16"/>
      <c r="F681" s="17"/>
      <c r="G681" s="17"/>
      <c r="H681" s="17"/>
      <c r="I681" s="17"/>
      <c r="J681" s="17"/>
      <c r="K681" s="12"/>
      <c r="L681" s="12"/>
      <c r="M681" s="12"/>
      <c r="N681" s="12"/>
      <c r="O681" s="17"/>
      <c r="P681" s="12"/>
      <c r="Q681" s="17"/>
      <c r="R681" s="18">
        <f>IF(SUMPRODUCT((E681:Q681)*1)=0,0,E681*INDEX(Hours!M:M,MATCH(C681,Hours!$A:$A,0))+F681*INDEX(Hours!B:B,MATCH(C681,Hours!$A:$A,0))+G681*INDEX(Hours!C:C,MATCH(C681,Hours!$A:$A,0))+H681*INDEX(Hours!D:D,MATCH(C681,Hours!$A:$A,0))+I681*INDEX(Hours!E:E,MATCH(C681,Hours!$A:$A,0))+J681*INDEX(Hours!F:F,MATCH(C681,Hours!$A:$A,0))+O681*INDEX(Hours!K:K,MATCH(C681,Hours!$A:$A,0)))</f>
        <v>0</v>
      </c>
      <c r="S681" s="19">
        <f t="shared" si="21"/>
        <v>0</v>
      </c>
    </row>
    <row r="682" spans="1:19" x14ac:dyDescent="0.25">
      <c r="A682" s="11" t="str">
        <f>'Bldgs &amp; Rooms'!$A$20</f>
        <v>Main Bldg.</v>
      </c>
      <c r="B682" s="11">
        <f>'Bldgs &amp; Rooms'!$B$20</f>
        <v>0</v>
      </c>
      <c r="C682" s="10" t="str">
        <f>Hours!$A$16</f>
        <v>Individual Disconnect Switch &gt; 100A</v>
      </c>
      <c r="D682" s="11">
        <f t="shared" si="20"/>
        <v>0</v>
      </c>
      <c r="E682" s="16"/>
      <c r="F682" s="17"/>
      <c r="G682" s="17"/>
      <c r="H682" s="17"/>
      <c r="I682" s="17"/>
      <c r="J682" s="17"/>
      <c r="K682" s="17"/>
      <c r="L682" s="12"/>
      <c r="M682" s="12"/>
      <c r="N682" s="12"/>
      <c r="O682" s="12"/>
      <c r="P682" s="12"/>
      <c r="Q682" s="17"/>
      <c r="R682" s="18">
        <f>IF(SUMPRODUCT((E682:Q682)*1)=0,0,E682*INDEX(Hours!M:M,MATCH(C682,Hours!$A:$A,0))+F682*INDEX(Hours!B:B,MATCH(C682,Hours!$A:$A,0))+G682*INDEX(Hours!C:C,MATCH(C682,Hours!$A:$A,0))+H682*INDEX(Hours!D:D,MATCH(C682,Hours!$A:$A,0))+I682*INDEX(Hours!E:E,MATCH(C682,Hours!$A:$A,0))+J682*INDEX(Hours!F:F,MATCH(C682,Hours!$A:$A,0))+K682*INDEX(Hours!G:G,MATCH(C682,Hours!$A:$A,0)))</f>
        <v>0</v>
      </c>
      <c r="S682" s="19">
        <f t="shared" si="21"/>
        <v>0</v>
      </c>
    </row>
    <row r="683" spans="1:19" x14ac:dyDescent="0.25">
      <c r="A683" s="11" t="str">
        <f>'Bldgs &amp; Rooms'!$A$20</f>
        <v>Main Bldg.</v>
      </c>
      <c r="B683" s="11">
        <f>'Bldgs &amp; Rooms'!$B$20</f>
        <v>0</v>
      </c>
      <c r="C683" s="10" t="str">
        <f>Hours!$A$17</f>
        <v>Individual Molded Case Breaker &gt; 100A</v>
      </c>
      <c r="D683" s="11">
        <f t="shared" si="20"/>
        <v>0</v>
      </c>
      <c r="E683" s="16"/>
      <c r="F683" s="17"/>
      <c r="G683" s="17"/>
      <c r="H683" s="17"/>
      <c r="I683" s="17"/>
      <c r="J683" s="17"/>
      <c r="K683" s="17"/>
      <c r="L683" s="12"/>
      <c r="M683" s="12"/>
      <c r="N683" s="12"/>
      <c r="O683" s="12"/>
      <c r="P683" s="12"/>
      <c r="Q683" s="17"/>
      <c r="R683" s="18">
        <f>IF(SUMPRODUCT((E683:Q683)*1)=0,0,E683*INDEX(Hours!M:M,MATCH(C683,Hours!$A:$A,0))+F683*INDEX(Hours!B:B,MATCH(C683,Hours!$A:$A,0))+G683*INDEX(Hours!C:C,MATCH(C683,Hours!$A:$A,0))+H683*INDEX(Hours!D:D,MATCH(C683,Hours!$A:$A,0))+I683*INDEX(Hours!E:E,MATCH(C683,Hours!$A:$A,0))+J683*INDEX(Hours!F:F,MATCH(C683,Hours!$A:$A,0))+K683*INDEX(Hours!G:G,MATCH(C683,Hours!$A:$A,0)))</f>
        <v>0</v>
      </c>
      <c r="S683" s="19">
        <f t="shared" si="21"/>
        <v>0</v>
      </c>
    </row>
    <row r="684" spans="1:19" x14ac:dyDescent="0.25">
      <c r="A684" s="11" t="str">
        <f>'Bldgs &amp; Rooms'!$A$20</f>
        <v>Main Bldg.</v>
      </c>
      <c r="B684" s="11">
        <f>'Bldgs &amp; Rooms'!$B$20</f>
        <v>0</v>
      </c>
      <c r="C684" s="10" t="str">
        <f>Hours!$A$18</f>
        <v>Individual Combination Motor Starter &gt; 100A</v>
      </c>
      <c r="D684" s="11">
        <f t="shared" si="20"/>
        <v>0</v>
      </c>
      <c r="E684" s="16"/>
      <c r="F684" s="17"/>
      <c r="G684" s="17"/>
      <c r="H684" s="17"/>
      <c r="I684" s="17"/>
      <c r="J684" s="17"/>
      <c r="K684" s="17"/>
      <c r="L684" s="12"/>
      <c r="M684" s="12"/>
      <c r="N684" s="12"/>
      <c r="O684" s="12"/>
      <c r="P684" s="12"/>
      <c r="Q684" s="17"/>
      <c r="R684" s="18">
        <f>IF(SUMPRODUCT((E684:Q684)*1)=0,0,E684*INDEX(Hours!M:M,MATCH(C684,Hours!$A:$A,0))+F684*INDEX(Hours!B:B,MATCH(C684,Hours!$A:$A,0))+G684*INDEX(Hours!C:C,MATCH(C684,Hours!$A:$A,0))+H684*INDEX(Hours!D:D,MATCH(C684,Hours!$A:$A,0))+I684*INDEX(Hours!E:E,MATCH(C684,Hours!$A:$A,0))+J684*INDEX(Hours!F:F,MATCH(C684,Hours!$A:$A,0))+K684*INDEX(Hours!G:G,MATCH(C684,Hours!$A:$A,0)))</f>
        <v>0</v>
      </c>
      <c r="S684" s="19">
        <f t="shared" si="21"/>
        <v>0</v>
      </c>
    </row>
    <row r="685" spans="1:19" x14ac:dyDescent="0.25">
      <c r="A685" s="11" t="str">
        <f>'Bldgs &amp; Rooms'!$A$20</f>
        <v>Main Bldg.</v>
      </c>
      <c r="B685" s="11">
        <f>'Bldgs &amp; Rooms'!$B$20</f>
        <v>0</v>
      </c>
      <c r="C685" s="10" t="str">
        <f>Hours!$A$19</f>
        <v>Oil Filled Transformer - 5kV-15kV Primary - Any Size (Pad Mounted)</v>
      </c>
      <c r="D685" s="11">
        <f t="shared" si="20"/>
        <v>0</v>
      </c>
      <c r="E685" s="16"/>
      <c r="F685" s="17"/>
      <c r="G685" s="17"/>
      <c r="H685" s="17"/>
      <c r="I685" s="17"/>
      <c r="J685" s="17"/>
      <c r="K685" s="12"/>
      <c r="L685" s="12"/>
      <c r="M685" s="17"/>
      <c r="N685" s="17"/>
      <c r="O685" s="12"/>
      <c r="P685" s="17"/>
      <c r="Q685" s="17"/>
      <c r="R685" s="18">
        <f>IF(SUMPRODUCT((E685:Q685)*1)=0,0,E685*INDEX(Hours!M:M,MATCH(C685,Hours!$A:$A,0))+F685*INDEX(Hours!B:B,MATCH(C685,Hours!$A:$A,0))+G685*INDEX(Hours!C:C,MATCH(C685,Hours!$A:$A,0))+H685*INDEX(Hours!D:D,MATCH(C685,Hours!$A:$A,0))+I685*INDEX(Hours!E:E,MATCH(C685,Hours!$A:$A,0))+J685*INDEX(Hours!F:F,MATCH(C685,Hours!$A:$A,0))+M685*INDEX(Hours!I:I,MATCH(C685,Hours!$A:$A,0))+N685*INDEX(Hours!J:J,MATCH(C685,Hours!$A:$A,0))+P685*INDEX(Hours!L:L,MATCH(C685,Hours!$A:$A,0)))</f>
        <v>0</v>
      </c>
      <c r="S685" s="19">
        <f t="shared" si="21"/>
        <v>0</v>
      </c>
    </row>
    <row r="686" spans="1:19" x14ac:dyDescent="0.25">
      <c r="A686" s="11" t="str">
        <f>'Bldgs &amp; Rooms'!$A$20</f>
        <v>Main Bldg.</v>
      </c>
      <c r="B686" s="11">
        <f>'Bldgs &amp; Rooms'!$B$20</f>
        <v>0</v>
      </c>
      <c r="C686" s="10" t="str">
        <f>Hours!$A$20</f>
        <v>Oil Filled Transformer - &gt; 15kV Primary (Substation Class)</v>
      </c>
      <c r="D686" s="11">
        <f t="shared" si="20"/>
        <v>0</v>
      </c>
      <c r="E686" s="16"/>
      <c r="F686" s="17"/>
      <c r="G686" s="17"/>
      <c r="H686" s="17"/>
      <c r="I686" s="17"/>
      <c r="J686" s="17"/>
      <c r="K686" s="12"/>
      <c r="L686" s="12"/>
      <c r="M686" s="17"/>
      <c r="N686" s="17"/>
      <c r="O686" s="12"/>
      <c r="P686" s="17"/>
      <c r="Q686" s="17"/>
      <c r="R686" s="18">
        <f>IF(SUMPRODUCT((E686:Q686)*1)=0,0,E686*INDEX(Hours!M:M,MATCH(C686,Hours!$A:$A,0))+F686*INDEX(Hours!B:B,MATCH(C686,Hours!$A:$A,0))+G686*INDEX(Hours!C:C,MATCH(C686,Hours!$A:$A,0))+H686*INDEX(Hours!D:D,MATCH(C686,Hours!$A:$A,0))+I686*INDEX(Hours!E:E,MATCH(C686,Hours!$A:$A,0))+J686*INDEX(Hours!F:F,MATCH(C686,Hours!$A:$A,0))+M686*INDEX(Hours!I:I,MATCH(C686,Hours!$A:$A,0))+N686*INDEX(Hours!J:J,MATCH(C686,Hours!$A:$A,0))+P686*INDEX(Hours!L:L,MATCH(C686,Hours!$A:$A,0)))</f>
        <v>0</v>
      </c>
      <c r="S686" s="19">
        <f t="shared" si="21"/>
        <v>0</v>
      </c>
    </row>
    <row r="687" spans="1:19" x14ac:dyDescent="0.25">
      <c r="A687" s="11" t="str">
        <f>'Bldgs &amp; Rooms'!$A$20</f>
        <v>Main Bldg.</v>
      </c>
      <c r="B687" s="11">
        <f>'Bldgs &amp; Rooms'!$B$20</f>
        <v>0</v>
      </c>
      <c r="C687" s="10" t="str">
        <f>Hours!$A$21</f>
        <v>Dry Type Transformer - &lt; 480V Primary - Any Size kVA</v>
      </c>
      <c r="D687" s="11">
        <f t="shared" si="20"/>
        <v>0</v>
      </c>
      <c r="E687" s="16"/>
      <c r="F687" s="17"/>
      <c r="G687" s="17"/>
      <c r="H687" s="17"/>
      <c r="I687" s="17"/>
      <c r="J687" s="17"/>
      <c r="K687" s="12"/>
      <c r="L687" s="12"/>
      <c r="M687" s="17"/>
      <c r="N687" s="17"/>
      <c r="O687" s="12"/>
      <c r="P687" s="12"/>
      <c r="Q687" s="17"/>
      <c r="R687" s="18">
        <f>IF(SUMPRODUCT((E687:Q687)*1)=0,0,E687*INDEX(Hours!M:M,MATCH(C687,Hours!$A:$A,0))+F687*INDEX(Hours!B:B,MATCH(C687,Hours!$A:$A,0))+G687*INDEX(Hours!C:C,MATCH(C687,Hours!$A:$A,0))+H687*INDEX(Hours!D:D,MATCH(C687,Hours!$A:$A,0))+I687*INDEX(Hours!E:E,MATCH(C687,Hours!$A:$A,0))+J687*INDEX(Hours!F:F,MATCH(C687,Hours!$A:$A,0))+M687*INDEX(Hours!I:I,MATCH(C687,Hours!$A:$A,0))+N687*INDEX(Hours!J:J,MATCH(C687,Hours!$A:$A,0)))</f>
        <v>0</v>
      </c>
      <c r="S687" s="19">
        <f t="shared" si="21"/>
        <v>0</v>
      </c>
    </row>
    <row r="688" spans="1:19" x14ac:dyDescent="0.25">
      <c r="A688" s="11" t="str">
        <f>'Bldgs &amp; Rooms'!$A$20</f>
        <v>Main Bldg.</v>
      </c>
      <c r="B688" s="11">
        <f>'Bldgs &amp; Rooms'!$B$20</f>
        <v>0</v>
      </c>
      <c r="C688" s="10" t="str">
        <f>Hours!$A$22</f>
        <v>Power Factor Correction Capacitors</v>
      </c>
      <c r="D688" s="11">
        <f t="shared" si="20"/>
        <v>0</v>
      </c>
      <c r="E688" s="16"/>
      <c r="F688" s="17"/>
      <c r="G688" s="17"/>
      <c r="H688" s="17"/>
      <c r="I688" s="17"/>
      <c r="J688" s="17"/>
      <c r="K688" s="12"/>
      <c r="L688" s="12"/>
      <c r="M688" s="12"/>
      <c r="N688" s="12"/>
      <c r="O688" s="12"/>
      <c r="P688" s="12"/>
      <c r="Q688" s="17"/>
      <c r="R688" s="18">
        <f>IF(SUMPRODUCT((E688:Q688)*1)=0,0,E688*INDEX(Hours!M:M,MATCH(C688,Hours!$A:$A,0))+F688*INDEX(Hours!B:B,MATCH(C688,Hours!$A:$A,0))+G688*INDEX(Hours!C:C,MATCH(C688,Hours!$A:$A,0))+H688*INDEX(Hours!D:D,MATCH(C688,Hours!$A:$A,0))+I688*INDEX(Hours!E:E,MATCH(C688,Hours!$A:$A,0))+J688*INDEX(Hours!F:F,MATCH(C688,Hours!$A:$A,0)))</f>
        <v>0</v>
      </c>
      <c r="S688" s="19">
        <f t="shared" si="21"/>
        <v>0</v>
      </c>
    </row>
    <row r="689" spans="1:19" x14ac:dyDescent="0.25">
      <c r="A689" s="11" t="str">
        <f>'Bldgs &amp; Rooms'!$A$20</f>
        <v>Main Bldg.</v>
      </c>
      <c r="B689" s="11">
        <f>'Bldgs &amp; Rooms'!$B$20</f>
        <v>0</v>
      </c>
      <c r="C689" s="10" t="str">
        <f>Hours!$A$23</f>
        <v>Lighting Contactor &gt; 100A</v>
      </c>
      <c r="D689" s="11">
        <f t="shared" si="20"/>
        <v>0</v>
      </c>
      <c r="E689" s="16"/>
      <c r="F689" s="17"/>
      <c r="G689" s="17"/>
      <c r="H689" s="17"/>
      <c r="I689" s="17"/>
      <c r="J689" s="17"/>
      <c r="K689" s="12"/>
      <c r="L689" s="12"/>
      <c r="M689" s="12"/>
      <c r="N689" s="12"/>
      <c r="O689" s="12"/>
      <c r="P689" s="12"/>
      <c r="Q689" s="17"/>
      <c r="R689" s="18">
        <f>IF(SUMPRODUCT((E689:Q689)*1)=0,0,E689*INDEX(Hours!M:M,MATCH(C689,Hours!$A:$A,0))+F689*INDEX(Hours!B:B,MATCH(C689,Hours!$A:$A,0))+G689*INDEX(Hours!C:C,MATCH(C689,Hours!$A:$A,0))+H689*INDEX(Hours!D:D,MATCH(C689,Hours!$A:$A,0))+I689*INDEX(Hours!E:E,MATCH(C689,Hours!$A:$A,0))+J689*INDEX(Hours!F:F,MATCH(C689,Hours!$A:$A,0)))</f>
        <v>0</v>
      </c>
      <c r="S689" s="19">
        <f t="shared" si="21"/>
        <v>0</v>
      </c>
    </row>
    <row r="690" spans="1:19" x14ac:dyDescent="0.25">
      <c r="A690" s="11" t="str">
        <f>'Bldgs &amp; Rooms'!$A$20</f>
        <v>Main Bldg.</v>
      </c>
      <c r="B690" s="11">
        <f>'Bldgs &amp; Rooms'!$B$20</f>
        <v>0</v>
      </c>
      <c r="C690" s="10" t="str">
        <f>Hours!$A$24</f>
        <v>Power Distribution Unit (PDU)</v>
      </c>
      <c r="D690" s="11">
        <f t="shared" si="20"/>
        <v>0</v>
      </c>
      <c r="E690" s="16"/>
      <c r="F690" s="17"/>
      <c r="G690" s="17"/>
      <c r="H690" s="17"/>
      <c r="I690" s="17"/>
      <c r="J690" s="17"/>
      <c r="K690" s="12"/>
      <c r="L690" s="12"/>
      <c r="M690" s="12"/>
      <c r="N690" s="12"/>
      <c r="O690" s="12"/>
      <c r="P690" s="12"/>
      <c r="Q690" s="17"/>
      <c r="R690" s="18">
        <f>IF(SUMPRODUCT((E690:Q690)*1)=0,0,E690*INDEX(Hours!M:M,MATCH(C690,Hours!$A:$A,0))+F690*INDEX(Hours!B:B,MATCH(C690,Hours!$A:$A,0))+G690*INDEX(Hours!C:C,MATCH(C690,Hours!$A:$A,0))+H690*INDEX(Hours!D:D,MATCH(C690,Hours!$A:$A,0))+I690*INDEX(Hours!E:E,MATCH(C690,Hours!$A:$A,0))+J690*INDEX(Hours!F:F,MATCH(C690,Hours!$A:$A,0)))</f>
        <v>0</v>
      </c>
      <c r="S690" s="19">
        <f t="shared" si="21"/>
        <v>0</v>
      </c>
    </row>
    <row r="691" spans="1:19" x14ac:dyDescent="0.25">
      <c r="A691" s="11" t="str">
        <f>'Bldgs &amp; Rooms'!$A$20</f>
        <v>Main Bldg.</v>
      </c>
      <c r="B691" s="11">
        <f>'Bldgs &amp; Rooms'!$B$20</f>
        <v>0</v>
      </c>
      <c r="C691" s="10" t="str">
        <f>Hours!$A$25</f>
        <v>Wire Trough, Gutter, or Large Junction Boxes</v>
      </c>
      <c r="D691" s="11">
        <f t="shared" si="20"/>
        <v>0</v>
      </c>
      <c r="E691" s="16"/>
      <c r="F691" s="17"/>
      <c r="G691" s="17"/>
      <c r="H691" s="17"/>
      <c r="I691" s="17"/>
      <c r="J691" s="17"/>
      <c r="K691" s="12"/>
      <c r="L691" s="12"/>
      <c r="M691" s="12"/>
      <c r="N691" s="12"/>
      <c r="O691" s="12"/>
      <c r="P691" s="12"/>
      <c r="Q691" s="17"/>
      <c r="R691" s="18">
        <f>IF(SUMPRODUCT((E691:Q691)*1)=0,0,E691*INDEX(Hours!M:M,MATCH(C691,Hours!$A:$A,0))+F691*INDEX(Hours!B:B,MATCH(C691,Hours!$A:$A,0))+G691*INDEX(Hours!C:C,MATCH(C691,Hours!$A:$A,0))+H691*INDEX(Hours!D:D,MATCH(C691,Hours!$A:$A,0))+I691*INDEX(Hours!E:E,MATCH(C691,Hours!$A:$A,0))+J691*INDEX(Hours!F:F,MATCH(C691,Hours!$A:$A,0)))</f>
        <v>0</v>
      </c>
      <c r="S691" s="19">
        <f t="shared" si="21"/>
        <v>0</v>
      </c>
    </row>
    <row r="692" spans="1:19" x14ac:dyDescent="0.25">
      <c r="A692" s="11" t="str">
        <f>'Bldgs &amp; Rooms'!$A$20</f>
        <v>Main Bldg.</v>
      </c>
      <c r="B692" s="11">
        <f>'Bldgs &amp; Rooms'!$B$20</f>
        <v>0</v>
      </c>
      <c r="C692" s="10" t="str">
        <f>Hours!$A$26</f>
        <v>Bus Duct - Vertical or Horizontal (Per 10' section)</v>
      </c>
      <c r="D692" s="11">
        <f t="shared" si="20"/>
        <v>0</v>
      </c>
      <c r="E692" s="16"/>
      <c r="F692" s="17"/>
      <c r="G692" s="17"/>
      <c r="H692" s="17"/>
      <c r="I692" s="17"/>
      <c r="J692" s="17"/>
      <c r="K692" s="12"/>
      <c r="L692" s="12"/>
      <c r="M692" s="12"/>
      <c r="N692" s="12"/>
      <c r="O692" s="12"/>
      <c r="P692" s="12"/>
      <c r="Q692" s="17"/>
      <c r="R692" s="18">
        <f>IF(SUMPRODUCT((E692:Q692)*1)=0,0,E692*INDEX(Hours!M:M,MATCH(C692,Hours!$A:$A,0))+F692*INDEX(Hours!B:B,MATCH(C692,Hours!$A:$A,0))+G692*INDEX(Hours!C:C,MATCH(C692,Hours!$A:$A,0))+H692*INDEX(Hours!D:D,MATCH(C692,Hours!$A:$A,0))+I692*INDEX(Hours!E:E,MATCH(C692,Hours!$A:$A,0))+J692*INDEX(Hours!F:F,MATCH(C692,Hours!$A:$A,0)))</f>
        <v>0</v>
      </c>
      <c r="S692" s="19">
        <f t="shared" si="21"/>
        <v>0</v>
      </c>
    </row>
    <row r="693" spans="1:19" x14ac:dyDescent="0.25">
      <c r="A693" s="11" t="str">
        <f>'Bldgs &amp; Rooms'!$A$20</f>
        <v>Main Bldg.</v>
      </c>
      <c r="B693" s="11">
        <f>'Bldgs &amp; Rooms'!$B$20</f>
        <v>0</v>
      </c>
      <c r="C693" s="10" t="str">
        <f>Hours!$A$27</f>
        <v>Automatic Transfer Switch (ATS) &gt; 100A</v>
      </c>
      <c r="D693" s="11">
        <f t="shared" si="20"/>
        <v>0</v>
      </c>
      <c r="E693" s="16"/>
      <c r="F693" s="17"/>
      <c r="G693" s="17"/>
      <c r="H693" s="17"/>
      <c r="I693" s="17"/>
      <c r="J693" s="17"/>
      <c r="K693" s="12"/>
      <c r="L693" s="12"/>
      <c r="M693" s="12"/>
      <c r="N693" s="12"/>
      <c r="O693" s="12"/>
      <c r="P693" s="12"/>
      <c r="Q693" s="17"/>
      <c r="R693" s="18">
        <f>IF(SUMPRODUCT((E693:Q693)*1)=0,0,E693*INDEX(Hours!M:M,MATCH(C693,Hours!$A:$A,0))+F693*INDEX(Hours!B:B,MATCH(C693,Hours!$A:$A,0))+G693*INDEX(Hours!C:C,MATCH(C693,Hours!$A:$A,0))+H693*INDEX(Hours!D:D,MATCH(C693,Hours!$A:$A,0))+I693*INDEX(Hours!E:E,MATCH(C693,Hours!$A:$A,0))+J693*INDEX(Hours!F:F,MATCH(C693,Hours!$A:$A,0)))</f>
        <v>0</v>
      </c>
      <c r="S693" s="19">
        <f t="shared" si="21"/>
        <v>0</v>
      </c>
    </row>
    <row r="694" spans="1:19" x14ac:dyDescent="0.25">
      <c r="A694" s="11" t="str">
        <f>'Bldgs &amp; Rooms'!$A$20</f>
        <v>Main Bldg.</v>
      </c>
      <c r="B694" s="11">
        <f>'Bldgs &amp; Rooms'!$B$20</f>
        <v>0</v>
      </c>
      <c r="C694" s="10" t="str">
        <f>Hours!$A$28</f>
        <v>Manual Transfer Switch (MTS) &gt; 100A</v>
      </c>
      <c r="D694" s="11">
        <f t="shared" si="20"/>
        <v>0</v>
      </c>
      <c r="E694" s="16"/>
      <c r="F694" s="17"/>
      <c r="G694" s="17"/>
      <c r="H694" s="17"/>
      <c r="I694" s="17"/>
      <c r="J694" s="17"/>
      <c r="K694" s="12"/>
      <c r="L694" s="12"/>
      <c r="M694" s="12"/>
      <c r="N694" s="12"/>
      <c r="O694" s="12"/>
      <c r="P694" s="12"/>
      <c r="Q694" s="17"/>
      <c r="R694" s="18">
        <f>IF(SUMPRODUCT((E694:Q694)*1)=0,0,E694*INDEX(Hours!M:M,MATCH(C694,Hours!$A:$A,0))+F694*INDEX(Hours!B:B,MATCH(C694,Hours!$A:$A,0))+G694*INDEX(Hours!C:C,MATCH(C694,Hours!$A:$A,0))+H694*INDEX(Hours!D:D,MATCH(C694,Hours!$A:$A,0))+I694*INDEX(Hours!E:E,MATCH(C694,Hours!$A:$A,0))+J694*INDEX(Hours!F:F,MATCH(C694,Hours!$A:$A,0)))</f>
        <v>0</v>
      </c>
      <c r="S694" s="19">
        <f t="shared" si="21"/>
        <v>0</v>
      </c>
    </row>
    <row r="695" spans="1:19" x14ac:dyDescent="0.25">
      <c r="A695" s="11" t="str">
        <f>'Bldgs &amp; Rooms'!$A$20</f>
        <v>Main Bldg.</v>
      </c>
      <c r="B695" s="11">
        <f>'Bldgs &amp; Rooms'!$B$20</f>
        <v>0</v>
      </c>
      <c r="C695" s="10" t="str">
        <f>Hours!$A$29</f>
        <v>Variable Frequency Drives (VFD) &lt; 50 HP</v>
      </c>
      <c r="D695" s="11">
        <f t="shared" si="20"/>
        <v>0</v>
      </c>
      <c r="E695" s="16"/>
      <c r="F695" s="17"/>
      <c r="G695" s="17"/>
      <c r="H695" s="17"/>
      <c r="I695" s="17"/>
      <c r="J695" s="17"/>
      <c r="K695" s="12"/>
      <c r="L695" s="12"/>
      <c r="M695" s="12"/>
      <c r="N695" s="12"/>
      <c r="O695" s="12"/>
      <c r="P695" s="12"/>
      <c r="Q695" s="17"/>
      <c r="R695" s="18">
        <f>IF(SUMPRODUCT((E695:Q695)*1)=0,0,E695*INDEX(Hours!M:M,MATCH(C695,Hours!$A:$A,0))+F695*INDEX(Hours!B:B,MATCH(C695,Hours!$A:$A,0))+G695*INDEX(Hours!C:C,MATCH(C695,Hours!$A:$A,0))+H695*INDEX(Hours!D:D,MATCH(C695,Hours!$A:$A,0))+I695*INDEX(Hours!E:E,MATCH(C695,Hours!$A:$A,0))+J695*INDEX(Hours!F:F,MATCH(C695,Hours!$A:$A,0)))</f>
        <v>0</v>
      </c>
      <c r="S695" s="19">
        <f t="shared" si="21"/>
        <v>0</v>
      </c>
    </row>
    <row r="696" spans="1:19" x14ac:dyDescent="0.25">
      <c r="A696" s="11" t="str">
        <f>'Bldgs &amp; Rooms'!$A$20</f>
        <v>Main Bldg.</v>
      </c>
      <c r="B696" s="11">
        <f>'Bldgs &amp; Rooms'!$B$20</f>
        <v>0</v>
      </c>
      <c r="C696" s="10" t="str">
        <f>Hours!$A$30</f>
        <v>Variable Frequency Drives (VFD) 51-200 HP</v>
      </c>
      <c r="D696" s="11">
        <f t="shared" si="20"/>
        <v>0</v>
      </c>
      <c r="E696" s="16"/>
      <c r="F696" s="17"/>
      <c r="G696" s="17"/>
      <c r="H696" s="17"/>
      <c r="I696" s="17"/>
      <c r="J696" s="17"/>
      <c r="K696" s="12"/>
      <c r="L696" s="12"/>
      <c r="M696" s="12"/>
      <c r="N696" s="12"/>
      <c r="O696" s="12"/>
      <c r="P696" s="12"/>
      <c r="Q696" s="17"/>
      <c r="R696" s="18">
        <f>IF(SUMPRODUCT((E696:Q696)*1)=0,0,E696*INDEX(Hours!M:M,MATCH(C696,Hours!$A:$A,0))+F696*INDEX(Hours!B:B,MATCH(C696,Hours!$A:$A,0))+G696*INDEX(Hours!C:C,MATCH(C696,Hours!$A:$A,0))+H696*INDEX(Hours!D:D,MATCH(C696,Hours!$A:$A,0))+I696*INDEX(Hours!E:E,MATCH(C696,Hours!$A:$A,0))+J696*INDEX(Hours!F:F,MATCH(C696,Hours!$A:$A,0)))</f>
        <v>0</v>
      </c>
      <c r="S696" s="19">
        <f t="shared" si="21"/>
        <v>0</v>
      </c>
    </row>
    <row r="697" spans="1:19" x14ac:dyDescent="0.25">
      <c r="A697" s="11" t="str">
        <f>'Bldgs &amp; Rooms'!$A$20</f>
        <v>Main Bldg.</v>
      </c>
      <c r="B697" s="11">
        <f>'Bldgs &amp; Rooms'!$B$20</f>
        <v>0</v>
      </c>
      <c r="C697" s="10" t="str">
        <f>Hours!$A$31</f>
        <v>Motors &lt; 50 HP</v>
      </c>
      <c r="D697" s="11">
        <f t="shared" si="20"/>
        <v>0</v>
      </c>
      <c r="E697" s="16"/>
      <c r="F697" s="17"/>
      <c r="G697" s="17"/>
      <c r="H697" s="17"/>
      <c r="I697" s="17"/>
      <c r="J697" s="17"/>
      <c r="K697" s="12"/>
      <c r="L697" s="12"/>
      <c r="M697" s="12"/>
      <c r="N697" s="12"/>
      <c r="O697" s="12"/>
      <c r="P697" s="12"/>
      <c r="Q697" s="17"/>
      <c r="R697" s="18">
        <f>IF(SUMPRODUCT((E697:Q697)*1)=0,0,E697*INDEX(Hours!M:M,MATCH(C697,Hours!$A:$A,0))+F697*INDEX(Hours!B:B,MATCH(C697,Hours!$A:$A,0))+G697*INDEX(Hours!C:C,MATCH(C697,Hours!$A:$A,0))+H697*INDEX(Hours!D:D,MATCH(C697,Hours!$A:$A,0))+I697*INDEX(Hours!E:E,MATCH(C697,Hours!$A:$A,0))+J697*INDEX(Hours!F:F,MATCH(C697,Hours!$A:$A,0)))</f>
        <v>0</v>
      </c>
      <c r="S697" s="19">
        <f t="shared" si="21"/>
        <v>0</v>
      </c>
    </row>
    <row r="698" spans="1:19" x14ac:dyDescent="0.25">
      <c r="A698" s="11" t="str">
        <f>'Bldgs &amp; Rooms'!$A$20</f>
        <v>Main Bldg.</v>
      </c>
      <c r="B698" s="11">
        <f>'Bldgs &amp; Rooms'!$B$20</f>
        <v>0</v>
      </c>
      <c r="C698" s="10" t="str">
        <f>Hours!$A$32</f>
        <v>Motors 51-200 HP</v>
      </c>
      <c r="D698" s="11">
        <f t="shared" si="20"/>
        <v>0</v>
      </c>
      <c r="E698" s="16"/>
      <c r="F698" s="17"/>
      <c r="G698" s="17"/>
      <c r="H698" s="17"/>
      <c r="I698" s="17"/>
      <c r="J698" s="17"/>
      <c r="K698" s="12"/>
      <c r="L698" s="12"/>
      <c r="M698" s="12"/>
      <c r="N698" s="12"/>
      <c r="O698" s="12"/>
      <c r="P698" s="12"/>
      <c r="Q698" s="17"/>
      <c r="R698" s="18">
        <f>IF(SUMPRODUCT((E698:Q698)*1)=0,0,E698*INDEX(Hours!M:M,MATCH(C698,Hours!$A:$A,0))+F698*INDEX(Hours!B:B,MATCH(C698,Hours!$A:$A,0))+G698*INDEX(Hours!C:C,MATCH(C698,Hours!$A:$A,0))+H698*INDEX(Hours!D:D,MATCH(C698,Hours!$A:$A,0))+I698*INDEX(Hours!E:E,MATCH(C698,Hours!$A:$A,0))+J698*INDEX(Hours!F:F,MATCH(C698,Hours!$A:$A,0)))</f>
        <v>0</v>
      </c>
      <c r="S698" s="19">
        <f t="shared" si="21"/>
        <v>0</v>
      </c>
    </row>
    <row r="699" spans="1:19" x14ac:dyDescent="0.25">
      <c r="A699" s="11" t="str">
        <f>'Bldgs &amp; Rooms'!$A$20</f>
        <v>Main Bldg.</v>
      </c>
      <c r="B699" s="11">
        <f>'Bldgs &amp; Rooms'!$B$20</f>
        <v>0</v>
      </c>
      <c r="C699" s="10" t="str">
        <f>Hours!$A$33</f>
        <v>Motors 201-500 HP</v>
      </c>
      <c r="D699" s="11">
        <f t="shared" si="20"/>
        <v>0</v>
      </c>
      <c r="E699" s="16"/>
      <c r="F699" s="17"/>
      <c r="G699" s="17"/>
      <c r="H699" s="17"/>
      <c r="I699" s="17"/>
      <c r="J699" s="17"/>
      <c r="K699" s="12"/>
      <c r="L699" s="12"/>
      <c r="M699" s="12"/>
      <c r="N699" s="12"/>
      <c r="O699" s="12"/>
      <c r="P699" s="12"/>
      <c r="Q699" s="17"/>
      <c r="R699" s="18">
        <f>IF(SUMPRODUCT((E699:Q699)*1)=0,0,E699*INDEX(Hours!M:M,MATCH(C699,Hours!$A:$A,0))+F699*INDEX(Hours!B:B,MATCH(C699,Hours!$A:$A,0))+G699*INDEX(Hours!C:C,MATCH(C699,Hours!$A:$A,0))+H699*INDEX(Hours!D:D,MATCH(C699,Hours!$A:$A,0))+I699*INDEX(Hours!E:E,MATCH(C699,Hours!$A:$A,0))+J699*INDEX(Hours!F:F,MATCH(C699,Hours!$A:$A,0)))</f>
        <v>0</v>
      </c>
      <c r="S699" s="19">
        <f t="shared" si="21"/>
        <v>0</v>
      </c>
    </row>
    <row r="700" spans="1:19" x14ac:dyDescent="0.25">
      <c r="A700" s="11" t="str">
        <f>'Bldgs &amp; Rooms'!$A$20</f>
        <v>Main Bldg.</v>
      </c>
      <c r="B700" s="11">
        <f>'Bldgs &amp; Rooms'!$B$20</f>
        <v>0</v>
      </c>
      <c r="C700" s="10" t="str">
        <f>Hours!$A$34</f>
        <v>Compressed Air Equipment</v>
      </c>
      <c r="D700" s="11">
        <f t="shared" si="20"/>
        <v>0</v>
      </c>
      <c r="E700" s="16"/>
      <c r="F700" s="17"/>
      <c r="G700" s="17"/>
      <c r="H700" s="17"/>
      <c r="I700" s="17"/>
      <c r="J700" s="17"/>
      <c r="K700" s="12"/>
      <c r="L700" s="12"/>
      <c r="M700" s="12"/>
      <c r="N700" s="12"/>
      <c r="O700" s="12"/>
      <c r="P700" s="12"/>
      <c r="Q700" s="17"/>
      <c r="R700" s="18">
        <f>IF(SUMPRODUCT((E700:Q700)*1)=0,0,E700*INDEX(Hours!M:M,MATCH(C700,Hours!$A:$A,0))+F700*INDEX(Hours!B:B,MATCH(C700,Hours!$A:$A,0))+G700*INDEX(Hours!C:C,MATCH(C700,Hours!$A:$A,0))+H700*INDEX(Hours!D:D,MATCH(C700,Hours!$A:$A,0))+I700*INDEX(Hours!E:E,MATCH(C700,Hours!$A:$A,0))+J700*INDEX(Hours!F:F,MATCH(C700,Hours!$A:$A,0)))</f>
        <v>0</v>
      </c>
      <c r="S700" s="19">
        <f t="shared" si="21"/>
        <v>0</v>
      </c>
    </row>
    <row r="701" spans="1:19" x14ac:dyDescent="0.25">
      <c r="A701" s="11" t="str">
        <f>'Bldgs &amp; Rooms'!$A$20</f>
        <v>Main Bldg.</v>
      </c>
      <c r="B701" s="11">
        <f>'Bldgs &amp; Rooms'!$B$20</f>
        <v>0</v>
      </c>
      <c r="C701" s="10" t="str">
        <f>Hours!$A$35</f>
        <v>HVAC Equipment (Large)</v>
      </c>
      <c r="D701" s="11">
        <f t="shared" si="20"/>
        <v>0</v>
      </c>
      <c r="E701" s="16"/>
      <c r="F701" s="17"/>
      <c r="G701" s="17"/>
      <c r="H701" s="17"/>
      <c r="I701" s="17"/>
      <c r="J701" s="17"/>
      <c r="K701" s="12"/>
      <c r="L701" s="12"/>
      <c r="M701" s="12"/>
      <c r="N701" s="12"/>
      <c r="O701" s="12"/>
      <c r="P701" s="12"/>
      <c r="Q701" s="17"/>
      <c r="R701" s="18">
        <f>IF(SUMPRODUCT((E701:Q701)*1)=0,0,E701*INDEX(Hours!M:M,MATCH(C701,Hours!$A:$A,0))+F701*INDEX(Hours!B:B,MATCH(C701,Hours!$A:$A,0))+G701*INDEX(Hours!C:C,MATCH(C701,Hours!$A:$A,0))+H701*INDEX(Hours!D:D,MATCH(C701,Hours!$A:$A,0))+I701*INDEX(Hours!E:E,MATCH(C701,Hours!$A:$A,0))+J701*INDEX(Hours!F:F,MATCH(C701,Hours!$A:$A,0)))</f>
        <v>0</v>
      </c>
      <c r="S701" s="19">
        <f t="shared" si="21"/>
        <v>0</v>
      </c>
    </row>
    <row r="702" spans="1:19" x14ac:dyDescent="0.25">
      <c r="A702" s="11" t="str">
        <f>'Bldgs &amp; Rooms'!$A$20</f>
        <v>Main Bldg.</v>
      </c>
      <c r="B702" s="11">
        <f>'Bldgs &amp; Rooms'!$B$20</f>
        <v>0</v>
      </c>
      <c r="C702" s="10" t="str">
        <f>Hours!$A$36</f>
        <v>HVAC Equipment (Small)</v>
      </c>
      <c r="D702" s="11">
        <f t="shared" si="20"/>
        <v>0</v>
      </c>
      <c r="E702" s="16"/>
      <c r="F702" s="17"/>
      <c r="G702" s="17"/>
      <c r="H702" s="17"/>
      <c r="I702" s="17"/>
      <c r="J702" s="17"/>
      <c r="K702" s="12"/>
      <c r="L702" s="12"/>
      <c r="M702" s="12"/>
      <c r="N702" s="12"/>
      <c r="O702" s="12"/>
      <c r="P702" s="12"/>
      <c r="Q702" s="17"/>
      <c r="R702" s="18">
        <f>IF(SUMPRODUCT((E702:Q702)*1)=0,0,E702*INDEX(Hours!M:M,MATCH(C702,Hours!$A:$A,0))+F702*INDEX(Hours!B:B,MATCH(C702,Hours!$A:$A,0))+G702*INDEX(Hours!C:C,MATCH(C702,Hours!$A:$A,0))+H702*INDEX(Hours!D:D,MATCH(C702,Hours!$A:$A,0))+I702*INDEX(Hours!E:E,MATCH(C702,Hours!$A:$A,0))+J702*INDEX(Hours!F:F,MATCH(C702,Hours!$A:$A,0)))</f>
        <v>0</v>
      </c>
      <c r="S702" s="19">
        <f t="shared" si="21"/>
        <v>0</v>
      </c>
    </row>
    <row r="703" spans="1:19" x14ac:dyDescent="0.25">
      <c r="A703" s="11" t="str">
        <f>'Bldgs &amp; Rooms'!$A$20</f>
        <v>Main Bldg.</v>
      </c>
      <c r="B703" s="11">
        <f>'Bldgs &amp; Rooms'!$B$20</f>
        <v>0</v>
      </c>
      <c r="C703" s="10" t="str">
        <f>Hours!$A$37</f>
        <v>Uninterruptible Power Supply (UPS) &lt; 50kVA</v>
      </c>
      <c r="D703" s="11">
        <f t="shared" si="20"/>
        <v>0</v>
      </c>
      <c r="E703" s="16"/>
      <c r="F703" s="17"/>
      <c r="G703" s="17"/>
      <c r="H703" s="17"/>
      <c r="I703" s="17"/>
      <c r="J703" s="17"/>
      <c r="K703" s="12"/>
      <c r="L703" s="12"/>
      <c r="M703" s="12"/>
      <c r="N703" s="12"/>
      <c r="O703" s="12"/>
      <c r="P703" s="12"/>
      <c r="Q703" s="17"/>
      <c r="R703" s="18">
        <f>IF(SUMPRODUCT((E703:Q703)*1)=0,0,E703*INDEX(Hours!M:M,MATCH(C703,Hours!$A:$A,0))+F703*INDEX(Hours!B:B,MATCH(C703,Hours!$A:$A,0))+G703*INDEX(Hours!C:C,MATCH(C703,Hours!$A:$A,0))+H703*INDEX(Hours!D:D,MATCH(C703,Hours!$A:$A,0))+I703*INDEX(Hours!E:E,MATCH(C703,Hours!$A:$A,0))+J703*INDEX(Hours!F:F,MATCH(C703,Hours!$A:$A,0)))</f>
        <v>0</v>
      </c>
      <c r="S703" s="19">
        <f t="shared" si="21"/>
        <v>0</v>
      </c>
    </row>
    <row r="704" spans="1:19" x14ac:dyDescent="0.25">
      <c r="A704" s="11" t="str">
        <f>'Bldgs &amp; Rooms'!$A$20</f>
        <v>Main Bldg.</v>
      </c>
      <c r="B704" s="11">
        <f>'Bldgs &amp; Rooms'!$B$20</f>
        <v>0</v>
      </c>
      <c r="C704" s="10" t="str">
        <f>Hours!$A$38</f>
        <v>Uninterruptible Power Supply (UPS) &gt; 50kVA</v>
      </c>
      <c r="D704" s="11">
        <f t="shared" si="20"/>
        <v>0</v>
      </c>
      <c r="E704" s="16"/>
      <c r="F704" s="17"/>
      <c r="G704" s="17"/>
      <c r="H704" s="17"/>
      <c r="I704" s="17"/>
      <c r="J704" s="17"/>
      <c r="K704" s="12"/>
      <c r="L704" s="12"/>
      <c r="M704" s="12"/>
      <c r="N704" s="12"/>
      <c r="O704" s="12"/>
      <c r="P704" s="12"/>
      <c r="Q704" s="17"/>
      <c r="R704" s="18">
        <f>IF(SUMPRODUCT((E704:Q704)*1)=0,0,E704*INDEX(Hours!M:M,MATCH(C704,Hours!$A:$A,0))+F704*INDEX(Hours!B:B,MATCH(C704,Hours!$A:$A,0))+G704*INDEX(Hours!C:C,MATCH(C704,Hours!$A:$A,0))+H704*INDEX(Hours!D:D,MATCH(C704,Hours!$A:$A,0))+I704*INDEX(Hours!E:E,MATCH(C704,Hours!$A:$A,0))+J704*INDEX(Hours!F:F,MATCH(C704,Hours!$A:$A,0)))</f>
        <v>0</v>
      </c>
      <c r="S704" s="19">
        <f t="shared" si="21"/>
        <v>0</v>
      </c>
    </row>
    <row r="705" spans="1:19" x14ac:dyDescent="0.25">
      <c r="A705" s="15" t="str">
        <f>'Bldgs &amp; Rooms'!$A$21</f>
        <v>Main Bldg.</v>
      </c>
      <c r="B705" s="15">
        <f>'Bldgs &amp; Rooms'!$B$21</f>
        <v>0</v>
      </c>
      <c r="C705" s="14" t="str">
        <f>Hours!$A$2</f>
        <v>Switchgear - Incoming Main Service (Per Section)</v>
      </c>
      <c r="D705" s="15">
        <f t="shared" si="20"/>
        <v>0</v>
      </c>
      <c r="E705" s="16"/>
      <c r="F705" s="17"/>
      <c r="G705" s="17"/>
      <c r="H705" s="17"/>
      <c r="I705" s="17"/>
      <c r="J705" s="17"/>
      <c r="K705" s="17"/>
      <c r="L705" s="17"/>
      <c r="M705" s="12"/>
      <c r="N705" s="12"/>
      <c r="O705" s="17"/>
      <c r="P705" s="12"/>
      <c r="Q705" s="17"/>
      <c r="R705" s="18">
        <f>IF(SUMPRODUCT((E705:Q705)*1)=0,0,E705*INDEX(Hours!M:M,MATCH(C705,Hours!$A:$A,0))+F705*INDEX(Hours!B:B,MATCH(C705,Hours!$A:$A,0))+G705*INDEX(Hours!C:C,MATCH(C705,Hours!$A:$A,0))+H705*INDEX(Hours!D:D,MATCH(C705,Hours!$A:$A,0))+I705*INDEX(Hours!E:E,MATCH(C705,Hours!$A:$A,0))+J705*INDEX(Hours!F:F,MATCH(C705,Hours!$A:$A,0))+K705*INDEX(Hours!G:G,MATCH(C705,Hours!$A:$A,0))+L705*INDEX(Hours!H:H,MATCH(C705,Hours!$A:$A,0))+O705*INDEX(Hours!K:K,MATCH(C705,Hours!$A:$A,0)))</f>
        <v>0</v>
      </c>
      <c r="S705" s="19">
        <f t="shared" si="21"/>
        <v>0</v>
      </c>
    </row>
    <row r="706" spans="1:19" x14ac:dyDescent="0.25">
      <c r="A706" s="15" t="str">
        <f>'Bldgs &amp; Rooms'!$A$21</f>
        <v>Main Bldg.</v>
      </c>
      <c r="B706" s="15">
        <f>'Bldgs &amp; Rooms'!$B$21</f>
        <v>0</v>
      </c>
      <c r="C706" s="14" t="str">
        <f>Hours!$A$3</f>
        <v xml:space="preserve">  Switchgear Insulated Case Breakers (Bus Mounted)</v>
      </c>
      <c r="D706" s="15">
        <f t="shared" ref="D706:D769" si="22">MAX(E706+F706,G706,H706,I706,J706,K706,L706,M706,N706,O706,P706,Q706)</f>
        <v>0</v>
      </c>
      <c r="E706" s="16"/>
      <c r="F706" s="17"/>
      <c r="G706" s="17"/>
      <c r="H706" s="17"/>
      <c r="I706" s="17"/>
      <c r="J706" s="17"/>
      <c r="K706" s="17"/>
      <c r="L706" s="12"/>
      <c r="M706" s="12"/>
      <c r="N706" s="12"/>
      <c r="O706" s="12"/>
      <c r="P706" s="12"/>
      <c r="Q706" s="17"/>
      <c r="R706" s="18">
        <f>IF(SUMPRODUCT((E706:Q706)*1)=0,0,E706*INDEX(Hours!M:M,MATCH(C706,Hours!$A:$A,0))+F706*INDEX(Hours!B:B,MATCH(C706,Hours!$A:$A,0))+G706*INDEX(Hours!C:C,MATCH(C706,Hours!$A:$A,0))+H706*INDEX(Hours!D:D,MATCH(C706,Hours!$A:$A,0))+I706*INDEX(Hours!E:E,MATCH(C706,Hours!$A:$A,0))+J706*INDEX(Hours!F:F,MATCH(C706,Hours!$A:$A,0))+K706*INDEX(Hours!G:G,MATCH(C706,Hours!$A:$A,0)))</f>
        <v>0</v>
      </c>
      <c r="S706" s="19">
        <f t="shared" ref="S706:S769" si="23">MAX(E706+F706,G706,H706,I706,J706,K706,L706,M706,N706,O706,P706,Q706)</f>
        <v>0</v>
      </c>
    </row>
    <row r="707" spans="1:19" x14ac:dyDescent="0.25">
      <c r="A707" s="15" t="str">
        <f>'Bldgs &amp; Rooms'!$A$21</f>
        <v>Main Bldg.</v>
      </c>
      <c r="B707" s="15">
        <f>'Bldgs &amp; Rooms'!$B$21</f>
        <v>0</v>
      </c>
      <c r="C707" s="14" t="str">
        <f>Hours!$A$4</f>
        <v xml:space="preserve">  SwitchGear Drawout Breakers</v>
      </c>
      <c r="D707" s="15">
        <f t="shared" si="22"/>
        <v>0</v>
      </c>
      <c r="E707" s="16"/>
      <c r="F707" s="17"/>
      <c r="G707" s="17"/>
      <c r="H707" s="17"/>
      <c r="I707" s="17"/>
      <c r="J707" s="17"/>
      <c r="K707" s="12"/>
      <c r="L707" s="17"/>
      <c r="M707" s="12"/>
      <c r="N707" s="12"/>
      <c r="O707" s="12"/>
      <c r="P707" s="12"/>
      <c r="Q707" s="17"/>
      <c r="R707" s="18">
        <f>IF(SUMPRODUCT((E707:Q707)*1)=0,0,E707*INDEX(Hours!M:M,MATCH(C707,Hours!$A:$A,0))+F707*INDEX(Hours!B:B,MATCH(C707,Hours!$A:$A,0))+G707*INDEX(Hours!C:C,MATCH(C707,Hours!$A:$A,0))+H707*INDEX(Hours!D:D,MATCH(C707,Hours!$A:$A,0))+I707*INDEX(Hours!E:E,MATCH(C707,Hours!$A:$A,0))+J707*INDEX(Hours!F:F,MATCH(C707,Hours!$A:$A,0))+L707*INDEX(Hours!H:H,MATCH(C707,Hours!$A:$A,0)))</f>
        <v>0</v>
      </c>
      <c r="S707" s="19">
        <f t="shared" si="23"/>
        <v>0</v>
      </c>
    </row>
    <row r="708" spans="1:19" x14ac:dyDescent="0.25">
      <c r="A708" s="15" t="str">
        <f>'Bldgs &amp; Rooms'!$A$21</f>
        <v>Main Bldg.</v>
      </c>
      <c r="B708" s="15">
        <f>'Bldgs &amp; Rooms'!$B$21</f>
        <v>0</v>
      </c>
      <c r="C708" s="14" t="str">
        <f>Hours!$A$5</f>
        <v>Distribution Switchboard Multi Cover (Per Section)</v>
      </c>
      <c r="D708" s="15">
        <f t="shared" si="22"/>
        <v>0</v>
      </c>
      <c r="E708" s="16"/>
      <c r="F708" s="17"/>
      <c r="G708" s="17"/>
      <c r="H708" s="17"/>
      <c r="I708" s="17"/>
      <c r="J708" s="17"/>
      <c r="K708" s="17"/>
      <c r="L708" s="12"/>
      <c r="M708" s="12"/>
      <c r="N708" s="12"/>
      <c r="O708" s="17"/>
      <c r="P708" s="12"/>
      <c r="Q708" s="17"/>
      <c r="R708" s="18">
        <f>IF(SUMPRODUCT((E708:Q708)*1)=0,0,E708*INDEX(Hours!M:M,MATCH(C708,Hours!$A:$A,0))+F708*INDEX(Hours!B:B,MATCH(C708,Hours!$A:$A,0))+G708*INDEX(Hours!C:C,MATCH(C708,Hours!$A:$A,0))+H708*INDEX(Hours!D:D,MATCH(C708,Hours!$A:$A,0))+I708*INDEX(Hours!E:E,MATCH(C708,Hours!$A:$A,0))+J708*INDEX(Hours!F:F,MATCH(C708,Hours!$A:$A,0))+K708*INDEX(Hours!G:G,MATCH(C708,Hours!$A:$A,0))+O708*INDEX(Hours!K:K,MATCH(C708,Hours!$A:$A,0)))</f>
        <v>0</v>
      </c>
      <c r="S708" s="19">
        <f t="shared" si="23"/>
        <v>0</v>
      </c>
    </row>
    <row r="709" spans="1:19" x14ac:dyDescent="0.25">
      <c r="A709" s="15" t="str">
        <f>'Bldgs &amp; Rooms'!$A$21</f>
        <v>Main Bldg.</v>
      </c>
      <c r="B709" s="15">
        <f>'Bldgs &amp; Rooms'!$B$21</f>
        <v>0</v>
      </c>
      <c r="C709" s="14" t="str">
        <f>Hours!$A$6</f>
        <v xml:space="preserve">  Switchboard Disconnects</v>
      </c>
      <c r="D709" s="15">
        <f t="shared" si="22"/>
        <v>0</v>
      </c>
      <c r="E709" s="16"/>
      <c r="F709" s="17"/>
      <c r="G709" s="17"/>
      <c r="H709" s="17"/>
      <c r="I709" s="17"/>
      <c r="J709" s="17"/>
      <c r="K709" s="12"/>
      <c r="L709" s="12"/>
      <c r="M709" s="12"/>
      <c r="N709" s="12"/>
      <c r="O709" s="12"/>
      <c r="P709" s="12"/>
      <c r="Q709" s="17"/>
      <c r="R709" s="18">
        <f>IF(SUMPRODUCT((E709:Q709)*1)=0,0,E709*INDEX(Hours!M:M,MATCH(C709,Hours!$A:$A,0))+F709*INDEX(Hours!B:B,MATCH(C709,Hours!$A:$A,0))+G709*INDEX(Hours!C:C,MATCH(C709,Hours!$A:$A,0))+H709*INDEX(Hours!D:D,MATCH(C709,Hours!$A:$A,0))+I709*INDEX(Hours!E:E,MATCH(C709,Hours!$A:$A,0))+J709*INDEX(Hours!F:F,MATCH(C709,Hours!$A:$A,0)))</f>
        <v>0</v>
      </c>
      <c r="S709" s="19">
        <f t="shared" si="23"/>
        <v>0</v>
      </c>
    </row>
    <row r="710" spans="1:19" x14ac:dyDescent="0.25">
      <c r="A710" s="15" t="str">
        <f>'Bldgs &amp; Rooms'!$A$21</f>
        <v>Main Bldg.</v>
      </c>
      <c r="B710" s="15">
        <f>'Bldgs &amp; Rooms'!$B$21</f>
        <v>0</v>
      </c>
      <c r="C710" s="14" t="str">
        <f>Hours!$A$7</f>
        <v xml:space="preserve">  Switchboard Molded Case Breakers</v>
      </c>
      <c r="D710" s="15">
        <f t="shared" si="22"/>
        <v>0</v>
      </c>
      <c r="E710" s="16"/>
      <c r="F710" s="17"/>
      <c r="G710" s="17"/>
      <c r="H710" s="17"/>
      <c r="I710" s="17"/>
      <c r="J710" s="17"/>
      <c r="K710" s="17"/>
      <c r="L710" s="12"/>
      <c r="M710" s="12"/>
      <c r="N710" s="12"/>
      <c r="O710" s="12"/>
      <c r="P710" s="12"/>
      <c r="Q710" s="17"/>
      <c r="R710" s="18">
        <f>IF(SUMPRODUCT((E710:Q710)*1)=0,0,E710*INDEX(Hours!M:M,MATCH(C710,Hours!$A:$A,0))+F710*INDEX(Hours!B:B,MATCH(C710,Hours!$A:$A,0))+G710*INDEX(Hours!C:C,MATCH(C710,Hours!$A:$A,0))+H710*INDEX(Hours!D:D,MATCH(C710,Hours!$A:$A,0))+I710*INDEX(Hours!E:E,MATCH(C710,Hours!$A:$A,0))+J710*INDEX(Hours!F:F,MATCH(C710,Hours!$A:$A,0))+K710*INDEX(Hours!G:G,MATCH(C710,Hours!$A:$A,0)))</f>
        <v>0</v>
      </c>
      <c r="S710" s="19">
        <f t="shared" si="23"/>
        <v>0</v>
      </c>
    </row>
    <row r="711" spans="1:19" x14ac:dyDescent="0.25">
      <c r="A711" s="15" t="str">
        <f>'Bldgs &amp; Rooms'!$A$21</f>
        <v>Main Bldg.</v>
      </c>
      <c r="B711" s="15">
        <f>'Bldgs &amp; Rooms'!$B$21</f>
        <v>0</v>
      </c>
      <c r="C711" s="14" t="str">
        <f>Hours!$A$8</f>
        <v>Panelboard-Single Cover &gt; 400A (Distribution Panel)</v>
      </c>
      <c r="D711" s="15">
        <f t="shared" si="22"/>
        <v>0</v>
      </c>
      <c r="E711" s="16"/>
      <c r="F711" s="17"/>
      <c r="G711" s="17"/>
      <c r="H711" s="17"/>
      <c r="I711" s="17"/>
      <c r="J711" s="17"/>
      <c r="K711" s="17"/>
      <c r="L711" s="12"/>
      <c r="M711" s="12"/>
      <c r="N711" s="12"/>
      <c r="O711" s="17"/>
      <c r="P711" s="12"/>
      <c r="Q711" s="17"/>
      <c r="R711" s="18">
        <f>IF(SUMPRODUCT((E711:Q711)*1)=0,0,E711*INDEX(Hours!M:M,MATCH(C711,Hours!$A:$A,0))+F711*INDEX(Hours!B:B,MATCH(C711,Hours!$A:$A,0))+G711*INDEX(Hours!C:C,MATCH(C711,Hours!$A:$A,0))+H711*INDEX(Hours!D:D,MATCH(C711,Hours!$A:$A,0))+I711*INDEX(Hours!E:E,MATCH(C711,Hours!$A:$A,0))+J711*INDEX(Hours!F:F,MATCH(C711,Hours!$A:$A,0))+K711*INDEX(Hours!G:G,MATCH(C711,Hours!$A:$A,0))+O711*INDEX(Hours!K:K,MATCH(C711,Hours!$A:$A,0)))</f>
        <v>0</v>
      </c>
      <c r="S711" s="19">
        <f t="shared" si="23"/>
        <v>0</v>
      </c>
    </row>
    <row r="712" spans="1:19" x14ac:dyDescent="0.25">
      <c r="A712" s="15" t="str">
        <f>'Bldgs &amp; Rooms'!$A$21</f>
        <v>Main Bldg.</v>
      </c>
      <c r="B712" s="15">
        <f>'Bldgs &amp; Rooms'!$B$21</f>
        <v>0</v>
      </c>
      <c r="C712" s="14" t="str">
        <f>Hours!$A$9</f>
        <v>Panelboard-Single Cover &lt; 400A (Branch Ckt Panel)</v>
      </c>
      <c r="D712" s="15">
        <f t="shared" si="22"/>
        <v>0</v>
      </c>
      <c r="E712" s="16"/>
      <c r="F712" s="17"/>
      <c r="G712" s="17"/>
      <c r="H712" s="17"/>
      <c r="I712" s="17"/>
      <c r="J712" s="17"/>
      <c r="K712" s="12"/>
      <c r="L712" s="12"/>
      <c r="M712" s="12"/>
      <c r="N712" s="12"/>
      <c r="O712" s="17"/>
      <c r="P712" s="12"/>
      <c r="Q712" s="17"/>
      <c r="R712" s="18">
        <f>IF(SUMPRODUCT((E712:Q712)*1)=0,0,E712*INDEX(Hours!M:M,MATCH(C712,Hours!$A:$A,0))+F712*INDEX(Hours!B:B,MATCH(C712,Hours!$A:$A,0))+G712*INDEX(Hours!C:C,MATCH(C712,Hours!$A:$A,0))+H712*INDEX(Hours!D:D,MATCH(C712,Hours!$A:$A,0))+I712*INDEX(Hours!E:E,MATCH(C712,Hours!$A:$A,0))+J712*INDEX(Hours!F:F,MATCH(C712,Hours!$A:$A,0))+O712*INDEX(Hours!K:K,MATCH(C712,Hours!$A:$A,0)))</f>
        <v>0</v>
      </c>
      <c r="S712" s="19">
        <f t="shared" si="23"/>
        <v>0</v>
      </c>
    </row>
    <row r="713" spans="1:19" x14ac:dyDescent="0.25">
      <c r="A713" s="15" t="str">
        <f>'Bldgs &amp; Rooms'!$A$21</f>
        <v>Main Bldg.</v>
      </c>
      <c r="B713" s="15">
        <f>'Bldgs &amp; Rooms'!$B$21</f>
        <v>0</v>
      </c>
      <c r="C713" s="14" t="str">
        <f>Hours!$A$10</f>
        <v>Motor Control Center (MCC-Per Vertical Section)</v>
      </c>
      <c r="D713" s="15">
        <f t="shared" si="22"/>
        <v>0</v>
      </c>
      <c r="E713" s="16"/>
      <c r="F713" s="17"/>
      <c r="G713" s="17"/>
      <c r="H713" s="17"/>
      <c r="I713" s="17"/>
      <c r="J713" s="17"/>
      <c r="K713" s="12"/>
      <c r="L713" s="12"/>
      <c r="M713" s="12"/>
      <c r="N713" s="12"/>
      <c r="O713" s="17"/>
      <c r="P713" s="12"/>
      <c r="Q713" s="17"/>
      <c r="R713" s="18">
        <f>IF(SUMPRODUCT((E713:Q713)*1)=0,0,E713*INDEX(Hours!M:M,MATCH(C713,Hours!$A:$A,0))+F713*INDEX(Hours!B:B,MATCH(C713,Hours!$A:$A,0))+G713*INDEX(Hours!C:C,MATCH(C713,Hours!$A:$A,0))+H713*INDEX(Hours!D:D,MATCH(C713,Hours!$A:$A,0))+I713*INDEX(Hours!E:E,MATCH(C713,Hours!$A:$A,0))+J713*INDEX(Hours!F:F,MATCH(C713,Hours!$A:$A,0))+O713*INDEX(Hours!K:K,MATCH(C713,Hours!$A:$A,0)))</f>
        <v>0</v>
      </c>
      <c r="S713" s="19">
        <f t="shared" si="23"/>
        <v>0</v>
      </c>
    </row>
    <row r="714" spans="1:19" x14ac:dyDescent="0.25">
      <c r="A714" s="15" t="str">
        <f>'Bldgs &amp; Rooms'!$A$21</f>
        <v>Main Bldg.</v>
      </c>
      <c r="B714" s="15">
        <f>'Bldgs &amp; Rooms'!$B$21</f>
        <v>0</v>
      </c>
      <c r="C714" s="14" t="str">
        <f>Hours!$A$11</f>
        <v xml:space="preserve">  MCC: Combination Motor Starters</v>
      </c>
      <c r="D714" s="15">
        <f t="shared" si="22"/>
        <v>0</v>
      </c>
      <c r="E714" s="16"/>
      <c r="F714" s="17"/>
      <c r="G714" s="17"/>
      <c r="H714" s="17"/>
      <c r="I714" s="17"/>
      <c r="J714" s="17"/>
      <c r="K714" s="17"/>
      <c r="L714" s="12"/>
      <c r="M714" s="12"/>
      <c r="N714" s="12"/>
      <c r="O714" s="17"/>
      <c r="P714" s="12"/>
      <c r="Q714" s="17"/>
      <c r="R714" s="18">
        <f>IF(SUMPRODUCT((E714:Q714)*1)=0,0,E714*INDEX(Hours!M:M,MATCH(C714,Hours!$A:$A,0))+F714*INDEX(Hours!B:B,MATCH(C714,Hours!$A:$A,0))+G714*INDEX(Hours!C:C,MATCH(C714,Hours!$A:$A,0))+H714*INDEX(Hours!D:D,MATCH(C714,Hours!$A:$A,0))+I714*INDEX(Hours!E:E,MATCH(C714,Hours!$A:$A,0))+J714*INDEX(Hours!F:F,MATCH(C714,Hours!$A:$A,0))+K714*INDEX(Hours!G:G,MATCH(C714,Hours!$A:$A,0))+O714*INDEX(Hours!K:K,MATCH(C714,Hours!$A:$A,0)))</f>
        <v>0</v>
      </c>
      <c r="S714" s="19">
        <f t="shared" si="23"/>
        <v>0</v>
      </c>
    </row>
    <row r="715" spans="1:19" x14ac:dyDescent="0.25">
      <c r="A715" s="15" t="str">
        <f>'Bldgs &amp; Rooms'!$A$21</f>
        <v>Main Bldg.</v>
      </c>
      <c r="B715" s="15">
        <f>'Bldgs &amp; Rooms'!$B$21</f>
        <v>0</v>
      </c>
      <c r="C715" s="14" t="str">
        <f>Hours!$A$12</f>
        <v xml:space="preserve">  MCC: Molded Case Breaker</v>
      </c>
      <c r="D715" s="15">
        <f t="shared" si="22"/>
        <v>0</v>
      </c>
      <c r="E715" s="16"/>
      <c r="F715" s="17"/>
      <c r="G715" s="17"/>
      <c r="H715" s="17"/>
      <c r="I715" s="17"/>
      <c r="J715" s="17"/>
      <c r="K715" s="17"/>
      <c r="L715" s="12"/>
      <c r="M715" s="12"/>
      <c r="N715" s="12"/>
      <c r="O715" s="12"/>
      <c r="P715" s="12"/>
      <c r="Q715" s="17"/>
      <c r="R715" s="18">
        <f>IF(SUMPRODUCT((E715:Q715)*1)=0,0,E715*INDEX(Hours!M:M,MATCH(C715,Hours!$A:$A,0))+F715*INDEX(Hours!B:B,MATCH(C715,Hours!$A:$A,0))+G715*INDEX(Hours!C:C,MATCH(C715,Hours!$A:$A,0))+H715*INDEX(Hours!D:D,MATCH(C715,Hours!$A:$A,0))+I715*INDEX(Hours!E:E,MATCH(C715,Hours!$A:$A,0))+J715*INDEX(Hours!F:F,MATCH(C715,Hours!$A:$A,0))+K715*INDEX(Hours!G:G,MATCH(C715,Hours!$A:$A,0)))</f>
        <v>0</v>
      </c>
      <c r="S715" s="19">
        <f t="shared" si="23"/>
        <v>0</v>
      </c>
    </row>
    <row r="716" spans="1:19" x14ac:dyDescent="0.25">
      <c r="A716" s="15" t="str">
        <f>'Bldgs &amp; Rooms'!$A$21</f>
        <v>Main Bldg.</v>
      </c>
      <c r="B716" s="15">
        <f>'Bldgs &amp; Rooms'!$B$21</f>
        <v>0</v>
      </c>
      <c r="C716" s="14" t="str">
        <f>Hours!$A$13</f>
        <v xml:space="preserve">  MCC: Individual Disconnect Switch</v>
      </c>
      <c r="D716" s="15">
        <f t="shared" si="22"/>
        <v>0</v>
      </c>
      <c r="E716" s="16"/>
      <c r="F716" s="17"/>
      <c r="G716" s="17"/>
      <c r="H716" s="17"/>
      <c r="I716" s="17"/>
      <c r="J716" s="17"/>
      <c r="K716" s="12"/>
      <c r="L716" s="12"/>
      <c r="M716" s="12"/>
      <c r="N716" s="12"/>
      <c r="O716" s="12"/>
      <c r="P716" s="12"/>
      <c r="Q716" s="17"/>
      <c r="R716" s="18">
        <f>IF(SUMPRODUCT((E716:Q716)*1)=0,0,E716*INDEX(Hours!M:M,MATCH(C716,Hours!$A:$A,0))+F716*INDEX(Hours!B:B,MATCH(C716,Hours!$A:$A,0))+G716*INDEX(Hours!C:C,MATCH(C716,Hours!$A:$A,0))+H716*INDEX(Hours!D:D,MATCH(C716,Hours!$A:$A,0))+I716*INDEX(Hours!E:E,MATCH(C716,Hours!$A:$A,0))+J716*INDEX(Hours!F:F,MATCH(C716,Hours!$A:$A,0)))</f>
        <v>0</v>
      </c>
      <c r="S716" s="19">
        <f t="shared" si="23"/>
        <v>0</v>
      </c>
    </row>
    <row r="717" spans="1:19" x14ac:dyDescent="0.25">
      <c r="A717" s="15" t="str">
        <f>'Bldgs &amp; Rooms'!$A$21</f>
        <v>Main Bldg.</v>
      </c>
      <c r="B717" s="15">
        <f>'Bldgs &amp; Rooms'!$B$21</f>
        <v>0</v>
      </c>
      <c r="C717" s="14" t="str">
        <f>Hours!$A$14</f>
        <v>Motor Control Panel (MCP)</v>
      </c>
      <c r="D717" s="15">
        <f t="shared" si="22"/>
        <v>0</v>
      </c>
      <c r="E717" s="16"/>
      <c r="F717" s="17"/>
      <c r="G717" s="17"/>
      <c r="H717" s="17"/>
      <c r="I717" s="17"/>
      <c r="J717" s="17"/>
      <c r="K717" s="12"/>
      <c r="L717" s="12"/>
      <c r="M717" s="12"/>
      <c r="N717" s="12"/>
      <c r="O717" s="17"/>
      <c r="P717" s="12"/>
      <c r="Q717" s="17"/>
      <c r="R717" s="18">
        <f>IF(SUMPRODUCT((E717:Q717)*1)=0,0,E717*INDEX(Hours!M:M,MATCH(C717,Hours!$A:$A,0))+F717*INDEX(Hours!B:B,MATCH(C717,Hours!$A:$A,0))+G717*INDEX(Hours!C:C,MATCH(C717,Hours!$A:$A,0))+H717*INDEX(Hours!D:D,MATCH(C717,Hours!$A:$A,0))+I717*INDEX(Hours!E:E,MATCH(C717,Hours!$A:$A,0))+J717*INDEX(Hours!F:F,MATCH(C717,Hours!$A:$A,0))+O717*INDEX(Hours!K:K,MATCH(C717,Hours!$A:$A,0)))</f>
        <v>0</v>
      </c>
      <c r="S717" s="19">
        <f t="shared" si="23"/>
        <v>0</v>
      </c>
    </row>
    <row r="718" spans="1:19" x14ac:dyDescent="0.25">
      <c r="A718" s="15" t="str">
        <f>'Bldgs &amp; Rooms'!$A$21</f>
        <v>Main Bldg.</v>
      </c>
      <c r="B718" s="15">
        <f>'Bldgs &amp; Rooms'!$B$21</f>
        <v>0</v>
      </c>
      <c r="C718" s="14" t="str">
        <f>Hours!$A$15</f>
        <v>VFD Motor Control Panel (VFD-MCP)</v>
      </c>
      <c r="D718" s="15">
        <f t="shared" si="22"/>
        <v>0</v>
      </c>
      <c r="E718" s="16"/>
      <c r="F718" s="17"/>
      <c r="G718" s="17"/>
      <c r="H718" s="17"/>
      <c r="I718" s="17"/>
      <c r="J718" s="17"/>
      <c r="K718" s="12"/>
      <c r="L718" s="12"/>
      <c r="M718" s="12"/>
      <c r="N718" s="12"/>
      <c r="O718" s="17"/>
      <c r="P718" s="12"/>
      <c r="Q718" s="17"/>
      <c r="R718" s="18">
        <f>IF(SUMPRODUCT((E718:Q718)*1)=0,0,E718*INDEX(Hours!M:M,MATCH(C718,Hours!$A:$A,0))+F718*INDEX(Hours!B:B,MATCH(C718,Hours!$A:$A,0))+G718*INDEX(Hours!C:C,MATCH(C718,Hours!$A:$A,0))+H718*INDEX(Hours!D:D,MATCH(C718,Hours!$A:$A,0))+I718*INDEX(Hours!E:E,MATCH(C718,Hours!$A:$A,0))+J718*INDEX(Hours!F:F,MATCH(C718,Hours!$A:$A,0))+O718*INDEX(Hours!K:K,MATCH(C718,Hours!$A:$A,0)))</f>
        <v>0</v>
      </c>
      <c r="S718" s="19">
        <f t="shared" si="23"/>
        <v>0</v>
      </c>
    </row>
    <row r="719" spans="1:19" x14ac:dyDescent="0.25">
      <c r="A719" s="15" t="str">
        <f>'Bldgs &amp; Rooms'!$A$21</f>
        <v>Main Bldg.</v>
      </c>
      <c r="B719" s="15">
        <f>'Bldgs &amp; Rooms'!$B$21</f>
        <v>0</v>
      </c>
      <c r="C719" s="14" t="str">
        <f>Hours!$A$16</f>
        <v>Individual Disconnect Switch &gt; 100A</v>
      </c>
      <c r="D719" s="15">
        <f t="shared" si="22"/>
        <v>0</v>
      </c>
      <c r="E719" s="16"/>
      <c r="F719" s="17"/>
      <c r="G719" s="17"/>
      <c r="H719" s="17"/>
      <c r="I719" s="17"/>
      <c r="J719" s="17"/>
      <c r="K719" s="17"/>
      <c r="L719" s="12"/>
      <c r="M719" s="12"/>
      <c r="N719" s="12"/>
      <c r="O719" s="12"/>
      <c r="P719" s="12"/>
      <c r="Q719" s="17"/>
      <c r="R719" s="18">
        <f>IF(SUMPRODUCT((E719:Q719)*1)=0,0,E719*INDEX(Hours!M:M,MATCH(C719,Hours!$A:$A,0))+F719*INDEX(Hours!B:B,MATCH(C719,Hours!$A:$A,0))+G719*INDEX(Hours!C:C,MATCH(C719,Hours!$A:$A,0))+H719*INDEX(Hours!D:D,MATCH(C719,Hours!$A:$A,0))+I719*INDEX(Hours!E:E,MATCH(C719,Hours!$A:$A,0))+J719*INDEX(Hours!F:F,MATCH(C719,Hours!$A:$A,0))+K719*INDEX(Hours!G:G,MATCH(C719,Hours!$A:$A,0)))</f>
        <v>0</v>
      </c>
      <c r="S719" s="19">
        <f t="shared" si="23"/>
        <v>0</v>
      </c>
    </row>
    <row r="720" spans="1:19" x14ac:dyDescent="0.25">
      <c r="A720" s="15" t="str">
        <f>'Bldgs &amp; Rooms'!$A$21</f>
        <v>Main Bldg.</v>
      </c>
      <c r="B720" s="15">
        <f>'Bldgs &amp; Rooms'!$B$21</f>
        <v>0</v>
      </c>
      <c r="C720" s="14" t="str">
        <f>Hours!$A$17</f>
        <v>Individual Molded Case Breaker &gt; 100A</v>
      </c>
      <c r="D720" s="15">
        <f t="shared" si="22"/>
        <v>0</v>
      </c>
      <c r="E720" s="16"/>
      <c r="F720" s="17"/>
      <c r="G720" s="17"/>
      <c r="H720" s="17"/>
      <c r="I720" s="17"/>
      <c r="J720" s="17"/>
      <c r="K720" s="17"/>
      <c r="L720" s="12"/>
      <c r="M720" s="12"/>
      <c r="N720" s="12"/>
      <c r="O720" s="12"/>
      <c r="P720" s="12"/>
      <c r="Q720" s="17"/>
      <c r="R720" s="18">
        <f>IF(SUMPRODUCT((E720:Q720)*1)=0,0,E720*INDEX(Hours!M:M,MATCH(C720,Hours!$A:$A,0))+F720*INDEX(Hours!B:B,MATCH(C720,Hours!$A:$A,0))+G720*INDEX(Hours!C:C,MATCH(C720,Hours!$A:$A,0))+H720*INDEX(Hours!D:D,MATCH(C720,Hours!$A:$A,0))+I720*INDEX(Hours!E:E,MATCH(C720,Hours!$A:$A,0))+J720*INDEX(Hours!F:F,MATCH(C720,Hours!$A:$A,0))+K720*INDEX(Hours!G:G,MATCH(C720,Hours!$A:$A,0)))</f>
        <v>0</v>
      </c>
      <c r="S720" s="19">
        <f t="shared" si="23"/>
        <v>0</v>
      </c>
    </row>
    <row r="721" spans="1:19" x14ac:dyDescent="0.25">
      <c r="A721" s="15" t="str">
        <f>'Bldgs &amp; Rooms'!$A$21</f>
        <v>Main Bldg.</v>
      </c>
      <c r="B721" s="15">
        <f>'Bldgs &amp; Rooms'!$B$21</f>
        <v>0</v>
      </c>
      <c r="C721" s="14" t="str">
        <f>Hours!$A$18</f>
        <v>Individual Combination Motor Starter &gt; 100A</v>
      </c>
      <c r="D721" s="15">
        <f t="shared" si="22"/>
        <v>0</v>
      </c>
      <c r="E721" s="16"/>
      <c r="F721" s="17"/>
      <c r="G721" s="17"/>
      <c r="H721" s="17"/>
      <c r="I721" s="17"/>
      <c r="J721" s="17"/>
      <c r="K721" s="17"/>
      <c r="L721" s="12"/>
      <c r="M721" s="12"/>
      <c r="N721" s="12"/>
      <c r="O721" s="12"/>
      <c r="P721" s="12"/>
      <c r="Q721" s="17"/>
      <c r="R721" s="18">
        <f>IF(SUMPRODUCT((E721:Q721)*1)=0,0,E721*INDEX(Hours!M:M,MATCH(C721,Hours!$A:$A,0))+F721*INDEX(Hours!B:B,MATCH(C721,Hours!$A:$A,0))+G721*INDEX(Hours!C:C,MATCH(C721,Hours!$A:$A,0))+H721*INDEX(Hours!D:D,MATCH(C721,Hours!$A:$A,0))+I721*INDEX(Hours!E:E,MATCH(C721,Hours!$A:$A,0))+J721*INDEX(Hours!F:F,MATCH(C721,Hours!$A:$A,0))+K721*INDEX(Hours!G:G,MATCH(C721,Hours!$A:$A,0)))</f>
        <v>0</v>
      </c>
      <c r="S721" s="19">
        <f t="shared" si="23"/>
        <v>0</v>
      </c>
    </row>
    <row r="722" spans="1:19" x14ac:dyDescent="0.25">
      <c r="A722" s="15" t="str">
        <f>'Bldgs &amp; Rooms'!$A$21</f>
        <v>Main Bldg.</v>
      </c>
      <c r="B722" s="15">
        <f>'Bldgs &amp; Rooms'!$B$21</f>
        <v>0</v>
      </c>
      <c r="C722" s="14" t="str">
        <f>Hours!$A$19</f>
        <v>Oil Filled Transformer - 5kV-15kV Primary - Any Size (Pad Mounted)</v>
      </c>
      <c r="D722" s="15">
        <f t="shared" si="22"/>
        <v>0</v>
      </c>
      <c r="E722" s="16"/>
      <c r="F722" s="17"/>
      <c r="G722" s="17"/>
      <c r="H722" s="17"/>
      <c r="I722" s="17"/>
      <c r="J722" s="17"/>
      <c r="K722" s="12"/>
      <c r="L722" s="12"/>
      <c r="M722" s="17"/>
      <c r="N722" s="17"/>
      <c r="O722" s="12"/>
      <c r="P722" s="17"/>
      <c r="Q722" s="17"/>
      <c r="R722" s="18">
        <f>IF(SUMPRODUCT((E722:Q722)*1)=0,0,E722*INDEX(Hours!M:M,MATCH(C722,Hours!$A:$A,0))+F722*INDEX(Hours!B:B,MATCH(C722,Hours!$A:$A,0))+G722*INDEX(Hours!C:C,MATCH(C722,Hours!$A:$A,0))+H722*INDEX(Hours!D:D,MATCH(C722,Hours!$A:$A,0))+I722*INDEX(Hours!E:E,MATCH(C722,Hours!$A:$A,0))+J722*INDEX(Hours!F:F,MATCH(C722,Hours!$A:$A,0))+M722*INDEX(Hours!I:I,MATCH(C722,Hours!$A:$A,0))+N722*INDEX(Hours!J:J,MATCH(C722,Hours!$A:$A,0))+P722*INDEX(Hours!L:L,MATCH(C722,Hours!$A:$A,0)))</f>
        <v>0</v>
      </c>
      <c r="S722" s="19">
        <f t="shared" si="23"/>
        <v>0</v>
      </c>
    </row>
    <row r="723" spans="1:19" x14ac:dyDescent="0.25">
      <c r="A723" s="15" t="str">
        <f>'Bldgs &amp; Rooms'!$A$21</f>
        <v>Main Bldg.</v>
      </c>
      <c r="B723" s="15">
        <f>'Bldgs &amp; Rooms'!$B$21</f>
        <v>0</v>
      </c>
      <c r="C723" s="14" t="str">
        <f>Hours!$A$20</f>
        <v>Oil Filled Transformer - &gt; 15kV Primary (Substation Class)</v>
      </c>
      <c r="D723" s="15">
        <f t="shared" si="22"/>
        <v>0</v>
      </c>
      <c r="E723" s="16"/>
      <c r="F723" s="17"/>
      <c r="G723" s="17"/>
      <c r="H723" s="17"/>
      <c r="I723" s="17"/>
      <c r="J723" s="17"/>
      <c r="K723" s="12"/>
      <c r="L723" s="12"/>
      <c r="M723" s="17"/>
      <c r="N723" s="17"/>
      <c r="O723" s="12"/>
      <c r="P723" s="17"/>
      <c r="Q723" s="17"/>
      <c r="R723" s="18">
        <f>IF(SUMPRODUCT((E723:Q723)*1)=0,0,E723*INDEX(Hours!M:M,MATCH(C723,Hours!$A:$A,0))+F723*INDEX(Hours!B:B,MATCH(C723,Hours!$A:$A,0))+G723*INDEX(Hours!C:C,MATCH(C723,Hours!$A:$A,0))+H723*INDEX(Hours!D:D,MATCH(C723,Hours!$A:$A,0))+I723*INDEX(Hours!E:E,MATCH(C723,Hours!$A:$A,0))+J723*INDEX(Hours!F:F,MATCH(C723,Hours!$A:$A,0))+M723*INDEX(Hours!I:I,MATCH(C723,Hours!$A:$A,0))+N723*INDEX(Hours!J:J,MATCH(C723,Hours!$A:$A,0))+P723*INDEX(Hours!L:L,MATCH(C723,Hours!$A:$A,0)))</f>
        <v>0</v>
      </c>
      <c r="S723" s="19">
        <f t="shared" si="23"/>
        <v>0</v>
      </c>
    </row>
    <row r="724" spans="1:19" x14ac:dyDescent="0.25">
      <c r="A724" s="15" t="str">
        <f>'Bldgs &amp; Rooms'!$A$21</f>
        <v>Main Bldg.</v>
      </c>
      <c r="B724" s="15">
        <f>'Bldgs &amp; Rooms'!$B$21</f>
        <v>0</v>
      </c>
      <c r="C724" s="14" t="str">
        <f>Hours!$A$21</f>
        <v>Dry Type Transformer - &lt; 480V Primary - Any Size kVA</v>
      </c>
      <c r="D724" s="15">
        <f t="shared" si="22"/>
        <v>0</v>
      </c>
      <c r="E724" s="16"/>
      <c r="F724" s="17"/>
      <c r="G724" s="17"/>
      <c r="H724" s="17"/>
      <c r="I724" s="17"/>
      <c r="J724" s="17"/>
      <c r="K724" s="12"/>
      <c r="L724" s="12"/>
      <c r="M724" s="17"/>
      <c r="N724" s="17"/>
      <c r="O724" s="12"/>
      <c r="P724" s="12"/>
      <c r="Q724" s="17"/>
      <c r="R724" s="18">
        <f>IF(SUMPRODUCT((E724:Q724)*1)=0,0,E724*INDEX(Hours!M:M,MATCH(C724,Hours!$A:$A,0))+F724*INDEX(Hours!B:B,MATCH(C724,Hours!$A:$A,0))+G724*INDEX(Hours!C:C,MATCH(C724,Hours!$A:$A,0))+H724*INDEX(Hours!D:D,MATCH(C724,Hours!$A:$A,0))+I724*INDEX(Hours!E:E,MATCH(C724,Hours!$A:$A,0))+J724*INDEX(Hours!F:F,MATCH(C724,Hours!$A:$A,0))+M724*INDEX(Hours!I:I,MATCH(C724,Hours!$A:$A,0))+N724*INDEX(Hours!J:J,MATCH(C724,Hours!$A:$A,0)))</f>
        <v>0</v>
      </c>
      <c r="S724" s="19">
        <f t="shared" si="23"/>
        <v>0</v>
      </c>
    </row>
    <row r="725" spans="1:19" x14ac:dyDescent="0.25">
      <c r="A725" s="15" t="str">
        <f>'Bldgs &amp; Rooms'!$A$21</f>
        <v>Main Bldg.</v>
      </c>
      <c r="B725" s="15">
        <f>'Bldgs &amp; Rooms'!$B$21</f>
        <v>0</v>
      </c>
      <c r="C725" s="14" t="str">
        <f>Hours!$A$22</f>
        <v>Power Factor Correction Capacitors</v>
      </c>
      <c r="D725" s="15">
        <f t="shared" si="22"/>
        <v>0</v>
      </c>
      <c r="E725" s="16"/>
      <c r="F725" s="17"/>
      <c r="G725" s="17"/>
      <c r="H725" s="17"/>
      <c r="I725" s="17"/>
      <c r="J725" s="17"/>
      <c r="K725" s="12"/>
      <c r="L725" s="12"/>
      <c r="M725" s="12"/>
      <c r="N725" s="12"/>
      <c r="O725" s="12"/>
      <c r="P725" s="12"/>
      <c r="Q725" s="17"/>
      <c r="R725" s="18">
        <f>IF(SUMPRODUCT((E725:Q725)*1)=0,0,E725*INDEX(Hours!M:M,MATCH(C725,Hours!$A:$A,0))+F725*INDEX(Hours!B:B,MATCH(C725,Hours!$A:$A,0))+G725*INDEX(Hours!C:C,MATCH(C725,Hours!$A:$A,0))+H725*INDEX(Hours!D:D,MATCH(C725,Hours!$A:$A,0))+I725*INDEX(Hours!E:E,MATCH(C725,Hours!$A:$A,0))+J725*INDEX(Hours!F:F,MATCH(C725,Hours!$A:$A,0)))</f>
        <v>0</v>
      </c>
      <c r="S725" s="19">
        <f t="shared" si="23"/>
        <v>0</v>
      </c>
    </row>
    <row r="726" spans="1:19" x14ac:dyDescent="0.25">
      <c r="A726" s="15" t="str">
        <f>'Bldgs &amp; Rooms'!$A$21</f>
        <v>Main Bldg.</v>
      </c>
      <c r="B726" s="15">
        <f>'Bldgs &amp; Rooms'!$B$21</f>
        <v>0</v>
      </c>
      <c r="C726" s="14" t="str">
        <f>Hours!$A$23</f>
        <v>Lighting Contactor &gt; 100A</v>
      </c>
      <c r="D726" s="15">
        <f t="shared" si="22"/>
        <v>0</v>
      </c>
      <c r="E726" s="16"/>
      <c r="F726" s="17"/>
      <c r="G726" s="17"/>
      <c r="H726" s="17"/>
      <c r="I726" s="17"/>
      <c r="J726" s="17"/>
      <c r="K726" s="12"/>
      <c r="L726" s="12"/>
      <c r="M726" s="12"/>
      <c r="N726" s="12"/>
      <c r="O726" s="12"/>
      <c r="P726" s="12"/>
      <c r="Q726" s="17"/>
      <c r="R726" s="18">
        <f>IF(SUMPRODUCT((E726:Q726)*1)=0,0,E726*INDEX(Hours!M:M,MATCH(C726,Hours!$A:$A,0))+F726*INDEX(Hours!B:B,MATCH(C726,Hours!$A:$A,0))+G726*INDEX(Hours!C:C,MATCH(C726,Hours!$A:$A,0))+H726*INDEX(Hours!D:D,MATCH(C726,Hours!$A:$A,0))+I726*INDEX(Hours!E:E,MATCH(C726,Hours!$A:$A,0))+J726*INDEX(Hours!F:F,MATCH(C726,Hours!$A:$A,0)))</f>
        <v>0</v>
      </c>
      <c r="S726" s="19">
        <f t="shared" si="23"/>
        <v>0</v>
      </c>
    </row>
    <row r="727" spans="1:19" x14ac:dyDescent="0.25">
      <c r="A727" s="15" t="str">
        <f>'Bldgs &amp; Rooms'!$A$21</f>
        <v>Main Bldg.</v>
      </c>
      <c r="B727" s="15">
        <f>'Bldgs &amp; Rooms'!$B$21</f>
        <v>0</v>
      </c>
      <c r="C727" s="14" t="str">
        <f>Hours!$A$24</f>
        <v>Power Distribution Unit (PDU)</v>
      </c>
      <c r="D727" s="15">
        <f t="shared" si="22"/>
        <v>0</v>
      </c>
      <c r="E727" s="16"/>
      <c r="F727" s="17"/>
      <c r="G727" s="17"/>
      <c r="H727" s="17"/>
      <c r="I727" s="17"/>
      <c r="J727" s="17"/>
      <c r="K727" s="12"/>
      <c r="L727" s="12"/>
      <c r="M727" s="12"/>
      <c r="N727" s="12"/>
      <c r="O727" s="12"/>
      <c r="P727" s="12"/>
      <c r="Q727" s="17"/>
      <c r="R727" s="18">
        <f>IF(SUMPRODUCT((E727:Q727)*1)=0,0,E727*INDEX(Hours!M:M,MATCH(C727,Hours!$A:$A,0))+F727*INDEX(Hours!B:B,MATCH(C727,Hours!$A:$A,0))+G727*INDEX(Hours!C:C,MATCH(C727,Hours!$A:$A,0))+H727*INDEX(Hours!D:D,MATCH(C727,Hours!$A:$A,0))+I727*INDEX(Hours!E:E,MATCH(C727,Hours!$A:$A,0))+J727*INDEX(Hours!F:F,MATCH(C727,Hours!$A:$A,0)))</f>
        <v>0</v>
      </c>
      <c r="S727" s="19">
        <f t="shared" si="23"/>
        <v>0</v>
      </c>
    </row>
    <row r="728" spans="1:19" x14ac:dyDescent="0.25">
      <c r="A728" s="15" t="str">
        <f>'Bldgs &amp; Rooms'!$A$21</f>
        <v>Main Bldg.</v>
      </c>
      <c r="B728" s="15">
        <f>'Bldgs &amp; Rooms'!$B$21</f>
        <v>0</v>
      </c>
      <c r="C728" s="14" t="str">
        <f>Hours!$A$25</f>
        <v>Wire Trough, Gutter, or Large Junction Boxes</v>
      </c>
      <c r="D728" s="15">
        <f t="shared" si="22"/>
        <v>0</v>
      </c>
      <c r="E728" s="16"/>
      <c r="F728" s="17"/>
      <c r="G728" s="17"/>
      <c r="H728" s="17"/>
      <c r="I728" s="17"/>
      <c r="J728" s="17"/>
      <c r="K728" s="12"/>
      <c r="L728" s="12"/>
      <c r="M728" s="12"/>
      <c r="N728" s="12"/>
      <c r="O728" s="12"/>
      <c r="P728" s="12"/>
      <c r="Q728" s="17"/>
      <c r="R728" s="18">
        <f>IF(SUMPRODUCT((E728:Q728)*1)=0,0,E728*INDEX(Hours!M:M,MATCH(C728,Hours!$A:$A,0))+F728*INDEX(Hours!B:B,MATCH(C728,Hours!$A:$A,0))+G728*INDEX(Hours!C:C,MATCH(C728,Hours!$A:$A,0))+H728*INDEX(Hours!D:D,MATCH(C728,Hours!$A:$A,0))+I728*INDEX(Hours!E:E,MATCH(C728,Hours!$A:$A,0))+J728*INDEX(Hours!F:F,MATCH(C728,Hours!$A:$A,0)))</f>
        <v>0</v>
      </c>
      <c r="S728" s="19">
        <f t="shared" si="23"/>
        <v>0</v>
      </c>
    </row>
    <row r="729" spans="1:19" x14ac:dyDescent="0.25">
      <c r="A729" s="15" t="str">
        <f>'Bldgs &amp; Rooms'!$A$21</f>
        <v>Main Bldg.</v>
      </c>
      <c r="B729" s="15">
        <f>'Bldgs &amp; Rooms'!$B$21</f>
        <v>0</v>
      </c>
      <c r="C729" s="14" t="str">
        <f>Hours!$A$26</f>
        <v>Bus Duct - Vertical or Horizontal (Per 10' section)</v>
      </c>
      <c r="D729" s="15">
        <f t="shared" si="22"/>
        <v>0</v>
      </c>
      <c r="E729" s="16"/>
      <c r="F729" s="17"/>
      <c r="G729" s="17"/>
      <c r="H729" s="17"/>
      <c r="I729" s="17"/>
      <c r="J729" s="17"/>
      <c r="K729" s="12"/>
      <c r="L729" s="12"/>
      <c r="M729" s="12"/>
      <c r="N729" s="12"/>
      <c r="O729" s="12"/>
      <c r="P729" s="12"/>
      <c r="Q729" s="17"/>
      <c r="R729" s="18">
        <f>IF(SUMPRODUCT((E729:Q729)*1)=0,0,E729*INDEX(Hours!M:M,MATCH(C729,Hours!$A:$A,0))+F729*INDEX(Hours!B:B,MATCH(C729,Hours!$A:$A,0))+G729*INDEX(Hours!C:C,MATCH(C729,Hours!$A:$A,0))+H729*INDEX(Hours!D:D,MATCH(C729,Hours!$A:$A,0))+I729*INDEX(Hours!E:E,MATCH(C729,Hours!$A:$A,0))+J729*INDEX(Hours!F:F,MATCH(C729,Hours!$A:$A,0)))</f>
        <v>0</v>
      </c>
      <c r="S729" s="19">
        <f t="shared" si="23"/>
        <v>0</v>
      </c>
    </row>
    <row r="730" spans="1:19" x14ac:dyDescent="0.25">
      <c r="A730" s="15" t="str">
        <f>'Bldgs &amp; Rooms'!$A$21</f>
        <v>Main Bldg.</v>
      </c>
      <c r="B730" s="15">
        <f>'Bldgs &amp; Rooms'!$B$21</f>
        <v>0</v>
      </c>
      <c r="C730" s="14" t="str">
        <f>Hours!$A$27</f>
        <v>Automatic Transfer Switch (ATS) &gt; 100A</v>
      </c>
      <c r="D730" s="15">
        <f t="shared" si="22"/>
        <v>0</v>
      </c>
      <c r="E730" s="16"/>
      <c r="F730" s="17"/>
      <c r="G730" s="17"/>
      <c r="H730" s="17"/>
      <c r="I730" s="17"/>
      <c r="J730" s="17"/>
      <c r="K730" s="12"/>
      <c r="L730" s="12"/>
      <c r="M730" s="12"/>
      <c r="N730" s="12"/>
      <c r="O730" s="12"/>
      <c r="P730" s="12"/>
      <c r="Q730" s="17"/>
      <c r="R730" s="18">
        <f>IF(SUMPRODUCT((E730:Q730)*1)=0,0,E730*INDEX(Hours!M:M,MATCH(C730,Hours!$A:$A,0))+F730*INDEX(Hours!B:B,MATCH(C730,Hours!$A:$A,0))+G730*INDEX(Hours!C:C,MATCH(C730,Hours!$A:$A,0))+H730*INDEX(Hours!D:D,MATCH(C730,Hours!$A:$A,0))+I730*INDEX(Hours!E:E,MATCH(C730,Hours!$A:$A,0))+J730*INDEX(Hours!F:F,MATCH(C730,Hours!$A:$A,0)))</f>
        <v>0</v>
      </c>
      <c r="S730" s="19">
        <f t="shared" si="23"/>
        <v>0</v>
      </c>
    </row>
    <row r="731" spans="1:19" x14ac:dyDescent="0.25">
      <c r="A731" s="15" t="str">
        <f>'Bldgs &amp; Rooms'!$A$21</f>
        <v>Main Bldg.</v>
      </c>
      <c r="B731" s="15">
        <f>'Bldgs &amp; Rooms'!$B$21</f>
        <v>0</v>
      </c>
      <c r="C731" s="14" t="str">
        <f>Hours!$A$28</f>
        <v>Manual Transfer Switch (MTS) &gt; 100A</v>
      </c>
      <c r="D731" s="15">
        <f t="shared" si="22"/>
        <v>0</v>
      </c>
      <c r="E731" s="16"/>
      <c r="F731" s="17"/>
      <c r="G731" s="17"/>
      <c r="H731" s="17"/>
      <c r="I731" s="17"/>
      <c r="J731" s="17"/>
      <c r="K731" s="12"/>
      <c r="L731" s="12"/>
      <c r="M731" s="12"/>
      <c r="N731" s="12"/>
      <c r="O731" s="12"/>
      <c r="P731" s="12"/>
      <c r="Q731" s="17"/>
      <c r="R731" s="18">
        <f>IF(SUMPRODUCT((E731:Q731)*1)=0,0,E731*INDEX(Hours!M:M,MATCH(C731,Hours!$A:$A,0))+F731*INDEX(Hours!B:B,MATCH(C731,Hours!$A:$A,0))+G731*INDEX(Hours!C:C,MATCH(C731,Hours!$A:$A,0))+H731*INDEX(Hours!D:D,MATCH(C731,Hours!$A:$A,0))+I731*INDEX(Hours!E:E,MATCH(C731,Hours!$A:$A,0))+J731*INDEX(Hours!F:F,MATCH(C731,Hours!$A:$A,0)))</f>
        <v>0</v>
      </c>
      <c r="S731" s="19">
        <f t="shared" si="23"/>
        <v>0</v>
      </c>
    </row>
    <row r="732" spans="1:19" x14ac:dyDescent="0.25">
      <c r="A732" s="15" t="str">
        <f>'Bldgs &amp; Rooms'!$A$21</f>
        <v>Main Bldg.</v>
      </c>
      <c r="B732" s="15">
        <f>'Bldgs &amp; Rooms'!$B$21</f>
        <v>0</v>
      </c>
      <c r="C732" s="14" t="str">
        <f>Hours!$A$29</f>
        <v>Variable Frequency Drives (VFD) &lt; 50 HP</v>
      </c>
      <c r="D732" s="15">
        <f t="shared" si="22"/>
        <v>0</v>
      </c>
      <c r="E732" s="16"/>
      <c r="F732" s="17"/>
      <c r="G732" s="17"/>
      <c r="H732" s="17"/>
      <c r="I732" s="17"/>
      <c r="J732" s="17"/>
      <c r="K732" s="12"/>
      <c r="L732" s="12"/>
      <c r="M732" s="12"/>
      <c r="N732" s="12"/>
      <c r="O732" s="12"/>
      <c r="P732" s="12"/>
      <c r="Q732" s="17"/>
      <c r="R732" s="18">
        <f>IF(SUMPRODUCT((E732:Q732)*1)=0,0,E732*INDEX(Hours!M:M,MATCH(C732,Hours!$A:$A,0))+F732*INDEX(Hours!B:B,MATCH(C732,Hours!$A:$A,0))+G732*INDEX(Hours!C:C,MATCH(C732,Hours!$A:$A,0))+H732*INDEX(Hours!D:D,MATCH(C732,Hours!$A:$A,0))+I732*INDEX(Hours!E:E,MATCH(C732,Hours!$A:$A,0))+J732*INDEX(Hours!F:F,MATCH(C732,Hours!$A:$A,0)))</f>
        <v>0</v>
      </c>
      <c r="S732" s="19">
        <f t="shared" si="23"/>
        <v>0</v>
      </c>
    </row>
    <row r="733" spans="1:19" x14ac:dyDescent="0.25">
      <c r="A733" s="15" t="str">
        <f>'Bldgs &amp; Rooms'!$A$21</f>
        <v>Main Bldg.</v>
      </c>
      <c r="B733" s="15">
        <f>'Bldgs &amp; Rooms'!$B$21</f>
        <v>0</v>
      </c>
      <c r="C733" s="14" t="str">
        <f>Hours!$A$30</f>
        <v>Variable Frequency Drives (VFD) 51-200 HP</v>
      </c>
      <c r="D733" s="15">
        <f t="shared" si="22"/>
        <v>0</v>
      </c>
      <c r="E733" s="16"/>
      <c r="F733" s="17"/>
      <c r="G733" s="17"/>
      <c r="H733" s="17"/>
      <c r="I733" s="17"/>
      <c r="J733" s="17"/>
      <c r="K733" s="12"/>
      <c r="L733" s="12"/>
      <c r="M733" s="12"/>
      <c r="N733" s="12"/>
      <c r="O733" s="12"/>
      <c r="P733" s="12"/>
      <c r="Q733" s="17"/>
      <c r="R733" s="18">
        <f>IF(SUMPRODUCT((E733:Q733)*1)=0,0,E733*INDEX(Hours!M:M,MATCH(C733,Hours!$A:$A,0))+F733*INDEX(Hours!B:B,MATCH(C733,Hours!$A:$A,0))+G733*INDEX(Hours!C:C,MATCH(C733,Hours!$A:$A,0))+H733*INDEX(Hours!D:D,MATCH(C733,Hours!$A:$A,0))+I733*INDEX(Hours!E:E,MATCH(C733,Hours!$A:$A,0))+J733*INDEX(Hours!F:F,MATCH(C733,Hours!$A:$A,0)))</f>
        <v>0</v>
      </c>
      <c r="S733" s="19">
        <f t="shared" si="23"/>
        <v>0</v>
      </c>
    </row>
    <row r="734" spans="1:19" x14ac:dyDescent="0.25">
      <c r="A734" s="15" t="str">
        <f>'Bldgs &amp; Rooms'!$A$21</f>
        <v>Main Bldg.</v>
      </c>
      <c r="B734" s="15">
        <f>'Bldgs &amp; Rooms'!$B$21</f>
        <v>0</v>
      </c>
      <c r="C734" s="14" t="str">
        <f>Hours!$A$31</f>
        <v>Motors &lt; 50 HP</v>
      </c>
      <c r="D734" s="15">
        <f t="shared" si="22"/>
        <v>0</v>
      </c>
      <c r="E734" s="16"/>
      <c r="F734" s="17"/>
      <c r="G734" s="17"/>
      <c r="H734" s="17"/>
      <c r="I734" s="17"/>
      <c r="J734" s="17"/>
      <c r="K734" s="12"/>
      <c r="L734" s="12"/>
      <c r="M734" s="12"/>
      <c r="N734" s="12"/>
      <c r="O734" s="12"/>
      <c r="P734" s="12"/>
      <c r="Q734" s="17"/>
      <c r="R734" s="18">
        <f>IF(SUMPRODUCT((E734:Q734)*1)=0,0,E734*INDEX(Hours!M:M,MATCH(C734,Hours!$A:$A,0))+F734*INDEX(Hours!B:B,MATCH(C734,Hours!$A:$A,0))+G734*INDEX(Hours!C:C,MATCH(C734,Hours!$A:$A,0))+H734*INDEX(Hours!D:D,MATCH(C734,Hours!$A:$A,0))+I734*INDEX(Hours!E:E,MATCH(C734,Hours!$A:$A,0))+J734*INDEX(Hours!F:F,MATCH(C734,Hours!$A:$A,0)))</f>
        <v>0</v>
      </c>
      <c r="S734" s="19">
        <f t="shared" si="23"/>
        <v>0</v>
      </c>
    </row>
    <row r="735" spans="1:19" x14ac:dyDescent="0.25">
      <c r="A735" s="15" t="str">
        <f>'Bldgs &amp; Rooms'!$A$21</f>
        <v>Main Bldg.</v>
      </c>
      <c r="B735" s="15">
        <f>'Bldgs &amp; Rooms'!$B$21</f>
        <v>0</v>
      </c>
      <c r="C735" s="14" t="str">
        <f>Hours!$A$32</f>
        <v>Motors 51-200 HP</v>
      </c>
      <c r="D735" s="15">
        <f t="shared" si="22"/>
        <v>0</v>
      </c>
      <c r="E735" s="16"/>
      <c r="F735" s="17"/>
      <c r="G735" s="17"/>
      <c r="H735" s="17"/>
      <c r="I735" s="17"/>
      <c r="J735" s="17"/>
      <c r="K735" s="12"/>
      <c r="L735" s="12"/>
      <c r="M735" s="12"/>
      <c r="N735" s="12"/>
      <c r="O735" s="12"/>
      <c r="P735" s="12"/>
      <c r="Q735" s="17"/>
      <c r="R735" s="18">
        <f>IF(SUMPRODUCT((E735:Q735)*1)=0,0,E735*INDEX(Hours!M:M,MATCH(C735,Hours!$A:$A,0))+F735*INDEX(Hours!B:B,MATCH(C735,Hours!$A:$A,0))+G735*INDEX(Hours!C:C,MATCH(C735,Hours!$A:$A,0))+H735*INDEX(Hours!D:D,MATCH(C735,Hours!$A:$A,0))+I735*INDEX(Hours!E:E,MATCH(C735,Hours!$A:$A,0))+J735*INDEX(Hours!F:F,MATCH(C735,Hours!$A:$A,0)))</f>
        <v>0</v>
      </c>
      <c r="S735" s="19">
        <f t="shared" si="23"/>
        <v>0</v>
      </c>
    </row>
    <row r="736" spans="1:19" x14ac:dyDescent="0.25">
      <c r="A736" s="15" t="str">
        <f>'Bldgs &amp; Rooms'!$A$21</f>
        <v>Main Bldg.</v>
      </c>
      <c r="B736" s="15">
        <f>'Bldgs &amp; Rooms'!$B$21</f>
        <v>0</v>
      </c>
      <c r="C736" s="14" t="str">
        <f>Hours!$A$33</f>
        <v>Motors 201-500 HP</v>
      </c>
      <c r="D736" s="15">
        <f t="shared" si="22"/>
        <v>0</v>
      </c>
      <c r="E736" s="16"/>
      <c r="F736" s="17"/>
      <c r="G736" s="17"/>
      <c r="H736" s="17"/>
      <c r="I736" s="17"/>
      <c r="J736" s="17"/>
      <c r="K736" s="12"/>
      <c r="L736" s="12"/>
      <c r="M736" s="12"/>
      <c r="N736" s="12"/>
      <c r="O736" s="12"/>
      <c r="P736" s="12"/>
      <c r="Q736" s="17"/>
      <c r="R736" s="18">
        <f>IF(SUMPRODUCT((E736:Q736)*1)=0,0,E736*INDEX(Hours!M:M,MATCH(C736,Hours!$A:$A,0))+F736*INDEX(Hours!B:B,MATCH(C736,Hours!$A:$A,0))+G736*INDEX(Hours!C:C,MATCH(C736,Hours!$A:$A,0))+H736*INDEX(Hours!D:D,MATCH(C736,Hours!$A:$A,0))+I736*INDEX(Hours!E:E,MATCH(C736,Hours!$A:$A,0))+J736*INDEX(Hours!F:F,MATCH(C736,Hours!$A:$A,0)))</f>
        <v>0</v>
      </c>
      <c r="S736" s="19">
        <f t="shared" si="23"/>
        <v>0</v>
      </c>
    </row>
    <row r="737" spans="1:19" x14ac:dyDescent="0.25">
      <c r="A737" s="15" t="str">
        <f>'Bldgs &amp; Rooms'!$A$21</f>
        <v>Main Bldg.</v>
      </c>
      <c r="B737" s="15">
        <f>'Bldgs &amp; Rooms'!$B$21</f>
        <v>0</v>
      </c>
      <c r="C737" s="14" t="str">
        <f>Hours!$A$34</f>
        <v>Compressed Air Equipment</v>
      </c>
      <c r="D737" s="15">
        <f t="shared" si="22"/>
        <v>0</v>
      </c>
      <c r="E737" s="16"/>
      <c r="F737" s="17"/>
      <c r="G737" s="17"/>
      <c r="H737" s="17"/>
      <c r="I737" s="17"/>
      <c r="J737" s="17"/>
      <c r="K737" s="12"/>
      <c r="L737" s="12"/>
      <c r="M737" s="12"/>
      <c r="N737" s="12"/>
      <c r="O737" s="12"/>
      <c r="P737" s="12"/>
      <c r="Q737" s="17"/>
      <c r="R737" s="18">
        <f>IF(SUMPRODUCT((E737:Q737)*1)=0,0,E737*INDEX(Hours!M:M,MATCH(C737,Hours!$A:$A,0))+F737*INDEX(Hours!B:B,MATCH(C737,Hours!$A:$A,0))+G737*INDEX(Hours!C:C,MATCH(C737,Hours!$A:$A,0))+H737*INDEX(Hours!D:D,MATCH(C737,Hours!$A:$A,0))+I737*INDEX(Hours!E:E,MATCH(C737,Hours!$A:$A,0))+J737*INDEX(Hours!F:F,MATCH(C737,Hours!$A:$A,0)))</f>
        <v>0</v>
      </c>
      <c r="S737" s="19">
        <f t="shared" si="23"/>
        <v>0</v>
      </c>
    </row>
    <row r="738" spans="1:19" x14ac:dyDescent="0.25">
      <c r="A738" s="15" t="str">
        <f>'Bldgs &amp; Rooms'!$A$21</f>
        <v>Main Bldg.</v>
      </c>
      <c r="B738" s="15">
        <f>'Bldgs &amp; Rooms'!$B$21</f>
        <v>0</v>
      </c>
      <c r="C738" s="14" t="str">
        <f>Hours!$A$35</f>
        <v>HVAC Equipment (Large)</v>
      </c>
      <c r="D738" s="15">
        <f t="shared" si="22"/>
        <v>0</v>
      </c>
      <c r="E738" s="16"/>
      <c r="F738" s="17"/>
      <c r="G738" s="17"/>
      <c r="H738" s="17"/>
      <c r="I738" s="17"/>
      <c r="J738" s="17"/>
      <c r="K738" s="12"/>
      <c r="L738" s="12"/>
      <c r="M738" s="12"/>
      <c r="N738" s="12"/>
      <c r="O738" s="12"/>
      <c r="P738" s="12"/>
      <c r="Q738" s="17"/>
      <c r="R738" s="18">
        <f>IF(SUMPRODUCT((E738:Q738)*1)=0,0,E738*INDEX(Hours!M:M,MATCH(C738,Hours!$A:$A,0))+F738*INDEX(Hours!B:B,MATCH(C738,Hours!$A:$A,0))+G738*INDEX(Hours!C:C,MATCH(C738,Hours!$A:$A,0))+H738*INDEX(Hours!D:D,MATCH(C738,Hours!$A:$A,0))+I738*INDEX(Hours!E:E,MATCH(C738,Hours!$A:$A,0))+J738*INDEX(Hours!F:F,MATCH(C738,Hours!$A:$A,0)))</f>
        <v>0</v>
      </c>
      <c r="S738" s="19">
        <f t="shared" si="23"/>
        <v>0</v>
      </c>
    </row>
    <row r="739" spans="1:19" x14ac:dyDescent="0.25">
      <c r="A739" s="15" t="str">
        <f>'Bldgs &amp; Rooms'!$A$21</f>
        <v>Main Bldg.</v>
      </c>
      <c r="B739" s="15">
        <f>'Bldgs &amp; Rooms'!$B$21</f>
        <v>0</v>
      </c>
      <c r="C739" s="14" t="str">
        <f>Hours!$A$36</f>
        <v>HVAC Equipment (Small)</v>
      </c>
      <c r="D739" s="15">
        <f t="shared" si="22"/>
        <v>0</v>
      </c>
      <c r="E739" s="16"/>
      <c r="F739" s="17"/>
      <c r="G739" s="17"/>
      <c r="H739" s="17"/>
      <c r="I739" s="17"/>
      <c r="J739" s="17"/>
      <c r="K739" s="12"/>
      <c r="L739" s="12"/>
      <c r="M739" s="12"/>
      <c r="N739" s="12"/>
      <c r="O739" s="12"/>
      <c r="P739" s="12"/>
      <c r="Q739" s="17"/>
      <c r="R739" s="18">
        <f>IF(SUMPRODUCT((E739:Q739)*1)=0,0,E739*INDEX(Hours!M:M,MATCH(C739,Hours!$A:$A,0))+F739*INDEX(Hours!B:B,MATCH(C739,Hours!$A:$A,0))+G739*INDEX(Hours!C:C,MATCH(C739,Hours!$A:$A,0))+H739*INDEX(Hours!D:D,MATCH(C739,Hours!$A:$A,0))+I739*INDEX(Hours!E:E,MATCH(C739,Hours!$A:$A,0))+J739*INDEX(Hours!F:F,MATCH(C739,Hours!$A:$A,0)))</f>
        <v>0</v>
      </c>
      <c r="S739" s="19">
        <f t="shared" si="23"/>
        <v>0</v>
      </c>
    </row>
    <row r="740" spans="1:19" x14ac:dyDescent="0.25">
      <c r="A740" s="15" t="str">
        <f>'Bldgs &amp; Rooms'!$A$21</f>
        <v>Main Bldg.</v>
      </c>
      <c r="B740" s="15">
        <f>'Bldgs &amp; Rooms'!$B$21</f>
        <v>0</v>
      </c>
      <c r="C740" s="14" t="str">
        <f>Hours!$A$37</f>
        <v>Uninterruptible Power Supply (UPS) &lt; 50kVA</v>
      </c>
      <c r="D740" s="15">
        <f t="shared" si="22"/>
        <v>0</v>
      </c>
      <c r="E740" s="16"/>
      <c r="F740" s="17"/>
      <c r="G740" s="17"/>
      <c r="H740" s="17"/>
      <c r="I740" s="17"/>
      <c r="J740" s="17"/>
      <c r="K740" s="12"/>
      <c r="L740" s="12"/>
      <c r="M740" s="12"/>
      <c r="N740" s="12"/>
      <c r="O740" s="12"/>
      <c r="P740" s="12"/>
      <c r="Q740" s="17"/>
      <c r="R740" s="18">
        <f>IF(SUMPRODUCT((E740:Q740)*1)=0,0,E740*INDEX(Hours!M:M,MATCH(C740,Hours!$A:$A,0))+F740*INDEX(Hours!B:B,MATCH(C740,Hours!$A:$A,0))+G740*INDEX(Hours!C:C,MATCH(C740,Hours!$A:$A,0))+H740*INDEX(Hours!D:D,MATCH(C740,Hours!$A:$A,0))+I740*INDEX(Hours!E:E,MATCH(C740,Hours!$A:$A,0))+J740*INDEX(Hours!F:F,MATCH(C740,Hours!$A:$A,0)))</f>
        <v>0</v>
      </c>
      <c r="S740" s="19">
        <f t="shared" si="23"/>
        <v>0</v>
      </c>
    </row>
    <row r="741" spans="1:19" x14ac:dyDescent="0.25">
      <c r="A741" s="15" t="str">
        <f>'Bldgs &amp; Rooms'!$A$21</f>
        <v>Main Bldg.</v>
      </c>
      <c r="B741" s="15">
        <f>'Bldgs &amp; Rooms'!$B$21</f>
        <v>0</v>
      </c>
      <c r="C741" s="14" t="str">
        <f>Hours!$A$38</f>
        <v>Uninterruptible Power Supply (UPS) &gt; 50kVA</v>
      </c>
      <c r="D741" s="15">
        <f t="shared" si="22"/>
        <v>0</v>
      </c>
      <c r="E741" s="16"/>
      <c r="F741" s="17"/>
      <c r="G741" s="17"/>
      <c r="H741" s="17"/>
      <c r="I741" s="17"/>
      <c r="J741" s="17"/>
      <c r="K741" s="12"/>
      <c r="L741" s="12"/>
      <c r="M741" s="12"/>
      <c r="N741" s="12"/>
      <c r="O741" s="12"/>
      <c r="P741" s="12"/>
      <c r="Q741" s="17"/>
      <c r="R741" s="18">
        <f>IF(SUMPRODUCT((E741:Q741)*1)=0,0,E741*INDEX(Hours!M:M,MATCH(C741,Hours!$A:$A,0))+F741*INDEX(Hours!B:B,MATCH(C741,Hours!$A:$A,0))+G741*INDEX(Hours!C:C,MATCH(C741,Hours!$A:$A,0))+H741*INDEX(Hours!D:D,MATCH(C741,Hours!$A:$A,0))+I741*INDEX(Hours!E:E,MATCH(C741,Hours!$A:$A,0))+J741*INDEX(Hours!F:F,MATCH(C741,Hours!$A:$A,0)))</f>
        <v>0</v>
      </c>
      <c r="S741" s="19">
        <f t="shared" si="23"/>
        <v>0</v>
      </c>
    </row>
    <row r="742" spans="1:19" x14ac:dyDescent="0.25">
      <c r="A742" s="11" t="str">
        <f>'Bldgs &amp; Rooms'!$A$22</f>
        <v>Main Bldg.</v>
      </c>
      <c r="B742" s="11">
        <f>'Bldgs &amp; Rooms'!$B$22</f>
        <v>0</v>
      </c>
      <c r="C742" s="10" t="str">
        <f>Hours!$A$2</f>
        <v>Switchgear - Incoming Main Service (Per Section)</v>
      </c>
      <c r="D742" s="11">
        <f t="shared" si="22"/>
        <v>0</v>
      </c>
      <c r="E742" s="16"/>
      <c r="F742" s="17"/>
      <c r="G742" s="17"/>
      <c r="H742" s="17"/>
      <c r="I742" s="17"/>
      <c r="J742" s="17"/>
      <c r="K742" s="17"/>
      <c r="L742" s="17"/>
      <c r="M742" s="12"/>
      <c r="N742" s="12"/>
      <c r="O742" s="17"/>
      <c r="P742" s="12"/>
      <c r="Q742" s="17"/>
      <c r="R742" s="18">
        <f>IF(SUMPRODUCT((E742:Q742)*1)=0,0,E742*INDEX(Hours!M:M,MATCH(C742,Hours!$A:$A,0))+F742*INDEX(Hours!B:B,MATCH(C742,Hours!$A:$A,0))+G742*INDEX(Hours!C:C,MATCH(C742,Hours!$A:$A,0))+H742*INDEX(Hours!D:D,MATCH(C742,Hours!$A:$A,0))+I742*INDEX(Hours!E:E,MATCH(C742,Hours!$A:$A,0))+J742*INDEX(Hours!F:F,MATCH(C742,Hours!$A:$A,0))+K742*INDEX(Hours!G:G,MATCH(C742,Hours!$A:$A,0))+L742*INDEX(Hours!H:H,MATCH(C742,Hours!$A:$A,0))+O742*INDEX(Hours!K:K,MATCH(C742,Hours!$A:$A,0)))</f>
        <v>0</v>
      </c>
      <c r="S742" s="19">
        <f t="shared" si="23"/>
        <v>0</v>
      </c>
    </row>
    <row r="743" spans="1:19" x14ac:dyDescent="0.25">
      <c r="A743" s="11" t="str">
        <f>'Bldgs &amp; Rooms'!$A$22</f>
        <v>Main Bldg.</v>
      </c>
      <c r="B743" s="11">
        <f>'Bldgs &amp; Rooms'!$B$22</f>
        <v>0</v>
      </c>
      <c r="C743" s="10" t="str">
        <f>Hours!$A$3</f>
        <v xml:space="preserve">  Switchgear Insulated Case Breakers (Bus Mounted)</v>
      </c>
      <c r="D743" s="11">
        <f t="shared" si="22"/>
        <v>0</v>
      </c>
      <c r="E743" s="16"/>
      <c r="F743" s="17"/>
      <c r="G743" s="17"/>
      <c r="H743" s="17"/>
      <c r="I743" s="17"/>
      <c r="J743" s="17"/>
      <c r="K743" s="17"/>
      <c r="L743" s="12"/>
      <c r="M743" s="12"/>
      <c r="N743" s="12"/>
      <c r="O743" s="12"/>
      <c r="P743" s="12"/>
      <c r="Q743" s="17"/>
      <c r="R743" s="18">
        <f>IF(SUMPRODUCT((E743:Q743)*1)=0,0,E743*INDEX(Hours!M:M,MATCH(C743,Hours!$A:$A,0))+F743*INDEX(Hours!B:B,MATCH(C743,Hours!$A:$A,0))+G743*INDEX(Hours!C:C,MATCH(C743,Hours!$A:$A,0))+H743*INDEX(Hours!D:D,MATCH(C743,Hours!$A:$A,0))+I743*INDEX(Hours!E:E,MATCH(C743,Hours!$A:$A,0))+J743*INDEX(Hours!F:F,MATCH(C743,Hours!$A:$A,0))+K743*INDEX(Hours!G:G,MATCH(C743,Hours!$A:$A,0)))</f>
        <v>0</v>
      </c>
      <c r="S743" s="19">
        <f t="shared" si="23"/>
        <v>0</v>
      </c>
    </row>
    <row r="744" spans="1:19" x14ac:dyDescent="0.25">
      <c r="A744" s="11" t="str">
        <f>'Bldgs &amp; Rooms'!$A$22</f>
        <v>Main Bldg.</v>
      </c>
      <c r="B744" s="11">
        <f>'Bldgs &amp; Rooms'!$B$22</f>
        <v>0</v>
      </c>
      <c r="C744" s="10" t="str">
        <f>Hours!$A$4</f>
        <v xml:space="preserve">  SwitchGear Drawout Breakers</v>
      </c>
      <c r="D744" s="11">
        <f t="shared" si="22"/>
        <v>0</v>
      </c>
      <c r="E744" s="16"/>
      <c r="F744" s="17"/>
      <c r="G744" s="17"/>
      <c r="H744" s="17"/>
      <c r="I744" s="17"/>
      <c r="J744" s="17"/>
      <c r="K744" s="12"/>
      <c r="L744" s="17"/>
      <c r="M744" s="12"/>
      <c r="N744" s="12"/>
      <c r="O744" s="12"/>
      <c r="P744" s="12"/>
      <c r="Q744" s="17"/>
      <c r="R744" s="18">
        <f>IF(SUMPRODUCT((E744:Q744)*1)=0,0,E744*INDEX(Hours!M:M,MATCH(C744,Hours!$A:$A,0))+F744*INDEX(Hours!B:B,MATCH(C744,Hours!$A:$A,0))+G744*INDEX(Hours!C:C,MATCH(C744,Hours!$A:$A,0))+H744*INDEX(Hours!D:D,MATCH(C744,Hours!$A:$A,0))+I744*INDEX(Hours!E:E,MATCH(C744,Hours!$A:$A,0))+J744*INDEX(Hours!F:F,MATCH(C744,Hours!$A:$A,0))+L744*INDEX(Hours!H:H,MATCH(C744,Hours!$A:$A,0)))</f>
        <v>0</v>
      </c>
      <c r="S744" s="19">
        <f t="shared" si="23"/>
        <v>0</v>
      </c>
    </row>
    <row r="745" spans="1:19" x14ac:dyDescent="0.25">
      <c r="A745" s="11" t="str">
        <f>'Bldgs &amp; Rooms'!$A$22</f>
        <v>Main Bldg.</v>
      </c>
      <c r="B745" s="11">
        <f>'Bldgs &amp; Rooms'!$B$22</f>
        <v>0</v>
      </c>
      <c r="C745" s="10" t="str">
        <f>Hours!$A$5</f>
        <v>Distribution Switchboard Multi Cover (Per Section)</v>
      </c>
      <c r="D745" s="11">
        <f t="shared" si="22"/>
        <v>0</v>
      </c>
      <c r="E745" s="16"/>
      <c r="F745" s="17"/>
      <c r="G745" s="17"/>
      <c r="H745" s="17"/>
      <c r="I745" s="17"/>
      <c r="J745" s="17"/>
      <c r="K745" s="17"/>
      <c r="L745" s="12"/>
      <c r="M745" s="12"/>
      <c r="N745" s="12"/>
      <c r="O745" s="17"/>
      <c r="P745" s="12"/>
      <c r="Q745" s="17"/>
      <c r="R745" s="18">
        <f>IF(SUMPRODUCT((E745:Q745)*1)=0,0,E745*INDEX(Hours!M:M,MATCH(C745,Hours!$A:$A,0))+F745*INDEX(Hours!B:B,MATCH(C745,Hours!$A:$A,0))+G745*INDEX(Hours!C:C,MATCH(C745,Hours!$A:$A,0))+H745*INDEX(Hours!D:D,MATCH(C745,Hours!$A:$A,0))+I745*INDEX(Hours!E:E,MATCH(C745,Hours!$A:$A,0))+J745*INDEX(Hours!F:F,MATCH(C745,Hours!$A:$A,0))+K745*INDEX(Hours!G:G,MATCH(C745,Hours!$A:$A,0))+O745*INDEX(Hours!K:K,MATCH(C745,Hours!$A:$A,0)))</f>
        <v>0</v>
      </c>
      <c r="S745" s="19">
        <f t="shared" si="23"/>
        <v>0</v>
      </c>
    </row>
    <row r="746" spans="1:19" x14ac:dyDescent="0.25">
      <c r="A746" s="11" t="str">
        <f>'Bldgs &amp; Rooms'!$A$22</f>
        <v>Main Bldg.</v>
      </c>
      <c r="B746" s="11">
        <f>'Bldgs &amp; Rooms'!$B$22</f>
        <v>0</v>
      </c>
      <c r="C746" s="10" t="str">
        <f>Hours!$A$6</f>
        <v xml:space="preserve">  Switchboard Disconnects</v>
      </c>
      <c r="D746" s="11">
        <f t="shared" si="22"/>
        <v>0</v>
      </c>
      <c r="E746" s="16"/>
      <c r="F746" s="17"/>
      <c r="G746" s="17"/>
      <c r="H746" s="17"/>
      <c r="I746" s="17"/>
      <c r="J746" s="17"/>
      <c r="K746" s="12"/>
      <c r="L746" s="12"/>
      <c r="M746" s="12"/>
      <c r="N746" s="12"/>
      <c r="O746" s="12"/>
      <c r="P746" s="12"/>
      <c r="Q746" s="17"/>
      <c r="R746" s="18">
        <f>IF(SUMPRODUCT((E746:Q746)*1)=0,0,E746*INDEX(Hours!M:M,MATCH(C746,Hours!$A:$A,0))+F746*INDEX(Hours!B:B,MATCH(C746,Hours!$A:$A,0))+G746*INDEX(Hours!C:C,MATCH(C746,Hours!$A:$A,0))+H746*INDEX(Hours!D:D,MATCH(C746,Hours!$A:$A,0))+I746*INDEX(Hours!E:E,MATCH(C746,Hours!$A:$A,0))+J746*INDEX(Hours!F:F,MATCH(C746,Hours!$A:$A,0)))</f>
        <v>0</v>
      </c>
      <c r="S746" s="19">
        <f t="shared" si="23"/>
        <v>0</v>
      </c>
    </row>
    <row r="747" spans="1:19" x14ac:dyDescent="0.25">
      <c r="A747" s="11" t="str">
        <f>'Bldgs &amp; Rooms'!$A$22</f>
        <v>Main Bldg.</v>
      </c>
      <c r="B747" s="11">
        <f>'Bldgs &amp; Rooms'!$B$22</f>
        <v>0</v>
      </c>
      <c r="C747" s="10" t="str">
        <f>Hours!$A$7</f>
        <v xml:space="preserve">  Switchboard Molded Case Breakers</v>
      </c>
      <c r="D747" s="11">
        <f t="shared" si="22"/>
        <v>0</v>
      </c>
      <c r="E747" s="16"/>
      <c r="F747" s="17"/>
      <c r="G747" s="17"/>
      <c r="H747" s="17"/>
      <c r="I747" s="17"/>
      <c r="J747" s="17"/>
      <c r="K747" s="17"/>
      <c r="L747" s="12"/>
      <c r="M747" s="12"/>
      <c r="N747" s="12"/>
      <c r="O747" s="12"/>
      <c r="P747" s="12"/>
      <c r="Q747" s="17"/>
      <c r="R747" s="18">
        <f>IF(SUMPRODUCT((E747:Q747)*1)=0,0,E747*INDEX(Hours!M:M,MATCH(C747,Hours!$A:$A,0))+F747*INDEX(Hours!B:B,MATCH(C747,Hours!$A:$A,0))+G747*INDEX(Hours!C:C,MATCH(C747,Hours!$A:$A,0))+H747*INDEX(Hours!D:D,MATCH(C747,Hours!$A:$A,0))+I747*INDEX(Hours!E:E,MATCH(C747,Hours!$A:$A,0))+J747*INDEX(Hours!F:F,MATCH(C747,Hours!$A:$A,0))+K747*INDEX(Hours!G:G,MATCH(C747,Hours!$A:$A,0)))</f>
        <v>0</v>
      </c>
      <c r="S747" s="19">
        <f t="shared" si="23"/>
        <v>0</v>
      </c>
    </row>
    <row r="748" spans="1:19" x14ac:dyDescent="0.25">
      <c r="A748" s="11" t="str">
        <f>'Bldgs &amp; Rooms'!$A$22</f>
        <v>Main Bldg.</v>
      </c>
      <c r="B748" s="11">
        <f>'Bldgs &amp; Rooms'!$B$22</f>
        <v>0</v>
      </c>
      <c r="C748" s="10" t="str">
        <f>Hours!$A$8</f>
        <v>Panelboard-Single Cover &gt; 400A (Distribution Panel)</v>
      </c>
      <c r="D748" s="11">
        <f t="shared" si="22"/>
        <v>0</v>
      </c>
      <c r="E748" s="16"/>
      <c r="F748" s="17"/>
      <c r="G748" s="17"/>
      <c r="H748" s="17"/>
      <c r="I748" s="17"/>
      <c r="J748" s="17"/>
      <c r="K748" s="17"/>
      <c r="L748" s="12"/>
      <c r="M748" s="12"/>
      <c r="N748" s="12"/>
      <c r="O748" s="17"/>
      <c r="P748" s="12"/>
      <c r="Q748" s="17"/>
      <c r="R748" s="18">
        <f>IF(SUMPRODUCT((E748:Q748)*1)=0,0,E748*INDEX(Hours!M:M,MATCH(C748,Hours!$A:$A,0))+F748*INDEX(Hours!B:B,MATCH(C748,Hours!$A:$A,0))+G748*INDEX(Hours!C:C,MATCH(C748,Hours!$A:$A,0))+H748*INDEX(Hours!D:D,MATCH(C748,Hours!$A:$A,0))+I748*INDEX(Hours!E:E,MATCH(C748,Hours!$A:$A,0))+J748*INDEX(Hours!F:F,MATCH(C748,Hours!$A:$A,0))+K748*INDEX(Hours!G:G,MATCH(C748,Hours!$A:$A,0))+O748*INDEX(Hours!K:K,MATCH(C748,Hours!$A:$A,0)))</f>
        <v>0</v>
      </c>
      <c r="S748" s="19">
        <f t="shared" si="23"/>
        <v>0</v>
      </c>
    </row>
    <row r="749" spans="1:19" x14ac:dyDescent="0.25">
      <c r="A749" s="11" t="str">
        <f>'Bldgs &amp; Rooms'!$A$22</f>
        <v>Main Bldg.</v>
      </c>
      <c r="B749" s="11">
        <f>'Bldgs &amp; Rooms'!$B$22</f>
        <v>0</v>
      </c>
      <c r="C749" s="10" t="str">
        <f>Hours!$A$9</f>
        <v>Panelboard-Single Cover &lt; 400A (Branch Ckt Panel)</v>
      </c>
      <c r="D749" s="11">
        <f t="shared" si="22"/>
        <v>0</v>
      </c>
      <c r="E749" s="16"/>
      <c r="F749" s="17"/>
      <c r="G749" s="17"/>
      <c r="H749" s="17"/>
      <c r="I749" s="17"/>
      <c r="J749" s="17"/>
      <c r="K749" s="12"/>
      <c r="L749" s="12"/>
      <c r="M749" s="12"/>
      <c r="N749" s="12"/>
      <c r="O749" s="17"/>
      <c r="P749" s="12"/>
      <c r="Q749" s="17"/>
      <c r="R749" s="18">
        <f>IF(SUMPRODUCT((E749:Q749)*1)=0,0,E749*INDEX(Hours!M:M,MATCH(C749,Hours!$A:$A,0))+F749*INDEX(Hours!B:B,MATCH(C749,Hours!$A:$A,0))+G749*INDEX(Hours!C:C,MATCH(C749,Hours!$A:$A,0))+H749*INDEX(Hours!D:D,MATCH(C749,Hours!$A:$A,0))+I749*INDEX(Hours!E:E,MATCH(C749,Hours!$A:$A,0))+J749*INDEX(Hours!F:F,MATCH(C749,Hours!$A:$A,0))+O749*INDEX(Hours!K:K,MATCH(C749,Hours!$A:$A,0)))</f>
        <v>0</v>
      </c>
      <c r="S749" s="19">
        <f t="shared" si="23"/>
        <v>0</v>
      </c>
    </row>
    <row r="750" spans="1:19" x14ac:dyDescent="0.25">
      <c r="A750" s="11" t="str">
        <f>'Bldgs &amp; Rooms'!$A$22</f>
        <v>Main Bldg.</v>
      </c>
      <c r="B750" s="11">
        <f>'Bldgs &amp; Rooms'!$B$22</f>
        <v>0</v>
      </c>
      <c r="C750" s="10" t="str">
        <f>Hours!$A$10</f>
        <v>Motor Control Center (MCC-Per Vertical Section)</v>
      </c>
      <c r="D750" s="11">
        <f t="shared" si="22"/>
        <v>0</v>
      </c>
      <c r="E750" s="16"/>
      <c r="F750" s="17"/>
      <c r="G750" s="17"/>
      <c r="H750" s="17"/>
      <c r="I750" s="17"/>
      <c r="J750" s="17"/>
      <c r="K750" s="12"/>
      <c r="L750" s="12"/>
      <c r="M750" s="12"/>
      <c r="N750" s="12"/>
      <c r="O750" s="17"/>
      <c r="P750" s="12"/>
      <c r="Q750" s="17"/>
      <c r="R750" s="18">
        <f>IF(SUMPRODUCT((E750:Q750)*1)=0,0,E750*INDEX(Hours!M:M,MATCH(C750,Hours!$A:$A,0))+F750*INDEX(Hours!B:B,MATCH(C750,Hours!$A:$A,0))+G750*INDEX(Hours!C:C,MATCH(C750,Hours!$A:$A,0))+H750*INDEX(Hours!D:D,MATCH(C750,Hours!$A:$A,0))+I750*INDEX(Hours!E:E,MATCH(C750,Hours!$A:$A,0))+J750*INDEX(Hours!F:F,MATCH(C750,Hours!$A:$A,0))+O750*INDEX(Hours!K:K,MATCH(C750,Hours!$A:$A,0)))</f>
        <v>0</v>
      </c>
      <c r="S750" s="19">
        <f t="shared" si="23"/>
        <v>0</v>
      </c>
    </row>
    <row r="751" spans="1:19" x14ac:dyDescent="0.25">
      <c r="A751" s="11" t="str">
        <f>'Bldgs &amp; Rooms'!$A$22</f>
        <v>Main Bldg.</v>
      </c>
      <c r="B751" s="11">
        <f>'Bldgs &amp; Rooms'!$B$22</f>
        <v>0</v>
      </c>
      <c r="C751" s="10" t="str">
        <f>Hours!$A$11</f>
        <v xml:space="preserve">  MCC: Combination Motor Starters</v>
      </c>
      <c r="D751" s="11">
        <f t="shared" si="22"/>
        <v>0</v>
      </c>
      <c r="E751" s="16"/>
      <c r="F751" s="17"/>
      <c r="G751" s="17"/>
      <c r="H751" s="17"/>
      <c r="I751" s="17"/>
      <c r="J751" s="17"/>
      <c r="K751" s="17"/>
      <c r="L751" s="12"/>
      <c r="M751" s="12"/>
      <c r="N751" s="12"/>
      <c r="O751" s="17"/>
      <c r="P751" s="12"/>
      <c r="Q751" s="17"/>
      <c r="R751" s="18">
        <f>IF(SUMPRODUCT((E751:Q751)*1)=0,0,E751*INDEX(Hours!M:M,MATCH(C751,Hours!$A:$A,0))+F751*INDEX(Hours!B:B,MATCH(C751,Hours!$A:$A,0))+G751*INDEX(Hours!C:C,MATCH(C751,Hours!$A:$A,0))+H751*INDEX(Hours!D:D,MATCH(C751,Hours!$A:$A,0))+I751*INDEX(Hours!E:E,MATCH(C751,Hours!$A:$A,0))+J751*INDEX(Hours!F:F,MATCH(C751,Hours!$A:$A,0))+K751*INDEX(Hours!G:G,MATCH(C751,Hours!$A:$A,0))+O751*INDEX(Hours!K:K,MATCH(C751,Hours!$A:$A,0)))</f>
        <v>0</v>
      </c>
      <c r="S751" s="19">
        <f t="shared" si="23"/>
        <v>0</v>
      </c>
    </row>
    <row r="752" spans="1:19" x14ac:dyDescent="0.25">
      <c r="A752" s="11" t="str">
        <f>'Bldgs &amp; Rooms'!$A$22</f>
        <v>Main Bldg.</v>
      </c>
      <c r="B752" s="11">
        <f>'Bldgs &amp; Rooms'!$B$22</f>
        <v>0</v>
      </c>
      <c r="C752" s="10" t="str">
        <f>Hours!$A$12</f>
        <v xml:space="preserve">  MCC: Molded Case Breaker</v>
      </c>
      <c r="D752" s="11">
        <f t="shared" si="22"/>
        <v>0</v>
      </c>
      <c r="E752" s="16"/>
      <c r="F752" s="17"/>
      <c r="G752" s="17"/>
      <c r="H752" s="17"/>
      <c r="I752" s="17"/>
      <c r="J752" s="17"/>
      <c r="K752" s="17"/>
      <c r="L752" s="12"/>
      <c r="M752" s="12"/>
      <c r="N752" s="12"/>
      <c r="O752" s="12"/>
      <c r="P752" s="12"/>
      <c r="Q752" s="17"/>
      <c r="R752" s="18">
        <f>IF(SUMPRODUCT((E752:Q752)*1)=0,0,E752*INDEX(Hours!M:M,MATCH(C752,Hours!$A:$A,0))+F752*INDEX(Hours!B:B,MATCH(C752,Hours!$A:$A,0))+G752*INDEX(Hours!C:C,MATCH(C752,Hours!$A:$A,0))+H752*INDEX(Hours!D:D,MATCH(C752,Hours!$A:$A,0))+I752*INDEX(Hours!E:E,MATCH(C752,Hours!$A:$A,0))+J752*INDEX(Hours!F:F,MATCH(C752,Hours!$A:$A,0))+K752*INDEX(Hours!G:G,MATCH(C752,Hours!$A:$A,0)))</f>
        <v>0</v>
      </c>
      <c r="S752" s="19">
        <f t="shared" si="23"/>
        <v>0</v>
      </c>
    </row>
    <row r="753" spans="1:19" x14ac:dyDescent="0.25">
      <c r="A753" s="11" t="str">
        <f>'Bldgs &amp; Rooms'!$A$22</f>
        <v>Main Bldg.</v>
      </c>
      <c r="B753" s="11">
        <f>'Bldgs &amp; Rooms'!$B$22</f>
        <v>0</v>
      </c>
      <c r="C753" s="10" t="str">
        <f>Hours!$A$13</f>
        <v xml:space="preserve">  MCC: Individual Disconnect Switch</v>
      </c>
      <c r="D753" s="11">
        <f t="shared" si="22"/>
        <v>0</v>
      </c>
      <c r="E753" s="16"/>
      <c r="F753" s="17"/>
      <c r="G753" s="17"/>
      <c r="H753" s="17"/>
      <c r="I753" s="17"/>
      <c r="J753" s="17"/>
      <c r="K753" s="12"/>
      <c r="L753" s="12"/>
      <c r="M753" s="12"/>
      <c r="N753" s="12"/>
      <c r="O753" s="12"/>
      <c r="P753" s="12"/>
      <c r="Q753" s="17"/>
      <c r="R753" s="18">
        <f>IF(SUMPRODUCT((E753:Q753)*1)=0,0,E753*INDEX(Hours!M:M,MATCH(C753,Hours!$A:$A,0))+F753*INDEX(Hours!B:B,MATCH(C753,Hours!$A:$A,0))+G753*INDEX(Hours!C:C,MATCH(C753,Hours!$A:$A,0))+H753*INDEX(Hours!D:D,MATCH(C753,Hours!$A:$A,0))+I753*INDEX(Hours!E:E,MATCH(C753,Hours!$A:$A,0))+J753*INDEX(Hours!F:F,MATCH(C753,Hours!$A:$A,0)))</f>
        <v>0</v>
      </c>
      <c r="S753" s="19">
        <f t="shared" si="23"/>
        <v>0</v>
      </c>
    </row>
    <row r="754" spans="1:19" x14ac:dyDescent="0.25">
      <c r="A754" s="11" t="str">
        <f>'Bldgs &amp; Rooms'!$A$22</f>
        <v>Main Bldg.</v>
      </c>
      <c r="B754" s="11">
        <f>'Bldgs &amp; Rooms'!$B$22</f>
        <v>0</v>
      </c>
      <c r="C754" s="10" t="str">
        <f>Hours!$A$14</f>
        <v>Motor Control Panel (MCP)</v>
      </c>
      <c r="D754" s="11">
        <f t="shared" si="22"/>
        <v>0</v>
      </c>
      <c r="E754" s="16"/>
      <c r="F754" s="17"/>
      <c r="G754" s="17"/>
      <c r="H754" s="17"/>
      <c r="I754" s="17"/>
      <c r="J754" s="17"/>
      <c r="K754" s="12"/>
      <c r="L754" s="12"/>
      <c r="M754" s="12"/>
      <c r="N754" s="12"/>
      <c r="O754" s="17"/>
      <c r="P754" s="12"/>
      <c r="Q754" s="17"/>
      <c r="R754" s="18">
        <f>IF(SUMPRODUCT((E754:Q754)*1)=0,0,E754*INDEX(Hours!M:M,MATCH(C754,Hours!$A:$A,0))+F754*INDEX(Hours!B:B,MATCH(C754,Hours!$A:$A,0))+G754*INDEX(Hours!C:C,MATCH(C754,Hours!$A:$A,0))+H754*INDEX(Hours!D:D,MATCH(C754,Hours!$A:$A,0))+I754*INDEX(Hours!E:E,MATCH(C754,Hours!$A:$A,0))+J754*INDEX(Hours!F:F,MATCH(C754,Hours!$A:$A,0))+O754*INDEX(Hours!K:K,MATCH(C754,Hours!$A:$A,0)))</f>
        <v>0</v>
      </c>
      <c r="S754" s="19">
        <f t="shared" si="23"/>
        <v>0</v>
      </c>
    </row>
    <row r="755" spans="1:19" x14ac:dyDescent="0.25">
      <c r="A755" s="11" t="str">
        <f>'Bldgs &amp; Rooms'!$A$22</f>
        <v>Main Bldg.</v>
      </c>
      <c r="B755" s="11">
        <f>'Bldgs &amp; Rooms'!$B$22</f>
        <v>0</v>
      </c>
      <c r="C755" s="10" t="str">
        <f>Hours!$A$15</f>
        <v>VFD Motor Control Panel (VFD-MCP)</v>
      </c>
      <c r="D755" s="11">
        <f t="shared" si="22"/>
        <v>0</v>
      </c>
      <c r="E755" s="16"/>
      <c r="F755" s="17"/>
      <c r="G755" s="17"/>
      <c r="H755" s="17"/>
      <c r="I755" s="17"/>
      <c r="J755" s="17"/>
      <c r="K755" s="12"/>
      <c r="L755" s="12"/>
      <c r="M755" s="12"/>
      <c r="N755" s="12"/>
      <c r="O755" s="17"/>
      <c r="P755" s="12"/>
      <c r="Q755" s="17"/>
      <c r="R755" s="18">
        <f>IF(SUMPRODUCT((E755:Q755)*1)=0,0,E755*INDEX(Hours!M:M,MATCH(C755,Hours!$A:$A,0))+F755*INDEX(Hours!B:B,MATCH(C755,Hours!$A:$A,0))+G755*INDEX(Hours!C:C,MATCH(C755,Hours!$A:$A,0))+H755*INDEX(Hours!D:D,MATCH(C755,Hours!$A:$A,0))+I755*INDEX(Hours!E:E,MATCH(C755,Hours!$A:$A,0))+J755*INDEX(Hours!F:F,MATCH(C755,Hours!$A:$A,0))+O755*INDEX(Hours!K:K,MATCH(C755,Hours!$A:$A,0)))</f>
        <v>0</v>
      </c>
      <c r="S755" s="19">
        <f t="shared" si="23"/>
        <v>0</v>
      </c>
    </row>
    <row r="756" spans="1:19" x14ac:dyDescent="0.25">
      <c r="A756" s="11" t="str">
        <f>'Bldgs &amp; Rooms'!$A$22</f>
        <v>Main Bldg.</v>
      </c>
      <c r="B756" s="11">
        <f>'Bldgs &amp; Rooms'!$B$22</f>
        <v>0</v>
      </c>
      <c r="C756" s="10" t="str">
        <f>Hours!$A$16</f>
        <v>Individual Disconnect Switch &gt; 100A</v>
      </c>
      <c r="D756" s="11">
        <f t="shared" si="22"/>
        <v>0</v>
      </c>
      <c r="E756" s="16"/>
      <c r="F756" s="17"/>
      <c r="G756" s="17"/>
      <c r="H756" s="17"/>
      <c r="I756" s="17"/>
      <c r="J756" s="17"/>
      <c r="K756" s="17"/>
      <c r="L756" s="12"/>
      <c r="M756" s="12"/>
      <c r="N756" s="12"/>
      <c r="O756" s="12"/>
      <c r="P756" s="12"/>
      <c r="Q756" s="17"/>
      <c r="R756" s="18">
        <f>IF(SUMPRODUCT((E756:Q756)*1)=0,0,E756*INDEX(Hours!M:M,MATCH(C756,Hours!$A:$A,0))+F756*INDEX(Hours!B:B,MATCH(C756,Hours!$A:$A,0))+G756*INDEX(Hours!C:C,MATCH(C756,Hours!$A:$A,0))+H756*INDEX(Hours!D:D,MATCH(C756,Hours!$A:$A,0))+I756*INDEX(Hours!E:E,MATCH(C756,Hours!$A:$A,0))+J756*INDEX(Hours!F:F,MATCH(C756,Hours!$A:$A,0))+K756*INDEX(Hours!G:G,MATCH(C756,Hours!$A:$A,0)))</f>
        <v>0</v>
      </c>
      <c r="S756" s="19">
        <f t="shared" si="23"/>
        <v>0</v>
      </c>
    </row>
    <row r="757" spans="1:19" x14ac:dyDescent="0.25">
      <c r="A757" s="11" t="str">
        <f>'Bldgs &amp; Rooms'!$A$22</f>
        <v>Main Bldg.</v>
      </c>
      <c r="B757" s="11">
        <f>'Bldgs &amp; Rooms'!$B$22</f>
        <v>0</v>
      </c>
      <c r="C757" s="10" t="str">
        <f>Hours!$A$17</f>
        <v>Individual Molded Case Breaker &gt; 100A</v>
      </c>
      <c r="D757" s="11">
        <f t="shared" si="22"/>
        <v>0</v>
      </c>
      <c r="E757" s="16"/>
      <c r="F757" s="17"/>
      <c r="G757" s="17"/>
      <c r="H757" s="17"/>
      <c r="I757" s="17"/>
      <c r="J757" s="17"/>
      <c r="K757" s="17"/>
      <c r="L757" s="12"/>
      <c r="M757" s="12"/>
      <c r="N757" s="12"/>
      <c r="O757" s="12"/>
      <c r="P757" s="12"/>
      <c r="Q757" s="17"/>
      <c r="R757" s="18">
        <f>IF(SUMPRODUCT((E757:Q757)*1)=0,0,E757*INDEX(Hours!M:M,MATCH(C757,Hours!$A:$A,0))+F757*INDEX(Hours!B:B,MATCH(C757,Hours!$A:$A,0))+G757*INDEX(Hours!C:C,MATCH(C757,Hours!$A:$A,0))+H757*INDEX(Hours!D:D,MATCH(C757,Hours!$A:$A,0))+I757*INDEX(Hours!E:E,MATCH(C757,Hours!$A:$A,0))+J757*INDEX(Hours!F:F,MATCH(C757,Hours!$A:$A,0))+K757*INDEX(Hours!G:G,MATCH(C757,Hours!$A:$A,0)))</f>
        <v>0</v>
      </c>
      <c r="S757" s="19">
        <f t="shared" si="23"/>
        <v>0</v>
      </c>
    </row>
    <row r="758" spans="1:19" x14ac:dyDescent="0.25">
      <c r="A758" s="11" t="str">
        <f>'Bldgs &amp; Rooms'!$A$22</f>
        <v>Main Bldg.</v>
      </c>
      <c r="B758" s="11">
        <f>'Bldgs &amp; Rooms'!$B$22</f>
        <v>0</v>
      </c>
      <c r="C758" s="10" t="str">
        <f>Hours!$A$18</f>
        <v>Individual Combination Motor Starter &gt; 100A</v>
      </c>
      <c r="D758" s="11">
        <f t="shared" si="22"/>
        <v>0</v>
      </c>
      <c r="E758" s="16"/>
      <c r="F758" s="17"/>
      <c r="G758" s="17"/>
      <c r="H758" s="17"/>
      <c r="I758" s="17"/>
      <c r="J758" s="17"/>
      <c r="K758" s="17"/>
      <c r="L758" s="12"/>
      <c r="M758" s="12"/>
      <c r="N758" s="12"/>
      <c r="O758" s="12"/>
      <c r="P758" s="12"/>
      <c r="Q758" s="17"/>
      <c r="R758" s="18">
        <f>IF(SUMPRODUCT((E758:Q758)*1)=0,0,E758*INDEX(Hours!M:M,MATCH(C758,Hours!$A:$A,0))+F758*INDEX(Hours!B:B,MATCH(C758,Hours!$A:$A,0))+G758*INDEX(Hours!C:C,MATCH(C758,Hours!$A:$A,0))+H758*INDEX(Hours!D:D,MATCH(C758,Hours!$A:$A,0))+I758*INDEX(Hours!E:E,MATCH(C758,Hours!$A:$A,0))+J758*INDEX(Hours!F:F,MATCH(C758,Hours!$A:$A,0))+K758*INDEX(Hours!G:G,MATCH(C758,Hours!$A:$A,0)))</f>
        <v>0</v>
      </c>
      <c r="S758" s="19">
        <f t="shared" si="23"/>
        <v>0</v>
      </c>
    </row>
    <row r="759" spans="1:19" x14ac:dyDescent="0.25">
      <c r="A759" s="11" t="str">
        <f>'Bldgs &amp; Rooms'!$A$22</f>
        <v>Main Bldg.</v>
      </c>
      <c r="B759" s="11">
        <f>'Bldgs &amp; Rooms'!$B$22</f>
        <v>0</v>
      </c>
      <c r="C759" s="10" t="str">
        <f>Hours!$A$19</f>
        <v>Oil Filled Transformer - 5kV-15kV Primary - Any Size (Pad Mounted)</v>
      </c>
      <c r="D759" s="11">
        <f t="shared" si="22"/>
        <v>0</v>
      </c>
      <c r="E759" s="16"/>
      <c r="F759" s="17"/>
      <c r="G759" s="17"/>
      <c r="H759" s="17"/>
      <c r="I759" s="17"/>
      <c r="J759" s="17"/>
      <c r="K759" s="12"/>
      <c r="L759" s="12"/>
      <c r="M759" s="17"/>
      <c r="N759" s="17"/>
      <c r="O759" s="12"/>
      <c r="P759" s="17"/>
      <c r="Q759" s="17"/>
      <c r="R759" s="18">
        <f>IF(SUMPRODUCT((E759:Q759)*1)=0,0,E759*INDEX(Hours!M:M,MATCH(C759,Hours!$A:$A,0))+F759*INDEX(Hours!B:B,MATCH(C759,Hours!$A:$A,0))+G759*INDEX(Hours!C:C,MATCH(C759,Hours!$A:$A,0))+H759*INDEX(Hours!D:D,MATCH(C759,Hours!$A:$A,0))+I759*INDEX(Hours!E:E,MATCH(C759,Hours!$A:$A,0))+J759*INDEX(Hours!F:F,MATCH(C759,Hours!$A:$A,0))+M759*INDEX(Hours!I:I,MATCH(C759,Hours!$A:$A,0))+N759*INDEX(Hours!J:J,MATCH(C759,Hours!$A:$A,0))+P759*INDEX(Hours!L:L,MATCH(C759,Hours!$A:$A,0)))</f>
        <v>0</v>
      </c>
      <c r="S759" s="19">
        <f t="shared" si="23"/>
        <v>0</v>
      </c>
    </row>
    <row r="760" spans="1:19" x14ac:dyDescent="0.25">
      <c r="A760" s="11" t="str">
        <f>'Bldgs &amp; Rooms'!$A$22</f>
        <v>Main Bldg.</v>
      </c>
      <c r="B760" s="11">
        <f>'Bldgs &amp; Rooms'!$B$22</f>
        <v>0</v>
      </c>
      <c r="C760" s="10" t="str">
        <f>Hours!$A$20</f>
        <v>Oil Filled Transformer - &gt; 15kV Primary (Substation Class)</v>
      </c>
      <c r="D760" s="11">
        <f t="shared" si="22"/>
        <v>0</v>
      </c>
      <c r="E760" s="16"/>
      <c r="F760" s="17"/>
      <c r="G760" s="17"/>
      <c r="H760" s="17"/>
      <c r="I760" s="17"/>
      <c r="J760" s="17"/>
      <c r="K760" s="12"/>
      <c r="L760" s="12"/>
      <c r="M760" s="17"/>
      <c r="N760" s="17"/>
      <c r="O760" s="12"/>
      <c r="P760" s="17"/>
      <c r="Q760" s="17"/>
      <c r="R760" s="18">
        <f>IF(SUMPRODUCT((E760:Q760)*1)=0,0,E760*INDEX(Hours!M:M,MATCH(C760,Hours!$A:$A,0))+F760*INDEX(Hours!B:B,MATCH(C760,Hours!$A:$A,0))+G760*INDEX(Hours!C:C,MATCH(C760,Hours!$A:$A,0))+H760*INDEX(Hours!D:D,MATCH(C760,Hours!$A:$A,0))+I760*INDEX(Hours!E:E,MATCH(C760,Hours!$A:$A,0))+J760*INDEX(Hours!F:F,MATCH(C760,Hours!$A:$A,0))+M760*INDEX(Hours!I:I,MATCH(C760,Hours!$A:$A,0))+N760*INDEX(Hours!J:J,MATCH(C760,Hours!$A:$A,0))+P760*INDEX(Hours!L:L,MATCH(C760,Hours!$A:$A,0)))</f>
        <v>0</v>
      </c>
      <c r="S760" s="19">
        <f t="shared" si="23"/>
        <v>0</v>
      </c>
    </row>
    <row r="761" spans="1:19" x14ac:dyDescent="0.25">
      <c r="A761" s="11" t="str">
        <f>'Bldgs &amp; Rooms'!$A$22</f>
        <v>Main Bldg.</v>
      </c>
      <c r="B761" s="11">
        <f>'Bldgs &amp; Rooms'!$B$22</f>
        <v>0</v>
      </c>
      <c r="C761" s="10" t="str">
        <f>Hours!$A$21</f>
        <v>Dry Type Transformer - &lt; 480V Primary - Any Size kVA</v>
      </c>
      <c r="D761" s="11">
        <f t="shared" si="22"/>
        <v>0</v>
      </c>
      <c r="E761" s="16"/>
      <c r="F761" s="17"/>
      <c r="G761" s="17"/>
      <c r="H761" s="17"/>
      <c r="I761" s="17"/>
      <c r="J761" s="17"/>
      <c r="K761" s="12"/>
      <c r="L761" s="12"/>
      <c r="M761" s="17"/>
      <c r="N761" s="17"/>
      <c r="O761" s="12"/>
      <c r="P761" s="12"/>
      <c r="Q761" s="17"/>
      <c r="R761" s="18">
        <f>IF(SUMPRODUCT((E761:Q761)*1)=0,0,E761*INDEX(Hours!M:M,MATCH(C761,Hours!$A:$A,0))+F761*INDEX(Hours!B:B,MATCH(C761,Hours!$A:$A,0))+G761*INDEX(Hours!C:C,MATCH(C761,Hours!$A:$A,0))+H761*INDEX(Hours!D:D,MATCH(C761,Hours!$A:$A,0))+I761*INDEX(Hours!E:E,MATCH(C761,Hours!$A:$A,0))+J761*INDEX(Hours!F:F,MATCH(C761,Hours!$A:$A,0))+M761*INDEX(Hours!I:I,MATCH(C761,Hours!$A:$A,0))+N761*INDEX(Hours!J:J,MATCH(C761,Hours!$A:$A,0)))</f>
        <v>0</v>
      </c>
      <c r="S761" s="19">
        <f t="shared" si="23"/>
        <v>0</v>
      </c>
    </row>
    <row r="762" spans="1:19" x14ac:dyDescent="0.25">
      <c r="A762" s="11" t="str">
        <f>'Bldgs &amp; Rooms'!$A$22</f>
        <v>Main Bldg.</v>
      </c>
      <c r="B762" s="11">
        <f>'Bldgs &amp; Rooms'!$B$22</f>
        <v>0</v>
      </c>
      <c r="C762" s="10" t="str">
        <f>Hours!$A$22</f>
        <v>Power Factor Correction Capacitors</v>
      </c>
      <c r="D762" s="11">
        <f t="shared" si="22"/>
        <v>0</v>
      </c>
      <c r="E762" s="16"/>
      <c r="F762" s="17"/>
      <c r="G762" s="17"/>
      <c r="H762" s="17"/>
      <c r="I762" s="17"/>
      <c r="J762" s="17"/>
      <c r="K762" s="12"/>
      <c r="L762" s="12"/>
      <c r="M762" s="12"/>
      <c r="N762" s="12"/>
      <c r="O762" s="12"/>
      <c r="P762" s="12"/>
      <c r="Q762" s="17"/>
      <c r="R762" s="18">
        <f>IF(SUMPRODUCT((E762:Q762)*1)=0,0,E762*INDEX(Hours!M:M,MATCH(C762,Hours!$A:$A,0))+F762*INDEX(Hours!B:B,MATCH(C762,Hours!$A:$A,0))+G762*INDEX(Hours!C:C,MATCH(C762,Hours!$A:$A,0))+H762*INDEX(Hours!D:D,MATCH(C762,Hours!$A:$A,0))+I762*INDEX(Hours!E:E,MATCH(C762,Hours!$A:$A,0))+J762*INDEX(Hours!F:F,MATCH(C762,Hours!$A:$A,0)))</f>
        <v>0</v>
      </c>
      <c r="S762" s="19">
        <f t="shared" si="23"/>
        <v>0</v>
      </c>
    </row>
    <row r="763" spans="1:19" x14ac:dyDescent="0.25">
      <c r="A763" s="11" t="str">
        <f>'Bldgs &amp; Rooms'!$A$22</f>
        <v>Main Bldg.</v>
      </c>
      <c r="B763" s="11">
        <f>'Bldgs &amp; Rooms'!$B$22</f>
        <v>0</v>
      </c>
      <c r="C763" s="10" t="str">
        <f>Hours!$A$23</f>
        <v>Lighting Contactor &gt; 100A</v>
      </c>
      <c r="D763" s="11">
        <f t="shared" si="22"/>
        <v>0</v>
      </c>
      <c r="E763" s="16"/>
      <c r="F763" s="17"/>
      <c r="G763" s="17"/>
      <c r="H763" s="17"/>
      <c r="I763" s="17"/>
      <c r="J763" s="17"/>
      <c r="K763" s="12"/>
      <c r="L763" s="12"/>
      <c r="M763" s="12"/>
      <c r="N763" s="12"/>
      <c r="O763" s="12"/>
      <c r="P763" s="12"/>
      <c r="Q763" s="17"/>
      <c r="R763" s="18">
        <f>IF(SUMPRODUCT((E763:Q763)*1)=0,0,E763*INDEX(Hours!M:M,MATCH(C763,Hours!$A:$A,0))+F763*INDEX(Hours!B:B,MATCH(C763,Hours!$A:$A,0))+G763*INDEX(Hours!C:C,MATCH(C763,Hours!$A:$A,0))+H763*INDEX(Hours!D:D,MATCH(C763,Hours!$A:$A,0))+I763*INDEX(Hours!E:E,MATCH(C763,Hours!$A:$A,0))+J763*INDEX(Hours!F:F,MATCH(C763,Hours!$A:$A,0)))</f>
        <v>0</v>
      </c>
      <c r="S763" s="19">
        <f t="shared" si="23"/>
        <v>0</v>
      </c>
    </row>
    <row r="764" spans="1:19" x14ac:dyDescent="0.25">
      <c r="A764" s="11" t="str">
        <f>'Bldgs &amp; Rooms'!$A$22</f>
        <v>Main Bldg.</v>
      </c>
      <c r="B764" s="11">
        <f>'Bldgs &amp; Rooms'!$B$22</f>
        <v>0</v>
      </c>
      <c r="C764" s="10" t="str">
        <f>Hours!$A$24</f>
        <v>Power Distribution Unit (PDU)</v>
      </c>
      <c r="D764" s="11">
        <f t="shared" si="22"/>
        <v>0</v>
      </c>
      <c r="E764" s="16"/>
      <c r="F764" s="17"/>
      <c r="G764" s="17"/>
      <c r="H764" s="17"/>
      <c r="I764" s="17"/>
      <c r="J764" s="17"/>
      <c r="K764" s="12"/>
      <c r="L764" s="12"/>
      <c r="M764" s="12"/>
      <c r="N764" s="12"/>
      <c r="O764" s="12"/>
      <c r="P764" s="12"/>
      <c r="Q764" s="17"/>
      <c r="R764" s="18">
        <f>IF(SUMPRODUCT((E764:Q764)*1)=0,0,E764*INDEX(Hours!M:M,MATCH(C764,Hours!$A:$A,0))+F764*INDEX(Hours!B:B,MATCH(C764,Hours!$A:$A,0))+G764*INDEX(Hours!C:C,MATCH(C764,Hours!$A:$A,0))+H764*INDEX(Hours!D:D,MATCH(C764,Hours!$A:$A,0))+I764*INDEX(Hours!E:E,MATCH(C764,Hours!$A:$A,0))+J764*INDEX(Hours!F:F,MATCH(C764,Hours!$A:$A,0)))</f>
        <v>0</v>
      </c>
      <c r="S764" s="19">
        <f t="shared" si="23"/>
        <v>0</v>
      </c>
    </row>
    <row r="765" spans="1:19" x14ac:dyDescent="0.25">
      <c r="A765" s="11" t="str">
        <f>'Bldgs &amp; Rooms'!$A$22</f>
        <v>Main Bldg.</v>
      </c>
      <c r="B765" s="11">
        <f>'Bldgs &amp; Rooms'!$B$22</f>
        <v>0</v>
      </c>
      <c r="C765" s="10" t="str">
        <f>Hours!$A$25</f>
        <v>Wire Trough, Gutter, or Large Junction Boxes</v>
      </c>
      <c r="D765" s="11">
        <f t="shared" si="22"/>
        <v>0</v>
      </c>
      <c r="E765" s="16"/>
      <c r="F765" s="17"/>
      <c r="G765" s="17"/>
      <c r="H765" s="17"/>
      <c r="I765" s="17"/>
      <c r="J765" s="17"/>
      <c r="K765" s="12"/>
      <c r="L765" s="12"/>
      <c r="M765" s="12"/>
      <c r="N765" s="12"/>
      <c r="O765" s="12"/>
      <c r="P765" s="12"/>
      <c r="Q765" s="17"/>
      <c r="R765" s="18">
        <f>IF(SUMPRODUCT((E765:Q765)*1)=0,0,E765*INDEX(Hours!M:M,MATCH(C765,Hours!$A:$A,0))+F765*INDEX(Hours!B:B,MATCH(C765,Hours!$A:$A,0))+G765*INDEX(Hours!C:C,MATCH(C765,Hours!$A:$A,0))+H765*INDEX(Hours!D:D,MATCH(C765,Hours!$A:$A,0))+I765*INDEX(Hours!E:E,MATCH(C765,Hours!$A:$A,0))+J765*INDEX(Hours!F:F,MATCH(C765,Hours!$A:$A,0)))</f>
        <v>0</v>
      </c>
      <c r="S765" s="19">
        <f t="shared" si="23"/>
        <v>0</v>
      </c>
    </row>
    <row r="766" spans="1:19" x14ac:dyDescent="0.25">
      <c r="A766" s="11" t="str">
        <f>'Bldgs &amp; Rooms'!$A$22</f>
        <v>Main Bldg.</v>
      </c>
      <c r="B766" s="11">
        <f>'Bldgs &amp; Rooms'!$B$22</f>
        <v>0</v>
      </c>
      <c r="C766" s="10" t="str">
        <f>Hours!$A$26</f>
        <v>Bus Duct - Vertical or Horizontal (Per 10' section)</v>
      </c>
      <c r="D766" s="11">
        <f t="shared" si="22"/>
        <v>0</v>
      </c>
      <c r="E766" s="16"/>
      <c r="F766" s="17"/>
      <c r="G766" s="17"/>
      <c r="H766" s="17"/>
      <c r="I766" s="17"/>
      <c r="J766" s="17"/>
      <c r="K766" s="12"/>
      <c r="L766" s="12"/>
      <c r="M766" s="12"/>
      <c r="N766" s="12"/>
      <c r="O766" s="12"/>
      <c r="P766" s="12"/>
      <c r="Q766" s="17"/>
      <c r="R766" s="18">
        <f>IF(SUMPRODUCT((E766:Q766)*1)=0,0,E766*INDEX(Hours!M:M,MATCH(C766,Hours!$A:$A,0))+F766*INDEX(Hours!B:B,MATCH(C766,Hours!$A:$A,0))+G766*INDEX(Hours!C:C,MATCH(C766,Hours!$A:$A,0))+H766*INDEX(Hours!D:D,MATCH(C766,Hours!$A:$A,0))+I766*INDEX(Hours!E:E,MATCH(C766,Hours!$A:$A,0))+J766*INDEX(Hours!F:F,MATCH(C766,Hours!$A:$A,0)))</f>
        <v>0</v>
      </c>
      <c r="S766" s="19">
        <f t="shared" si="23"/>
        <v>0</v>
      </c>
    </row>
    <row r="767" spans="1:19" x14ac:dyDescent="0.25">
      <c r="A767" s="11" t="str">
        <f>'Bldgs &amp; Rooms'!$A$22</f>
        <v>Main Bldg.</v>
      </c>
      <c r="B767" s="11">
        <f>'Bldgs &amp; Rooms'!$B$22</f>
        <v>0</v>
      </c>
      <c r="C767" s="10" t="str">
        <f>Hours!$A$27</f>
        <v>Automatic Transfer Switch (ATS) &gt; 100A</v>
      </c>
      <c r="D767" s="11">
        <f t="shared" si="22"/>
        <v>0</v>
      </c>
      <c r="E767" s="16"/>
      <c r="F767" s="17"/>
      <c r="G767" s="17"/>
      <c r="H767" s="17"/>
      <c r="I767" s="17"/>
      <c r="J767" s="17"/>
      <c r="K767" s="12"/>
      <c r="L767" s="12"/>
      <c r="M767" s="12"/>
      <c r="N767" s="12"/>
      <c r="O767" s="12"/>
      <c r="P767" s="12"/>
      <c r="Q767" s="17"/>
      <c r="R767" s="18">
        <f>IF(SUMPRODUCT((E767:Q767)*1)=0,0,E767*INDEX(Hours!M:M,MATCH(C767,Hours!$A:$A,0))+F767*INDEX(Hours!B:B,MATCH(C767,Hours!$A:$A,0))+G767*INDEX(Hours!C:C,MATCH(C767,Hours!$A:$A,0))+H767*INDEX(Hours!D:D,MATCH(C767,Hours!$A:$A,0))+I767*INDEX(Hours!E:E,MATCH(C767,Hours!$A:$A,0))+J767*INDEX(Hours!F:F,MATCH(C767,Hours!$A:$A,0)))</f>
        <v>0</v>
      </c>
      <c r="S767" s="19">
        <f t="shared" si="23"/>
        <v>0</v>
      </c>
    </row>
    <row r="768" spans="1:19" x14ac:dyDescent="0.25">
      <c r="A768" s="11" t="str">
        <f>'Bldgs &amp; Rooms'!$A$22</f>
        <v>Main Bldg.</v>
      </c>
      <c r="B768" s="11">
        <f>'Bldgs &amp; Rooms'!$B$22</f>
        <v>0</v>
      </c>
      <c r="C768" s="10" t="str">
        <f>Hours!$A$28</f>
        <v>Manual Transfer Switch (MTS) &gt; 100A</v>
      </c>
      <c r="D768" s="11">
        <f t="shared" si="22"/>
        <v>0</v>
      </c>
      <c r="E768" s="16"/>
      <c r="F768" s="17"/>
      <c r="G768" s="17"/>
      <c r="H768" s="17"/>
      <c r="I768" s="17"/>
      <c r="J768" s="17"/>
      <c r="K768" s="12"/>
      <c r="L768" s="12"/>
      <c r="M768" s="12"/>
      <c r="N768" s="12"/>
      <c r="O768" s="12"/>
      <c r="P768" s="12"/>
      <c r="Q768" s="17"/>
      <c r="R768" s="18">
        <f>IF(SUMPRODUCT((E768:Q768)*1)=0,0,E768*INDEX(Hours!M:M,MATCH(C768,Hours!$A:$A,0))+F768*INDEX(Hours!B:B,MATCH(C768,Hours!$A:$A,0))+G768*INDEX(Hours!C:C,MATCH(C768,Hours!$A:$A,0))+H768*INDEX(Hours!D:D,MATCH(C768,Hours!$A:$A,0))+I768*INDEX(Hours!E:E,MATCH(C768,Hours!$A:$A,0))+J768*INDEX(Hours!F:F,MATCH(C768,Hours!$A:$A,0)))</f>
        <v>0</v>
      </c>
      <c r="S768" s="19">
        <f t="shared" si="23"/>
        <v>0</v>
      </c>
    </row>
    <row r="769" spans="1:19" x14ac:dyDescent="0.25">
      <c r="A769" s="11" t="str">
        <f>'Bldgs &amp; Rooms'!$A$22</f>
        <v>Main Bldg.</v>
      </c>
      <c r="B769" s="11">
        <f>'Bldgs &amp; Rooms'!$B$22</f>
        <v>0</v>
      </c>
      <c r="C769" s="10" t="str">
        <f>Hours!$A$29</f>
        <v>Variable Frequency Drives (VFD) &lt; 50 HP</v>
      </c>
      <c r="D769" s="11">
        <f t="shared" si="22"/>
        <v>0</v>
      </c>
      <c r="E769" s="16"/>
      <c r="F769" s="17"/>
      <c r="G769" s="17"/>
      <c r="H769" s="17"/>
      <c r="I769" s="17"/>
      <c r="J769" s="17"/>
      <c r="K769" s="12"/>
      <c r="L769" s="12"/>
      <c r="M769" s="12"/>
      <c r="N769" s="12"/>
      <c r="O769" s="12"/>
      <c r="P769" s="12"/>
      <c r="Q769" s="17"/>
      <c r="R769" s="18">
        <f>IF(SUMPRODUCT((E769:Q769)*1)=0,0,E769*INDEX(Hours!M:M,MATCH(C769,Hours!$A:$A,0))+F769*INDEX(Hours!B:B,MATCH(C769,Hours!$A:$A,0))+G769*INDEX(Hours!C:C,MATCH(C769,Hours!$A:$A,0))+H769*INDEX(Hours!D:D,MATCH(C769,Hours!$A:$A,0))+I769*INDEX(Hours!E:E,MATCH(C769,Hours!$A:$A,0))+J769*INDEX(Hours!F:F,MATCH(C769,Hours!$A:$A,0)))</f>
        <v>0</v>
      </c>
      <c r="S769" s="19">
        <f t="shared" si="23"/>
        <v>0</v>
      </c>
    </row>
    <row r="770" spans="1:19" x14ac:dyDescent="0.25">
      <c r="A770" s="11" t="str">
        <f>'Bldgs &amp; Rooms'!$A$22</f>
        <v>Main Bldg.</v>
      </c>
      <c r="B770" s="11">
        <f>'Bldgs &amp; Rooms'!$B$22</f>
        <v>0</v>
      </c>
      <c r="C770" s="10" t="str">
        <f>Hours!$A$30</f>
        <v>Variable Frequency Drives (VFD) 51-200 HP</v>
      </c>
      <c r="D770" s="11">
        <f t="shared" ref="D770:D833" si="24">MAX(E770+F770,G770,H770,I770,J770,K770,L770,M770,N770,O770,P770,Q770)</f>
        <v>0</v>
      </c>
      <c r="E770" s="16"/>
      <c r="F770" s="17"/>
      <c r="G770" s="17"/>
      <c r="H770" s="17"/>
      <c r="I770" s="17"/>
      <c r="J770" s="17"/>
      <c r="K770" s="12"/>
      <c r="L770" s="12"/>
      <c r="M770" s="12"/>
      <c r="N770" s="12"/>
      <c r="O770" s="12"/>
      <c r="P770" s="12"/>
      <c r="Q770" s="17"/>
      <c r="R770" s="18">
        <f>IF(SUMPRODUCT((E770:Q770)*1)=0,0,E770*INDEX(Hours!M:M,MATCH(C770,Hours!$A:$A,0))+F770*INDEX(Hours!B:B,MATCH(C770,Hours!$A:$A,0))+G770*INDEX(Hours!C:C,MATCH(C770,Hours!$A:$A,0))+H770*INDEX(Hours!D:D,MATCH(C770,Hours!$A:$A,0))+I770*INDEX(Hours!E:E,MATCH(C770,Hours!$A:$A,0))+J770*INDEX(Hours!F:F,MATCH(C770,Hours!$A:$A,0)))</f>
        <v>0</v>
      </c>
      <c r="S770" s="19">
        <f t="shared" ref="S770:S833" si="25">MAX(E770+F770,G770,H770,I770,J770,K770,L770,M770,N770,O770,P770,Q770)</f>
        <v>0</v>
      </c>
    </row>
    <row r="771" spans="1:19" x14ac:dyDescent="0.25">
      <c r="A771" s="11" t="str">
        <f>'Bldgs &amp; Rooms'!$A$22</f>
        <v>Main Bldg.</v>
      </c>
      <c r="B771" s="11">
        <f>'Bldgs &amp; Rooms'!$B$22</f>
        <v>0</v>
      </c>
      <c r="C771" s="10" t="str">
        <f>Hours!$A$31</f>
        <v>Motors &lt; 50 HP</v>
      </c>
      <c r="D771" s="11">
        <f t="shared" si="24"/>
        <v>0</v>
      </c>
      <c r="E771" s="16"/>
      <c r="F771" s="17"/>
      <c r="G771" s="17"/>
      <c r="H771" s="17"/>
      <c r="I771" s="17"/>
      <c r="J771" s="17"/>
      <c r="K771" s="12"/>
      <c r="L771" s="12"/>
      <c r="M771" s="12"/>
      <c r="N771" s="12"/>
      <c r="O771" s="12"/>
      <c r="P771" s="12"/>
      <c r="Q771" s="17"/>
      <c r="R771" s="18">
        <f>IF(SUMPRODUCT((E771:Q771)*1)=0,0,E771*INDEX(Hours!M:M,MATCH(C771,Hours!$A:$A,0))+F771*INDEX(Hours!B:B,MATCH(C771,Hours!$A:$A,0))+G771*INDEX(Hours!C:C,MATCH(C771,Hours!$A:$A,0))+H771*INDEX(Hours!D:D,MATCH(C771,Hours!$A:$A,0))+I771*INDEX(Hours!E:E,MATCH(C771,Hours!$A:$A,0))+J771*INDEX(Hours!F:F,MATCH(C771,Hours!$A:$A,0)))</f>
        <v>0</v>
      </c>
      <c r="S771" s="19">
        <f t="shared" si="25"/>
        <v>0</v>
      </c>
    </row>
    <row r="772" spans="1:19" x14ac:dyDescent="0.25">
      <c r="A772" s="11" t="str">
        <f>'Bldgs &amp; Rooms'!$A$22</f>
        <v>Main Bldg.</v>
      </c>
      <c r="B772" s="11">
        <f>'Bldgs &amp; Rooms'!$B$22</f>
        <v>0</v>
      </c>
      <c r="C772" s="10" t="str">
        <f>Hours!$A$32</f>
        <v>Motors 51-200 HP</v>
      </c>
      <c r="D772" s="11">
        <f t="shared" si="24"/>
        <v>0</v>
      </c>
      <c r="E772" s="16"/>
      <c r="F772" s="17"/>
      <c r="G772" s="17"/>
      <c r="H772" s="17"/>
      <c r="I772" s="17"/>
      <c r="J772" s="17"/>
      <c r="K772" s="12"/>
      <c r="L772" s="12"/>
      <c r="M772" s="12"/>
      <c r="N772" s="12"/>
      <c r="O772" s="12"/>
      <c r="P772" s="12"/>
      <c r="Q772" s="17"/>
      <c r="R772" s="18">
        <f>IF(SUMPRODUCT((E772:Q772)*1)=0,0,E772*INDEX(Hours!M:M,MATCH(C772,Hours!$A:$A,0))+F772*INDEX(Hours!B:B,MATCH(C772,Hours!$A:$A,0))+G772*INDEX(Hours!C:C,MATCH(C772,Hours!$A:$A,0))+H772*INDEX(Hours!D:D,MATCH(C772,Hours!$A:$A,0))+I772*INDEX(Hours!E:E,MATCH(C772,Hours!$A:$A,0))+J772*INDEX(Hours!F:F,MATCH(C772,Hours!$A:$A,0)))</f>
        <v>0</v>
      </c>
      <c r="S772" s="19">
        <f t="shared" si="25"/>
        <v>0</v>
      </c>
    </row>
    <row r="773" spans="1:19" x14ac:dyDescent="0.25">
      <c r="A773" s="11" t="str">
        <f>'Bldgs &amp; Rooms'!$A$22</f>
        <v>Main Bldg.</v>
      </c>
      <c r="B773" s="11">
        <f>'Bldgs &amp; Rooms'!$B$22</f>
        <v>0</v>
      </c>
      <c r="C773" s="10" t="str">
        <f>Hours!$A$33</f>
        <v>Motors 201-500 HP</v>
      </c>
      <c r="D773" s="11">
        <f t="shared" si="24"/>
        <v>0</v>
      </c>
      <c r="E773" s="16"/>
      <c r="F773" s="17"/>
      <c r="G773" s="17"/>
      <c r="H773" s="17"/>
      <c r="I773" s="17"/>
      <c r="J773" s="17"/>
      <c r="K773" s="12"/>
      <c r="L773" s="12"/>
      <c r="M773" s="12"/>
      <c r="N773" s="12"/>
      <c r="O773" s="12"/>
      <c r="P773" s="12"/>
      <c r="Q773" s="17"/>
      <c r="R773" s="18">
        <f>IF(SUMPRODUCT((E773:Q773)*1)=0,0,E773*INDEX(Hours!M:M,MATCH(C773,Hours!$A:$A,0))+F773*INDEX(Hours!B:B,MATCH(C773,Hours!$A:$A,0))+G773*INDEX(Hours!C:C,MATCH(C773,Hours!$A:$A,0))+H773*INDEX(Hours!D:D,MATCH(C773,Hours!$A:$A,0))+I773*INDEX(Hours!E:E,MATCH(C773,Hours!$A:$A,0))+J773*INDEX(Hours!F:F,MATCH(C773,Hours!$A:$A,0)))</f>
        <v>0</v>
      </c>
      <c r="S773" s="19">
        <f t="shared" si="25"/>
        <v>0</v>
      </c>
    </row>
    <row r="774" spans="1:19" x14ac:dyDescent="0.25">
      <c r="A774" s="11" t="str">
        <f>'Bldgs &amp; Rooms'!$A$22</f>
        <v>Main Bldg.</v>
      </c>
      <c r="B774" s="11">
        <f>'Bldgs &amp; Rooms'!$B$22</f>
        <v>0</v>
      </c>
      <c r="C774" s="10" t="str">
        <f>Hours!$A$34</f>
        <v>Compressed Air Equipment</v>
      </c>
      <c r="D774" s="11">
        <f t="shared" si="24"/>
        <v>0</v>
      </c>
      <c r="E774" s="16"/>
      <c r="F774" s="17"/>
      <c r="G774" s="17"/>
      <c r="H774" s="17"/>
      <c r="I774" s="17"/>
      <c r="J774" s="17"/>
      <c r="K774" s="12"/>
      <c r="L774" s="12"/>
      <c r="M774" s="12"/>
      <c r="N774" s="12"/>
      <c r="O774" s="12"/>
      <c r="P774" s="12"/>
      <c r="Q774" s="17"/>
      <c r="R774" s="18">
        <f>IF(SUMPRODUCT((E774:Q774)*1)=0,0,E774*INDEX(Hours!M:M,MATCH(C774,Hours!$A:$A,0))+F774*INDEX(Hours!B:B,MATCH(C774,Hours!$A:$A,0))+G774*INDEX(Hours!C:C,MATCH(C774,Hours!$A:$A,0))+H774*INDEX(Hours!D:D,MATCH(C774,Hours!$A:$A,0))+I774*INDEX(Hours!E:E,MATCH(C774,Hours!$A:$A,0))+J774*INDEX(Hours!F:F,MATCH(C774,Hours!$A:$A,0)))</f>
        <v>0</v>
      </c>
      <c r="S774" s="19">
        <f t="shared" si="25"/>
        <v>0</v>
      </c>
    </row>
    <row r="775" spans="1:19" x14ac:dyDescent="0.25">
      <c r="A775" s="11" t="str">
        <f>'Bldgs &amp; Rooms'!$A$22</f>
        <v>Main Bldg.</v>
      </c>
      <c r="B775" s="11">
        <f>'Bldgs &amp; Rooms'!$B$22</f>
        <v>0</v>
      </c>
      <c r="C775" s="10" t="str">
        <f>Hours!$A$35</f>
        <v>HVAC Equipment (Large)</v>
      </c>
      <c r="D775" s="11">
        <f t="shared" si="24"/>
        <v>0</v>
      </c>
      <c r="E775" s="16"/>
      <c r="F775" s="17"/>
      <c r="G775" s="17"/>
      <c r="H775" s="17"/>
      <c r="I775" s="17"/>
      <c r="J775" s="17"/>
      <c r="K775" s="12"/>
      <c r="L775" s="12"/>
      <c r="M775" s="12"/>
      <c r="N775" s="12"/>
      <c r="O775" s="12"/>
      <c r="P775" s="12"/>
      <c r="Q775" s="17"/>
      <c r="R775" s="18">
        <f>IF(SUMPRODUCT((E775:Q775)*1)=0,0,E775*INDEX(Hours!M:M,MATCH(C775,Hours!$A:$A,0))+F775*INDEX(Hours!B:B,MATCH(C775,Hours!$A:$A,0))+G775*INDEX(Hours!C:C,MATCH(C775,Hours!$A:$A,0))+H775*INDEX(Hours!D:D,MATCH(C775,Hours!$A:$A,0))+I775*INDEX(Hours!E:E,MATCH(C775,Hours!$A:$A,0))+J775*INDEX(Hours!F:F,MATCH(C775,Hours!$A:$A,0)))</f>
        <v>0</v>
      </c>
      <c r="S775" s="19">
        <f t="shared" si="25"/>
        <v>0</v>
      </c>
    </row>
    <row r="776" spans="1:19" x14ac:dyDescent="0.25">
      <c r="A776" s="11" t="str">
        <f>'Bldgs &amp; Rooms'!$A$22</f>
        <v>Main Bldg.</v>
      </c>
      <c r="B776" s="11">
        <f>'Bldgs &amp; Rooms'!$B$22</f>
        <v>0</v>
      </c>
      <c r="C776" s="10" t="str">
        <f>Hours!$A$36</f>
        <v>HVAC Equipment (Small)</v>
      </c>
      <c r="D776" s="11">
        <f t="shared" si="24"/>
        <v>0</v>
      </c>
      <c r="E776" s="16"/>
      <c r="F776" s="17"/>
      <c r="G776" s="17"/>
      <c r="H776" s="17"/>
      <c r="I776" s="17"/>
      <c r="J776" s="17"/>
      <c r="K776" s="12"/>
      <c r="L776" s="12"/>
      <c r="M776" s="12"/>
      <c r="N776" s="12"/>
      <c r="O776" s="12"/>
      <c r="P776" s="12"/>
      <c r="Q776" s="17"/>
      <c r="R776" s="18">
        <f>IF(SUMPRODUCT((E776:Q776)*1)=0,0,E776*INDEX(Hours!M:M,MATCH(C776,Hours!$A:$A,0))+F776*INDEX(Hours!B:B,MATCH(C776,Hours!$A:$A,0))+G776*INDEX(Hours!C:C,MATCH(C776,Hours!$A:$A,0))+H776*INDEX(Hours!D:D,MATCH(C776,Hours!$A:$A,0))+I776*INDEX(Hours!E:E,MATCH(C776,Hours!$A:$A,0))+J776*INDEX(Hours!F:F,MATCH(C776,Hours!$A:$A,0)))</f>
        <v>0</v>
      </c>
      <c r="S776" s="19">
        <f t="shared" si="25"/>
        <v>0</v>
      </c>
    </row>
    <row r="777" spans="1:19" x14ac:dyDescent="0.25">
      <c r="A777" s="11" t="str">
        <f>'Bldgs &amp; Rooms'!$A$22</f>
        <v>Main Bldg.</v>
      </c>
      <c r="B777" s="11">
        <f>'Bldgs &amp; Rooms'!$B$22</f>
        <v>0</v>
      </c>
      <c r="C777" s="10" t="str">
        <f>Hours!$A$37</f>
        <v>Uninterruptible Power Supply (UPS) &lt; 50kVA</v>
      </c>
      <c r="D777" s="11">
        <f t="shared" si="24"/>
        <v>0</v>
      </c>
      <c r="E777" s="16"/>
      <c r="F777" s="17"/>
      <c r="G777" s="17"/>
      <c r="H777" s="17"/>
      <c r="I777" s="17"/>
      <c r="J777" s="17"/>
      <c r="K777" s="12"/>
      <c r="L777" s="12"/>
      <c r="M777" s="12"/>
      <c r="N777" s="12"/>
      <c r="O777" s="12"/>
      <c r="P777" s="12"/>
      <c r="Q777" s="17"/>
      <c r="R777" s="18">
        <f>IF(SUMPRODUCT((E777:Q777)*1)=0,0,E777*INDEX(Hours!M:M,MATCH(C777,Hours!$A:$A,0))+F777*INDEX(Hours!B:B,MATCH(C777,Hours!$A:$A,0))+G777*INDEX(Hours!C:C,MATCH(C777,Hours!$A:$A,0))+H777*INDEX(Hours!D:D,MATCH(C777,Hours!$A:$A,0))+I777*INDEX(Hours!E:E,MATCH(C777,Hours!$A:$A,0))+J777*INDEX(Hours!F:F,MATCH(C777,Hours!$A:$A,0)))</f>
        <v>0</v>
      </c>
      <c r="S777" s="19">
        <f t="shared" si="25"/>
        <v>0</v>
      </c>
    </row>
    <row r="778" spans="1:19" x14ac:dyDescent="0.25">
      <c r="A778" s="11" t="str">
        <f>'Bldgs &amp; Rooms'!$A$22</f>
        <v>Main Bldg.</v>
      </c>
      <c r="B778" s="11">
        <f>'Bldgs &amp; Rooms'!$B$22</f>
        <v>0</v>
      </c>
      <c r="C778" s="10" t="str">
        <f>Hours!$A$38</f>
        <v>Uninterruptible Power Supply (UPS) &gt; 50kVA</v>
      </c>
      <c r="D778" s="11">
        <f t="shared" si="24"/>
        <v>0</v>
      </c>
      <c r="E778" s="16"/>
      <c r="F778" s="17"/>
      <c r="G778" s="17"/>
      <c r="H778" s="17"/>
      <c r="I778" s="17"/>
      <c r="J778" s="17"/>
      <c r="K778" s="12"/>
      <c r="L778" s="12"/>
      <c r="M778" s="12"/>
      <c r="N778" s="12"/>
      <c r="O778" s="12"/>
      <c r="P778" s="12"/>
      <c r="Q778" s="17"/>
      <c r="R778" s="18">
        <f>IF(SUMPRODUCT((E778:Q778)*1)=0,0,E778*INDEX(Hours!M:M,MATCH(C778,Hours!$A:$A,0))+F778*INDEX(Hours!B:B,MATCH(C778,Hours!$A:$A,0))+G778*INDEX(Hours!C:C,MATCH(C778,Hours!$A:$A,0))+H778*INDEX(Hours!D:D,MATCH(C778,Hours!$A:$A,0))+I778*INDEX(Hours!E:E,MATCH(C778,Hours!$A:$A,0))+J778*INDEX(Hours!F:F,MATCH(C778,Hours!$A:$A,0)))</f>
        <v>0</v>
      </c>
      <c r="S778" s="19">
        <f t="shared" si="25"/>
        <v>0</v>
      </c>
    </row>
    <row r="779" spans="1:19" x14ac:dyDescent="0.25">
      <c r="A779" s="15" t="str">
        <f>'Bldgs &amp; Rooms'!$A$23</f>
        <v>Main Bldg.</v>
      </c>
      <c r="B779" s="15">
        <f>'Bldgs &amp; Rooms'!$B$23</f>
        <v>0</v>
      </c>
      <c r="C779" s="14" t="str">
        <f>Hours!$A$2</f>
        <v>Switchgear - Incoming Main Service (Per Section)</v>
      </c>
      <c r="D779" s="15">
        <f t="shared" si="24"/>
        <v>0</v>
      </c>
      <c r="E779" s="16"/>
      <c r="F779" s="17"/>
      <c r="G779" s="17"/>
      <c r="H779" s="17"/>
      <c r="I779" s="17"/>
      <c r="J779" s="17"/>
      <c r="K779" s="17"/>
      <c r="L779" s="17"/>
      <c r="M779" s="12"/>
      <c r="N779" s="12"/>
      <c r="O779" s="17"/>
      <c r="P779" s="12"/>
      <c r="Q779" s="17"/>
      <c r="R779" s="18">
        <f>IF(SUMPRODUCT((E779:Q779)*1)=0,0,E779*INDEX(Hours!M:M,MATCH(C779,Hours!$A:$A,0))+F779*INDEX(Hours!B:B,MATCH(C779,Hours!$A:$A,0))+G779*INDEX(Hours!C:C,MATCH(C779,Hours!$A:$A,0))+H779*INDEX(Hours!D:D,MATCH(C779,Hours!$A:$A,0))+I779*INDEX(Hours!E:E,MATCH(C779,Hours!$A:$A,0))+J779*INDEX(Hours!F:F,MATCH(C779,Hours!$A:$A,0))+K779*INDEX(Hours!G:G,MATCH(C779,Hours!$A:$A,0))+L779*INDEX(Hours!H:H,MATCH(C779,Hours!$A:$A,0))+O779*INDEX(Hours!K:K,MATCH(C779,Hours!$A:$A,0)))</f>
        <v>0</v>
      </c>
      <c r="S779" s="19">
        <f t="shared" si="25"/>
        <v>0</v>
      </c>
    </row>
    <row r="780" spans="1:19" x14ac:dyDescent="0.25">
      <c r="A780" s="15" t="str">
        <f>'Bldgs &amp; Rooms'!$A$23</f>
        <v>Main Bldg.</v>
      </c>
      <c r="B780" s="15">
        <f>'Bldgs &amp; Rooms'!$B$23</f>
        <v>0</v>
      </c>
      <c r="C780" s="14" t="str">
        <f>Hours!$A$3</f>
        <v xml:space="preserve">  Switchgear Insulated Case Breakers (Bus Mounted)</v>
      </c>
      <c r="D780" s="15">
        <f t="shared" si="24"/>
        <v>0</v>
      </c>
      <c r="E780" s="16"/>
      <c r="F780" s="17"/>
      <c r="G780" s="17"/>
      <c r="H780" s="17"/>
      <c r="I780" s="17"/>
      <c r="J780" s="17"/>
      <c r="K780" s="17"/>
      <c r="L780" s="12"/>
      <c r="M780" s="12"/>
      <c r="N780" s="12"/>
      <c r="O780" s="12"/>
      <c r="P780" s="12"/>
      <c r="Q780" s="17"/>
      <c r="R780" s="18">
        <f>IF(SUMPRODUCT((E780:Q780)*1)=0,0,E780*INDEX(Hours!M:M,MATCH(C780,Hours!$A:$A,0))+F780*INDEX(Hours!B:B,MATCH(C780,Hours!$A:$A,0))+G780*INDEX(Hours!C:C,MATCH(C780,Hours!$A:$A,0))+H780*INDEX(Hours!D:D,MATCH(C780,Hours!$A:$A,0))+I780*INDEX(Hours!E:E,MATCH(C780,Hours!$A:$A,0))+J780*INDEX(Hours!F:F,MATCH(C780,Hours!$A:$A,0))+K780*INDEX(Hours!G:G,MATCH(C780,Hours!$A:$A,0)))</f>
        <v>0</v>
      </c>
      <c r="S780" s="19">
        <f t="shared" si="25"/>
        <v>0</v>
      </c>
    </row>
    <row r="781" spans="1:19" x14ac:dyDescent="0.25">
      <c r="A781" s="15" t="str">
        <f>'Bldgs &amp; Rooms'!$A$23</f>
        <v>Main Bldg.</v>
      </c>
      <c r="B781" s="15">
        <f>'Bldgs &amp; Rooms'!$B$23</f>
        <v>0</v>
      </c>
      <c r="C781" s="14" t="str">
        <f>Hours!$A$4</f>
        <v xml:space="preserve">  SwitchGear Drawout Breakers</v>
      </c>
      <c r="D781" s="15">
        <f t="shared" si="24"/>
        <v>0</v>
      </c>
      <c r="E781" s="16"/>
      <c r="F781" s="17"/>
      <c r="G781" s="17"/>
      <c r="H781" s="17"/>
      <c r="I781" s="17"/>
      <c r="J781" s="17"/>
      <c r="K781" s="12"/>
      <c r="L781" s="17"/>
      <c r="M781" s="12"/>
      <c r="N781" s="12"/>
      <c r="O781" s="12"/>
      <c r="P781" s="12"/>
      <c r="Q781" s="17"/>
      <c r="R781" s="18">
        <f>IF(SUMPRODUCT((E781:Q781)*1)=0,0,E781*INDEX(Hours!M:M,MATCH(C781,Hours!$A:$A,0))+F781*INDEX(Hours!B:B,MATCH(C781,Hours!$A:$A,0))+G781*INDEX(Hours!C:C,MATCH(C781,Hours!$A:$A,0))+H781*INDEX(Hours!D:D,MATCH(C781,Hours!$A:$A,0))+I781*INDEX(Hours!E:E,MATCH(C781,Hours!$A:$A,0))+J781*INDEX(Hours!F:F,MATCH(C781,Hours!$A:$A,0))+L781*INDEX(Hours!H:H,MATCH(C781,Hours!$A:$A,0)))</f>
        <v>0</v>
      </c>
      <c r="S781" s="19">
        <f t="shared" si="25"/>
        <v>0</v>
      </c>
    </row>
    <row r="782" spans="1:19" x14ac:dyDescent="0.25">
      <c r="A782" s="15" t="str">
        <f>'Bldgs &amp; Rooms'!$A$23</f>
        <v>Main Bldg.</v>
      </c>
      <c r="B782" s="15">
        <f>'Bldgs &amp; Rooms'!$B$23</f>
        <v>0</v>
      </c>
      <c r="C782" s="14" t="str">
        <f>Hours!$A$5</f>
        <v>Distribution Switchboard Multi Cover (Per Section)</v>
      </c>
      <c r="D782" s="15">
        <f t="shared" si="24"/>
        <v>0</v>
      </c>
      <c r="E782" s="16"/>
      <c r="F782" s="17"/>
      <c r="G782" s="17"/>
      <c r="H782" s="17"/>
      <c r="I782" s="17"/>
      <c r="J782" s="17"/>
      <c r="K782" s="17"/>
      <c r="L782" s="12"/>
      <c r="M782" s="12"/>
      <c r="N782" s="12"/>
      <c r="O782" s="17"/>
      <c r="P782" s="12"/>
      <c r="Q782" s="17"/>
      <c r="R782" s="18">
        <f>IF(SUMPRODUCT((E782:Q782)*1)=0,0,E782*INDEX(Hours!M:M,MATCH(C782,Hours!$A:$A,0))+F782*INDEX(Hours!B:B,MATCH(C782,Hours!$A:$A,0))+G782*INDEX(Hours!C:C,MATCH(C782,Hours!$A:$A,0))+H782*INDEX(Hours!D:D,MATCH(C782,Hours!$A:$A,0))+I782*INDEX(Hours!E:E,MATCH(C782,Hours!$A:$A,0))+J782*INDEX(Hours!F:F,MATCH(C782,Hours!$A:$A,0))+K782*INDEX(Hours!G:G,MATCH(C782,Hours!$A:$A,0))+O782*INDEX(Hours!K:K,MATCH(C782,Hours!$A:$A,0)))</f>
        <v>0</v>
      </c>
      <c r="S782" s="19">
        <f t="shared" si="25"/>
        <v>0</v>
      </c>
    </row>
    <row r="783" spans="1:19" x14ac:dyDescent="0.25">
      <c r="A783" s="15" t="str">
        <f>'Bldgs &amp; Rooms'!$A$23</f>
        <v>Main Bldg.</v>
      </c>
      <c r="B783" s="15">
        <f>'Bldgs &amp; Rooms'!$B$23</f>
        <v>0</v>
      </c>
      <c r="C783" s="14" t="str">
        <f>Hours!$A$6</f>
        <v xml:space="preserve">  Switchboard Disconnects</v>
      </c>
      <c r="D783" s="15">
        <f t="shared" si="24"/>
        <v>0</v>
      </c>
      <c r="E783" s="16"/>
      <c r="F783" s="17"/>
      <c r="G783" s="17"/>
      <c r="H783" s="17"/>
      <c r="I783" s="17"/>
      <c r="J783" s="17"/>
      <c r="K783" s="12"/>
      <c r="L783" s="12"/>
      <c r="M783" s="12"/>
      <c r="N783" s="12"/>
      <c r="O783" s="12"/>
      <c r="P783" s="12"/>
      <c r="Q783" s="17"/>
      <c r="R783" s="18">
        <f>IF(SUMPRODUCT((E783:Q783)*1)=0,0,E783*INDEX(Hours!M:M,MATCH(C783,Hours!$A:$A,0))+F783*INDEX(Hours!B:B,MATCH(C783,Hours!$A:$A,0))+G783*INDEX(Hours!C:C,MATCH(C783,Hours!$A:$A,0))+H783*INDEX(Hours!D:D,MATCH(C783,Hours!$A:$A,0))+I783*INDEX(Hours!E:E,MATCH(C783,Hours!$A:$A,0))+J783*INDEX(Hours!F:F,MATCH(C783,Hours!$A:$A,0)))</f>
        <v>0</v>
      </c>
      <c r="S783" s="19">
        <f t="shared" si="25"/>
        <v>0</v>
      </c>
    </row>
    <row r="784" spans="1:19" x14ac:dyDescent="0.25">
      <c r="A784" s="15" t="str">
        <f>'Bldgs &amp; Rooms'!$A$23</f>
        <v>Main Bldg.</v>
      </c>
      <c r="B784" s="15">
        <f>'Bldgs &amp; Rooms'!$B$23</f>
        <v>0</v>
      </c>
      <c r="C784" s="14" t="str">
        <f>Hours!$A$7</f>
        <v xml:space="preserve">  Switchboard Molded Case Breakers</v>
      </c>
      <c r="D784" s="15">
        <f t="shared" si="24"/>
        <v>0</v>
      </c>
      <c r="E784" s="16"/>
      <c r="F784" s="17"/>
      <c r="G784" s="17"/>
      <c r="H784" s="17"/>
      <c r="I784" s="17"/>
      <c r="J784" s="17"/>
      <c r="K784" s="17"/>
      <c r="L784" s="12"/>
      <c r="M784" s="12"/>
      <c r="N784" s="12"/>
      <c r="O784" s="12"/>
      <c r="P784" s="12"/>
      <c r="Q784" s="17"/>
      <c r="R784" s="18">
        <f>IF(SUMPRODUCT((E784:Q784)*1)=0,0,E784*INDEX(Hours!M:M,MATCH(C784,Hours!$A:$A,0))+F784*INDEX(Hours!B:B,MATCH(C784,Hours!$A:$A,0))+G784*INDEX(Hours!C:C,MATCH(C784,Hours!$A:$A,0))+H784*INDEX(Hours!D:D,MATCH(C784,Hours!$A:$A,0))+I784*INDEX(Hours!E:E,MATCH(C784,Hours!$A:$A,0))+J784*INDEX(Hours!F:F,MATCH(C784,Hours!$A:$A,0))+K784*INDEX(Hours!G:G,MATCH(C784,Hours!$A:$A,0)))</f>
        <v>0</v>
      </c>
      <c r="S784" s="19">
        <f t="shared" si="25"/>
        <v>0</v>
      </c>
    </row>
    <row r="785" spans="1:19" x14ac:dyDescent="0.25">
      <c r="A785" s="15" t="str">
        <f>'Bldgs &amp; Rooms'!$A$23</f>
        <v>Main Bldg.</v>
      </c>
      <c r="B785" s="15">
        <f>'Bldgs &amp; Rooms'!$B$23</f>
        <v>0</v>
      </c>
      <c r="C785" s="14" t="str">
        <f>Hours!$A$8</f>
        <v>Panelboard-Single Cover &gt; 400A (Distribution Panel)</v>
      </c>
      <c r="D785" s="15">
        <f t="shared" si="24"/>
        <v>0</v>
      </c>
      <c r="E785" s="16"/>
      <c r="F785" s="17"/>
      <c r="G785" s="17"/>
      <c r="H785" s="17"/>
      <c r="I785" s="17"/>
      <c r="J785" s="17"/>
      <c r="K785" s="17"/>
      <c r="L785" s="12"/>
      <c r="M785" s="12"/>
      <c r="N785" s="12"/>
      <c r="O785" s="17"/>
      <c r="P785" s="12"/>
      <c r="Q785" s="17"/>
      <c r="R785" s="18">
        <f>IF(SUMPRODUCT((E785:Q785)*1)=0,0,E785*INDEX(Hours!M:M,MATCH(C785,Hours!$A:$A,0))+F785*INDEX(Hours!B:B,MATCH(C785,Hours!$A:$A,0))+G785*INDEX(Hours!C:C,MATCH(C785,Hours!$A:$A,0))+H785*INDEX(Hours!D:D,MATCH(C785,Hours!$A:$A,0))+I785*INDEX(Hours!E:E,MATCH(C785,Hours!$A:$A,0))+J785*INDEX(Hours!F:F,MATCH(C785,Hours!$A:$A,0))+K785*INDEX(Hours!G:G,MATCH(C785,Hours!$A:$A,0))+O785*INDEX(Hours!K:K,MATCH(C785,Hours!$A:$A,0)))</f>
        <v>0</v>
      </c>
      <c r="S785" s="19">
        <f t="shared" si="25"/>
        <v>0</v>
      </c>
    </row>
    <row r="786" spans="1:19" x14ac:dyDescent="0.25">
      <c r="A786" s="15" t="str">
        <f>'Bldgs &amp; Rooms'!$A$23</f>
        <v>Main Bldg.</v>
      </c>
      <c r="B786" s="15">
        <f>'Bldgs &amp; Rooms'!$B$23</f>
        <v>0</v>
      </c>
      <c r="C786" s="14" t="str">
        <f>Hours!$A$9</f>
        <v>Panelboard-Single Cover &lt; 400A (Branch Ckt Panel)</v>
      </c>
      <c r="D786" s="15">
        <f t="shared" si="24"/>
        <v>0</v>
      </c>
      <c r="E786" s="16"/>
      <c r="F786" s="17"/>
      <c r="G786" s="17"/>
      <c r="H786" s="17"/>
      <c r="I786" s="17"/>
      <c r="J786" s="17"/>
      <c r="K786" s="12"/>
      <c r="L786" s="12"/>
      <c r="M786" s="12"/>
      <c r="N786" s="12"/>
      <c r="O786" s="17"/>
      <c r="P786" s="12"/>
      <c r="Q786" s="17"/>
      <c r="R786" s="18">
        <f>IF(SUMPRODUCT((E786:Q786)*1)=0,0,E786*INDEX(Hours!M:M,MATCH(C786,Hours!$A:$A,0))+F786*INDEX(Hours!B:B,MATCH(C786,Hours!$A:$A,0))+G786*INDEX(Hours!C:C,MATCH(C786,Hours!$A:$A,0))+H786*INDEX(Hours!D:D,MATCH(C786,Hours!$A:$A,0))+I786*INDEX(Hours!E:E,MATCH(C786,Hours!$A:$A,0))+J786*INDEX(Hours!F:F,MATCH(C786,Hours!$A:$A,0))+O786*INDEX(Hours!K:K,MATCH(C786,Hours!$A:$A,0)))</f>
        <v>0</v>
      </c>
      <c r="S786" s="19">
        <f t="shared" si="25"/>
        <v>0</v>
      </c>
    </row>
    <row r="787" spans="1:19" x14ac:dyDescent="0.25">
      <c r="A787" s="15" t="str">
        <f>'Bldgs &amp; Rooms'!$A$23</f>
        <v>Main Bldg.</v>
      </c>
      <c r="B787" s="15">
        <f>'Bldgs &amp; Rooms'!$B$23</f>
        <v>0</v>
      </c>
      <c r="C787" s="14" t="str">
        <f>Hours!$A$10</f>
        <v>Motor Control Center (MCC-Per Vertical Section)</v>
      </c>
      <c r="D787" s="15">
        <f t="shared" si="24"/>
        <v>0</v>
      </c>
      <c r="E787" s="16"/>
      <c r="F787" s="17"/>
      <c r="G787" s="17"/>
      <c r="H787" s="17"/>
      <c r="I787" s="17"/>
      <c r="J787" s="17"/>
      <c r="K787" s="12"/>
      <c r="L787" s="12"/>
      <c r="M787" s="12"/>
      <c r="N787" s="12"/>
      <c r="O787" s="17"/>
      <c r="P787" s="12"/>
      <c r="Q787" s="17"/>
      <c r="R787" s="18">
        <f>IF(SUMPRODUCT((E787:Q787)*1)=0,0,E787*INDEX(Hours!M:M,MATCH(C787,Hours!$A:$A,0))+F787*INDEX(Hours!B:B,MATCH(C787,Hours!$A:$A,0))+G787*INDEX(Hours!C:C,MATCH(C787,Hours!$A:$A,0))+H787*INDEX(Hours!D:D,MATCH(C787,Hours!$A:$A,0))+I787*INDEX(Hours!E:E,MATCH(C787,Hours!$A:$A,0))+J787*INDEX(Hours!F:F,MATCH(C787,Hours!$A:$A,0))+O787*INDEX(Hours!K:K,MATCH(C787,Hours!$A:$A,0)))</f>
        <v>0</v>
      </c>
      <c r="S787" s="19">
        <f t="shared" si="25"/>
        <v>0</v>
      </c>
    </row>
    <row r="788" spans="1:19" x14ac:dyDescent="0.25">
      <c r="A788" s="15" t="str">
        <f>'Bldgs &amp; Rooms'!$A$23</f>
        <v>Main Bldg.</v>
      </c>
      <c r="B788" s="15">
        <f>'Bldgs &amp; Rooms'!$B$23</f>
        <v>0</v>
      </c>
      <c r="C788" s="14" t="str">
        <f>Hours!$A$11</f>
        <v xml:space="preserve">  MCC: Combination Motor Starters</v>
      </c>
      <c r="D788" s="15">
        <f t="shared" si="24"/>
        <v>0</v>
      </c>
      <c r="E788" s="16"/>
      <c r="F788" s="17"/>
      <c r="G788" s="17"/>
      <c r="H788" s="17"/>
      <c r="I788" s="17"/>
      <c r="J788" s="17"/>
      <c r="K788" s="17"/>
      <c r="L788" s="12"/>
      <c r="M788" s="12"/>
      <c r="N788" s="12"/>
      <c r="O788" s="17"/>
      <c r="P788" s="12"/>
      <c r="Q788" s="17"/>
      <c r="R788" s="18">
        <f>IF(SUMPRODUCT((E788:Q788)*1)=0,0,E788*INDEX(Hours!M:M,MATCH(C788,Hours!$A:$A,0))+F788*INDEX(Hours!B:B,MATCH(C788,Hours!$A:$A,0))+G788*INDEX(Hours!C:C,MATCH(C788,Hours!$A:$A,0))+H788*INDEX(Hours!D:D,MATCH(C788,Hours!$A:$A,0))+I788*INDEX(Hours!E:E,MATCH(C788,Hours!$A:$A,0))+J788*INDEX(Hours!F:F,MATCH(C788,Hours!$A:$A,0))+K788*INDEX(Hours!G:G,MATCH(C788,Hours!$A:$A,0))+O788*INDEX(Hours!K:K,MATCH(C788,Hours!$A:$A,0)))</f>
        <v>0</v>
      </c>
      <c r="S788" s="19">
        <f t="shared" si="25"/>
        <v>0</v>
      </c>
    </row>
    <row r="789" spans="1:19" x14ac:dyDescent="0.25">
      <c r="A789" s="15" t="str">
        <f>'Bldgs &amp; Rooms'!$A$23</f>
        <v>Main Bldg.</v>
      </c>
      <c r="B789" s="15">
        <f>'Bldgs &amp; Rooms'!$B$23</f>
        <v>0</v>
      </c>
      <c r="C789" s="14" t="str">
        <f>Hours!$A$12</f>
        <v xml:space="preserve">  MCC: Molded Case Breaker</v>
      </c>
      <c r="D789" s="15">
        <f t="shared" si="24"/>
        <v>0</v>
      </c>
      <c r="E789" s="16"/>
      <c r="F789" s="17"/>
      <c r="G789" s="17"/>
      <c r="H789" s="17"/>
      <c r="I789" s="17"/>
      <c r="J789" s="17"/>
      <c r="K789" s="17"/>
      <c r="L789" s="12"/>
      <c r="M789" s="12"/>
      <c r="N789" s="12"/>
      <c r="O789" s="12"/>
      <c r="P789" s="12"/>
      <c r="Q789" s="17"/>
      <c r="R789" s="18">
        <f>IF(SUMPRODUCT((E789:Q789)*1)=0,0,E789*INDEX(Hours!M:M,MATCH(C789,Hours!$A:$A,0))+F789*INDEX(Hours!B:B,MATCH(C789,Hours!$A:$A,0))+G789*INDEX(Hours!C:C,MATCH(C789,Hours!$A:$A,0))+H789*INDEX(Hours!D:D,MATCH(C789,Hours!$A:$A,0))+I789*INDEX(Hours!E:E,MATCH(C789,Hours!$A:$A,0))+J789*INDEX(Hours!F:F,MATCH(C789,Hours!$A:$A,0))+K789*INDEX(Hours!G:G,MATCH(C789,Hours!$A:$A,0)))</f>
        <v>0</v>
      </c>
      <c r="S789" s="19">
        <f t="shared" si="25"/>
        <v>0</v>
      </c>
    </row>
    <row r="790" spans="1:19" x14ac:dyDescent="0.25">
      <c r="A790" s="15" t="str">
        <f>'Bldgs &amp; Rooms'!$A$23</f>
        <v>Main Bldg.</v>
      </c>
      <c r="B790" s="15">
        <f>'Bldgs &amp; Rooms'!$B$23</f>
        <v>0</v>
      </c>
      <c r="C790" s="14" t="str">
        <f>Hours!$A$13</f>
        <v xml:space="preserve">  MCC: Individual Disconnect Switch</v>
      </c>
      <c r="D790" s="15">
        <f t="shared" si="24"/>
        <v>0</v>
      </c>
      <c r="E790" s="16"/>
      <c r="F790" s="17"/>
      <c r="G790" s="17"/>
      <c r="H790" s="17"/>
      <c r="I790" s="17"/>
      <c r="J790" s="17"/>
      <c r="K790" s="12"/>
      <c r="L790" s="12"/>
      <c r="M790" s="12"/>
      <c r="N790" s="12"/>
      <c r="O790" s="12"/>
      <c r="P790" s="12"/>
      <c r="Q790" s="17"/>
      <c r="R790" s="18">
        <f>IF(SUMPRODUCT((E790:Q790)*1)=0,0,E790*INDEX(Hours!M:M,MATCH(C790,Hours!$A:$A,0))+F790*INDEX(Hours!B:B,MATCH(C790,Hours!$A:$A,0))+G790*INDEX(Hours!C:C,MATCH(C790,Hours!$A:$A,0))+H790*INDEX(Hours!D:D,MATCH(C790,Hours!$A:$A,0))+I790*INDEX(Hours!E:E,MATCH(C790,Hours!$A:$A,0))+J790*INDEX(Hours!F:F,MATCH(C790,Hours!$A:$A,0)))</f>
        <v>0</v>
      </c>
      <c r="S790" s="19">
        <f t="shared" si="25"/>
        <v>0</v>
      </c>
    </row>
    <row r="791" spans="1:19" x14ac:dyDescent="0.25">
      <c r="A791" s="15" t="str">
        <f>'Bldgs &amp; Rooms'!$A$23</f>
        <v>Main Bldg.</v>
      </c>
      <c r="B791" s="15">
        <f>'Bldgs &amp; Rooms'!$B$23</f>
        <v>0</v>
      </c>
      <c r="C791" s="14" t="str">
        <f>Hours!$A$14</f>
        <v>Motor Control Panel (MCP)</v>
      </c>
      <c r="D791" s="15">
        <f t="shared" si="24"/>
        <v>0</v>
      </c>
      <c r="E791" s="16"/>
      <c r="F791" s="17"/>
      <c r="G791" s="17"/>
      <c r="H791" s="17"/>
      <c r="I791" s="17"/>
      <c r="J791" s="17"/>
      <c r="K791" s="12"/>
      <c r="L791" s="12"/>
      <c r="M791" s="12"/>
      <c r="N791" s="12"/>
      <c r="O791" s="17"/>
      <c r="P791" s="12"/>
      <c r="Q791" s="17"/>
      <c r="R791" s="18">
        <f>IF(SUMPRODUCT((E791:Q791)*1)=0,0,E791*INDEX(Hours!M:M,MATCH(C791,Hours!$A:$A,0))+F791*INDEX(Hours!B:B,MATCH(C791,Hours!$A:$A,0))+G791*INDEX(Hours!C:C,MATCH(C791,Hours!$A:$A,0))+H791*INDEX(Hours!D:D,MATCH(C791,Hours!$A:$A,0))+I791*INDEX(Hours!E:E,MATCH(C791,Hours!$A:$A,0))+J791*INDEX(Hours!F:F,MATCH(C791,Hours!$A:$A,0))+O791*INDEX(Hours!K:K,MATCH(C791,Hours!$A:$A,0)))</f>
        <v>0</v>
      </c>
      <c r="S791" s="19">
        <f t="shared" si="25"/>
        <v>0</v>
      </c>
    </row>
    <row r="792" spans="1:19" x14ac:dyDescent="0.25">
      <c r="A792" s="15" t="str">
        <f>'Bldgs &amp; Rooms'!$A$23</f>
        <v>Main Bldg.</v>
      </c>
      <c r="B792" s="15">
        <f>'Bldgs &amp; Rooms'!$B$23</f>
        <v>0</v>
      </c>
      <c r="C792" s="14" t="str">
        <f>Hours!$A$15</f>
        <v>VFD Motor Control Panel (VFD-MCP)</v>
      </c>
      <c r="D792" s="15">
        <f t="shared" si="24"/>
        <v>0</v>
      </c>
      <c r="E792" s="16"/>
      <c r="F792" s="17"/>
      <c r="G792" s="17"/>
      <c r="H792" s="17"/>
      <c r="I792" s="17"/>
      <c r="J792" s="17"/>
      <c r="K792" s="12"/>
      <c r="L792" s="12"/>
      <c r="M792" s="12"/>
      <c r="N792" s="12"/>
      <c r="O792" s="17"/>
      <c r="P792" s="12"/>
      <c r="Q792" s="17"/>
      <c r="R792" s="18">
        <f>IF(SUMPRODUCT((E792:Q792)*1)=0,0,E792*INDEX(Hours!M:M,MATCH(C792,Hours!$A:$A,0))+F792*INDEX(Hours!B:B,MATCH(C792,Hours!$A:$A,0))+G792*INDEX(Hours!C:C,MATCH(C792,Hours!$A:$A,0))+H792*INDEX(Hours!D:D,MATCH(C792,Hours!$A:$A,0))+I792*INDEX(Hours!E:E,MATCH(C792,Hours!$A:$A,0))+J792*INDEX(Hours!F:F,MATCH(C792,Hours!$A:$A,0))+O792*INDEX(Hours!K:K,MATCH(C792,Hours!$A:$A,0)))</f>
        <v>0</v>
      </c>
      <c r="S792" s="19">
        <f t="shared" si="25"/>
        <v>0</v>
      </c>
    </row>
    <row r="793" spans="1:19" x14ac:dyDescent="0.25">
      <c r="A793" s="15" t="str">
        <f>'Bldgs &amp; Rooms'!$A$23</f>
        <v>Main Bldg.</v>
      </c>
      <c r="B793" s="15">
        <f>'Bldgs &amp; Rooms'!$B$23</f>
        <v>0</v>
      </c>
      <c r="C793" s="14" t="str">
        <f>Hours!$A$16</f>
        <v>Individual Disconnect Switch &gt; 100A</v>
      </c>
      <c r="D793" s="15">
        <f t="shared" si="24"/>
        <v>0</v>
      </c>
      <c r="E793" s="16"/>
      <c r="F793" s="17"/>
      <c r="G793" s="17"/>
      <c r="H793" s="17"/>
      <c r="I793" s="17"/>
      <c r="J793" s="17"/>
      <c r="K793" s="17"/>
      <c r="L793" s="12"/>
      <c r="M793" s="12"/>
      <c r="N793" s="12"/>
      <c r="O793" s="12"/>
      <c r="P793" s="12"/>
      <c r="Q793" s="17"/>
      <c r="R793" s="18">
        <f>IF(SUMPRODUCT((E793:Q793)*1)=0,0,E793*INDEX(Hours!M:M,MATCH(C793,Hours!$A:$A,0))+F793*INDEX(Hours!B:B,MATCH(C793,Hours!$A:$A,0))+G793*INDEX(Hours!C:C,MATCH(C793,Hours!$A:$A,0))+H793*INDEX(Hours!D:D,MATCH(C793,Hours!$A:$A,0))+I793*INDEX(Hours!E:E,MATCH(C793,Hours!$A:$A,0))+J793*INDEX(Hours!F:F,MATCH(C793,Hours!$A:$A,0))+K793*INDEX(Hours!G:G,MATCH(C793,Hours!$A:$A,0)))</f>
        <v>0</v>
      </c>
      <c r="S793" s="19">
        <f t="shared" si="25"/>
        <v>0</v>
      </c>
    </row>
    <row r="794" spans="1:19" x14ac:dyDescent="0.25">
      <c r="A794" s="15" t="str">
        <f>'Bldgs &amp; Rooms'!$A$23</f>
        <v>Main Bldg.</v>
      </c>
      <c r="B794" s="15">
        <f>'Bldgs &amp; Rooms'!$B$23</f>
        <v>0</v>
      </c>
      <c r="C794" s="14" t="str">
        <f>Hours!$A$17</f>
        <v>Individual Molded Case Breaker &gt; 100A</v>
      </c>
      <c r="D794" s="15">
        <f t="shared" si="24"/>
        <v>0</v>
      </c>
      <c r="E794" s="16"/>
      <c r="F794" s="17"/>
      <c r="G794" s="17"/>
      <c r="H794" s="17"/>
      <c r="I794" s="17"/>
      <c r="J794" s="17"/>
      <c r="K794" s="17"/>
      <c r="L794" s="12"/>
      <c r="M794" s="12"/>
      <c r="N794" s="12"/>
      <c r="O794" s="12"/>
      <c r="P794" s="12"/>
      <c r="Q794" s="17"/>
      <c r="R794" s="18">
        <f>IF(SUMPRODUCT((E794:Q794)*1)=0,0,E794*INDEX(Hours!M:M,MATCH(C794,Hours!$A:$A,0))+F794*INDEX(Hours!B:B,MATCH(C794,Hours!$A:$A,0))+G794*INDEX(Hours!C:C,MATCH(C794,Hours!$A:$A,0))+H794*INDEX(Hours!D:D,MATCH(C794,Hours!$A:$A,0))+I794*INDEX(Hours!E:E,MATCH(C794,Hours!$A:$A,0))+J794*INDEX(Hours!F:F,MATCH(C794,Hours!$A:$A,0))+K794*INDEX(Hours!G:G,MATCH(C794,Hours!$A:$A,0)))</f>
        <v>0</v>
      </c>
      <c r="S794" s="19">
        <f t="shared" si="25"/>
        <v>0</v>
      </c>
    </row>
    <row r="795" spans="1:19" x14ac:dyDescent="0.25">
      <c r="A795" s="15" t="str">
        <f>'Bldgs &amp; Rooms'!$A$23</f>
        <v>Main Bldg.</v>
      </c>
      <c r="B795" s="15">
        <f>'Bldgs &amp; Rooms'!$B$23</f>
        <v>0</v>
      </c>
      <c r="C795" s="14" t="str">
        <f>Hours!$A$18</f>
        <v>Individual Combination Motor Starter &gt; 100A</v>
      </c>
      <c r="D795" s="15">
        <f t="shared" si="24"/>
        <v>0</v>
      </c>
      <c r="E795" s="16"/>
      <c r="F795" s="17"/>
      <c r="G795" s="17"/>
      <c r="H795" s="17"/>
      <c r="I795" s="17"/>
      <c r="J795" s="17"/>
      <c r="K795" s="17"/>
      <c r="L795" s="12"/>
      <c r="M795" s="12"/>
      <c r="N795" s="12"/>
      <c r="O795" s="12"/>
      <c r="P795" s="12"/>
      <c r="Q795" s="17"/>
      <c r="R795" s="18">
        <f>IF(SUMPRODUCT((E795:Q795)*1)=0,0,E795*INDEX(Hours!M:M,MATCH(C795,Hours!$A:$A,0))+F795*INDEX(Hours!B:B,MATCH(C795,Hours!$A:$A,0))+G795*INDEX(Hours!C:C,MATCH(C795,Hours!$A:$A,0))+H795*INDEX(Hours!D:D,MATCH(C795,Hours!$A:$A,0))+I795*INDEX(Hours!E:E,MATCH(C795,Hours!$A:$A,0))+J795*INDEX(Hours!F:F,MATCH(C795,Hours!$A:$A,0))+K795*INDEX(Hours!G:G,MATCH(C795,Hours!$A:$A,0)))</f>
        <v>0</v>
      </c>
      <c r="S795" s="19">
        <f t="shared" si="25"/>
        <v>0</v>
      </c>
    </row>
    <row r="796" spans="1:19" x14ac:dyDescent="0.25">
      <c r="A796" s="15" t="str">
        <f>'Bldgs &amp; Rooms'!$A$23</f>
        <v>Main Bldg.</v>
      </c>
      <c r="B796" s="15">
        <f>'Bldgs &amp; Rooms'!$B$23</f>
        <v>0</v>
      </c>
      <c r="C796" s="14" t="str">
        <f>Hours!$A$19</f>
        <v>Oil Filled Transformer - 5kV-15kV Primary - Any Size (Pad Mounted)</v>
      </c>
      <c r="D796" s="15">
        <f t="shared" si="24"/>
        <v>0</v>
      </c>
      <c r="E796" s="16"/>
      <c r="F796" s="17"/>
      <c r="G796" s="17"/>
      <c r="H796" s="17"/>
      <c r="I796" s="17"/>
      <c r="J796" s="17"/>
      <c r="K796" s="12"/>
      <c r="L796" s="12"/>
      <c r="M796" s="17"/>
      <c r="N796" s="17"/>
      <c r="O796" s="12"/>
      <c r="P796" s="17"/>
      <c r="Q796" s="17"/>
      <c r="R796" s="18">
        <f>IF(SUMPRODUCT((E796:Q796)*1)=0,0,E796*INDEX(Hours!M:M,MATCH(C796,Hours!$A:$A,0))+F796*INDEX(Hours!B:B,MATCH(C796,Hours!$A:$A,0))+G796*INDEX(Hours!C:C,MATCH(C796,Hours!$A:$A,0))+H796*INDEX(Hours!D:D,MATCH(C796,Hours!$A:$A,0))+I796*INDEX(Hours!E:E,MATCH(C796,Hours!$A:$A,0))+J796*INDEX(Hours!F:F,MATCH(C796,Hours!$A:$A,0))+M796*INDEX(Hours!I:I,MATCH(C796,Hours!$A:$A,0))+N796*INDEX(Hours!J:J,MATCH(C796,Hours!$A:$A,0))+P796*INDEX(Hours!L:L,MATCH(C796,Hours!$A:$A,0)))</f>
        <v>0</v>
      </c>
      <c r="S796" s="19">
        <f t="shared" si="25"/>
        <v>0</v>
      </c>
    </row>
    <row r="797" spans="1:19" x14ac:dyDescent="0.25">
      <c r="A797" s="15" t="str">
        <f>'Bldgs &amp; Rooms'!$A$23</f>
        <v>Main Bldg.</v>
      </c>
      <c r="B797" s="15">
        <f>'Bldgs &amp; Rooms'!$B$23</f>
        <v>0</v>
      </c>
      <c r="C797" s="14" t="str">
        <f>Hours!$A$20</f>
        <v>Oil Filled Transformer - &gt; 15kV Primary (Substation Class)</v>
      </c>
      <c r="D797" s="15">
        <f t="shared" si="24"/>
        <v>0</v>
      </c>
      <c r="E797" s="16"/>
      <c r="F797" s="17"/>
      <c r="G797" s="17"/>
      <c r="H797" s="17"/>
      <c r="I797" s="17"/>
      <c r="J797" s="17"/>
      <c r="K797" s="12"/>
      <c r="L797" s="12"/>
      <c r="M797" s="17"/>
      <c r="N797" s="17"/>
      <c r="O797" s="12"/>
      <c r="P797" s="17"/>
      <c r="Q797" s="17"/>
      <c r="R797" s="18">
        <f>IF(SUMPRODUCT((E797:Q797)*1)=0,0,E797*INDEX(Hours!M:M,MATCH(C797,Hours!$A:$A,0))+F797*INDEX(Hours!B:B,MATCH(C797,Hours!$A:$A,0))+G797*INDEX(Hours!C:C,MATCH(C797,Hours!$A:$A,0))+H797*INDEX(Hours!D:D,MATCH(C797,Hours!$A:$A,0))+I797*INDEX(Hours!E:E,MATCH(C797,Hours!$A:$A,0))+J797*INDEX(Hours!F:F,MATCH(C797,Hours!$A:$A,0))+M797*INDEX(Hours!I:I,MATCH(C797,Hours!$A:$A,0))+N797*INDEX(Hours!J:J,MATCH(C797,Hours!$A:$A,0))+P797*INDEX(Hours!L:L,MATCH(C797,Hours!$A:$A,0)))</f>
        <v>0</v>
      </c>
      <c r="S797" s="19">
        <f t="shared" si="25"/>
        <v>0</v>
      </c>
    </row>
    <row r="798" spans="1:19" x14ac:dyDescent="0.25">
      <c r="A798" s="15" t="str">
        <f>'Bldgs &amp; Rooms'!$A$23</f>
        <v>Main Bldg.</v>
      </c>
      <c r="B798" s="15">
        <f>'Bldgs &amp; Rooms'!$B$23</f>
        <v>0</v>
      </c>
      <c r="C798" s="14" t="str">
        <f>Hours!$A$21</f>
        <v>Dry Type Transformer - &lt; 480V Primary - Any Size kVA</v>
      </c>
      <c r="D798" s="15">
        <f t="shared" si="24"/>
        <v>0</v>
      </c>
      <c r="E798" s="16"/>
      <c r="F798" s="17"/>
      <c r="G798" s="17"/>
      <c r="H798" s="17"/>
      <c r="I798" s="17"/>
      <c r="J798" s="17"/>
      <c r="K798" s="12"/>
      <c r="L798" s="12"/>
      <c r="M798" s="17"/>
      <c r="N798" s="17"/>
      <c r="O798" s="12"/>
      <c r="P798" s="12"/>
      <c r="Q798" s="17"/>
      <c r="R798" s="18">
        <f>IF(SUMPRODUCT((E798:Q798)*1)=0,0,E798*INDEX(Hours!M:M,MATCH(C798,Hours!$A:$A,0))+F798*INDEX(Hours!B:B,MATCH(C798,Hours!$A:$A,0))+G798*INDEX(Hours!C:C,MATCH(C798,Hours!$A:$A,0))+H798*INDEX(Hours!D:D,MATCH(C798,Hours!$A:$A,0))+I798*INDEX(Hours!E:E,MATCH(C798,Hours!$A:$A,0))+J798*INDEX(Hours!F:F,MATCH(C798,Hours!$A:$A,0))+M798*INDEX(Hours!I:I,MATCH(C798,Hours!$A:$A,0))+N798*INDEX(Hours!J:J,MATCH(C798,Hours!$A:$A,0)))</f>
        <v>0</v>
      </c>
      <c r="S798" s="19">
        <f t="shared" si="25"/>
        <v>0</v>
      </c>
    </row>
    <row r="799" spans="1:19" x14ac:dyDescent="0.25">
      <c r="A799" s="15" t="str">
        <f>'Bldgs &amp; Rooms'!$A$23</f>
        <v>Main Bldg.</v>
      </c>
      <c r="B799" s="15">
        <f>'Bldgs &amp; Rooms'!$B$23</f>
        <v>0</v>
      </c>
      <c r="C799" s="14" t="str">
        <f>Hours!$A$22</f>
        <v>Power Factor Correction Capacitors</v>
      </c>
      <c r="D799" s="15">
        <f t="shared" si="24"/>
        <v>0</v>
      </c>
      <c r="E799" s="16"/>
      <c r="F799" s="17"/>
      <c r="G799" s="17"/>
      <c r="H799" s="17"/>
      <c r="I799" s="17"/>
      <c r="J799" s="17"/>
      <c r="K799" s="12"/>
      <c r="L799" s="12"/>
      <c r="M799" s="12"/>
      <c r="N799" s="12"/>
      <c r="O799" s="12"/>
      <c r="P799" s="12"/>
      <c r="Q799" s="17"/>
      <c r="R799" s="18">
        <f>IF(SUMPRODUCT((E799:Q799)*1)=0,0,E799*INDEX(Hours!M:M,MATCH(C799,Hours!$A:$A,0))+F799*INDEX(Hours!B:B,MATCH(C799,Hours!$A:$A,0))+G799*INDEX(Hours!C:C,MATCH(C799,Hours!$A:$A,0))+H799*INDEX(Hours!D:D,MATCH(C799,Hours!$A:$A,0))+I799*INDEX(Hours!E:E,MATCH(C799,Hours!$A:$A,0))+J799*INDEX(Hours!F:F,MATCH(C799,Hours!$A:$A,0)))</f>
        <v>0</v>
      </c>
      <c r="S799" s="19">
        <f t="shared" si="25"/>
        <v>0</v>
      </c>
    </row>
    <row r="800" spans="1:19" x14ac:dyDescent="0.25">
      <c r="A800" s="15" t="str">
        <f>'Bldgs &amp; Rooms'!$A$23</f>
        <v>Main Bldg.</v>
      </c>
      <c r="B800" s="15">
        <f>'Bldgs &amp; Rooms'!$B$23</f>
        <v>0</v>
      </c>
      <c r="C800" s="14" t="str">
        <f>Hours!$A$23</f>
        <v>Lighting Contactor &gt; 100A</v>
      </c>
      <c r="D800" s="15">
        <f t="shared" si="24"/>
        <v>0</v>
      </c>
      <c r="E800" s="16"/>
      <c r="F800" s="17"/>
      <c r="G800" s="17"/>
      <c r="H800" s="17"/>
      <c r="I800" s="17"/>
      <c r="J800" s="17"/>
      <c r="K800" s="12"/>
      <c r="L800" s="12"/>
      <c r="M800" s="12"/>
      <c r="N800" s="12"/>
      <c r="O800" s="12"/>
      <c r="P800" s="12"/>
      <c r="Q800" s="17"/>
      <c r="R800" s="18">
        <f>IF(SUMPRODUCT((E800:Q800)*1)=0,0,E800*INDEX(Hours!M:M,MATCH(C800,Hours!$A:$A,0))+F800*INDEX(Hours!B:B,MATCH(C800,Hours!$A:$A,0))+G800*INDEX(Hours!C:C,MATCH(C800,Hours!$A:$A,0))+H800*INDEX(Hours!D:D,MATCH(C800,Hours!$A:$A,0))+I800*INDEX(Hours!E:E,MATCH(C800,Hours!$A:$A,0))+J800*INDEX(Hours!F:F,MATCH(C800,Hours!$A:$A,0)))</f>
        <v>0</v>
      </c>
      <c r="S800" s="19">
        <f t="shared" si="25"/>
        <v>0</v>
      </c>
    </row>
    <row r="801" spans="1:19" x14ac:dyDescent="0.25">
      <c r="A801" s="15" t="str">
        <f>'Bldgs &amp; Rooms'!$A$23</f>
        <v>Main Bldg.</v>
      </c>
      <c r="B801" s="15">
        <f>'Bldgs &amp; Rooms'!$B$23</f>
        <v>0</v>
      </c>
      <c r="C801" s="14" t="str">
        <f>Hours!$A$24</f>
        <v>Power Distribution Unit (PDU)</v>
      </c>
      <c r="D801" s="15">
        <f t="shared" si="24"/>
        <v>0</v>
      </c>
      <c r="E801" s="16"/>
      <c r="F801" s="17"/>
      <c r="G801" s="17"/>
      <c r="H801" s="17"/>
      <c r="I801" s="17"/>
      <c r="J801" s="17"/>
      <c r="K801" s="12"/>
      <c r="L801" s="12"/>
      <c r="M801" s="12"/>
      <c r="N801" s="12"/>
      <c r="O801" s="12"/>
      <c r="P801" s="12"/>
      <c r="Q801" s="17"/>
      <c r="R801" s="18">
        <f>IF(SUMPRODUCT((E801:Q801)*1)=0,0,E801*INDEX(Hours!M:M,MATCH(C801,Hours!$A:$A,0))+F801*INDEX(Hours!B:B,MATCH(C801,Hours!$A:$A,0))+G801*INDEX(Hours!C:C,MATCH(C801,Hours!$A:$A,0))+H801*INDEX(Hours!D:D,MATCH(C801,Hours!$A:$A,0))+I801*INDEX(Hours!E:E,MATCH(C801,Hours!$A:$A,0))+J801*INDEX(Hours!F:F,MATCH(C801,Hours!$A:$A,0)))</f>
        <v>0</v>
      </c>
      <c r="S801" s="19">
        <f t="shared" si="25"/>
        <v>0</v>
      </c>
    </row>
    <row r="802" spans="1:19" x14ac:dyDescent="0.25">
      <c r="A802" s="15" t="str">
        <f>'Bldgs &amp; Rooms'!$A$23</f>
        <v>Main Bldg.</v>
      </c>
      <c r="B802" s="15">
        <f>'Bldgs &amp; Rooms'!$B$23</f>
        <v>0</v>
      </c>
      <c r="C802" s="14" t="str">
        <f>Hours!$A$25</f>
        <v>Wire Trough, Gutter, or Large Junction Boxes</v>
      </c>
      <c r="D802" s="15">
        <f t="shared" si="24"/>
        <v>0</v>
      </c>
      <c r="E802" s="16"/>
      <c r="F802" s="17"/>
      <c r="G802" s="17"/>
      <c r="H802" s="17"/>
      <c r="I802" s="17"/>
      <c r="J802" s="17"/>
      <c r="K802" s="12"/>
      <c r="L802" s="12"/>
      <c r="M802" s="12"/>
      <c r="N802" s="12"/>
      <c r="O802" s="12"/>
      <c r="P802" s="12"/>
      <c r="Q802" s="17"/>
      <c r="R802" s="18">
        <f>IF(SUMPRODUCT((E802:Q802)*1)=0,0,E802*INDEX(Hours!M:M,MATCH(C802,Hours!$A:$A,0))+F802*INDEX(Hours!B:B,MATCH(C802,Hours!$A:$A,0))+G802*INDEX(Hours!C:C,MATCH(C802,Hours!$A:$A,0))+H802*INDEX(Hours!D:D,MATCH(C802,Hours!$A:$A,0))+I802*INDEX(Hours!E:E,MATCH(C802,Hours!$A:$A,0))+J802*INDEX(Hours!F:F,MATCH(C802,Hours!$A:$A,0)))</f>
        <v>0</v>
      </c>
      <c r="S802" s="19">
        <f t="shared" si="25"/>
        <v>0</v>
      </c>
    </row>
    <row r="803" spans="1:19" x14ac:dyDescent="0.25">
      <c r="A803" s="15" t="str">
        <f>'Bldgs &amp; Rooms'!$A$23</f>
        <v>Main Bldg.</v>
      </c>
      <c r="B803" s="15">
        <f>'Bldgs &amp; Rooms'!$B$23</f>
        <v>0</v>
      </c>
      <c r="C803" s="14" t="str">
        <f>Hours!$A$26</f>
        <v>Bus Duct - Vertical or Horizontal (Per 10' section)</v>
      </c>
      <c r="D803" s="15">
        <f t="shared" si="24"/>
        <v>0</v>
      </c>
      <c r="E803" s="16"/>
      <c r="F803" s="17"/>
      <c r="G803" s="17"/>
      <c r="H803" s="17"/>
      <c r="I803" s="17"/>
      <c r="J803" s="17"/>
      <c r="K803" s="12"/>
      <c r="L803" s="12"/>
      <c r="M803" s="12"/>
      <c r="N803" s="12"/>
      <c r="O803" s="12"/>
      <c r="P803" s="12"/>
      <c r="Q803" s="17"/>
      <c r="R803" s="18">
        <f>IF(SUMPRODUCT((E803:Q803)*1)=0,0,E803*INDEX(Hours!M:M,MATCH(C803,Hours!$A:$A,0))+F803*INDEX(Hours!B:B,MATCH(C803,Hours!$A:$A,0))+G803*INDEX(Hours!C:C,MATCH(C803,Hours!$A:$A,0))+H803*INDEX(Hours!D:D,MATCH(C803,Hours!$A:$A,0))+I803*INDEX(Hours!E:E,MATCH(C803,Hours!$A:$A,0))+J803*INDEX(Hours!F:F,MATCH(C803,Hours!$A:$A,0)))</f>
        <v>0</v>
      </c>
      <c r="S803" s="19">
        <f t="shared" si="25"/>
        <v>0</v>
      </c>
    </row>
    <row r="804" spans="1:19" x14ac:dyDescent="0.25">
      <c r="A804" s="15" t="str">
        <f>'Bldgs &amp; Rooms'!$A$23</f>
        <v>Main Bldg.</v>
      </c>
      <c r="B804" s="15">
        <f>'Bldgs &amp; Rooms'!$B$23</f>
        <v>0</v>
      </c>
      <c r="C804" s="14" t="str">
        <f>Hours!$A$27</f>
        <v>Automatic Transfer Switch (ATS) &gt; 100A</v>
      </c>
      <c r="D804" s="15">
        <f t="shared" si="24"/>
        <v>0</v>
      </c>
      <c r="E804" s="16"/>
      <c r="F804" s="17"/>
      <c r="G804" s="17"/>
      <c r="H804" s="17"/>
      <c r="I804" s="17"/>
      <c r="J804" s="17"/>
      <c r="K804" s="12"/>
      <c r="L804" s="12"/>
      <c r="M804" s="12"/>
      <c r="N804" s="12"/>
      <c r="O804" s="12"/>
      <c r="P804" s="12"/>
      <c r="Q804" s="17"/>
      <c r="R804" s="18">
        <f>IF(SUMPRODUCT((E804:Q804)*1)=0,0,E804*INDEX(Hours!M:M,MATCH(C804,Hours!$A:$A,0))+F804*INDEX(Hours!B:B,MATCH(C804,Hours!$A:$A,0))+G804*INDEX(Hours!C:C,MATCH(C804,Hours!$A:$A,0))+H804*INDEX(Hours!D:D,MATCH(C804,Hours!$A:$A,0))+I804*INDEX(Hours!E:E,MATCH(C804,Hours!$A:$A,0))+J804*INDEX(Hours!F:F,MATCH(C804,Hours!$A:$A,0)))</f>
        <v>0</v>
      </c>
      <c r="S804" s="19">
        <f t="shared" si="25"/>
        <v>0</v>
      </c>
    </row>
    <row r="805" spans="1:19" x14ac:dyDescent="0.25">
      <c r="A805" s="15" t="str">
        <f>'Bldgs &amp; Rooms'!$A$23</f>
        <v>Main Bldg.</v>
      </c>
      <c r="B805" s="15">
        <f>'Bldgs &amp; Rooms'!$B$23</f>
        <v>0</v>
      </c>
      <c r="C805" s="14" t="str">
        <f>Hours!$A$28</f>
        <v>Manual Transfer Switch (MTS) &gt; 100A</v>
      </c>
      <c r="D805" s="15">
        <f t="shared" si="24"/>
        <v>0</v>
      </c>
      <c r="E805" s="16"/>
      <c r="F805" s="17"/>
      <c r="G805" s="17"/>
      <c r="H805" s="17"/>
      <c r="I805" s="17"/>
      <c r="J805" s="17"/>
      <c r="K805" s="12"/>
      <c r="L805" s="12"/>
      <c r="M805" s="12"/>
      <c r="N805" s="12"/>
      <c r="O805" s="12"/>
      <c r="P805" s="12"/>
      <c r="Q805" s="17"/>
      <c r="R805" s="18">
        <f>IF(SUMPRODUCT((E805:Q805)*1)=0,0,E805*INDEX(Hours!M:M,MATCH(C805,Hours!$A:$A,0))+F805*INDEX(Hours!B:B,MATCH(C805,Hours!$A:$A,0))+G805*INDEX(Hours!C:C,MATCH(C805,Hours!$A:$A,0))+H805*INDEX(Hours!D:D,MATCH(C805,Hours!$A:$A,0))+I805*INDEX(Hours!E:E,MATCH(C805,Hours!$A:$A,0))+J805*INDEX(Hours!F:F,MATCH(C805,Hours!$A:$A,0)))</f>
        <v>0</v>
      </c>
      <c r="S805" s="19">
        <f t="shared" si="25"/>
        <v>0</v>
      </c>
    </row>
    <row r="806" spans="1:19" x14ac:dyDescent="0.25">
      <c r="A806" s="15" t="str">
        <f>'Bldgs &amp; Rooms'!$A$23</f>
        <v>Main Bldg.</v>
      </c>
      <c r="B806" s="15">
        <f>'Bldgs &amp; Rooms'!$B$23</f>
        <v>0</v>
      </c>
      <c r="C806" s="14" t="str">
        <f>Hours!$A$29</f>
        <v>Variable Frequency Drives (VFD) &lt; 50 HP</v>
      </c>
      <c r="D806" s="15">
        <f t="shared" si="24"/>
        <v>0</v>
      </c>
      <c r="E806" s="16"/>
      <c r="F806" s="17"/>
      <c r="G806" s="17"/>
      <c r="H806" s="17"/>
      <c r="I806" s="17"/>
      <c r="J806" s="17"/>
      <c r="K806" s="12"/>
      <c r="L806" s="12"/>
      <c r="M806" s="12"/>
      <c r="N806" s="12"/>
      <c r="O806" s="12"/>
      <c r="P806" s="12"/>
      <c r="Q806" s="17"/>
      <c r="R806" s="18">
        <f>IF(SUMPRODUCT((E806:Q806)*1)=0,0,E806*INDEX(Hours!M:M,MATCH(C806,Hours!$A:$A,0))+F806*INDEX(Hours!B:B,MATCH(C806,Hours!$A:$A,0))+G806*INDEX(Hours!C:C,MATCH(C806,Hours!$A:$A,0))+H806*INDEX(Hours!D:D,MATCH(C806,Hours!$A:$A,0))+I806*INDEX(Hours!E:E,MATCH(C806,Hours!$A:$A,0))+J806*INDEX(Hours!F:F,MATCH(C806,Hours!$A:$A,0)))</f>
        <v>0</v>
      </c>
      <c r="S806" s="19">
        <f t="shared" si="25"/>
        <v>0</v>
      </c>
    </row>
    <row r="807" spans="1:19" x14ac:dyDescent="0.25">
      <c r="A807" s="15" t="str">
        <f>'Bldgs &amp; Rooms'!$A$23</f>
        <v>Main Bldg.</v>
      </c>
      <c r="B807" s="15">
        <f>'Bldgs &amp; Rooms'!$B$23</f>
        <v>0</v>
      </c>
      <c r="C807" s="14" t="str">
        <f>Hours!$A$30</f>
        <v>Variable Frequency Drives (VFD) 51-200 HP</v>
      </c>
      <c r="D807" s="15">
        <f t="shared" si="24"/>
        <v>0</v>
      </c>
      <c r="E807" s="16"/>
      <c r="F807" s="17"/>
      <c r="G807" s="17"/>
      <c r="H807" s="17"/>
      <c r="I807" s="17"/>
      <c r="J807" s="17"/>
      <c r="K807" s="12"/>
      <c r="L807" s="12"/>
      <c r="M807" s="12"/>
      <c r="N807" s="12"/>
      <c r="O807" s="12"/>
      <c r="P807" s="12"/>
      <c r="Q807" s="17"/>
      <c r="R807" s="18">
        <f>IF(SUMPRODUCT((E807:Q807)*1)=0,0,E807*INDEX(Hours!M:M,MATCH(C807,Hours!$A:$A,0))+F807*INDEX(Hours!B:B,MATCH(C807,Hours!$A:$A,0))+G807*INDEX(Hours!C:C,MATCH(C807,Hours!$A:$A,0))+H807*INDEX(Hours!D:D,MATCH(C807,Hours!$A:$A,0))+I807*INDEX(Hours!E:E,MATCH(C807,Hours!$A:$A,0))+J807*INDEX(Hours!F:F,MATCH(C807,Hours!$A:$A,0)))</f>
        <v>0</v>
      </c>
      <c r="S807" s="19">
        <f t="shared" si="25"/>
        <v>0</v>
      </c>
    </row>
    <row r="808" spans="1:19" x14ac:dyDescent="0.25">
      <c r="A808" s="15" t="str">
        <f>'Bldgs &amp; Rooms'!$A$23</f>
        <v>Main Bldg.</v>
      </c>
      <c r="B808" s="15">
        <f>'Bldgs &amp; Rooms'!$B$23</f>
        <v>0</v>
      </c>
      <c r="C808" s="14" t="str">
        <f>Hours!$A$31</f>
        <v>Motors &lt; 50 HP</v>
      </c>
      <c r="D808" s="15">
        <f t="shared" si="24"/>
        <v>0</v>
      </c>
      <c r="E808" s="16"/>
      <c r="F808" s="17"/>
      <c r="G808" s="17"/>
      <c r="H808" s="17"/>
      <c r="I808" s="17"/>
      <c r="J808" s="17"/>
      <c r="K808" s="12"/>
      <c r="L808" s="12"/>
      <c r="M808" s="12"/>
      <c r="N808" s="12"/>
      <c r="O808" s="12"/>
      <c r="P808" s="12"/>
      <c r="Q808" s="17"/>
      <c r="R808" s="18">
        <f>IF(SUMPRODUCT((E808:Q808)*1)=0,0,E808*INDEX(Hours!M:M,MATCH(C808,Hours!$A:$A,0))+F808*INDEX(Hours!B:B,MATCH(C808,Hours!$A:$A,0))+G808*INDEX(Hours!C:C,MATCH(C808,Hours!$A:$A,0))+H808*INDEX(Hours!D:D,MATCH(C808,Hours!$A:$A,0))+I808*INDEX(Hours!E:E,MATCH(C808,Hours!$A:$A,0))+J808*INDEX(Hours!F:F,MATCH(C808,Hours!$A:$A,0)))</f>
        <v>0</v>
      </c>
      <c r="S808" s="19">
        <f t="shared" si="25"/>
        <v>0</v>
      </c>
    </row>
    <row r="809" spans="1:19" x14ac:dyDescent="0.25">
      <c r="A809" s="15" t="str">
        <f>'Bldgs &amp; Rooms'!$A$23</f>
        <v>Main Bldg.</v>
      </c>
      <c r="B809" s="15">
        <f>'Bldgs &amp; Rooms'!$B$23</f>
        <v>0</v>
      </c>
      <c r="C809" s="14" t="str">
        <f>Hours!$A$32</f>
        <v>Motors 51-200 HP</v>
      </c>
      <c r="D809" s="15">
        <f t="shared" si="24"/>
        <v>0</v>
      </c>
      <c r="E809" s="16"/>
      <c r="F809" s="17"/>
      <c r="G809" s="17"/>
      <c r="H809" s="17"/>
      <c r="I809" s="17"/>
      <c r="J809" s="17"/>
      <c r="K809" s="12"/>
      <c r="L809" s="12"/>
      <c r="M809" s="12"/>
      <c r="N809" s="12"/>
      <c r="O809" s="12"/>
      <c r="P809" s="12"/>
      <c r="Q809" s="17"/>
      <c r="R809" s="18">
        <f>IF(SUMPRODUCT((E809:Q809)*1)=0,0,E809*INDEX(Hours!M:M,MATCH(C809,Hours!$A:$A,0))+F809*INDEX(Hours!B:B,MATCH(C809,Hours!$A:$A,0))+G809*INDEX(Hours!C:C,MATCH(C809,Hours!$A:$A,0))+H809*INDEX(Hours!D:D,MATCH(C809,Hours!$A:$A,0))+I809*INDEX(Hours!E:E,MATCH(C809,Hours!$A:$A,0))+J809*INDEX(Hours!F:F,MATCH(C809,Hours!$A:$A,0)))</f>
        <v>0</v>
      </c>
      <c r="S809" s="19">
        <f t="shared" si="25"/>
        <v>0</v>
      </c>
    </row>
    <row r="810" spans="1:19" x14ac:dyDescent="0.25">
      <c r="A810" s="15" t="str">
        <f>'Bldgs &amp; Rooms'!$A$23</f>
        <v>Main Bldg.</v>
      </c>
      <c r="B810" s="15">
        <f>'Bldgs &amp; Rooms'!$B$23</f>
        <v>0</v>
      </c>
      <c r="C810" s="14" t="str">
        <f>Hours!$A$33</f>
        <v>Motors 201-500 HP</v>
      </c>
      <c r="D810" s="15">
        <f t="shared" si="24"/>
        <v>0</v>
      </c>
      <c r="E810" s="16"/>
      <c r="F810" s="17"/>
      <c r="G810" s="17"/>
      <c r="H810" s="17"/>
      <c r="I810" s="17"/>
      <c r="J810" s="17"/>
      <c r="K810" s="12"/>
      <c r="L810" s="12"/>
      <c r="M810" s="12"/>
      <c r="N810" s="12"/>
      <c r="O810" s="12"/>
      <c r="P810" s="12"/>
      <c r="Q810" s="17"/>
      <c r="R810" s="18">
        <f>IF(SUMPRODUCT((E810:Q810)*1)=0,0,E810*INDEX(Hours!M:M,MATCH(C810,Hours!$A:$A,0))+F810*INDEX(Hours!B:B,MATCH(C810,Hours!$A:$A,0))+G810*INDEX(Hours!C:C,MATCH(C810,Hours!$A:$A,0))+H810*INDEX(Hours!D:D,MATCH(C810,Hours!$A:$A,0))+I810*INDEX(Hours!E:E,MATCH(C810,Hours!$A:$A,0))+J810*INDEX(Hours!F:F,MATCH(C810,Hours!$A:$A,0)))</f>
        <v>0</v>
      </c>
      <c r="S810" s="19">
        <f t="shared" si="25"/>
        <v>0</v>
      </c>
    </row>
    <row r="811" spans="1:19" x14ac:dyDescent="0.25">
      <c r="A811" s="15" t="str">
        <f>'Bldgs &amp; Rooms'!$A$23</f>
        <v>Main Bldg.</v>
      </c>
      <c r="B811" s="15">
        <f>'Bldgs &amp; Rooms'!$B$23</f>
        <v>0</v>
      </c>
      <c r="C811" s="14" t="str">
        <f>Hours!$A$34</f>
        <v>Compressed Air Equipment</v>
      </c>
      <c r="D811" s="15">
        <f t="shared" si="24"/>
        <v>0</v>
      </c>
      <c r="E811" s="16"/>
      <c r="F811" s="17"/>
      <c r="G811" s="17"/>
      <c r="H811" s="17"/>
      <c r="I811" s="17"/>
      <c r="J811" s="17"/>
      <c r="K811" s="12"/>
      <c r="L811" s="12"/>
      <c r="M811" s="12"/>
      <c r="N811" s="12"/>
      <c r="O811" s="12"/>
      <c r="P811" s="12"/>
      <c r="Q811" s="17"/>
      <c r="R811" s="18">
        <f>IF(SUMPRODUCT((E811:Q811)*1)=0,0,E811*INDEX(Hours!M:M,MATCH(C811,Hours!$A:$A,0))+F811*INDEX(Hours!B:B,MATCH(C811,Hours!$A:$A,0))+G811*INDEX(Hours!C:C,MATCH(C811,Hours!$A:$A,0))+H811*INDEX(Hours!D:D,MATCH(C811,Hours!$A:$A,0))+I811*INDEX(Hours!E:E,MATCH(C811,Hours!$A:$A,0))+J811*INDEX(Hours!F:F,MATCH(C811,Hours!$A:$A,0)))</f>
        <v>0</v>
      </c>
      <c r="S811" s="19">
        <f t="shared" si="25"/>
        <v>0</v>
      </c>
    </row>
    <row r="812" spans="1:19" x14ac:dyDescent="0.25">
      <c r="A812" s="15" t="str">
        <f>'Bldgs &amp; Rooms'!$A$23</f>
        <v>Main Bldg.</v>
      </c>
      <c r="B812" s="15">
        <f>'Bldgs &amp; Rooms'!$B$23</f>
        <v>0</v>
      </c>
      <c r="C812" s="14" t="str">
        <f>Hours!$A$35</f>
        <v>HVAC Equipment (Large)</v>
      </c>
      <c r="D812" s="15">
        <f t="shared" si="24"/>
        <v>0</v>
      </c>
      <c r="E812" s="16"/>
      <c r="F812" s="17"/>
      <c r="G812" s="17"/>
      <c r="H812" s="17"/>
      <c r="I812" s="17"/>
      <c r="J812" s="17"/>
      <c r="K812" s="12"/>
      <c r="L812" s="12"/>
      <c r="M812" s="12"/>
      <c r="N812" s="12"/>
      <c r="O812" s="12"/>
      <c r="P812" s="12"/>
      <c r="Q812" s="17"/>
      <c r="R812" s="18">
        <f>IF(SUMPRODUCT((E812:Q812)*1)=0,0,E812*INDEX(Hours!M:M,MATCH(C812,Hours!$A:$A,0))+F812*INDEX(Hours!B:B,MATCH(C812,Hours!$A:$A,0))+G812*INDEX(Hours!C:C,MATCH(C812,Hours!$A:$A,0))+H812*INDEX(Hours!D:D,MATCH(C812,Hours!$A:$A,0))+I812*INDEX(Hours!E:E,MATCH(C812,Hours!$A:$A,0))+J812*INDEX(Hours!F:F,MATCH(C812,Hours!$A:$A,0)))</f>
        <v>0</v>
      </c>
      <c r="S812" s="19">
        <f t="shared" si="25"/>
        <v>0</v>
      </c>
    </row>
    <row r="813" spans="1:19" x14ac:dyDescent="0.25">
      <c r="A813" s="15" t="str">
        <f>'Bldgs &amp; Rooms'!$A$23</f>
        <v>Main Bldg.</v>
      </c>
      <c r="B813" s="15">
        <f>'Bldgs &amp; Rooms'!$B$23</f>
        <v>0</v>
      </c>
      <c r="C813" s="14" t="str">
        <f>Hours!$A$36</f>
        <v>HVAC Equipment (Small)</v>
      </c>
      <c r="D813" s="15">
        <f t="shared" si="24"/>
        <v>0</v>
      </c>
      <c r="E813" s="16"/>
      <c r="F813" s="17"/>
      <c r="G813" s="17"/>
      <c r="H813" s="17"/>
      <c r="I813" s="17"/>
      <c r="J813" s="17"/>
      <c r="K813" s="12"/>
      <c r="L813" s="12"/>
      <c r="M813" s="12"/>
      <c r="N813" s="12"/>
      <c r="O813" s="12"/>
      <c r="P813" s="12"/>
      <c r="Q813" s="17"/>
      <c r="R813" s="18">
        <f>IF(SUMPRODUCT((E813:Q813)*1)=0,0,E813*INDEX(Hours!M:M,MATCH(C813,Hours!$A:$A,0))+F813*INDEX(Hours!B:B,MATCH(C813,Hours!$A:$A,0))+G813*INDEX(Hours!C:C,MATCH(C813,Hours!$A:$A,0))+H813*INDEX(Hours!D:D,MATCH(C813,Hours!$A:$A,0))+I813*INDEX(Hours!E:E,MATCH(C813,Hours!$A:$A,0))+J813*INDEX(Hours!F:F,MATCH(C813,Hours!$A:$A,0)))</f>
        <v>0</v>
      </c>
      <c r="S813" s="19">
        <f t="shared" si="25"/>
        <v>0</v>
      </c>
    </row>
    <row r="814" spans="1:19" x14ac:dyDescent="0.25">
      <c r="A814" s="15" t="str">
        <f>'Bldgs &amp; Rooms'!$A$23</f>
        <v>Main Bldg.</v>
      </c>
      <c r="B814" s="15">
        <f>'Bldgs &amp; Rooms'!$B$23</f>
        <v>0</v>
      </c>
      <c r="C814" s="14" t="str">
        <f>Hours!$A$37</f>
        <v>Uninterruptible Power Supply (UPS) &lt; 50kVA</v>
      </c>
      <c r="D814" s="15">
        <f t="shared" si="24"/>
        <v>0</v>
      </c>
      <c r="E814" s="16"/>
      <c r="F814" s="17"/>
      <c r="G814" s="17"/>
      <c r="H814" s="17"/>
      <c r="I814" s="17"/>
      <c r="J814" s="17"/>
      <c r="K814" s="12"/>
      <c r="L814" s="12"/>
      <c r="M814" s="12"/>
      <c r="N814" s="12"/>
      <c r="O814" s="12"/>
      <c r="P814" s="12"/>
      <c r="Q814" s="17"/>
      <c r="R814" s="18">
        <f>IF(SUMPRODUCT((E814:Q814)*1)=0,0,E814*INDEX(Hours!M:M,MATCH(C814,Hours!$A:$A,0))+F814*INDEX(Hours!B:B,MATCH(C814,Hours!$A:$A,0))+G814*INDEX(Hours!C:C,MATCH(C814,Hours!$A:$A,0))+H814*INDEX(Hours!D:D,MATCH(C814,Hours!$A:$A,0))+I814*INDEX(Hours!E:E,MATCH(C814,Hours!$A:$A,0))+J814*INDEX(Hours!F:F,MATCH(C814,Hours!$A:$A,0)))</f>
        <v>0</v>
      </c>
      <c r="S814" s="19">
        <f t="shared" si="25"/>
        <v>0</v>
      </c>
    </row>
    <row r="815" spans="1:19" x14ac:dyDescent="0.25">
      <c r="A815" s="15" t="str">
        <f>'Bldgs &amp; Rooms'!$A$23</f>
        <v>Main Bldg.</v>
      </c>
      <c r="B815" s="15">
        <f>'Bldgs &amp; Rooms'!$B$23</f>
        <v>0</v>
      </c>
      <c r="C815" s="14" t="str">
        <f>Hours!$A$38</f>
        <v>Uninterruptible Power Supply (UPS) &gt; 50kVA</v>
      </c>
      <c r="D815" s="15">
        <f t="shared" si="24"/>
        <v>0</v>
      </c>
      <c r="E815" s="16"/>
      <c r="F815" s="17"/>
      <c r="G815" s="17"/>
      <c r="H815" s="17"/>
      <c r="I815" s="17"/>
      <c r="J815" s="17"/>
      <c r="K815" s="12"/>
      <c r="L815" s="12"/>
      <c r="M815" s="12"/>
      <c r="N815" s="12"/>
      <c r="O815" s="12"/>
      <c r="P815" s="12"/>
      <c r="Q815" s="17"/>
      <c r="R815" s="18">
        <f>IF(SUMPRODUCT((E815:Q815)*1)=0,0,E815*INDEX(Hours!M:M,MATCH(C815,Hours!$A:$A,0))+F815*INDEX(Hours!B:B,MATCH(C815,Hours!$A:$A,0))+G815*INDEX(Hours!C:C,MATCH(C815,Hours!$A:$A,0))+H815*INDEX(Hours!D:D,MATCH(C815,Hours!$A:$A,0))+I815*INDEX(Hours!E:E,MATCH(C815,Hours!$A:$A,0))+J815*INDEX(Hours!F:F,MATCH(C815,Hours!$A:$A,0)))</f>
        <v>0</v>
      </c>
      <c r="S815" s="19">
        <f t="shared" si="25"/>
        <v>0</v>
      </c>
    </row>
    <row r="816" spans="1:19" x14ac:dyDescent="0.25">
      <c r="A816" s="11" t="str">
        <f>'Bldgs &amp; Rooms'!$A$24</f>
        <v>Main Bldg.</v>
      </c>
      <c r="B816" s="11">
        <f>'Bldgs &amp; Rooms'!$B$24</f>
        <v>0</v>
      </c>
      <c r="C816" s="10" t="str">
        <f>Hours!$A$2</f>
        <v>Switchgear - Incoming Main Service (Per Section)</v>
      </c>
      <c r="D816" s="11">
        <f t="shared" si="24"/>
        <v>0</v>
      </c>
      <c r="E816" s="16"/>
      <c r="F816" s="17"/>
      <c r="G816" s="17"/>
      <c r="H816" s="17"/>
      <c r="I816" s="17"/>
      <c r="J816" s="17"/>
      <c r="K816" s="17"/>
      <c r="L816" s="17"/>
      <c r="M816" s="12"/>
      <c r="N816" s="12"/>
      <c r="O816" s="17"/>
      <c r="P816" s="12"/>
      <c r="Q816" s="17"/>
      <c r="R816" s="18">
        <f>IF(SUMPRODUCT((E816:Q816)*1)=0,0,E816*INDEX(Hours!M:M,MATCH(C816,Hours!$A:$A,0))+F816*INDEX(Hours!B:B,MATCH(C816,Hours!$A:$A,0))+G816*INDEX(Hours!C:C,MATCH(C816,Hours!$A:$A,0))+H816*INDEX(Hours!D:D,MATCH(C816,Hours!$A:$A,0))+I816*INDEX(Hours!E:E,MATCH(C816,Hours!$A:$A,0))+J816*INDEX(Hours!F:F,MATCH(C816,Hours!$A:$A,0))+K816*INDEX(Hours!G:G,MATCH(C816,Hours!$A:$A,0))+L816*INDEX(Hours!H:H,MATCH(C816,Hours!$A:$A,0))+O816*INDEX(Hours!K:K,MATCH(C816,Hours!$A:$A,0)))</f>
        <v>0</v>
      </c>
      <c r="S816" s="19">
        <f t="shared" si="25"/>
        <v>0</v>
      </c>
    </row>
    <row r="817" spans="1:19" x14ac:dyDescent="0.25">
      <c r="A817" s="11" t="str">
        <f>'Bldgs &amp; Rooms'!$A$24</f>
        <v>Main Bldg.</v>
      </c>
      <c r="B817" s="11">
        <f>'Bldgs &amp; Rooms'!$B$24</f>
        <v>0</v>
      </c>
      <c r="C817" s="10" t="str">
        <f>Hours!$A$3</f>
        <v xml:space="preserve">  Switchgear Insulated Case Breakers (Bus Mounted)</v>
      </c>
      <c r="D817" s="11">
        <f t="shared" si="24"/>
        <v>0</v>
      </c>
      <c r="E817" s="16"/>
      <c r="F817" s="17"/>
      <c r="G817" s="17"/>
      <c r="H817" s="17"/>
      <c r="I817" s="17"/>
      <c r="J817" s="17"/>
      <c r="K817" s="17"/>
      <c r="L817" s="12"/>
      <c r="M817" s="12"/>
      <c r="N817" s="12"/>
      <c r="O817" s="12"/>
      <c r="P817" s="12"/>
      <c r="Q817" s="17"/>
      <c r="R817" s="18">
        <f>IF(SUMPRODUCT((E817:Q817)*1)=0,0,E817*INDEX(Hours!M:M,MATCH(C817,Hours!$A:$A,0))+F817*INDEX(Hours!B:B,MATCH(C817,Hours!$A:$A,0))+G817*INDEX(Hours!C:C,MATCH(C817,Hours!$A:$A,0))+H817*INDEX(Hours!D:D,MATCH(C817,Hours!$A:$A,0))+I817*INDEX(Hours!E:E,MATCH(C817,Hours!$A:$A,0))+J817*INDEX(Hours!F:F,MATCH(C817,Hours!$A:$A,0))+K817*INDEX(Hours!G:G,MATCH(C817,Hours!$A:$A,0)))</f>
        <v>0</v>
      </c>
      <c r="S817" s="19">
        <f t="shared" si="25"/>
        <v>0</v>
      </c>
    </row>
    <row r="818" spans="1:19" x14ac:dyDescent="0.25">
      <c r="A818" s="11" t="str">
        <f>'Bldgs &amp; Rooms'!$A$24</f>
        <v>Main Bldg.</v>
      </c>
      <c r="B818" s="11">
        <f>'Bldgs &amp; Rooms'!$B$24</f>
        <v>0</v>
      </c>
      <c r="C818" s="10" t="str">
        <f>Hours!$A$4</f>
        <v xml:space="preserve">  SwitchGear Drawout Breakers</v>
      </c>
      <c r="D818" s="11">
        <f t="shared" si="24"/>
        <v>0</v>
      </c>
      <c r="E818" s="16"/>
      <c r="F818" s="17"/>
      <c r="G818" s="17"/>
      <c r="H818" s="17"/>
      <c r="I818" s="17"/>
      <c r="J818" s="17"/>
      <c r="K818" s="12"/>
      <c r="L818" s="17"/>
      <c r="M818" s="12"/>
      <c r="N818" s="12"/>
      <c r="O818" s="12"/>
      <c r="P818" s="12"/>
      <c r="Q818" s="17"/>
      <c r="R818" s="18">
        <f>IF(SUMPRODUCT((E818:Q818)*1)=0,0,E818*INDEX(Hours!M:M,MATCH(C818,Hours!$A:$A,0))+F818*INDEX(Hours!B:B,MATCH(C818,Hours!$A:$A,0))+G818*INDEX(Hours!C:C,MATCH(C818,Hours!$A:$A,0))+H818*INDEX(Hours!D:D,MATCH(C818,Hours!$A:$A,0))+I818*INDEX(Hours!E:E,MATCH(C818,Hours!$A:$A,0))+J818*INDEX(Hours!F:F,MATCH(C818,Hours!$A:$A,0))+L818*INDEX(Hours!H:H,MATCH(C818,Hours!$A:$A,0)))</f>
        <v>0</v>
      </c>
      <c r="S818" s="19">
        <f t="shared" si="25"/>
        <v>0</v>
      </c>
    </row>
    <row r="819" spans="1:19" x14ac:dyDescent="0.25">
      <c r="A819" s="11" t="str">
        <f>'Bldgs &amp; Rooms'!$A$24</f>
        <v>Main Bldg.</v>
      </c>
      <c r="B819" s="11">
        <f>'Bldgs &amp; Rooms'!$B$24</f>
        <v>0</v>
      </c>
      <c r="C819" s="10" t="str">
        <f>Hours!$A$5</f>
        <v>Distribution Switchboard Multi Cover (Per Section)</v>
      </c>
      <c r="D819" s="11">
        <f t="shared" si="24"/>
        <v>0</v>
      </c>
      <c r="E819" s="16"/>
      <c r="F819" s="17"/>
      <c r="G819" s="17"/>
      <c r="H819" s="17"/>
      <c r="I819" s="17"/>
      <c r="J819" s="17"/>
      <c r="K819" s="17"/>
      <c r="L819" s="12"/>
      <c r="M819" s="12"/>
      <c r="N819" s="12"/>
      <c r="O819" s="17"/>
      <c r="P819" s="12"/>
      <c r="Q819" s="17"/>
      <c r="R819" s="18">
        <f>IF(SUMPRODUCT((E819:Q819)*1)=0,0,E819*INDEX(Hours!M:M,MATCH(C819,Hours!$A:$A,0))+F819*INDEX(Hours!B:B,MATCH(C819,Hours!$A:$A,0))+G819*INDEX(Hours!C:C,MATCH(C819,Hours!$A:$A,0))+H819*INDEX(Hours!D:D,MATCH(C819,Hours!$A:$A,0))+I819*INDEX(Hours!E:E,MATCH(C819,Hours!$A:$A,0))+J819*INDEX(Hours!F:F,MATCH(C819,Hours!$A:$A,0))+K819*INDEX(Hours!G:G,MATCH(C819,Hours!$A:$A,0))+O819*INDEX(Hours!K:K,MATCH(C819,Hours!$A:$A,0)))</f>
        <v>0</v>
      </c>
      <c r="S819" s="19">
        <f t="shared" si="25"/>
        <v>0</v>
      </c>
    </row>
    <row r="820" spans="1:19" x14ac:dyDescent="0.25">
      <c r="A820" s="11" t="str">
        <f>'Bldgs &amp; Rooms'!$A$24</f>
        <v>Main Bldg.</v>
      </c>
      <c r="B820" s="11">
        <f>'Bldgs &amp; Rooms'!$B$24</f>
        <v>0</v>
      </c>
      <c r="C820" s="10" t="str">
        <f>Hours!$A$6</f>
        <v xml:space="preserve">  Switchboard Disconnects</v>
      </c>
      <c r="D820" s="11">
        <f t="shared" si="24"/>
        <v>0</v>
      </c>
      <c r="E820" s="16"/>
      <c r="F820" s="17"/>
      <c r="G820" s="17"/>
      <c r="H820" s="17"/>
      <c r="I820" s="17"/>
      <c r="J820" s="17"/>
      <c r="K820" s="12"/>
      <c r="L820" s="12"/>
      <c r="M820" s="12"/>
      <c r="N820" s="12"/>
      <c r="O820" s="12"/>
      <c r="P820" s="12"/>
      <c r="Q820" s="17"/>
      <c r="R820" s="18">
        <f>IF(SUMPRODUCT((E820:Q820)*1)=0,0,E820*INDEX(Hours!M:M,MATCH(C820,Hours!$A:$A,0))+F820*INDEX(Hours!B:B,MATCH(C820,Hours!$A:$A,0))+G820*INDEX(Hours!C:C,MATCH(C820,Hours!$A:$A,0))+H820*INDEX(Hours!D:D,MATCH(C820,Hours!$A:$A,0))+I820*INDEX(Hours!E:E,MATCH(C820,Hours!$A:$A,0))+J820*INDEX(Hours!F:F,MATCH(C820,Hours!$A:$A,0)))</f>
        <v>0</v>
      </c>
      <c r="S820" s="19">
        <f t="shared" si="25"/>
        <v>0</v>
      </c>
    </row>
    <row r="821" spans="1:19" x14ac:dyDescent="0.25">
      <c r="A821" s="11" t="str">
        <f>'Bldgs &amp; Rooms'!$A$24</f>
        <v>Main Bldg.</v>
      </c>
      <c r="B821" s="11">
        <f>'Bldgs &amp; Rooms'!$B$24</f>
        <v>0</v>
      </c>
      <c r="C821" s="10" t="str">
        <f>Hours!$A$7</f>
        <v xml:space="preserve">  Switchboard Molded Case Breakers</v>
      </c>
      <c r="D821" s="11">
        <f t="shared" si="24"/>
        <v>0</v>
      </c>
      <c r="E821" s="16"/>
      <c r="F821" s="17"/>
      <c r="G821" s="17"/>
      <c r="H821" s="17"/>
      <c r="I821" s="17"/>
      <c r="J821" s="17"/>
      <c r="K821" s="17"/>
      <c r="L821" s="12"/>
      <c r="M821" s="12"/>
      <c r="N821" s="12"/>
      <c r="O821" s="12"/>
      <c r="P821" s="12"/>
      <c r="Q821" s="17"/>
      <c r="R821" s="18">
        <f>IF(SUMPRODUCT((E821:Q821)*1)=0,0,E821*INDEX(Hours!M:M,MATCH(C821,Hours!$A:$A,0))+F821*INDEX(Hours!B:B,MATCH(C821,Hours!$A:$A,0))+G821*INDEX(Hours!C:C,MATCH(C821,Hours!$A:$A,0))+H821*INDEX(Hours!D:D,MATCH(C821,Hours!$A:$A,0))+I821*INDEX(Hours!E:E,MATCH(C821,Hours!$A:$A,0))+J821*INDEX(Hours!F:F,MATCH(C821,Hours!$A:$A,0))+K821*INDEX(Hours!G:G,MATCH(C821,Hours!$A:$A,0)))</f>
        <v>0</v>
      </c>
      <c r="S821" s="19">
        <f t="shared" si="25"/>
        <v>0</v>
      </c>
    </row>
    <row r="822" spans="1:19" x14ac:dyDescent="0.25">
      <c r="A822" s="11" t="str">
        <f>'Bldgs &amp; Rooms'!$A$24</f>
        <v>Main Bldg.</v>
      </c>
      <c r="B822" s="11">
        <f>'Bldgs &amp; Rooms'!$B$24</f>
        <v>0</v>
      </c>
      <c r="C822" s="10" t="str">
        <f>Hours!$A$8</f>
        <v>Panelboard-Single Cover &gt; 400A (Distribution Panel)</v>
      </c>
      <c r="D822" s="11">
        <f t="shared" si="24"/>
        <v>0</v>
      </c>
      <c r="E822" s="16"/>
      <c r="F822" s="17"/>
      <c r="G822" s="17"/>
      <c r="H822" s="17"/>
      <c r="I822" s="17"/>
      <c r="J822" s="17"/>
      <c r="K822" s="17"/>
      <c r="L822" s="12"/>
      <c r="M822" s="12"/>
      <c r="N822" s="12"/>
      <c r="O822" s="17"/>
      <c r="P822" s="12"/>
      <c r="Q822" s="17"/>
      <c r="R822" s="18">
        <f>IF(SUMPRODUCT((E822:Q822)*1)=0,0,E822*INDEX(Hours!M:M,MATCH(C822,Hours!$A:$A,0))+F822*INDEX(Hours!B:B,MATCH(C822,Hours!$A:$A,0))+G822*INDEX(Hours!C:C,MATCH(C822,Hours!$A:$A,0))+H822*INDEX(Hours!D:D,MATCH(C822,Hours!$A:$A,0))+I822*INDEX(Hours!E:E,MATCH(C822,Hours!$A:$A,0))+J822*INDEX(Hours!F:F,MATCH(C822,Hours!$A:$A,0))+K822*INDEX(Hours!G:G,MATCH(C822,Hours!$A:$A,0))+O822*INDEX(Hours!K:K,MATCH(C822,Hours!$A:$A,0)))</f>
        <v>0</v>
      </c>
      <c r="S822" s="19">
        <f t="shared" si="25"/>
        <v>0</v>
      </c>
    </row>
    <row r="823" spans="1:19" x14ac:dyDescent="0.25">
      <c r="A823" s="11" t="str">
        <f>'Bldgs &amp; Rooms'!$A$24</f>
        <v>Main Bldg.</v>
      </c>
      <c r="B823" s="11">
        <f>'Bldgs &amp; Rooms'!$B$24</f>
        <v>0</v>
      </c>
      <c r="C823" s="10" t="str">
        <f>Hours!$A$9</f>
        <v>Panelboard-Single Cover &lt; 400A (Branch Ckt Panel)</v>
      </c>
      <c r="D823" s="11">
        <f t="shared" si="24"/>
        <v>0</v>
      </c>
      <c r="E823" s="16"/>
      <c r="F823" s="17"/>
      <c r="G823" s="17"/>
      <c r="H823" s="17"/>
      <c r="I823" s="17"/>
      <c r="J823" s="17"/>
      <c r="K823" s="12"/>
      <c r="L823" s="12"/>
      <c r="M823" s="12"/>
      <c r="N823" s="12"/>
      <c r="O823" s="17"/>
      <c r="P823" s="12"/>
      <c r="Q823" s="17"/>
      <c r="R823" s="18">
        <f>IF(SUMPRODUCT((E823:Q823)*1)=0,0,E823*INDEX(Hours!M:M,MATCH(C823,Hours!$A:$A,0))+F823*INDEX(Hours!B:B,MATCH(C823,Hours!$A:$A,0))+G823*INDEX(Hours!C:C,MATCH(C823,Hours!$A:$A,0))+H823*INDEX(Hours!D:D,MATCH(C823,Hours!$A:$A,0))+I823*INDEX(Hours!E:E,MATCH(C823,Hours!$A:$A,0))+J823*INDEX(Hours!F:F,MATCH(C823,Hours!$A:$A,0))+O823*INDEX(Hours!K:K,MATCH(C823,Hours!$A:$A,0)))</f>
        <v>0</v>
      </c>
      <c r="S823" s="19">
        <f t="shared" si="25"/>
        <v>0</v>
      </c>
    </row>
    <row r="824" spans="1:19" x14ac:dyDescent="0.25">
      <c r="A824" s="11" t="str">
        <f>'Bldgs &amp; Rooms'!$A$24</f>
        <v>Main Bldg.</v>
      </c>
      <c r="B824" s="11">
        <f>'Bldgs &amp; Rooms'!$B$24</f>
        <v>0</v>
      </c>
      <c r="C824" s="10" t="str">
        <f>Hours!$A$10</f>
        <v>Motor Control Center (MCC-Per Vertical Section)</v>
      </c>
      <c r="D824" s="11">
        <f t="shared" si="24"/>
        <v>0</v>
      </c>
      <c r="E824" s="16"/>
      <c r="F824" s="17"/>
      <c r="G824" s="17"/>
      <c r="H824" s="17"/>
      <c r="I824" s="17"/>
      <c r="J824" s="17"/>
      <c r="K824" s="12"/>
      <c r="L824" s="12"/>
      <c r="M824" s="12"/>
      <c r="N824" s="12"/>
      <c r="O824" s="17"/>
      <c r="P824" s="12"/>
      <c r="Q824" s="17"/>
      <c r="R824" s="18">
        <f>IF(SUMPRODUCT((E824:Q824)*1)=0,0,E824*INDEX(Hours!M:M,MATCH(C824,Hours!$A:$A,0))+F824*INDEX(Hours!B:B,MATCH(C824,Hours!$A:$A,0))+G824*INDEX(Hours!C:C,MATCH(C824,Hours!$A:$A,0))+H824*INDEX(Hours!D:D,MATCH(C824,Hours!$A:$A,0))+I824*INDEX(Hours!E:E,MATCH(C824,Hours!$A:$A,0))+J824*INDEX(Hours!F:F,MATCH(C824,Hours!$A:$A,0))+O824*INDEX(Hours!K:K,MATCH(C824,Hours!$A:$A,0)))</f>
        <v>0</v>
      </c>
      <c r="S824" s="19">
        <f t="shared" si="25"/>
        <v>0</v>
      </c>
    </row>
    <row r="825" spans="1:19" x14ac:dyDescent="0.25">
      <c r="A825" s="11" t="str">
        <f>'Bldgs &amp; Rooms'!$A$24</f>
        <v>Main Bldg.</v>
      </c>
      <c r="B825" s="11">
        <f>'Bldgs &amp; Rooms'!$B$24</f>
        <v>0</v>
      </c>
      <c r="C825" s="10" t="str">
        <f>Hours!$A$11</f>
        <v xml:space="preserve">  MCC: Combination Motor Starters</v>
      </c>
      <c r="D825" s="11">
        <f t="shared" si="24"/>
        <v>0</v>
      </c>
      <c r="E825" s="16"/>
      <c r="F825" s="17"/>
      <c r="G825" s="17"/>
      <c r="H825" s="17"/>
      <c r="I825" s="17"/>
      <c r="J825" s="17"/>
      <c r="K825" s="17"/>
      <c r="L825" s="12"/>
      <c r="M825" s="12"/>
      <c r="N825" s="12"/>
      <c r="O825" s="17"/>
      <c r="P825" s="12"/>
      <c r="Q825" s="17"/>
      <c r="R825" s="18">
        <f>IF(SUMPRODUCT((E825:Q825)*1)=0,0,E825*INDEX(Hours!M:M,MATCH(C825,Hours!$A:$A,0))+F825*INDEX(Hours!B:B,MATCH(C825,Hours!$A:$A,0))+G825*INDEX(Hours!C:C,MATCH(C825,Hours!$A:$A,0))+H825*INDEX(Hours!D:D,MATCH(C825,Hours!$A:$A,0))+I825*INDEX(Hours!E:E,MATCH(C825,Hours!$A:$A,0))+J825*INDEX(Hours!F:F,MATCH(C825,Hours!$A:$A,0))+K825*INDEX(Hours!G:G,MATCH(C825,Hours!$A:$A,0))+O825*INDEX(Hours!K:K,MATCH(C825,Hours!$A:$A,0)))</f>
        <v>0</v>
      </c>
      <c r="S825" s="19">
        <f t="shared" si="25"/>
        <v>0</v>
      </c>
    </row>
    <row r="826" spans="1:19" x14ac:dyDescent="0.25">
      <c r="A826" s="11" t="str">
        <f>'Bldgs &amp; Rooms'!$A$24</f>
        <v>Main Bldg.</v>
      </c>
      <c r="B826" s="11">
        <f>'Bldgs &amp; Rooms'!$B$24</f>
        <v>0</v>
      </c>
      <c r="C826" s="10" t="str">
        <f>Hours!$A$12</f>
        <v xml:space="preserve">  MCC: Molded Case Breaker</v>
      </c>
      <c r="D826" s="11">
        <f t="shared" si="24"/>
        <v>0</v>
      </c>
      <c r="E826" s="16"/>
      <c r="F826" s="17"/>
      <c r="G826" s="17"/>
      <c r="H826" s="17"/>
      <c r="I826" s="17"/>
      <c r="J826" s="17"/>
      <c r="K826" s="17"/>
      <c r="L826" s="12"/>
      <c r="M826" s="12"/>
      <c r="N826" s="12"/>
      <c r="O826" s="12"/>
      <c r="P826" s="12"/>
      <c r="Q826" s="17"/>
      <c r="R826" s="18">
        <f>IF(SUMPRODUCT((E826:Q826)*1)=0,0,E826*INDEX(Hours!M:M,MATCH(C826,Hours!$A:$A,0))+F826*INDEX(Hours!B:B,MATCH(C826,Hours!$A:$A,0))+G826*INDEX(Hours!C:C,MATCH(C826,Hours!$A:$A,0))+H826*INDEX(Hours!D:D,MATCH(C826,Hours!$A:$A,0))+I826*INDEX(Hours!E:E,MATCH(C826,Hours!$A:$A,0))+J826*INDEX(Hours!F:F,MATCH(C826,Hours!$A:$A,0))+K826*INDEX(Hours!G:G,MATCH(C826,Hours!$A:$A,0)))</f>
        <v>0</v>
      </c>
      <c r="S826" s="19">
        <f t="shared" si="25"/>
        <v>0</v>
      </c>
    </row>
    <row r="827" spans="1:19" x14ac:dyDescent="0.25">
      <c r="A827" s="11" t="str">
        <f>'Bldgs &amp; Rooms'!$A$24</f>
        <v>Main Bldg.</v>
      </c>
      <c r="B827" s="11">
        <f>'Bldgs &amp; Rooms'!$B$24</f>
        <v>0</v>
      </c>
      <c r="C827" s="10" t="str">
        <f>Hours!$A$13</f>
        <v xml:space="preserve">  MCC: Individual Disconnect Switch</v>
      </c>
      <c r="D827" s="11">
        <f t="shared" si="24"/>
        <v>0</v>
      </c>
      <c r="E827" s="16"/>
      <c r="F827" s="17"/>
      <c r="G827" s="17"/>
      <c r="H827" s="17"/>
      <c r="I827" s="17"/>
      <c r="J827" s="17"/>
      <c r="K827" s="12"/>
      <c r="L827" s="12"/>
      <c r="M827" s="12"/>
      <c r="N827" s="12"/>
      <c r="O827" s="12"/>
      <c r="P827" s="12"/>
      <c r="Q827" s="17"/>
      <c r="R827" s="18">
        <f>IF(SUMPRODUCT((E827:Q827)*1)=0,0,E827*INDEX(Hours!M:M,MATCH(C827,Hours!$A:$A,0))+F827*INDEX(Hours!B:B,MATCH(C827,Hours!$A:$A,0))+G827*INDEX(Hours!C:C,MATCH(C827,Hours!$A:$A,0))+H827*INDEX(Hours!D:D,MATCH(C827,Hours!$A:$A,0))+I827*INDEX(Hours!E:E,MATCH(C827,Hours!$A:$A,0))+J827*INDEX(Hours!F:F,MATCH(C827,Hours!$A:$A,0)))</f>
        <v>0</v>
      </c>
      <c r="S827" s="19">
        <f t="shared" si="25"/>
        <v>0</v>
      </c>
    </row>
    <row r="828" spans="1:19" x14ac:dyDescent="0.25">
      <c r="A828" s="11" t="str">
        <f>'Bldgs &amp; Rooms'!$A$24</f>
        <v>Main Bldg.</v>
      </c>
      <c r="B828" s="11">
        <f>'Bldgs &amp; Rooms'!$B$24</f>
        <v>0</v>
      </c>
      <c r="C828" s="10" t="str">
        <f>Hours!$A$14</f>
        <v>Motor Control Panel (MCP)</v>
      </c>
      <c r="D828" s="11">
        <f t="shared" si="24"/>
        <v>0</v>
      </c>
      <c r="E828" s="16"/>
      <c r="F828" s="17"/>
      <c r="G828" s="17"/>
      <c r="H828" s="17"/>
      <c r="I828" s="17"/>
      <c r="J828" s="17"/>
      <c r="K828" s="12"/>
      <c r="L828" s="12"/>
      <c r="M828" s="12"/>
      <c r="N828" s="12"/>
      <c r="O828" s="17"/>
      <c r="P828" s="12"/>
      <c r="Q828" s="17"/>
      <c r="R828" s="18">
        <f>IF(SUMPRODUCT((E828:Q828)*1)=0,0,E828*INDEX(Hours!M:M,MATCH(C828,Hours!$A:$A,0))+F828*INDEX(Hours!B:B,MATCH(C828,Hours!$A:$A,0))+G828*INDEX(Hours!C:C,MATCH(C828,Hours!$A:$A,0))+H828*INDEX(Hours!D:D,MATCH(C828,Hours!$A:$A,0))+I828*INDEX(Hours!E:E,MATCH(C828,Hours!$A:$A,0))+J828*INDEX(Hours!F:F,MATCH(C828,Hours!$A:$A,0))+O828*INDEX(Hours!K:K,MATCH(C828,Hours!$A:$A,0)))</f>
        <v>0</v>
      </c>
      <c r="S828" s="19">
        <f t="shared" si="25"/>
        <v>0</v>
      </c>
    </row>
    <row r="829" spans="1:19" x14ac:dyDescent="0.25">
      <c r="A829" s="11" t="str">
        <f>'Bldgs &amp; Rooms'!$A$24</f>
        <v>Main Bldg.</v>
      </c>
      <c r="B829" s="11">
        <f>'Bldgs &amp; Rooms'!$B$24</f>
        <v>0</v>
      </c>
      <c r="C829" s="10" t="str">
        <f>Hours!$A$15</f>
        <v>VFD Motor Control Panel (VFD-MCP)</v>
      </c>
      <c r="D829" s="11">
        <f t="shared" si="24"/>
        <v>0</v>
      </c>
      <c r="E829" s="16"/>
      <c r="F829" s="17"/>
      <c r="G829" s="17"/>
      <c r="H829" s="17"/>
      <c r="I829" s="17"/>
      <c r="J829" s="17"/>
      <c r="K829" s="12"/>
      <c r="L829" s="12"/>
      <c r="M829" s="12"/>
      <c r="N829" s="12"/>
      <c r="O829" s="17"/>
      <c r="P829" s="12"/>
      <c r="Q829" s="17"/>
      <c r="R829" s="18">
        <f>IF(SUMPRODUCT((E829:Q829)*1)=0,0,E829*INDEX(Hours!M:M,MATCH(C829,Hours!$A:$A,0))+F829*INDEX(Hours!B:B,MATCH(C829,Hours!$A:$A,0))+G829*INDEX(Hours!C:C,MATCH(C829,Hours!$A:$A,0))+H829*INDEX(Hours!D:D,MATCH(C829,Hours!$A:$A,0))+I829*INDEX(Hours!E:E,MATCH(C829,Hours!$A:$A,0))+J829*INDEX(Hours!F:F,MATCH(C829,Hours!$A:$A,0))+O829*INDEX(Hours!K:K,MATCH(C829,Hours!$A:$A,0)))</f>
        <v>0</v>
      </c>
      <c r="S829" s="19">
        <f t="shared" si="25"/>
        <v>0</v>
      </c>
    </row>
    <row r="830" spans="1:19" x14ac:dyDescent="0.25">
      <c r="A830" s="11" t="str">
        <f>'Bldgs &amp; Rooms'!$A$24</f>
        <v>Main Bldg.</v>
      </c>
      <c r="B830" s="11">
        <f>'Bldgs &amp; Rooms'!$B$24</f>
        <v>0</v>
      </c>
      <c r="C830" s="10" t="str">
        <f>Hours!$A$16</f>
        <v>Individual Disconnect Switch &gt; 100A</v>
      </c>
      <c r="D830" s="11">
        <f t="shared" si="24"/>
        <v>0</v>
      </c>
      <c r="E830" s="16"/>
      <c r="F830" s="17"/>
      <c r="G830" s="17"/>
      <c r="H830" s="17"/>
      <c r="I830" s="17"/>
      <c r="J830" s="17"/>
      <c r="K830" s="17"/>
      <c r="L830" s="12"/>
      <c r="M830" s="12"/>
      <c r="N830" s="12"/>
      <c r="O830" s="12"/>
      <c r="P830" s="12"/>
      <c r="Q830" s="17"/>
      <c r="R830" s="18">
        <f>IF(SUMPRODUCT((E830:Q830)*1)=0,0,E830*INDEX(Hours!M:M,MATCH(C830,Hours!$A:$A,0))+F830*INDEX(Hours!B:B,MATCH(C830,Hours!$A:$A,0))+G830*INDEX(Hours!C:C,MATCH(C830,Hours!$A:$A,0))+H830*INDEX(Hours!D:D,MATCH(C830,Hours!$A:$A,0))+I830*INDEX(Hours!E:E,MATCH(C830,Hours!$A:$A,0))+J830*INDEX(Hours!F:F,MATCH(C830,Hours!$A:$A,0))+K830*INDEX(Hours!G:G,MATCH(C830,Hours!$A:$A,0)))</f>
        <v>0</v>
      </c>
      <c r="S830" s="19">
        <f t="shared" si="25"/>
        <v>0</v>
      </c>
    </row>
    <row r="831" spans="1:19" x14ac:dyDescent="0.25">
      <c r="A831" s="11" t="str">
        <f>'Bldgs &amp; Rooms'!$A$24</f>
        <v>Main Bldg.</v>
      </c>
      <c r="B831" s="11">
        <f>'Bldgs &amp; Rooms'!$B$24</f>
        <v>0</v>
      </c>
      <c r="C831" s="10" t="str">
        <f>Hours!$A$17</f>
        <v>Individual Molded Case Breaker &gt; 100A</v>
      </c>
      <c r="D831" s="11">
        <f t="shared" si="24"/>
        <v>0</v>
      </c>
      <c r="E831" s="16"/>
      <c r="F831" s="17"/>
      <c r="G831" s="17"/>
      <c r="H831" s="17"/>
      <c r="I831" s="17"/>
      <c r="J831" s="17"/>
      <c r="K831" s="17"/>
      <c r="L831" s="12"/>
      <c r="M831" s="12"/>
      <c r="N831" s="12"/>
      <c r="O831" s="12"/>
      <c r="P831" s="12"/>
      <c r="Q831" s="17"/>
      <c r="R831" s="18">
        <f>IF(SUMPRODUCT((E831:Q831)*1)=0,0,E831*INDEX(Hours!M:M,MATCH(C831,Hours!$A:$A,0))+F831*INDEX(Hours!B:B,MATCH(C831,Hours!$A:$A,0))+G831*INDEX(Hours!C:C,MATCH(C831,Hours!$A:$A,0))+H831*INDEX(Hours!D:D,MATCH(C831,Hours!$A:$A,0))+I831*INDEX(Hours!E:E,MATCH(C831,Hours!$A:$A,0))+J831*INDEX(Hours!F:F,MATCH(C831,Hours!$A:$A,0))+K831*INDEX(Hours!G:G,MATCH(C831,Hours!$A:$A,0)))</f>
        <v>0</v>
      </c>
      <c r="S831" s="19">
        <f t="shared" si="25"/>
        <v>0</v>
      </c>
    </row>
    <row r="832" spans="1:19" x14ac:dyDescent="0.25">
      <c r="A832" s="11" t="str">
        <f>'Bldgs &amp; Rooms'!$A$24</f>
        <v>Main Bldg.</v>
      </c>
      <c r="B832" s="11">
        <f>'Bldgs &amp; Rooms'!$B$24</f>
        <v>0</v>
      </c>
      <c r="C832" s="10" t="str">
        <f>Hours!$A$18</f>
        <v>Individual Combination Motor Starter &gt; 100A</v>
      </c>
      <c r="D832" s="11">
        <f t="shared" si="24"/>
        <v>0</v>
      </c>
      <c r="E832" s="16"/>
      <c r="F832" s="17"/>
      <c r="G832" s="17"/>
      <c r="H832" s="17"/>
      <c r="I832" s="17"/>
      <c r="J832" s="17"/>
      <c r="K832" s="17"/>
      <c r="L832" s="12"/>
      <c r="M832" s="12"/>
      <c r="N832" s="12"/>
      <c r="O832" s="12"/>
      <c r="P832" s="12"/>
      <c r="Q832" s="17"/>
      <c r="R832" s="18">
        <f>IF(SUMPRODUCT((E832:Q832)*1)=0,0,E832*INDEX(Hours!M:M,MATCH(C832,Hours!$A:$A,0))+F832*INDEX(Hours!B:B,MATCH(C832,Hours!$A:$A,0))+G832*INDEX(Hours!C:C,MATCH(C832,Hours!$A:$A,0))+H832*INDEX(Hours!D:D,MATCH(C832,Hours!$A:$A,0))+I832*INDEX(Hours!E:E,MATCH(C832,Hours!$A:$A,0))+J832*INDEX(Hours!F:F,MATCH(C832,Hours!$A:$A,0))+K832*INDEX(Hours!G:G,MATCH(C832,Hours!$A:$A,0)))</f>
        <v>0</v>
      </c>
      <c r="S832" s="19">
        <f t="shared" si="25"/>
        <v>0</v>
      </c>
    </row>
    <row r="833" spans="1:19" x14ac:dyDescent="0.25">
      <c r="A833" s="11" t="str">
        <f>'Bldgs &amp; Rooms'!$A$24</f>
        <v>Main Bldg.</v>
      </c>
      <c r="B833" s="11">
        <f>'Bldgs &amp; Rooms'!$B$24</f>
        <v>0</v>
      </c>
      <c r="C833" s="10" t="str">
        <f>Hours!$A$19</f>
        <v>Oil Filled Transformer - 5kV-15kV Primary - Any Size (Pad Mounted)</v>
      </c>
      <c r="D833" s="11">
        <f t="shared" si="24"/>
        <v>0</v>
      </c>
      <c r="E833" s="16"/>
      <c r="F833" s="17"/>
      <c r="G833" s="17"/>
      <c r="H833" s="17"/>
      <c r="I833" s="17"/>
      <c r="J833" s="17"/>
      <c r="K833" s="12"/>
      <c r="L833" s="12"/>
      <c r="M833" s="17"/>
      <c r="N833" s="17"/>
      <c r="O833" s="12"/>
      <c r="P833" s="17"/>
      <c r="Q833" s="17"/>
      <c r="R833" s="18">
        <f>IF(SUMPRODUCT((E833:Q833)*1)=0,0,E833*INDEX(Hours!M:M,MATCH(C833,Hours!$A:$A,0))+F833*INDEX(Hours!B:B,MATCH(C833,Hours!$A:$A,0))+G833*INDEX(Hours!C:C,MATCH(C833,Hours!$A:$A,0))+H833*INDEX(Hours!D:D,MATCH(C833,Hours!$A:$A,0))+I833*INDEX(Hours!E:E,MATCH(C833,Hours!$A:$A,0))+J833*INDEX(Hours!F:F,MATCH(C833,Hours!$A:$A,0))+M833*INDEX(Hours!I:I,MATCH(C833,Hours!$A:$A,0))+N833*INDEX(Hours!J:J,MATCH(C833,Hours!$A:$A,0))+P833*INDEX(Hours!L:L,MATCH(C833,Hours!$A:$A,0)))</f>
        <v>0</v>
      </c>
      <c r="S833" s="19">
        <f t="shared" si="25"/>
        <v>0</v>
      </c>
    </row>
    <row r="834" spans="1:19" x14ac:dyDescent="0.25">
      <c r="A834" s="11" t="str">
        <f>'Bldgs &amp; Rooms'!$A$24</f>
        <v>Main Bldg.</v>
      </c>
      <c r="B834" s="11">
        <f>'Bldgs &amp; Rooms'!$B$24</f>
        <v>0</v>
      </c>
      <c r="C834" s="10" t="str">
        <f>Hours!$A$20</f>
        <v>Oil Filled Transformer - &gt; 15kV Primary (Substation Class)</v>
      </c>
      <c r="D834" s="11">
        <f t="shared" ref="D834:D897" si="26">MAX(E834+F834,G834,H834,I834,J834,K834,L834,M834,N834,O834,P834,Q834)</f>
        <v>0</v>
      </c>
      <c r="E834" s="16"/>
      <c r="F834" s="17"/>
      <c r="G834" s="17"/>
      <c r="H834" s="17"/>
      <c r="I834" s="17"/>
      <c r="J834" s="17"/>
      <c r="K834" s="12"/>
      <c r="L834" s="12"/>
      <c r="M834" s="17"/>
      <c r="N834" s="17"/>
      <c r="O834" s="12"/>
      <c r="P834" s="17"/>
      <c r="Q834" s="17"/>
      <c r="R834" s="18">
        <f>IF(SUMPRODUCT((E834:Q834)*1)=0,0,E834*INDEX(Hours!M:M,MATCH(C834,Hours!$A:$A,0))+F834*INDEX(Hours!B:B,MATCH(C834,Hours!$A:$A,0))+G834*INDEX(Hours!C:C,MATCH(C834,Hours!$A:$A,0))+H834*INDEX(Hours!D:D,MATCH(C834,Hours!$A:$A,0))+I834*INDEX(Hours!E:E,MATCH(C834,Hours!$A:$A,0))+J834*INDEX(Hours!F:F,MATCH(C834,Hours!$A:$A,0))+M834*INDEX(Hours!I:I,MATCH(C834,Hours!$A:$A,0))+N834*INDEX(Hours!J:J,MATCH(C834,Hours!$A:$A,0))+P834*INDEX(Hours!L:L,MATCH(C834,Hours!$A:$A,0)))</f>
        <v>0</v>
      </c>
      <c r="S834" s="19">
        <f t="shared" ref="S834:S897" si="27">MAX(E834+F834,G834,H834,I834,J834,K834,L834,M834,N834,O834,P834,Q834)</f>
        <v>0</v>
      </c>
    </row>
    <row r="835" spans="1:19" x14ac:dyDescent="0.25">
      <c r="A835" s="11" t="str">
        <f>'Bldgs &amp; Rooms'!$A$24</f>
        <v>Main Bldg.</v>
      </c>
      <c r="B835" s="11">
        <f>'Bldgs &amp; Rooms'!$B$24</f>
        <v>0</v>
      </c>
      <c r="C835" s="10" t="str">
        <f>Hours!$A$21</f>
        <v>Dry Type Transformer - &lt; 480V Primary - Any Size kVA</v>
      </c>
      <c r="D835" s="11">
        <f t="shared" si="26"/>
        <v>0</v>
      </c>
      <c r="E835" s="16"/>
      <c r="F835" s="17"/>
      <c r="G835" s="17"/>
      <c r="H835" s="17"/>
      <c r="I835" s="17"/>
      <c r="J835" s="17"/>
      <c r="K835" s="12"/>
      <c r="L835" s="12"/>
      <c r="M835" s="17"/>
      <c r="N835" s="17"/>
      <c r="O835" s="12"/>
      <c r="P835" s="12"/>
      <c r="Q835" s="17"/>
      <c r="R835" s="18">
        <f>IF(SUMPRODUCT((E835:Q835)*1)=0,0,E835*INDEX(Hours!M:M,MATCH(C835,Hours!$A:$A,0))+F835*INDEX(Hours!B:B,MATCH(C835,Hours!$A:$A,0))+G835*INDEX(Hours!C:C,MATCH(C835,Hours!$A:$A,0))+H835*INDEX(Hours!D:D,MATCH(C835,Hours!$A:$A,0))+I835*INDEX(Hours!E:E,MATCH(C835,Hours!$A:$A,0))+J835*INDEX(Hours!F:F,MATCH(C835,Hours!$A:$A,0))+M835*INDEX(Hours!I:I,MATCH(C835,Hours!$A:$A,0))+N835*INDEX(Hours!J:J,MATCH(C835,Hours!$A:$A,0)))</f>
        <v>0</v>
      </c>
      <c r="S835" s="19">
        <f t="shared" si="27"/>
        <v>0</v>
      </c>
    </row>
    <row r="836" spans="1:19" x14ac:dyDescent="0.25">
      <c r="A836" s="11" t="str">
        <f>'Bldgs &amp; Rooms'!$A$24</f>
        <v>Main Bldg.</v>
      </c>
      <c r="B836" s="11">
        <f>'Bldgs &amp; Rooms'!$B$24</f>
        <v>0</v>
      </c>
      <c r="C836" s="10" t="str">
        <f>Hours!$A$22</f>
        <v>Power Factor Correction Capacitors</v>
      </c>
      <c r="D836" s="11">
        <f t="shared" si="26"/>
        <v>0</v>
      </c>
      <c r="E836" s="16"/>
      <c r="F836" s="17"/>
      <c r="G836" s="17"/>
      <c r="H836" s="17"/>
      <c r="I836" s="17"/>
      <c r="J836" s="17"/>
      <c r="K836" s="12"/>
      <c r="L836" s="12"/>
      <c r="M836" s="12"/>
      <c r="N836" s="12"/>
      <c r="O836" s="12"/>
      <c r="P836" s="12"/>
      <c r="Q836" s="17"/>
      <c r="R836" s="18">
        <f>IF(SUMPRODUCT((E836:Q836)*1)=0,0,E836*INDEX(Hours!M:M,MATCH(C836,Hours!$A:$A,0))+F836*INDEX(Hours!B:B,MATCH(C836,Hours!$A:$A,0))+G836*INDEX(Hours!C:C,MATCH(C836,Hours!$A:$A,0))+H836*INDEX(Hours!D:D,MATCH(C836,Hours!$A:$A,0))+I836*INDEX(Hours!E:E,MATCH(C836,Hours!$A:$A,0))+J836*INDEX(Hours!F:F,MATCH(C836,Hours!$A:$A,0)))</f>
        <v>0</v>
      </c>
      <c r="S836" s="19">
        <f t="shared" si="27"/>
        <v>0</v>
      </c>
    </row>
    <row r="837" spans="1:19" x14ac:dyDescent="0.25">
      <c r="A837" s="11" t="str">
        <f>'Bldgs &amp; Rooms'!$A$24</f>
        <v>Main Bldg.</v>
      </c>
      <c r="B837" s="11">
        <f>'Bldgs &amp; Rooms'!$B$24</f>
        <v>0</v>
      </c>
      <c r="C837" s="10" t="str">
        <f>Hours!$A$23</f>
        <v>Lighting Contactor &gt; 100A</v>
      </c>
      <c r="D837" s="11">
        <f t="shared" si="26"/>
        <v>0</v>
      </c>
      <c r="E837" s="16"/>
      <c r="F837" s="17"/>
      <c r="G837" s="17"/>
      <c r="H837" s="17"/>
      <c r="I837" s="17"/>
      <c r="J837" s="17"/>
      <c r="K837" s="12"/>
      <c r="L837" s="12"/>
      <c r="M837" s="12"/>
      <c r="N837" s="12"/>
      <c r="O837" s="12"/>
      <c r="P837" s="12"/>
      <c r="Q837" s="17"/>
      <c r="R837" s="18">
        <f>IF(SUMPRODUCT((E837:Q837)*1)=0,0,E837*INDEX(Hours!M:M,MATCH(C837,Hours!$A:$A,0))+F837*INDEX(Hours!B:B,MATCH(C837,Hours!$A:$A,0))+G837*INDEX(Hours!C:C,MATCH(C837,Hours!$A:$A,0))+H837*INDEX(Hours!D:D,MATCH(C837,Hours!$A:$A,0))+I837*INDEX(Hours!E:E,MATCH(C837,Hours!$A:$A,0))+J837*INDEX(Hours!F:F,MATCH(C837,Hours!$A:$A,0)))</f>
        <v>0</v>
      </c>
      <c r="S837" s="19">
        <f t="shared" si="27"/>
        <v>0</v>
      </c>
    </row>
    <row r="838" spans="1:19" x14ac:dyDescent="0.25">
      <c r="A838" s="11" t="str">
        <f>'Bldgs &amp; Rooms'!$A$24</f>
        <v>Main Bldg.</v>
      </c>
      <c r="B838" s="11">
        <f>'Bldgs &amp; Rooms'!$B$24</f>
        <v>0</v>
      </c>
      <c r="C838" s="10" t="str">
        <f>Hours!$A$24</f>
        <v>Power Distribution Unit (PDU)</v>
      </c>
      <c r="D838" s="11">
        <f t="shared" si="26"/>
        <v>0</v>
      </c>
      <c r="E838" s="16"/>
      <c r="F838" s="17"/>
      <c r="G838" s="17"/>
      <c r="H838" s="17"/>
      <c r="I838" s="17"/>
      <c r="J838" s="17"/>
      <c r="K838" s="12"/>
      <c r="L838" s="12"/>
      <c r="M838" s="12"/>
      <c r="N838" s="12"/>
      <c r="O838" s="12"/>
      <c r="P838" s="12"/>
      <c r="Q838" s="17"/>
      <c r="R838" s="18">
        <f>IF(SUMPRODUCT((E838:Q838)*1)=0,0,E838*INDEX(Hours!M:M,MATCH(C838,Hours!$A:$A,0))+F838*INDEX(Hours!B:B,MATCH(C838,Hours!$A:$A,0))+G838*INDEX(Hours!C:C,MATCH(C838,Hours!$A:$A,0))+H838*INDEX(Hours!D:D,MATCH(C838,Hours!$A:$A,0))+I838*INDEX(Hours!E:E,MATCH(C838,Hours!$A:$A,0))+J838*INDEX(Hours!F:F,MATCH(C838,Hours!$A:$A,0)))</f>
        <v>0</v>
      </c>
      <c r="S838" s="19">
        <f t="shared" si="27"/>
        <v>0</v>
      </c>
    </row>
    <row r="839" spans="1:19" x14ac:dyDescent="0.25">
      <c r="A839" s="11" t="str">
        <f>'Bldgs &amp; Rooms'!$A$24</f>
        <v>Main Bldg.</v>
      </c>
      <c r="B839" s="11">
        <f>'Bldgs &amp; Rooms'!$B$24</f>
        <v>0</v>
      </c>
      <c r="C839" s="10" t="str">
        <f>Hours!$A$25</f>
        <v>Wire Trough, Gutter, or Large Junction Boxes</v>
      </c>
      <c r="D839" s="11">
        <f t="shared" si="26"/>
        <v>0</v>
      </c>
      <c r="E839" s="16"/>
      <c r="F839" s="17"/>
      <c r="G839" s="17"/>
      <c r="H839" s="17"/>
      <c r="I839" s="17"/>
      <c r="J839" s="17"/>
      <c r="K839" s="12"/>
      <c r="L839" s="12"/>
      <c r="M839" s="12"/>
      <c r="N839" s="12"/>
      <c r="O839" s="12"/>
      <c r="P839" s="12"/>
      <c r="Q839" s="17"/>
      <c r="R839" s="18">
        <f>IF(SUMPRODUCT((E839:Q839)*1)=0,0,E839*INDEX(Hours!M:M,MATCH(C839,Hours!$A:$A,0))+F839*INDEX(Hours!B:B,MATCH(C839,Hours!$A:$A,0))+G839*INDEX(Hours!C:C,MATCH(C839,Hours!$A:$A,0))+H839*INDEX(Hours!D:D,MATCH(C839,Hours!$A:$A,0))+I839*INDEX(Hours!E:E,MATCH(C839,Hours!$A:$A,0))+J839*INDEX(Hours!F:F,MATCH(C839,Hours!$A:$A,0)))</f>
        <v>0</v>
      </c>
      <c r="S839" s="19">
        <f t="shared" si="27"/>
        <v>0</v>
      </c>
    </row>
    <row r="840" spans="1:19" x14ac:dyDescent="0.25">
      <c r="A840" s="11" t="str">
        <f>'Bldgs &amp; Rooms'!$A$24</f>
        <v>Main Bldg.</v>
      </c>
      <c r="B840" s="11">
        <f>'Bldgs &amp; Rooms'!$B$24</f>
        <v>0</v>
      </c>
      <c r="C840" s="10" t="str">
        <f>Hours!$A$26</f>
        <v>Bus Duct - Vertical or Horizontal (Per 10' section)</v>
      </c>
      <c r="D840" s="11">
        <f t="shared" si="26"/>
        <v>0</v>
      </c>
      <c r="E840" s="16"/>
      <c r="F840" s="17"/>
      <c r="G840" s="17"/>
      <c r="H840" s="17"/>
      <c r="I840" s="17"/>
      <c r="J840" s="17"/>
      <c r="K840" s="12"/>
      <c r="L840" s="12"/>
      <c r="M840" s="12"/>
      <c r="N840" s="12"/>
      <c r="O840" s="12"/>
      <c r="P840" s="12"/>
      <c r="Q840" s="17"/>
      <c r="R840" s="18">
        <f>IF(SUMPRODUCT((E840:Q840)*1)=0,0,E840*INDEX(Hours!M:M,MATCH(C840,Hours!$A:$A,0))+F840*INDEX(Hours!B:B,MATCH(C840,Hours!$A:$A,0))+G840*INDEX(Hours!C:C,MATCH(C840,Hours!$A:$A,0))+H840*INDEX(Hours!D:D,MATCH(C840,Hours!$A:$A,0))+I840*INDEX(Hours!E:E,MATCH(C840,Hours!$A:$A,0))+J840*INDEX(Hours!F:F,MATCH(C840,Hours!$A:$A,0)))</f>
        <v>0</v>
      </c>
      <c r="S840" s="19">
        <f t="shared" si="27"/>
        <v>0</v>
      </c>
    </row>
    <row r="841" spans="1:19" x14ac:dyDescent="0.25">
      <c r="A841" s="11" t="str">
        <f>'Bldgs &amp; Rooms'!$A$24</f>
        <v>Main Bldg.</v>
      </c>
      <c r="B841" s="11">
        <f>'Bldgs &amp; Rooms'!$B$24</f>
        <v>0</v>
      </c>
      <c r="C841" s="10" t="str">
        <f>Hours!$A$27</f>
        <v>Automatic Transfer Switch (ATS) &gt; 100A</v>
      </c>
      <c r="D841" s="11">
        <f t="shared" si="26"/>
        <v>0</v>
      </c>
      <c r="E841" s="16"/>
      <c r="F841" s="17"/>
      <c r="G841" s="17"/>
      <c r="H841" s="17"/>
      <c r="I841" s="17"/>
      <c r="J841" s="17"/>
      <c r="K841" s="12"/>
      <c r="L841" s="12"/>
      <c r="M841" s="12"/>
      <c r="N841" s="12"/>
      <c r="O841" s="12"/>
      <c r="P841" s="12"/>
      <c r="Q841" s="17"/>
      <c r="R841" s="18">
        <f>IF(SUMPRODUCT((E841:Q841)*1)=0,0,E841*INDEX(Hours!M:M,MATCH(C841,Hours!$A:$A,0))+F841*INDEX(Hours!B:B,MATCH(C841,Hours!$A:$A,0))+G841*INDEX(Hours!C:C,MATCH(C841,Hours!$A:$A,0))+H841*INDEX(Hours!D:D,MATCH(C841,Hours!$A:$A,0))+I841*INDEX(Hours!E:E,MATCH(C841,Hours!$A:$A,0))+J841*INDEX(Hours!F:F,MATCH(C841,Hours!$A:$A,0)))</f>
        <v>0</v>
      </c>
      <c r="S841" s="19">
        <f t="shared" si="27"/>
        <v>0</v>
      </c>
    </row>
    <row r="842" spans="1:19" x14ac:dyDescent="0.25">
      <c r="A842" s="11" t="str">
        <f>'Bldgs &amp; Rooms'!$A$24</f>
        <v>Main Bldg.</v>
      </c>
      <c r="B842" s="11">
        <f>'Bldgs &amp; Rooms'!$B$24</f>
        <v>0</v>
      </c>
      <c r="C842" s="10" t="str">
        <f>Hours!$A$28</f>
        <v>Manual Transfer Switch (MTS) &gt; 100A</v>
      </c>
      <c r="D842" s="11">
        <f t="shared" si="26"/>
        <v>0</v>
      </c>
      <c r="E842" s="16"/>
      <c r="F842" s="17"/>
      <c r="G842" s="17"/>
      <c r="H842" s="17"/>
      <c r="I842" s="17"/>
      <c r="J842" s="17"/>
      <c r="K842" s="12"/>
      <c r="L842" s="12"/>
      <c r="M842" s="12"/>
      <c r="N842" s="12"/>
      <c r="O842" s="12"/>
      <c r="P842" s="12"/>
      <c r="Q842" s="17"/>
      <c r="R842" s="18">
        <f>IF(SUMPRODUCT((E842:Q842)*1)=0,0,E842*INDEX(Hours!M:M,MATCH(C842,Hours!$A:$A,0))+F842*INDEX(Hours!B:B,MATCH(C842,Hours!$A:$A,0))+G842*INDEX(Hours!C:C,MATCH(C842,Hours!$A:$A,0))+H842*INDEX(Hours!D:D,MATCH(C842,Hours!$A:$A,0))+I842*INDEX(Hours!E:E,MATCH(C842,Hours!$A:$A,0))+J842*INDEX(Hours!F:F,MATCH(C842,Hours!$A:$A,0)))</f>
        <v>0</v>
      </c>
      <c r="S842" s="19">
        <f t="shared" si="27"/>
        <v>0</v>
      </c>
    </row>
    <row r="843" spans="1:19" x14ac:dyDescent="0.25">
      <c r="A843" s="11" t="str">
        <f>'Bldgs &amp; Rooms'!$A$24</f>
        <v>Main Bldg.</v>
      </c>
      <c r="B843" s="11">
        <f>'Bldgs &amp; Rooms'!$B$24</f>
        <v>0</v>
      </c>
      <c r="C843" s="10" t="str">
        <f>Hours!$A$29</f>
        <v>Variable Frequency Drives (VFD) &lt; 50 HP</v>
      </c>
      <c r="D843" s="11">
        <f t="shared" si="26"/>
        <v>0</v>
      </c>
      <c r="E843" s="16"/>
      <c r="F843" s="17"/>
      <c r="G843" s="17"/>
      <c r="H843" s="17"/>
      <c r="I843" s="17"/>
      <c r="J843" s="17"/>
      <c r="K843" s="12"/>
      <c r="L843" s="12"/>
      <c r="M843" s="12"/>
      <c r="N843" s="12"/>
      <c r="O843" s="12"/>
      <c r="P843" s="12"/>
      <c r="Q843" s="17"/>
      <c r="R843" s="18">
        <f>IF(SUMPRODUCT((E843:Q843)*1)=0,0,E843*INDEX(Hours!M:M,MATCH(C843,Hours!$A:$A,0))+F843*INDEX(Hours!B:B,MATCH(C843,Hours!$A:$A,0))+G843*INDEX(Hours!C:C,MATCH(C843,Hours!$A:$A,0))+H843*INDEX(Hours!D:D,MATCH(C843,Hours!$A:$A,0))+I843*INDEX(Hours!E:E,MATCH(C843,Hours!$A:$A,0))+J843*INDEX(Hours!F:F,MATCH(C843,Hours!$A:$A,0)))</f>
        <v>0</v>
      </c>
      <c r="S843" s="19">
        <f t="shared" si="27"/>
        <v>0</v>
      </c>
    </row>
    <row r="844" spans="1:19" x14ac:dyDescent="0.25">
      <c r="A844" s="11" t="str">
        <f>'Bldgs &amp; Rooms'!$A$24</f>
        <v>Main Bldg.</v>
      </c>
      <c r="B844" s="11">
        <f>'Bldgs &amp; Rooms'!$B$24</f>
        <v>0</v>
      </c>
      <c r="C844" s="10" t="str">
        <f>Hours!$A$30</f>
        <v>Variable Frequency Drives (VFD) 51-200 HP</v>
      </c>
      <c r="D844" s="11">
        <f t="shared" si="26"/>
        <v>0</v>
      </c>
      <c r="E844" s="16"/>
      <c r="F844" s="17"/>
      <c r="G844" s="17"/>
      <c r="H844" s="17"/>
      <c r="I844" s="17"/>
      <c r="J844" s="17"/>
      <c r="K844" s="12"/>
      <c r="L844" s="12"/>
      <c r="M844" s="12"/>
      <c r="N844" s="12"/>
      <c r="O844" s="12"/>
      <c r="P844" s="12"/>
      <c r="Q844" s="17"/>
      <c r="R844" s="18">
        <f>IF(SUMPRODUCT((E844:Q844)*1)=0,0,E844*INDEX(Hours!M:M,MATCH(C844,Hours!$A:$A,0))+F844*INDEX(Hours!B:B,MATCH(C844,Hours!$A:$A,0))+G844*INDEX(Hours!C:C,MATCH(C844,Hours!$A:$A,0))+H844*INDEX(Hours!D:D,MATCH(C844,Hours!$A:$A,0))+I844*INDEX(Hours!E:E,MATCH(C844,Hours!$A:$A,0))+J844*INDEX(Hours!F:F,MATCH(C844,Hours!$A:$A,0)))</f>
        <v>0</v>
      </c>
      <c r="S844" s="19">
        <f t="shared" si="27"/>
        <v>0</v>
      </c>
    </row>
    <row r="845" spans="1:19" x14ac:dyDescent="0.25">
      <c r="A845" s="11" t="str">
        <f>'Bldgs &amp; Rooms'!$A$24</f>
        <v>Main Bldg.</v>
      </c>
      <c r="B845" s="11">
        <f>'Bldgs &amp; Rooms'!$B$24</f>
        <v>0</v>
      </c>
      <c r="C845" s="10" t="str">
        <f>Hours!$A$31</f>
        <v>Motors &lt; 50 HP</v>
      </c>
      <c r="D845" s="11">
        <f t="shared" si="26"/>
        <v>0</v>
      </c>
      <c r="E845" s="16"/>
      <c r="F845" s="17"/>
      <c r="G845" s="17"/>
      <c r="H845" s="17"/>
      <c r="I845" s="17"/>
      <c r="J845" s="17"/>
      <c r="K845" s="12"/>
      <c r="L845" s="12"/>
      <c r="M845" s="12"/>
      <c r="N845" s="12"/>
      <c r="O845" s="12"/>
      <c r="P845" s="12"/>
      <c r="Q845" s="17"/>
      <c r="R845" s="18">
        <f>IF(SUMPRODUCT((E845:Q845)*1)=0,0,E845*INDEX(Hours!M:M,MATCH(C845,Hours!$A:$A,0))+F845*INDEX(Hours!B:B,MATCH(C845,Hours!$A:$A,0))+G845*INDEX(Hours!C:C,MATCH(C845,Hours!$A:$A,0))+H845*INDEX(Hours!D:D,MATCH(C845,Hours!$A:$A,0))+I845*INDEX(Hours!E:E,MATCH(C845,Hours!$A:$A,0))+J845*INDEX(Hours!F:F,MATCH(C845,Hours!$A:$A,0)))</f>
        <v>0</v>
      </c>
      <c r="S845" s="19">
        <f t="shared" si="27"/>
        <v>0</v>
      </c>
    </row>
    <row r="846" spans="1:19" x14ac:dyDescent="0.25">
      <c r="A846" s="11" t="str">
        <f>'Bldgs &amp; Rooms'!$A$24</f>
        <v>Main Bldg.</v>
      </c>
      <c r="B846" s="11">
        <f>'Bldgs &amp; Rooms'!$B$24</f>
        <v>0</v>
      </c>
      <c r="C846" s="10" t="str">
        <f>Hours!$A$32</f>
        <v>Motors 51-200 HP</v>
      </c>
      <c r="D846" s="11">
        <f t="shared" si="26"/>
        <v>0</v>
      </c>
      <c r="E846" s="16"/>
      <c r="F846" s="17"/>
      <c r="G846" s="17"/>
      <c r="H846" s="17"/>
      <c r="I846" s="17"/>
      <c r="J846" s="17"/>
      <c r="K846" s="12"/>
      <c r="L846" s="12"/>
      <c r="M846" s="12"/>
      <c r="N846" s="12"/>
      <c r="O846" s="12"/>
      <c r="P846" s="12"/>
      <c r="Q846" s="17"/>
      <c r="R846" s="18">
        <f>IF(SUMPRODUCT((E846:Q846)*1)=0,0,E846*INDEX(Hours!M:M,MATCH(C846,Hours!$A:$A,0))+F846*INDEX(Hours!B:B,MATCH(C846,Hours!$A:$A,0))+G846*INDEX(Hours!C:C,MATCH(C846,Hours!$A:$A,0))+H846*INDEX(Hours!D:D,MATCH(C846,Hours!$A:$A,0))+I846*INDEX(Hours!E:E,MATCH(C846,Hours!$A:$A,0))+J846*INDEX(Hours!F:F,MATCH(C846,Hours!$A:$A,0)))</f>
        <v>0</v>
      </c>
      <c r="S846" s="19">
        <f t="shared" si="27"/>
        <v>0</v>
      </c>
    </row>
    <row r="847" spans="1:19" x14ac:dyDescent="0.25">
      <c r="A847" s="11" t="str">
        <f>'Bldgs &amp; Rooms'!$A$24</f>
        <v>Main Bldg.</v>
      </c>
      <c r="B847" s="11">
        <f>'Bldgs &amp; Rooms'!$B$24</f>
        <v>0</v>
      </c>
      <c r="C847" s="10" t="str">
        <f>Hours!$A$33</f>
        <v>Motors 201-500 HP</v>
      </c>
      <c r="D847" s="11">
        <f t="shared" si="26"/>
        <v>0</v>
      </c>
      <c r="E847" s="16"/>
      <c r="F847" s="17"/>
      <c r="G847" s="17"/>
      <c r="H847" s="17"/>
      <c r="I847" s="17"/>
      <c r="J847" s="17"/>
      <c r="K847" s="12"/>
      <c r="L847" s="12"/>
      <c r="M847" s="12"/>
      <c r="N847" s="12"/>
      <c r="O847" s="12"/>
      <c r="P847" s="12"/>
      <c r="Q847" s="17"/>
      <c r="R847" s="18">
        <f>IF(SUMPRODUCT((E847:Q847)*1)=0,0,E847*INDEX(Hours!M:M,MATCH(C847,Hours!$A:$A,0))+F847*INDEX(Hours!B:B,MATCH(C847,Hours!$A:$A,0))+G847*INDEX(Hours!C:C,MATCH(C847,Hours!$A:$A,0))+H847*INDEX(Hours!D:D,MATCH(C847,Hours!$A:$A,0))+I847*INDEX(Hours!E:E,MATCH(C847,Hours!$A:$A,0))+J847*INDEX(Hours!F:F,MATCH(C847,Hours!$A:$A,0)))</f>
        <v>0</v>
      </c>
      <c r="S847" s="19">
        <f t="shared" si="27"/>
        <v>0</v>
      </c>
    </row>
    <row r="848" spans="1:19" x14ac:dyDescent="0.25">
      <c r="A848" s="11" t="str">
        <f>'Bldgs &amp; Rooms'!$A$24</f>
        <v>Main Bldg.</v>
      </c>
      <c r="B848" s="11">
        <f>'Bldgs &amp; Rooms'!$B$24</f>
        <v>0</v>
      </c>
      <c r="C848" s="10" t="str">
        <f>Hours!$A$34</f>
        <v>Compressed Air Equipment</v>
      </c>
      <c r="D848" s="11">
        <f t="shared" si="26"/>
        <v>0</v>
      </c>
      <c r="E848" s="16"/>
      <c r="F848" s="17"/>
      <c r="G848" s="17"/>
      <c r="H848" s="17"/>
      <c r="I848" s="17"/>
      <c r="J848" s="17"/>
      <c r="K848" s="12"/>
      <c r="L848" s="12"/>
      <c r="M848" s="12"/>
      <c r="N848" s="12"/>
      <c r="O848" s="12"/>
      <c r="P848" s="12"/>
      <c r="Q848" s="17"/>
      <c r="R848" s="18">
        <f>IF(SUMPRODUCT((E848:Q848)*1)=0,0,E848*INDEX(Hours!M:M,MATCH(C848,Hours!$A:$A,0))+F848*INDEX(Hours!B:B,MATCH(C848,Hours!$A:$A,0))+G848*INDEX(Hours!C:C,MATCH(C848,Hours!$A:$A,0))+H848*INDEX(Hours!D:D,MATCH(C848,Hours!$A:$A,0))+I848*INDEX(Hours!E:E,MATCH(C848,Hours!$A:$A,0))+J848*INDEX(Hours!F:F,MATCH(C848,Hours!$A:$A,0)))</f>
        <v>0</v>
      </c>
      <c r="S848" s="19">
        <f t="shared" si="27"/>
        <v>0</v>
      </c>
    </row>
    <row r="849" spans="1:19" x14ac:dyDescent="0.25">
      <c r="A849" s="11" t="str">
        <f>'Bldgs &amp; Rooms'!$A$24</f>
        <v>Main Bldg.</v>
      </c>
      <c r="B849" s="11">
        <f>'Bldgs &amp; Rooms'!$B$24</f>
        <v>0</v>
      </c>
      <c r="C849" s="10" t="str">
        <f>Hours!$A$35</f>
        <v>HVAC Equipment (Large)</v>
      </c>
      <c r="D849" s="11">
        <f t="shared" si="26"/>
        <v>0</v>
      </c>
      <c r="E849" s="16"/>
      <c r="F849" s="17"/>
      <c r="G849" s="17"/>
      <c r="H849" s="17"/>
      <c r="I849" s="17"/>
      <c r="J849" s="17"/>
      <c r="K849" s="12"/>
      <c r="L849" s="12"/>
      <c r="M849" s="12"/>
      <c r="N849" s="12"/>
      <c r="O849" s="12"/>
      <c r="P849" s="12"/>
      <c r="Q849" s="17"/>
      <c r="R849" s="18">
        <f>IF(SUMPRODUCT((E849:Q849)*1)=0,0,E849*INDEX(Hours!M:M,MATCH(C849,Hours!$A:$A,0))+F849*INDEX(Hours!B:B,MATCH(C849,Hours!$A:$A,0))+G849*INDEX(Hours!C:C,MATCH(C849,Hours!$A:$A,0))+H849*INDEX(Hours!D:D,MATCH(C849,Hours!$A:$A,0))+I849*INDEX(Hours!E:E,MATCH(C849,Hours!$A:$A,0))+J849*INDEX(Hours!F:F,MATCH(C849,Hours!$A:$A,0)))</f>
        <v>0</v>
      </c>
      <c r="S849" s="19">
        <f t="shared" si="27"/>
        <v>0</v>
      </c>
    </row>
    <row r="850" spans="1:19" x14ac:dyDescent="0.25">
      <c r="A850" s="11" t="str">
        <f>'Bldgs &amp; Rooms'!$A$24</f>
        <v>Main Bldg.</v>
      </c>
      <c r="B850" s="11">
        <f>'Bldgs &amp; Rooms'!$B$24</f>
        <v>0</v>
      </c>
      <c r="C850" s="10" t="str">
        <f>Hours!$A$36</f>
        <v>HVAC Equipment (Small)</v>
      </c>
      <c r="D850" s="11">
        <f t="shared" si="26"/>
        <v>0</v>
      </c>
      <c r="E850" s="16"/>
      <c r="F850" s="17"/>
      <c r="G850" s="17"/>
      <c r="H850" s="17"/>
      <c r="I850" s="17"/>
      <c r="J850" s="17"/>
      <c r="K850" s="12"/>
      <c r="L850" s="12"/>
      <c r="M850" s="12"/>
      <c r="N850" s="12"/>
      <c r="O850" s="12"/>
      <c r="P850" s="12"/>
      <c r="Q850" s="17"/>
      <c r="R850" s="18">
        <f>IF(SUMPRODUCT((E850:Q850)*1)=0,0,E850*INDEX(Hours!M:M,MATCH(C850,Hours!$A:$A,0))+F850*INDEX(Hours!B:B,MATCH(C850,Hours!$A:$A,0))+G850*INDEX(Hours!C:C,MATCH(C850,Hours!$A:$A,0))+H850*INDEX(Hours!D:D,MATCH(C850,Hours!$A:$A,0))+I850*INDEX(Hours!E:E,MATCH(C850,Hours!$A:$A,0))+J850*INDEX(Hours!F:F,MATCH(C850,Hours!$A:$A,0)))</f>
        <v>0</v>
      </c>
      <c r="S850" s="19">
        <f t="shared" si="27"/>
        <v>0</v>
      </c>
    </row>
    <row r="851" spans="1:19" x14ac:dyDescent="0.25">
      <c r="A851" s="11" t="str">
        <f>'Bldgs &amp; Rooms'!$A$24</f>
        <v>Main Bldg.</v>
      </c>
      <c r="B851" s="11">
        <f>'Bldgs &amp; Rooms'!$B$24</f>
        <v>0</v>
      </c>
      <c r="C851" s="10" t="str">
        <f>Hours!$A$37</f>
        <v>Uninterruptible Power Supply (UPS) &lt; 50kVA</v>
      </c>
      <c r="D851" s="11">
        <f t="shared" si="26"/>
        <v>0</v>
      </c>
      <c r="E851" s="16"/>
      <c r="F851" s="17"/>
      <c r="G851" s="17"/>
      <c r="H851" s="17"/>
      <c r="I851" s="17"/>
      <c r="J851" s="17"/>
      <c r="K851" s="12"/>
      <c r="L851" s="12"/>
      <c r="M851" s="12"/>
      <c r="N851" s="12"/>
      <c r="O851" s="12"/>
      <c r="P851" s="12"/>
      <c r="Q851" s="17"/>
      <c r="R851" s="18">
        <f>IF(SUMPRODUCT((E851:Q851)*1)=0,0,E851*INDEX(Hours!M:M,MATCH(C851,Hours!$A:$A,0))+F851*INDEX(Hours!B:B,MATCH(C851,Hours!$A:$A,0))+G851*INDEX(Hours!C:C,MATCH(C851,Hours!$A:$A,0))+H851*INDEX(Hours!D:D,MATCH(C851,Hours!$A:$A,0))+I851*INDEX(Hours!E:E,MATCH(C851,Hours!$A:$A,0))+J851*INDEX(Hours!F:F,MATCH(C851,Hours!$A:$A,0)))</f>
        <v>0</v>
      </c>
      <c r="S851" s="19">
        <f t="shared" si="27"/>
        <v>0</v>
      </c>
    </row>
    <row r="852" spans="1:19" x14ac:dyDescent="0.25">
      <c r="A852" s="11" t="str">
        <f>'Bldgs &amp; Rooms'!$A$24</f>
        <v>Main Bldg.</v>
      </c>
      <c r="B852" s="11">
        <f>'Bldgs &amp; Rooms'!$B$24</f>
        <v>0</v>
      </c>
      <c r="C852" s="10" t="str">
        <f>Hours!$A$38</f>
        <v>Uninterruptible Power Supply (UPS) &gt; 50kVA</v>
      </c>
      <c r="D852" s="11">
        <f t="shared" si="26"/>
        <v>0</v>
      </c>
      <c r="E852" s="16"/>
      <c r="F852" s="17"/>
      <c r="G852" s="17"/>
      <c r="H852" s="17"/>
      <c r="I852" s="17"/>
      <c r="J852" s="17"/>
      <c r="K852" s="12"/>
      <c r="L852" s="12"/>
      <c r="M852" s="12"/>
      <c r="N852" s="12"/>
      <c r="O852" s="12"/>
      <c r="P852" s="12"/>
      <c r="Q852" s="17"/>
      <c r="R852" s="18">
        <f>IF(SUMPRODUCT((E852:Q852)*1)=0,0,E852*INDEX(Hours!M:M,MATCH(C852,Hours!$A:$A,0))+F852*INDEX(Hours!B:B,MATCH(C852,Hours!$A:$A,0))+G852*INDEX(Hours!C:C,MATCH(C852,Hours!$A:$A,0))+H852*INDEX(Hours!D:D,MATCH(C852,Hours!$A:$A,0))+I852*INDEX(Hours!E:E,MATCH(C852,Hours!$A:$A,0))+J852*INDEX(Hours!F:F,MATCH(C852,Hours!$A:$A,0)))</f>
        <v>0</v>
      </c>
      <c r="S852" s="19">
        <f t="shared" si="27"/>
        <v>0</v>
      </c>
    </row>
    <row r="853" spans="1:19" x14ac:dyDescent="0.25">
      <c r="A853" s="15" t="str">
        <f>'Bldgs &amp; Rooms'!$A$25</f>
        <v>Main Bldg.</v>
      </c>
      <c r="B853" s="15">
        <f>'Bldgs &amp; Rooms'!$B$25</f>
        <v>0</v>
      </c>
      <c r="C853" s="14" t="str">
        <f>Hours!$A$2</f>
        <v>Switchgear - Incoming Main Service (Per Section)</v>
      </c>
      <c r="D853" s="15">
        <f t="shared" si="26"/>
        <v>0</v>
      </c>
      <c r="E853" s="16"/>
      <c r="F853" s="17"/>
      <c r="G853" s="17"/>
      <c r="H853" s="17"/>
      <c r="I853" s="17"/>
      <c r="J853" s="17"/>
      <c r="K853" s="17"/>
      <c r="L853" s="17"/>
      <c r="M853" s="12"/>
      <c r="N853" s="12"/>
      <c r="O853" s="17"/>
      <c r="P853" s="12"/>
      <c r="Q853" s="17"/>
      <c r="R853" s="18">
        <f>IF(SUMPRODUCT((E853:Q853)*1)=0,0,E853*INDEX(Hours!M:M,MATCH(C853,Hours!$A:$A,0))+F853*INDEX(Hours!B:B,MATCH(C853,Hours!$A:$A,0))+G853*INDEX(Hours!C:C,MATCH(C853,Hours!$A:$A,0))+H853*INDEX(Hours!D:D,MATCH(C853,Hours!$A:$A,0))+I853*INDEX(Hours!E:E,MATCH(C853,Hours!$A:$A,0))+J853*INDEX(Hours!F:F,MATCH(C853,Hours!$A:$A,0))+K853*INDEX(Hours!G:G,MATCH(C853,Hours!$A:$A,0))+L853*INDEX(Hours!H:H,MATCH(C853,Hours!$A:$A,0))+O853*INDEX(Hours!K:K,MATCH(C853,Hours!$A:$A,0)))</f>
        <v>0</v>
      </c>
      <c r="S853" s="19">
        <f t="shared" si="27"/>
        <v>0</v>
      </c>
    </row>
    <row r="854" spans="1:19" x14ac:dyDescent="0.25">
      <c r="A854" s="15" t="str">
        <f>'Bldgs &amp; Rooms'!$A$25</f>
        <v>Main Bldg.</v>
      </c>
      <c r="B854" s="15">
        <f>'Bldgs &amp; Rooms'!$B$25</f>
        <v>0</v>
      </c>
      <c r="C854" s="14" t="str">
        <f>Hours!$A$3</f>
        <v xml:space="preserve">  Switchgear Insulated Case Breakers (Bus Mounted)</v>
      </c>
      <c r="D854" s="15">
        <f t="shared" si="26"/>
        <v>0</v>
      </c>
      <c r="E854" s="16"/>
      <c r="F854" s="17"/>
      <c r="G854" s="17"/>
      <c r="H854" s="17"/>
      <c r="I854" s="17"/>
      <c r="J854" s="17"/>
      <c r="K854" s="17"/>
      <c r="L854" s="12"/>
      <c r="M854" s="12"/>
      <c r="N854" s="12"/>
      <c r="O854" s="12"/>
      <c r="P854" s="12"/>
      <c r="Q854" s="17"/>
      <c r="R854" s="18">
        <f>IF(SUMPRODUCT((E854:Q854)*1)=0,0,E854*INDEX(Hours!M:M,MATCH(C854,Hours!$A:$A,0))+F854*INDEX(Hours!B:B,MATCH(C854,Hours!$A:$A,0))+G854*INDEX(Hours!C:C,MATCH(C854,Hours!$A:$A,0))+H854*INDEX(Hours!D:D,MATCH(C854,Hours!$A:$A,0))+I854*INDEX(Hours!E:E,MATCH(C854,Hours!$A:$A,0))+J854*INDEX(Hours!F:F,MATCH(C854,Hours!$A:$A,0))+K854*INDEX(Hours!G:G,MATCH(C854,Hours!$A:$A,0)))</f>
        <v>0</v>
      </c>
      <c r="S854" s="19">
        <f t="shared" si="27"/>
        <v>0</v>
      </c>
    </row>
    <row r="855" spans="1:19" x14ac:dyDescent="0.25">
      <c r="A855" s="15" t="str">
        <f>'Bldgs &amp; Rooms'!$A$25</f>
        <v>Main Bldg.</v>
      </c>
      <c r="B855" s="15">
        <f>'Bldgs &amp; Rooms'!$B$25</f>
        <v>0</v>
      </c>
      <c r="C855" s="14" t="str">
        <f>Hours!$A$4</f>
        <v xml:space="preserve">  SwitchGear Drawout Breakers</v>
      </c>
      <c r="D855" s="15">
        <f t="shared" si="26"/>
        <v>0</v>
      </c>
      <c r="E855" s="16"/>
      <c r="F855" s="17"/>
      <c r="G855" s="17"/>
      <c r="H855" s="17"/>
      <c r="I855" s="17"/>
      <c r="J855" s="17"/>
      <c r="K855" s="12"/>
      <c r="L855" s="17"/>
      <c r="M855" s="12"/>
      <c r="N855" s="12"/>
      <c r="O855" s="12"/>
      <c r="P855" s="12"/>
      <c r="Q855" s="17"/>
      <c r="R855" s="18">
        <f>IF(SUMPRODUCT((E855:Q855)*1)=0,0,E855*INDEX(Hours!M:M,MATCH(C855,Hours!$A:$A,0))+F855*INDEX(Hours!B:B,MATCH(C855,Hours!$A:$A,0))+G855*INDEX(Hours!C:C,MATCH(C855,Hours!$A:$A,0))+H855*INDEX(Hours!D:D,MATCH(C855,Hours!$A:$A,0))+I855*INDEX(Hours!E:E,MATCH(C855,Hours!$A:$A,0))+J855*INDEX(Hours!F:F,MATCH(C855,Hours!$A:$A,0))+L855*INDEX(Hours!H:H,MATCH(C855,Hours!$A:$A,0)))</f>
        <v>0</v>
      </c>
      <c r="S855" s="19">
        <f t="shared" si="27"/>
        <v>0</v>
      </c>
    </row>
    <row r="856" spans="1:19" x14ac:dyDescent="0.25">
      <c r="A856" s="15" t="str">
        <f>'Bldgs &amp; Rooms'!$A$25</f>
        <v>Main Bldg.</v>
      </c>
      <c r="B856" s="15">
        <f>'Bldgs &amp; Rooms'!$B$25</f>
        <v>0</v>
      </c>
      <c r="C856" s="14" t="str">
        <f>Hours!$A$5</f>
        <v>Distribution Switchboard Multi Cover (Per Section)</v>
      </c>
      <c r="D856" s="15">
        <f t="shared" si="26"/>
        <v>0</v>
      </c>
      <c r="E856" s="16"/>
      <c r="F856" s="17"/>
      <c r="G856" s="17"/>
      <c r="H856" s="17"/>
      <c r="I856" s="17"/>
      <c r="J856" s="17"/>
      <c r="K856" s="17"/>
      <c r="L856" s="12"/>
      <c r="M856" s="12"/>
      <c r="N856" s="12"/>
      <c r="O856" s="17"/>
      <c r="P856" s="12"/>
      <c r="Q856" s="17"/>
      <c r="R856" s="18">
        <f>IF(SUMPRODUCT((E856:Q856)*1)=0,0,E856*INDEX(Hours!M:M,MATCH(C856,Hours!$A:$A,0))+F856*INDEX(Hours!B:B,MATCH(C856,Hours!$A:$A,0))+G856*INDEX(Hours!C:C,MATCH(C856,Hours!$A:$A,0))+H856*INDEX(Hours!D:D,MATCH(C856,Hours!$A:$A,0))+I856*INDEX(Hours!E:E,MATCH(C856,Hours!$A:$A,0))+J856*INDEX(Hours!F:F,MATCH(C856,Hours!$A:$A,0))+K856*INDEX(Hours!G:G,MATCH(C856,Hours!$A:$A,0))+O856*INDEX(Hours!K:K,MATCH(C856,Hours!$A:$A,0)))</f>
        <v>0</v>
      </c>
      <c r="S856" s="19">
        <f t="shared" si="27"/>
        <v>0</v>
      </c>
    </row>
    <row r="857" spans="1:19" x14ac:dyDescent="0.25">
      <c r="A857" s="15" t="str">
        <f>'Bldgs &amp; Rooms'!$A$25</f>
        <v>Main Bldg.</v>
      </c>
      <c r="B857" s="15">
        <f>'Bldgs &amp; Rooms'!$B$25</f>
        <v>0</v>
      </c>
      <c r="C857" s="14" t="str">
        <f>Hours!$A$6</f>
        <v xml:space="preserve">  Switchboard Disconnects</v>
      </c>
      <c r="D857" s="15">
        <f t="shared" si="26"/>
        <v>0</v>
      </c>
      <c r="E857" s="16"/>
      <c r="F857" s="17"/>
      <c r="G857" s="17"/>
      <c r="H857" s="17"/>
      <c r="I857" s="17"/>
      <c r="J857" s="17"/>
      <c r="K857" s="12"/>
      <c r="L857" s="12"/>
      <c r="M857" s="12"/>
      <c r="N857" s="12"/>
      <c r="O857" s="12"/>
      <c r="P857" s="12"/>
      <c r="Q857" s="17"/>
      <c r="R857" s="18">
        <f>IF(SUMPRODUCT((E857:Q857)*1)=0,0,E857*INDEX(Hours!M:M,MATCH(C857,Hours!$A:$A,0))+F857*INDEX(Hours!B:B,MATCH(C857,Hours!$A:$A,0))+G857*INDEX(Hours!C:C,MATCH(C857,Hours!$A:$A,0))+H857*INDEX(Hours!D:D,MATCH(C857,Hours!$A:$A,0))+I857*INDEX(Hours!E:E,MATCH(C857,Hours!$A:$A,0))+J857*INDEX(Hours!F:F,MATCH(C857,Hours!$A:$A,0)))</f>
        <v>0</v>
      </c>
      <c r="S857" s="19">
        <f t="shared" si="27"/>
        <v>0</v>
      </c>
    </row>
    <row r="858" spans="1:19" x14ac:dyDescent="0.25">
      <c r="A858" s="15" t="str">
        <f>'Bldgs &amp; Rooms'!$A$25</f>
        <v>Main Bldg.</v>
      </c>
      <c r="B858" s="15">
        <f>'Bldgs &amp; Rooms'!$B$25</f>
        <v>0</v>
      </c>
      <c r="C858" s="14" t="str">
        <f>Hours!$A$7</f>
        <v xml:space="preserve">  Switchboard Molded Case Breakers</v>
      </c>
      <c r="D858" s="15">
        <f t="shared" si="26"/>
        <v>0</v>
      </c>
      <c r="E858" s="16"/>
      <c r="F858" s="17"/>
      <c r="G858" s="17"/>
      <c r="H858" s="17"/>
      <c r="I858" s="17"/>
      <c r="J858" s="17"/>
      <c r="K858" s="17"/>
      <c r="L858" s="12"/>
      <c r="M858" s="12"/>
      <c r="N858" s="12"/>
      <c r="O858" s="12"/>
      <c r="P858" s="12"/>
      <c r="Q858" s="17"/>
      <c r="R858" s="18">
        <f>IF(SUMPRODUCT((E858:Q858)*1)=0,0,E858*INDEX(Hours!M:M,MATCH(C858,Hours!$A:$A,0))+F858*INDEX(Hours!B:B,MATCH(C858,Hours!$A:$A,0))+G858*INDEX(Hours!C:C,MATCH(C858,Hours!$A:$A,0))+H858*INDEX(Hours!D:D,MATCH(C858,Hours!$A:$A,0))+I858*INDEX(Hours!E:E,MATCH(C858,Hours!$A:$A,0))+J858*INDEX(Hours!F:F,MATCH(C858,Hours!$A:$A,0))+K858*INDEX(Hours!G:G,MATCH(C858,Hours!$A:$A,0)))</f>
        <v>0</v>
      </c>
      <c r="S858" s="19">
        <f t="shared" si="27"/>
        <v>0</v>
      </c>
    </row>
    <row r="859" spans="1:19" x14ac:dyDescent="0.25">
      <c r="A859" s="15" t="str">
        <f>'Bldgs &amp; Rooms'!$A$25</f>
        <v>Main Bldg.</v>
      </c>
      <c r="B859" s="15">
        <f>'Bldgs &amp; Rooms'!$B$25</f>
        <v>0</v>
      </c>
      <c r="C859" s="14" t="str">
        <f>Hours!$A$8</f>
        <v>Panelboard-Single Cover &gt; 400A (Distribution Panel)</v>
      </c>
      <c r="D859" s="15">
        <f t="shared" si="26"/>
        <v>0</v>
      </c>
      <c r="E859" s="16"/>
      <c r="F859" s="17"/>
      <c r="G859" s="17"/>
      <c r="H859" s="17"/>
      <c r="I859" s="17"/>
      <c r="J859" s="17"/>
      <c r="K859" s="17"/>
      <c r="L859" s="12"/>
      <c r="M859" s="12"/>
      <c r="N859" s="12"/>
      <c r="O859" s="17"/>
      <c r="P859" s="12"/>
      <c r="Q859" s="17"/>
      <c r="R859" s="18">
        <f>IF(SUMPRODUCT((E859:Q859)*1)=0,0,E859*INDEX(Hours!M:M,MATCH(C859,Hours!$A:$A,0))+F859*INDEX(Hours!B:B,MATCH(C859,Hours!$A:$A,0))+G859*INDEX(Hours!C:C,MATCH(C859,Hours!$A:$A,0))+H859*INDEX(Hours!D:D,MATCH(C859,Hours!$A:$A,0))+I859*INDEX(Hours!E:E,MATCH(C859,Hours!$A:$A,0))+J859*INDEX(Hours!F:F,MATCH(C859,Hours!$A:$A,0))+K859*INDEX(Hours!G:G,MATCH(C859,Hours!$A:$A,0))+O859*INDEX(Hours!K:K,MATCH(C859,Hours!$A:$A,0)))</f>
        <v>0</v>
      </c>
      <c r="S859" s="19">
        <f t="shared" si="27"/>
        <v>0</v>
      </c>
    </row>
    <row r="860" spans="1:19" x14ac:dyDescent="0.25">
      <c r="A860" s="15" t="str">
        <f>'Bldgs &amp; Rooms'!$A$25</f>
        <v>Main Bldg.</v>
      </c>
      <c r="B860" s="15">
        <f>'Bldgs &amp; Rooms'!$B$25</f>
        <v>0</v>
      </c>
      <c r="C860" s="14" t="str">
        <f>Hours!$A$9</f>
        <v>Panelboard-Single Cover &lt; 400A (Branch Ckt Panel)</v>
      </c>
      <c r="D860" s="15">
        <f t="shared" si="26"/>
        <v>0</v>
      </c>
      <c r="E860" s="16"/>
      <c r="F860" s="17"/>
      <c r="G860" s="17"/>
      <c r="H860" s="17"/>
      <c r="I860" s="17"/>
      <c r="J860" s="17"/>
      <c r="K860" s="12"/>
      <c r="L860" s="12"/>
      <c r="M860" s="12"/>
      <c r="N860" s="12"/>
      <c r="O860" s="17"/>
      <c r="P860" s="12"/>
      <c r="Q860" s="17"/>
      <c r="R860" s="18">
        <f>IF(SUMPRODUCT((E860:Q860)*1)=0,0,E860*INDEX(Hours!M:M,MATCH(C860,Hours!$A:$A,0))+F860*INDEX(Hours!B:B,MATCH(C860,Hours!$A:$A,0))+G860*INDEX(Hours!C:C,MATCH(C860,Hours!$A:$A,0))+H860*INDEX(Hours!D:D,MATCH(C860,Hours!$A:$A,0))+I860*INDEX(Hours!E:E,MATCH(C860,Hours!$A:$A,0))+J860*INDEX(Hours!F:F,MATCH(C860,Hours!$A:$A,0))+O860*INDEX(Hours!K:K,MATCH(C860,Hours!$A:$A,0)))</f>
        <v>0</v>
      </c>
      <c r="S860" s="19">
        <f t="shared" si="27"/>
        <v>0</v>
      </c>
    </row>
    <row r="861" spans="1:19" x14ac:dyDescent="0.25">
      <c r="A861" s="15" t="str">
        <f>'Bldgs &amp; Rooms'!$A$25</f>
        <v>Main Bldg.</v>
      </c>
      <c r="B861" s="15">
        <f>'Bldgs &amp; Rooms'!$B$25</f>
        <v>0</v>
      </c>
      <c r="C861" s="14" t="str">
        <f>Hours!$A$10</f>
        <v>Motor Control Center (MCC-Per Vertical Section)</v>
      </c>
      <c r="D861" s="15">
        <f t="shared" si="26"/>
        <v>0</v>
      </c>
      <c r="E861" s="16"/>
      <c r="F861" s="17"/>
      <c r="G861" s="17"/>
      <c r="H861" s="17"/>
      <c r="I861" s="17"/>
      <c r="J861" s="17"/>
      <c r="K861" s="12"/>
      <c r="L861" s="12"/>
      <c r="M861" s="12"/>
      <c r="N861" s="12"/>
      <c r="O861" s="17"/>
      <c r="P861" s="12"/>
      <c r="Q861" s="17"/>
      <c r="R861" s="18">
        <f>IF(SUMPRODUCT((E861:Q861)*1)=0,0,E861*INDEX(Hours!M:M,MATCH(C861,Hours!$A:$A,0))+F861*INDEX(Hours!B:B,MATCH(C861,Hours!$A:$A,0))+G861*INDEX(Hours!C:C,MATCH(C861,Hours!$A:$A,0))+H861*INDEX(Hours!D:D,MATCH(C861,Hours!$A:$A,0))+I861*INDEX(Hours!E:E,MATCH(C861,Hours!$A:$A,0))+J861*INDEX(Hours!F:F,MATCH(C861,Hours!$A:$A,0))+O861*INDEX(Hours!K:K,MATCH(C861,Hours!$A:$A,0)))</f>
        <v>0</v>
      </c>
      <c r="S861" s="19">
        <f t="shared" si="27"/>
        <v>0</v>
      </c>
    </row>
    <row r="862" spans="1:19" x14ac:dyDescent="0.25">
      <c r="A862" s="15" t="str">
        <f>'Bldgs &amp; Rooms'!$A$25</f>
        <v>Main Bldg.</v>
      </c>
      <c r="B862" s="15">
        <f>'Bldgs &amp; Rooms'!$B$25</f>
        <v>0</v>
      </c>
      <c r="C862" s="14" t="str">
        <f>Hours!$A$11</f>
        <v xml:space="preserve">  MCC: Combination Motor Starters</v>
      </c>
      <c r="D862" s="15">
        <f t="shared" si="26"/>
        <v>0</v>
      </c>
      <c r="E862" s="16"/>
      <c r="F862" s="17"/>
      <c r="G862" s="17"/>
      <c r="H862" s="17"/>
      <c r="I862" s="17"/>
      <c r="J862" s="17"/>
      <c r="K862" s="17"/>
      <c r="L862" s="12"/>
      <c r="M862" s="12"/>
      <c r="N862" s="12"/>
      <c r="O862" s="17"/>
      <c r="P862" s="12"/>
      <c r="Q862" s="17"/>
      <c r="R862" s="18">
        <f>IF(SUMPRODUCT((E862:Q862)*1)=0,0,E862*INDEX(Hours!M:M,MATCH(C862,Hours!$A:$A,0))+F862*INDEX(Hours!B:B,MATCH(C862,Hours!$A:$A,0))+G862*INDEX(Hours!C:C,MATCH(C862,Hours!$A:$A,0))+H862*INDEX(Hours!D:D,MATCH(C862,Hours!$A:$A,0))+I862*INDEX(Hours!E:E,MATCH(C862,Hours!$A:$A,0))+J862*INDEX(Hours!F:F,MATCH(C862,Hours!$A:$A,0))+K862*INDEX(Hours!G:G,MATCH(C862,Hours!$A:$A,0))+O862*INDEX(Hours!K:K,MATCH(C862,Hours!$A:$A,0)))</f>
        <v>0</v>
      </c>
      <c r="S862" s="19">
        <f t="shared" si="27"/>
        <v>0</v>
      </c>
    </row>
    <row r="863" spans="1:19" x14ac:dyDescent="0.25">
      <c r="A863" s="15" t="str">
        <f>'Bldgs &amp; Rooms'!$A$25</f>
        <v>Main Bldg.</v>
      </c>
      <c r="B863" s="15">
        <f>'Bldgs &amp; Rooms'!$B$25</f>
        <v>0</v>
      </c>
      <c r="C863" s="14" t="str">
        <f>Hours!$A$12</f>
        <v xml:space="preserve">  MCC: Molded Case Breaker</v>
      </c>
      <c r="D863" s="15">
        <f t="shared" si="26"/>
        <v>0</v>
      </c>
      <c r="E863" s="16"/>
      <c r="F863" s="17"/>
      <c r="G863" s="17"/>
      <c r="H863" s="17"/>
      <c r="I863" s="17"/>
      <c r="J863" s="17"/>
      <c r="K863" s="17"/>
      <c r="L863" s="12"/>
      <c r="M863" s="12"/>
      <c r="N863" s="12"/>
      <c r="O863" s="12"/>
      <c r="P863" s="12"/>
      <c r="Q863" s="17"/>
      <c r="R863" s="18">
        <f>IF(SUMPRODUCT((E863:Q863)*1)=0,0,E863*INDEX(Hours!M:M,MATCH(C863,Hours!$A:$A,0))+F863*INDEX(Hours!B:B,MATCH(C863,Hours!$A:$A,0))+G863*INDEX(Hours!C:C,MATCH(C863,Hours!$A:$A,0))+H863*INDEX(Hours!D:D,MATCH(C863,Hours!$A:$A,0))+I863*INDEX(Hours!E:E,MATCH(C863,Hours!$A:$A,0))+J863*INDEX(Hours!F:F,MATCH(C863,Hours!$A:$A,0))+K863*INDEX(Hours!G:G,MATCH(C863,Hours!$A:$A,0)))</f>
        <v>0</v>
      </c>
      <c r="S863" s="19">
        <f t="shared" si="27"/>
        <v>0</v>
      </c>
    </row>
    <row r="864" spans="1:19" x14ac:dyDescent="0.25">
      <c r="A864" s="15" t="str">
        <f>'Bldgs &amp; Rooms'!$A$25</f>
        <v>Main Bldg.</v>
      </c>
      <c r="B864" s="15">
        <f>'Bldgs &amp; Rooms'!$B$25</f>
        <v>0</v>
      </c>
      <c r="C864" s="14" t="str">
        <f>Hours!$A$13</f>
        <v xml:space="preserve">  MCC: Individual Disconnect Switch</v>
      </c>
      <c r="D864" s="15">
        <f t="shared" si="26"/>
        <v>0</v>
      </c>
      <c r="E864" s="16"/>
      <c r="F864" s="17"/>
      <c r="G864" s="17"/>
      <c r="H864" s="17"/>
      <c r="I864" s="17"/>
      <c r="J864" s="17"/>
      <c r="K864" s="12"/>
      <c r="L864" s="12"/>
      <c r="M864" s="12"/>
      <c r="N864" s="12"/>
      <c r="O864" s="12"/>
      <c r="P864" s="12"/>
      <c r="Q864" s="17"/>
      <c r="R864" s="18">
        <f>IF(SUMPRODUCT((E864:Q864)*1)=0,0,E864*INDEX(Hours!M:M,MATCH(C864,Hours!$A:$A,0))+F864*INDEX(Hours!B:B,MATCH(C864,Hours!$A:$A,0))+G864*INDEX(Hours!C:C,MATCH(C864,Hours!$A:$A,0))+H864*INDEX(Hours!D:D,MATCH(C864,Hours!$A:$A,0))+I864*INDEX(Hours!E:E,MATCH(C864,Hours!$A:$A,0))+J864*INDEX(Hours!F:F,MATCH(C864,Hours!$A:$A,0)))</f>
        <v>0</v>
      </c>
      <c r="S864" s="19">
        <f t="shared" si="27"/>
        <v>0</v>
      </c>
    </row>
    <row r="865" spans="1:19" x14ac:dyDescent="0.25">
      <c r="A865" s="15" t="str">
        <f>'Bldgs &amp; Rooms'!$A$25</f>
        <v>Main Bldg.</v>
      </c>
      <c r="B865" s="15">
        <f>'Bldgs &amp; Rooms'!$B$25</f>
        <v>0</v>
      </c>
      <c r="C865" s="14" t="str">
        <f>Hours!$A$14</f>
        <v>Motor Control Panel (MCP)</v>
      </c>
      <c r="D865" s="15">
        <f t="shared" si="26"/>
        <v>0</v>
      </c>
      <c r="E865" s="16"/>
      <c r="F865" s="17"/>
      <c r="G865" s="17"/>
      <c r="H865" s="17"/>
      <c r="I865" s="17"/>
      <c r="J865" s="17"/>
      <c r="K865" s="12"/>
      <c r="L865" s="12"/>
      <c r="M865" s="12"/>
      <c r="N865" s="12"/>
      <c r="O865" s="17"/>
      <c r="P865" s="12"/>
      <c r="Q865" s="17"/>
      <c r="R865" s="18">
        <f>IF(SUMPRODUCT((E865:Q865)*1)=0,0,E865*INDEX(Hours!M:M,MATCH(C865,Hours!$A:$A,0))+F865*INDEX(Hours!B:B,MATCH(C865,Hours!$A:$A,0))+G865*INDEX(Hours!C:C,MATCH(C865,Hours!$A:$A,0))+H865*INDEX(Hours!D:D,MATCH(C865,Hours!$A:$A,0))+I865*INDEX(Hours!E:E,MATCH(C865,Hours!$A:$A,0))+J865*INDEX(Hours!F:F,MATCH(C865,Hours!$A:$A,0))+O865*INDEX(Hours!K:K,MATCH(C865,Hours!$A:$A,0)))</f>
        <v>0</v>
      </c>
      <c r="S865" s="19">
        <f t="shared" si="27"/>
        <v>0</v>
      </c>
    </row>
    <row r="866" spans="1:19" x14ac:dyDescent="0.25">
      <c r="A866" s="15" t="str">
        <f>'Bldgs &amp; Rooms'!$A$25</f>
        <v>Main Bldg.</v>
      </c>
      <c r="B866" s="15">
        <f>'Bldgs &amp; Rooms'!$B$25</f>
        <v>0</v>
      </c>
      <c r="C866" s="14" t="str">
        <f>Hours!$A$15</f>
        <v>VFD Motor Control Panel (VFD-MCP)</v>
      </c>
      <c r="D866" s="15">
        <f t="shared" si="26"/>
        <v>0</v>
      </c>
      <c r="E866" s="16"/>
      <c r="F866" s="17"/>
      <c r="G866" s="17"/>
      <c r="H866" s="17"/>
      <c r="I866" s="17"/>
      <c r="J866" s="17"/>
      <c r="K866" s="12"/>
      <c r="L866" s="12"/>
      <c r="M866" s="12"/>
      <c r="N866" s="12"/>
      <c r="O866" s="17"/>
      <c r="P866" s="12"/>
      <c r="Q866" s="17"/>
      <c r="R866" s="18">
        <f>IF(SUMPRODUCT((E866:Q866)*1)=0,0,E866*INDEX(Hours!M:M,MATCH(C866,Hours!$A:$A,0))+F866*INDEX(Hours!B:B,MATCH(C866,Hours!$A:$A,0))+G866*INDEX(Hours!C:C,MATCH(C866,Hours!$A:$A,0))+H866*INDEX(Hours!D:D,MATCH(C866,Hours!$A:$A,0))+I866*INDEX(Hours!E:E,MATCH(C866,Hours!$A:$A,0))+J866*INDEX(Hours!F:F,MATCH(C866,Hours!$A:$A,0))+O866*INDEX(Hours!K:K,MATCH(C866,Hours!$A:$A,0)))</f>
        <v>0</v>
      </c>
      <c r="S866" s="19">
        <f t="shared" si="27"/>
        <v>0</v>
      </c>
    </row>
    <row r="867" spans="1:19" x14ac:dyDescent="0.25">
      <c r="A867" s="15" t="str">
        <f>'Bldgs &amp; Rooms'!$A$25</f>
        <v>Main Bldg.</v>
      </c>
      <c r="B867" s="15">
        <f>'Bldgs &amp; Rooms'!$B$25</f>
        <v>0</v>
      </c>
      <c r="C867" s="14" t="str">
        <f>Hours!$A$16</f>
        <v>Individual Disconnect Switch &gt; 100A</v>
      </c>
      <c r="D867" s="15">
        <f t="shared" si="26"/>
        <v>0</v>
      </c>
      <c r="E867" s="16"/>
      <c r="F867" s="17"/>
      <c r="G867" s="17"/>
      <c r="H867" s="17"/>
      <c r="I867" s="17"/>
      <c r="J867" s="17"/>
      <c r="K867" s="17"/>
      <c r="L867" s="12"/>
      <c r="M867" s="12"/>
      <c r="N867" s="12"/>
      <c r="O867" s="12"/>
      <c r="P867" s="12"/>
      <c r="Q867" s="17"/>
      <c r="R867" s="18">
        <f>IF(SUMPRODUCT((E867:Q867)*1)=0,0,E867*INDEX(Hours!M:M,MATCH(C867,Hours!$A:$A,0))+F867*INDEX(Hours!B:B,MATCH(C867,Hours!$A:$A,0))+G867*INDEX(Hours!C:C,MATCH(C867,Hours!$A:$A,0))+H867*INDEX(Hours!D:D,MATCH(C867,Hours!$A:$A,0))+I867*INDEX(Hours!E:E,MATCH(C867,Hours!$A:$A,0))+J867*INDEX(Hours!F:F,MATCH(C867,Hours!$A:$A,0))+K867*INDEX(Hours!G:G,MATCH(C867,Hours!$A:$A,0)))</f>
        <v>0</v>
      </c>
      <c r="S867" s="19">
        <f t="shared" si="27"/>
        <v>0</v>
      </c>
    </row>
    <row r="868" spans="1:19" x14ac:dyDescent="0.25">
      <c r="A868" s="15" t="str">
        <f>'Bldgs &amp; Rooms'!$A$25</f>
        <v>Main Bldg.</v>
      </c>
      <c r="B868" s="15">
        <f>'Bldgs &amp; Rooms'!$B$25</f>
        <v>0</v>
      </c>
      <c r="C868" s="14" t="str">
        <f>Hours!$A$17</f>
        <v>Individual Molded Case Breaker &gt; 100A</v>
      </c>
      <c r="D868" s="15">
        <f t="shared" si="26"/>
        <v>0</v>
      </c>
      <c r="E868" s="16"/>
      <c r="F868" s="17"/>
      <c r="G868" s="17"/>
      <c r="H868" s="17"/>
      <c r="I868" s="17"/>
      <c r="J868" s="17"/>
      <c r="K868" s="17"/>
      <c r="L868" s="12"/>
      <c r="M868" s="12"/>
      <c r="N868" s="12"/>
      <c r="O868" s="12"/>
      <c r="P868" s="12"/>
      <c r="Q868" s="17"/>
      <c r="R868" s="18">
        <f>IF(SUMPRODUCT((E868:Q868)*1)=0,0,E868*INDEX(Hours!M:M,MATCH(C868,Hours!$A:$A,0))+F868*INDEX(Hours!B:B,MATCH(C868,Hours!$A:$A,0))+G868*INDEX(Hours!C:C,MATCH(C868,Hours!$A:$A,0))+H868*INDEX(Hours!D:D,MATCH(C868,Hours!$A:$A,0))+I868*INDEX(Hours!E:E,MATCH(C868,Hours!$A:$A,0))+J868*INDEX(Hours!F:F,MATCH(C868,Hours!$A:$A,0))+K868*INDEX(Hours!G:G,MATCH(C868,Hours!$A:$A,0)))</f>
        <v>0</v>
      </c>
      <c r="S868" s="19">
        <f t="shared" si="27"/>
        <v>0</v>
      </c>
    </row>
    <row r="869" spans="1:19" x14ac:dyDescent="0.25">
      <c r="A869" s="15" t="str">
        <f>'Bldgs &amp; Rooms'!$A$25</f>
        <v>Main Bldg.</v>
      </c>
      <c r="B869" s="15">
        <f>'Bldgs &amp; Rooms'!$B$25</f>
        <v>0</v>
      </c>
      <c r="C869" s="14" t="str">
        <f>Hours!$A$18</f>
        <v>Individual Combination Motor Starter &gt; 100A</v>
      </c>
      <c r="D869" s="15">
        <f t="shared" si="26"/>
        <v>0</v>
      </c>
      <c r="E869" s="16"/>
      <c r="F869" s="17"/>
      <c r="G869" s="17"/>
      <c r="H869" s="17"/>
      <c r="I869" s="17"/>
      <c r="J869" s="17"/>
      <c r="K869" s="17"/>
      <c r="L869" s="12"/>
      <c r="M869" s="12"/>
      <c r="N869" s="12"/>
      <c r="O869" s="12"/>
      <c r="P869" s="12"/>
      <c r="Q869" s="17"/>
      <c r="R869" s="18">
        <f>IF(SUMPRODUCT((E869:Q869)*1)=0,0,E869*INDEX(Hours!M:M,MATCH(C869,Hours!$A:$A,0))+F869*INDEX(Hours!B:B,MATCH(C869,Hours!$A:$A,0))+G869*INDEX(Hours!C:C,MATCH(C869,Hours!$A:$A,0))+H869*INDEX(Hours!D:D,MATCH(C869,Hours!$A:$A,0))+I869*INDEX(Hours!E:E,MATCH(C869,Hours!$A:$A,0))+J869*INDEX(Hours!F:F,MATCH(C869,Hours!$A:$A,0))+K869*INDEX(Hours!G:G,MATCH(C869,Hours!$A:$A,0)))</f>
        <v>0</v>
      </c>
      <c r="S869" s="19">
        <f t="shared" si="27"/>
        <v>0</v>
      </c>
    </row>
    <row r="870" spans="1:19" x14ac:dyDescent="0.25">
      <c r="A870" s="15" t="str">
        <f>'Bldgs &amp; Rooms'!$A$25</f>
        <v>Main Bldg.</v>
      </c>
      <c r="B870" s="15">
        <f>'Bldgs &amp; Rooms'!$B$25</f>
        <v>0</v>
      </c>
      <c r="C870" s="14" t="str">
        <f>Hours!$A$19</f>
        <v>Oil Filled Transformer - 5kV-15kV Primary - Any Size (Pad Mounted)</v>
      </c>
      <c r="D870" s="15">
        <f t="shared" si="26"/>
        <v>0</v>
      </c>
      <c r="E870" s="16"/>
      <c r="F870" s="17"/>
      <c r="G870" s="17"/>
      <c r="H870" s="17"/>
      <c r="I870" s="17"/>
      <c r="J870" s="17"/>
      <c r="K870" s="12"/>
      <c r="L870" s="12"/>
      <c r="M870" s="17"/>
      <c r="N870" s="17"/>
      <c r="O870" s="12"/>
      <c r="P870" s="17"/>
      <c r="Q870" s="17"/>
      <c r="R870" s="18">
        <f>IF(SUMPRODUCT((E870:Q870)*1)=0,0,E870*INDEX(Hours!M:M,MATCH(C870,Hours!$A:$A,0))+F870*INDEX(Hours!B:B,MATCH(C870,Hours!$A:$A,0))+G870*INDEX(Hours!C:C,MATCH(C870,Hours!$A:$A,0))+H870*INDEX(Hours!D:D,MATCH(C870,Hours!$A:$A,0))+I870*INDEX(Hours!E:E,MATCH(C870,Hours!$A:$A,0))+J870*INDEX(Hours!F:F,MATCH(C870,Hours!$A:$A,0))+M870*INDEX(Hours!I:I,MATCH(C870,Hours!$A:$A,0))+N870*INDEX(Hours!J:J,MATCH(C870,Hours!$A:$A,0))+P870*INDEX(Hours!L:L,MATCH(C870,Hours!$A:$A,0)))</f>
        <v>0</v>
      </c>
      <c r="S870" s="19">
        <f t="shared" si="27"/>
        <v>0</v>
      </c>
    </row>
    <row r="871" spans="1:19" x14ac:dyDescent="0.25">
      <c r="A871" s="15" t="str">
        <f>'Bldgs &amp; Rooms'!$A$25</f>
        <v>Main Bldg.</v>
      </c>
      <c r="B871" s="15">
        <f>'Bldgs &amp; Rooms'!$B$25</f>
        <v>0</v>
      </c>
      <c r="C871" s="14" t="str">
        <f>Hours!$A$20</f>
        <v>Oil Filled Transformer - &gt; 15kV Primary (Substation Class)</v>
      </c>
      <c r="D871" s="15">
        <f t="shared" si="26"/>
        <v>0</v>
      </c>
      <c r="E871" s="16"/>
      <c r="F871" s="17"/>
      <c r="G871" s="17"/>
      <c r="H871" s="17"/>
      <c r="I871" s="17"/>
      <c r="J871" s="17"/>
      <c r="K871" s="12"/>
      <c r="L871" s="12"/>
      <c r="M871" s="17"/>
      <c r="N871" s="17"/>
      <c r="O871" s="12"/>
      <c r="P871" s="17"/>
      <c r="Q871" s="17"/>
      <c r="R871" s="18">
        <f>IF(SUMPRODUCT((E871:Q871)*1)=0,0,E871*INDEX(Hours!M:M,MATCH(C871,Hours!$A:$A,0))+F871*INDEX(Hours!B:B,MATCH(C871,Hours!$A:$A,0))+G871*INDEX(Hours!C:C,MATCH(C871,Hours!$A:$A,0))+H871*INDEX(Hours!D:D,MATCH(C871,Hours!$A:$A,0))+I871*INDEX(Hours!E:E,MATCH(C871,Hours!$A:$A,0))+J871*INDEX(Hours!F:F,MATCH(C871,Hours!$A:$A,0))+M871*INDEX(Hours!I:I,MATCH(C871,Hours!$A:$A,0))+N871*INDEX(Hours!J:J,MATCH(C871,Hours!$A:$A,0))+P871*INDEX(Hours!L:L,MATCH(C871,Hours!$A:$A,0)))</f>
        <v>0</v>
      </c>
      <c r="S871" s="19">
        <f t="shared" si="27"/>
        <v>0</v>
      </c>
    </row>
    <row r="872" spans="1:19" x14ac:dyDescent="0.25">
      <c r="A872" s="15" t="str">
        <f>'Bldgs &amp; Rooms'!$A$25</f>
        <v>Main Bldg.</v>
      </c>
      <c r="B872" s="15">
        <f>'Bldgs &amp; Rooms'!$B$25</f>
        <v>0</v>
      </c>
      <c r="C872" s="14" t="str">
        <f>Hours!$A$21</f>
        <v>Dry Type Transformer - &lt; 480V Primary - Any Size kVA</v>
      </c>
      <c r="D872" s="15">
        <f t="shared" si="26"/>
        <v>0</v>
      </c>
      <c r="E872" s="16"/>
      <c r="F872" s="17"/>
      <c r="G872" s="17"/>
      <c r="H872" s="17"/>
      <c r="I872" s="17"/>
      <c r="J872" s="17"/>
      <c r="K872" s="12"/>
      <c r="L872" s="12"/>
      <c r="M872" s="17"/>
      <c r="N872" s="17"/>
      <c r="O872" s="12"/>
      <c r="P872" s="12"/>
      <c r="Q872" s="17"/>
      <c r="R872" s="18">
        <f>IF(SUMPRODUCT((E872:Q872)*1)=0,0,E872*INDEX(Hours!M:M,MATCH(C872,Hours!$A:$A,0))+F872*INDEX(Hours!B:B,MATCH(C872,Hours!$A:$A,0))+G872*INDEX(Hours!C:C,MATCH(C872,Hours!$A:$A,0))+H872*INDEX(Hours!D:D,MATCH(C872,Hours!$A:$A,0))+I872*INDEX(Hours!E:E,MATCH(C872,Hours!$A:$A,0))+J872*INDEX(Hours!F:F,MATCH(C872,Hours!$A:$A,0))+M872*INDEX(Hours!I:I,MATCH(C872,Hours!$A:$A,0))+N872*INDEX(Hours!J:J,MATCH(C872,Hours!$A:$A,0)))</f>
        <v>0</v>
      </c>
      <c r="S872" s="19">
        <f t="shared" si="27"/>
        <v>0</v>
      </c>
    </row>
    <row r="873" spans="1:19" x14ac:dyDescent="0.25">
      <c r="A873" s="15" t="str">
        <f>'Bldgs &amp; Rooms'!$A$25</f>
        <v>Main Bldg.</v>
      </c>
      <c r="B873" s="15">
        <f>'Bldgs &amp; Rooms'!$B$25</f>
        <v>0</v>
      </c>
      <c r="C873" s="14" t="str">
        <f>Hours!$A$22</f>
        <v>Power Factor Correction Capacitors</v>
      </c>
      <c r="D873" s="15">
        <f t="shared" si="26"/>
        <v>0</v>
      </c>
      <c r="E873" s="16"/>
      <c r="F873" s="17"/>
      <c r="G873" s="17"/>
      <c r="H873" s="17"/>
      <c r="I873" s="17"/>
      <c r="J873" s="17"/>
      <c r="K873" s="12"/>
      <c r="L873" s="12"/>
      <c r="M873" s="12"/>
      <c r="N873" s="12"/>
      <c r="O873" s="12"/>
      <c r="P873" s="12"/>
      <c r="Q873" s="17"/>
      <c r="R873" s="18">
        <f>IF(SUMPRODUCT((E873:Q873)*1)=0,0,E873*INDEX(Hours!M:M,MATCH(C873,Hours!$A:$A,0))+F873*INDEX(Hours!B:B,MATCH(C873,Hours!$A:$A,0))+G873*INDEX(Hours!C:C,MATCH(C873,Hours!$A:$A,0))+H873*INDEX(Hours!D:D,MATCH(C873,Hours!$A:$A,0))+I873*INDEX(Hours!E:E,MATCH(C873,Hours!$A:$A,0))+J873*INDEX(Hours!F:F,MATCH(C873,Hours!$A:$A,0)))</f>
        <v>0</v>
      </c>
      <c r="S873" s="19">
        <f t="shared" si="27"/>
        <v>0</v>
      </c>
    </row>
    <row r="874" spans="1:19" x14ac:dyDescent="0.25">
      <c r="A874" s="15" t="str">
        <f>'Bldgs &amp; Rooms'!$A$25</f>
        <v>Main Bldg.</v>
      </c>
      <c r="B874" s="15">
        <f>'Bldgs &amp; Rooms'!$B$25</f>
        <v>0</v>
      </c>
      <c r="C874" s="14" t="str">
        <f>Hours!$A$23</f>
        <v>Lighting Contactor &gt; 100A</v>
      </c>
      <c r="D874" s="15">
        <f t="shared" si="26"/>
        <v>0</v>
      </c>
      <c r="E874" s="16"/>
      <c r="F874" s="17"/>
      <c r="G874" s="17"/>
      <c r="H874" s="17"/>
      <c r="I874" s="17"/>
      <c r="J874" s="17"/>
      <c r="K874" s="12"/>
      <c r="L874" s="12"/>
      <c r="M874" s="12"/>
      <c r="N874" s="12"/>
      <c r="O874" s="12"/>
      <c r="P874" s="12"/>
      <c r="Q874" s="17"/>
      <c r="R874" s="18">
        <f>IF(SUMPRODUCT((E874:Q874)*1)=0,0,E874*INDEX(Hours!M:M,MATCH(C874,Hours!$A:$A,0))+F874*INDEX(Hours!B:B,MATCH(C874,Hours!$A:$A,0))+G874*INDEX(Hours!C:C,MATCH(C874,Hours!$A:$A,0))+H874*INDEX(Hours!D:D,MATCH(C874,Hours!$A:$A,0))+I874*INDEX(Hours!E:E,MATCH(C874,Hours!$A:$A,0))+J874*INDEX(Hours!F:F,MATCH(C874,Hours!$A:$A,0)))</f>
        <v>0</v>
      </c>
      <c r="S874" s="19">
        <f t="shared" si="27"/>
        <v>0</v>
      </c>
    </row>
    <row r="875" spans="1:19" x14ac:dyDescent="0.25">
      <c r="A875" s="15" t="str">
        <f>'Bldgs &amp; Rooms'!$A$25</f>
        <v>Main Bldg.</v>
      </c>
      <c r="B875" s="15">
        <f>'Bldgs &amp; Rooms'!$B$25</f>
        <v>0</v>
      </c>
      <c r="C875" s="14" t="str">
        <f>Hours!$A$24</f>
        <v>Power Distribution Unit (PDU)</v>
      </c>
      <c r="D875" s="15">
        <f t="shared" si="26"/>
        <v>0</v>
      </c>
      <c r="E875" s="16"/>
      <c r="F875" s="17"/>
      <c r="G875" s="17"/>
      <c r="H875" s="17"/>
      <c r="I875" s="17"/>
      <c r="J875" s="17"/>
      <c r="K875" s="12"/>
      <c r="L875" s="12"/>
      <c r="M875" s="12"/>
      <c r="N875" s="12"/>
      <c r="O875" s="12"/>
      <c r="P875" s="12"/>
      <c r="Q875" s="17"/>
      <c r="R875" s="18">
        <f>IF(SUMPRODUCT((E875:Q875)*1)=0,0,E875*INDEX(Hours!M:M,MATCH(C875,Hours!$A:$A,0))+F875*INDEX(Hours!B:B,MATCH(C875,Hours!$A:$A,0))+G875*INDEX(Hours!C:C,MATCH(C875,Hours!$A:$A,0))+H875*INDEX(Hours!D:D,MATCH(C875,Hours!$A:$A,0))+I875*INDEX(Hours!E:E,MATCH(C875,Hours!$A:$A,0))+J875*INDEX(Hours!F:F,MATCH(C875,Hours!$A:$A,0)))</f>
        <v>0</v>
      </c>
      <c r="S875" s="19">
        <f t="shared" si="27"/>
        <v>0</v>
      </c>
    </row>
    <row r="876" spans="1:19" x14ac:dyDescent="0.25">
      <c r="A876" s="15" t="str">
        <f>'Bldgs &amp; Rooms'!$A$25</f>
        <v>Main Bldg.</v>
      </c>
      <c r="B876" s="15">
        <f>'Bldgs &amp; Rooms'!$B$25</f>
        <v>0</v>
      </c>
      <c r="C876" s="14" t="str">
        <f>Hours!$A$25</f>
        <v>Wire Trough, Gutter, or Large Junction Boxes</v>
      </c>
      <c r="D876" s="15">
        <f t="shared" si="26"/>
        <v>0</v>
      </c>
      <c r="E876" s="16"/>
      <c r="F876" s="17"/>
      <c r="G876" s="17"/>
      <c r="H876" s="17"/>
      <c r="I876" s="17"/>
      <c r="J876" s="17"/>
      <c r="K876" s="12"/>
      <c r="L876" s="12"/>
      <c r="M876" s="12"/>
      <c r="N876" s="12"/>
      <c r="O876" s="12"/>
      <c r="P876" s="12"/>
      <c r="Q876" s="17"/>
      <c r="R876" s="18">
        <f>IF(SUMPRODUCT((E876:Q876)*1)=0,0,E876*INDEX(Hours!M:M,MATCH(C876,Hours!$A:$A,0))+F876*INDEX(Hours!B:B,MATCH(C876,Hours!$A:$A,0))+G876*INDEX(Hours!C:C,MATCH(C876,Hours!$A:$A,0))+H876*INDEX(Hours!D:D,MATCH(C876,Hours!$A:$A,0))+I876*INDEX(Hours!E:E,MATCH(C876,Hours!$A:$A,0))+J876*INDEX(Hours!F:F,MATCH(C876,Hours!$A:$A,0)))</f>
        <v>0</v>
      </c>
      <c r="S876" s="19">
        <f t="shared" si="27"/>
        <v>0</v>
      </c>
    </row>
    <row r="877" spans="1:19" x14ac:dyDescent="0.25">
      <c r="A877" s="15" t="str">
        <f>'Bldgs &amp; Rooms'!$A$25</f>
        <v>Main Bldg.</v>
      </c>
      <c r="B877" s="15">
        <f>'Bldgs &amp; Rooms'!$B$25</f>
        <v>0</v>
      </c>
      <c r="C877" s="14" t="str">
        <f>Hours!$A$26</f>
        <v>Bus Duct - Vertical or Horizontal (Per 10' section)</v>
      </c>
      <c r="D877" s="15">
        <f t="shared" si="26"/>
        <v>0</v>
      </c>
      <c r="E877" s="16"/>
      <c r="F877" s="17"/>
      <c r="G877" s="17"/>
      <c r="H877" s="17"/>
      <c r="I877" s="17"/>
      <c r="J877" s="17"/>
      <c r="K877" s="12"/>
      <c r="L877" s="12"/>
      <c r="M877" s="12"/>
      <c r="N877" s="12"/>
      <c r="O877" s="12"/>
      <c r="P877" s="12"/>
      <c r="Q877" s="17"/>
      <c r="R877" s="18">
        <f>IF(SUMPRODUCT((E877:Q877)*1)=0,0,E877*INDEX(Hours!M:M,MATCH(C877,Hours!$A:$A,0))+F877*INDEX(Hours!B:B,MATCH(C877,Hours!$A:$A,0))+G877*INDEX(Hours!C:C,MATCH(C877,Hours!$A:$A,0))+H877*INDEX(Hours!D:D,MATCH(C877,Hours!$A:$A,0))+I877*INDEX(Hours!E:E,MATCH(C877,Hours!$A:$A,0))+J877*INDEX(Hours!F:F,MATCH(C877,Hours!$A:$A,0)))</f>
        <v>0</v>
      </c>
      <c r="S877" s="19">
        <f t="shared" si="27"/>
        <v>0</v>
      </c>
    </row>
    <row r="878" spans="1:19" x14ac:dyDescent="0.25">
      <c r="A878" s="15" t="str">
        <f>'Bldgs &amp; Rooms'!$A$25</f>
        <v>Main Bldg.</v>
      </c>
      <c r="B878" s="15">
        <f>'Bldgs &amp; Rooms'!$B$25</f>
        <v>0</v>
      </c>
      <c r="C878" s="14" t="str">
        <f>Hours!$A$27</f>
        <v>Automatic Transfer Switch (ATS) &gt; 100A</v>
      </c>
      <c r="D878" s="15">
        <f t="shared" si="26"/>
        <v>0</v>
      </c>
      <c r="E878" s="16"/>
      <c r="F878" s="17"/>
      <c r="G878" s="17"/>
      <c r="H878" s="17"/>
      <c r="I878" s="17"/>
      <c r="J878" s="17"/>
      <c r="K878" s="12"/>
      <c r="L878" s="12"/>
      <c r="M878" s="12"/>
      <c r="N878" s="12"/>
      <c r="O878" s="12"/>
      <c r="P878" s="12"/>
      <c r="Q878" s="17"/>
      <c r="R878" s="18">
        <f>IF(SUMPRODUCT((E878:Q878)*1)=0,0,E878*INDEX(Hours!M:M,MATCH(C878,Hours!$A:$A,0))+F878*INDEX(Hours!B:B,MATCH(C878,Hours!$A:$A,0))+G878*INDEX(Hours!C:C,MATCH(C878,Hours!$A:$A,0))+H878*INDEX(Hours!D:D,MATCH(C878,Hours!$A:$A,0))+I878*INDEX(Hours!E:E,MATCH(C878,Hours!$A:$A,0))+J878*INDEX(Hours!F:F,MATCH(C878,Hours!$A:$A,0)))</f>
        <v>0</v>
      </c>
      <c r="S878" s="19">
        <f t="shared" si="27"/>
        <v>0</v>
      </c>
    </row>
    <row r="879" spans="1:19" x14ac:dyDescent="0.25">
      <c r="A879" s="15" t="str">
        <f>'Bldgs &amp; Rooms'!$A$25</f>
        <v>Main Bldg.</v>
      </c>
      <c r="B879" s="15">
        <f>'Bldgs &amp; Rooms'!$B$25</f>
        <v>0</v>
      </c>
      <c r="C879" s="14" t="str">
        <f>Hours!$A$28</f>
        <v>Manual Transfer Switch (MTS) &gt; 100A</v>
      </c>
      <c r="D879" s="15">
        <f t="shared" si="26"/>
        <v>0</v>
      </c>
      <c r="E879" s="16"/>
      <c r="F879" s="17"/>
      <c r="G879" s="17"/>
      <c r="H879" s="17"/>
      <c r="I879" s="17"/>
      <c r="J879" s="17"/>
      <c r="K879" s="12"/>
      <c r="L879" s="12"/>
      <c r="M879" s="12"/>
      <c r="N879" s="12"/>
      <c r="O879" s="12"/>
      <c r="P879" s="12"/>
      <c r="Q879" s="17"/>
      <c r="R879" s="18">
        <f>IF(SUMPRODUCT((E879:Q879)*1)=0,0,E879*INDEX(Hours!M:M,MATCH(C879,Hours!$A:$A,0))+F879*INDEX(Hours!B:B,MATCH(C879,Hours!$A:$A,0))+G879*INDEX(Hours!C:C,MATCH(C879,Hours!$A:$A,0))+H879*INDEX(Hours!D:D,MATCH(C879,Hours!$A:$A,0))+I879*INDEX(Hours!E:E,MATCH(C879,Hours!$A:$A,0))+J879*INDEX(Hours!F:F,MATCH(C879,Hours!$A:$A,0)))</f>
        <v>0</v>
      </c>
      <c r="S879" s="19">
        <f t="shared" si="27"/>
        <v>0</v>
      </c>
    </row>
    <row r="880" spans="1:19" x14ac:dyDescent="0.25">
      <c r="A880" s="15" t="str">
        <f>'Bldgs &amp; Rooms'!$A$25</f>
        <v>Main Bldg.</v>
      </c>
      <c r="B880" s="15">
        <f>'Bldgs &amp; Rooms'!$B$25</f>
        <v>0</v>
      </c>
      <c r="C880" s="14" t="str">
        <f>Hours!$A$29</f>
        <v>Variable Frequency Drives (VFD) &lt; 50 HP</v>
      </c>
      <c r="D880" s="15">
        <f t="shared" si="26"/>
        <v>0</v>
      </c>
      <c r="E880" s="16"/>
      <c r="F880" s="17"/>
      <c r="G880" s="17"/>
      <c r="H880" s="17"/>
      <c r="I880" s="17"/>
      <c r="J880" s="17"/>
      <c r="K880" s="12"/>
      <c r="L880" s="12"/>
      <c r="M880" s="12"/>
      <c r="N880" s="12"/>
      <c r="O880" s="12"/>
      <c r="P880" s="12"/>
      <c r="Q880" s="17"/>
      <c r="R880" s="18">
        <f>IF(SUMPRODUCT((E880:Q880)*1)=0,0,E880*INDEX(Hours!M:M,MATCH(C880,Hours!$A:$A,0))+F880*INDEX(Hours!B:B,MATCH(C880,Hours!$A:$A,0))+G880*INDEX(Hours!C:C,MATCH(C880,Hours!$A:$A,0))+H880*INDEX(Hours!D:D,MATCH(C880,Hours!$A:$A,0))+I880*INDEX(Hours!E:E,MATCH(C880,Hours!$A:$A,0))+J880*INDEX(Hours!F:F,MATCH(C880,Hours!$A:$A,0)))</f>
        <v>0</v>
      </c>
      <c r="S880" s="19">
        <f t="shared" si="27"/>
        <v>0</v>
      </c>
    </row>
    <row r="881" spans="1:19" x14ac:dyDescent="0.25">
      <c r="A881" s="15" t="str">
        <f>'Bldgs &amp; Rooms'!$A$25</f>
        <v>Main Bldg.</v>
      </c>
      <c r="B881" s="15">
        <f>'Bldgs &amp; Rooms'!$B$25</f>
        <v>0</v>
      </c>
      <c r="C881" s="14" t="str">
        <f>Hours!$A$30</f>
        <v>Variable Frequency Drives (VFD) 51-200 HP</v>
      </c>
      <c r="D881" s="15">
        <f t="shared" si="26"/>
        <v>0</v>
      </c>
      <c r="E881" s="16"/>
      <c r="F881" s="17"/>
      <c r="G881" s="17"/>
      <c r="H881" s="17"/>
      <c r="I881" s="17"/>
      <c r="J881" s="17"/>
      <c r="K881" s="12"/>
      <c r="L881" s="12"/>
      <c r="M881" s="12"/>
      <c r="N881" s="12"/>
      <c r="O881" s="12"/>
      <c r="P881" s="12"/>
      <c r="Q881" s="17"/>
      <c r="R881" s="18">
        <f>IF(SUMPRODUCT((E881:Q881)*1)=0,0,E881*INDEX(Hours!M:M,MATCH(C881,Hours!$A:$A,0))+F881*INDEX(Hours!B:B,MATCH(C881,Hours!$A:$A,0))+G881*INDEX(Hours!C:C,MATCH(C881,Hours!$A:$A,0))+H881*INDEX(Hours!D:D,MATCH(C881,Hours!$A:$A,0))+I881*INDEX(Hours!E:E,MATCH(C881,Hours!$A:$A,0))+J881*INDEX(Hours!F:F,MATCH(C881,Hours!$A:$A,0)))</f>
        <v>0</v>
      </c>
      <c r="S881" s="19">
        <f t="shared" si="27"/>
        <v>0</v>
      </c>
    </row>
    <row r="882" spans="1:19" x14ac:dyDescent="0.25">
      <c r="A882" s="15" t="str">
        <f>'Bldgs &amp; Rooms'!$A$25</f>
        <v>Main Bldg.</v>
      </c>
      <c r="B882" s="15">
        <f>'Bldgs &amp; Rooms'!$B$25</f>
        <v>0</v>
      </c>
      <c r="C882" s="14" t="str">
        <f>Hours!$A$31</f>
        <v>Motors &lt; 50 HP</v>
      </c>
      <c r="D882" s="15">
        <f t="shared" si="26"/>
        <v>0</v>
      </c>
      <c r="E882" s="16"/>
      <c r="F882" s="17"/>
      <c r="G882" s="17"/>
      <c r="H882" s="17"/>
      <c r="I882" s="17"/>
      <c r="J882" s="17"/>
      <c r="K882" s="12"/>
      <c r="L882" s="12"/>
      <c r="M882" s="12"/>
      <c r="N882" s="12"/>
      <c r="O882" s="12"/>
      <c r="P882" s="12"/>
      <c r="Q882" s="17"/>
      <c r="R882" s="18">
        <f>IF(SUMPRODUCT((E882:Q882)*1)=0,0,E882*INDEX(Hours!M:M,MATCH(C882,Hours!$A:$A,0))+F882*INDEX(Hours!B:B,MATCH(C882,Hours!$A:$A,0))+G882*INDEX(Hours!C:C,MATCH(C882,Hours!$A:$A,0))+H882*INDEX(Hours!D:D,MATCH(C882,Hours!$A:$A,0))+I882*INDEX(Hours!E:E,MATCH(C882,Hours!$A:$A,0))+J882*INDEX(Hours!F:F,MATCH(C882,Hours!$A:$A,0)))</f>
        <v>0</v>
      </c>
      <c r="S882" s="19">
        <f t="shared" si="27"/>
        <v>0</v>
      </c>
    </row>
    <row r="883" spans="1:19" x14ac:dyDescent="0.25">
      <c r="A883" s="15" t="str">
        <f>'Bldgs &amp; Rooms'!$A$25</f>
        <v>Main Bldg.</v>
      </c>
      <c r="B883" s="15">
        <f>'Bldgs &amp; Rooms'!$B$25</f>
        <v>0</v>
      </c>
      <c r="C883" s="14" t="str">
        <f>Hours!$A$32</f>
        <v>Motors 51-200 HP</v>
      </c>
      <c r="D883" s="15">
        <f t="shared" si="26"/>
        <v>0</v>
      </c>
      <c r="E883" s="16"/>
      <c r="F883" s="17"/>
      <c r="G883" s="17"/>
      <c r="H883" s="17"/>
      <c r="I883" s="17"/>
      <c r="J883" s="17"/>
      <c r="K883" s="12"/>
      <c r="L883" s="12"/>
      <c r="M883" s="12"/>
      <c r="N883" s="12"/>
      <c r="O883" s="12"/>
      <c r="P883" s="12"/>
      <c r="Q883" s="17"/>
      <c r="R883" s="18">
        <f>IF(SUMPRODUCT((E883:Q883)*1)=0,0,E883*INDEX(Hours!M:M,MATCH(C883,Hours!$A:$A,0))+F883*INDEX(Hours!B:B,MATCH(C883,Hours!$A:$A,0))+G883*INDEX(Hours!C:C,MATCH(C883,Hours!$A:$A,0))+H883*INDEX(Hours!D:D,MATCH(C883,Hours!$A:$A,0))+I883*INDEX(Hours!E:E,MATCH(C883,Hours!$A:$A,0))+J883*INDEX(Hours!F:F,MATCH(C883,Hours!$A:$A,0)))</f>
        <v>0</v>
      </c>
      <c r="S883" s="19">
        <f t="shared" si="27"/>
        <v>0</v>
      </c>
    </row>
    <row r="884" spans="1:19" x14ac:dyDescent="0.25">
      <c r="A884" s="15" t="str">
        <f>'Bldgs &amp; Rooms'!$A$25</f>
        <v>Main Bldg.</v>
      </c>
      <c r="B884" s="15">
        <f>'Bldgs &amp; Rooms'!$B$25</f>
        <v>0</v>
      </c>
      <c r="C884" s="14" t="str">
        <f>Hours!$A$33</f>
        <v>Motors 201-500 HP</v>
      </c>
      <c r="D884" s="15">
        <f t="shared" si="26"/>
        <v>0</v>
      </c>
      <c r="E884" s="16"/>
      <c r="F884" s="17"/>
      <c r="G884" s="17"/>
      <c r="H884" s="17"/>
      <c r="I884" s="17"/>
      <c r="J884" s="17"/>
      <c r="K884" s="12"/>
      <c r="L884" s="12"/>
      <c r="M884" s="12"/>
      <c r="N884" s="12"/>
      <c r="O884" s="12"/>
      <c r="P884" s="12"/>
      <c r="Q884" s="17"/>
      <c r="R884" s="18">
        <f>IF(SUMPRODUCT((E884:Q884)*1)=0,0,E884*INDEX(Hours!M:M,MATCH(C884,Hours!$A:$A,0))+F884*INDEX(Hours!B:B,MATCH(C884,Hours!$A:$A,0))+G884*INDEX(Hours!C:C,MATCH(C884,Hours!$A:$A,0))+H884*INDEX(Hours!D:D,MATCH(C884,Hours!$A:$A,0))+I884*INDEX(Hours!E:E,MATCH(C884,Hours!$A:$A,0))+J884*INDEX(Hours!F:F,MATCH(C884,Hours!$A:$A,0)))</f>
        <v>0</v>
      </c>
      <c r="S884" s="19">
        <f t="shared" si="27"/>
        <v>0</v>
      </c>
    </row>
    <row r="885" spans="1:19" x14ac:dyDescent="0.25">
      <c r="A885" s="15" t="str">
        <f>'Bldgs &amp; Rooms'!$A$25</f>
        <v>Main Bldg.</v>
      </c>
      <c r="B885" s="15">
        <f>'Bldgs &amp; Rooms'!$B$25</f>
        <v>0</v>
      </c>
      <c r="C885" s="14" t="str">
        <f>Hours!$A$34</f>
        <v>Compressed Air Equipment</v>
      </c>
      <c r="D885" s="15">
        <f t="shared" si="26"/>
        <v>0</v>
      </c>
      <c r="E885" s="16"/>
      <c r="F885" s="17"/>
      <c r="G885" s="17"/>
      <c r="H885" s="17"/>
      <c r="I885" s="17"/>
      <c r="J885" s="17"/>
      <c r="K885" s="12"/>
      <c r="L885" s="12"/>
      <c r="M885" s="12"/>
      <c r="N885" s="12"/>
      <c r="O885" s="12"/>
      <c r="P885" s="12"/>
      <c r="Q885" s="17"/>
      <c r="R885" s="18">
        <f>IF(SUMPRODUCT((E885:Q885)*1)=0,0,E885*INDEX(Hours!M:M,MATCH(C885,Hours!$A:$A,0))+F885*INDEX(Hours!B:B,MATCH(C885,Hours!$A:$A,0))+G885*INDEX(Hours!C:C,MATCH(C885,Hours!$A:$A,0))+H885*INDEX(Hours!D:D,MATCH(C885,Hours!$A:$A,0))+I885*INDEX(Hours!E:E,MATCH(C885,Hours!$A:$A,0))+J885*INDEX(Hours!F:F,MATCH(C885,Hours!$A:$A,0)))</f>
        <v>0</v>
      </c>
      <c r="S885" s="19">
        <f t="shared" si="27"/>
        <v>0</v>
      </c>
    </row>
    <row r="886" spans="1:19" x14ac:dyDescent="0.25">
      <c r="A886" s="15" t="str">
        <f>'Bldgs &amp; Rooms'!$A$25</f>
        <v>Main Bldg.</v>
      </c>
      <c r="B886" s="15">
        <f>'Bldgs &amp; Rooms'!$B$25</f>
        <v>0</v>
      </c>
      <c r="C886" s="14" t="str">
        <f>Hours!$A$35</f>
        <v>HVAC Equipment (Large)</v>
      </c>
      <c r="D886" s="15">
        <f t="shared" si="26"/>
        <v>0</v>
      </c>
      <c r="E886" s="16"/>
      <c r="F886" s="17"/>
      <c r="G886" s="17"/>
      <c r="H886" s="17"/>
      <c r="I886" s="17"/>
      <c r="J886" s="17"/>
      <c r="K886" s="12"/>
      <c r="L886" s="12"/>
      <c r="M886" s="12"/>
      <c r="N886" s="12"/>
      <c r="O886" s="12"/>
      <c r="P886" s="12"/>
      <c r="Q886" s="17"/>
      <c r="R886" s="18">
        <f>IF(SUMPRODUCT((E886:Q886)*1)=0,0,E886*INDEX(Hours!M:M,MATCH(C886,Hours!$A:$A,0))+F886*INDEX(Hours!B:B,MATCH(C886,Hours!$A:$A,0))+G886*INDEX(Hours!C:C,MATCH(C886,Hours!$A:$A,0))+H886*INDEX(Hours!D:D,MATCH(C886,Hours!$A:$A,0))+I886*INDEX(Hours!E:E,MATCH(C886,Hours!$A:$A,0))+J886*INDEX(Hours!F:F,MATCH(C886,Hours!$A:$A,0)))</f>
        <v>0</v>
      </c>
      <c r="S886" s="19">
        <f t="shared" si="27"/>
        <v>0</v>
      </c>
    </row>
    <row r="887" spans="1:19" x14ac:dyDescent="0.25">
      <c r="A887" s="15" t="str">
        <f>'Bldgs &amp; Rooms'!$A$25</f>
        <v>Main Bldg.</v>
      </c>
      <c r="B887" s="15">
        <f>'Bldgs &amp; Rooms'!$B$25</f>
        <v>0</v>
      </c>
      <c r="C887" s="14" t="str">
        <f>Hours!$A$36</f>
        <v>HVAC Equipment (Small)</v>
      </c>
      <c r="D887" s="15">
        <f t="shared" si="26"/>
        <v>0</v>
      </c>
      <c r="E887" s="16"/>
      <c r="F887" s="17"/>
      <c r="G887" s="17"/>
      <c r="H887" s="17"/>
      <c r="I887" s="17"/>
      <c r="J887" s="17"/>
      <c r="K887" s="12"/>
      <c r="L887" s="12"/>
      <c r="M887" s="12"/>
      <c r="N887" s="12"/>
      <c r="O887" s="12"/>
      <c r="P887" s="12"/>
      <c r="Q887" s="17"/>
      <c r="R887" s="18">
        <f>IF(SUMPRODUCT((E887:Q887)*1)=0,0,E887*INDEX(Hours!M:M,MATCH(C887,Hours!$A:$A,0))+F887*INDEX(Hours!B:B,MATCH(C887,Hours!$A:$A,0))+G887*INDEX(Hours!C:C,MATCH(C887,Hours!$A:$A,0))+H887*INDEX(Hours!D:D,MATCH(C887,Hours!$A:$A,0))+I887*INDEX(Hours!E:E,MATCH(C887,Hours!$A:$A,0))+J887*INDEX(Hours!F:F,MATCH(C887,Hours!$A:$A,0)))</f>
        <v>0</v>
      </c>
      <c r="S887" s="19">
        <f t="shared" si="27"/>
        <v>0</v>
      </c>
    </row>
    <row r="888" spans="1:19" x14ac:dyDescent="0.25">
      <c r="A888" s="15" t="str">
        <f>'Bldgs &amp; Rooms'!$A$25</f>
        <v>Main Bldg.</v>
      </c>
      <c r="B888" s="15">
        <f>'Bldgs &amp; Rooms'!$B$25</f>
        <v>0</v>
      </c>
      <c r="C888" s="14" t="str">
        <f>Hours!$A$37</f>
        <v>Uninterruptible Power Supply (UPS) &lt; 50kVA</v>
      </c>
      <c r="D888" s="15">
        <f t="shared" si="26"/>
        <v>0</v>
      </c>
      <c r="E888" s="16"/>
      <c r="F888" s="17"/>
      <c r="G888" s="17"/>
      <c r="H888" s="17"/>
      <c r="I888" s="17"/>
      <c r="J888" s="17"/>
      <c r="K888" s="12"/>
      <c r="L888" s="12"/>
      <c r="M888" s="12"/>
      <c r="N888" s="12"/>
      <c r="O888" s="12"/>
      <c r="P888" s="12"/>
      <c r="Q888" s="17"/>
      <c r="R888" s="18">
        <f>IF(SUMPRODUCT((E888:Q888)*1)=0,0,E888*INDEX(Hours!M:M,MATCH(C888,Hours!$A:$A,0))+F888*INDEX(Hours!B:B,MATCH(C888,Hours!$A:$A,0))+G888*INDEX(Hours!C:C,MATCH(C888,Hours!$A:$A,0))+H888*INDEX(Hours!D:D,MATCH(C888,Hours!$A:$A,0))+I888*INDEX(Hours!E:E,MATCH(C888,Hours!$A:$A,0))+J888*INDEX(Hours!F:F,MATCH(C888,Hours!$A:$A,0)))</f>
        <v>0</v>
      </c>
      <c r="S888" s="19">
        <f t="shared" si="27"/>
        <v>0</v>
      </c>
    </row>
    <row r="889" spans="1:19" x14ac:dyDescent="0.25">
      <c r="A889" s="15" t="str">
        <f>'Bldgs &amp; Rooms'!$A$25</f>
        <v>Main Bldg.</v>
      </c>
      <c r="B889" s="15">
        <f>'Bldgs &amp; Rooms'!$B$25</f>
        <v>0</v>
      </c>
      <c r="C889" s="14" t="str">
        <f>Hours!$A$38</f>
        <v>Uninterruptible Power Supply (UPS) &gt; 50kVA</v>
      </c>
      <c r="D889" s="15">
        <f t="shared" si="26"/>
        <v>0</v>
      </c>
      <c r="E889" s="16"/>
      <c r="F889" s="17"/>
      <c r="G889" s="17"/>
      <c r="H889" s="17"/>
      <c r="I889" s="17"/>
      <c r="J889" s="17"/>
      <c r="K889" s="12"/>
      <c r="L889" s="12"/>
      <c r="M889" s="12"/>
      <c r="N889" s="12"/>
      <c r="O889" s="12"/>
      <c r="P889" s="12"/>
      <c r="Q889" s="17"/>
      <c r="R889" s="18">
        <f>IF(SUMPRODUCT((E889:Q889)*1)=0,0,E889*INDEX(Hours!M:M,MATCH(C889,Hours!$A:$A,0))+F889*INDEX(Hours!B:B,MATCH(C889,Hours!$A:$A,0))+G889*INDEX(Hours!C:C,MATCH(C889,Hours!$A:$A,0))+H889*INDEX(Hours!D:D,MATCH(C889,Hours!$A:$A,0))+I889*INDEX(Hours!E:E,MATCH(C889,Hours!$A:$A,0))+J889*INDEX(Hours!F:F,MATCH(C889,Hours!$A:$A,0)))</f>
        <v>0</v>
      </c>
      <c r="S889" s="19">
        <f t="shared" si="27"/>
        <v>0</v>
      </c>
    </row>
    <row r="890" spans="1:19" x14ac:dyDescent="0.25">
      <c r="A890" s="11" t="str">
        <f>'Bldgs &amp; Rooms'!$A$26</f>
        <v>Main Bldg.</v>
      </c>
      <c r="B890" s="11">
        <f>'Bldgs &amp; Rooms'!$B$26</f>
        <v>0</v>
      </c>
      <c r="C890" s="10" t="str">
        <f>Hours!$A$2</f>
        <v>Switchgear - Incoming Main Service (Per Section)</v>
      </c>
      <c r="D890" s="11">
        <f t="shared" si="26"/>
        <v>0</v>
      </c>
      <c r="E890" s="16"/>
      <c r="F890" s="17"/>
      <c r="G890" s="17"/>
      <c r="H890" s="17"/>
      <c r="I890" s="17"/>
      <c r="J890" s="17"/>
      <c r="K890" s="17"/>
      <c r="L890" s="17"/>
      <c r="M890" s="12"/>
      <c r="N890" s="12"/>
      <c r="O890" s="17"/>
      <c r="P890" s="12"/>
      <c r="Q890" s="17"/>
      <c r="R890" s="18">
        <f>IF(SUMPRODUCT((E890:Q890)*1)=0,0,E890*INDEX(Hours!M:M,MATCH(C890,Hours!$A:$A,0))+F890*INDEX(Hours!B:B,MATCH(C890,Hours!$A:$A,0))+G890*INDEX(Hours!C:C,MATCH(C890,Hours!$A:$A,0))+H890*INDEX(Hours!D:D,MATCH(C890,Hours!$A:$A,0))+I890*INDEX(Hours!E:E,MATCH(C890,Hours!$A:$A,0))+J890*INDEX(Hours!F:F,MATCH(C890,Hours!$A:$A,0))+K890*INDEX(Hours!G:G,MATCH(C890,Hours!$A:$A,0))+L890*INDEX(Hours!H:H,MATCH(C890,Hours!$A:$A,0))+O890*INDEX(Hours!K:K,MATCH(C890,Hours!$A:$A,0)))</f>
        <v>0</v>
      </c>
      <c r="S890" s="19">
        <f t="shared" si="27"/>
        <v>0</v>
      </c>
    </row>
    <row r="891" spans="1:19" x14ac:dyDescent="0.25">
      <c r="A891" s="11" t="str">
        <f>'Bldgs &amp; Rooms'!$A$26</f>
        <v>Main Bldg.</v>
      </c>
      <c r="B891" s="11">
        <f>'Bldgs &amp; Rooms'!$B$26</f>
        <v>0</v>
      </c>
      <c r="C891" s="10" t="str">
        <f>Hours!$A$3</f>
        <v xml:space="preserve">  Switchgear Insulated Case Breakers (Bus Mounted)</v>
      </c>
      <c r="D891" s="11">
        <f t="shared" si="26"/>
        <v>0</v>
      </c>
      <c r="E891" s="16"/>
      <c r="F891" s="17"/>
      <c r="G891" s="17"/>
      <c r="H891" s="17"/>
      <c r="I891" s="17"/>
      <c r="J891" s="17"/>
      <c r="K891" s="17"/>
      <c r="L891" s="12"/>
      <c r="M891" s="12"/>
      <c r="N891" s="12"/>
      <c r="O891" s="12"/>
      <c r="P891" s="12"/>
      <c r="Q891" s="17"/>
      <c r="R891" s="18">
        <f>IF(SUMPRODUCT((E891:Q891)*1)=0,0,E891*INDEX(Hours!M:M,MATCH(C891,Hours!$A:$A,0))+F891*INDEX(Hours!B:B,MATCH(C891,Hours!$A:$A,0))+G891*INDEX(Hours!C:C,MATCH(C891,Hours!$A:$A,0))+H891*INDEX(Hours!D:D,MATCH(C891,Hours!$A:$A,0))+I891*INDEX(Hours!E:E,MATCH(C891,Hours!$A:$A,0))+J891*INDEX(Hours!F:F,MATCH(C891,Hours!$A:$A,0))+K891*INDEX(Hours!G:G,MATCH(C891,Hours!$A:$A,0)))</f>
        <v>0</v>
      </c>
      <c r="S891" s="19">
        <f t="shared" si="27"/>
        <v>0</v>
      </c>
    </row>
    <row r="892" spans="1:19" x14ac:dyDescent="0.25">
      <c r="A892" s="11" t="str">
        <f>'Bldgs &amp; Rooms'!$A$26</f>
        <v>Main Bldg.</v>
      </c>
      <c r="B892" s="11">
        <f>'Bldgs &amp; Rooms'!$B$26</f>
        <v>0</v>
      </c>
      <c r="C892" s="10" t="str">
        <f>Hours!$A$4</f>
        <v xml:space="preserve">  SwitchGear Drawout Breakers</v>
      </c>
      <c r="D892" s="11">
        <f t="shared" si="26"/>
        <v>0</v>
      </c>
      <c r="E892" s="16"/>
      <c r="F892" s="17"/>
      <c r="G892" s="17"/>
      <c r="H892" s="17"/>
      <c r="I892" s="17"/>
      <c r="J892" s="17"/>
      <c r="K892" s="12"/>
      <c r="L892" s="17"/>
      <c r="M892" s="12"/>
      <c r="N892" s="12"/>
      <c r="O892" s="12"/>
      <c r="P892" s="12"/>
      <c r="Q892" s="17"/>
      <c r="R892" s="18">
        <f>IF(SUMPRODUCT((E892:Q892)*1)=0,0,E892*INDEX(Hours!M:M,MATCH(C892,Hours!$A:$A,0))+F892*INDEX(Hours!B:B,MATCH(C892,Hours!$A:$A,0))+G892*INDEX(Hours!C:C,MATCH(C892,Hours!$A:$A,0))+H892*INDEX(Hours!D:D,MATCH(C892,Hours!$A:$A,0))+I892*INDEX(Hours!E:E,MATCH(C892,Hours!$A:$A,0))+J892*INDEX(Hours!F:F,MATCH(C892,Hours!$A:$A,0))+L892*INDEX(Hours!H:H,MATCH(C892,Hours!$A:$A,0)))</f>
        <v>0</v>
      </c>
      <c r="S892" s="19">
        <f t="shared" si="27"/>
        <v>0</v>
      </c>
    </row>
    <row r="893" spans="1:19" x14ac:dyDescent="0.25">
      <c r="A893" s="11" t="str">
        <f>'Bldgs &amp; Rooms'!$A$26</f>
        <v>Main Bldg.</v>
      </c>
      <c r="B893" s="11">
        <f>'Bldgs &amp; Rooms'!$B$26</f>
        <v>0</v>
      </c>
      <c r="C893" s="10" t="str">
        <f>Hours!$A$5</f>
        <v>Distribution Switchboard Multi Cover (Per Section)</v>
      </c>
      <c r="D893" s="11">
        <f t="shared" si="26"/>
        <v>0</v>
      </c>
      <c r="E893" s="16"/>
      <c r="F893" s="17"/>
      <c r="G893" s="17"/>
      <c r="H893" s="17"/>
      <c r="I893" s="17"/>
      <c r="J893" s="17"/>
      <c r="K893" s="17"/>
      <c r="L893" s="12"/>
      <c r="M893" s="12"/>
      <c r="N893" s="12"/>
      <c r="O893" s="17"/>
      <c r="P893" s="12"/>
      <c r="Q893" s="17"/>
      <c r="R893" s="18">
        <f>IF(SUMPRODUCT((E893:Q893)*1)=0,0,E893*INDEX(Hours!M:M,MATCH(C893,Hours!$A:$A,0))+F893*INDEX(Hours!B:B,MATCH(C893,Hours!$A:$A,0))+G893*INDEX(Hours!C:C,MATCH(C893,Hours!$A:$A,0))+H893*INDEX(Hours!D:D,MATCH(C893,Hours!$A:$A,0))+I893*INDEX(Hours!E:E,MATCH(C893,Hours!$A:$A,0))+J893*INDEX(Hours!F:F,MATCH(C893,Hours!$A:$A,0))+K893*INDEX(Hours!G:G,MATCH(C893,Hours!$A:$A,0))+O893*INDEX(Hours!K:K,MATCH(C893,Hours!$A:$A,0)))</f>
        <v>0</v>
      </c>
      <c r="S893" s="19">
        <f t="shared" si="27"/>
        <v>0</v>
      </c>
    </row>
    <row r="894" spans="1:19" x14ac:dyDescent="0.25">
      <c r="A894" s="11" t="str">
        <f>'Bldgs &amp; Rooms'!$A$26</f>
        <v>Main Bldg.</v>
      </c>
      <c r="B894" s="11">
        <f>'Bldgs &amp; Rooms'!$B$26</f>
        <v>0</v>
      </c>
      <c r="C894" s="10" t="str">
        <f>Hours!$A$6</f>
        <v xml:space="preserve">  Switchboard Disconnects</v>
      </c>
      <c r="D894" s="11">
        <f t="shared" si="26"/>
        <v>0</v>
      </c>
      <c r="E894" s="16"/>
      <c r="F894" s="17"/>
      <c r="G894" s="17"/>
      <c r="H894" s="17"/>
      <c r="I894" s="17"/>
      <c r="J894" s="17"/>
      <c r="K894" s="12"/>
      <c r="L894" s="12"/>
      <c r="M894" s="12"/>
      <c r="N894" s="12"/>
      <c r="O894" s="12"/>
      <c r="P894" s="12"/>
      <c r="Q894" s="17"/>
      <c r="R894" s="18">
        <f>IF(SUMPRODUCT((E894:Q894)*1)=0,0,E894*INDEX(Hours!M:M,MATCH(C894,Hours!$A:$A,0))+F894*INDEX(Hours!B:B,MATCH(C894,Hours!$A:$A,0))+G894*INDEX(Hours!C:C,MATCH(C894,Hours!$A:$A,0))+H894*INDEX(Hours!D:D,MATCH(C894,Hours!$A:$A,0))+I894*INDEX(Hours!E:E,MATCH(C894,Hours!$A:$A,0))+J894*INDEX(Hours!F:F,MATCH(C894,Hours!$A:$A,0)))</f>
        <v>0</v>
      </c>
      <c r="S894" s="19">
        <f t="shared" si="27"/>
        <v>0</v>
      </c>
    </row>
    <row r="895" spans="1:19" x14ac:dyDescent="0.25">
      <c r="A895" s="11" t="str">
        <f>'Bldgs &amp; Rooms'!$A$26</f>
        <v>Main Bldg.</v>
      </c>
      <c r="B895" s="11">
        <f>'Bldgs &amp; Rooms'!$B$26</f>
        <v>0</v>
      </c>
      <c r="C895" s="10" t="str">
        <f>Hours!$A$7</f>
        <v xml:space="preserve">  Switchboard Molded Case Breakers</v>
      </c>
      <c r="D895" s="11">
        <f t="shared" si="26"/>
        <v>0</v>
      </c>
      <c r="E895" s="16"/>
      <c r="F895" s="17"/>
      <c r="G895" s="17"/>
      <c r="H895" s="17"/>
      <c r="I895" s="17"/>
      <c r="J895" s="17"/>
      <c r="K895" s="17"/>
      <c r="L895" s="12"/>
      <c r="M895" s="12"/>
      <c r="N895" s="12"/>
      <c r="O895" s="12"/>
      <c r="P895" s="12"/>
      <c r="Q895" s="17"/>
      <c r="R895" s="18">
        <f>IF(SUMPRODUCT((E895:Q895)*1)=0,0,E895*INDEX(Hours!M:M,MATCH(C895,Hours!$A:$A,0))+F895*INDEX(Hours!B:B,MATCH(C895,Hours!$A:$A,0))+G895*INDEX(Hours!C:C,MATCH(C895,Hours!$A:$A,0))+H895*INDEX(Hours!D:D,MATCH(C895,Hours!$A:$A,0))+I895*INDEX(Hours!E:E,MATCH(C895,Hours!$A:$A,0))+J895*INDEX(Hours!F:F,MATCH(C895,Hours!$A:$A,0))+K895*INDEX(Hours!G:G,MATCH(C895,Hours!$A:$A,0)))</f>
        <v>0</v>
      </c>
      <c r="S895" s="19">
        <f t="shared" si="27"/>
        <v>0</v>
      </c>
    </row>
    <row r="896" spans="1:19" x14ac:dyDescent="0.25">
      <c r="A896" s="11" t="str">
        <f>'Bldgs &amp; Rooms'!$A$26</f>
        <v>Main Bldg.</v>
      </c>
      <c r="B896" s="11">
        <f>'Bldgs &amp; Rooms'!$B$26</f>
        <v>0</v>
      </c>
      <c r="C896" s="10" t="str">
        <f>Hours!$A$8</f>
        <v>Panelboard-Single Cover &gt; 400A (Distribution Panel)</v>
      </c>
      <c r="D896" s="11">
        <f t="shared" si="26"/>
        <v>0</v>
      </c>
      <c r="E896" s="16"/>
      <c r="F896" s="17"/>
      <c r="G896" s="17"/>
      <c r="H896" s="17"/>
      <c r="I896" s="17"/>
      <c r="J896" s="17"/>
      <c r="K896" s="17"/>
      <c r="L896" s="12"/>
      <c r="M896" s="12"/>
      <c r="N896" s="12"/>
      <c r="O896" s="17"/>
      <c r="P896" s="12"/>
      <c r="Q896" s="17"/>
      <c r="R896" s="18">
        <f>IF(SUMPRODUCT((E896:Q896)*1)=0,0,E896*INDEX(Hours!M:M,MATCH(C896,Hours!$A:$A,0))+F896*INDEX(Hours!B:B,MATCH(C896,Hours!$A:$A,0))+G896*INDEX(Hours!C:C,MATCH(C896,Hours!$A:$A,0))+H896*INDEX(Hours!D:D,MATCH(C896,Hours!$A:$A,0))+I896*INDEX(Hours!E:E,MATCH(C896,Hours!$A:$A,0))+J896*INDEX(Hours!F:F,MATCH(C896,Hours!$A:$A,0))+K896*INDEX(Hours!G:G,MATCH(C896,Hours!$A:$A,0))+O896*INDEX(Hours!K:K,MATCH(C896,Hours!$A:$A,0)))</f>
        <v>0</v>
      </c>
      <c r="S896" s="19">
        <f t="shared" si="27"/>
        <v>0</v>
      </c>
    </row>
    <row r="897" spans="1:19" x14ac:dyDescent="0.25">
      <c r="A897" s="11" t="str">
        <f>'Bldgs &amp; Rooms'!$A$26</f>
        <v>Main Bldg.</v>
      </c>
      <c r="B897" s="11">
        <f>'Bldgs &amp; Rooms'!$B$26</f>
        <v>0</v>
      </c>
      <c r="C897" s="10" t="str">
        <f>Hours!$A$9</f>
        <v>Panelboard-Single Cover &lt; 400A (Branch Ckt Panel)</v>
      </c>
      <c r="D897" s="11">
        <f t="shared" si="26"/>
        <v>0</v>
      </c>
      <c r="E897" s="16"/>
      <c r="F897" s="17"/>
      <c r="G897" s="17"/>
      <c r="H897" s="17"/>
      <c r="I897" s="17"/>
      <c r="J897" s="17"/>
      <c r="K897" s="12"/>
      <c r="L897" s="12"/>
      <c r="M897" s="12"/>
      <c r="N897" s="12"/>
      <c r="O897" s="17"/>
      <c r="P897" s="12"/>
      <c r="Q897" s="17"/>
      <c r="R897" s="18">
        <f>IF(SUMPRODUCT((E897:Q897)*1)=0,0,E897*INDEX(Hours!M:M,MATCH(C897,Hours!$A:$A,0))+F897*INDEX(Hours!B:B,MATCH(C897,Hours!$A:$A,0))+G897*INDEX(Hours!C:C,MATCH(C897,Hours!$A:$A,0))+H897*INDEX(Hours!D:D,MATCH(C897,Hours!$A:$A,0))+I897*INDEX(Hours!E:E,MATCH(C897,Hours!$A:$A,0))+J897*INDEX(Hours!F:F,MATCH(C897,Hours!$A:$A,0))+O897*INDEX(Hours!K:K,MATCH(C897,Hours!$A:$A,0)))</f>
        <v>0</v>
      </c>
      <c r="S897" s="19">
        <f t="shared" si="27"/>
        <v>0</v>
      </c>
    </row>
    <row r="898" spans="1:19" x14ac:dyDescent="0.25">
      <c r="A898" s="11" t="str">
        <f>'Bldgs &amp; Rooms'!$A$26</f>
        <v>Main Bldg.</v>
      </c>
      <c r="B898" s="11">
        <f>'Bldgs &amp; Rooms'!$B$26</f>
        <v>0</v>
      </c>
      <c r="C898" s="10" t="str">
        <f>Hours!$A$10</f>
        <v>Motor Control Center (MCC-Per Vertical Section)</v>
      </c>
      <c r="D898" s="11">
        <f t="shared" ref="D898:D961" si="28">MAX(E898+F898,G898,H898,I898,J898,K898,L898,M898,N898,O898,P898,Q898)</f>
        <v>0</v>
      </c>
      <c r="E898" s="16"/>
      <c r="F898" s="17"/>
      <c r="G898" s="17"/>
      <c r="H898" s="17"/>
      <c r="I898" s="17"/>
      <c r="J898" s="17"/>
      <c r="K898" s="12"/>
      <c r="L898" s="12"/>
      <c r="M898" s="12"/>
      <c r="N898" s="12"/>
      <c r="O898" s="17"/>
      <c r="P898" s="12"/>
      <c r="Q898" s="17"/>
      <c r="R898" s="18">
        <f>IF(SUMPRODUCT((E898:Q898)*1)=0,0,E898*INDEX(Hours!M:M,MATCH(C898,Hours!$A:$A,0))+F898*INDEX(Hours!B:B,MATCH(C898,Hours!$A:$A,0))+G898*INDEX(Hours!C:C,MATCH(C898,Hours!$A:$A,0))+H898*INDEX(Hours!D:D,MATCH(C898,Hours!$A:$A,0))+I898*INDEX(Hours!E:E,MATCH(C898,Hours!$A:$A,0))+J898*INDEX(Hours!F:F,MATCH(C898,Hours!$A:$A,0))+O898*INDEX(Hours!K:K,MATCH(C898,Hours!$A:$A,0)))</f>
        <v>0</v>
      </c>
      <c r="S898" s="19">
        <f t="shared" ref="S898:S961" si="29">MAX(E898+F898,G898,H898,I898,J898,K898,L898,M898,N898,O898,P898,Q898)</f>
        <v>0</v>
      </c>
    </row>
    <row r="899" spans="1:19" x14ac:dyDescent="0.25">
      <c r="A899" s="11" t="str">
        <f>'Bldgs &amp; Rooms'!$A$26</f>
        <v>Main Bldg.</v>
      </c>
      <c r="B899" s="11">
        <f>'Bldgs &amp; Rooms'!$B$26</f>
        <v>0</v>
      </c>
      <c r="C899" s="10" t="str">
        <f>Hours!$A$11</f>
        <v xml:space="preserve">  MCC: Combination Motor Starters</v>
      </c>
      <c r="D899" s="11">
        <f t="shared" si="28"/>
        <v>0</v>
      </c>
      <c r="E899" s="16"/>
      <c r="F899" s="17"/>
      <c r="G899" s="17"/>
      <c r="H899" s="17"/>
      <c r="I899" s="17"/>
      <c r="J899" s="17"/>
      <c r="K899" s="17"/>
      <c r="L899" s="12"/>
      <c r="M899" s="12"/>
      <c r="N899" s="12"/>
      <c r="O899" s="17"/>
      <c r="P899" s="12"/>
      <c r="Q899" s="17"/>
      <c r="R899" s="18">
        <f>IF(SUMPRODUCT((E899:Q899)*1)=0,0,E899*INDEX(Hours!M:M,MATCH(C899,Hours!$A:$A,0))+F899*INDEX(Hours!B:B,MATCH(C899,Hours!$A:$A,0))+G899*INDEX(Hours!C:C,MATCH(C899,Hours!$A:$A,0))+H899*INDEX(Hours!D:D,MATCH(C899,Hours!$A:$A,0))+I899*INDEX(Hours!E:E,MATCH(C899,Hours!$A:$A,0))+J899*INDEX(Hours!F:F,MATCH(C899,Hours!$A:$A,0))+K899*INDEX(Hours!G:G,MATCH(C899,Hours!$A:$A,0))+O899*INDEX(Hours!K:K,MATCH(C899,Hours!$A:$A,0)))</f>
        <v>0</v>
      </c>
      <c r="S899" s="19">
        <f t="shared" si="29"/>
        <v>0</v>
      </c>
    </row>
    <row r="900" spans="1:19" x14ac:dyDescent="0.25">
      <c r="A900" s="11" t="str">
        <f>'Bldgs &amp; Rooms'!$A$26</f>
        <v>Main Bldg.</v>
      </c>
      <c r="B900" s="11">
        <f>'Bldgs &amp; Rooms'!$B$26</f>
        <v>0</v>
      </c>
      <c r="C900" s="10" t="str">
        <f>Hours!$A$12</f>
        <v xml:space="preserve">  MCC: Molded Case Breaker</v>
      </c>
      <c r="D900" s="11">
        <f t="shared" si="28"/>
        <v>0</v>
      </c>
      <c r="E900" s="16"/>
      <c r="F900" s="17"/>
      <c r="G900" s="17"/>
      <c r="H900" s="17"/>
      <c r="I900" s="17"/>
      <c r="J900" s="17"/>
      <c r="K900" s="17"/>
      <c r="L900" s="12"/>
      <c r="M900" s="12"/>
      <c r="N900" s="12"/>
      <c r="O900" s="12"/>
      <c r="P900" s="12"/>
      <c r="Q900" s="17"/>
      <c r="R900" s="18">
        <f>IF(SUMPRODUCT((E900:Q900)*1)=0,0,E900*INDEX(Hours!M:M,MATCH(C900,Hours!$A:$A,0))+F900*INDEX(Hours!B:B,MATCH(C900,Hours!$A:$A,0))+G900*INDEX(Hours!C:C,MATCH(C900,Hours!$A:$A,0))+H900*INDEX(Hours!D:D,MATCH(C900,Hours!$A:$A,0))+I900*INDEX(Hours!E:E,MATCH(C900,Hours!$A:$A,0))+J900*INDEX(Hours!F:F,MATCH(C900,Hours!$A:$A,0))+K900*INDEX(Hours!G:G,MATCH(C900,Hours!$A:$A,0)))</f>
        <v>0</v>
      </c>
      <c r="S900" s="19">
        <f t="shared" si="29"/>
        <v>0</v>
      </c>
    </row>
    <row r="901" spans="1:19" x14ac:dyDescent="0.25">
      <c r="A901" s="11" t="str">
        <f>'Bldgs &amp; Rooms'!$A$26</f>
        <v>Main Bldg.</v>
      </c>
      <c r="B901" s="11">
        <f>'Bldgs &amp; Rooms'!$B$26</f>
        <v>0</v>
      </c>
      <c r="C901" s="10" t="str">
        <f>Hours!$A$13</f>
        <v xml:space="preserve">  MCC: Individual Disconnect Switch</v>
      </c>
      <c r="D901" s="11">
        <f t="shared" si="28"/>
        <v>0</v>
      </c>
      <c r="E901" s="16"/>
      <c r="F901" s="17"/>
      <c r="G901" s="17"/>
      <c r="H901" s="17"/>
      <c r="I901" s="17"/>
      <c r="J901" s="17"/>
      <c r="K901" s="12"/>
      <c r="L901" s="12"/>
      <c r="M901" s="12"/>
      <c r="N901" s="12"/>
      <c r="O901" s="12"/>
      <c r="P901" s="12"/>
      <c r="Q901" s="17"/>
      <c r="R901" s="18">
        <f>IF(SUMPRODUCT((E901:Q901)*1)=0,0,E901*INDEX(Hours!M:M,MATCH(C901,Hours!$A:$A,0))+F901*INDEX(Hours!B:B,MATCH(C901,Hours!$A:$A,0))+G901*INDEX(Hours!C:C,MATCH(C901,Hours!$A:$A,0))+H901*INDEX(Hours!D:D,MATCH(C901,Hours!$A:$A,0))+I901*INDEX(Hours!E:E,MATCH(C901,Hours!$A:$A,0))+J901*INDEX(Hours!F:F,MATCH(C901,Hours!$A:$A,0)))</f>
        <v>0</v>
      </c>
      <c r="S901" s="19">
        <f t="shared" si="29"/>
        <v>0</v>
      </c>
    </row>
    <row r="902" spans="1:19" x14ac:dyDescent="0.25">
      <c r="A902" s="11" t="str">
        <f>'Bldgs &amp; Rooms'!$A$26</f>
        <v>Main Bldg.</v>
      </c>
      <c r="B902" s="11">
        <f>'Bldgs &amp; Rooms'!$B$26</f>
        <v>0</v>
      </c>
      <c r="C902" s="10" t="str">
        <f>Hours!$A$14</f>
        <v>Motor Control Panel (MCP)</v>
      </c>
      <c r="D902" s="11">
        <f t="shared" si="28"/>
        <v>0</v>
      </c>
      <c r="E902" s="16"/>
      <c r="F902" s="17"/>
      <c r="G902" s="17"/>
      <c r="H902" s="17"/>
      <c r="I902" s="17"/>
      <c r="J902" s="17"/>
      <c r="K902" s="12"/>
      <c r="L902" s="12"/>
      <c r="M902" s="12"/>
      <c r="N902" s="12"/>
      <c r="O902" s="17"/>
      <c r="P902" s="12"/>
      <c r="Q902" s="17"/>
      <c r="R902" s="18">
        <f>IF(SUMPRODUCT((E902:Q902)*1)=0,0,E902*INDEX(Hours!M:M,MATCH(C902,Hours!$A:$A,0))+F902*INDEX(Hours!B:B,MATCH(C902,Hours!$A:$A,0))+G902*INDEX(Hours!C:C,MATCH(C902,Hours!$A:$A,0))+H902*INDEX(Hours!D:D,MATCH(C902,Hours!$A:$A,0))+I902*INDEX(Hours!E:E,MATCH(C902,Hours!$A:$A,0))+J902*INDEX(Hours!F:F,MATCH(C902,Hours!$A:$A,0))+O902*INDEX(Hours!K:K,MATCH(C902,Hours!$A:$A,0)))</f>
        <v>0</v>
      </c>
      <c r="S902" s="19">
        <f t="shared" si="29"/>
        <v>0</v>
      </c>
    </row>
    <row r="903" spans="1:19" x14ac:dyDescent="0.25">
      <c r="A903" s="11" t="str">
        <f>'Bldgs &amp; Rooms'!$A$26</f>
        <v>Main Bldg.</v>
      </c>
      <c r="B903" s="11">
        <f>'Bldgs &amp; Rooms'!$B$26</f>
        <v>0</v>
      </c>
      <c r="C903" s="10" t="str">
        <f>Hours!$A$15</f>
        <v>VFD Motor Control Panel (VFD-MCP)</v>
      </c>
      <c r="D903" s="11">
        <f t="shared" si="28"/>
        <v>0</v>
      </c>
      <c r="E903" s="16"/>
      <c r="F903" s="17"/>
      <c r="G903" s="17"/>
      <c r="H903" s="17"/>
      <c r="I903" s="17"/>
      <c r="J903" s="17"/>
      <c r="K903" s="12"/>
      <c r="L903" s="12"/>
      <c r="M903" s="12"/>
      <c r="N903" s="12"/>
      <c r="O903" s="17"/>
      <c r="P903" s="12"/>
      <c r="Q903" s="17"/>
      <c r="R903" s="18">
        <f>IF(SUMPRODUCT((E903:Q903)*1)=0,0,E903*INDEX(Hours!M:M,MATCH(C903,Hours!$A:$A,0))+F903*INDEX(Hours!B:B,MATCH(C903,Hours!$A:$A,0))+G903*INDEX(Hours!C:C,MATCH(C903,Hours!$A:$A,0))+H903*INDEX(Hours!D:D,MATCH(C903,Hours!$A:$A,0))+I903*INDEX(Hours!E:E,MATCH(C903,Hours!$A:$A,0))+J903*INDEX(Hours!F:F,MATCH(C903,Hours!$A:$A,0))+O903*INDEX(Hours!K:K,MATCH(C903,Hours!$A:$A,0)))</f>
        <v>0</v>
      </c>
      <c r="S903" s="19">
        <f t="shared" si="29"/>
        <v>0</v>
      </c>
    </row>
    <row r="904" spans="1:19" x14ac:dyDescent="0.25">
      <c r="A904" s="11" t="str">
        <f>'Bldgs &amp; Rooms'!$A$26</f>
        <v>Main Bldg.</v>
      </c>
      <c r="B904" s="11">
        <f>'Bldgs &amp; Rooms'!$B$26</f>
        <v>0</v>
      </c>
      <c r="C904" s="10" t="str">
        <f>Hours!$A$16</f>
        <v>Individual Disconnect Switch &gt; 100A</v>
      </c>
      <c r="D904" s="11">
        <f t="shared" si="28"/>
        <v>0</v>
      </c>
      <c r="E904" s="16"/>
      <c r="F904" s="17"/>
      <c r="G904" s="17"/>
      <c r="H904" s="17"/>
      <c r="I904" s="17"/>
      <c r="J904" s="17"/>
      <c r="K904" s="17"/>
      <c r="L904" s="12"/>
      <c r="M904" s="12"/>
      <c r="N904" s="12"/>
      <c r="O904" s="12"/>
      <c r="P904" s="12"/>
      <c r="Q904" s="17"/>
      <c r="R904" s="18">
        <f>IF(SUMPRODUCT((E904:Q904)*1)=0,0,E904*INDEX(Hours!M:M,MATCH(C904,Hours!$A:$A,0))+F904*INDEX(Hours!B:B,MATCH(C904,Hours!$A:$A,0))+G904*INDEX(Hours!C:C,MATCH(C904,Hours!$A:$A,0))+H904*INDEX(Hours!D:D,MATCH(C904,Hours!$A:$A,0))+I904*INDEX(Hours!E:E,MATCH(C904,Hours!$A:$A,0))+J904*INDEX(Hours!F:F,MATCH(C904,Hours!$A:$A,0))+K904*INDEX(Hours!G:G,MATCH(C904,Hours!$A:$A,0)))</f>
        <v>0</v>
      </c>
      <c r="S904" s="19">
        <f t="shared" si="29"/>
        <v>0</v>
      </c>
    </row>
    <row r="905" spans="1:19" x14ac:dyDescent="0.25">
      <c r="A905" s="11" t="str">
        <f>'Bldgs &amp; Rooms'!$A$26</f>
        <v>Main Bldg.</v>
      </c>
      <c r="B905" s="11">
        <f>'Bldgs &amp; Rooms'!$B$26</f>
        <v>0</v>
      </c>
      <c r="C905" s="10" t="str">
        <f>Hours!$A$17</f>
        <v>Individual Molded Case Breaker &gt; 100A</v>
      </c>
      <c r="D905" s="11">
        <f t="shared" si="28"/>
        <v>0</v>
      </c>
      <c r="E905" s="16"/>
      <c r="F905" s="17"/>
      <c r="G905" s="17"/>
      <c r="H905" s="17"/>
      <c r="I905" s="17"/>
      <c r="J905" s="17"/>
      <c r="K905" s="17"/>
      <c r="L905" s="12"/>
      <c r="M905" s="12"/>
      <c r="N905" s="12"/>
      <c r="O905" s="12"/>
      <c r="P905" s="12"/>
      <c r="Q905" s="17"/>
      <c r="R905" s="18">
        <f>IF(SUMPRODUCT((E905:Q905)*1)=0,0,E905*INDEX(Hours!M:M,MATCH(C905,Hours!$A:$A,0))+F905*INDEX(Hours!B:B,MATCH(C905,Hours!$A:$A,0))+G905*INDEX(Hours!C:C,MATCH(C905,Hours!$A:$A,0))+H905*INDEX(Hours!D:D,MATCH(C905,Hours!$A:$A,0))+I905*INDEX(Hours!E:E,MATCH(C905,Hours!$A:$A,0))+J905*INDEX(Hours!F:F,MATCH(C905,Hours!$A:$A,0))+K905*INDEX(Hours!G:G,MATCH(C905,Hours!$A:$A,0)))</f>
        <v>0</v>
      </c>
      <c r="S905" s="19">
        <f t="shared" si="29"/>
        <v>0</v>
      </c>
    </row>
    <row r="906" spans="1:19" x14ac:dyDescent="0.25">
      <c r="A906" s="11" t="str">
        <f>'Bldgs &amp; Rooms'!$A$26</f>
        <v>Main Bldg.</v>
      </c>
      <c r="B906" s="11">
        <f>'Bldgs &amp; Rooms'!$B$26</f>
        <v>0</v>
      </c>
      <c r="C906" s="10" t="str">
        <f>Hours!$A$18</f>
        <v>Individual Combination Motor Starter &gt; 100A</v>
      </c>
      <c r="D906" s="11">
        <f t="shared" si="28"/>
        <v>0</v>
      </c>
      <c r="E906" s="16"/>
      <c r="F906" s="17"/>
      <c r="G906" s="17"/>
      <c r="H906" s="17"/>
      <c r="I906" s="17"/>
      <c r="J906" s="17"/>
      <c r="K906" s="17"/>
      <c r="L906" s="12"/>
      <c r="M906" s="12"/>
      <c r="N906" s="12"/>
      <c r="O906" s="12"/>
      <c r="P906" s="12"/>
      <c r="Q906" s="17"/>
      <c r="R906" s="18">
        <f>IF(SUMPRODUCT((E906:Q906)*1)=0,0,E906*INDEX(Hours!M:M,MATCH(C906,Hours!$A:$A,0))+F906*INDEX(Hours!B:B,MATCH(C906,Hours!$A:$A,0))+G906*INDEX(Hours!C:C,MATCH(C906,Hours!$A:$A,0))+H906*INDEX(Hours!D:D,MATCH(C906,Hours!$A:$A,0))+I906*INDEX(Hours!E:E,MATCH(C906,Hours!$A:$A,0))+J906*INDEX(Hours!F:F,MATCH(C906,Hours!$A:$A,0))+K906*INDEX(Hours!G:G,MATCH(C906,Hours!$A:$A,0)))</f>
        <v>0</v>
      </c>
      <c r="S906" s="19">
        <f t="shared" si="29"/>
        <v>0</v>
      </c>
    </row>
    <row r="907" spans="1:19" x14ac:dyDescent="0.25">
      <c r="A907" s="11" t="str">
        <f>'Bldgs &amp; Rooms'!$A$26</f>
        <v>Main Bldg.</v>
      </c>
      <c r="B907" s="11">
        <f>'Bldgs &amp; Rooms'!$B$26</f>
        <v>0</v>
      </c>
      <c r="C907" s="10" t="str">
        <f>Hours!$A$19</f>
        <v>Oil Filled Transformer - 5kV-15kV Primary - Any Size (Pad Mounted)</v>
      </c>
      <c r="D907" s="11">
        <f t="shared" si="28"/>
        <v>0</v>
      </c>
      <c r="E907" s="16"/>
      <c r="F907" s="17"/>
      <c r="G907" s="17"/>
      <c r="H907" s="17"/>
      <c r="I907" s="17"/>
      <c r="J907" s="17"/>
      <c r="K907" s="12"/>
      <c r="L907" s="12"/>
      <c r="M907" s="17"/>
      <c r="N907" s="17"/>
      <c r="O907" s="12"/>
      <c r="P907" s="17"/>
      <c r="Q907" s="17"/>
      <c r="R907" s="18">
        <f>IF(SUMPRODUCT((E907:Q907)*1)=0,0,E907*INDEX(Hours!M:M,MATCH(C907,Hours!$A:$A,0))+F907*INDEX(Hours!B:B,MATCH(C907,Hours!$A:$A,0))+G907*INDEX(Hours!C:C,MATCH(C907,Hours!$A:$A,0))+H907*INDEX(Hours!D:D,MATCH(C907,Hours!$A:$A,0))+I907*INDEX(Hours!E:E,MATCH(C907,Hours!$A:$A,0))+J907*INDEX(Hours!F:F,MATCH(C907,Hours!$A:$A,0))+M907*INDEX(Hours!I:I,MATCH(C907,Hours!$A:$A,0))+N907*INDEX(Hours!J:J,MATCH(C907,Hours!$A:$A,0))+P907*INDEX(Hours!L:L,MATCH(C907,Hours!$A:$A,0)))</f>
        <v>0</v>
      </c>
      <c r="S907" s="19">
        <f t="shared" si="29"/>
        <v>0</v>
      </c>
    </row>
    <row r="908" spans="1:19" x14ac:dyDescent="0.25">
      <c r="A908" s="11" t="str">
        <f>'Bldgs &amp; Rooms'!$A$26</f>
        <v>Main Bldg.</v>
      </c>
      <c r="B908" s="11">
        <f>'Bldgs &amp; Rooms'!$B$26</f>
        <v>0</v>
      </c>
      <c r="C908" s="10" t="str">
        <f>Hours!$A$20</f>
        <v>Oil Filled Transformer - &gt; 15kV Primary (Substation Class)</v>
      </c>
      <c r="D908" s="11">
        <f t="shared" si="28"/>
        <v>0</v>
      </c>
      <c r="E908" s="16"/>
      <c r="F908" s="17"/>
      <c r="G908" s="17"/>
      <c r="H908" s="17"/>
      <c r="I908" s="17"/>
      <c r="J908" s="17"/>
      <c r="K908" s="12"/>
      <c r="L908" s="12"/>
      <c r="M908" s="17"/>
      <c r="N908" s="17"/>
      <c r="O908" s="12"/>
      <c r="P908" s="17"/>
      <c r="Q908" s="17"/>
      <c r="R908" s="18">
        <f>IF(SUMPRODUCT((E908:Q908)*1)=0,0,E908*INDEX(Hours!M:M,MATCH(C908,Hours!$A:$A,0))+F908*INDEX(Hours!B:B,MATCH(C908,Hours!$A:$A,0))+G908*INDEX(Hours!C:C,MATCH(C908,Hours!$A:$A,0))+H908*INDEX(Hours!D:D,MATCH(C908,Hours!$A:$A,0))+I908*INDEX(Hours!E:E,MATCH(C908,Hours!$A:$A,0))+J908*INDEX(Hours!F:F,MATCH(C908,Hours!$A:$A,0))+M908*INDEX(Hours!I:I,MATCH(C908,Hours!$A:$A,0))+N908*INDEX(Hours!J:J,MATCH(C908,Hours!$A:$A,0))+P908*INDEX(Hours!L:L,MATCH(C908,Hours!$A:$A,0)))</f>
        <v>0</v>
      </c>
      <c r="S908" s="19">
        <f t="shared" si="29"/>
        <v>0</v>
      </c>
    </row>
    <row r="909" spans="1:19" x14ac:dyDescent="0.25">
      <c r="A909" s="11" t="str">
        <f>'Bldgs &amp; Rooms'!$A$26</f>
        <v>Main Bldg.</v>
      </c>
      <c r="B909" s="11">
        <f>'Bldgs &amp; Rooms'!$B$26</f>
        <v>0</v>
      </c>
      <c r="C909" s="10" t="str">
        <f>Hours!$A$21</f>
        <v>Dry Type Transformer - &lt; 480V Primary - Any Size kVA</v>
      </c>
      <c r="D909" s="11">
        <f t="shared" si="28"/>
        <v>0</v>
      </c>
      <c r="E909" s="16"/>
      <c r="F909" s="17"/>
      <c r="G909" s="17"/>
      <c r="H909" s="17"/>
      <c r="I909" s="17"/>
      <c r="J909" s="17"/>
      <c r="K909" s="12"/>
      <c r="L909" s="12"/>
      <c r="M909" s="17"/>
      <c r="N909" s="17"/>
      <c r="O909" s="12"/>
      <c r="P909" s="12"/>
      <c r="Q909" s="17"/>
      <c r="R909" s="18">
        <f>IF(SUMPRODUCT((E909:Q909)*1)=0,0,E909*INDEX(Hours!M:M,MATCH(C909,Hours!$A:$A,0))+F909*INDEX(Hours!B:B,MATCH(C909,Hours!$A:$A,0))+G909*INDEX(Hours!C:C,MATCH(C909,Hours!$A:$A,0))+H909*INDEX(Hours!D:D,MATCH(C909,Hours!$A:$A,0))+I909*INDEX(Hours!E:E,MATCH(C909,Hours!$A:$A,0))+J909*INDEX(Hours!F:F,MATCH(C909,Hours!$A:$A,0))+M909*INDEX(Hours!I:I,MATCH(C909,Hours!$A:$A,0))+N909*INDEX(Hours!J:J,MATCH(C909,Hours!$A:$A,0)))</f>
        <v>0</v>
      </c>
      <c r="S909" s="19">
        <f t="shared" si="29"/>
        <v>0</v>
      </c>
    </row>
    <row r="910" spans="1:19" x14ac:dyDescent="0.25">
      <c r="A910" s="11" t="str">
        <f>'Bldgs &amp; Rooms'!$A$26</f>
        <v>Main Bldg.</v>
      </c>
      <c r="B910" s="11">
        <f>'Bldgs &amp; Rooms'!$B$26</f>
        <v>0</v>
      </c>
      <c r="C910" s="10" t="str">
        <f>Hours!$A$22</f>
        <v>Power Factor Correction Capacitors</v>
      </c>
      <c r="D910" s="11">
        <f t="shared" si="28"/>
        <v>0</v>
      </c>
      <c r="E910" s="16"/>
      <c r="F910" s="17"/>
      <c r="G910" s="17"/>
      <c r="H910" s="17"/>
      <c r="I910" s="17"/>
      <c r="J910" s="17"/>
      <c r="K910" s="12"/>
      <c r="L910" s="12"/>
      <c r="M910" s="12"/>
      <c r="N910" s="12"/>
      <c r="O910" s="12"/>
      <c r="P910" s="12"/>
      <c r="Q910" s="17"/>
      <c r="R910" s="18">
        <f>IF(SUMPRODUCT((E910:Q910)*1)=0,0,E910*INDEX(Hours!M:M,MATCH(C910,Hours!$A:$A,0))+F910*INDEX(Hours!B:B,MATCH(C910,Hours!$A:$A,0))+G910*INDEX(Hours!C:C,MATCH(C910,Hours!$A:$A,0))+H910*INDEX(Hours!D:D,MATCH(C910,Hours!$A:$A,0))+I910*INDEX(Hours!E:E,MATCH(C910,Hours!$A:$A,0))+J910*INDEX(Hours!F:F,MATCH(C910,Hours!$A:$A,0)))</f>
        <v>0</v>
      </c>
      <c r="S910" s="19">
        <f t="shared" si="29"/>
        <v>0</v>
      </c>
    </row>
    <row r="911" spans="1:19" x14ac:dyDescent="0.25">
      <c r="A911" s="11" t="str">
        <f>'Bldgs &amp; Rooms'!$A$26</f>
        <v>Main Bldg.</v>
      </c>
      <c r="B911" s="11">
        <f>'Bldgs &amp; Rooms'!$B$26</f>
        <v>0</v>
      </c>
      <c r="C911" s="10" t="str">
        <f>Hours!$A$23</f>
        <v>Lighting Contactor &gt; 100A</v>
      </c>
      <c r="D911" s="11">
        <f t="shared" si="28"/>
        <v>0</v>
      </c>
      <c r="E911" s="16"/>
      <c r="F911" s="17"/>
      <c r="G911" s="17"/>
      <c r="H911" s="17"/>
      <c r="I911" s="17"/>
      <c r="J911" s="17"/>
      <c r="K911" s="12"/>
      <c r="L911" s="12"/>
      <c r="M911" s="12"/>
      <c r="N911" s="12"/>
      <c r="O911" s="12"/>
      <c r="P911" s="12"/>
      <c r="Q911" s="17"/>
      <c r="R911" s="18">
        <f>IF(SUMPRODUCT((E911:Q911)*1)=0,0,E911*INDEX(Hours!M:M,MATCH(C911,Hours!$A:$A,0))+F911*INDEX(Hours!B:B,MATCH(C911,Hours!$A:$A,0))+G911*INDEX(Hours!C:C,MATCH(C911,Hours!$A:$A,0))+H911*INDEX(Hours!D:D,MATCH(C911,Hours!$A:$A,0))+I911*INDEX(Hours!E:E,MATCH(C911,Hours!$A:$A,0))+J911*INDEX(Hours!F:F,MATCH(C911,Hours!$A:$A,0)))</f>
        <v>0</v>
      </c>
      <c r="S911" s="19">
        <f t="shared" si="29"/>
        <v>0</v>
      </c>
    </row>
    <row r="912" spans="1:19" x14ac:dyDescent="0.25">
      <c r="A912" s="11" t="str">
        <f>'Bldgs &amp; Rooms'!$A$26</f>
        <v>Main Bldg.</v>
      </c>
      <c r="B912" s="11">
        <f>'Bldgs &amp; Rooms'!$B$26</f>
        <v>0</v>
      </c>
      <c r="C912" s="10" t="str">
        <f>Hours!$A$24</f>
        <v>Power Distribution Unit (PDU)</v>
      </c>
      <c r="D912" s="11">
        <f t="shared" si="28"/>
        <v>0</v>
      </c>
      <c r="E912" s="16"/>
      <c r="F912" s="17"/>
      <c r="G912" s="17"/>
      <c r="H912" s="17"/>
      <c r="I912" s="17"/>
      <c r="J912" s="17"/>
      <c r="K912" s="12"/>
      <c r="L912" s="12"/>
      <c r="M912" s="12"/>
      <c r="N912" s="12"/>
      <c r="O912" s="12"/>
      <c r="P912" s="12"/>
      <c r="Q912" s="17"/>
      <c r="R912" s="18">
        <f>IF(SUMPRODUCT((E912:Q912)*1)=0,0,E912*INDEX(Hours!M:M,MATCH(C912,Hours!$A:$A,0))+F912*INDEX(Hours!B:B,MATCH(C912,Hours!$A:$A,0))+G912*INDEX(Hours!C:C,MATCH(C912,Hours!$A:$A,0))+H912*INDEX(Hours!D:D,MATCH(C912,Hours!$A:$A,0))+I912*INDEX(Hours!E:E,MATCH(C912,Hours!$A:$A,0))+J912*INDEX(Hours!F:F,MATCH(C912,Hours!$A:$A,0)))</f>
        <v>0</v>
      </c>
      <c r="S912" s="19">
        <f t="shared" si="29"/>
        <v>0</v>
      </c>
    </row>
    <row r="913" spans="1:19" x14ac:dyDescent="0.25">
      <c r="A913" s="11" t="str">
        <f>'Bldgs &amp; Rooms'!$A$26</f>
        <v>Main Bldg.</v>
      </c>
      <c r="B913" s="11">
        <f>'Bldgs &amp; Rooms'!$B$26</f>
        <v>0</v>
      </c>
      <c r="C913" s="10" t="str">
        <f>Hours!$A$25</f>
        <v>Wire Trough, Gutter, or Large Junction Boxes</v>
      </c>
      <c r="D913" s="11">
        <f t="shared" si="28"/>
        <v>0</v>
      </c>
      <c r="E913" s="16"/>
      <c r="F913" s="17"/>
      <c r="G913" s="17"/>
      <c r="H913" s="17"/>
      <c r="I913" s="17"/>
      <c r="J913" s="17"/>
      <c r="K913" s="12"/>
      <c r="L913" s="12"/>
      <c r="M913" s="12"/>
      <c r="N913" s="12"/>
      <c r="O913" s="12"/>
      <c r="P913" s="12"/>
      <c r="Q913" s="17"/>
      <c r="R913" s="18">
        <f>IF(SUMPRODUCT((E913:Q913)*1)=0,0,E913*INDEX(Hours!M:M,MATCH(C913,Hours!$A:$A,0))+F913*INDEX(Hours!B:B,MATCH(C913,Hours!$A:$A,0))+G913*INDEX(Hours!C:C,MATCH(C913,Hours!$A:$A,0))+H913*INDEX(Hours!D:D,MATCH(C913,Hours!$A:$A,0))+I913*INDEX(Hours!E:E,MATCH(C913,Hours!$A:$A,0))+J913*INDEX(Hours!F:F,MATCH(C913,Hours!$A:$A,0)))</f>
        <v>0</v>
      </c>
      <c r="S913" s="19">
        <f t="shared" si="29"/>
        <v>0</v>
      </c>
    </row>
    <row r="914" spans="1:19" x14ac:dyDescent="0.25">
      <c r="A914" s="11" t="str">
        <f>'Bldgs &amp; Rooms'!$A$26</f>
        <v>Main Bldg.</v>
      </c>
      <c r="B914" s="11">
        <f>'Bldgs &amp; Rooms'!$B$26</f>
        <v>0</v>
      </c>
      <c r="C914" s="10" t="str">
        <f>Hours!$A$26</f>
        <v>Bus Duct - Vertical or Horizontal (Per 10' section)</v>
      </c>
      <c r="D914" s="11">
        <f t="shared" si="28"/>
        <v>0</v>
      </c>
      <c r="E914" s="16"/>
      <c r="F914" s="17"/>
      <c r="G914" s="17"/>
      <c r="H914" s="17"/>
      <c r="I914" s="17"/>
      <c r="J914" s="17"/>
      <c r="K914" s="12"/>
      <c r="L914" s="12"/>
      <c r="M914" s="12"/>
      <c r="N914" s="12"/>
      <c r="O914" s="12"/>
      <c r="P914" s="12"/>
      <c r="Q914" s="17"/>
      <c r="R914" s="18">
        <f>IF(SUMPRODUCT((E914:Q914)*1)=0,0,E914*INDEX(Hours!M:M,MATCH(C914,Hours!$A:$A,0))+F914*INDEX(Hours!B:B,MATCH(C914,Hours!$A:$A,0))+G914*INDEX(Hours!C:C,MATCH(C914,Hours!$A:$A,0))+H914*INDEX(Hours!D:D,MATCH(C914,Hours!$A:$A,0))+I914*INDEX(Hours!E:E,MATCH(C914,Hours!$A:$A,0))+J914*INDEX(Hours!F:F,MATCH(C914,Hours!$A:$A,0)))</f>
        <v>0</v>
      </c>
      <c r="S914" s="19">
        <f t="shared" si="29"/>
        <v>0</v>
      </c>
    </row>
    <row r="915" spans="1:19" x14ac:dyDescent="0.25">
      <c r="A915" s="11" t="str">
        <f>'Bldgs &amp; Rooms'!$A$26</f>
        <v>Main Bldg.</v>
      </c>
      <c r="B915" s="11">
        <f>'Bldgs &amp; Rooms'!$B$26</f>
        <v>0</v>
      </c>
      <c r="C915" s="10" t="str">
        <f>Hours!$A$27</f>
        <v>Automatic Transfer Switch (ATS) &gt; 100A</v>
      </c>
      <c r="D915" s="11">
        <f t="shared" si="28"/>
        <v>0</v>
      </c>
      <c r="E915" s="16"/>
      <c r="F915" s="17"/>
      <c r="G915" s="17"/>
      <c r="H915" s="17"/>
      <c r="I915" s="17"/>
      <c r="J915" s="17"/>
      <c r="K915" s="12"/>
      <c r="L915" s="12"/>
      <c r="M915" s="12"/>
      <c r="N915" s="12"/>
      <c r="O915" s="12"/>
      <c r="P915" s="12"/>
      <c r="Q915" s="17"/>
      <c r="R915" s="18">
        <f>IF(SUMPRODUCT((E915:Q915)*1)=0,0,E915*INDEX(Hours!M:M,MATCH(C915,Hours!$A:$A,0))+F915*INDEX(Hours!B:B,MATCH(C915,Hours!$A:$A,0))+G915*INDEX(Hours!C:C,MATCH(C915,Hours!$A:$A,0))+H915*INDEX(Hours!D:D,MATCH(C915,Hours!$A:$A,0))+I915*INDEX(Hours!E:E,MATCH(C915,Hours!$A:$A,0))+J915*INDEX(Hours!F:F,MATCH(C915,Hours!$A:$A,0)))</f>
        <v>0</v>
      </c>
      <c r="S915" s="19">
        <f t="shared" si="29"/>
        <v>0</v>
      </c>
    </row>
    <row r="916" spans="1:19" x14ac:dyDescent="0.25">
      <c r="A916" s="11" t="str">
        <f>'Bldgs &amp; Rooms'!$A$26</f>
        <v>Main Bldg.</v>
      </c>
      <c r="B916" s="11">
        <f>'Bldgs &amp; Rooms'!$B$26</f>
        <v>0</v>
      </c>
      <c r="C916" s="10" t="str">
        <f>Hours!$A$28</f>
        <v>Manual Transfer Switch (MTS) &gt; 100A</v>
      </c>
      <c r="D916" s="11">
        <f t="shared" si="28"/>
        <v>0</v>
      </c>
      <c r="E916" s="16"/>
      <c r="F916" s="17"/>
      <c r="G916" s="17"/>
      <c r="H916" s="17"/>
      <c r="I916" s="17"/>
      <c r="J916" s="17"/>
      <c r="K916" s="12"/>
      <c r="L916" s="12"/>
      <c r="M916" s="12"/>
      <c r="N916" s="12"/>
      <c r="O916" s="12"/>
      <c r="P916" s="12"/>
      <c r="Q916" s="17"/>
      <c r="R916" s="18">
        <f>IF(SUMPRODUCT((E916:Q916)*1)=0,0,E916*INDEX(Hours!M:M,MATCH(C916,Hours!$A:$A,0))+F916*INDEX(Hours!B:B,MATCH(C916,Hours!$A:$A,0))+G916*INDEX(Hours!C:C,MATCH(C916,Hours!$A:$A,0))+H916*INDEX(Hours!D:D,MATCH(C916,Hours!$A:$A,0))+I916*INDEX(Hours!E:E,MATCH(C916,Hours!$A:$A,0))+J916*INDEX(Hours!F:F,MATCH(C916,Hours!$A:$A,0)))</f>
        <v>0</v>
      </c>
      <c r="S916" s="19">
        <f t="shared" si="29"/>
        <v>0</v>
      </c>
    </row>
    <row r="917" spans="1:19" x14ac:dyDescent="0.25">
      <c r="A917" s="11" t="str">
        <f>'Bldgs &amp; Rooms'!$A$26</f>
        <v>Main Bldg.</v>
      </c>
      <c r="B917" s="11">
        <f>'Bldgs &amp; Rooms'!$B$26</f>
        <v>0</v>
      </c>
      <c r="C917" s="10" t="str">
        <f>Hours!$A$29</f>
        <v>Variable Frequency Drives (VFD) &lt; 50 HP</v>
      </c>
      <c r="D917" s="11">
        <f t="shared" si="28"/>
        <v>0</v>
      </c>
      <c r="E917" s="16"/>
      <c r="F917" s="17"/>
      <c r="G917" s="17"/>
      <c r="H917" s="17"/>
      <c r="I917" s="17"/>
      <c r="J917" s="17"/>
      <c r="K917" s="12"/>
      <c r="L917" s="12"/>
      <c r="M917" s="12"/>
      <c r="N917" s="12"/>
      <c r="O917" s="12"/>
      <c r="P917" s="12"/>
      <c r="Q917" s="17"/>
      <c r="R917" s="18">
        <f>IF(SUMPRODUCT((E917:Q917)*1)=0,0,E917*INDEX(Hours!M:M,MATCH(C917,Hours!$A:$A,0))+F917*INDEX(Hours!B:B,MATCH(C917,Hours!$A:$A,0))+G917*INDEX(Hours!C:C,MATCH(C917,Hours!$A:$A,0))+H917*INDEX(Hours!D:D,MATCH(C917,Hours!$A:$A,0))+I917*INDEX(Hours!E:E,MATCH(C917,Hours!$A:$A,0))+J917*INDEX(Hours!F:F,MATCH(C917,Hours!$A:$A,0)))</f>
        <v>0</v>
      </c>
      <c r="S917" s="19">
        <f t="shared" si="29"/>
        <v>0</v>
      </c>
    </row>
    <row r="918" spans="1:19" x14ac:dyDescent="0.25">
      <c r="A918" s="11" t="str">
        <f>'Bldgs &amp; Rooms'!$A$26</f>
        <v>Main Bldg.</v>
      </c>
      <c r="B918" s="11">
        <f>'Bldgs &amp; Rooms'!$B$26</f>
        <v>0</v>
      </c>
      <c r="C918" s="10" t="str">
        <f>Hours!$A$30</f>
        <v>Variable Frequency Drives (VFD) 51-200 HP</v>
      </c>
      <c r="D918" s="11">
        <f t="shared" si="28"/>
        <v>0</v>
      </c>
      <c r="E918" s="16"/>
      <c r="F918" s="17"/>
      <c r="G918" s="17"/>
      <c r="H918" s="17"/>
      <c r="I918" s="17"/>
      <c r="J918" s="17"/>
      <c r="K918" s="12"/>
      <c r="L918" s="12"/>
      <c r="M918" s="12"/>
      <c r="N918" s="12"/>
      <c r="O918" s="12"/>
      <c r="P918" s="12"/>
      <c r="Q918" s="17"/>
      <c r="R918" s="18">
        <f>IF(SUMPRODUCT((E918:Q918)*1)=0,0,E918*INDEX(Hours!M:M,MATCH(C918,Hours!$A:$A,0))+F918*INDEX(Hours!B:B,MATCH(C918,Hours!$A:$A,0))+G918*INDEX(Hours!C:C,MATCH(C918,Hours!$A:$A,0))+H918*INDEX(Hours!D:D,MATCH(C918,Hours!$A:$A,0))+I918*INDEX(Hours!E:E,MATCH(C918,Hours!$A:$A,0))+J918*INDEX(Hours!F:F,MATCH(C918,Hours!$A:$A,0)))</f>
        <v>0</v>
      </c>
      <c r="S918" s="19">
        <f t="shared" si="29"/>
        <v>0</v>
      </c>
    </row>
    <row r="919" spans="1:19" x14ac:dyDescent="0.25">
      <c r="A919" s="11" t="str">
        <f>'Bldgs &amp; Rooms'!$A$26</f>
        <v>Main Bldg.</v>
      </c>
      <c r="B919" s="11">
        <f>'Bldgs &amp; Rooms'!$B$26</f>
        <v>0</v>
      </c>
      <c r="C919" s="10" t="str">
        <f>Hours!$A$31</f>
        <v>Motors &lt; 50 HP</v>
      </c>
      <c r="D919" s="11">
        <f t="shared" si="28"/>
        <v>0</v>
      </c>
      <c r="E919" s="16"/>
      <c r="F919" s="17"/>
      <c r="G919" s="17"/>
      <c r="H919" s="17"/>
      <c r="I919" s="17"/>
      <c r="J919" s="17"/>
      <c r="K919" s="12"/>
      <c r="L919" s="12"/>
      <c r="M919" s="12"/>
      <c r="N919" s="12"/>
      <c r="O919" s="12"/>
      <c r="P919" s="12"/>
      <c r="Q919" s="17"/>
      <c r="R919" s="18">
        <f>IF(SUMPRODUCT((E919:Q919)*1)=0,0,E919*INDEX(Hours!M:M,MATCH(C919,Hours!$A:$A,0))+F919*INDEX(Hours!B:B,MATCH(C919,Hours!$A:$A,0))+G919*INDEX(Hours!C:C,MATCH(C919,Hours!$A:$A,0))+H919*INDEX(Hours!D:D,MATCH(C919,Hours!$A:$A,0))+I919*INDEX(Hours!E:E,MATCH(C919,Hours!$A:$A,0))+J919*INDEX(Hours!F:F,MATCH(C919,Hours!$A:$A,0)))</f>
        <v>0</v>
      </c>
      <c r="S919" s="19">
        <f t="shared" si="29"/>
        <v>0</v>
      </c>
    </row>
    <row r="920" spans="1:19" x14ac:dyDescent="0.25">
      <c r="A920" s="11" t="str">
        <f>'Bldgs &amp; Rooms'!$A$26</f>
        <v>Main Bldg.</v>
      </c>
      <c r="B920" s="11">
        <f>'Bldgs &amp; Rooms'!$B$26</f>
        <v>0</v>
      </c>
      <c r="C920" s="10" t="str">
        <f>Hours!$A$32</f>
        <v>Motors 51-200 HP</v>
      </c>
      <c r="D920" s="11">
        <f t="shared" si="28"/>
        <v>0</v>
      </c>
      <c r="E920" s="16"/>
      <c r="F920" s="17"/>
      <c r="G920" s="17"/>
      <c r="H920" s="17"/>
      <c r="I920" s="17"/>
      <c r="J920" s="17"/>
      <c r="K920" s="12"/>
      <c r="L920" s="12"/>
      <c r="M920" s="12"/>
      <c r="N920" s="12"/>
      <c r="O920" s="12"/>
      <c r="P920" s="12"/>
      <c r="Q920" s="17"/>
      <c r="R920" s="18">
        <f>IF(SUMPRODUCT((E920:Q920)*1)=0,0,E920*INDEX(Hours!M:M,MATCH(C920,Hours!$A:$A,0))+F920*INDEX(Hours!B:B,MATCH(C920,Hours!$A:$A,0))+G920*INDEX(Hours!C:C,MATCH(C920,Hours!$A:$A,0))+H920*INDEX(Hours!D:D,MATCH(C920,Hours!$A:$A,0))+I920*INDEX(Hours!E:E,MATCH(C920,Hours!$A:$A,0))+J920*INDEX(Hours!F:F,MATCH(C920,Hours!$A:$A,0)))</f>
        <v>0</v>
      </c>
      <c r="S920" s="19">
        <f t="shared" si="29"/>
        <v>0</v>
      </c>
    </row>
    <row r="921" spans="1:19" x14ac:dyDescent="0.25">
      <c r="A921" s="11" t="str">
        <f>'Bldgs &amp; Rooms'!$A$26</f>
        <v>Main Bldg.</v>
      </c>
      <c r="B921" s="11">
        <f>'Bldgs &amp; Rooms'!$B$26</f>
        <v>0</v>
      </c>
      <c r="C921" s="10" t="str">
        <f>Hours!$A$33</f>
        <v>Motors 201-500 HP</v>
      </c>
      <c r="D921" s="11">
        <f t="shared" si="28"/>
        <v>0</v>
      </c>
      <c r="E921" s="16"/>
      <c r="F921" s="17"/>
      <c r="G921" s="17"/>
      <c r="H921" s="17"/>
      <c r="I921" s="17"/>
      <c r="J921" s="17"/>
      <c r="K921" s="12"/>
      <c r="L921" s="12"/>
      <c r="M921" s="12"/>
      <c r="N921" s="12"/>
      <c r="O921" s="12"/>
      <c r="P921" s="12"/>
      <c r="Q921" s="17"/>
      <c r="R921" s="18">
        <f>IF(SUMPRODUCT((E921:Q921)*1)=0,0,E921*INDEX(Hours!M:M,MATCH(C921,Hours!$A:$A,0))+F921*INDEX(Hours!B:B,MATCH(C921,Hours!$A:$A,0))+G921*INDEX(Hours!C:C,MATCH(C921,Hours!$A:$A,0))+H921*INDEX(Hours!D:D,MATCH(C921,Hours!$A:$A,0))+I921*INDEX(Hours!E:E,MATCH(C921,Hours!$A:$A,0))+J921*INDEX(Hours!F:F,MATCH(C921,Hours!$A:$A,0)))</f>
        <v>0</v>
      </c>
      <c r="S921" s="19">
        <f t="shared" si="29"/>
        <v>0</v>
      </c>
    </row>
    <row r="922" spans="1:19" x14ac:dyDescent="0.25">
      <c r="A922" s="11" t="str">
        <f>'Bldgs &amp; Rooms'!$A$26</f>
        <v>Main Bldg.</v>
      </c>
      <c r="B922" s="11">
        <f>'Bldgs &amp; Rooms'!$B$26</f>
        <v>0</v>
      </c>
      <c r="C922" s="10" t="str">
        <f>Hours!$A$34</f>
        <v>Compressed Air Equipment</v>
      </c>
      <c r="D922" s="11">
        <f t="shared" si="28"/>
        <v>0</v>
      </c>
      <c r="E922" s="16"/>
      <c r="F922" s="17"/>
      <c r="G922" s="17"/>
      <c r="H922" s="17"/>
      <c r="I922" s="17"/>
      <c r="J922" s="17"/>
      <c r="K922" s="12"/>
      <c r="L922" s="12"/>
      <c r="M922" s="12"/>
      <c r="N922" s="12"/>
      <c r="O922" s="12"/>
      <c r="P922" s="12"/>
      <c r="Q922" s="17"/>
      <c r="R922" s="18">
        <f>IF(SUMPRODUCT((E922:Q922)*1)=0,0,E922*INDEX(Hours!M:M,MATCH(C922,Hours!$A:$A,0))+F922*INDEX(Hours!B:B,MATCH(C922,Hours!$A:$A,0))+G922*INDEX(Hours!C:C,MATCH(C922,Hours!$A:$A,0))+H922*INDEX(Hours!D:D,MATCH(C922,Hours!$A:$A,0))+I922*INDEX(Hours!E:E,MATCH(C922,Hours!$A:$A,0))+J922*INDEX(Hours!F:F,MATCH(C922,Hours!$A:$A,0)))</f>
        <v>0</v>
      </c>
      <c r="S922" s="19">
        <f t="shared" si="29"/>
        <v>0</v>
      </c>
    </row>
    <row r="923" spans="1:19" x14ac:dyDescent="0.25">
      <c r="A923" s="11" t="str">
        <f>'Bldgs &amp; Rooms'!$A$26</f>
        <v>Main Bldg.</v>
      </c>
      <c r="B923" s="11">
        <f>'Bldgs &amp; Rooms'!$B$26</f>
        <v>0</v>
      </c>
      <c r="C923" s="10" t="str">
        <f>Hours!$A$35</f>
        <v>HVAC Equipment (Large)</v>
      </c>
      <c r="D923" s="11">
        <f t="shared" si="28"/>
        <v>0</v>
      </c>
      <c r="E923" s="16"/>
      <c r="F923" s="17"/>
      <c r="G923" s="17"/>
      <c r="H923" s="17"/>
      <c r="I923" s="17"/>
      <c r="J923" s="17"/>
      <c r="K923" s="12"/>
      <c r="L923" s="12"/>
      <c r="M923" s="12"/>
      <c r="N923" s="12"/>
      <c r="O923" s="12"/>
      <c r="P923" s="12"/>
      <c r="Q923" s="17"/>
      <c r="R923" s="18">
        <f>IF(SUMPRODUCT((E923:Q923)*1)=0,0,E923*INDEX(Hours!M:M,MATCH(C923,Hours!$A:$A,0))+F923*INDEX(Hours!B:B,MATCH(C923,Hours!$A:$A,0))+G923*INDEX(Hours!C:C,MATCH(C923,Hours!$A:$A,0))+H923*INDEX(Hours!D:D,MATCH(C923,Hours!$A:$A,0))+I923*INDEX(Hours!E:E,MATCH(C923,Hours!$A:$A,0))+J923*INDEX(Hours!F:F,MATCH(C923,Hours!$A:$A,0)))</f>
        <v>0</v>
      </c>
      <c r="S923" s="19">
        <f t="shared" si="29"/>
        <v>0</v>
      </c>
    </row>
    <row r="924" spans="1:19" x14ac:dyDescent="0.25">
      <c r="A924" s="11" t="str">
        <f>'Bldgs &amp; Rooms'!$A$26</f>
        <v>Main Bldg.</v>
      </c>
      <c r="B924" s="11">
        <f>'Bldgs &amp; Rooms'!$B$26</f>
        <v>0</v>
      </c>
      <c r="C924" s="10" t="str">
        <f>Hours!$A$36</f>
        <v>HVAC Equipment (Small)</v>
      </c>
      <c r="D924" s="11">
        <f t="shared" si="28"/>
        <v>0</v>
      </c>
      <c r="E924" s="16"/>
      <c r="F924" s="17"/>
      <c r="G924" s="17"/>
      <c r="H924" s="17"/>
      <c r="I924" s="17"/>
      <c r="J924" s="17"/>
      <c r="K924" s="12"/>
      <c r="L924" s="12"/>
      <c r="M924" s="12"/>
      <c r="N924" s="12"/>
      <c r="O924" s="12"/>
      <c r="P924" s="12"/>
      <c r="Q924" s="17"/>
      <c r="R924" s="18">
        <f>IF(SUMPRODUCT((E924:Q924)*1)=0,0,E924*INDEX(Hours!M:M,MATCH(C924,Hours!$A:$A,0))+F924*INDEX(Hours!B:B,MATCH(C924,Hours!$A:$A,0))+G924*INDEX(Hours!C:C,MATCH(C924,Hours!$A:$A,0))+H924*INDEX(Hours!D:D,MATCH(C924,Hours!$A:$A,0))+I924*INDEX(Hours!E:E,MATCH(C924,Hours!$A:$A,0))+J924*INDEX(Hours!F:F,MATCH(C924,Hours!$A:$A,0)))</f>
        <v>0</v>
      </c>
      <c r="S924" s="19">
        <f t="shared" si="29"/>
        <v>0</v>
      </c>
    </row>
    <row r="925" spans="1:19" x14ac:dyDescent="0.25">
      <c r="A925" s="11" t="str">
        <f>'Bldgs &amp; Rooms'!$A$26</f>
        <v>Main Bldg.</v>
      </c>
      <c r="B925" s="11">
        <f>'Bldgs &amp; Rooms'!$B$26</f>
        <v>0</v>
      </c>
      <c r="C925" s="10" t="str">
        <f>Hours!$A$37</f>
        <v>Uninterruptible Power Supply (UPS) &lt; 50kVA</v>
      </c>
      <c r="D925" s="11">
        <f t="shared" si="28"/>
        <v>0</v>
      </c>
      <c r="E925" s="16"/>
      <c r="F925" s="17"/>
      <c r="G925" s="17"/>
      <c r="H925" s="17"/>
      <c r="I925" s="17"/>
      <c r="J925" s="17"/>
      <c r="K925" s="12"/>
      <c r="L925" s="12"/>
      <c r="M925" s="12"/>
      <c r="N925" s="12"/>
      <c r="O925" s="12"/>
      <c r="P925" s="12"/>
      <c r="Q925" s="17"/>
      <c r="R925" s="18">
        <f>IF(SUMPRODUCT((E925:Q925)*1)=0,0,E925*INDEX(Hours!M:M,MATCH(C925,Hours!$A:$A,0))+F925*INDEX(Hours!B:B,MATCH(C925,Hours!$A:$A,0))+G925*INDEX(Hours!C:C,MATCH(C925,Hours!$A:$A,0))+H925*INDEX(Hours!D:D,MATCH(C925,Hours!$A:$A,0))+I925*INDEX(Hours!E:E,MATCH(C925,Hours!$A:$A,0))+J925*INDEX(Hours!F:F,MATCH(C925,Hours!$A:$A,0)))</f>
        <v>0</v>
      </c>
      <c r="S925" s="19">
        <f t="shared" si="29"/>
        <v>0</v>
      </c>
    </row>
    <row r="926" spans="1:19" x14ac:dyDescent="0.25">
      <c r="A926" s="11" t="str">
        <f>'Bldgs &amp; Rooms'!$A$26</f>
        <v>Main Bldg.</v>
      </c>
      <c r="B926" s="11">
        <f>'Bldgs &amp; Rooms'!$B$26</f>
        <v>0</v>
      </c>
      <c r="C926" s="10" t="str">
        <f>Hours!$A$38</f>
        <v>Uninterruptible Power Supply (UPS) &gt; 50kVA</v>
      </c>
      <c r="D926" s="11">
        <f t="shared" si="28"/>
        <v>0</v>
      </c>
      <c r="E926" s="16"/>
      <c r="F926" s="17"/>
      <c r="G926" s="17"/>
      <c r="H926" s="17"/>
      <c r="I926" s="17"/>
      <c r="J926" s="17"/>
      <c r="K926" s="12"/>
      <c r="L926" s="12"/>
      <c r="M926" s="12"/>
      <c r="N926" s="12"/>
      <c r="O926" s="12"/>
      <c r="P926" s="12"/>
      <c r="Q926" s="17"/>
      <c r="R926" s="18">
        <f>IF(SUMPRODUCT((E926:Q926)*1)=0,0,E926*INDEX(Hours!M:M,MATCH(C926,Hours!$A:$A,0))+F926*INDEX(Hours!B:B,MATCH(C926,Hours!$A:$A,0))+G926*INDEX(Hours!C:C,MATCH(C926,Hours!$A:$A,0))+H926*INDEX(Hours!D:D,MATCH(C926,Hours!$A:$A,0))+I926*INDEX(Hours!E:E,MATCH(C926,Hours!$A:$A,0))+J926*INDEX(Hours!F:F,MATCH(C926,Hours!$A:$A,0)))</f>
        <v>0</v>
      </c>
      <c r="S926" s="19">
        <f t="shared" si="29"/>
        <v>0</v>
      </c>
    </row>
    <row r="927" spans="1:19" x14ac:dyDescent="0.25">
      <c r="A927" s="15" t="str">
        <f>'Bldgs &amp; Rooms'!$A$27</f>
        <v>Main Bldg.</v>
      </c>
      <c r="B927" s="15">
        <f>'Bldgs &amp; Rooms'!$B$27</f>
        <v>0</v>
      </c>
      <c r="C927" s="14" t="str">
        <f>Hours!$A$2</f>
        <v>Switchgear - Incoming Main Service (Per Section)</v>
      </c>
      <c r="D927" s="15">
        <f t="shared" si="28"/>
        <v>0</v>
      </c>
      <c r="E927" s="16"/>
      <c r="F927" s="17"/>
      <c r="G927" s="17"/>
      <c r="H927" s="17"/>
      <c r="I927" s="17"/>
      <c r="J927" s="17"/>
      <c r="K927" s="17"/>
      <c r="L927" s="17"/>
      <c r="M927" s="12"/>
      <c r="N927" s="12"/>
      <c r="O927" s="17"/>
      <c r="P927" s="12"/>
      <c r="Q927" s="17"/>
      <c r="R927" s="18">
        <f>IF(SUMPRODUCT((E927:Q927)*1)=0,0,E927*INDEX(Hours!M:M,MATCH(C927,Hours!$A:$A,0))+F927*INDEX(Hours!B:B,MATCH(C927,Hours!$A:$A,0))+G927*INDEX(Hours!C:C,MATCH(C927,Hours!$A:$A,0))+H927*INDEX(Hours!D:D,MATCH(C927,Hours!$A:$A,0))+I927*INDEX(Hours!E:E,MATCH(C927,Hours!$A:$A,0))+J927*INDEX(Hours!F:F,MATCH(C927,Hours!$A:$A,0))+K927*INDEX(Hours!G:G,MATCH(C927,Hours!$A:$A,0))+L927*INDEX(Hours!H:H,MATCH(C927,Hours!$A:$A,0))+O927*INDEX(Hours!K:K,MATCH(C927,Hours!$A:$A,0)))</f>
        <v>0</v>
      </c>
      <c r="S927" s="19">
        <f t="shared" si="29"/>
        <v>0</v>
      </c>
    </row>
    <row r="928" spans="1:19" x14ac:dyDescent="0.25">
      <c r="A928" s="15" t="str">
        <f>'Bldgs &amp; Rooms'!$A$27</f>
        <v>Main Bldg.</v>
      </c>
      <c r="B928" s="15">
        <f>'Bldgs &amp; Rooms'!$B$27</f>
        <v>0</v>
      </c>
      <c r="C928" s="14" t="str">
        <f>Hours!$A$3</f>
        <v xml:space="preserve">  Switchgear Insulated Case Breakers (Bus Mounted)</v>
      </c>
      <c r="D928" s="15">
        <f t="shared" si="28"/>
        <v>0</v>
      </c>
      <c r="E928" s="16"/>
      <c r="F928" s="17"/>
      <c r="G928" s="17"/>
      <c r="H928" s="17"/>
      <c r="I928" s="17"/>
      <c r="J928" s="17"/>
      <c r="K928" s="17"/>
      <c r="L928" s="12"/>
      <c r="M928" s="12"/>
      <c r="N928" s="12"/>
      <c r="O928" s="12"/>
      <c r="P928" s="12"/>
      <c r="Q928" s="17"/>
      <c r="R928" s="18">
        <f>IF(SUMPRODUCT((E928:Q928)*1)=0,0,E928*INDEX(Hours!M:M,MATCH(C928,Hours!$A:$A,0))+F928*INDEX(Hours!B:B,MATCH(C928,Hours!$A:$A,0))+G928*INDEX(Hours!C:C,MATCH(C928,Hours!$A:$A,0))+H928*INDEX(Hours!D:D,MATCH(C928,Hours!$A:$A,0))+I928*INDEX(Hours!E:E,MATCH(C928,Hours!$A:$A,0))+J928*INDEX(Hours!F:F,MATCH(C928,Hours!$A:$A,0))+K928*INDEX(Hours!G:G,MATCH(C928,Hours!$A:$A,0)))</f>
        <v>0</v>
      </c>
      <c r="S928" s="19">
        <f t="shared" si="29"/>
        <v>0</v>
      </c>
    </row>
    <row r="929" spans="1:19" x14ac:dyDescent="0.25">
      <c r="A929" s="15" t="str">
        <f>'Bldgs &amp; Rooms'!$A$27</f>
        <v>Main Bldg.</v>
      </c>
      <c r="B929" s="15">
        <f>'Bldgs &amp; Rooms'!$B$27</f>
        <v>0</v>
      </c>
      <c r="C929" s="14" t="str">
        <f>Hours!$A$4</f>
        <v xml:space="preserve">  SwitchGear Drawout Breakers</v>
      </c>
      <c r="D929" s="15">
        <f t="shared" si="28"/>
        <v>0</v>
      </c>
      <c r="E929" s="16"/>
      <c r="F929" s="17"/>
      <c r="G929" s="17"/>
      <c r="H929" s="17"/>
      <c r="I929" s="17"/>
      <c r="J929" s="17"/>
      <c r="K929" s="12"/>
      <c r="L929" s="17"/>
      <c r="M929" s="12"/>
      <c r="N929" s="12"/>
      <c r="O929" s="12"/>
      <c r="P929" s="12"/>
      <c r="Q929" s="17"/>
      <c r="R929" s="18">
        <f>IF(SUMPRODUCT((E929:Q929)*1)=0,0,E929*INDEX(Hours!M:M,MATCH(C929,Hours!$A:$A,0))+F929*INDEX(Hours!B:B,MATCH(C929,Hours!$A:$A,0))+G929*INDEX(Hours!C:C,MATCH(C929,Hours!$A:$A,0))+H929*INDEX(Hours!D:D,MATCH(C929,Hours!$A:$A,0))+I929*INDEX(Hours!E:E,MATCH(C929,Hours!$A:$A,0))+J929*INDEX(Hours!F:F,MATCH(C929,Hours!$A:$A,0))+L929*INDEX(Hours!H:H,MATCH(C929,Hours!$A:$A,0)))</f>
        <v>0</v>
      </c>
      <c r="S929" s="19">
        <f t="shared" si="29"/>
        <v>0</v>
      </c>
    </row>
    <row r="930" spans="1:19" x14ac:dyDescent="0.25">
      <c r="A930" s="15" t="str">
        <f>'Bldgs &amp; Rooms'!$A$27</f>
        <v>Main Bldg.</v>
      </c>
      <c r="B930" s="15">
        <f>'Bldgs &amp; Rooms'!$B$27</f>
        <v>0</v>
      </c>
      <c r="C930" s="14" t="str">
        <f>Hours!$A$5</f>
        <v>Distribution Switchboard Multi Cover (Per Section)</v>
      </c>
      <c r="D930" s="15">
        <f t="shared" si="28"/>
        <v>0</v>
      </c>
      <c r="E930" s="16"/>
      <c r="F930" s="17"/>
      <c r="G930" s="17"/>
      <c r="H930" s="17"/>
      <c r="I930" s="17"/>
      <c r="J930" s="17"/>
      <c r="K930" s="17"/>
      <c r="L930" s="12"/>
      <c r="M930" s="12"/>
      <c r="N930" s="12"/>
      <c r="O930" s="17"/>
      <c r="P930" s="12"/>
      <c r="Q930" s="17"/>
      <c r="R930" s="18">
        <f>IF(SUMPRODUCT((E930:Q930)*1)=0,0,E930*INDEX(Hours!M:M,MATCH(C930,Hours!$A:$A,0))+F930*INDEX(Hours!B:B,MATCH(C930,Hours!$A:$A,0))+G930*INDEX(Hours!C:C,MATCH(C930,Hours!$A:$A,0))+H930*INDEX(Hours!D:D,MATCH(C930,Hours!$A:$A,0))+I930*INDEX(Hours!E:E,MATCH(C930,Hours!$A:$A,0))+J930*INDEX(Hours!F:F,MATCH(C930,Hours!$A:$A,0))+K930*INDEX(Hours!G:G,MATCH(C930,Hours!$A:$A,0))+O930*INDEX(Hours!K:K,MATCH(C930,Hours!$A:$A,0)))</f>
        <v>0</v>
      </c>
      <c r="S930" s="19">
        <f t="shared" si="29"/>
        <v>0</v>
      </c>
    </row>
    <row r="931" spans="1:19" x14ac:dyDescent="0.25">
      <c r="A931" s="15" t="str">
        <f>'Bldgs &amp; Rooms'!$A$27</f>
        <v>Main Bldg.</v>
      </c>
      <c r="B931" s="15">
        <f>'Bldgs &amp; Rooms'!$B$27</f>
        <v>0</v>
      </c>
      <c r="C931" s="14" t="str">
        <f>Hours!$A$6</f>
        <v xml:space="preserve">  Switchboard Disconnects</v>
      </c>
      <c r="D931" s="15">
        <f t="shared" si="28"/>
        <v>0</v>
      </c>
      <c r="E931" s="16"/>
      <c r="F931" s="17"/>
      <c r="G931" s="17"/>
      <c r="H931" s="17"/>
      <c r="I931" s="17"/>
      <c r="J931" s="17"/>
      <c r="K931" s="12"/>
      <c r="L931" s="12"/>
      <c r="M931" s="12"/>
      <c r="N931" s="12"/>
      <c r="O931" s="12"/>
      <c r="P931" s="12"/>
      <c r="Q931" s="17"/>
      <c r="R931" s="18">
        <f>IF(SUMPRODUCT((E931:Q931)*1)=0,0,E931*INDEX(Hours!M:M,MATCH(C931,Hours!$A:$A,0))+F931*INDEX(Hours!B:B,MATCH(C931,Hours!$A:$A,0))+G931*INDEX(Hours!C:C,MATCH(C931,Hours!$A:$A,0))+H931*INDEX(Hours!D:D,MATCH(C931,Hours!$A:$A,0))+I931*INDEX(Hours!E:E,MATCH(C931,Hours!$A:$A,0))+J931*INDEX(Hours!F:F,MATCH(C931,Hours!$A:$A,0)))</f>
        <v>0</v>
      </c>
      <c r="S931" s="19">
        <f t="shared" si="29"/>
        <v>0</v>
      </c>
    </row>
    <row r="932" spans="1:19" x14ac:dyDescent="0.25">
      <c r="A932" s="15" t="str">
        <f>'Bldgs &amp; Rooms'!$A$27</f>
        <v>Main Bldg.</v>
      </c>
      <c r="B932" s="15">
        <f>'Bldgs &amp; Rooms'!$B$27</f>
        <v>0</v>
      </c>
      <c r="C932" s="14" t="str">
        <f>Hours!$A$7</f>
        <v xml:space="preserve">  Switchboard Molded Case Breakers</v>
      </c>
      <c r="D932" s="15">
        <f t="shared" si="28"/>
        <v>0</v>
      </c>
      <c r="E932" s="16"/>
      <c r="F932" s="17"/>
      <c r="G932" s="17"/>
      <c r="H932" s="17"/>
      <c r="I932" s="17"/>
      <c r="J932" s="17"/>
      <c r="K932" s="17"/>
      <c r="L932" s="12"/>
      <c r="M932" s="12"/>
      <c r="N932" s="12"/>
      <c r="O932" s="12"/>
      <c r="P932" s="12"/>
      <c r="Q932" s="17"/>
      <c r="R932" s="18">
        <f>IF(SUMPRODUCT((E932:Q932)*1)=0,0,E932*INDEX(Hours!M:M,MATCH(C932,Hours!$A:$A,0))+F932*INDEX(Hours!B:B,MATCH(C932,Hours!$A:$A,0))+G932*INDEX(Hours!C:C,MATCH(C932,Hours!$A:$A,0))+H932*INDEX(Hours!D:D,MATCH(C932,Hours!$A:$A,0))+I932*INDEX(Hours!E:E,MATCH(C932,Hours!$A:$A,0))+J932*INDEX(Hours!F:F,MATCH(C932,Hours!$A:$A,0))+K932*INDEX(Hours!G:G,MATCH(C932,Hours!$A:$A,0)))</f>
        <v>0</v>
      </c>
      <c r="S932" s="19">
        <f t="shared" si="29"/>
        <v>0</v>
      </c>
    </row>
    <row r="933" spans="1:19" x14ac:dyDescent="0.25">
      <c r="A933" s="15" t="str">
        <f>'Bldgs &amp; Rooms'!$A$27</f>
        <v>Main Bldg.</v>
      </c>
      <c r="B933" s="15">
        <f>'Bldgs &amp; Rooms'!$B$27</f>
        <v>0</v>
      </c>
      <c r="C933" s="14" t="str">
        <f>Hours!$A$8</f>
        <v>Panelboard-Single Cover &gt; 400A (Distribution Panel)</v>
      </c>
      <c r="D933" s="15">
        <f t="shared" si="28"/>
        <v>0</v>
      </c>
      <c r="E933" s="16"/>
      <c r="F933" s="17"/>
      <c r="G933" s="17"/>
      <c r="H933" s="17"/>
      <c r="I933" s="17"/>
      <c r="J933" s="17"/>
      <c r="K933" s="17"/>
      <c r="L933" s="12"/>
      <c r="M933" s="12"/>
      <c r="N933" s="12"/>
      <c r="O933" s="17"/>
      <c r="P933" s="12"/>
      <c r="Q933" s="17"/>
      <c r="R933" s="18">
        <f>IF(SUMPRODUCT((E933:Q933)*1)=0,0,E933*INDEX(Hours!M:M,MATCH(C933,Hours!$A:$A,0))+F933*INDEX(Hours!B:B,MATCH(C933,Hours!$A:$A,0))+G933*INDEX(Hours!C:C,MATCH(C933,Hours!$A:$A,0))+H933*INDEX(Hours!D:D,MATCH(C933,Hours!$A:$A,0))+I933*INDEX(Hours!E:E,MATCH(C933,Hours!$A:$A,0))+J933*INDEX(Hours!F:F,MATCH(C933,Hours!$A:$A,0))+K933*INDEX(Hours!G:G,MATCH(C933,Hours!$A:$A,0))+O933*INDEX(Hours!K:K,MATCH(C933,Hours!$A:$A,0)))</f>
        <v>0</v>
      </c>
      <c r="S933" s="19">
        <f t="shared" si="29"/>
        <v>0</v>
      </c>
    </row>
    <row r="934" spans="1:19" x14ac:dyDescent="0.25">
      <c r="A934" s="15" t="str">
        <f>'Bldgs &amp; Rooms'!$A$27</f>
        <v>Main Bldg.</v>
      </c>
      <c r="B934" s="15">
        <f>'Bldgs &amp; Rooms'!$B$27</f>
        <v>0</v>
      </c>
      <c r="C934" s="14" t="str">
        <f>Hours!$A$9</f>
        <v>Panelboard-Single Cover &lt; 400A (Branch Ckt Panel)</v>
      </c>
      <c r="D934" s="15">
        <f t="shared" si="28"/>
        <v>0</v>
      </c>
      <c r="E934" s="16"/>
      <c r="F934" s="17"/>
      <c r="G934" s="17"/>
      <c r="H934" s="17"/>
      <c r="I934" s="17"/>
      <c r="J934" s="17"/>
      <c r="K934" s="12"/>
      <c r="L934" s="12"/>
      <c r="M934" s="12"/>
      <c r="N934" s="12"/>
      <c r="O934" s="17"/>
      <c r="P934" s="12"/>
      <c r="Q934" s="17"/>
      <c r="R934" s="18">
        <f>IF(SUMPRODUCT((E934:Q934)*1)=0,0,E934*INDEX(Hours!M:M,MATCH(C934,Hours!$A:$A,0))+F934*INDEX(Hours!B:B,MATCH(C934,Hours!$A:$A,0))+G934*INDEX(Hours!C:C,MATCH(C934,Hours!$A:$A,0))+H934*INDEX(Hours!D:D,MATCH(C934,Hours!$A:$A,0))+I934*INDEX(Hours!E:E,MATCH(C934,Hours!$A:$A,0))+J934*INDEX(Hours!F:F,MATCH(C934,Hours!$A:$A,0))+O934*INDEX(Hours!K:K,MATCH(C934,Hours!$A:$A,0)))</f>
        <v>0</v>
      </c>
      <c r="S934" s="19">
        <f t="shared" si="29"/>
        <v>0</v>
      </c>
    </row>
    <row r="935" spans="1:19" x14ac:dyDescent="0.25">
      <c r="A935" s="15" t="str">
        <f>'Bldgs &amp; Rooms'!$A$27</f>
        <v>Main Bldg.</v>
      </c>
      <c r="B935" s="15">
        <f>'Bldgs &amp; Rooms'!$B$27</f>
        <v>0</v>
      </c>
      <c r="C935" s="14" t="str">
        <f>Hours!$A$10</f>
        <v>Motor Control Center (MCC-Per Vertical Section)</v>
      </c>
      <c r="D935" s="15">
        <f t="shared" si="28"/>
        <v>0</v>
      </c>
      <c r="E935" s="16"/>
      <c r="F935" s="17"/>
      <c r="G935" s="17"/>
      <c r="H935" s="17"/>
      <c r="I935" s="17"/>
      <c r="J935" s="17"/>
      <c r="K935" s="12"/>
      <c r="L935" s="12"/>
      <c r="M935" s="12"/>
      <c r="N935" s="12"/>
      <c r="O935" s="17"/>
      <c r="P935" s="12"/>
      <c r="Q935" s="17"/>
      <c r="R935" s="18">
        <f>IF(SUMPRODUCT((E935:Q935)*1)=0,0,E935*INDEX(Hours!M:M,MATCH(C935,Hours!$A:$A,0))+F935*INDEX(Hours!B:B,MATCH(C935,Hours!$A:$A,0))+G935*INDEX(Hours!C:C,MATCH(C935,Hours!$A:$A,0))+H935*INDEX(Hours!D:D,MATCH(C935,Hours!$A:$A,0))+I935*INDEX(Hours!E:E,MATCH(C935,Hours!$A:$A,0))+J935*INDEX(Hours!F:F,MATCH(C935,Hours!$A:$A,0))+O935*INDEX(Hours!K:K,MATCH(C935,Hours!$A:$A,0)))</f>
        <v>0</v>
      </c>
      <c r="S935" s="19">
        <f t="shared" si="29"/>
        <v>0</v>
      </c>
    </row>
    <row r="936" spans="1:19" x14ac:dyDescent="0.25">
      <c r="A936" s="15" t="str">
        <f>'Bldgs &amp; Rooms'!$A$27</f>
        <v>Main Bldg.</v>
      </c>
      <c r="B936" s="15">
        <f>'Bldgs &amp; Rooms'!$B$27</f>
        <v>0</v>
      </c>
      <c r="C936" s="14" t="str">
        <f>Hours!$A$11</f>
        <v xml:space="preserve">  MCC: Combination Motor Starters</v>
      </c>
      <c r="D936" s="15">
        <f t="shared" si="28"/>
        <v>0</v>
      </c>
      <c r="E936" s="16"/>
      <c r="F936" s="17"/>
      <c r="G936" s="17"/>
      <c r="H936" s="17"/>
      <c r="I936" s="17"/>
      <c r="J936" s="17"/>
      <c r="K936" s="17"/>
      <c r="L936" s="12"/>
      <c r="M936" s="12"/>
      <c r="N936" s="12"/>
      <c r="O936" s="17"/>
      <c r="P936" s="12"/>
      <c r="Q936" s="17"/>
      <c r="R936" s="18">
        <f>IF(SUMPRODUCT((E936:Q936)*1)=0,0,E936*INDEX(Hours!M:M,MATCH(C936,Hours!$A:$A,0))+F936*INDEX(Hours!B:B,MATCH(C936,Hours!$A:$A,0))+G936*INDEX(Hours!C:C,MATCH(C936,Hours!$A:$A,0))+H936*INDEX(Hours!D:D,MATCH(C936,Hours!$A:$A,0))+I936*INDEX(Hours!E:E,MATCH(C936,Hours!$A:$A,0))+J936*INDEX(Hours!F:F,MATCH(C936,Hours!$A:$A,0))+K936*INDEX(Hours!G:G,MATCH(C936,Hours!$A:$A,0))+O936*INDEX(Hours!K:K,MATCH(C936,Hours!$A:$A,0)))</f>
        <v>0</v>
      </c>
      <c r="S936" s="19">
        <f t="shared" si="29"/>
        <v>0</v>
      </c>
    </row>
    <row r="937" spans="1:19" x14ac:dyDescent="0.25">
      <c r="A937" s="15" t="str">
        <f>'Bldgs &amp; Rooms'!$A$27</f>
        <v>Main Bldg.</v>
      </c>
      <c r="B937" s="15">
        <f>'Bldgs &amp; Rooms'!$B$27</f>
        <v>0</v>
      </c>
      <c r="C937" s="14" t="str">
        <f>Hours!$A$12</f>
        <v xml:space="preserve">  MCC: Molded Case Breaker</v>
      </c>
      <c r="D937" s="15">
        <f t="shared" si="28"/>
        <v>0</v>
      </c>
      <c r="E937" s="16"/>
      <c r="F937" s="17"/>
      <c r="G937" s="17"/>
      <c r="H937" s="17"/>
      <c r="I937" s="17"/>
      <c r="J937" s="17"/>
      <c r="K937" s="17"/>
      <c r="L937" s="12"/>
      <c r="M937" s="12"/>
      <c r="N937" s="12"/>
      <c r="O937" s="12"/>
      <c r="P937" s="12"/>
      <c r="Q937" s="17"/>
      <c r="R937" s="18">
        <f>IF(SUMPRODUCT((E937:Q937)*1)=0,0,E937*INDEX(Hours!M:M,MATCH(C937,Hours!$A:$A,0))+F937*INDEX(Hours!B:B,MATCH(C937,Hours!$A:$A,0))+G937*INDEX(Hours!C:C,MATCH(C937,Hours!$A:$A,0))+H937*INDEX(Hours!D:D,MATCH(C937,Hours!$A:$A,0))+I937*INDEX(Hours!E:E,MATCH(C937,Hours!$A:$A,0))+J937*INDEX(Hours!F:F,MATCH(C937,Hours!$A:$A,0))+K937*INDEX(Hours!G:G,MATCH(C937,Hours!$A:$A,0)))</f>
        <v>0</v>
      </c>
      <c r="S937" s="19">
        <f t="shared" si="29"/>
        <v>0</v>
      </c>
    </row>
    <row r="938" spans="1:19" x14ac:dyDescent="0.25">
      <c r="A938" s="15" t="str">
        <f>'Bldgs &amp; Rooms'!$A$27</f>
        <v>Main Bldg.</v>
      </c>
      <c r="B938" s="15">
        <f>'Bldgs &amp; Rooms'!$B$27</f>
        <v>0</v>
      </c>
      <c r="C938" s="14" t="str">
        <f>Hours!$A$13</f>
        <v xml:space="preserve">  MCC: Individual Disconnect Switch</v>
      </c>
      <c r="D938" s="15">
        <f t="shared" si="28"/>
        <v>0</v>
      </c>
      <c r="E938" s="16"/>
      <c r="F938" s="17"/>
      <c r="G938" s="17"/>
      <c r="H938" s="17"/>
      <c r="I938" s="17"/>
      <c r="J938" s="17"/>
      <c r="K938" s="12"/>
      <c r="L938" s="12"/>
      <c r="M938" s="12"/>
      <c r="N938" s="12"/>
      <c r="O938" s="12"/>
      <c r="P938" s="12"/>
      <c r="Q938" s="17"/>
      <c r="R938" s="18">
        <f>IF(SUMPRODUCT((E938:Q938)*1)=0,0,E938*INDEX(Hours!M:M,MATCH(C938,Hours!$A:$A,0))+F938*INDEX(Hours!B:B,MATCH(C938,Hours!$A:$A,0))+G938*INDEX(Hours!C:C,MATCH(C938,Hours!$A:$A,0))+H938*INDEX(Hours!D:D,MATCH(C938,Hours!$A:$A,0))+I938*INDEX(Hours!E:E,MATCH(C938,Hours!$A:$A,0))+J938*INDEX(Hours!F:F,MATCH(C938,Hours!$A:$A,0)))</f>
        <v>0</v>
      </c>
      <c r="S938" s="19">
        <f t="shared" si="29"/>
        <v>0</v>
      </c>
    </row>
    <row r="939" spans="1:19" x14ac:dyDescent="0.25">
      <c r="A939" s="15" t="str">
        <f>'Bldgs &amp; Rooms'!$A$27</f>
        <v>Main Bldg.</v>
      </c>
      <c r="B939" s="15">
        <f>'Bldgs &amp; Rooms'!$B$27</f>
        <v>0</v>
      </c>
      <c r="C939" s="14" t="str">
        <f>Hours!$A$14</f>
        <v>Motor Control Panel (MCP)</v>
      </c>
      <c r="D939" s="15">
        <f t="shared" si="28"/>
        <v>0</v>
      </c>
      <c r="E939" s="16"/>
      <c r="F939" s="17"/>
      <c r="G939" s="17"/>
      <c r="H939" s="17"/>
      <c r="I939" s="17"/>
      <c r="J939" s="17"/>
      <c r="K939" s="12"/>
      <c r="L939" s="12"/>
      <c r="M939" s="12"/>
      <c r="N939" s="12"/>
      <c r="O939" s="17"/>
      <c r="P939" s="12"/>
      <c r="Q939" s="17"/>
      <c r="R939" s="18">
        <f>IF(SUMPRODUCT((E939:Q939)*1)=0,0,E939*INDEX(Hours!M:M,MATCH(C939,Hours!$A:$A,0))+F939*INDEX(Hours!B:B,MATCH(C939,Hours!$A:$A,0))+G939*INDEX(Hours!C:C,MATCH(C939,Hours!$A:$A,0))+H939*INDEX(Hours!D:D,MATCH(C939,Hours!$A:$A,0))+I939*INDEX(Hours!E:E,MATCH(C939,Hours!$A:$A,0))+J939*INDEX(Hours!F:F,MATCH(C939,Hours!$A:$A,0))+O939*INDEX(Hours!K:K,MATCH(C939,Hours!$A:$A,0)))</f>
        <v>0</v>
      </c>
      <c r="S939" s="19">
        <f t="shared" si="29"/>
        <v>0</v>
      </c>
    </row>
    <row r="940" spans="1:19" x14ac:dyDescent="0.25">
      <c r="A940" s="15" t="str">
        <f>'Bldgs &amp; Rooms'!$A$27</f>
        <v>Main Bldg.</v>
      </c>
      <c r="B940" s="15">
        <f>'Bldgs &amp; Rooms'!$B$27</f>
        <v>0</v>
      </c>
      <c r="C940" s="14" t="str">
        <f>Hours!$A$15</f>
        <v>VFD Motor Control Panel (VFD-MCP)</v>
      </c>
      <c r="D940" s="15">
        <f t="shared" si="28"/>
        <v>0</v>
      </c>
      <c r="E940" s="16"/>
      <c r="F940" s="17"/>
      <c r="G940" s="17"/>
      <c r="H940" s="17"/>
      <c r="I940" s="17"/>
      <c r="J940" s="17"/>
      <c r="K940" s="12"/>
      <c r="L940" s="12"/>
      <c r="M940" s="12"/>
      <c r="N940" s="12"/>
      <c r="O940" s="17"/>
      <c r="P940" s="12"/>
      <c r="Q940" s="17"/>
      <c r="R940" s="18">
        <f>IF(SUMPRODUCT((E940:Q940)*1)=0,0,E940*INDEX(Hours!M:M,MATCH(C940,Hours!$A:$A,0))+F940*INDEX(Hours!B:B,MATCH(C940,Hours!$A:$A,0))+G940*INDEX(Hours!C:C,MATCH(C940,Hours!$A:$A,0))+H940*INDEX(Hours!D:D,MATCH(C940,Hours!$A:$A,0))+I940*INDEX(Hours!E:E,MATCH(C940,Hours!$A:$A,0))+J940*INDEX(Hours!F:F,MATCH(C940,Hours!$A:$A,0))+O940*INDEX(Hours!K:K,MATCH(C940,Hours!$A:$A,0)))</f>
        <v>0</v>
      </c>
      <c r="S940" s="19">
        <f t="shared" si="29"/>
        <v>0</v>
      </c>
    </row>
    <row r="941" spans="1:19" x14ac:dyDescent="0.25">
      <c r="A941" s="15" t="str">
        <f>'Bldgs &amp; Rooms'!$A$27</f>
        <v>Main Bldg.</v>
      </c>
      <c r="B941" s="15">
        <f>'Bldgs &amp; Rooms'!$B$27</f>
        <v>0</v>
      </c>
      <c r="C941" s="14" t="str">
        <f>Hours!$A$16</f>
        <v>Individual Disconnect Switch &gt; 100A</v>
      </c>
      <c r="D941" s="15">
        <f t="shared" si="28"/>
        <v>0</v>
      </c>
      <c r="E941" s="16"/>
      <c r="F941" s="17"/>
      <c r="G941" s="17"/>
      <c r="H941" s="17"/>
      <c r="I941" s="17"/>
      <c r="J941" s="17"/>
      <c r="K941" s="17"/>
      <c r="L941" s="12"/>
      <c r="M941" s="12"/>
      <c r="N941" s="12"/>
      <c r="O941" s="12"/>
      <c r="P941" s="12"/>
      <c r="Q941" s="17"/>
      <c r="R941" s="18">
        <f>IF(SUMPRODUCT((E941:Q941)*1)=0,0,E941*INDEX(Hours!M:M,MATCH(C941,Hours!$A:$A,0))+F941*INDEX(Hours!B:B,MATCH(C941,Hours!$A:$A,0))+G941*INDEX(Hours!C:C,MATCH(C941,Hours!$A:$A,0))+H941*INDEX(Hours!D:D,MATCH(C941,Hours!$A:$A,0))+I941*INDEX(Hours!E:E,MATCH(C941,Hours!$A:$A,0))+J941*INDEX(Hours!F:F,MATCH(C941,Hours!$A:$A,0))+K941*INDEX(Hours!G:G,MATCH(C941,Hours!$A:$A,0)))</f>
        <v>0</v>
      </c>
      <c r="S941" s="19">
        <f t="shared" si="29"/>
        <v>0</v>
      </c>
    </row>
    <row r="942" spans="1:19" x14ac:dyDescent="0.25">
      <c r="A942" s="15" t="str">
        <f>'Bldgs &amp; Rooms'!$A$27</f>
        <v>Main Bldg.</v>
      </c>
      <c r="B942" s="15">
        <f>'Bldgs &amp; Rooms'!$B$27</f>
        <v>0</v>
      </c>
      <c r="C942" s="14" t="str">
        <f>Hours!$A$17</f>
        <v>Individual Molded Case Breaker &gt; 100A</v>
      </c>
      <c r="D942" s="15">
        <f t="shared" si="28"/>
        <v>0</v>
      </c>
      <c r="E942" s="16"/>
      <c r="F942" s="17"/>
      <c r="G942" s="17"/>
      <c r="H942" s="17"/>
      <c r="I942" s="17"/>
      <c r="J942" s="17"/>
      <c r="K942" s="17"/>
      <c r="L942" s="12"/>
      <c r="M942" s="12"/>
      <c r="N942" s="12"/>
      <c r="O942" s="12"/>
      <c r="P942" s="12"/>
      <c r="Q942" s="17"/>
      <c r="R942" s="18">
        <f>IF(SUMPRODUCT((E942:Q942)*1)=0,0,E942*INDEX(Hours!M:M,MATCH(C942,Hours!$A:$A,0))+F942*INDEX(Hours!B:B,MATCH(C942,Hours!$A:$A,0))+G942*INDEX(Hours!C:C,MATCH(C942,Hours!$A:$A,0))+H942*INDEX(Hours!D:D,MATCH(C942,Hours!$A:$A,0))+I942*INDEX(Hours!E:E,MATCH(C942,Hours!$A:$A,0))+J942*INDEX(Hours!F:F,MATCH(C942,Hours!$A:$A,0))+K942*INDEX(Hours!G:G,MATCH(C942,Hours!$A:$A,0)))</f>
        <v>0</v>
      </c>
      <c r="S942" s="19">
        <f t="shared" si="29"/>
        <v>0</v>
      </c>
    </row>
    <row r="943" spans="1:19" x14ac:dyDescent="0.25">
      <c r="A943" s="15" t="str">
        <f>'Bldgs &amp; Rooms'!$A$27</f>
        <v>Main Bldg.</v>
      </c>
      <c r="B943" s="15">
        <f>'Bldgs &amp; Rooms'!$B$27</f>
        <v>0</v>
      </c>
      <c r="C943" s="14" t="str">
        <f>Hours!$A$18</f>
        <v>Individual Combination Motor Starter &gt; 100A</v>
      </c>
      <c r="D943" s="15">
        <f t="shared" si="28"/>
        <v>0</v>
      </c>
      <c r="E943" s="16"/>
      <c r="F943" s="17"/>
      <c r="G943" s="17"/>
      <c r="H943" s="17"/>
      <c r="I943" s="17"/>
      <c r="J943" s="17"/>
      <c r="K943" s="17"/>
      <c r="L943" s="12"/>
      <c r="M943" s="12"/>
      <c r="N943" s="12"/>
      <c r="O943" s="12"/>
      <c r="P943" s="12"/>
      <c r="Q943" s="17"/>
      <c r="R943" s="18">
        <f>IF(SUMPRODUCT((E943:Q943)*1)=0,0,E943*INDEX(Hours!M:M,MATCH(C943,Hours!$A:$A,0))+F943*INDEX(Hours!B:B,MATCH(C943,Hours!$A:$A,0))+G943*INDEX(Hours!C:C,MATCH(C943,Hours!$A:$A,0))+H943*INDEX(Hours!D:D,MATCH(C943,Hours!$A:$A,0))+I943*INDEX(Hours!E:E,MATCH(C943,Hours!$A:$A,0))+J943*INDEX(Hours!F:F,MATCH(C943,Hours!$A:$A,0))+K943*INDEX(Hours!G:G,MATCH(C943,Hours!$A:$A,0)))</f>
        <v>0</v>
      </c>
      <c r="S943" s="19">
        <f t="shared" si="29"/>
        <v>0</v>
      </c>
    </row>
    <row r="944" spans="1:19" x14ac:dyDescent="0.25">
      <c r="A944" s="15" t="str">
        <f>'Bldgs &amp; Rooms'!$A$27</f>
        <v>Main Bldg.</v>
      </c>
      <c r="B944" s="15">
        <f>'Bldgs &amp; Rooms'!$B$27</f>
        <v>0</v>
      </c>
      <c r="C944" s="14" t="str">
        <f>Hours!$A$19</f>
        <v>Oil Filled Transformer - 5kV-15kV Primary - Any Size (Pad Mounted)</v>
      </c>
      <c r="D944" s="15">
        <f t="shared" si="28"/>
        <v>0</v>
      </c>
      <c r="E944" s="16"/>
      <c r="F944" s="17"/>
      <c r="G944" s="17"/>
      <c r="H944" s="17"/>
      <c r="I944" s="17"/>
      <c r="J944" s="17"/>
      <c r="K944" s="12"/>
      <c r="L944" s="12"/>
      <c r="M944" s="17"/>
      <c r="N944" s="17"/>
      <c r="O944" s="12"/>
      <c r="P944" s="17"/>
      <c r="Q944" s="17"/>
      <c r="R944" s="18">
        <f>IF(SUMPRODUCT((E944:Q944)*1)=0,0,E944*INDEX(Hours!M:M,MATCH(C944,Hours!$A:$A,0))+F944*INDEX(Hours!B:B,MATCH(C944,Hours!$A:$A,0))+G944*INDEX(Hours!C:C,MATCH(C944,Hours!$A:$A,0))+H944*INDEX(Hours!D:D,MATCH(C944,Hours!$A:$A,0))+I944*INDEX(Hours!E:E,MATCH(C944,Hours!$A:$A,0))+J944*INDEX(Hours!F:F,MATCH(C944,Hours!$A:$A,0))+M944*INDEX(Hours!I:I,MATCH(C944,Hours!$A:$A,0))+N944*INDEX(Hours!J:J,MATCH(C944,Hours!$A:$A,0))+P944*INDEX(Hours!L:L,MATCH(C944,Hours!$A:$A,0)))</f>
        <v>0</v>
      </c>
      <c r="S944" s="19">
        <f t="shared" si="29"/>
        <v>0</v>
      </c>
    </row>
    <row r="945" spans="1:19" x14ac:dyDescent="0.25">
      <c r="A945" s="15" t="str">
        <f>'Bldgs &amp; Rooms'!$A$27</f>
        <v>Main Bldg.</v>
      </c>
      <c r="B945" s="15">
        <f>'Bldgs &amp; Rooms'!$B$27</f>
        <v>0</v>
      </c>
      <c r="C945" s="14" t="str">
        <f>Hours!$A$20</f>
        <v>Oil Filled Transformer - &gt; 15kV Primary (Substation Class)</v>
      </c>
      <c r="D945" s="15">
        <f t="shared" si="28"/>
        <v>0</v>
      </c>
      <c r="E945" s="16"/>
      <c r="F945" s="17"/>
      <c r="G945" s="17"/>
      <c r="H945" s="17"/>
      <c r="I945" s="17"/>
      <c r="J945" s="17"/>
      <c r="K945" s="12"/>
      <c r="L945" s="12"/>
      <c r="M945" s="17"/>
      <c r="N945" s="17"/>
      <c r="O945" s="12"/>
      <c r="P945" s="17"/>
      <c r="Q945" s="17"/>
      <c r="R945" s="18">
        <f>IF(SUMPRODUCT((E945:Q945)*1)=0,0,E945*INDEX(Hours!M:M,MATCH(C945,Hours!$A:$A,0))+F945*INDEX(Hours!B:B,MATCH(C945,Hours!$A:$A,0))+G945*INDEX(Hours!C:C,MATCH(C945,Hours!$A:$A,0))+H945*INDEX(Hours!D:D,MATCH(C945,Hours!$A:$A,0))+I945*INDEX(Hours!E:E,MATCH(C945,Hours!$A:$A,0))+J945*INDEX(Hours!F:F,MATCH(C945,Hours!$A:$A,0))+M945*INDEX(Hours!I:I,MATCH(C945,Hours!$A:$A,0))+N945*INDEX(Hours!J:J,MATCH(C945,Hours!$A:$A,0))+P945*INDEX(Hours!L:L,MATCH(C945,Hours!$A:$A,0)))</f>
        <v>0</v>
      </c>
      <c r="S945" s="19">
        <f t="shared" si="29"/>
        <v>0</v>
      </c>
    </row>
    <row r="946" spans="1:19" x14ac:dyDescent="0.25">
      <c r="A946" s="15" t="str">
        <f>'Bldgs &amp; Rooms'!$A$27</f>
        <v>Main Bldg.</v>
      </c>
      <c r="B946" s="15">
        <f>'Bldgs &amp; Rooms'!$B$27</f>
        <v>0</v>
      </c>
      <c r="C946" s="14" t="str">
        <f>Hours!$A$21</f>
        <v>Dry Type Transformer - &lt; 480V Primary - Any Size kVA</v>
      </c>
      <c r="D946" s="15">
        <f t="shared" si="28"/>
        <v>0</v>
      </c>
      <c r="E946" s="16"/>
      <c r="F946" s="17"/>
      <c r="G946" s="17"/>
      <c r="H946" s="17"/>
      <c r="I946" s="17"/>
      <c r="J946" s="17"/>
      <c r="K946" s="12"/>
      <c r="L946" s="12"/>
      <c r="M946" s="17"/>
      <c r="N946" s="17"/>
      <c r="O946" s="12"/>
      <c r="P946" s="12"/>
      <c r="Q946" s="17"/>
      <c r="R946" s="18">
        <f>IF(SUMPRODUCT((E946:Q946)*1)=0,0,E946*INDEX(Hours!M:M,MATCH(C946,Hours!$A:$A,0))+F946*INDEX(Hours!B:B,MATCH(C946,Hours!$A:$A,0))+G946*INDEX(Hours!C:C,MATCH(C946,Hours!$A:$A,0))+H946*INDEX(Hours!D:D,MATCH(C946,Hours!$A:$A,0))+I946*INDEX(Hours!E:E,MATCH(C946,Hours!$A:$A,0))+J946*INDEX(Hours!F:F,MATCH(C946,Hours!$A:$A,0))+M946*INDEX(Hours!I:I,MATCH(C946,Hours!$A:$A,0))+N946*INDEX(Hours!J:J,MATCH(C946,Hours!$A:$A,0)))</f>
        <v>0</v>
      </c>
      <c r="S946" s="19">
        <f t="shared" si="29"/>
        <v>0</v>
      </c>
    </row>
    <row r="947" spans="1:19" x14ac:dyDescent="0.25">
      <c r="A947" s="15" t="str">
        <f>'Bldgs &amp; Rooms'!$A$27</f>
        <v>Main Bldg.</v>
      </c>
      <c r="B947" s="15">
        <f>'Bldgs &amp; Rooms'!$B$27</f>
        <v>0</v>
      </c>
      <c r="C947" s="14" t="str">
        <f>Hours!$A$22</f>
        <v>Power Factor Correction Capacitors</v>
      </c>
      <c r="D947" s="15">
        <f t="shared" si="28"/>
        <v>0</v>
      </c>
      <c r="E947" s="16"/>
      <c r="F947" s="17"/>
      <c r="G947" s="17"/>
      <c r="H947" s="17"/>
      <c r="I947" s="17"/>
      <c r="J947" s="17"/>
      <c r="K947" s="12"/>
      <c r="L947" s="12"/>
      <c r="M947" s="12"/>
      <c r="N947" s="12"/>
      <c r="O947" s="12"/>
      <c r="P947" s="12"/>
      <c r="Q947" s="17"/>
      <c r="R947" s="18">
        <f>IF(SUMPRODUCT((E947:Q947)*1)=0,0,E947*INDEX(Hours!M:M,MATCH(C947,Hours!$A:$A,0))+F947*INDEX(Hours!B:B,MATCH(C947,Hours!$A:$A,0))+G947*INDEX(Hours!C:C,MATCH(C947,Hours!$A:$A,0))+H947*INDEX(Hours!D:D,MATCH(C947,Hours!$A:$A,0))+I947*INDEX(Hours!E:E,MATCH(C947,Hours!$A:$A,0))+J947*INDEX(Hours!F:F,MATCH(C947,Hours!$A:$A,0)))</f>
        <v>0</v>
      </c>
      <c r="S947" s="19">
        <f t="shared" si="29"/>
        <v>0</v>
      </c>
    </row>
    <row r="948" spans="1:19" x14ac:dyDescent="0.25">
      <c r="A948" s="15" t="str">
        <f>'Bldgs &amp; Rooms'!$A$27</f>
        <v>Main Bldg.</v>
      </c>
      <c r="B948" s="15">
        <f>'Bldgs &amp; Rooms'!$B$27</f>
        <v>0</v>
      </c>
      <c r="C948" s="14" t="str">
        <f>Hours!$A$23</f>
        <v>Lighting Contactor &gt; 100A</v>
      </c>
      <c r="D948" s="15">
        <f t="shared" si="28"/>
        <v>0</v>
      </c>
      <c r="E948" s="16"/>
      <c r="F948" s="17"/>
      <c r="G948" s="17"/>
      <c r="H948" s="17"/>
      <c r="I948" s="17"/>
      <c r="J948" s="17"/>
      <c r="K948" s="12"/>
      <c r="L948" s="12"/>
      <c r="M948" s="12"/>
      <c r="N948" s="12"/>
      <c r="O948" s="12"/>
      <c r="P948" s="12"/>
      <c r="Q948" s="17"/>
      <c r="R948" s="18">
        <f>IF(SUMPRODUCT((E948:Q948)*1)=0,0,E948*INDEX(Hours!M:M,MATCH(C948,Hours!$A:$A,0))+F948*INDEX(Hours!B:B,MATCH(C948,Hours!$A:$A,0))+G948*INDEX(Hours!C:C,MATCH(C948,Hours!$A:$A,0))+H948*INDEX(Hours!D:D,MATCH(C948,Hours!$A:$A,0))+I948*INDEX(Hours!E:E,MATCH(C948,Hours!$A:$A,0))+J948*INDEX(Hours!F:F,MATCH(C948,Hours!$A:$A,0)))</f>
        <v>0</v>
      </c>
      <c r="S948" s="19">
        <f t="shared" si="29"/>
        <v>0</v>
      </c>
    </row>
    <row r="949" spans="1:19" x14ac:dyDescent="0.25">
      <c r="A949" s="15" t="str">
        <f>'Bldgs &amp; Rooms'!$A$27</f>
        <v>Main Bldg.</v>
      </c>
      <c r="B949" s="15">
        <f>'Bldgs &amp; Rooms'!$B$27</f>
        <v>0</v>
      </c>
      <c r="C949" s="14" t="str">
        <f>Hours!$A$24</f>
        <v>Power Distribution Unit (PDU)</v>
      </c>
      <c r="D949" s="15">
        <f t="shared" si="28"/>
        <v>0</v>
      </c>
      <c r="E949" s="16"/>
      <c r="F949" s="17"/>
      <c r="G949" s="17"/>
      <c r="H949" s="17"/>
      <c r="I949" s="17"/>
      <c r="J949" s="17"/>
      <c r="K949" s="12"/>
      <c r="L949" s="12"/>
      <c r="M949" s="12"/>
      <c r="N949" s="12"/>
      <c r="O949" s="12"/>
      <c r="P949" s="12"/>
      <c r="Q949" s="17"/>
      <c r="R949" s="18">
        <f>IF(SUMPRODUCT((E949:Q949)*1)=0,0,E949*INDEX(Hours!M:M,MATCH(C949,Hours!$A:$A,0))+F949*INDEX(Hours!B:B,MATCH(C949,Hours!$A:$A,0))+G949*INDEX(Hours!C:C,MATCH(C949,Hours!$A:$A,0))+H949*INDEX(Hours!D:D,MATCH(C949,Hours!$A:$A,0))+I949*INDEX(Hours!E:E,MATCH(C949,Hours!$A:$A,0))+J949*INDEX(Hours!F:F,MATCH(C949,Hours!$A:$A,0)))</f>
        <v>0</v>
      </c>
      <c r="S949" s="19">
        <f t="shared" si="29"/>
        <v>0</v>
      </c>
    </row>
    <row r="950" spans="1:19" x14ac:dyDescent="0.25">
      <c r="A950" s="15" t="str">
        <f>'Bldgs &amp; Rooms'!$A$27</f>
        <v>Main Bldg.</v>
      </c>
      <c r="B950" s="15">
        <f>'Bldgs &amp; Rooms'!$B$27</f>
        <v>0</v>
      </c>
      <c r="C950" s="14" t="str">
        <f>Hours!$A$25</f>
        <v>Wire Trough, Gutter, or Large Junction Boxes</v>
      </c>
      <c r="D950" s="15">
        <f t="shared" si="28"/>
        <v>0</v>
      </c>
      <c r="E950" s="16"/>
      <c r="F950" s="17"/>
      <c r="G950" s="17"/>
      <c r="H950" s="17"/>
      <c r="I950" s="17"/>
      <c r="J950" s="17"/>
      <c r="K950" s="12"/>
      <c r="L950" s="12"/>
      <c r="M950" s="12"/>
      <c r="N950" s="12"/>
      <c r="O950" s="12"/>
      <c r="P950" s="12"/>
      <c r="Q950" s="17"/>
      <c r="R950" s="18">
        <f>IF(SUMPRODUCT((E950:Q950)*1)=0,0,E950*INDEX(Hours!M:M,MATCH(C950,Hours!$A:$A,0))+F950*INDEX(Hours!B:B,MATCH(C950,Hours!$A:$A,0))+G950*INDEX(Hours!C:C,MATCH(C950,Hours!$A:$A,0))+H950*INDEX(Hours!D:D,MATCH(C950,Hours!$A:$A,0))+I950*INDEX(Hours!E:E,MATCH(C950,Hours!$A:$A,0))+J950*INDEX(Hours!F:F,MATCH(C950,Hours!$A:$A,0)))</f>
        <v>0</v>
      </c>
      <c r="S950" s="19">
        <f t="shared" si="29"/>
        <v>0</v>
      </c>
    </row>
    <row r="951" spans="1:19" x14ac:dyDescent="0.25">
      <c r="A951" s="15" t="str">
        <f>'Bldgs &amp; Rooms'!$A$27</f>
        <v>Main Bldg.</v>
      </c>
      <c r="B951" s="15">
        <f>'Bldgs &amp; Rooms'!$B$27</f>
        <v>0</v>
      </c>
      <c r="C951" s="14" t="str">
        <f>Hours!$A$26</f>
        <v>Bus Duct - Vertical or Horizontal (Per 10' section)</v>
      </c>
      <c r="D951" s="15">
        <f t="shared" si="28"/>
        <v>0</v>
      </c>
      <c r="E951" s="16"/>
      <c r="F951" s="17"/>
      <c r="G951" s="17"/>
      <c r="H951" s="17"/>
      <c r="I951" s="17"/>
      <c r="J951" s="17"/>
      <c r="K951" s="12"/>
      <c r="L951" s="12"/>
      <c r="M951" s="12"/>
      <c r="N951" s="12"/>
      <c r="O951" s="12"/>
      <c r="P951" s="12"/>
      <c r="Q951" s="17"/>
      <c r="R951" s="18">
        <f>IF(SUMPRODUCT((E951:Q951)*1)=0,0,E951*INDEX(Hours!M:M,MATCH(C951,Hours!$A:$A,0))+F951*INDEX(Hours!B:B,MATCH(C951,Hours!$A:$A,0))+G951*INDEX(Hours!C:C,MATCH(C951,Hours!$A:$A,0))+H951*INDEX(Hours!D:D,MATCH(C951,Hours!$A:$A,0))+I951*INDEX(Hours!E:E,MATCH(C951,Hours!$A:$A,0))+J951*INDEX(Hours!F:F,MATCH(C951,Hours!$A:$A,0)))</f>
        <v>0</v>
      </c>
      <c r="S951" s="19">
        <f t="shared" si="29"/>
        <v>0</v>
      </c>
    </row>
    <row r="952" spans="1:19" x14ac:dyDescent="0.25">
      <c r="A952" s="15" t="str">
        <f>'Bldgs &amp; Rooms'!$A$27</f>
        <v>Main Bldg.</v>
      </c>
      <c r="B952" s="15">
        <f>'Bldgs &amp; Rooms'!$B$27</f>
        <v>0</v>
      </c>
      <c r="C952" s="14" t="str">
        <f>Hours!$A$27</f>
        <v>Automatic Transfer Switch (ATS) &gt; 100A</v>
      </c>
      <c r="D952" s="15">
        <f t="shared" si="28"/>
        <v>0</v>
      </c>
      <c r="E952" s="16"/>
      <c r="F952" s="17"/>
      <c r="G952" s="17"/>
      <c r="H952" s="17"/>
      <c r="I952" s="17"/>
      <c r="J952" s="17"/>
      <c r="K952" s="12"/>
      <c r="L952" s="12"/>
      <c r="M952" s="12"/>
      <c r="N952" s="12"/>
      <c r="O952" s="12"/>
      <c r="P952" s="12"/>
      <c r="Q952" s="17"/>
      <c r="R952" s="18">
        <f>IF(SUMPRODUCT((E952:Q952)*1)=0,0,E952*INDEX(Hours!M:M,MATCH(C952,Hours!$A:$A,0))+F952*INDEX(Hours!B:B,MATCH(C952,Hours!$A:$A,0))+G952*INDEX(Hours!C:C,MATCH(C952,Hours!$A:$A,0))+H952*INDEX(Hours!D:D,MATCH(C952,Hours!$A:$A,0))+I952*INDEX(Hours!E:E,MATCH(C952,Hours!$A:$A,0))+J952*INDEX(Hours!F:F,MATCH(C952,Hours!$A:$A,0)))</f>
        <v>0</v>
      </c>
      <c r="S952" s="19">
        <f t="shared" si="29"/>
        <v>0</v>
      </c>
    </row>
    <row r="953" spans="1:19" x14ac:dyDescent="0.25">
      <c r="A953" s="15" t="str">
        <f>'Bldgs &amp; Rooms'!$A$27</f>
        <v>Main Bldg.</v>
      </c>
      <c r="B953" s="15">
        <f>'Bldgs &amp; Rooms'!$B$27</f>
        <v>0</v>
      </c>
      <c r="C953" s="14" t="str">
        <f>Hours!$A$28</f>
        <v>Manual Transfer Switch (MTS) &gt; 100A</v>
      </c>
      <c r="D953" s="15">
        <f t="shared" si="28"/>
        <v>0</v>
      </c>
      <c r="E953" s="16"/>
      <c r="F953" s="17"/>
      <c r="G953" s="17"/>
      <c r="H953" s="17"/>
      <c r="I953" s="17"/>
      <c r="J953" s="17"/>
      <c r="K953" s="12"/>
      <c r="L953" s="12"/>
      <c r="M953" s="12"/>
      <c r="N953" s="12"/>
      <c r="O953" s="12"/>
      <c r="P953" s="12"/>
      <c r="Q953" s="17"/>
      <c r="R953" s="18">
        <f>IF(SUMPRODUCT((E953:Q953)*1)=0,0,E953*INDEX(Hours!M:M,MATCH(C953,Hours!$A:$A,0))+F953*INDEX(Hours!B:B,MATCH(C953,Hours!$A:$A,0))+G953*INDEX(Hours!C:C,MATCH(C953,Hours!$A:$A,0))+H953*INDEX(Hours!D:D,MATCH(C953,Hours!$A:$A,0))+I953*INDEX(Hours!E:E,MATCH(C953,Hours!$A:$A,0))+J953*INDEX(Hours!F:F,MATCH(C953,Hours!$A:$A,0)))</f>
        <v>0</v>
      </c>
      <c r="S953" s="19">
        <f t="shared" si="29"/>
        <v>0</v>
      </c>
    </row>
    <row r="954" spans="1:19" x14ac:dyDescent="0.25">
      <c r="A954" s="15" t="str">
        <f>'Bldgs &amp; Rooms'!$A$27</f>
        <v>Main Bldg.</v>
      </c>
      <c r="B954" s="15">
        <f>'Bldgs &amp; Rooms'!$B$27</f>
        <v>0</v>
      </c>
      <c r="C954" s="14" t="str">
        <f>Hours!$A$29</f>
        <v>Variable Frequency Drives (VFD) &lt; 50 HP</v>
      </c>
      <c r="D954" s="15">
        <f t="shared" si="28"/>
        <v>0</v>
      </c>
      <c r="E954" s="16"/>
      <c r="F954" s="17"/>
      <c r="G954" s="17"/>
      <c r="H954" s="17"/>
      <c r="I954" s="17"/>
      <c r="J954" s="17"/>
      <c r="K954" s="12"/>
      <c r="L954" s="12"/>
      <c r="M954" s="12"/>
      <c r="N954" s="12"/>
      <c r="O954" s="12"/>
      <c r="P954" s="12"/>
      <c r="Q954" s="17"/>
      <c r="R954" s="18">
        <f>IF(SUMPRODUCT((E954:Q954)*1)=0,0,E954*INDEX(Hours!M:M,MATCH(C954,Hours!$A:$A,0))+F954*INDEX(Hours!B:B,MATCH(C954,Hours!$A:$A,0))+G954*INDEX(Hours!C:C,MATCH(C954,Hours!$A:$A,0))+H954*INDEX(Hours!D:D,MATCH(C954,Hours!$A:$A,0))+I954*INDEX(Hours!E:E,MATCH(C954,Hours!$A:$A,0))+J954*INDEX(Hours!F:F,MATCH(C954,Hours!$A:$A,0)))</f>
        <v>0</v>
      </c>
      <c r="S954" s="19">
        <f t="shared" si="29"/>
        <v>0</v>
      </c>
    </row>
    <row r="955" spans="1:19" x14ac:dyDescent="0.25">
      <c r="A955" s="15" t="str">
        <f>'Bldgs &amp; Rooms'!$A$27</f>
        <v>Main Bldg.</v>
      </c>
      <c r="B955" s="15">
        <f>'Bldgs &amp; Rooms'!$B$27</f>
        <v>0</v>
      </c>
      <c r="C955" s="14" t="str">
        <f>Hours!$A$30</f>
        <v>Variable Frequency Drives (VFD) 51-200 HP</v>
      </c>
      <c r="D955" s="15">
        <f t="shared" si="28"/>
        <v>0</v>
      </c>
      <c r="E955" s="16"/>
      <c r="F955" s="17"/>
      <c r="G955" s="17"/>
      <c r="H955" s="17"/>
      <c r="I955" s="17"/>
      <c r="J955" s="17"/>
      <c r="K955" s="12"/>
      <c r="L955" s="12"/>
      <c r="M955" s="12"/>
      <c r="N955" s="12"/>
      <c r="O955" s="12"/>
      <c r="P955" s="12"/>
      <c r="Q955" s="17"/>
      <c r="R955" s="18">
        <f>IF(SUMPRODUCT((E955:Q955)*1)=0,0,E955*INDEX(Hours!M:M,MATCH(C955,Hours!$A:$A,0))+F955*INDEX(Hours!B:B,MATCH(C955,Hours!$A:$A,0))+G955*INDEX(Hours!C:C,MATCH(C955,Hours!$A:$A,0))+H955*INDEX(Hours!D:D,MATCH(C955,Hours!$A:$A,0))+I955*INDEX(Hours!E:E,MATCH(C955,Hours!$A:$A,0))+J955*INDEX(Hours!F:F,MATCH(C955,Hours!$A:$A,0)))</f>
        <v>0</v>
      </c>
      <c r="S955" s="19">
        <f t="shared" si="29"/>
        <v>0</v>
      </c>
    </row>
    <row r="956" spans="1:19" x14ac:dyDescent="0.25">
      <c r="A956" s="15" t="str">
        <f>'Bldgs &amp; Rooms'!$A$27</f>
        <v>Main Bldg.</v>
      </c>
      <c r="B956" s="15">
        <f>'Bldgs &amp; Rooms'!$B$27</f>
        <v>0</v>
      </c>
      <c r="C956" s="14" t="str">
        <f>Hours!$A$31</f>
        <v>Motors &lt; 50 HP</v>
      </c>
      <c r="D956" s="15">
        <f t="shared" si="28"/>
        <v>0</v>
      </c>
      <c r="E956" s="16"/>
      <c r="F956" s="17"/>
      <c r="G956" s="17"/>
      <c r="H956" s="17"/>
      <c r="I956" s="17"/>
      <c r="J956" s="17"/>
      <c r="K956" s="12"/>
      <c r="L956" s="12"/>
      <c r="M956" s="12"/>
      <c r="N956" s="12"/>
      <c r="O956" s="12"/>
      <c r="P956" s="12"/>
      <c r="Q956" s="17"/>
      <c r="R956" s="18">
        <f>IF(SUMPRODUCT((E956:Q956)*1)=0,0,E956*INDEX(Hours!M:M,MATCH(C956,Hours!$A:$A,0))+F956*INDEX(Hours!B:B,MATCH(C956,Hours!$A:$A,0))+G956*INDEX(Hours!C:C,MATCH(C956,Hours!$A:$A,0))+H956*INDEX(Hours!D:D,MATCH(C956,Hours!$A:$A,0))+I956*INDEX(Hours!E:E,MATCH(C956,Hours!$A:$A,0))+J956*INDEX(Hours!F:F,MATCH(C956,Hours!$A:$A,0)))</f>
        <v>0</v>
      </c>
      <c r="S956" s="19">
        <f t="shared" si="29"/>
        <v>0</v>
      </c>
    </row>
    <row r="957" spans="1:19" x14ac:dyDescent="0.25">
      <c r="A957" s="15" t="str">
        <f>'Bldgs &amp; Rooms'!$A$27</f>
        <v>Main Bldg.</v>
      </c>
      <c r="B957" s="15">
        <f>'Bldgs &amp; Rooms'!$B$27</f>
        <v>0</v>
      </c>
      <c r="C957" s="14" t="str">
        <f>Hours!$A$32</f>
        <v>Motors 51-200 HP</v>
      </c>
      <c r="D957" s="15">
        <f t="shared" si="28"/>
        <v>0</v>
      </c>
      <c r="E957" s="16"/>
      <c r="F957" s="17"/>
      <c r="G957" s="17"/>
      <c r="H957" s="17"/>
      <c r="I957" s="17"/>
      <c r="J957" s="17"/>
      <c r="K957" s="12"/>
      <c r="L957" s="12"/>
      <c r="M957" s="12"/>
      <c r="N957" s="12"/>
      <c r="O957" s="12"/>
      <c r="P957" s="12"/>
      <c r="Q957" s="17"/>
      <c r="R957" s="18">
        <f>IF(SUMPRODUCT((E957:Q957)*1)=0,0,E957*INDEX(Hours!M:M,MATCH(C957,Hours!$A:$A,0))+F957*INDEX(Hours!B:B,MATCH(C957,Hours!$A:$A,0))+G957*INDEX(Hours!C:C,MATCH(C957,Hours!$A:$A,0))+H957*INDEX(Hours!D:D,MATCH(C957,Hours!$A:$A,0))+I957*INDEX(Hours!E:E,MATCH(C957,Hours!$A:$A,0))+J957*INDEX(Hours!F:F,MATCH(C957,Hours!$A:$A,0)))</f>
        <v>0</v>
      </c>
      <c r="S957" s="19">
        <f t="shared" si="29"/>
        <v>0</v>
      </c>
    </row>
    <row r="958" spans="1:19" x14ac:dyDescent="0.25">
      <c r="A958" s="15" t="str">
        <f>'Bldgs &amp; Rooms'!$A$27</f>
        <v>Main Bldg.</v>
      </c>
      <c r="B958" s="15">
        <f>'Bldgs &amp; Rooms'!$B$27</f>
        <v>0</v>
      </c>
      <c r="C958" s="14" t="str">
        <f>Hours!$A$33</f>
        <v>Motors 201-500 HP</v>
      </c>
      <c r="D958" s="15">
        <f t="shared" si="28"/>
        <v>0</v>
      </c>
      <c r="E958" s="16"/>
      <c r="F958" s="17"/>
      <c r="G958" s="17"/>
      <c r="H958" s="17"/>
      <c r="I958" s="17"/>
      <c r="J958" s="17"/>
      <c r="K958" s="12"/>
      <c r="L958" s="12"/>
      <c r="M958" s="12"/>
      <c r="N958" s="12"/>
      <c r="O958" s="12"/>
      <c r="P958" s="12"/>
      <c r="Q958" s="17"/>
      <c r="R958" s="18">
        <f>IF(SUMPRODUCT((E958:Q958)*1)=0,0,E958*INDEX(Hours!M:M,MATCH(C958,Hours!$A:$A,0))+F958*INDEX(Hours!B:B,MATCH(C958,Hours!$A:$A,0))+G958*INDEX(Hours!C:C,MATCH(C958,Hours!$A:$A,0))+H958*INDEX(Hours!D:D,MATCH(C958,Hours!$A:$A,0))+I958*INDEX(Hours!E:E,MATCH(C958,Hours!$A:$A,0))+J958*INDEX(Hours!F:F,MATCH(C958,Hours!$A:$A,0)))</f>
        <v>0</v>
      </c>
      <c r="S958" s="19">
        <f t="shared" si="29"/>
        <v>0</v>
      </c>
    </row>
    <row r="959" spans="1:19" x14ac:dyDescent="0.25">
      <c r="A959" s="15" t="str">
        <f>'Bldgs &amp; Rooms'!$A$27</f>
        <v>Main Bldg.</v>
      </c>
      <c r="B959" s="15">
        <f>'Bldgs &amp; Rooms'!$B$27</f>
        <v>0</v>
      </c>
      <c r="C959" s="14" t="str">
        <f>Hours!$A$34</f>
        <v>Compressed Air Equipment</v>
      </c>
      <c r="D959" s="15">
        <f t="shared" si="28"/>
        <v>0</v>
      </c>
      <c r="E959" s="16"/>
      <c r="F959" s="17"/>
      <c r="G959" s="17"/>
      <c r="H959" s="17"/>
      <c r="I959" s="17"/>
      <c r="J959" s="17"/>
      <c r="K959" s="12"/>
      <c r="L959" s="12"/>
      <c r="M959" s="12"/>
      <c r="N959" s="12"/>
      <c r="O959" s="12"/>
      <c r="P959" s="12"/>
      <c r="Q959" s="17"/>
      <c r="R959" s="18">
        <f>IF(SUMPRODUCT((E959:Q959)*1)=0,0,E959*INDEX(Hours!M:M,MATCH(C959,Hours!$A:$A,0))+F959*INDEX(Hours!B:B,MATCH(C959,Hours!$A:$A,0))+G959*INDEX(Hours!C:C,MATCH(C959,Hours!$A:$A,0))+H959*INDEX(Hours!D:D,MATCH(C959,Hours!$A:$A,0))+I959*INDEX(Hours!E:E,MATCH(C959,Hours!$A:$A,0))+J959*INDEX(Hours!F:F,MATCH(C959,Hours!$A:$A,0)))</f>
        <v>0</v>
      </c>
      <c r="S959" s="19">
        <f t="shared" si="29"/>
        <v>0</v>
      </c>
    </row>
    <row r="960" spans="1:19" x14ac:dyDescent="0.25">
      <c r="A960" s="15" t="str">
        <f>'Bldgs &amp; Rooms'!$A$27</f>
        <v>Main Bldg.</v>
      </c>
      <c r="B960" s="15">
        <f>'Bldgs &amp; Rooms'!$B$27</f>
        <v>0</v>
      </c>
      <c r="C960" s="14" t="str">
        <f>Hours!$A$35</f>
        <v>HVAC Equipment (Large)</v>
      </c>
      <c r="D960" s="15">
        <f t="shared" si="28"/>
        <v>0</v>
      </c>
      <c r="E960" s="16"/>
      <c r="F960" s="17"/>
      <c r="G960" s="17"/>
      <c r="H960" s="17"/>
      <c r="I960" s="17"/>
      <c r="J960" s="17"/>
      <c r="K960" s="12"/>
      <c r="L960" s="12"/>
      <c r="M960" s="12"/>
      <c r="N960" s="12"/>
      <c r="O960" s="12"/>
      <c r="P960" s="12"/>
      <c r="Q960" s="17"/>
      <c r="R960" s="18">
        <f>IF(SUMPRODUCT((E960:Q960)*1)=0,0,E960*INDEX(Hours!M:M,MATCH(C960,Hours!$A:$A,0))+F960*INDEX(Hours!B:B,MATCH(C960,Hours!$A:$A,0))+G960*INDEX(Hours!C:C,MATCH(C960,Hours!$A:$A,0))+H960*INDEX(Hours!D:D,MATCH(C960,Hours!$A:$A,0))+I960*INDEX(Hours!E:E,MATCH(C960,Hours!$A:$A,0))+J960*INDEX(Hours!F:F,MATCH(C960,Hours!$A:$A,0)))</f>
        <v>0</v>
      </c>
      <c r="S960" s="19">
        <f t="shared" si="29"/>
        <v>0</v>
      </c>
    </row>
    <row r="961" spans="1:19" x14ac:dyDescent="0.25">
      <c r="A961" s="15" t="str">
        <f>'Bldgs &amp; Rooms'!$A$27</f>
        <v>Main Bldg.</v>
      </c>
      <c r="B961" s="15">
        <f>'Bldgs &amp; Rooms'!$B$27</f>
        <v>0</v>
      </c>
      <c r="C961" s="14" t="str">
        <f>Hours!$A$36</f>
        <v>HVAC Equipment (Small)</v>
      </c>
      <c r="D961" s="15">
        <f t="shared" si="28"/>
        <v>0</v>
      </c>
      <c r="E961" s="16"/>
      <c r="F961" s="17"/>
      <c r="G961" s="17"/>
      <c r="H961" s="17"/>
      <c r="I961" s="17"/>
      <c r="J961" s="17"/>
      <c r="K961" s="12"/>
      <c r="L961" s="12"/>
      <c r="M961" s="12"/>
      <c r="N961" s="12"/>
      <c r="O961" s="12"/>
      <c r="P961" s="12"/>
      <c r="Q961" s="17"/>
      <c r="R961" s="18">
        <f>IF(SUMPRODUCT((E961:Q961)*1)=0,0,E961*INDEX(Hours!M:M,MATCH(C961,Hours!$A:$A,0))+F961*INDEX(Hours!B:B,MATCH(C961,Hours!$A:$A,0))+G961*INDEX(Hours!C:C,MATCH(C961,Hours!$A:$A,0))+H961*INDEX(Hours!D:D,MATCH(C961,Hours!$A:$A,0))+I961*INDEX(Hours!E:E,MATCH(C961,Hours!$A:$A,0))+J961*INDEX(Hours!F:F,MATCH(C961,Hours!$A:$A,0)))</f>
        <v>0</v>
      </c>
      <c r="S961" s="19">
        <f t="shared" si="29"/>
        <v>0</v>
      </c>
    </row>
    <row r="962" spans="1:19" x14ac:dyDescent="0.25">
      <c r="A962" s="15" t="str">
        <f>'Bldgs &amp; Rooms'!$A$27</f>
        <v>Main Bldg.</v>
      </c>
      <c r="B962" s="15">
        <f>'Bldgs &amp; Rooms'!$B$27</f>
        <v>0</v>
      </c>
      <c r="C962" s="14" t="str">
        <f>Hours!$A$37</f>
        <v>Uninterruptible Power Supply (UPS) &lt; 50kVA</v>
      </c>
      <c r="D962" s="15">
        <f t="shared" ref="D962:D1025" si="30">MAX(E962+F962,G962,H962,I962,J962,K962,L962,M962,N962,O962,P962,Q962)</f>
        <v>0</v>
      </c>
      <c r="E962" s="16"/>
      <c r="F962" s="17"/>
      <c r="G962" s="17"/>
      <c r="H962" s="17"/>
      <c r="I962" s="17"/>
      <c r="J962" s="17"/>
      <c r="K962" s="12"/>
      <c r="L962" s="12"/>
      <c r="M962" s="12"/>
      <c r="N962" s="12"/>
      <c r="O962" s="12"/>
      <c r="P962" s="12"/>
      <c r="Q962" s="17"/>
      <c r="R962" s="18">
        <f>IF(SUMPRODUCT((E962:Q962)*1)=0,0,E962*INDEX(Hours!M:M,MATCH(C962,Hours!$A:$A,0))+F962*INDEX(Hours!B:B,MATCH(C962,Hours!$A:$A,0))+G962*INDEX(Hours!C:C,MATCH(C962,Hours!$A:$A,0))+H962*INDEX(Hours!D:D,MATCH(C962,Hours!$A:$A,0))+I962*INDEX(Hours!E:E,MATCH(C962,Hours!$A:$A,0))+J962*INDEX(Hours!F:F,MATCH(C962,Hours!$A:$A,0)))</f>
        <v>0</v>
      </c>
      <c r="S962" s="19">
        <f t="shared" ref="S962:S1025" si="31">MAX(E962+F962,G962,H962,I962,J962,K962,L962,M962,N962,O962,P962,Q962)</f>
        <v>0</v>
      </c>
    </row>
    <row r="963" spans="1:19" x14ac:dyDescent="0.25">
      <c r="A963" s="15" t="str">
        <f>'Bldgs &amp; Rooms'!$A$27</f>
        <v>Main Bldg.</v>
      </c>
      <c r="B963" s="15">
        <f>'Bldgs &amp; Rooms'!$B$27</f>
        <v>0</v>
      </c>
      <c r="C963" s="14" t="str">
        <f>Hours!$A$38</f>
        <v>Uninterruptible Power Supply (UPS) &gt; 50kVA</v>
      </c>
      <c r="D963" s="15">
        <f t="shared" si="30"/>
        <v>0</v>
      </c>
      <c r="E963" s="16"/>
      <c r="F963" s="17"/>
      <c r="G963" s="17"/>
      <c r="H963" s="17"/>
      <c r="I963" s="17"/>
      <c r="J963" s="17"/>
      <c r="K963" s="12"/>
      <c r="L963" s="12"/>
      <c r="M963" s="12"/>
      <c r="N963" s="12"/>
      <c r="O963" s="12"/>
      <c r="P963" s="12"/>
      <c r="Q963" s="17"/>
      <c r="R963" s="18">
        <f>IF(SUMPRODUCT((E963:Q963)*1)=0,0,E963*INDEX(Hours!M:M,MATCH(C963,Hours!$A:$A,0))+F963*INDEX(Hours!B:B,MATCH(C963,Hours!$A:$A,0))+G963*INDEX(Hours!C:C,MATCH(C963,Hours!$A:$A,0))+H963*INDEX(Hours!D:D,MATCH(C963,Hours!$A:$A,0))+I963*INDEX(Hours!E:E,MATCH(C963,Hours!$A:$A,0))+J963*INDEX(Hours!F:F,MATCH(C963,Hours!$A:$A,0)))</f>
        <v>0</v>
      </c>
      <c r="S963" s="19">
        <f t="shared" si="31"/>
        <v>0</v>
      </c>
    </row>
    <row r="964" spans="1:19" x14ac:dyDescent="0.25">
      <c r="A964" s="11" t="str">
        <f>'Bldgs &amp; Rooms'!$A$28</f>
        <v>Main Bldg.</v>
      </c>
      <c r="B964" s="11">
        <f>'Bldgs &amp; Rooms'!$B$28</f>
        <v>0</v>
      </c>
      <c r="C964" s="10" t="str">
        <f>Hours!$A$2</f>
        <v>Switchgear - Incoming Main Service (Per Section)</v>
      </c>
      <c r="D964" s="11">
        <f t="shared" si="30"/>
        <v>0</v>
      </c>
      <c r="E964" s="16"/>
      <c r="F964" s="17"/>
      <c r="G964" s="17"/>
      <c r="H964" s="17"/>
      <c r="I964" s="17"/>
      <c r="J964" s="17"/>
      <c r="K964" s="17"/>
      <c r="L964" s="17"/>
      <c r="M964" s="12"/>
      <c r="N964" s="12"/>
      <c r="O964" s="17"/>
      <c r="P964" s="12"/>
      <c r="Q964" s="17"/>
      <c r="R964" s="18">
        <f>IF(SUMPRODUCT((E964:Q964)*1)=0,0,E964*INDEX(Hours!M:M,MATCH(C964,Hours!$A:$A,0))+F964*INDEX(Hours!B:B,MATCH(C964,Hours!$A:$A,0))+G964*INDEX(Hours!C:C,MATCH(C964,Hours!$A:$A,0))+H964*INDEX(Hours!D:D,MATCH(C964,Hours!$A:$A,0))+I964*INDEX(Hours!E:E,MATCH(C964,Hours!$A:$A,0))+J964*INDEX(Hours!F:F,MATCH(C964,Hours!$A:$A,0))+K964*INDEX(Hours!G:G,MATCH(C964,Hours!$A:$A,0))+L964*INDEX(Hours!H:H,MATCH(C964,Hours!$A:$A,0))+O964*INDEX(Hours!K:K,MATCH(C964,Hours!$A:$A,0)))</f>
        <v>0</v>
      </c>
      <c r="S964" s="19">
        <f t="shared" si="31"/>
        <v>0</v>
      </c>
    </row>
    <row r="965" spans="1:19" x14ac:dyDescent="0.25">
      <c r="A965" s="11" t="str">
        <f>'Bldgs &amp; Rooms'!$A$28</f>
        <v>Main Bldg.</v>
      </c>
      <c r="B965" s="11">
        <f>'Bldgs &amp; Rooms'!$B$28</f>
        <v>0</v>
      </c>
      <c r="C965" s="10" t="str">
        <f>Hours!$A$3</f>
        <v xml:space="preserve">  Switchgear Insulated Case Breakers (Bus Mounted)</v>
      </c>
      <c r="D965" s="11">
        <f t="shared" si="30"/>
        <v>0</v>
      </c>
      <c r="E965" s="16"/>
      <c r="F965" s="17"/>
      <c r="G965" s="17"/>
      <c r="H965" s="17"/>
      <c r="I965" s="17"/>
      <c r="J965" s="17"/>
      <c r="K965" s="17"/>
      <c r="L965" s="12"/>
      <c r="M965" s="12"/>
      <c r="N965" s="12"/>
      <c r="O965" s="12"/>
      <c r="P965" s="12"/>
      <c r="Q965" s="17"/>
      <c r="R965" s="18">
        <f>IF(SUMPRODUCT((E965:Q965)*1)=0,0,E965*INDEX(Hours!M:M,MATCH(C965,Hours!$A:$A,0))+F965*INDEX(Hours!B:B,MATCH(C965,Hours!$A:$A,0))+G965*INDEX(Hours!C:C,MATCH(C965,Hours!$A:$A,0))+H965*INDEX(Hours!D:D,MATCH(C965,Hours!$A:$A,0))+I965*INDEX(Hours!E:E,MATCH(C965,Hours!$A:$A,0))+J965*INDEX(Hours!F:F,MATCH(C965,Hours!$A:$A,0))+K965*INDEX(Hours!G:G,MATCH(C965,Hours!$A:$A,0)))</f>
        <v>0</v>
      </c>
      <c r="S965" s="19">
        <f t="shared" si="31"/>
        <v>0</v>
      </c>
    </row>
    <row r="966" spans="1:19" x14ac:dyDescent="0.25">
      <c r="A966" s="11" t="str">
        <f>'Bldgs &amp; Rooms'!$A$28</f>
        <v>Main Bldg.</v>
      </c>
      <c r="B966" s="11">
        <f>'Bldgs &amp; Rooms'!$B$28</f>
        <v>0</v>
      </c>
      <c r="C966" s="10" t="str">
        <f>Hours!$A$4</f>
        <v xml:space="preserve">  SwitchGear Drawout Breakers</v>
      </c>
      <c r="D966" s="11">
        <f t="shared" si="30"/>
        <v>0</v>
      </c>
      <c r="E966" s="16"/>
      <c r="F966" s="17"/>
      <c r="G966" s="17"/>
      <c r="H966" s="17"/>
      <c r="I966" s="17"/>
      <c r="J966" s="17"/>
      <c r="K966" s="12"/>
      <c r="L966" s="17"/>
      <c r="M966" s="12"/>
      <c r="N966" s="12"/>
      <c r="O966" s="12"/>
      <c r="P966" s="12"/>
      <c r="Q966" s="17"/>
      <c r="R966" s="18">
        <f>IF(SUMPRODUCT((E966:Q966)*1)=0,0,E966*INDEX(Hours!M:M,MATCH(C966,Hours!$A:$A,0))+F966*INDEX(Hours!B:B,MATCH(C966,Hours!$A:$A,0))+G966*INDEX(Hours!C:C,MATCH(C966,Hours!$A:$A,0))+H966*INDEX(Hours!D:D,MATCH(C966,Hours!$A:$A,0))+I966*INDEX(Hours!E:E,MATCH(C966,Hours!$A:$A,0))+J966*INDEX(Hours!F:F,MATCH(C966,Hours!$A:$A,0))+L966*INDEX(Hours!H:H,MATCH(C966,Hours!$A:$A,0)))</f>
        <v>0</v>
      </c>
      <c r="S966" s="19">
        <f t="shared" si="31"/>
        <v>0</v>
      </c>
    </row>
    <row r="967" spans="1:19" x14ac:dyDescent="0.25">
      <c r="A967" s="11" t="str">
        <f>'Bldgs &amp; Rooms'!$A$28</f>
        <v>Main Bldg.</v>
      </c>
      <c r="B967" s="11">
        <f>'Bldgs &amp; Rooms'!$B$28</f>
        <v>0</v>
      </c>
      <c r="C967" s="10" t="str">
        <f>Hours!$A$5</f>
        <v>Distribution Switchboard Multi Cover (Per Section)</v>
      </c>
      <c r="D967" s="11">
        <f t="shared" si="30"/>
        <v>0</v>
      </c>
      <c r="E967" s="16"/>
      <c r="F967" s="17"/>
      <c r="G967" s="17"/>
      <c r="H967" s="17"/>
      <c r="I967" s="17"/>
      <c r="J967" s="17"/>
      <c r="K967" s="17"/>
      <c r="L967" s="12"/>
      <c r="M967" s="12"/>
      <c r="N967" s="12"/>
      <c r="O967" s="17"/>
      <c r="P967" s="12"/>
      <c r="Q967" s="17"/>
      <c r="R967" s="18">
        <f>IF(SUMPRODUCT((E967:Q967)*1)=0,0,E967*INDEX(Hours!M:M,MATCH(C967,Hours!$A:$A,0))+F967*INDEX(Hours!B:B,MATCH(C967,Hours!$A:$A,0))+G967*INDEX(Hours!C:C,MATCH(C967,Hours!$A:$A,0))+H967*INDEX(Hours!D:D,MATCH(C967,Hours!$A:$A,0))+I967*INDEX(Hours!E:E,MATCH(C967,Hours!$A:$A,0))+J967*INDEX(Hours!F:F,MATCH(C967,Hours!$A:$A,0))+K967*INDEX(Hours!G:G,MATCH(C967,Hours!$A:$A,0))+O967*INDEX(Hours!K:K,MATCH(C967,Hours!$A:$A,0)))</f>
        <v>0</v>
      </c>
      <c r="S967" s="19">
        <f t="shared" si="31"/>
        <v>0</v>
      </c>
    </row>
    <row r="968" spans="1:19" x14ac:dyDescent="0.25">
      <c r="A968" s="11" t="str">
        <f>'Bldgs &amp; Rooms'!$A$28</f>
        <v>Main Bldg.</v>
      </c>
      <c r="B968" s="11">
        <f>'Bldgs &amp; Rooms'!$B$28</f>
        <v>0</v>
      </c>
      <c r="C968" s="10" t="str">
        <f>Hours!$A$6</f>
        <v xml:space="preserve">  Switchboard Disconnects</v>
      </c>
      <c r="D968" s="11">
        <f t="shared" si="30"/>
        <v>0</v>
      </c>
      <c r="E968" s="16"/>
      <c r="F968" s="17"/>
      <c r="G968" s="17"/>
      <c r="H968" s="17"/>
      <c r="I968" s="17"/>
      <c r="J968" s="17"/>
      <c r="K968" s="12"/>
      <c r="L968" s="12"/>
      <c r="M968" s="12"/>
      <c r="N968" s="12"/>
      <c r="O968" s="12"/>
      <c r="P968" s="12"/>
      <c r="Q968" s="17"/>
      <c r="R968" s="18">
        <f>IF(SUMPRODUCT((E968:Q968)*1)=0,0,E968*INDEX(Hours!M:M,MATCH(C968,Hours!$A:$A,0))+F968*INDEX(Hours!B:B,MATCH(C968,Hours!$A:$A,0))+G968*INDEX(Hours!C:C,MATCH(C968,Hours!$A:$A,0))+H968*INDEX(Hours!D:D,MATCH(C968,Hours!$A:$A,0))+I968*INDEX(Hours!E:E,MATCH(C968,Hours!$A:$A,0))+J968*INDEX(Hours!F:F,MATCH(C968,Hours!$A:$A,0)))</f>
        <v>0</v>
      </c>
      <c r="S968" s="19">
        <f t="shared" si="31"/>
        <v>0</v>
      </c>
    </row>
    <row r="969" spans="1:19" x14ac:dyDescent="0.25">
      <c r="A969" s="11" t="str">
        <f>'Bldgs &amp; Rooms'!$A$28</f>
        <v>Main Bldg.</v>
      </c>
      <c r="B969" s="11">
        <f>'Bldgs &amp; Rooms'!$B$28</f>
        <v>0</v>
      </c>
      <c r="C969" s="10" t="str">
        <f>Hours!$A$7</f>
        <v xml:space="preserve">  Switchboard Molded Case Breakers</v>
      </c>
      <c r="D969" s="11">
        <f t="shared" si="30"/>
        <v>0</v>
      </c>
      <c r="E969" s="16"/>
      <c r="F969" s="17"/>
      <c r="G969" s="17"/>
      <c r="H969" s="17"/>
      <c r="I969" s="17"/>
      <c r="J969" s="17"/>
      <c r="K969" s="17"/>
      <c r="L969" s="12"/>
      <c r="M969" s="12"/>
      <c r="N969" s="12"/>
      <c r="O969" s="12"/>
      <c r="P969" s="12"/>
      <c r="Q969" s="17"/>
      <c r="R969" s="18">
        <f>IF(SUMPRODUCT((E969:Q969)*1)=0,0,E969*INDEX(Hours!M:M,MATCH(C969,Hours!$A:$A,0))+F969*INDEX(Hours!B:B,MATCH(C969,Hours!$A:$A,0))+G969*INDEX(Hours!C:C,MATCH(C969,Hours!$A:$A,0))+H969*INDEX(Hours!D:D,MATCH(C969,Hours!$A:$A,0))+I969*INDEX(Hours!E:E,MATCH(C969,Hours!$A:$A,0))+J969*INDEX(Hours!F:F,MATCH(C969,Hours!$A:$A,0))+K969*INDEX(Hours!G:G,MATCH(C969,Hours!$A:$A,0)))</f>
        <v>0</v>
      </c>
      <c r="S969" s="19">
        <f t="shared" si="31"/>
        <v>0</v>
      </c>
    </row>
    <row r="970" spans="1:19" x14ac:dyDescent="0.25">
      <c r="A970" s="11" t="str">
        <f>'Bldgs &amp; Rooms'!$A$28</f>
        <v>Main Bldg.</v>
      </c>
      <c r="B970" s="11">
        <f>'Bldgs &amp; Rooms'!$B$28</f>
        <v>0</v>
      </c>
      <c r="C970" s="10" t="str">
        <f>Hours!$A$8</f>
        <v>Panelboard-Single Cover &gt; 400A (Distribution Panel)</v>
      </c>
      <c r="D970" s="11">
        <f t="shared" si="30"/>
        <v>0</v>
      </c>
      <c r="E970" s="16"/>
      <c r="F970" s="17"/>
      <c r="G970" s="17"/>
      <c r="H970" s="17"/>
      <c r="I970" s="17"/>
      <c r="J970" s="17"/>
      <c r="K970" s="17"/>
      <c r="L970" s="12"/>
      <c r="M970" s="12"/>
      <c r="N970" s="12"/>
      <c r="O970" s="17"/>
      <c r="P970" s="12"/>
      <c r="Q970" s="17"/>
      <c r="R970" s="18">
        <f>IF(SUMPRODUCT((E970:Q970)*1)=0,0,E970*INDEX(Hours!M:M,MATCH(C970,Hours!$A:$A,0))+F970*INDEX(Hours!B:B,MATCH(C970,Hours!$A:$A,0))+G970*INDEX(Hours!C:C,MATCH(C970,Hours!$A:$A,0))+H970*INDEX(Hours!D:D,MATCH(C970,Hours!$A:$A,0))+I970*INDEX(Hours!E:E,MATCH(C970,Hours!$A:$A,0))+J970*INDEX(Hours!F:F,MATCH(C970,Hours!$A:$A,0))+K970*INDEX(Hours!G:G,MATCH(C970,Hours!$A:$A,0))+O970*INDEX(Hours!K:K,MATCH(C970,Hours!$A:$A,0)))</f>
        <v>0</v>
      </c>
      <c r="S970" s="19">
        <f t="shared" si="31"/>
        <v>0</v>
      </c>
    </row>
    <row r="971" spans="1:19" x14ac:dyDescent="0.25">
      <c r="A971" s="11" t="str">
        <f>'Bldgs &amp; Rooms'!$A$28</f>
        <v>Main Bldg.</v>
      </c>
      <c r="B971" s="11">
        <f>'Bldgs &amp; Rooms'!$B$28</f>
        <v>0</v>
      </c>
      <c r="C971" s="10" t="str">
        <f>Hours!$A$9</f>
        <v>Panelboard-Single Cover &lt; 400A (Branch Ckt Panel)</v>
      </c>
      <c r="D971" s="11">
        <f t="shared" si="30"/>
        <v>0</v>
      </c>
      <c r="E971" s="16"/>
      <c r="F971" s="17"/>
      <c r="G971" s="17"/>
      <c r="H971" s="17"/>
      <c r="I971" s="17"/>
      <c r="J971" s="17"/>
      <c r="K971" s="12"/>
      <c r="L971" s="12"/>
      <c r="M971" s="12"/>
      <c r="N971" s="12"/>
      <c r="O971" s="17"/>
      <c r="P971" s="12"/>
      <c r="Q971" s="17"/>
      <c r="R971" s="18">
        <f>IF(SUMPRODUCT((E971:Q971)*1)=0,0,E971*INDEX(Hours!M:M,MATCH(C971,Hours!$A:$A,0))+F971*INDEX(Hours!B:B,MATCH(C971,Hours!$A:$A,0))+G971*INDEX(Hours!C:C,MATCH(C971,Hours!$A:$A,0))+H971*INDEX(Hours!D:D,MATCH(C971,Hours!$A:$A,0))+I971*INDEX(Hours!E:E,MATCH(C971,Hours!$A:$A,0))+J971*INDEX(Hours!F:F,MATCH(C971,Hours!$A:$A,0))+O971*INDEX(Hours!K:K,MATCH(C971,Hours!$A:$A,0)))</f>
        <v>0</v>
      </c>
      <c r="S971" s="19">
        <f t="shared" si="31"/>
        <v>0</v>
      </c>
    </row>
    <row r="972" spans="1:19" x14ac:dyDescent="0.25">
      <c r="A972" s="11" t="str">
        <f>'Bldgs &amp; Rooms'!$A$28</f>
        <v>Main Bldg.</v>
      </c>
      <c r="B972" s="11">
        <f>'Bldgs &amp; Rooms'!$B$28</f>
        <v>0</v>
      </c>
      <c r="C972" s="10" t="str">
        <f>Hours!$A$10</f>
        <v>Motor Control Center (MCC-Per Vertical Section)</v>
      </c>
      <c r="D972" s="11">
        <f t="shared" si="30"/>
        <v>0</v>
      </c>
      <c r="E972" s="16"/>
      <c r="F972" s="17"/>
      <c r="G972" s="17"/>
      <c r="H972" s="17"/>
      <c r="I972" s="17"/>
      <c r="J972" s="17"/>
      <c r="K972" s="12"/>
      <c r="L972" s="12"/>
      <c r="M972" s="12"/>
      <c r="N972" s="12"/>
      <c r="O972" s="17"/>
      <c r="P972" s="12"/>
      <c r="Q972" s="17"/>
      <c r="R972" s="18">
        <f>IF(SUMPRODUCT((E972:Q972)*1)=0,0,E972*INDEX(Hours!M:M,MATCH(C972,Hours!$A:$A,0))+F972*INDEX(Hours!B:B,MATCH(C972,Hours!$A:$A,0))+G972*INDEX(Hours!C:C,MATCH(C972,Hours!$A:$A,0))+H972*INDEX(Hours!D:D,MATCH(C972,Hours!$A:$A,0))+I972*INDEX(Hours!E:E,MATCH(C972,Hours!$A:$A,0))+J972*INDEX(Hours!F:F,MATCH(C972,Hours!$A:$A,0))+O972*INDEX(Hours!K:K,MATCH(C972,Hours!$A:$A,0)))</f>
        <v>0</v>
      </c>
      <c r="S972" s="19">
        <f t="shared" si="31"/>
        <v>0</v>
      </c>
    </row>
    <row r="973" spans="1:19" x14ac:dyDescent="0.25">
      <c r="A973" s="11" t="str">
        <f>'Bldgs &amp; Rooms'!$A$28</f>
        <v>Main Bldg.</v>
      </c>
      <c r="B973" s="11">
        <f>'Bldgs &amp; Rooms'!$B$28</f>
        <v>0</v>
      </c>
      <c r="C973" s="10" t="str">
        <f>Hours!$A$11</f>
        <v xml:space="preserve">  MCC: Combination Motor Starters</v>
      </c>
      <c r="D973" s="11">
        <f t="shared" si="30"/>
        <v>0</v>
      </c>
      <c r="E973" s="16"/>
      <c r="F973" s="17"/>
      <c r="G973" s="17"/>
      <c r="H973" s="17"/>
      <c r="I973" s="17"/>
      <c r="J973" s="17"/>
      <c r="K973" s="17"/>
      <c r="L973" s="12"/>
      <c r="M973" s="12"/>
      <c r="N973" s="12"/>
      <c r="O973" s="17"/>
      <c r="P973" s="12"/>
      <c r="Q973" s="17"/>
      <c r="R973" s="18">
        <f>IF(SUMPRODUCT((E973:Q973)*1)=0,0,E973*INDEX(Hours!M:M,MATCH(C973,Hours!$A:$A,0))+F973*INDEX(Hours!B:B,MATCH(C973,Hours!$A:$A,0))+G973*INDEX(Hours!C:C,MATCH(C973,Hours!$A:$A,0))+H973*INDEX(Hours!D:D,MATCH(C973,Hours!$A:$A,0))+I973*INDEX(Hours!E:E,MATCH(C973,Hours!$A:$A,0))+J973*INDEX(Hours!F:F,MATCH(C973,Hours!$A:$A,0))+K973*INDEX(Hours!G:G,MATCH(C973,Hours!$A:$A,0))+O973*INDEX(Hours!K:K,MATCH(C973,Hours!$A:$A,0)))</f>
        <v>0</v>
      </c>
      <c r="S973" s="19">
        <f t="shared" si="31"/>
        <v>0</v>
      </c>
    </row>
    <row r="974" spans="1:19" x14ac:dyDescent="0.25">
      <c r="A974" s="11" t="str">
        <f>'Bldgs &amp; Rooms'!$A$28</f>
        <v>Main Bldg.</v>
      </c>
      <c r="B974" s="11">
        <f>'Bldgs &amp; Rooms'!$B$28</f>
        <v>0</v>
      </c>
      <c r="C974" s="10" t="str">
        <f>Hours!$A$12</f>
        <v xml:space="preserve">  MCC: Molded Case Breaker</v>
      </c>
      <c r="D974" s="11">
        <f t="shared" si="30"/>
        <v>0</v>
      </c>
      <c r="E974" s="16"/>
      <c r="F974" s="17"/>
      <c r="G974" s="17"/>
      <c r="H974" s="17"/>
      <c r="I974" s="17"/>
      <c r="J974" s="17"/>
      <c r="K974" s="17"/>
      <c r="L974" s="12"/>
      <c r="M974" s="12"/>
      <c r="N974" s="12"/>
      <c r="O974" s="12"/>
      <c r="P974" s="12"/>
      <c r="Q974" s="17"/>
      <c r="R974" s="18">
        <f>IF(SUMPRODUCT((E974:Q974)*1)=0,0,E974*INDEX(Hours!M:M,MATCH(C974,Hours!$A:$A,0))+F974*INDEX(Hours!B:B,MATCH(C974,Hours!$A:$A,0))+G974*INDEX(Hours!C:C,MATCH(C974,Hours!$A:$A,0))+H974*INDEX(Hours!D:D,MATCH(C974,Hours!$A:$A,0))+I974*INDEX(Hours!E:E,MATCH(C974,Hours!$A:$A,0))+J974*INDEX(Hours!F:F,MATCH(C974,Hours!$A:$A,0))+K974*INDEX(Hours!G:G,MATCH(C974,Hours!$A:$A,0)))</f>
        <v>0</v>
      </c>
      <c r="S974" s="19">
        <f t="shared" si="31"/>
        <v>0</v>
      </c>
    </row>
    <row r="975" spans="1:19" x14ac:dyDescent="0.25">
      <c r="A975" s="11" t="str">
        <f>'Bldgs &amp; Rooms'!$A$28</f>
        <v>Main Bldg.</v>
      </c>
      <c r="B975" s="11">
        <f>'Bldgs &amp; Rooms'!$B$28</f>
        <v>0</v>
      </c>
      <c r="C975" s="10" t="str">
        <f>Hours!$A$13</f>
        <v xml:space="preserve">  MCC: Individual Disconnect Switch</v>
      </c>
      <c r="D975" s="11">
        <f t="shared" si="30"/>
        <v>0</v>
      </c>
      <c r="E975" s="16"/>
      <c r="F975" s="17"/>
      <c r="G975" s="17"/>
      <c r="H975" s="17"/>
      <c r="I975" s="17"/>
      <c r="J975" s="17"/>
      <c r="K975" s="12"/>
      <c r="L975" s="12"/>
      <c r="M975" s="12"/>
      <c r="N975" s="12"/>
      <c r="O975" s="12"/>
      <c r="P975" s="12"/>
      <c r="Q975" s="17"/>
      <c r="R975" s="18">
        <f>IF(SUMPRODUCT((E975:Q975)*1)=0,0,E975*INDEX(Hours!M:M,MATCH(C975,Hours!$A:$A,0))+F975*INDEX(Hours!B:B,MATCH(C975,Hours!$A:$A,0))+G975*INDEX(Hours!C:C,MATCH(C975,Hours!$A:$A,0))+H975*INDEX(Hours!D:D,MATCH(C975,Hours!$A:$A,0))+I975*INDEX(Hours!E:E,MATCH(C975,Hours!$A:$A,0))+J975*INDEX(Hours!F:F,MATCH(C975,Hours!$A:$A,0)))</f>
        <v>0</v>
      </c>
      <c r="S975" s="19">
        <f t="shared" si="31"/>
        <v>0</v>
      </c>
    </row>
    <row r="976" spans="1:19" x14ac:dyDescent="0.25">
      <c r="A976" s="11" t="str">
        <f>'Bldgs &amp; Rooms'!$A$28</f>
        <v>Main Bldg.</v>
      </c>
      <c r="B976" s="11">
        <f>'Bldgs &amp; Rooms'!$B$28</f>
        <v>0</v>
      </c>
      <c r="C976" s="10" t="str">
        <f>Hours!$A$14</f>
        <v>Motor Control Panel (MCP)</v>
      </c>
      <c r="D976" s="11">
        <f t="shared" si="30"/>
        <v>0</v>
      </c>
      <c r="E976" s="16"/>
      <c r="F976" s="17"/>
      <c r="G976" s="17"/>
      <c r="H976" s="17"/>
      <c r="I976" s="17"/>
      <c r="J976" s="17"/>
      <c r="K976" s="12"/>
      <c r="L976" s="12"/>
      <c r="M976" s="12"/>
      <c r="N976" s="12"/>
      <c r="O976" s="17"/>
      <c r="P976" s="12"/>
      <c r="Q976" s="17"/>
      <c r="R976" s="18">
        <f>IF(SUMPRODUCT((E976:Q976)*1)=0,0,E976*INDEX(Hours!M:M,MATCH(C976,Hours!$A:$A,0))+F976*INDEX(Hours!B:B,MATCH(C976,Hours!$A:$A,0))+G976*INDEX(Hours!C:C,MATCH(C976,Hours!$A:$A,0))+H976*INDEX(Hours!D:D,MATCH(C976,Hours!$A:$A,0))+I976*INDEX(Hours!E:E,MATCH(C976,Hours!$A:$A,0))+J976*INDEX(Hours!F:F,MATCH(C976,Hours!$A:$A,0))+O976*INDEX(Hours!K:K,MATCH(C976,Hours!$A:$A,0)))</f>
        <v>0</v>
      </c>
      <c r="S976" s="19">
        <f t="shared" si="31"/>
        <v>0</v>
      </c>
    </row>
    <row r="977" spans="1:19" x14ac:dyDescent="0.25">
      <c r="A977" s="11" t="str">
        <f>'Bldgs &amp; Rooms'!$A$28</f>
        <v>Main Bldg.</v>
      </c>
      <c r="B977" s="11">
        <f>'Bldgs &amp; Rooms'!$B$28</f>
        <v>0</v>
      </c>
      <c r="C977" s="10" t="str">
        <f>Hours!$A$15</f>
        <v>VFD Motor Control Panel (VFD-MCP)</v>
      </c>
      <c r="D977" s="11">
        <f t="shared" si="30"/>
        <v>0</v>
      </c>
      <c r="E977" s="16"/>
      <c r="F977" s="17"/>
      <c r="G977" s="17"/>
      <c r="H977" s="17"/>
      <c r="I977" s="17"/>
      <c r="J977" s="17"/>
      <c r="K977" s="12"/>
      <c r="L977" s="12"/>
      <c r="M977" s="12"/>
      <c r="N977" s="12"/>
      <c r="O977" s="17"/>
      <c r="P977" s="12"/>
      <c r="Q977" s="17"/>
      <c r="R977" s="18">
        <f>IF(SUMPRODUCT((E977:Q977)*1)=0,0,E977*INDEX(Hours!M:M,MATCH(C977,Hours!$A:$A,0))+F977*INDEX(Hours!B:B,MATCH(C977,Hours!$A:$A,0))+G977*INDEX(Hours!C:C,MATCH(C977,Hours!$A:$A,0))+H977*INDEX(Hours!D:D,MATCH(C977,Hours!$A:$A,0))+I977*INDEX(Hours!E:E,MATCH(C977,Hours!$A:$A,0))+J977*INDEX(Hours!F:F,MATCH(C977,Hours!$A:$A,0))+O977*INDEX(Hours!K:K,MATCH(C977,Hours!$A:$A,0)))</f>
        <v>0</v>
      </c>
      <c r="S977" s="19">
        <f t="shared" si="31"/>
        <v>0</v>
      </c>
    </row>
    <row r="978" spans="1:19" x14ac:dyDescent="0.25">
      <c r="A978" s="11" t="str">
        <f>'Bldgs &amp; Rooms'!$A$28</f>
        <v>Main Bldg.</v>
      </c>
      <c r="B978" s="11">
        <f>'Bldgs &amp; Rooms'!$B$28</f>
        <v>0</v>
      </c>
      <c r="C978" s="10" t="str">
        <f>Hours!$A$16</f>
        <v>Individual Disconnect Switch &gt; 100A</v>
      </c>
      <c r="D978" s="11">
        <f t="shared" si="30"/>
        <v>0</v>
      </c>
      <c r="E978" s="16"/>
      <c r="F978" s="17"/>
      <c r="G978" s="17"/>
      <c r="H978" s="17"/>
      <c r="I978" s="17"/>
      <c r="J978" s="17"/>
      <c r="K978" s="17"/>
      <c r="L978" s="12"/>
      <c r="M978" s="12"/>
      <c r="N978" s="12"/>
      <c r="O978" s="12"/>
      <c r="P978" s="12"/>
      <c r="Q978" s="17"/>
      <c r="R978" s="18">
        <f>IF(SUMPRODUCT((E978:Q978)*1)=0,0,E978*INDEX(Hours!M:M,MATCH(C978,Hours!$A:$A,0))+F978*INDEX(Hours!B:B,MATCH(C978,Hours!$A:$A,0))+G978*INDEX(Hours!C:C,MATCH(C978,Hours!$A:$A,0))+H978*INDEX(Hours!D:D,MATCH(C978,Hours!$A:$A,0))+I978*INDEX(Hours!E:E,MATCH(C978,Hours!$A:$A,0))+J978*INDEX(Hours!F:F,MATCH(C978,Hours!$A:$A,0))+K978*INDEX(Hours!G:G,MATCH(C978,Hours!$A:$A,0)))</f>
        <v>0</v>
      </c>
      <c r="S978" s="19">
        <f t="shared" si="31"/>
        <v>0</v>
      </c>
    </row>
    <row r="979" spans="1:19" x14ac:dyDescent="0.25">
      <c r="A979" s="11" t="str">
        <f>'Bldgs &amp; Rooms'!$A$28</f>
        <v>Main Bldg.</v>
      </c>
      <c r="B979" s="11">
        <f>'Bldgs &amp; Rooms'!$B$28</f>
        <v>0</v>
      </c>
      <c r="C979" s="10" t="str">
        <f>Hours!$A$17</f>
        <v>Individual Molded Case Breaker &gt; 100A</v>
      </c>
      <c r="D979" s="11">
        <f t="shared" si="30"/>
        <v>0</v>
      </c>
      <c r="E979" s="16"/>
      <c r="F979" s="17"/>
      <c r="G979" s="17"/>
      <c r="H979" s="17"/>
      <c r="I979" s="17"/>
      <c r="J979" s="17"/>
      <c r="K979" s="17"/>
      <c r="L979" s="12"/>
      <c r="M979" s="12"/>
      <c r="N979" s="12"/>
      <c r="O979" s="12"/>
      <c r="P979" s="12"/>
      <c r="Q979" s="17"/>
      <c r="R979" s="18">
        <f>IF(SUMPRODUCT((E979:Q979)*1)=0,0,E979*INDEX(Hours!M:M,MATCH(C979,Hours!$A:$A,0))+F979*INDEX(Hours!B:B,MATCH(C979,Hours!$A:$A,0))+G979*INDEX(Hours!C:C,MATCH(C979,Hours!$A:$A,0))+H979*INDEX(Hours!D:D,MATCH(C979,Hours!$A:$A,0))+I979*INDEX(Hours!E:E,MATCH(C979,Hours!$A:$A,0))+J979*INDEX(Hours!F:F,MATCH(C979,Hours!$A:$A,0))+K979*INDEX(Hours!G:G,MATCH(C979,Hours!$A:$A,0)))</f>
        <v>0</v>
      </c>
      <c r="S979" s="19">
        <f t="shared" si="31"/>
        <v>0</v>
      </c>
    </row>
    <row r="980" spans="1:19" x14ac:dyDescent="0.25">
      <c r="A980" s="11" t="str">
        <f>'Bldgs &amp; Rooms'!$A$28</f>
        <v>Main Bldg.</v>
      </c>
      <c r="B980" s="11">
        <f>'Bldgs &amp; Rooms'!$B$28</f>
        <v>0</v>
      </c>
      <c r="C980" s="10" t="str">
        <f>Hours!$A$18</f>
        <v>Individual Combination Motor Starter &gt; 100A</v>
      </c>
      <c r="D980" s="11">
        <f t="shared" si="30"/>
        <v>0</v>
      </c>
      <c r="E980" s="16"/>
      <c r="F980" s="17"/>
      <c r="G980" s="17"/>
      <c r="H980" s="17"/>
      <c r="I980" s="17"/>
      <c r="J980" s="17"/>
      <c r="K980" s="17"/>
      <c r="L980" s="12"/>
      <c r="M980" s="12"/>
      <c r="N980" s="12"/>
      <c r="O980" s="12"/>
      <c r="P980" s="12"/>
      <c r="Q980" s="17"/>
      <c r="R980" s="18">
        <f>IF(SUMPRODUCT((E980:Q980)*1)=0,0,E980*INDEX(Hours!M:M,MATCH(C980,Hours!$A:$A,0))+F980*INDEX(Hours!B:B,MATCH(C980,Hours!$A:$A,0))+G980*INDEX(Hours!C:C,MATCH(C980,Hours!$A:$A,0))+H980*INDEX(Hours!D:D,MATCH(C980,Hours!$A:$A,0))+I980*INDEX(Hours!E:E,MATCH(C980,Hours!$A:$A,0))+J980*INDEX(Hours!F:F,MATCH(C980,Hours!$A:$A,0))+K980*INDEX(Hours!G:G,MATCH(C980,Hours!$A:$A,0)))</f>
        <v>0</v>
      </c>
      <c r="S980" s="19">
        <f t="shared" si="31"/>
        <v>0</v>
      </c>
    </row>
    <row r="981" spans="1:19" x14ac:dyDescent="0.25">
      <c r="A981" s="11" t="str">
        <f>'Bldgs &amp; Rooms'!$A$28</f>
        <v>Main Bldg.</v>
      </c>
      <c r="B981" s="11">
        <f>'Bldgs &amp; Rooms'!$B$28</f>
        <v>0</v>
      </c>
      <c r="C981" s="10" t="str">
        <f>Hours!$A$19</f>
        <v>Oil Filled Transformer - 5kV-15kV Primary - Any Size (Pad Mounted)</v>
      </c>
      <c r="D981" s="11">
        <f t="shared" si="30"/>
        <v>0</v>
      </c>
      <c r="E981" s="16"/>
      <c r="F981" s="17"/>
      <c r="G981" s="17"/>
      <c r="H981" s="17"/>
      <c r="I981" s="17"/>
      <c r="J981" s="17"/>
      <c r="K981" s="12"/>
      <c r="L981" s="12"/>
      <c r="M981" s="17"/>
      <c r="N981" s="17"/>
      <c r="O981" s="12"/>
      <c r="P981" s="17"/>
      <c r="Q981" s="17"/>
      <c r="R981" s="18">
        <f>IF(SUMPRODUCT((E981:Q981)*1)=0,0,E981*INDEX(Hours!M:M,MATCH(C981,Hours!$A:$A,0))+F981*INDEX(Hours!B:B,MATCH(C981,Hours!$A:$A,0))+G981*INDEX(Hours!C:C,MATCH(C981,Hours!$A:$A,0))+H981*INDEX(Hours!D:D,MATCH(C981,Hours!$A:$A,0))+I981*INDEX(Hours!E:E,MATCH(C981,Hours!$A:$A,0))+J981*INDEX(Hours!F:F,MATCH(C981,Hours!$A:$A,0))+M981*INDEX(Hours!I:I,MATCH(C981,Hours!$A:$A,0))+N981*INDEX(Hours!J:J,MATCH(C981,Hours!$A:$A,0))+P981*INDEX(Hours!L:L,MATCH(C981,Hours!$A:$A,0)))</f>
        <v>0</v>
      </c>
      <c r="S981" s="19">
        <f t="shared" si="31"/>
        <v>0</v>
      </c>
    </row>
    <row r="982" spans="1:19" x14ac:dyDescent="0.25">
      <c r="A982" s="11" t="str">
        <f>'Bldgs &amp; Rooms'!$A$28</f>
        <v>Main Bldg.</v>
      </c>
      <c r="B982" s="11">
        <f>'Bldgs &amp; Rooms'!$B$28</f>
        <v>0</v>
      </c>
      <c r="C982" s="10" t="str">
        <f>Hours!$A$20</f>
        <v>Oil Filled Transformer - &gt; 15kV Primary (Substation Class)</v>
      </c>
      <c r="D982" s="11">
        <f t="shared" si="30"/>
        <v>0</v>
      </c>
      <c r="E982" s="16"/>
      <c r="F982" s="17"/>
      <c r="G982" s="17"/>
      <c r="H982" s="17"/>
      <c r="I982" s="17"/>
      <c r="J982" s="17"/>
      <c r="K982" s="12"/>
      <c r="L982" s="12"/>
      <c r="M982" s="17"/>
      <c r="N982" s="17"/>
      <c r="O982" s="12"/>
      <c r="P982" s="17"/>
      <c r="Q982" s="17"/>
      <c r="R982" s="18">
        <f>IF(SUMPRODUCT((E982:Q982)*1)=0,0,E982*INDEX(Hours!M:M,MATCH(C982,Hours!$A:$A,0))+F982*INDEX(Hours!B:B,MATCH(C982,Hours!$A:$A,0))+G982*INDEX(Hours!C:C,MATCH(C982,Hours!$A:$A,0))+H982*INDEX(Hours!D:D,MATCH(C982,Hours!$A:$A,0))+I982*INDEX(Hours!E:E,MATCH(C982,Hours!$A:$A,0))+J982*INDEX(Hours!F:F,MATCH(C982,Hours!$A:$A,0))+M982*INDEX(Hours!I:I,MATCH(C982,Hours!$A:$A,0))+N982*INDEX(Hours!J:J,MATCH(C982,Hours!$A:$A,0))+P982*INDEX(Hours!L:L,MATCH(C982,Hours!$A:$A,0)))</f>
        <v>0</v>
      </c>
      <c r="S982" s="19">
        <f t="shared" si="31"/>
        <v>0</v>
      </c>
    </row>
    <row r="983" spans="1:19" x14ac:dyDescent="0.25">
      <c r="A983" s="11" t="str">
        <f>'Bldgs &amp; Rooms'!$A$28</f>
        <v>Main Bldg.</v>
      </c>
      <c r="B983" s="11">
        <f>'Bldgs &amp; Rooms'!$B$28</f>
        <v>0</v>
      </c>
      <c r="C983" s="10" t="str">
        <f>Hours!$A$21</f>
        <v>Dry Type Transformer - &lt; 480V Primary - Any Size kVA</v>
      </c>
      <c r="D983" s="11">
        <f t="shared" si="30"/>
        <v>0</v>
      </c>
      <c r="E983" s="16"/>
      <c r="F983" s="17"/>
      <c r="G983" s="17"/>
      <c r="H983" s="17"/>
      <c r="I983" s="17"/>
      <c r="J983" s="17"/>
      <c r="K983" s="12"/>
      <c r="L983" s="12"/>
      <c r="M983" s="17"/>
      <c r="N983" s="17"/>
      <c r="O983" s="12"/>
      <c r="P983" s="12"/>
      <c r="Q983" s="17"/>
      <c r="R983" s="18">
        <f>IF(SUMPRODUCT((E983:Q983)*1)=0,0,E983*INDEX(Hours!M:M,MATCH(C983,Hours!$A:$A,0))+F983*INDEX(Hours!B:B,MATCH(C983,Hours!$A:$A,0))+G983*INDEX(Hours!C:C,MATCH(C983,Hours!$A:$A,0))+H983*INDEX(Hours!D:D,MATCH(C983,Hours!$A:$A,0))+I983*INDEX(Hours!E:E,MATCH(C983,Hours!$A:$A,0))+J983*INDEX(Hours!F:F,MATCH(C983,Hours!$A:$A,0))+M983*INDEX(Hours!I:I,MATCH(C983,Hours!$A:$A,0))+N983*INDEX(Hours!J:J,MATCH(C983,Hours!$A:$A,0)))</f>
        <v>0</v>
      </c>
      <c r="S983" s="19">
        <f t="shared" si="31"/>
        <v>0</v>
      </c>
    </row>
    <row r="984" spans="1:19" x14ac:dyDescent="0.25">
      <c r="A984" s="11" t="str">
        <f>'Bldgs &amp; Rooms'!$A$28</f>
        <v>Main Bldg.</v>
      </c>
      <c r="B984" s="11">
        <f>'Bldgs &amp; Rooms'!$B$28</f>
        <v>0</v>
      </c>
      <c r="C984" s="10" t="str">
        <f>Hours!$A$22</f>
        <v>Power Factor Correction Capacitors</v>
      </c>
      <c r="D984" s="11">
        <f t="shared" si="30"/>
        <v>0</v>
      </c>
      <c r="E984" s="16"/>
      <c r="F984" s="17"/>
      <c r="G984" s="17"/>
      <c r="H984" s="17"/>
      <c r="I984" s="17"/>
      <c r="J984" s="17"/>
      <c r="K984" s="12"/>
      <c r="L984" s="12"/>
      <c r="M984" s="12"/>
      <c r="N984" s="12"/>
      <c r="O984" s="12"/>
      <c r="P984" s="12"/>
      <c r="Q984" s="17"/>
      <c r="R984" s="18">
        <f>IF(SUMPRODUCT((E984:Q984)*1)=0,0,E984*INDEX(Hours!M:M,MATCH(C984,Hours!$A:$A,0))+F984*INDEX(Hours!B:B,MATCH(C984,Hours!$A:$A,0))+G984*INDEX(Hours!C:C,MATCH(C984,Hours!$A:$A,0))+H984*INDEX(Hours!D:D,MATCH(C984,Hours!$A:$A,0))+I984*INDEX(Hours!E:E,MATCH(C984,Hours!$A:$A,0))+J984*INDEX(Hours!F:F,MATCH(C984,Hours!$A:$A,0)))</f>
        <v>0</v>
      </c>
      <c r="S984" s="19">
        <f t="shared" si="31"/>
        <v>0</v>
      </c>
    </row>
    <row r="985" spans="1:19" x14ac:dyDescent="0.25">
      <c r="A985" s="11" t="str">
        <f>'Bldgs &amp; Rooms'!$A$28</f>
        <v>Main Bldg.</v>
      </c>
      <c r="B985" s="11">
        <f>'Bldgs &amp; Rooms'!$B$28</f>
        <v>0</v>
      </c>
      <c r="C985" s="10" t="str">
        <f>Hours!$A$23</f>
        <v>Lighting Contactor &gt; 100A</v>
      </c>
      <c r="D985" s="11">
        <f t="shared" si="30"/>
        <v>0</v>
      </c>
      <c r="E985" s="16"/>
      <c r="F985" s="17"/>
      <c r="G985" s="17"/>
      <c r="H985" s="17"/>
      <c r="I985" s="17"/>
      <c r="J985" s="17"/>
      <c r="K985" s="12"/>
      <c r="L985" s="12"/>
      <c r="M985" s="12"/>
      <c r="N985" s="12"/>
      <c r="O985" s="12"/>
      <c r="P985" s="12"/>
      <c r="Q985" s="17"/>
      <c r="R985" s="18">
        <f>IF(SUMPRODUCT((E985:Q985)*1)=0,0,E985*INDEX(Hours!M:M,MATCH(C985,Hours!$A:$A,0))+F985*INDEX(Hours!B:B,MATCH(C985,Hours!$A:$A,0))+G985*INDEX(Hours!C:C,MATCH(C985,Hours!$A:$A,0))+H985*INDEX(Hours!D:D,MATCH(C985,Hours!$A:$A,0))+I985*INDEX(Hours!E:E,MATCH(C985,Hours!$A:$A,0))+J985*INDEX(Hours!F:F,MATCH(C985,Hours!$A:$A,0)))</f>
        <v>0</v>
      </c>
      <c r="S985" s="19">
        <f t="shared" si="31"/>
        <v>0</v>
      </c>
    </row>
    <row r="986" spans="1:19" x14ac:dyDescent="0.25">
      <c r="A986" s="11" t="str">
        <f>'Bldgs &amp; Rooms'!$A$28</f>
        <v>Main Bldg.</v>
      </c>
      <c r="B986" s="11">
        <f>'Bldgs &amp; Rooms'!$B$28</f>
        <v>0</v>
      </c>
      <c r="C986" s="10" t="str">
        <f>Hours!$A$24</f>
        <v>Power Distribution Unit (PDU)</v>
      </c>
      <c r="D986" s="11">
        <f t="shared" si="30"/>
        <v>0</v>
      </c>
      <c r="E986" s="16"/>
      <c r="F986" s="17"/>
      <c r="G986" s="17"/>
      <c r="H986" s="17"/>
      <c r="I986" s="17"/>
      <c r="J986" s="17"/>
      <c r="K986" s="12"/>
      <c r="L986" s="12"/>
      <c r="M986" s="12"/>
      <c r="N986" s="12"/>
      <c r="O986" s="12"/>
      <c r="P986" s="12"/>
      <c r="Q986" s="17"/>
      <c r="R986" s="18">
        <f>IF(SUMPRODUCT((E986:Q986)*1)=0,0,E986*INDEX(Hours!M:M,MATCH(C986,Hours!$A:$A,0))+F986*INDEX(Hours!B:B,MATCH(C986,Hours!$A:$A,0))+G986*INDEX(Hours!C:C,MATCH(C986,Hours!$A:$A,0))+H986*INDEX(Hours!D:D,MATCH(C986,Hours!$A:$A,0))+I986*INDEX(Hours!E:E,MATCH(C986,Hours!$A:$A,0))+J986*INDEX(Hours!F:F,MATCH(C986,Hours!$A:$A,0)))</f>
        <v>0</v>
      </c>
      <c r="S986" s="19">
        <f t="shared" si="31"/>
        <v>0</v>
      </c>
    </row>
    <row r="987" spans="1:19" x14ac:dyDescent="0.25">
      <c r="A987" s="11" t="str">
        <f>'Bldgs &amp; Rooms'!$A$28</f>
        <v>Main Bldg.</v>
      </c>
      <c r="B987" s="11">
        <f>'Bldgs &amp; Rooms'!$B$28</f>
        <v>0</v>
      </c>
      <c r="C987" s="10" t="str">
        <f>Hours!$A$25</f>
        <v>Wire Trough, Gutter, or Large Junction Boxes</v>
      </c>
      <c r="D987" s="11">
        <f t="shared" si="30"/>
        <v>0</v>
      </c>
      <c r="E987" s="16"/>
      <c r="F987" s="17"/>
      <c r="G987" s="17"/>
      <c r="H987" s="17"/>
      <c r="I987" s="17"/>
      <c r="J987" s="17"/>
      <c r="K987" s="12"/>
      <c r="L987" s="12"/>
      <c r="M987" s="12"/>
      <c r="N987" s="12"/>
      <c r="O987" s="12"/>
      <c r="P987" s="12"/>
      <c r="Q987" s="17"/>
      <c r="R987" s="18">
        <f>IF(SUMPRODUCT((E987:Q987)*1)=0,0,E987*INDEX(Hours!M:M,MATCH(C987,Hours!$A:$A,0))+F987*INDEX(Hours!B:B,MATCH(C987,Hours!$A:$A,0))+G987*INDEX(Hours!C:C,MATCH(C987,Hours!$A:$A,0))+H987*INDEX(Hours!D:D,MATCH(C987,Hours!$A:$A,0))+I987*INDEX(Hours!E:E,MATCH(C987,Hours!$A:$A,0))+J987*INDEX(Hours!F:F,MATCH(C987,Hours!$A:$A,0)))</f>
        <v>0</v>
      </c>
      <c r="S987" s="19">
        <f t="shared" si="31"/>
        <v>0</v>
      </c>
    </row>
    <row r="988" spans="1:19" x14ac:dyDescent="0.25">
      <c r="A988" s="11" t="str">
        <f>'Bldgs &amp; Rooms'!$A$28</f>
        <v>Main Bldg.</v>
      </c>
      <c r="B988" s="11">
        <f>'Bldgs &amp; Rooms'!$B$28</f>
        <v>0</v>
      </c>
      <c r="C988" s="10" t="str">
        <f>Hours!$A$26</f>
        <v>Bus Duct - Vertical or Horizontal (Per 10' section)</v>
      </c>
      <c r="D988" s="11">
        <f t="shared" si="30"/>
        <v>0</v>
      </c>
      <c r="E988" s="16"/>
      <c r="F988" s="17"/>
      <c r="G988" s="17"/>
      <c r="H988" s="17"/>
      <c r="I988" s="17"/>
      <c r="J988" s="17"/>
      <c r="K988" s="12"/>
      <c r="L988" s="12"/>
      <c r="M988" s="12"/>
      <c r="N988" s="12"/>
      <c r="O988" s="12"/>
      <c r="P988" s="12"/>
      <c r="Q988" s="17"/>
      <c r="R988" s="18">
        <f>IF(SUMPRODUCT((E988:Q988)*1)=0,0,E988*INDEX(Hours!M:M,MATCH(C988,Hours!$A:$A,0))+F988*INDEX(Hours!B:B,MATCH(C988,Hours!$A:$A,0))+G988*INDEX(Hours!C:C,MATCH(C988,Hours!$A:$A,0))+H988*INDEX(Hours!D:D,MATCH(C988,Hours!$A:$A,0))+I988*INDEX(Hours!E:E,MATCH(C988,Hours!$A:$A,0))+J988*INDEX(Hours!F:F,MATCH(C988,Hours!$A:$A,0)))</f>
        <v>0</v>
      </c>
      <c r="S988" s="19">
        <f t="shared" si="31"/>
        <v>0</v>
      </c>
    </row>
    <row r="989" spans="1:19" x14ac:dyDescent="0.25">
      <c r="A989" s="11" t="str">
        <f>'Bldgs &amp; Rooms'!$A$28</f>
        <v>Main Bldg.</v>
      </c>
      <c r="B989" s="11">
        <f>'Bldgs &amp; Rooms'!$B$28</f>
        <v>0</v>
      </c>
      <c r="C989" s="10" t="str">
        <f>Hours!$A$27</f>
        <v>Automatic Transfer Switch (ATS) &gt; 100A</v>
      </c>
      <c r="D989" s="11">
        <f t="shared" si="30"/>
        <v>0</v>
      </c>
      <c r="E989" s="16"/>
      <c r="F989" s="17"/>
      <c r="G989" s="17"/>
      <c r="H989" s="17"/>
      <c r="I989" s="17"/>
      <c r="J989" s="17"/>
      <c r="K989" s="12"/>
      <c r="L989" s="12"/>
      <c r="M989" s="12"/>
      <c r="N989" s="12"/>
      <c r="O989" s="12"/>
      <c r="P989" s="12"/>
      <c r="Q989" s="17"/>
      <c r="R989" s="18">
        <f>IF(SUMPRODUCT((E989:Q989)*1)=0,0,E989*INDEX(Hours!M:M,MATCH(C989,Hours!$A:$A,0))+F989*INDEX(Hours!B:B,MATCH(C989,Hours!$A:$A,0))+G989*INDEX(Hours!C:C,MATCH(C989,Hours!$A:$A,0))+H989*INDEX(Hours!D:D,MATCH(C989,Hours!$A:$A,0))+I989*INDEX(Hours!E:E,MATCH(C989,Hours!$A:$A,0))+J989*INDEX(Hours!F:F,MATCH(C989,Hours!$A:$A,0)))</f>
        <v>0</v>
      </c>
      <c r="S989" s="19">
        <f t="shared" si="31"/>
        <v>0</v>
      </c>
    </row>
    <row r="990" spans="1:19" x14ac:dyDescent="0.25">
      <c r="A990" s="11" t="str">
        <f>'Bldgs &amp; Rooms'!$A$28</f>
        <v>Main Bldg.</v>
      </c>
      <c r="B990" s="11">
        <f>'Bldgs &amp; Rooms'!$B$28</f>
        <v>0</v>
      </c>
      <c r="C990" s="10" t="str">
        <f>Hours!$A$28</f>
        <v>Manual Transfer Switch (MTS) &gt; 100A</v>
      </c>
      <c r="D990" s="11">
        <f t="shared" si="30"/>
        <v>0</v>
      </c>
      <c r="E990" s="16"/>
      <c r="F990" s="17"/>
      <c r="G990" s="17"/>
      <c r="H990" s="17"/>
      <c r="I990" s="17"/>
      <c r="J990" s="17"/>
      <c r="K990" s="12"/>
      <c r="L990" s="12"/>
      <c r="M990" s="12"/>
      <c r="N990" s="12"/>
      <c r="O990" s="12"/>
      <c r="P990" s="12"/>
      <c r="Q990" s="17"/>
      <c r="R990" s="18">
        <f>IF(SUMPRODUCT((E990:Q990)*1)=0,0,E990*INDEX(Hours!M:M,MATCH(C990,Hours!$A:$A,0))+F990*INDEX(Hours!B:B,MATCH(C990,Hours!$A:$A,0))+G990*INDEX(Hours!C:C,MATCH(C990,Hours!$A:$A,0))+H990*INDEX(Hours!D:D,MATCH(C990,Hours!$A:$A,0))+I990*INDEX(Hours!E:E,MATCH(C990,Hours!$A:$A,0))+J990*INDEX(Hours!F:F,MATCH(C990,Hours!$A:$A,0)))</f>
        <v>0</v>
      </c>
      <c r="S990" s="19">
        <f t="shared" si="31"/>
        <v>0</v>
      </c>
    </row>
    <row r="991" spans="1:19" x14ac:dyDescent="0.25">
      <c r="A991" s="11" t="str">
        <f>'Bldgs &amp; Rooms'!$A$28</f>
        <v>Main Bldg.</v>
      </c>
      <c r="B991" s="11">
        <f>'Bldgs &amp; Rooms'!$B$28</f>
        <v>0</v>
      </c>
      <c r="C991" s="10" t="str">
        <f>Hours!$A$29</f>
        <v>Variable Frequency Drives (VFD) &lt; 50 HP</v>
      </c>
      <c r="D991" s="11">
        <f t="shared" si="30"/>
        <v>0</v>
      </c>
      <c r="E991" s="16"/>
      <c r="F991" s="17"/>
      <c r="G991" s="17"/>
      <c r="H991" s="17"/>
      <c r="I991" s="17"/>
      <c r="J991" s="17"/>
      <c r="K991" s="12"/>
      <c r="L991" s="12"/>
      <c r="M991" s="12"/>
      <c r="N991" s="12"/>
      <c r="O991" s="12"/>
      <c r="P991" s="12"/>
      <c r="Q991" s="17"/>
      <c r="R991" s="18">
        <f>IF(SUMPRODUCT((E991:Q991)*1)=0,0,E991*INDEX(Hours!M:M,MATCH(C991,Hours!$A:$A,0))+F991*INDEX(Hours!B:B,MATCH(C991,Hours!$A:$A,0))+G991*INDEX(Hours!C:C,MATCH(C991,Hours!$A:$A,0))+H991*INDEX(Hours!D:D,MATCH(C991,Hours!$A:$A,0))+I991*INDEX(Hours!E:E,MATCH(C991,Hours!$A:$A,0))+J991*INDEX(Hours!F:F,MATCH(C991,Hours!$A:$A,0)))</f>
        <v>0</v>
      </c>
      <c r="S991" s="19">
        <f t="shared" si="31"/>
        <v>0</v>
      </c>
    </row>
    <row r="992" spans="1:19" x14ac:dyDescent="0.25">
      <c r="A992" s="11" t="str">
        <f>'Bldgs &amp; Rooms'!$A$28</f>
        <v>Main Bldg.</v>
      </c>
      <c r="B992" s="11">
        <f>'Bldgs &amp; Rooms'!$B$28</f>
        <v>0</v>
      </c>
      <c r="C992" s="10" t="str">
        <f>Hours!$A$30</f>
        <v>Variable Frequency Drives (VFD) 51-200 HP</v>
      </c>
      <c r="D992" s="11">
        <f t="shared" si="30"/>
        <v>0</v>
      </c>
      <c r="E992" s="16"/>
      <c r="F992" s="17"/>
      <c r="G992" s="17"/>
      <c r="H992" s="17"/>
      <c r="I992" s="17"/>
      <c r="J992" s="17"/>
      <c r="K992" s="12"/>
      <c r="L992" s="12"/>
      <c r="M992" s="12"/>
      <c r="N992" s="12"/>
      <c r="O992" s="12"/>
      <c r="P992" s="12"/>
      <c r="Q992" s="17"/>
      <c r="R992" s="18">
        <f>IF(SUMPRODUCT((E992:Q992)*1)=0,0,E992*INDEX(Hours!M:M,MATCH(C992,Hours!$A:$A,0))+F992*INDEX(Hours!B:B,MATCH(C992,Hours!$A:$A,0))+G992*INDEX(Hours!C:C,MATCH(C992,Hours!$A:$A,0))+H992*INDEX(Hours!D:D,MATCH(C992,Hours!$A:$A,0))+I992*INDEX(Hours!E:E,MATCH(C992,Hours!$A:$A,0))+J992*INDEX(Hours!F:F,MATCH(C992,Hours!$A:$A,0)))</f>
        <v>0</v>
      </c>
      <c r="S992" s="19">
        <f t="shared" si="31"/>
        <v>0</v>
      </c>
    </row>
    <row r="993" spans="1:19" x14ac:dyDescent="0.25">
      <c r="A993" s="11" t="str">
        <f>'Bldgs &amp; Rooms'!$A$28</f>
        <v>Main Bldg.</v>
      </c>
      <c r="B993" s="11">
        <f>'Bldgs &amp; Rooms'!$B$28</f>
        <v>0</v>
      </c>
      <c r="C993" s="10" t="str">
        <f>Hours!$A$31</f>
        <v>Motors &lt; 50 HP</v>
      </c>
      <c r="D993" s="11">
        <f t="shared" si="30"/>
        <v>0</v>
      </c>
      <c r="E993" s="16"/>
      <c r="F993" s="17"/>
      <c r="G993" s="17"/>
      <c r="H993" s="17"/>
      <c r="I993" s="17"/>
      <c r="J993" s="17"/>
      <c r="K993" s="12"/>
      <c r="L993" s="12"/>
      <c r="M993" s="12"/>
      <c r="N993" s="12"/>
      <c r="O993" s="12"/>
      <c r="P993" s="12"/>
      <c r="Q993" s="17"/>
      <c r="R993" s="18">
        <f>IF(SUMPRODUCT((E993:Q993)*1)=0,0,E993*INDEX(Hours!M:M,MATCH(C993,Hours!$A:$A,0))+F993*INDEX(Hours!B:B,MATCH(C993,Hours!$A:$A,0))+G993*INDEX(Hours!C:C,MATCH(C993,Hours!$A:$A,0))+H993*INDEX(Hours!D:D,MATCH(C993,Hours!$A:$A,0))+I993*INDEX(Hours!E:E,MATCH(C993,Hours!$A:$A,0))+J993*INDEX(Hours!F:F,MATCH(C993,Hours!$A:$A,0)))</f>
        <v>0</v>
      </c>
      <c r="S993" s="19">
        <f t="shared" si="31"/>
        <v>0</v>
      </c>
    </row>
    <row r="994" spans="1:19" x14ac:dyDescent="0.25">
      <c r="A994" s="11" t="str">
        <f>'Bldgs &amp; Rooms'!$A$28</f>
        <v>Main Bldg.</v>
      </c>
      <c r="B994" s="11">
        <f>'Bldgs &amp; Rooms'!$B$28</f>
        <v>0</v>
      </c>
      <c r="C994" s="10" t="str">
        <f>Hours!$A$32</f>
        <v>Motors 51-200 HP</v>
      </c>
      <c r="D994" s="11">
        <f t="shared" si="30"/>
        <v>0</v>
      </c>
      <c r="E994" s="16"/>
      <c r="F994" s="17"/>
      <c r="G994" s="17"/>
      <c r="H994" s="17"/>
      <c r="I994" s="17"/>
      <c r="J994" s="17"/>
      <c r="K994" s="12"/>
      <c r="L994" s="12"/>
      <c r="M994" s="12"/>
      <c r="N994" s="12"/>
      <c r="O994" s="12"/>
      <c r="P994" s="12"/>
      <c r="Q994" s="17"/>
      <c r="R994" s="18">
        <f>IF(SUMPRODUCT((E994:Q994)*1)=0,0,E994*INDEX(Hours!M:M,MATCH(C994,Hours!$A:$A,0))+F994*INDEX(Hours!B:B,MATCH(C994,Hours!$A:$A,0))+G994*INDEX(Hours!C:C,MATCH(C994,Hours!$A:$A,0))+H994*INDEX(Hours!D:D,MATCH(C994,Hours!$A:$A,0))+I994*INDEX(Hours!E:E,MATCH(C994,Hours!$A:$A,0))+J994*INDEX(Hours!F:F,MATCH(C994,Hours!$A:$A,0)))</f>
        <v>0</v>
      </c>
      <c r="S994" s="19">
        <f t="shared" si="31"/>
        <v>0</v>
      </c>
    </row>
    <row r="995" spans="1:19" x14ac:dyDescent="0.25">
      <c r="A995" s="11" t="str">
        <f>'Bldgs &amp; Rooms'!$A$28</f>
        <v>Main Bldg.</v>
      </c>
      <c r="B995" s="11">
        <f>'Bldgs &amp; Rooms'!$B$28</f>
        <v>0</v>
      </c>
      <c r="C995" s="10" t="str">
        <f>Hours!$A$33</f>
        <v>Motors 201-500 HP</v>
      </c>
      <c r="D995" s="11">
        <f t="shared" si="30"/>
        <v>0</v>
      </c>
      <c r="E995" s="16"/>
      <c r="F995" s="17"/>
      <c r="G995" s="17"/>
      <c r="H995" s="17"/>
      <c r="I995" s="17"/>
      <c r="J995" s="17"/>
      <c r="K995" s="12"/>
      <c r="L995" s="12"/>
      <c r="M995" s="12"/>
      <c r="N995" s="12"/>
      <c r="O995" s="12"/>
      <c r="P995" s="12"/>
      <c r="Q995" s="17"/>
      <c r="R995" s="18">
        <f>IF(SUMPRODUCT((E995:Q995)*1)=0,0,E995*INDEX(Hours!M:M,MATCH(C995,Hours!$A:$A,0))+F995*INDEX(Hours!B:B,MATCH(C995,Hours!$A:$A,0))+G995*INDEX(Hours!C:C,MATCH(C995,Hours!$A:$A,0))+H995*INDEX(Hours!D:D,MATCH(C995,Hours!$A:$A,0))+I995*INDEX(Hours!E:E,MATCH(C995,Hours!$A:$A,0))+J995*INDEX(Hours!F:F,MATCH(C995,Hours!$A:$A,0)))</f>
        <v>0</v>
      </c>
      <c r="S995" s="19">
        <f t="shared" si="31"/>
        <v>0</v>
      </c>
    </row>
    <row r="996" spans="1:19" x14ac:dyDescent="0.25">
      <c r="A996" s="11" t="str">
        <f>'Bldgs &amp; Rooms'!$A$28</f>
        <v>Main Bldg.</v>
      </c>
      <c r="B996" s="11">
        <f>'Bldgs &amp; Rooms'!$B$28</f>
        <v>0</v>
      </c>
      <c r="C996" s="10" t="str">
        <f>Hours!$A$34</f>
        <v>Compressed Air Equipment</v>
      </c>
      <c r="D996" s="11">
        <f t="shared" si="30"/>
        <v>0</v>
      </c>
      <c r="E996" s="16"/>
      <c r="F996" s="17"/>
      <c r="G996" s="17"/>
      <c r="H996" s="17"/>
      <c r="I996" s="17"/>
      <c r="J996" s="17"/>
      <c r="K996" s="12"/>
      <c r="L996" s="12"/>
      <c r="M996" s="12"/>
      <c r="N996" s="12"/>
      <c r="O996" s="12"/>
      <c r="P996" s="12"/>
      <c r="Q996" s="17"/>
      <c r="R996" s="18">
        <f>IF(SUMPRODUCT((E996:Q996)*1)=0,0,E996*INDEX(Hours!M:M,MATCH(C996,Hours!$A:$A,0))+F996*INDEX(Hours!B:B,MATCH(C996,Hours!$A:$A,0))+G996*INDEX(Hours!C:C,MATCH(C996,Hours!$A:$A,0))+H996*INDEX(Hours!D:D,MATCH(C996,Hours!$A:$A,0))+I996*INDEX(Hours!E:E,MATCH(C996,Hours!$A:$A,0))+J996*INDEX(Hours!F:F,MATCH(C996,Hours!$A:$A,0)))</f>
        <v>0</v>
      </c>
      <c r="S996" s="19">
        <f t="shared" si="31"/>
        <v>0</v>
      </c>
    </row>
    <row r="997" spans="1:19" x14ac:dyDescent="0.25">
      <c r="A997" s="11" t="str">
        <f>'Bldgs &amp; Rooms'!$A$28</f>
        <v>Main Bldg.</v>
      </c>
      <c r="B997" s="11">
        <f>'Bldgs &amp; Rooms'!$B$28</f>
        <v>0</v>
      </c>
      <c r="C997" s="10" t="str">
        <f>Hours!$A$35</f>
        <v>HVAC Equipment (Large)</v>
      </c>
      <c r="D997" s="11">
        <f t="shared" si="30"/>
        <v>0</v>
      </c>
      <c r="E997" s="16"/>
      <c r="F997" s="17"/>
      <c r="G997" s="17"/>
      <c r="H997" s="17"/>
      <c r="I997" s="17"/>
      <c r="J997" s="17"/>
      <c r="K997" s="12"/>
      <c r="L997" s="12"/>
      <c r="M997" s="12"/>
      <c r="N997" s="12"/>
      <c r="O997" s="12"/>
      <c r="P997" s="12"/>
      <c r="Q997" s="17"/>
      <c r="R997" s="18">
        <f>IF(SUMPRODUCT((E997:Q997)*1)=0,0,E997*INDEX(Hours!M:M,MATCH(C997,Hours!$A:$A,0))+F997*INDEX(Hours!B:B,MATCH(C997,Hours!$A:$A,0))+G997*INDEX(Hours!C:C,MATCH(C997,Hours!$A:$A,0))+H997*INDEX(Hours!D:D,MATCH(C997,Hours!$A:$A,0))+I997*INDEX(Hours!E:E,MATCH(C997,Hours!$A:$A,0))+J997*INDEX(Hours!F:F,MATCH(C997,Hours!$A:$A,0)))</f>
        <v>0</v>
      </c>
      <c r="S997" s="19">
        <f t="shared" si="31"/>
        <v>0</v>
      </c>
    </row>
    <row r="998" spans="1:19" x14ac:dyDescent="0.25">
      <c r="A998" s="11" t="str">
        <f>'Bldgs &amp; Rooms'!$A$28</f>
        <v>Main Bldg.</v>
      </c>
      <c r="B998" s="11">
        <f>'Bldgs &amp; Rooms'!$B$28</f>
        <v>0</v>
      </c>
      <c r="C998" s="10" t="str">
        <f>Hours!$A$36</f>
        <v>HVAC Equipment (Small)</v>
      </c>
      <c r="D998" s="11">
        <f t="shared" si="30"/>
        <v>0</v>
      </c>
      <c r="E998" s="16"/>
      <c r="F998" s="17"/>
      <c r="G998" s="17"/>
      <c r="H998" s="17"/>
      <c r="I998" s="17"/>
      <c r="J998" s="17"/>
      <c r="K998" s="12"/>
      <c r="L998" s="12"/>
      <c r="M998" s="12"/>
      <c r="N998" s="12"/>
      <c r="O998" s="12"/>
      <c r="P998" s="12"/>
      <c r="Q998" s="17"/>
      <c r="R998" s="18">
        <f>IF(SUMPRODUCT((E998:Q998)*1)=0,0,E998*INDEX(Hours!M:M,MATCH(C998,Hours!$A:$A,0))+F998*INDEX(Hours!B:B,MATCH(C998,Hours!$A:$A,0))+G998*INDEX(Hours!C:C,MATCH(C998,Hours!$A:$A,0))+H998*INDEX(Hours!D:D,MATCH(C998,Hours!$A:$A,0))+I998*INDEX(Hours!E:E,MATCH(C998,Hours!$A:$A,0))+J998*INDEX(Hours!F:F,MATCH(C998,Hours!$A:$A,0)))</f>
        <v>0</v>
      </c>
      <c r="S998" s="19">
        <f t="shared" si="31"/>
        <v>0</v>
      </c>
    </row>
    <row r="999" spans="1:19" x14ac:dyDescent="0.25">
      <c r="A999" s="11" t="str">
        <f>'Bldgs &amp; Rooms'!$A$28</f>
        <v>Main Bldg.</v>
      </c>
      <c r="B999" s="11">
        <f>'Bldgs &amp; Rooms'!$B$28</f>
        <v>0</v>
      </c>
      <c r="C999" s="10" t="str">
        <f>Hours!$A$37</f>
        <v>Uninterruptible Power Supply (UPS) &lt; 50kVA</v>
      </c>
      <c r="D999" s="11">
        <f t="shared" si="30"/>
        <v>0</v>
      </c>
      <c r="E999" s="16"/>
      <c r="F999" s="17"/>
      <c r="G999" s="17"/>
      <c r="H999" s="17"/>
      <c r="I999" s="17"/>
      <c r="J999" s="17"/>
      <c r="K999" s="12"/>
      <c r="L999" s="12"/>
      <c r="M999" s="12"/>
      <c r="N999" s="12"/>
      <c r="O999" s="12"/>
      <c r="P999" s="12"/>
      <c r="Q999" s="17"/>
      <c r="R999" s="18">
        <f>IF(SUMPRODUCT((E999:Q999)*1)=0,0,E999*INDEX(Hours!M:M,MATCH(C999,Hours!$A:$A,0))+F999*INDEX(Hours!B:B,MATCH(C999,Hours!$A:$A,0))+G999*INDEX(Hours!C:C,MATCH(C999,Hours!$A:$A,0))+H999*INDEX(Hours!D:D,MATCH(C999,Hours!$A:$A,0))+I999*INDEX(Hours!E:E,MATCH(C999,Hours!$A:$A,0))+J999*INDEX(Hours!F:F,MATCH(C999,Hours!$A:$A,0)))</f>
        <v>0</v>
      </c>
      <c r="S999" s="19">
        <f t="shared" si="31"/>
        <v>0</v>
      </c>
    </row>
    <row r="1000" spans="1:19" x14ac:dyDescent="0.25">
      <c r="A1000" s="11" t="str">
        <f>'Bldgs &amp; Rooms'!$A$28</f>
        <v>Main Bldg.</v>
      </c>
      <c r="B1000" s="11">
        <f>'Bldgs &amp; Rooms'!$B$28</f>
        <v>0</v>
      </c>
      <c r="C1000" s="10" t="str">
        <f>Hours!$A$38</f>
        <v>Uninterruptible Power Supply (UPS) &gt; 50kVA</v>
      </c>
      <c r="D1000" s="11">
        <f t="shared" si="30"/>
        <v>0</v>
      </c>
      <c r="E1000" s="16"/>
      <c r="F1000" s="17"/>
      <c r="G1000" s="17"/>
      <c r="H1000" s="17"/>
      <c r="I1000" s="17"/>
      <c r="J1000" s="17"/>
      <c r="K1000" s="12"/>
      <c r="L1000" s="12"/>
      <c r="M1000" s="12"/>
      <c r="N1000" s="12"/>
      <c r="O1000" s="12"/>
      <c r="P1000" s="12"/>
      <c r="Q1000" s="17"/>
      <c r="R1000" s="18">
        <f>IF(SUMPRODUCT((E1000:Q1000)*1)=0,0,E1000*INDEX(Hours!M:M,MATCH(C1000,Hours!$A:$A,0))+F1000*INDEX(Hours!B:B,MATCH(C1000,Hours!$A:$A,0))+G1000*INDEX(Hours!C:C,MATCH(C1000,Hours!$A:$A,0))+H1000*INDEX(Hours!D:D,MATCH(C1000,Hours!$A:$A,0))+I1000*INDEX(Hours!E:E,MATCH(C1000,Hours!$A:$A,0))+J1000*INDEX(Hours!F:F,MATCH(C1000,Hours!$A:$A,0)))</f>
        <v>0</v>
      </c>
      <c r="S1000" s="19">
        <f t="shared" si="31"/>
        <v>0</v>
      </c>
    </row>
    <row r="1001" spans="1:19" x14ac:dyDescent="0.25">
      <c r="A1001" s="15" t="str">
        <f>'Bldgs &amp; Rooms'!$A$29</f>
        <v>Main Bldg.</v>
      </c>
      <c r="B1001" s="15">
        <f>'Bldgs &amp; Rooms'!$B$29</f>
        <v>0</v>
      </c>
      <c r="C1001" s="14" t="str">
        <f>Hours!$A$2</f>
        <v>Switchgear - Incoming Main Service (Per Section)</v>
      </c>
      <c r="D1001" s="15">
        <f t="shared" si="30"/>
        <v>0</v>
      </c>
      <c r="E1001" s="16"/>
      <c r="F1001" s="17"/>
      <c r="G1001" s="17"/>
      <c r="H1001" s="17"/>
      <c r="I1001" s="17"/>
      <c r="J1001" s="17"/>
      <c r="K1001" s="17"/>
      <c r="L1001" s="17"/>
      <c r="M1001" s="12"/>
      <c r="N1001" s="12"/>
      <c r="O1001" s="17"/>
      <c r="P1001" s="12"/>
      <c r="Q1001" s="17"/>
      <c r="R1001" s="18">
        <f>IF(SUMPRODUCT((E1001:Q1001)*1)=0,0,E1001*INDEX(Hours!M:M,MATCH(C1001,Hours!$A:$A,0))+F1001*INDEX(Hours!B:B,MATCH(C1001,Hours!$A:$A,0))+G1001*INDEX(Hours!C:C,MATCH(C1001,Hours!$A:$A,0))+H1001*INDEX(Hours!D:D,MATCH(C1001,Hours!$A:$A,0))+I1001*INDEX(Hours!E:E,MATCH(C1001,Hours!$A:$A,0))+J1001*INDEX(Hours!F:F,MATCH(C1001,Hours!$A:$A,0))+K1001*INDEX(Hours!G:G,MATCH(C1001,Hours!$A:$A,0))+L1001*INDEX(Hours!H:H,MATCH(C1001,Hours!$A:$A,0))+O1001*INDEX(Hours!K:K,MATCH(C1001,Hours!$A:$A,0)))</f>
        <v>0</v>
      </c>
      <c r="S1001" s="19">
        <f t="shared" si="31"/>
        <v>0</v>
      </c>
    </row>
    <row r="1002" spans="1:19" x14ac:dyDescent="0.25">
      <c r="A1002" s="15" t="str">
        <f>'Bldgs &amp; Rooms'!$A$29</f>
        <v>Main Bldg.</v>
      </c>
      <c r="B1002" s="15">
        <f>'Bldgs &amp; Rooms'!$B$29</f>
        <v>0</v>
      </c>
      <c r="C1002" s="14" t="str">
        <f>Hours!$A$3</f>
        <v xml:space="preserve">  Switchgear Insulated Case Breakers (Bus Mounted)</v>
      </c>
      <c r="D1002" s="15">
        <f t="shared" si="30"/>
        <v>0</v>
      </c>
      <c r="E1002" s="16"/>
      <c r="F1002" s="17"/>
      <c r="G1002" s="17"/>
      <c r="H1002" s="17"/>
      <c r="I1002" s="17"/>
      <c r="J1002" s="17"/>
      <c r="K1002" s="17"/>
      <c r="L1002" s="12"/>
      <c r="M1002" s="12"/>
      <c r="N1002" s="12"/>
      <c r="O1002" s="12"/>
      <c r="P1002" s="12"/>
      <c r="Q1002" s="17"/>
      <c r="R1002" s="18">
        <f>IF(SUMPRODUCT((E1002:Q1002)*1)=0,0,E1002*INDEX(Hours!M:M,MATCH(C1002,Hours!$A:$A,0))+F1002*INDEX(Hours!B:B,MATCH(C1002,Hours!$A:$A,0))+G1002*INDEX(Hours!C:C,MATCH(C1002,Hours!$A:$A,0))+H1002*INDEX(Hours!D:D,MATCH(C1002,Hours!$A:$A,0))+I1002*INDEX(Hours!E:E,MATCH(C1002,Hours!$A:$A,0))+J1002*INDEX(Hours!F:F,MATCH(C1002,Hours!$A:$A,0))+K1002*INDEX(Hours!G:G,MATCH(C1002,Hours!$A:$A,0)))</f>
        <v>0</v>
      </c>
      <c r="S1002" s="19">
        <f t="shared" si="31"/>
        <v>0</v>
      </c>
    </row>
    <row r="1003" spans="1:19" x14ac:dyDescent="0.25">
      <c r="A1003" s="15" t="str">
        <f>'Bldgs &amp; Rooms'!$A$29</f>
        <v>Main Bldg.</v>
      </c>
      <c r="B1003" s="15">
        <f>'Bldgs &amp; Rooms'!$B$29</f>
        <v>0</v>
      </c>
      <c r="C1003" s="14" t="str">
        <f>Hours!$A$4</f>
        <v xml:space="preserve">  SwitchGear Drawout Breakers</v>
      </c>
      <c r="D1003" s="15">
        <f t="shared" si="30"/>
        <v>0</v>
      </c>
      <c r="E1003" s="16"/>
      <c r="F1003" s="17"/>
      <c r="G1003" s="17"/>
      <c r="H1003" s="17"/>
      <c r="I1003" s="17"/>
      <c r="J1003" s="17"/>
      <c r="K1003" s="12"/>
      <c r="L1003" s="17"/>
      <c r="M1003" s="12"/>
      <c r="N1003" s="12"/>
      <c r="O1003" s="12"/>
      <c r="P1003" s="12"/>
      <c r="Q1003" s="17"/>
      <c r="R1003" s="18">
        <f>IF(SUMPRODUCT((E1003:Q1003)*1)=0,0,E1003*INDEX(Hours!M:M,MATCH(C1003,Hours!$A:$A,0))+F1003*INDEX(Hours!B:B,MATCH(C1003,Hours!$A:$A,0))+G1003*INDEX(Hours!C:C,MATCH(C1003,Hours!$A:$A,0))+H1003*INDEX(Hours!D:D,MATCH(C1003,Hours!$A:$A,0))+I1003*INDEX(Hours!E:E,MATCH(C1003,Hours!$A:$A,0))+J1003*INDEX(Hours!F:F,MATCH(C1003,Hours!$A:$A,0))+L1003*INDEX(Hours!H:H,MATCH(C1003,Hours!$A:$A,0)))</f>
        <v>0</v>
      </c>
      <c r="S1003" s="19">
        <f t="shared" si="31"/>
        <v>0</v>
      </c>
    </row>
    <row r="1004" spans="1:19" x14ac:dyDescent="0.25">
      <c r="A1004" s="15" t="str">
        <f>'Bldgs &amp; Rooms'!$A$29</f>
        <v>Main Bldg.</v>
      </c>
      <c r="B1004" s="15">
        <f>'Bldgs &amp; Rooms'!$B$29</f>
        <v>0</v>
      </c>
      <c r="C1004" s="14" t="str">
        <f>Hours!$A$5</f>
        <v>Distribution Switchboard Multi Cover (Per Section)</v>
      </c>
      <c r="D1004" s="15">
        <f t="shared" si="30"/>
        <v>0</v>
      </c>
      <c r="E1004" s="16"/>
      <c r="F1004" s="17"/>
      <c r="G1004" s="17"/>
      <c r="H1004" s="17"/>
      <c r="I1004" s="17"/>
      <c r="J1004" s="17"/>
      <c r="K1004" s="17"/>
      <c r="L1004" s="12"/>
      <c r="M1004" s="12"/>
      <c r="N1004" s="12"/>
      <c r="O1004" s="17"/>
      <c r="P1004" s="12"/>
      <c r="Q1004" s="17"/>
      <c r="R1004" s="18">
        <f>IF(SUMPRODUCT((E1004:Q1004)*1)=0,0,E1004*INDEX(Hours!M:M,MATCH(C1004,Hours!$A:$A,0))+F1004*INDEX(Hours!B:B,MATCH(C1004,Hours!$A:$A,0))+G1004*INDEX(Hours!C:C,MATCH(C1004,Hours!$A:$A,0))+H1004*INDEX(Hours!D:D,MATCH(C1004,Hours!$A:$A,0))+I1004*INDEX(Hours!E:E,MATCH(C1004,Hours!$A:$A,0))+J1004*INDEX(Hours!F:F,MATCH(C1004,Hours!$A:$A,0))+K1004*INDEX(Hours!G:G,MATCH(C1004,Hours!$A:$A,0))+O1004*INDEX(Hours!K:K,MATCH(C1004,Hours!$A:$A,0)))</f>
        <v>0</v>
      </c>
      <c r="S1004" s="19">
        <f t="shared" si="31"/>
        <v>0</v>
      </c>
    </row>
    <row r="1005" spans="1:19" x14ac:dyDescent="0.25">
      <c r="A1005" s="15" t="str">
        <f>'Bldgs &amp; Rooms'!$A$29</f>
        <v>Main Bldg.</v>
      </c>
      <c r="B1005" s="15">
        <f>'Bldgs &amp; Rooms'!$B$29</f>
        <v>0</v>
      </c>
      <c r="C1005" s="14" t="str">
        <f>Hours!$A$6</f>
        <v xml:space="preserve">  Switchboard Disconnects</v>
      </c>
      <c r="D1005" s="15">
        <f t="shared" si="30"/>
        <v>0</v>
      </c>
      <c r="E1005" s="16"/>
      <c r="F1005" s="17"/>
      <c r="G1005" s="17"/>
      <c r="H1005" s="17"/>
      <c r="I1005" s="17"/>
      <c r="J1005" s="17"/>
      <c r="K1005" s="12"/>
      <c r="L1005" s="12"/>
      <c r="M1005" s="12"/>
      <c r="N1005" s="12"/>
      <c r="O1005" s="12"/>
      <c r="P1005" s="12"/>
      <c r="Q1005" s="17"/>
      <c r="R1005" s="18">
        <f>IF(SUMPRODUCT((E1005:Q1005)*1)=0,0,E1005*INDEX(Hours!M:M,MATCH(C1005,Hours!$A:$A,0))+F1005*INDEX(Hours!B:B,MATCH(C1005,Hours!$A:$A,0))+G1005*INDEX(Hours!C:C,MATCH(C1005,Hours!$A:$A,0))+H1005*INDEX(Hours!D:D,MATCH(C1005,Hours!$A:$A,0))+I1005*INDEX(Hours!E:E,MATCH(C1005,Hours!$A:$A,0))+J1005*INDEX(Hours!F:F,MATCH(C1005,Hours!$A:$A,0)))</f>
        <v>0</v>
      </c>
      <c r="S1005" s="19">
        <f t="shared" si="31"/>
        <v>0</v>
      </c>
    </row>
    <row r="1006" spans="1:19" x14ac:dyDescent="0.25">
      <c r="A1006" s="15" t="str">
        <f>'Bldgs &amp; Rooms'!$A$29</f>
        <v>Main Bldg.</v>
      </c>
      <c r="B1006" s="15">
        <f>'Bldgs &amp; Rooms'!$B$29</f>
        <v>0</v>
      </c>
      <c r="C1006" s="14" t="str">
        <f>Hours!$A$7</f>
        <v xml:space="preserve">  Switchboard Molded Case Breakers</v>
      </c>
      <c r="D1006" s="15">
        <f t="shared" si="30"/>
        <v>0</v>
      </c>
      <c r="E1006" s="16"/>
      <c r="F1006" s="17"/>
      <c r="G1006" s="17"/>
      <c r="H1006" s="17"/>
      <c r="I1006" s="17"/>
      <c r="J1006" s="17"/>
      <c r="K1006" s="17"/>
      <c r="L1006" s="12"/>
      <c r="M1006" s="12"/>
      <c r="N1006" s="12"/>
      <c r="O1006" s="12"/>
      <c r="P1006" s="12"/>
      <c r="Q1006" s="17"/>
      <c r="R1006" s="18">
        <f>IF(SUMPRODUCT((E1006:Q1006)*1)=0,0,E1006*INDEX(Hours!M:M,MATCH(C1006,Hours!$A:$A,0))+F1006*INDEX(Hours!B:B,MATCH(C1006,Hours!$A:$A,0))+G1006*INDEX(Hours!C:C,MATCH(C1006,Hours!$A:$A,0))+H1006*INDEX(Hours!D:D,MATCH(C1006,Hours!$A:$A,0))+I1006*INDEX(Hours!E:E,MATCH(C1006,Hours!$A:$A,0))+J1006*INDEX(Hours!F:F,MATCH(C1006,Hours!$A:$A,0))+K1006*INDEX(Hours!G:G,MATCH(C1006,Hours!$A:$A,0)))</f>
        <v>0</v>
      </c>
      <c r="S1006" s="19">
        <f t="shared" si="31"/>
        <v>0</v>
      </c>
    </row>
    <row r="1007" spans="1:19" x14ac:dyDescent="0.25">
      <c r="A1007" s="15" t="str">
        <f>'Bldgs &amp; Rooms'!$A$29</f>
        <v>Main Bldg.</v>
      </c>
      <c r="B1007" s="15">
        <f>'Bldgs &amp; Rooms'!$B$29</f>
        <v>0</v>
      </c>
      <c r="C1007" s="14" t="str">
        <f>Hours!$A$8</f>
        <v>Panelboard-Single Cover &gt; 400A (Distribution Panel)</v>
      </c>
      <c r="D1007" s="15">
        <f t="shared" si="30"/>
        <v>0</v>
      </c>
      <c r="E1007" s="16"/>
      <c r="F1007" s="17"/>
      <c r="G1007" s="17"/>
      <c r="H1007" s="17"/>
      <c r="I1007" s="17"/>
      <c r="J1007" s="17"/>
      <c r="K1007" s="17"/>
      <c r="L1007" s="12"/>
      <c r="M1007" s="12"/>
      <c r="N1007" s="12"/>
      <c r="O1007" s="17"/>
      <c r="P1007" s="12"/>
      <c r="Q1007" s="17"/>
      <c r="R1007" s="18">
        <f>IF(SUMPRODUCT((E1007:Q1007)*1)=0,0,E1007*INDEX(Hours!M:M,MATCH(C1007,Hours!$A:$A,0))+F1007*INDEX(Hours!B:B,MATCH(C1007,Hours!$A:$A,0))+G1007*INDEX(Hours!C:C,MATCH(C1007,Hours!$A:$A,0))+H1007*INDEX(Hours!D:D,MATCH(C1007,Hours!$A:$A,0))+I1007*INDEX(Hours!E:E,MATCH(C1007,Hours!$A:$A,0))+J1007*INDEX(Hours!F:F,MATCH(C1007,Hours!$A:$A,0))+K1007*INDEX(Hours!G:G,MATCH(C1007,Hours!$A:$A,0))+O1007*INDEX(Hours!K:K,MATCH(C1007,Hours!$A:$A,0)))</f>
        <v>0</v>
      </c>
      <c r="S1007" s="19">
        <f t="shared" si="31"/>
        <v>0</v>
      </c>
    </row>
    <row r="1008" spans="1:19" x14ac:dyDescent="0.25">
      <c r="A1008" s="15" t="str">
        <f>'Bldgs &amp; Rooms'!$A$29</f>
        <v>Main Bldg.</v>
      </c>
      <c r="B1008" s="15">
        <f>'Bldgs &amp; Rooms'!$B$29</f>
        <v>0</v>
      </c>
      <c r="C1008" s="14" t="str">
        <f>Hours!$A$9</f>
        <v>Panelboard-Single Cover &lt; 400A (Branch Ckt Panel)</v>
      </c>
      <c r="D1008" s="15">
        <f t="shared" si="30"/>
        <v>0</v>
      </c>
      <c r="E1008" s="16"/>
      <c r="F1008" s="17"/>
      <c r="G1008" s="17"/>
      <c r="H1008" s="17"/>
      <c r="I1008" s="17"/>
      <c r="J1008" s="17"/>
      <c r="K1008" s="12"/>
      <c r="L1008" s="12"/>
      <c r="M1008" s="12"/>
      <c r="N1008" s="12"/>
      <c r="O1008" s="17"/>
      <c r="P1008" s="12"/>
      <c r="Q1008" s="17"/>
      <c r="R1008" s="18">
        <f>IF(SUMPRODUCT((E1008:Q1008)*1)=0,0,E1008*INDEX(Hours!M:M,MATCH(C1008,Hours!$A:$A,0))+F1008*INDEX(Hours!B:B,MATCH(C1008,Hours!$A:$A,0))+G1008*INDEX(Hours!C:C,MATCH(C1008,Hours!$A:$A,0))+H1008*INDEX(Hours!D:D,MATCH(C1008,Hours!$A:$A,0))+I1008*INDEX(Hours!E:E,MATCH(C1008,Hours!$A:$A,0))+J1008*INDEX(Hours!F:F,MATCH(C1008,Hours!$A:$A,0))+O1008*INDEX(Hours!K:K,MATCH(C1008,Hours!$A:$A,0)))</f>
        <v>0</v>
      </c>
      <c r="S1008" s="19">
        <f t="shared" si="31"/>
        <v>0</v>
      </c>
    </row>
    <row r="1009" spans="1:19" x14ac:dyDescent="0.25">
      <c r="A1009" s="15" t="str">
        <f>'Bldgs &amp; Rooms'!$A$29</f>
        <v>Main Bldg.</v>
      </c>
      <c r="B1009" s="15">
        <f>'Bldgs &amp; Rooms'!$B$29</f>
        <v>0</v>
      </c>
      <c r="C1009" s="14" t="str">
        <f>Hours!$A$10</f>
        <v>Motor Control Center (MCC-Per Vertical Section)</v>
      </c>
      <c r="D1009" s="15">
        <f t="shared" si="30"/>
        <v>0</v>
      </c>
      <c r="E1009" s="16"/>
      <c r="F1009" s="17"/>
      <c r="G1009" s="17"/>
      <c r="H1009" s="17"/>
      <c r="I1009" s="17"/>
      <c r="J1009" s="17"/>
      <c r="K1009" s="12"/>
      <c r="L1009" s="12"/>
      <c r="M1009" s="12"/>
      <c r="N1009" s="12"/>
      <c r="O1009" s="17"/>
      <c r="P1009" s="12"/>
      <c r="Q1009" s="17"/>
      <c r="R1009" s="18">
        <f>IF(SUMPRODUCT((E1009:Q1009)*1)=0,0,E1009*INDEX(Hours!M:M,MATCH(C1009,Hours!$A:$A,0))+F1009*INDEX(Hours!B:B,MATCH(C1009,Hours!$A:$A,0))+G1009*INDEX(Hours!C:C,MATCH(C1009,Hours!$A:$A,0))+H1009*INDEX(Hours!D:D,MATCH(C1009,Hours!$A:$A,0))+I1009*INDEX(Hours!E:E,MATCH(C1009,Hours!$A:$A,0))+J1009*INDEX(Hours!F:F,MATCH(C1009,Hours!$A:$A,0))+O1009*INDEX(Hours!K:K,MATCH(C1009,Hours!$A:$A,0)))</f>
        <v>0</v>
      </c>
      <c r="S1009" s="19">
        <f t="shared" si="31"/>
        <v>0</v>
      </c>
    </row>
    <row r="1010" spans="1:19" x14ac:dyDescent="0.25">
      <c r="A1010" s="15" t="str">
        <f>'Bldgs &amp; Rooms'!$A$29</f>
        <v>Main Bldg.</v>
      </c>
      <c r="B1010" s="15">
        <f>'Bldgs &amp; Rooms'!$B$29</f>
        <v>0</v>
      </c>
      <c r="C1010" s="14" t="str">
        <f>Hours!$A$11</f>
        <v xml:space="preserve">  MCC: Combination Motor Starters</v>
      </c>
      <c r="D1010" s="15">
        <f t="shared" si="30"/>
        <v>0</v>
      </c>
      <c r="E1010" s="16"/>
      <c r="F1010" s="17"/>
      <c r="G1010" s="17"/>
      <c r="H1010" s="17"/>
      <c r="I1010" s="17"/>
      <c r="J1010" s="17"/>
      <c r="K1010" s="17"/>
      <c r="L1010" s="12"/>
      <c r="M1010" s="12"/>
      <c r="N1010" s="12"/>
      <c r="O1010" s="17"/>
      <c r="P1010" s="12"/>
      <c r="Q1010" s="17"/>
      <c r="R1010" s="18">
        <f>IF(SUMPRODUCT((E1010:Q1010)*1)=0,0,E1010*INDEX(Hours!M:M,MATCH(C1010,Hours!$A:$A,0))+F1010*INDEX(Hours!B:B,MATCH(C1010,Hours!$A:$A,0))+G1010*INDEX(Hours!C:C,MATCH(C1010,Hours!$A:$A,0))+H1010*INDEX(Hours!D:D,MATCH(C1010,Hours!$A:$A,0))+I1010*INDEX(Hours!E:E,MATCH(C1010,Hours!$A:$A,0))+J1010*INDEX(Hours!F:F,MATCH(C1010,Hours!$A:$A,0))+K1010*INDEX(Hours!G:G,MATCH(C1010,Hours!$A:$A,0))+O1010*INDEX(Hours!K:K,MATCH(C1010,Hours!$A:$A,0)))</f>
        <v>0</v>
      </c>
      <c r="S1010" s="19">
        <f t="shared" si="31"/>
        <v>0</v>
      </c>
    </row>
    <row r="1011" spans="1:19" x14ac:dyDescent="0.25">
      <c r="A1011" s="15" t="str">
        <f>'Bldgs &amp; Rooms'!$A$29</f>
        <v>Main Bldg.</v>
      </c>
      <c r="B1011" s="15">
        <f>'Bldgs &amp; Rooms'!$B$29</f>
        <v>0</v>
      </c>
      <c r="C1011" s="14" t="str">
        <f>Hours!$A$12</f>
        <v xml:space="preserve">  MCC: Molded Case Breaker</v>
      </c>
      <c r="D1011" s="15">
        <f t="shared" si="30"/>
        <v>0</v>
      </c>
      <c r="E1011" s="16"/>
      <c r="F1011" s="17"/>
      <c r="G1011" s="17"/>
      <c r="H1011" s="17"/>
      <c r="I1011" s="17"/>
      <c r="J1011" s="17"/>
      <c r="K1011" s="17"/>
      <c r="L1011" s="12"/>
      <c r="M1011" s="12"/>
      <c r="N1011" s="12"/>
      <c r="O1011" s="12"/>
      <c r="P1011" s="12"/>
      <c r="Q1011" s="17"/>
      <c r="R1011" s="18">
        <f>IF(SUMPRODUCT((E1011:Q1011)*1)=0,0,E1011*INDEX(Hours!M:M,MATCH(C1011,Hours!$A:$A,0))+F1011*INDEX(Hours!B:B,MATCH(C1011,Hours!$A:$A,0))+G1011*INDEX(Hours!C:C,MATCH(C1011,Hours!$A:$A,0))+H1011*INDEX(Hours!D:D,MATCH(C1011,Hours!$A:$A,0))+I1011*INDEX(Hours!E:E,MATCH(C1011,Hours!$A:$A,0))+J1011*INDEX(Hours!F:F,MATCH(C1011,Hours!$A:$A,0))+K1011*INDEX(Hours!G:G,MATCH(C1011,Hours!$A:$A,0)))</f>
        <v>0</v>
      </c>
      <c r="S1011" s="19">
        <f t="shared" si="31"/>
        <v>0</v>
      </c>
    </row>
    <row r="1012" spans="1:19" x14ac:dyDescent="0.25">
      <c r="A1012" s="15" t="str">
        <f>'Bldgs &amp; Rooms'!$A$29</f>
        <v>Main Bldg.</v>
      </c>
      <c r="B1012" s="15">
        <f>'Bldgs &amp; Rooms'!$B$29</f>
        <v>0</v>
      </c>
      <c r="C1012" s="14" t="str">
        <f>Hours!$A$13</f>
        <v xml:space="preserve">  MCC: Individual Disconnect Switch</v>
      </c>
      <c r="D1012" s="15">
        <f t="shared" si="30"/>
        <v>0</v>
      </c>
      <c r="E1012" s="16"/>
      <c r="F1012" s="17"/>
      <c r="G1012" s="17"/>
      <c r="H1012" s="17"/>
      <c r="I1012" s="17"/>
      <c r="J1012" s="17"/>
      <c r="K1012" s="12"/>
      <c r="L1012" s="12"/>
      <c r="M1012" s="12"/>
      <c r="N1012" s="12"/>
      <c r="O1012" s="12"/>
      <c r="P1012" s="12"/>
      <c r="Q1012" s="17"/>
      <c r="R1012" s="18">
        <f>IF(SUMPRODUCT((E1012:Q1012)*1)=0,0,E1012*INDEX(Hours!M:M,MATCH(C1012,Hours!$A:$A,0))+F1012*INDEX(Hours!B:B,MATCH(C1012,Hours!$A:$A,0))+G1012*INDEX(Hours!C:C,MATCH(C1012,Hours!$A:$A,0))+H1012*INDEX(Hours!D:D,MATCH(C1012,Hours!$A:$A,0))+I1012*INDEX(Hours!E:E,MATCH(C1012,Hours!$A:$A,0))+J1012*INDEX(Hours!F:F,MATCH(C1012,Hours!$A:$A,0)))</f>
        <v>0</v>
      </c>
      <c r="S1012" s="19">
        <f t="shared" si="31"/>
        <v>0</v>
      </c>
    </row>
    <row r="1013" spans="1:19" x14ac:dyDescent="0.25">
      <c r="A1013" s="15" t="str">
        <f>'Bldgs &amp; Rooms'!$A$29</f>
        <v>Main Bldg.</v>
      </c>
      <c r="B1013" s="15">
        <f>'Bldgs &amp; Rooms'!$B$29</f>
        <v>0</v>
      </c>
      <c r="C1013" s="14" t="str">
        <f>Hours!$A$14</f>
        <v>Motor Control Panel (MCP)</v>
      </c>
      <c r="D1013" s="15">
        <f t="shared" si="30"/>
        <v>0</v>
      </c>
      <c r="E1013" s="16"/>
      <c r="F1013" s="17"/>
      <c r="G1013" s="17"/>
      <c r="H1013" s="17"/>
      <c r="I1013" s="17"/>
      <c r="J1013" s="17"/>
      <c r="K1013" s="12"/>
      <c r="L1013" s="12"/>
      <c r="M1013" s="12"/>
      <c r="N1013" s="12"/>
      <c r="O1013" s="17"/>
      <c r="P1013" s="12"/>
      <c r="Q1013" s="17"/>
      <c r="R1013" s="18">
        <f>IF(SUMPRODUCT((E1013:Q1013)*1)=0,0,E1013*INDEX(Hours!M:M,MATCH(C1013,Hours!$A:$A,0))+F1013*INDEX(Hours!B:B,MATCH(C1013,Hours!$A:$A,0))+G1013*INDEX(Hours!C:C,MATCH(C1013,Hours!$A:$A,0))+H1013*INDEX(Hours!D:D,MATCH(C1013,Hours!$A:$A,0))+I1013*INDEX(Hours!E:E,MATCH(C1013,Hours!$A:$A,0))+J1013*INDEX(Hours!F:F,MATCH(C1013,Hours!$A:$A,0))+O1013*INDEX(Hours!K:K,MATCH(C1013,Hours!$A:$A,0)))</f>
        <v>0</v>
      </c>
      <c r="S1013" s="19">
        <f t="shared" si="31"/>
        <v>0</v>
      </c>
    </row>
    <row r="1014" spans="1:19" x14ac:dyDescent="0.25">
      <c r="A1014" s="15" t="str">
        <f>'Bldgs &amp; Rooms'!$A$29</f>
        <v>Main Bldg.</v>
      </c>
      <c r="B1014" s="15">
        <f>'Bldgs &amp; Rooms'!$B$29</f>
        <v>0</v>
      </c>
      <c r="C1014" s="14" t="str">
        <f>Hours!$A$15</f>
        <v>VFD Motor Control Panel (VFD-MCP)</v>
      </c>
      <c r="D1014" s="15">
        <f t="shared" si="30"/>
        <v>0</v>
      </c>
      <c r="E1014" s="16"/>
      <c r="F1014" s="17"/>
      <c r="G1014" s="17"/>
      <c r="H1014" s="17"/>
      <c r="I1014" s="17"/>
      <c r="J1014" s="17"/>
      <c r="K1014" s="12"/>
      <c r="L1014" s="12"/>
      <c r="M1014" s="12"/>
      <c r="N1014" s="12"/>
      <c r="O1014" s="17"/>
      <c r="P1014" s="12"/>
      <c r="Q1014" s="17"/>
      <c r="R1014" s="18">
        <f>IF(SUMPRODUCT((E1014:Q1014)*1)=0,0,E1014*INDEX(Hours!M:M,MATCH(C1014,Hours!$A:$A,0))+F1014*INDEX(Hours!B:B,MATCH(C1014,Hours!$A:$A,0))+G1014*INDEX(Hours!C:C,MATCH(C1014,Hours!$A:$A,0))+H1014*INDEX(Hours!D:D,MATCH(C1014,Hours!$A:$A,0))+I1014*INDEX(Hours!E:E,MATCH(C1014,Hours!$A:$A,0))+J1014*INDEX(Hours!F:F,MATCH(C1014,Hours!$A:$A,0))+O1014*INDEX(Hours!K:K,MATCH(C1014,Hours!$A:$A,0)))</f>
        <v>0</v>
      </c>
      <c r="S1014" s="19">
        <f t="shared" si="31"/>
        <v>0</v>
      </c>
    </row>
    <row r="1015" spans="1:19" x14ac:dyDescent="0.25">
      <c r="A1015" s="15" t="str">
        <f>'Bldgs &amp; Rooms'!$A$29</f>
        <v>Main Bldg.</v>
      </c>
      <c r="B1015" s="15">
        <f>'Bldgs &amp; Rooms'!$B$29</f>
        <v>0</v>
      </c>
      <c r="C1015" s="14" t="str">
        <f>Hours!$A$16</f>
        <v>Individual Disconnect Switch &gt; 100A</v>
      </c>
      <c r="D1015" s="15">
        <f t="shared" si="30"/>
        <v>0</v>
      </c>
      <c r="E1015" s="16"/>
      <c r="F1015" s="17"/>
      <c r="G1015" s="17"/>
      <c r="H1015" s="17"/>
      <c r="I1015" s="17"/>
      <c r="J1015" s="17"/>
      <c r="K1015" s="17"/>
      <c r="L1015" s="12"/>
      <c r="M1015" s="12"/>
      <c r="N1015" s="12"/>
      <c r="O1015" s="12"/>
      <c r="P1015" s="12"/>
      <c r="Q1015" s="17"/>
      <c r="R1015" s="18">
        <f>IF(SUMPRODUCT((E1015:Q1015)*1)=0,0,E1015*INDEX(Hours!M:M,MATCH(C1015,Hours!$A:$A,0))+F1015*INDEX(Hours!B:B,MATCH(C1015,Hours!$A:$A,0))+G1015*INDEX(Hours!C:C,MATCH(C1015,Hours!$A:$A,0))+H1015*INDEX(Hours!D:D,MATCH(C1015,Hours!$A:$A,0))+I1015*INDEX(Hours!E:E,MATCH(C1015,Hours!$A:$A,0))+J1015*INDEX(Hours!F:F,MATCH(C1015,Hours!$A:$A,0))+K1015*INDEX(Hours!G:G,MATCH(C1015,Hours!$A:$A,0)))</f>
        <v>0</v>
      </c>
      <c r="S1015" s="19">
        <f t="shared" si="31"/>
        <v>0</v>
      </c>
    </row>
    <row r="1016" spans="1:19" x14ac:dyDescent="0.25">
      <c r="A1016" s="15" t="str">
        <f>'Bldgs &amp; Rooms'!$A$29</f>
        <v>Main Bldg.</v>
      </c>
      <c r="B1016" s="15">
        <f>'Bldgs &amp; Rooms'!$B$29</f>
        <v>0</v>
      </c>
      <c r="C1016" s="14" t="str">
        <f>Hours!$A$17</f>
        <v>Individual Molded Case Breaker &gt; 100A</v>
      </c>
      <c r="D1016" s="15">
        <f t="shared" si="30"/>
        <v>0</v>
      </c>
      <c r="E1016" s="16"/>
      <c r="F1016" s="17"/>
      <c r="G1016" s="17"/>
      <c r="H1016" s="17"/>
      <c r="I1016" s="17"/>
      <c r="J1016" s="17"/>
      <c r="K1016" s="17"/>
      <c r="L1016" s="12"/>
      <c r="M1016" s="12"/>
      <c r="N1016" s="12"/>
      <c r="O1016" s="12"/>
      <c r="P1016" s="12"/>
      <c r="Q1016" s="17"/>
      <c r="R1016" s="18">
        <f>IF(SUMPRODUCT((E1016:Q1016)*1)=0,0,E1016*INDEX(Hours!M:M,MATCH(C1016,Hours!$A:$A,0))+F1016*INDEX(Hours!B:B,MATCH(C1016,Hours!$A:$A,0))+G1016*INDEX(Hours!C:C,MATCH(C1016,Hours!$A:$A,0))+H1016*INDEX(Hours!D:D,MATCH(C1016,Hours!$A:$A,0))+I1016*INDEX(Hours!E:E,MATCH(C1016,Hours!$A:$A,0))+J1016*INDEX(Hours!F:F,MATCH(C1016,Hours!$A:$A,0))+K1016*INDEX(Hours!G:G,MATCH(C1016,Hours!$A:$A,0)))</f>
        <v>0</v>
      </c>
      <c r="S1016" s="19">
        <f t="shared" si="31"/>
        <v>0</v>
      </c>
    </row>
    <row r="1017" spans="1:19" x14ac:dyDescent="0.25">
      <c r="A1017" s="15" t="str">
        <f>'Bldgs &amp; Rooms'!$A$29</f>
        <v>Main Bldg.</v>
      </c>
      <c r="B1017" s="15">
        <f>'Bldgs &amp; Rooms'!$B$29</f>
        <v>0</v>
      </c>
      <c r="C1017" s="14" t="str">
        <f>Hours!$A$18</f>
        <v>Individual Combination Motor Starter &gt; 100A</v>
      </c>
      <c r="D1017" s="15">
        <f t="shared" si="30"/>
        <v>0</v>
      </c>
      <c r="E1017" s="16"/>
      <c r="F1017" s="17"/>
      <c r="G1017" s="17"/>
      <c r="H1017" s="17"/>
      <c r="I1017" s="17"/>
      <c r="J1017" s="17"/>
      <c r="K1017" s="17"/>
      <c r="L1017" s="12"/>
      <c r="M1017" s="12"/>
      <c r="N1017" s="12"/>
      <c r="O1017" s="12"/>
      <c r="P1017" s="12"/>
      <c r="Q1017" s="17"/>
      <c r="R1017" s="18">
        <f>IF(SUMPRODUCT((E1017:Q1017)*1)=0,0,E1017*INDEX(Hours!M:M,MATCH(C1017,Hours!$A:$A,0))+F1017*INDEX(Hours!B:B,MATCH(C1017,Hours!$A:$A,0))+G1017*INDEX(Hours!C:C,MATCH(C1017,Hours!$A:$A,0))+H1017*INDEX(Hours!D:D,MATCH(C1017,Hours!$A:$A,0))+I1017*INDEX(Hours!E:E,MATCH(C1017,Hours!$A:$A,0))+J1017*INDEX(Hours!F:F,MATCH(C1017,Hours!$A:$A,0))+K1017*INDEX(Hours!G:G,MATCH(C1017,Hours!$A:$A,0)))</f>
        <v>0</v>
      </c>
      <c r="S1017" s="19">
        <f t="shared" si="31"/>
        <v>0</v>
      </c>
    </row>
    <row r="1018" spans="1:19" x14ac:dyDescent="0.25">
      <c r="A1018" s="15" t="str">
        <f>'Bldgs &amp; Rooms'!$A$29</f>
        <v>Main Bldg.</v>
      </c>
      <c r="B1018" s="15">
        <f>'Bldgs &amp; Rooms'!$B$29</f>
        <v>0</v>
      </c>
      <c r="C1018" s="14" t="str">
        <f>Hours!$A$19</f>
        <v>Oil Filled Transformer - 5kV-15kV Primary - Any Size (Pad Mounted)</v>
      </c>
      <c r="D1018" s="15">
        <f t="shared" si="30"/>
        <v>0</v>
      </c>
      <c r="E1018" s="16"/>
      <c r="F1018" s="17"/>
      <c r="G1018" s="17"/>
      <c r="H1018" s="17"/>
      <c r="I1018" s="17"/>
      <c r="J1018" s="17"/>
      <c r="K1018" s="12"/>
      <c r="L1018" s="12"/>
      <c r="M1018" s="17"/>
      <c r="N1018" s="17"/>
      <c r="O1018" s="12"/>
      <c r="P1018" s="17"/>
      <c r="Q1018" s="17"/>
      <c r="R1018" s="18">
        <f>IF(SUMPRODUCT((E1018:Q1018)*1)=0,0,E1018*INDEX(Hours!M:M,MATCH(C1018,Hours!$A:$A,0))+F1018*INDEX(Hours!B:B,MATCH(C1018,Hours!$A:$A,0))+G1018*INDEX(Hours!C:C,MATCH(C1018,Hours!$A:$A,0))+H1018*INDEX(Hours!D:D,MATCH(C1018,Hours!$A:$A,0))+I1018*INDEX(Hours!E:E,MATCH(C1018,Hours!$A:$A,0))+J1018*INDEX(Hours!F:F,MATCH(C1018,Hours!$A:$A,0))+M1018*INDEX(Hours!I:I,MATCH(C1018,Hours!$A:$A,0))+N1018*INDEX(Hours!J:J,MATCH(C1018,Hours!$A:$A,0))+P1018*INDEX(Hours!L:L,MATCH(C1018,Hours!$A:$A,0)))</f>
        <v>0</v>
      </c>
      <c r="S1018" s="19">
        <f t="shared" si="31"/>
        <v>0</v>
      </c>
    </row>
    <row r="1019" spans="1:19" x14ac:dyDescent="0.25">
      <c r="A1019" s="15" t="str">
        <f>'Bldgs &amp; Rooms'!$A$29</f>
        <v>Main Bldg.</v>
      </c>
      <c r="B1019" s="15">
        <f>'Bldgs &amp; Rooms'!$B$29</f>
        <v>0</v>
      </c>
      <c r="C1019" s="14" t="str">
        <f>Hours!$A$20</f>
        <v>Oil Filled Transformer - &gt; 15kV Primary (Substation Class)</v>
      </c>
      <c r="D1019" s="15">
        <f t="shared" si="30"/>
        <v>0</v>
      </c>
      <c r="E1019" s="16"/>
      <c r="F1019" s="17"/>
      <c r="G1019" s="17"/>
      <c r="H1019" s="17"/>
      <c r="I1019" s="17"/>
      <c r="J1019" s="17"/>
      <c r="K1019" s="12"/>
      <c r="L1019" s="12"/>
      <c r="M1019" s="17"/>
      <c r="N1019" s="17"/>
      <c r="O1019" s="12"/>
      <c r="P1019" s="17"/>
      <c r="Q1019" s="17"/>
      <c r="R1019" s="18">
        <f>IF(SUMPRODUCT((E1019:Q1019)*1)=0,0,E1019*INDEX(Hours!M:M,MATCH(C1019,Hours!$A:$A,0))+F1019*INDEX(Hours!B:B,MATCH(C1019,Hours!$A:$A,0))+G1019*INDEX(Hours!C:C,MATCH(C1019,Hours!$A:$A,0))+H1019*INDEX(Hours!D:D,MATCH(C1019,Hours!$A:$A,0))+I1019*INDEX(Hours!E:E,MATCH(C1019,Hours!$A:$A,0))+J1019*INDEX(Hours!F:F,MATCH(C1019,Hours!$A:$A,0))+M1019*INDEX(Hours!I:I,MATCH(C1019,Hours!$A:$A,0))+N1019*INDEX(Hours!J:J,MATCH(C1019,Hours!$A:$A,0))+P1019*INDEX(Hours!L:L,MATCH(C1019,Hours!$A:$A,0)))</f>
        <v>0</v>
      </c>
      <c r="S1019" s="19">
        <f t="shared" si="31"/>
        <v>0</v>
      </c>
    </row>
    <row r="1020" spans="1:19" x14ac:dyDescent="0.25">
      <c r="A1020" s="15" t="str">
        <f>'Bldgs &amp; Rooms'!$A$29</f>
        <v>Main Bldg.</v>
      </c>
      <c r="B1020" s="15">
        <f>'Bldgs &amp; Rooms'!$B$29</f>
        <v>0</v>
      </c>
      <c r="C1020" s="14" t="str">
        <f>Hours!$A$21</f>
        <v>Dry Type Transformer - &lt; 480V Primary - Any Size kVA</v>
      </c>
      <c r="D1020" s="15">
        <f t="shared" si="30"/>
        <v>0</v>
      </c>
      <c r="E1020" s="16"/>
      <c r="F1020" s="17"/>
      <c r="G1020" s="17"/>
      <c r="H1020" s="17"/>
      <c r="I1020" s="17"/>
      <c r="J1020" s="17"/>
      <c r="K1020" s="12"/>
      <c r="L1020" s="12"/>
      <c r="M1020" s="17"/>
      <c r="N1020" s="17"/>
      <c r="O1020" s="12"/>
      <c r="P1020" s="12"/>
      <c r="Q1020" s="17"/>
      <c r="R1020" s="18">
        <f>IF(SUMPRODUCT((E1020:Q1020)*1)=0,0,E1020*INDEX(Hours!M:M,MATCH(C1020,Hours!$A:$A,0))+F1020*INDEX(Hours!B:B,MATCH(C1020,Hours!$A:$A,0))+G1020*INDEX(Hours!C:C,MATCH(C1020,Hours!$A:$A,0))+H1020*INDEX(Hours!D:D,MATCH(C1020,Hours!$A:$A,0))+I1020*INDEX(Hours!E:E,MATCH(C1020,Hours!$A:$A,0))+J1020*INDEX(Hours!F:F,MATCH(C1020,Hours!$A:$A,0))+M1020*INDEX(Hours!I:I,MATCH(C1020,Hours!$A:$A,0))+N1020*INDEX(Hours!J:J,MATCH(C1020,Hours!$A:$A,0)))</f>
        <v>0</v>
      </c>
      <c r="S1020" s="19">
        <f t="shared" si="31"/>
        <v>0</v>
      </c>
    </row>
    <row r="1021" spans="1:19" x14ac:dyDescent="0.25">
      <c r="A1021" s="15" t="str">
        <f>'Bldgs &amp; Rooms'!$A$29</f>
        <v>Main Bldg.</v>
      </c>
      <c r="B1021" s="15">
        <f>'Bldgs &amp; Rooms'!$B$29</f>
        <v>0</v>
      </c>
      <c r="C1021" s="14" t="str">
        <f>Hours!$A$22</f>
        <v>Power Factor Correction Capacitors</v>
      </c>
      <c r="D1021" s="15">
        <f t="shared" si="30"/>
        <v>0</v>
      </c>
      <c r="E1021" s="16"/>
      <c r="F1021" s="17"/>
      <c r="G1021" s="17"/>
      <c r="H1021" s="17"/>
      <c r="I1021" s="17"/>
      <c r="J1021" s="17"/>
      <c r="K1021" s="12"/>
      <c r="L1021" s="12"/>
      <c r="M1021" s="12"/>
      <c r="N1021" s="12"/>
      <c r="O1021" s="12"/>
      <c r="P1021" s="12"/>
      <c r="Q1021" s="17"/>
      <c r="R1021" s="18">
        <f>IF(SUMPRODUCT((E1021:Q1021)*1)=0,0,E1021*INDEX(Hours!M:M,MATCH(C1021,Hours!$A:$A,0))+F1021*INDEX(Hours!B:B,MATCH(C1021,Hours!$A:$A,0))+G1021*INDEX(Hours!C:C,MATCH(C1021,Hours!$A:$A,0))+H1021*INDEX(Hours!D:D,MATCH(C1021,Hours!$A:$A,0))+I1021*INDEX(Hours!E:E,MATCH(C1021,Hours!$A:$A,0))+J1021*INDEX(Hours!F:F,MATCH(C1021,Hours!$A:$A,0)))</f>
        <v>0</v>
      </c>
      <c r="S1021" s="19">
        <f t="shared" si="31"/>
        <v>0</v>
      </c>
    </row>
    <row r="1022" spans="1:19" x14ac:dyDescent="0.25">
      <c r="A1022" s="15" t="str">
        <f>'Bldgs &amp; Rooms'!$A$29</f>
        <v>Main Bldg.</v>
      </c>
      <c r="B1022" s="15">
        <f>'Bldgs &amp; Rooms'!$B$29</f>
        <v>0</v>
      </c>
      <c r="C1022" s="14" t="str">
        <f>Hours!$A$23</f>
        <v>Lighting Contactor &gt; 100A</v>
      </c>
      <c r="D1022" s="15">
        <f t="shared" si="30"/>
        <v>0</v>
      </c>
      <c r="E1022" s="16"/>
      <c r="F1022" s="17"/>
      <c r="G1022" s="17"/>
      <c r="H1022" s="17"/>
      <c r="I1022" s="17"/>
      <c r="J1022" s="17"/>
      <c r="K1022" s="12"/>
      <c r="L1022" s="12"/>
      <c r="M1022" s="12"/>
      <c r="N1022" s="12"/>
      <c r="O1022" s="12"/>
      <c r="P1022" s="12"/>
      <c r="Q1022" s="17"/>
      <c r="R1022" s="18">
        <f>IF(SUMPRODUCT((E1022:Q1022)*1)=0,0,E1022*INDEX(Hours!M:M,MATCH(C1022,Hours!$A:$A,0))+F1022*INDEX(Hours!B:B,MATCH(C1022,Hours!$A:$A,0))+G1022*INDEX(Hours!C:C,MATCH(C1022,Hours!$A:$A,0))+H1022*INDEX(Hours!D:D,MATCH(C1022,Hours!$A:$A,0))+I1022*INDEX(Hours!E:E,MATCH(C1022,Hours!$A:$A,0))+J1022*INDEX(Hours!F:F,MATCH(C1022,Hours!$A:$A,0)))</f>
        <v>0</v>
      </c>
      <c r="S1022" s="19">
        <f t="shared" si="31"/>
        <v>0</v>
      </c>
    </row>
    <row r="1023" spans="1:19" x14ac:dyDescent="0.25">
      <c r="A1023" s="15" t="str">
        <f>'Bldgs &amp; Rooms'!$A$29</f>
        <v>Main Bldg.</v>
      </c>
      <c r="B1023" s="15">
        <f>'Bldgs &amp; Rooms'!$B$29</f>
        <v>0</v>
      </c>
      <c r="C1023" s="14" t="str">
        <f>Hours!$A$24</f>
        <v>Power Distribution Unit (PDU)</v>
      </c>
      <c r="D1023" s="15">
        <f t="shared" si="30"/>
        <v>0</v>
      </c>
      <c r="E1023" s="16"/>
      <c r="F1023" s="17"/>
      <c r="G1023" s="17"/>
      <c r="H1023" s="17"/>
      <c r="I1023" s="17"/>
      <c r="J1023" s="17"/>
      <c r="K1023" s="12"/>
      <c r="L1023" s="12"/>
      <c r="M1023" s="12"/>
      <c r="N1023" s="12"/>
      <c r="O1023" s="12"/>
      <c r="P1023" s="12"/>
      <c r="Q1023" s="17"/>
      <c r="R1023" s="18">
        <f>IF(SUMPRODUCT((E1023:Q1023)*1)=0,0,E1023*INDEX(Hours!M:M,MATCH(C1023,Hours!$A:$A,0))+F1023*INDEX(Hours!B:B,MATCH(C1023,Hours!$A:$A,0))+G1023*INDEX(Hours!C:C,MATCH(C1023,Hours!$A:$A,0))+H1023*INDEX(Hours!D:D,MATCH(C1023,Hours!$A:$A,0))+I1023*INDEX(Hours!E:E,MATCH(C1023,Hours!$A:$A,0))+J1023*INDEX(Hours!F:F,MATCH(C1023,Hours!$A:$A,0)))</f>
        <v>0</v>
      </c>
      <c r="S1023" s="19">
        <f t="shared" si="31"/>
        <v>0</v>
      </c>
    </row>
    <row r="1024" spans="1:19" x14ac:dyDescent="0.25">
      <c r="A1024" s="15" t="str">
        <f>'Bldgs &amp; Rooms'!$A$29</f>
        <v>Main Bldg.</v>
      </c>
      <c r="B1024" s="15">
        <f>'Bldgs &amp; Rooms'!$B$29</f>
        <v>0</v>
      </c>
      <c r="C1024" s="14" t="str">
        <f>Hours!$A$25</f>
        <v>Wire Trough, Gutter, or Large Junction Boxes</v>
      </c>
      <c r="D1024" s="15">
        <f t="shared" si="30"/>
        <v>0</v>
      </c>
      <c r="E1024" s="16"/>
      <c r="F1024" s="17"/>
      <c r="G1024" s="17"/>
      <c r="H1024" s="17"/>
      <c r="I1024" s="17"/>
      <c r="J1024" s="17"/>
      <c r="K1024" s="12"/>
      <c r="L1024" s="12"/>
      <c r="M1024" s="12"/>
      <c r="N1024" s="12"/>
      <c r="O1024" s="12"/>
      <c r="P1024" s="12"/>
      <c r="Q1024" s="17"/>
      <c r="R1024" s="18">
        <f>IF(SUMPRODUCT((E1024:Q1024)*1)=0,0,E1024*INDEX(Hours!M:M,MATCH(C1024,Hours!$A:$A,0))+F1024*INDEX(Hours!B:B,MATCH(C1024,Hours!$A:$A,0))+G1024*INDEX(Hours!C:C,MATCH(C1024,Hours!$A:$A,0))+H1024*INDEX(Hours!D:D,MATCH(C1024,Hours!$A:$A,0))+I1024*INDEX(Hours!E:E,MATCH(C1024,Hours!$A:$A,0))+J1024*INDEX(Hours!F:F,MATCH(C1024,Hours!$A:$A,0)))</f>
        <v>0</v>
      </c>
      <c r="S1024" s="19">
        <f t="shared" si="31"/>
        <v>0</v>
      </c>
    </row>
    <row r="1025" spans="1:19" x14ac:dyDescent="0.25">
      <c r="A1025" s="15" t="str">
        <f>'Bldgs &amp; Rooms'!$A$29</f>
        <v>Main Bldg.</v>
      </c>
      <c r="B1025" s="15">
        <f>'Bldgs &amp; Rooms'!$B$29</f>
        <v>0</v>
      </c>
      <c r="C1025" s="14" t="str">
        <f>Hours!$A$26</f>
        <v>Bus Duct - Vertical or Horizontal (Per 10' section)</v>
      </c>
      <c r="D1025" s="15">
        <f t="shared" si="30"/>
        <v>0</v>
      </c>
      <c r="E1025" s="16"/>
      <c r="F1025" s="17"/>
      <c r="G1025" s="17"/>
      <c r="H1025" s="17"/>
      <c r="I1025" s="17"/>
      <c r="J1025" s="17"/>
      <c r="K1025" s="12"/>
      <c r="L1025" s="12"/>
      <c r="M1025" s="12"/>
      <c r="N1025" s="12"/>
      <c r="O1025" s="12"/>
      <c r="P1025" s="12"/>
      <c r="Q1025" s="17"/>
      <c r="R1025" s="18">
        <f>IF(SUMPRODUCT((E1025:Q1025)*1)=0,0,E1025*INDEX(Hours!M:M,MATCH(C1025,Hours!$A:$A,0))+F1025*INDEX(Hours!B:B,MATCH(C1025,Hours!$A:$A,0))+G1025*INDEX(Hours!C:C,MATCH(C1025,Hours!$A:$A,0))+H1025*INDEX(Hours!D:D,MATCH(C1025,Hours!$A:$A,0))+I1025*INDEX(Hours!E:E,MATCH(C1025,Hours!$A:$A,0))+J1025*INDEX(Hours!F:F,MATCH(C1025,Hours!$A:$A,0)))</f>
        <v>0</v>
      </c>
      <c r="S1025" s="19">
        <f t="shared" si="31"/>
        <v>0</v>
      </c>
    </row>
    <row r="1026" spans="1:19" x14ac:dyDescent="0.25">
      <c r="A1026" s="15" t="str">
        <f>'Bldgs &amp; Rooms'!$A$29</f>
        <v>Main Bldg.</v>
      </c>
      <c r="B1026" s="15">
        <f>'Bldgs &amp; Rooms'!$B$29</f>
        <v>0</v>
      </c>
      <c r="C1026" s="14" t="str">
        <f>Hours!$A$27</f>
        <v>Automatic Transfer Switch (ATS) &gt; 100A</v>
      </c>
      <c r="D1026" s="15">
        <f t="shared" ref="D1026:D1089" si="32">MAX(E1026+F1026,G1026,H1026,I1026,J1026,K1026,L1026,M1026,N1026,O1026,P1026,Q1026)</f>
        <v>0</v>
      </c>
      <c r="E1026" s="16"/>
      <c r="F1026" s="17"/>
      <c r="G1026" s="17"/>
      <c r="H1026" s="17"/>
      <c r="I1026" s="17"/>
      <c r="J1026" s="17"/>
      <c r="K1026" s="12"/>
      <c r="L1026" s="12"/>
      <c r="M1026" s="12"/>
      <c r="N1026" s="12"/>
      <c r="O1026" s="12"/>
      <c r="P1026" s="12"/>
      <c r="Q1026" s="17"/>
      <c r="R1026" s="18">
        <f>IF(SUMPRODUCT((E1026:Q1026)*1)=0,0,E1026*INDEX(Hours!M:M,MATCH(C1026,Hours!$A:$A,0))+F1026*INDEX(Hours!B:B,MATCH(C1026,Hours!$A:$A,0))+G1026*INDEX(Hours!C:C,MATCH(C1026,Hours!$A:$A,0))+H1026*INDEX(Hours!D:D,MATCH(C1026,Hours!$A:$A,0))+I1026*INDEX(Hours!E:E,MATCH(C1026,Hours!$A:$A,0))+J1026*INDEX(Hours!F:F,MATCH(C1026,Hours!$A:$A,0)))</f>
        <v>0</v>
      </c>
      <c r="S1026" s="19">
        <f t="shared" ref="S1026:S1089" si="33">MAX(E1026+F1026,G1026,H1026,I1026,J1026,K1026,L1026,M1026,N1026,O1026,P1026,Q1026)</f>
        <v>0</v>
      </c>
    </row>
    <row r="1027" spans="1:19" x14ac:dyDescent="0.25">
      <c r="A1027" s="15" t="str">
        <f>'Bldgs &amp; Rooms'!$A$29</f>
        <v>Main Bldg.</v>
      </c>
      <c r="B1027" s="15">
        <f>'Bldgs &amp; Rooms'!$B$29</f>
        <v>0</v>
      </c>
      <c r="C1027" s="14" t="str">
        <f>Hours!$A$28</f>
        <v>Manual Transfer Switch (MTS) &gt; 100A</v>
      </c>
      <c r="D1027" s="15">
        <f t="shared" si="32"/>
        <v>0</v>
      </c>
      <c r="E1027" s="16"/>
      <c r="F1027" s="17"/>
      <c r="G1027" s="17"/>
      <c r="H1027" s="17"/>
      <c r="I1027" s="17"/>
      <c r="J1027" s="17"/>
      <c r="K1027" s="12"/>
      <c r="L1027" s="12"/>
      <c r="M1027" s="12"/>
      <c r="N1027" s="12"/>
      <c r="O1027" s="12"/>
      <c r="P1027" s="12"/>
      <c r="Q1027" s="17"/>
      <c r="R1027" s="18">
        <f>IF(SUMPRODUCT((E1027:Q1027)*1)=0,0,E1027*INDEX(Hours!M:M,MATCH(C1027,Hours!$A:$A,0))+F1027*INDEX(Hours!B:B,MATCH(C1027,Hours!$A:$A,0))+G1027*INDEX(Hours!C:C,MATCH(C1027,Hours!$A:$A,0))+H1027*INDEX(Hours!D:D,MATCH(C1027,Hours!$A:$A,0))+I1027*INDEX(Hours!E:E,MATCH(C1027,Hours!$A:$A,0))+J1027*INDEX(Hours!F:F,MATCH(C1027,Hours!$A:$A,0)))</f>
        <v>0</v>
      </c>
      <c r="S1027" s="19">
        <f t="shared" si="33"/>
        <v>0</v>
      </c>
    </row>
    <row r="1028" spans="1:19" x14ac:dyDescent="0.25">
      <c r="A1028" s="15" t="str">
        <f>'Bldgs &amp; Rooms'!$A$29</f>
        <v>Main Bldg.</v>
      </c>
      <c r="B1028" s="15">
        <f>'Bldgs &amp; Rooms'!$B$29</f>
        <v>0</v>
      </c>
      <c r="C1028" s="14" t="str">
        <f>Hours!$A$29</f>
        <v>Variable Frequency Drives (VFD) &lt; 50 HP</v>
      </c>
      <c r="D1028" s="15">
        <f t="shared" si="32"/>
        <v>0</v>
      </c>
      <c r="E1028" s="16"/>
      <c r="F1028" s="17"/>
      <c r="G1028" s="17"/>
      <c r="H1028" s="17"/>
      <c r="I1028" s="17"/>
      <c r="J1028" s="17"/>
      <c r="K1028" s="12"/>
      <c r="L1028" s="12"/>
      <c r="M1028" s="12"/>
      <c r="N1028" s="12"/>
      <c r="O1028" s="12"/>
      <c r="P1028" s="12"/>
      <c r="Q1028" s="17"/>
      <c r="R1028" s="18">
        <f>IF(SUMPRODUCT((E1028:Q1028)*1)=0,0,E1028*INDEX(Hours!M:M,MATCH(C1028,Hours!$A:$A,0))+F1028*INDEX(Hours!B:B,MATCH(C1028,Hours!$A:$A,0))+G1028*INDEX(Hours!C:C,MATCH(C1028,Hours!$A:$A,0))+H1028*INDEX(Hours!D:D,MATCH(C1028,Hours!$A:$A,0))+I1028*INDEX(Hours!E:E,MATCH(C1028,Hours!$A:$A,0))+J1028*INDEX(Hours!F:F,MATCH(C1028,Hours!$A:$A,0)))</f>
        <v>0</v>
      </c>
      <c r="S1028" s="19">
        <f t="shared" si="33"/>
        <v>0</v>
      </c>
    </row>
    <row r="1029" spans="1:19" x14ac:dyDescent="0.25">
      <c r="A1029" s="15" t="str">
        <f>'Bldgs &amp; Rooms'!$A$29</f>
        <v>Main Bldg.</v>
      </c>
      <c r="B1029" s="15">
        <f>'Bldgs &amp; Rooms'!$B$29</f>
        <v>0</v>
      </c>
      <c r="C1029" s="14" t="str">
        <f>Hours!$A$30</f>
        <v>Variable Frequency Drives (VFD) 51-200 HP</v>
      </c>
      <c r="D1029" s="15">
        <f t="shared" si="32"/>
        <v>0</v>
      </c>
      <c r="E1029" s="16"/>
      <c r="F1029" s="17"/>
      <c r="G1029" s="17"/>
      <c r="H1029" s="17"/>
      <c r="I1029" s="17"/>
      <c r="J1029" s="17"/>
      <c r="K1029" s="12"/>
      <c r="L1029" s="12"/>
      <c r="M1029" s="12"/>
      <c r="N1029" s="12"/>
      <c r="O1029" s="12"/>
      <c r="P1029" s="12"/>
      <c r="Q1029" s="17"/>
      <c r="R1029" s="18">
        <f>IF(SUMPRODUCT((E1029:Q1029)*1)=0,0,E1029*INDEX(Hours!M:M,MATCH(C1029,Hours!$A:$A,0))+F1029*INDEX(Hours!B:B,MATCH(C1029,Hours!$A:$A,0))+G1029*INDEX(Hours!C:C,MATCH(C1029,Hours!$A:$A,0))+H1029*INDEX(Hours!D:D,MATCH(C1029,Hours!$A:$A,0))+I1029*INDEX(Hours!E:E,MATCH(C1029,Hours!$A:$A,0))+J1029*INDEX(Hours!F:F,MATCH(C1029,Hours!$A:$A,0)))</f>
        <v>0</v>
      </c>
      <c r="S1029" s="19">
        <f t="shared" si="33"/>
        <v>0</v>
      </c>
    </row>
    <row r="1030" spans="1:19" x14ac:dyDescent="0.25">
      <c r="A1030" s="15" t="str">
        <f>'Bldgs &amp; Rooms'!$A$29</f>
        <v>Main Bldg.</v>
      </c>
      <c r="B1030" s="15">
        <f>'Bldgs &amp; Rooms'!$B$29</f>
        <v>0</v>
      </c>
      <c r="C1030" s="14" t="str">
        <f>Hours!$A$31</f>
        <v>Motors &lt; 50 HP</v>
      </c>
      <c r="D1030" s="15">
        <f t="shared" si="32"/>
        <v>0</v>
      </c>
      <c r="E1030" s="16"/>
      <c r="F1030" s="17"/>
      <c r="G1030" s="17"/>
      <c r="H1030" s="17"/>
      <c r="I1030" s="17"/>
      <c r="J1030" s="17"/>
      <c r="K1030" s="12"/>
      <c r="L1030" s="12"/>
      <c r="M1030" s="12"/>
      <c r="N1030" s="12"/>
      <c r="O1030" s="12"/>
      <c r="P1030" s="12"/>
      <c r="Q1030" s="17"/>
      <c r="R1030" s="18">
        <f>IF(SUMPRODUCT((E1030:Q1030)*1)=0,0,E1030*INDEX(Hours!M:M,MATCH(C1030,Hours!$A:$A,0))+F1030*INDEX(Hours!B:B,MATCH(C1030,Hours!$A:$A,0))+G1030*INDEX(Hours!C:C,MATCH(C1030,Hours!$A:$A,0))+H1030*INDEX(Hours!D:D,MATCH(C1030,Hours!$A:$A,0))+I1030*INDEX(Hours!E:E,MATCH(C1030,Hours!$A:$A,0))+J1030*INDEX(Hours!F:F,MATCH(C1030,Hours!$A:$A,0)))</f>
        <v>0</v>
      </c>
      <c r="S1030" s="19">
        <f t="shared" si="33"/>
        <v>0</v>
      </c>
    </row>
    <row r="1031" spans="1:19" x14ac:dyDescent="0.25">
      <c r="A1031" s="15" t="str">
        <f>'Bldgs &amp; Rooms'!$A$29</f>
        <v>Main Bldg.</v>
      </c>
      <c r="B1031" s="15">
        <f>'Bldgs &amp; Rooms'!$B$29</f>
        <v>0</v>
      </c>
      <c r="C1031" s="14" t="str">
        <f>Hours!$A$32</f>
        <v>Motors 51-200 HP</v>
      </c>
      <c r="D1031" s="15">
        <f t="shared" si="32"/>
        <v>0</v>
      </c>
      <c r="E1031" s="16"/>
      <c r="F1031" s="17"/>
      <c r="G1031" s="17"/>
      <c r="H1031" s="17"/>
      <c r="I1031" s="17"/>
      <c r="J1031" s="17"/>
      <c r="K1031" s="12"/>
      <c r="L1031" s="12"/>
      <c r="M1031" s="12"/>
      <c r="N1031" s="12"/>
      <c r="O1031" s="12"/>
      <c r="P1031" s="12"/>
      <c r="Q1031" s="17"/>
      <c r="R1031" s="18">
        <f>IF(SUMPRODUCT((E1031:Q1031)*1)=0,0,E1031*INDEX(Hours!M:M,MATCH(C1031,Hours!$A:$A,0))+F1031*INDEX(Hours!B:B,MATCH(C1031,Hours!$A:$A,0))+G1031*INDEX(Hours!C:C,MATCH(C1031,Hours!$A:$A,0))+H1031*INDEX(Hours!D:D,MATCH(C1031,Hours!$A:$A,0))+I1031*INDEX(Hours!E:E,MATCH(C1031,Hours!$A:$A,0))+J1031*INDEX(Hours!F:F,MATCH(C1031,Hours!$A:$A,0)))</f>
        <v>0</v>
      </c>
      <c r="S1031" s="19">
        <f t="shared" si="33"/>
        <v>0</v>
      </c>
    </row>
    <row r="1032" spans="1:19" x14ac:dyDescent="0.25">
      <c r="A1032" s="15" t="str">
        <f>'Bldgs &amp; Rooms'!$A$29</f>
        <v>Main Bldg.</v>
      </c>
      <c r="B1032" s="15">
        <f>'Bldgs &amp; Rooms'!$B$29</f>
        <v>0</v>
      </c>
      <c r="C1032" s="14" t="str">
        <f>Hours!$A$33</f>
        <v>Motors 201-500 HP</v>
      </c>
      <c r="D1032" s="15">
        <f t="shared" si="32"/>
        <v>0</v>
      </c>
      <c r="E1032" s="16"/>
      <c r="F1032" s="17"/>
      <c r="G1032" s="17"/>
      <c r="H1032" s="17"/>
      <c r="I1032" s="17"/>
      <c r="J1032" s="17"/>
      <c r="K1032" s="12"/>
      <c r="L1032" s="12"/>
      <c r="M1032" s="12"/>
      <c r="N1032" s="12"/>
      <c r="O1032" s="12"/>
      <c r="P1032" s="12"/>
      <c r="Q1032" s="17"/>
      <c r="R1032" s="18">
        <f>IF(SUMPRODUCT((E1032:Q1032)*1)=0,0,E1032*INDEX(Hours!M:M,MATCH(C1032,Hours!$A:$A,0))+F1032*INDEX(Hours!B:B,MATCH(C1032,Hours!$A:$A,0))+G1032*INDEX(Hours!C:C,MATCH(C1032,Hours!$A:$A,0))+H1032*INDEX(Hours!D:D,MATCH(C1032,Hours!$A:$A,0))+I1032*INDEX(Hours!E:E,MATCH(C1032,Hours!$A:$A,0))+J1032*INDEX(Hours!F:F,MATCH(C1032,Hours!$A:$A,0)))</f>
        <v>0</v>
      </c>
      <c r="S1032" s="19">
        <f t="shared" si="33"/>
        <v>0</v>
      </c>
    </row>
    <row r="1033" spans="1:19" x14ac:dyDescent="0.25">
      <c r="A1033" s="15" t="str">
        <f>'Bldgs &amp; Rooms'!$A$29</f>
        <v>Main Bldg.</v>
      </c>
      <c r="B1033" s="15">
        <f>'Bldgs &amp; Rooms'!$B$29</f>
        <v>0</v>
      </c>
      <c r="C1033" s="14" t="str">
        <f>Hours!$A$34</f>
        <v>Compressed Air Equipment</v>
      </c>
      <c r="D1033" s="15">
        <f t="shared" si="32"/>
        <v>0</v>
      </c>
      <c r="E1033" s="16"/>
      <c r="F1033" s="17"/>
      <c r="G1033" s="17"/>
      <c r="H1033" s="17"/>
      <c r="I1033" s="17"/>
      <c r="J1033" s="17"/>
      <c r="K1033" s="12"/>
      <c r="L1033" s="12"/>
      <c r="M1033" s="12"/>
      <c r="N1033" s="12"/>
      <c r="O1033" s="12"/>
      <c r="P1033" s="12"/>
      <c r="Q1033" s="17"/>
      <c r="R1033" s="18">
        <f>IF(SUMPRODUCT((E1033:Q1033)*1)=0,0,E1033*INDEX(Hours!M:M,MATCH(C1033,Hours!$A:$A,0))+F1033*INDEX(Hours!B:B,MATCH(C1033,Hours!$A:$A,0))+G1033*INDEX(Hours!C:C,MATCH(C1033,Hours!$A:$A,0))+H1033*INDEX(Hours!D:D,MATCH(C1033,Hours!$A:$A,0))+I1033*INDEX(Hours!E:E,MATCH(C1033,Hours!$A:$A,0))+J1033*INDEX(Hours!F:F,MATCH(C1033,Hours!$A:$A,0)))</f>
        <v>0</v>
      </c>
      <c r="S1033" s="19">
        <f t="shared" si="33"/>
        <v>0</v>
      </c>
    </row>
    <row r="1034" spans="1:19" x14ac:dyDescent="0.25">
      <c r="A1034" s="15" t="str">
        <f>'Bldgs &amp; Rooms'!$A$29</f>
        <v>Main Bldg.</v>
      </c>
      <c r="B1034" s="15">
        <f>'Bldgs &amp; Rooms'!$B$29</f>
        <v>0</v>
      </c>
      <c r="C1034" s="14" t="str">
        <f>Hours!$A$35</f>
        <v>HVAC Equipment (Large)</v>
      </c>
      <c r="D1034" s="15">
        <f t="shared" si="32"/>
        <v>0</v>
      </c>
      <c r="E1034" s="16"/>
      <c r="F1034" s="17"/>
      <c r="G1034" s="17"/>
      <c r="H1034" s="17"/>
      <c r="I1034" s="17"/>
      <c r="J1034" s="17"/>
      <c r="K1034" s="12"/>
      <c r="L1034" s="12"/>
      <c r="M1034" s="12"/>
      <c r="N1034" s="12"/>
      <c r="O1034" s="12"/>
      <c r="P1034" s="12"/>
      <c r="Q1034" s="17"/>
      <c r="R1034" s="18">
        <f>IF(SUMPRODUCT((E1034:Q1034)*1)=0,0,E1034*INDEX(Hours!M:M,MATCH(C1034,Hours!$A:$A,0))+F1034*INDEX(Hours!B:B,MATCH(C1034,Hours!$A:$A,0))+G1034*INDEX(Hours!C:C,MATCH(C1034,Hours!$A:$A,0))+H1034*INDEX(Hours!D:D,MATCH(C1034,Hours!$A:$A,0))+I1034*INDEX(Hours!E:E,MATCH(C1034,Hours!$A:$A,0))+J1034*INDEX(Hours!F:F,MATCH(C1034,Hours!$A:$A,0)))</f>
        <v>0</v>
      </c>
      <c r="S1034" s="19">
        <f t="shared" si="33"/>
        <v>0</v>
      </c>
    </row>
    <row r="1035" spans="1:19" x14ac:dyDescent="0.25">
      <c r="A1035" s="15" t="str">
        <f>'Bldgs &amp; Rooms'!$A$29</f>
        <v>Main Bldg.</v>
      </c>
      <c r="B1035" s="15">
        <f>'Bldgs &amp; Rooms'!$B$29</f>
        <v>0</v>
      </c>
      <c r="C1035" s="14" t="str">
        <f>Hours!$A$36</f>
        <v>HVAC Equipment (Small)</v>
      </c>
      <c r="D1035" s="15">
        <f t="shared" si="32"/>
        <v>0</v>
      </c>
      <c r="E1035" s="16"/>
      <c r="F1035" s="17"/>
      <c r="G1035" s="17"/>
      <c r="H1035" s="17"/>
      <c r="I1035" s="17"/>
      <c r="J1035" s="17"/>
      <c r="K1035" s="12"/>
      <c r="L1035" s="12"/>
      <c r="M1035" s="12"/>
      <c r="N1035" s="12"/>
      <c r="O1035" s="12"/>
      <c r="P1035" s="12"/>
      <c r="Q1035" s="17"/>
      <c r="R1035" s="18">
        <f>IF(SUMPRODUCT((E1035:Q1035)*1)=0,0,E1035*INDEX(Hours!M:M,MATCH(C1035,Hours!$A:$A,0))+F1035*INDEX(Hours!B:B,MATCH(C1035,Hours!$A:$A,0))+G1035*INDEX(Hours!C:C,MATCH(C1035,Hours!$A:$A,0))+H1035*INDEX(Hours!D:D,MATCH(C1035,Hours!$A:$A,0))+I1035*INDEX(Hours!E:E,MATCH(C1035,Hours!$A:$A,0))+J1035*INDEX(Hours!F:F,MATCH(C1035,Hours!$A:$A,0)))</f>
        <v>0</v>
      </c>
      <c r="S1035" s="19">
        <f t="shared" si="33"/>
        <v>0</v>
      </c>
    </row>
    <row r="1036" spans="1:19" x14ac:dyDescent="0.25">
      <c r="A1036" s="15" t="str">
        <f>'Bldgs &amp; Rooms'!$A$29</f>
        <v>Main Bldg.</v>
      </c>
      <c r="B1036" s="15">
        <f>'Bldgs &amp; Rooms'!$B$29</f>
        <v>0</v>
      </c>
      <c r="C1036" s="14" t="str">
        <f>Hours!$A$37</f>
        <v>Uninterruptible Power Supply (UPS) &lt; 50kVA</v>
      </c>
      <c r="D1036" s="15">
        <f t="shared" si="32"/>
        <v>0</v>
      </c>
      <c r="E1036" s="16"/>
      <c r="F1036" s="17"/>
      <c r="G1036" s="17"/>
      <c r="H1036" s="17"/>
      <c r="I1036" s="17"/>
      <c r="J1036" s="17"/>
      <c r="K1036" s="12"/>
      <c r="L1036" s="12"/>
      <c r="M1036" s="12"/>
      <c r="N1036" s="12"/>
      <c r="O1036" s="12"/>
      <c r="P1036" s="12"/>
      <c r="Q1036" s="17"/>
      <c r="R1036" s="18">
        <f>IF(SUMPRODUCT((E1036:Q1036)*1)=0,0,E1036*INDEX(Hours!M:M,MATCH(C1036,Hours!$A:$A,0))+F1036*INDEX(Hours!B:B,MATCH(C1036,Hours!$A:$A,0))+G1036*INDEX(Hours!C:C,MATCH(C1036,Hours!$A:$A,0))+H1036*INDEX(Hours!D:D,MATCH(C1036,Hours!$A:$A,0))+I1036*INDEX(Hours!E:E,MATCH(C1036,Hours!$A:$A,0))+J1036*INDEX(Hours!F:F,MATCH(C1036,Hours!$A:$A,0)))</f>
        <v>0</v>
      </c>
      <c r="S1036" s="19">
        <f t="shared" si="33"/>
        <v>0</v>
      </c>
    </row>
    <row r="1037" spans="1:19" x14ac:dyDescent="0.25">
      <c r="A1037" s="15" t="str">
        <f>'Bldgs &amp; Rooms'!$A$29</f>
        <v>Main Bldg.</v>
      </c>
      <c r="B1037" s="15">
        <f>'Bldgs &amp; Rooms'!$B$29</f>
        <v>0</v>
      </c>
      <c r="C1037" s="14" t="str">
        <f>Hours!$A$38</f>
        <v>Uninterruptible Power Supply (UPS) &gt; 50kVA</v>
      </c>
      <c r="D1037" s="15">
        <f t="shared" si="32"/>
        <v>0</v>
      </c>
      <c r="E1037" s="16"/>
      <c r="F1037" s="17"/>
      <c r="G1037" s="17"/>
      <c r="H1037" s="17"/>
      <c r="I1037" s="17"/>
      <c r="J1037" s="17"/>
      <c r="K1037" s="12"/>
      <c r="L1037" s="12"/>
      <c r="M1037" s="12"/>
      <c r="N1037" s="12"/>
      <c r="O1037" s="12"/>
      <c r="P1037" s="12"/>
      <c r="Q1037" s="17"/>
      <c r="R1037" s="18">
        <f>IF(SUMPRODUCT((E1037:Q1037)*1)=0,0,E1037*INDEX(Hours!M:M,MATCH(C1037,Hours!$A:$A,0))+F1037*INDEX(Hours!B:B,MATCH(C1037,Hours!$A:$A,0))+G1037*INDEX(Hours!C:C,MATCH(C1037,Hours!$A:$A,0))+H1037*INDEX(Hours!D:D,MATCH(C1037,Hours!$A:$A,0))+I1037*INDEX(Hours!E:E,MATCH(C1037,Hours!$A:$A,0))+J1037*INDEX(Hours!F:F,MATCH(C1037,Hours!$A:$A,0)))</f>
        <v>0</v>
      </c>
      <c r="S1037" s="19">
        <f t="shared" si="33"/>
        <v>0</v>
      </c>
    </row>
    <row r="1038" spans="1:19" x14ac:dyDescent="0.25">
      <c r="A1038" s="11" t="str">
        <f>'Bldgs &amp; Rooms'!$A$30</f>
        <v>Main Bldg.</v>
      </c>
      <c r="B1038" s="11">
        <f>'Bldgs &amp; Rooms'!$B$30</f>
        <v>0</v>
      </c>
      <c r="C1038" s="10" t="str">
        <f>Hours!$A$2</f>
        <v>Switchgear - Incoming Main Service (Per Section)</v>
      </c>
      <c r="D1038" s="11">
        <f t="shared" si="32"/>
        <v>0</v>
      </c>
      <c r="E1038" s="16"/>
      <c r="F1038" s="17"/>
      <c r="G1038" s="17"/>
      <c r="H1038" s="17"/>
      <c r="I1038" s="17"/>
      <c r="J1038" s="17"/>
      <c r="K1038" s="17"/>
      <c r="L1038" s="17"/>
      <c r="M1038" s="12"/>
      <c r="N1038" s="12"/>
      <c r="O1038" s="17"/>
      <c r="P1038" s="12"/>
      <c r="Q1038" s="17"/>
      <c r="R1038" s="18">
        <f>IF(SUMPRODUCT((E1038:Q1038)*1)=0,0,E1038*INDEX(Hours!M:M,MATCH(C1038,Hours!$A:$A,0))+F1038*INDEX(Hours!B:B,MATCH(C1038,Hours!$A:$A,0))+G1038*INDEX(Hours!C:C,MATCH(C1038,Hours!$A:$A,0))+H1038*INDEX(Hours!D:D,MATCH(C1038,Hours!$A:$A,0))+I1038*INDEX(Hours!E:E,MATCH(C1038,Hours!$A:$A,0))+J1038*INDEX(Hours!F:F,MATCH(C1038,Hours!$A:$A,0))+K1038*INDEX(Hours!G:G,MATCH(C1038,Hours!$A:$A,0))+L1038*INDEX(Hours!H:H,MATCH(C1038,Hours!$A:$A,0))+O1038*INDEX(Hours!K:K,MATCH(C1038,Hours!$A:$A,0)))</f>
        <v>0</v>
      </c>
      <c r="S1038" s="19">
        <f t="shared" si="33"/>
        <v>0</v>
      </c>
    </row>
    <row r="1039" spans="1:19" x14ac:dyDescent="0.25">
      <c r="A1039" s="11" t="str">
        <f>'Bldgs &amp; Rooms'!$A$30</f>
        <v>Main Bldg.</v>
      </c>
      <c r="B1039" s="11">
        <f>'Bldgs &amp; Rooms'!$B$30</f>
        <v>0</v>
      </c>
      <c r="C1039" s="10" t="str">
        <f>Hours!$A$3</f>
        <v xml:space="preserve">  Switchgear Insulated Case Breakers (Bus Mounted)</v>
      </c>
      <c r="D1039" s="11">
        <f t="shared" si="32"/>
        <v>0</v>
      </c>
      <c r="E1039" s="16"/>
      <c r="F1039" s="17"/>
      <c r="G1039" s="17"/>
      <c r="H1039" s="17"/>
      <c r="I1039" s="17"/>
      <c r="J1039" s="17"/>
      <c r="K1039" s="17"/>
      <c r="L1039" s="12"/>
      <c r="M1039" s="12"/>
      <c r="N1039" s="12"/>
      <c r="O1039" s="12"/>
      <c r="P1039" s="12"/>
      <c r="Q1039" s="17"/>
      <c r="R1039" s="18">
        <f>IF(SUMPRODUCT((E1039:Q1039)*1)=0,0,E1039*INDEX(Hours!M:M,MATCH(C1039,Hours!$A:$A,0))+F1039*INDEX(Hours!B:B,MATCH(C1039,Hours!$A:$A,0))+G1039*INDEX(Hours!C:C,MATCH(C1039,Hours!$A:$A,0))+H1039*INDEX(Hours!D:D,MATCH(C1039,Hours!$A:$A,0))+I1039*INDEX(Hours!E:E,MATCH(C1039,Hours!$A:$A,0))+J1039*INDEX(Hours!F:F,MATCH(C1039,Hours!$A:$A,0))+K1039*INDEX(Hours!G:G,MATCH(C1039,Hours!$A:$A,0)))</f>
        <v>0</v>
      </c>
      <c r="S1039" s="19">
        <f t="shared" si="33"/>
        <v>0</v>
      </c>
    </row>
    <row r="1040" spans="1:19" x14ac:dyDescent="0.25">
      <c r="A1040" s="11" t="str">
        <f>'Bldgs &amp; Rooms'!$A$30</f>
        <v>Main Bldg.</v>
      </c>
      <c r="B1040" s="11">
        <f>'Bldgs &amp; Rooms'!$B$30</f>
        <v>0</v>
      </c>
      <c r="C1040" s="10" t="str">
        <f>Hours!$A$4</f>
        <v xml:space="preserve">  SwitchGear Drawout Breakers</v>
      </c>
      <c r="D1040" s="11">
        <f t="shared" si="32"/>
        <v>0</v>
      </c>
      <c r="E1040" s="16"/>
      <c r="F1040" s="17"/>
      <c r="G1040" s="17"/>
      <c r="H1040" s="17"/>
      <c r="I1040" s="17"/>
      <c r="J1040" s="17"/>
      <c r="K1040" s="12"/>
      <c r="L1040" s="17"/>
      <c r="M1040" s="12"/>
      <c r="N1040" s="12"/>
      <c r="O1040" s="12"/>
      <c r="P1040" s="12"/>
      <c r="Q1040" s="17"/>
      <c r="R1040" s="18">
        <f>IF(SUMPRODUCT((E1040:Q1040)*1)=0,0,E1040*INDEX(Hours!M:M,MATCH(C1040,Hours!$A:$A,0))+F1040*INDEX(Hours!B:B,MATCH(C1040,Hours!$A:$A,0))+G1040*INDEX(Hours!C:C,MATCH(C1040,Hours!$A:$A,0))+H1040*INDEX(Hours!D:D,MATCH(C1040,Hours!$A:$A,0))+I1040*INDEX(Hours!E:E,MATCH(C1040,Hours!$A:$A,0))+J1040*INDEX(Hours!F:F,MATCH(C1040,Hours!$A:$A,0))+L1040*INDEX(Hours!H:H,MATCH(C1040,Hours!$A:$A,0)))</f>
        <v>0</v>
      </c>
      <c r="S1040" s="19">
        <f t="shared" si="33"/>
        <v>0</v>
      </c>
    </row>
    <row r="1041" spans="1:19" x14ac:dyDescent="0.25">
      <c r="A1041" s="11" t="str">
        <f>'Bldgs &amp; Rooms'!$A$30</f>
        <v>Main Bldg.</v>
      </c>
      <c r="B1041" s="11">
        <f>'Bldgs &amp; Rooms'!$B$30</f>
        <v>0</v>
      </c>
      <c r="C1041" s="10" t="str">
        <f>Hours!$A$5</f>
        <v>Distribution Switchboard Multi Cover (Per Section)</v>
      </c>
      <c r="D1041" s="11">
        <f t="shared" si="32"/>
        <v>0</v>
      </c>
      <c r="E1041" s="16"/>
      <c r="F1041" s="17"/>
      <c r="G1041" s="17"/>
      <c r="H1041" s="17"/>
      <c r="I1041" s="17"/>
      <c r="J1041" s="17"/>
      <c r="K1041" s="17"/>
      <c r="L1041" s="12"/>
      <c r="M1041" s="12"/>
      <c r="N1041" s="12"/>
      <c r="O1041" s="17"/>
      <c r="P1041" s="12"/>
      <c r="Q1041" s="17"/>
      <c r="R1041" s="18">
        <f>IF(SUMPRODUCT((E1041:Q1041)*1)=0,0,E1041*INDEX(Hours!M:M,MATCH(C1041,Hours!$A:$A,0))+F1041*INDEX(Hours!B:B,MATCH(C1041,Hours!$A:$A,0))+G1041*INDEX(Hours!C:C,MATCH(C1041,Hours!$A:$A,0))+H1041*INDEX(Hours!D:D,MATCH(C1041,Hours!$A:$A,0))+I1041*INDEX(Hours!E:E,MATCH(C1041,Hours!$A:$A,0))+J1041*INDEX(Hours!F:F,MATCH(C1041,Hours!$A:$A,0))+K1041*INDEX(Hours!G:G,MATCH(C1041,Hours!$A:$A,0))+O1041*INDEX(Hours!K:K,MATCH(C1041,Hours!$A:$A,0)))</f>
        <v>0</v>
      </c>
      <c r="S1041" s="19">
        <f t="shared" si="33"/>
        <v>0</v>
      </c>
    </row>
    <row r="1042" spans="1:19" x14ac:dyDescent="0.25">
      <c r="A1042" s="11" t="str">
        <f>'Bldgs &amp; Rooms'!$A$30</f>
        <v>Main Bldg.</v>
      </c>
      <c r="B1042" s="11">
        <f>'Bldgs &amp; Rooms'!$B$30</f>
        <v>0</v>
      </c>
      <c r="C1042" s="10" t="str">
        <f>Hours!$A$6</f>
        <v xml:space="preserve">  Switchboard Disconnects</v>
      </c>
      <c r="D1042" s="11">
        <f t="shared" si="32"/>
        <v>0</v>
      </c>
      <c r="E1042" s="16"/>
      <c r="F1042" s="17"/>
      <c r="G1042" s="17"/>
      <c r="H1042" s="17"/>
      <c r="I1042" s="17"/>
      <c r="J1042" s="17"/>
      <c r="K1042" s="12"/>
      <c r="L1042" s="12"/>
      <c r="M1042" s="12"/>
      <c r="N1042" s="12"/>
      <c r="O1042" s="12"/>
      <c r="P1042" s="12"/>
      <c r="Q1042" s="17"/>
      <c r="R1042" s="18">
        <f>IF(SUMPRODUCT((E1042:Q1042)*1)=0,0,E1042*INDEX(Hours!M:M,MATCH(C1042,Hours!$A:$A,0))+F1042*INDEX(Hours!B:B,MATCH(C1042,Hours!$A:$A,0))+G1042*INDEX(Hours!C:C,MATCH(C1042,Hours!$A:$A,0))+H1042*INDEX(Hours!D:D,MATCH(C1042,Hours!$A:$A,0))+I1042*INDEX(Hours!E:E,MATCH(C1042,Hours!$A:$A,0))+J1042*INDEX(Hours!F:F,MATCH(C1042,Hours!$A:$A,0)))</f>
        <v>0</v>
      </c>
      <c r="S1042" s="19">
        <f t="shared" si="33"/>
        <v>0</v>
      </c>
    </row>
    <row r="1043" spans="1:19" x14ac:dyDescent="0.25">
      <c r="A1043" s="11" t="str">
        <f>'Bldgs &amp; Rooms'!$A$30</f>
        <v>Main Bldg.</v>
      </c>
      <c r="B1043" s="11">
        <f>'Bldgs &amp; Rooms'!$B$30</f>
        <v>0</v>
      </c>
      <c r="C1043" s="10" t="str">
        <f>Hours!$A$7</f>
        <v xml:space="preserve">  Switchboard Molded Case Breakers</v>
      </c>
      <c r="D1043" s="11">
        <f t="shared" si="32"/>
        <v>0</v>
      </c>
      <c r="E1043" s="16"/>
      <c r="F1043" s="17"/>
      <c r="G1043" s="17"/>
      <c r="H1043" s="17"/>
      <c r="I1043" s="17"/>
      <c r="J1043" s="17"/>
      <c r="K1043" s="17"/>
      <c r="L1043" s="12"/>
      <c r="M1043" s="12"/>
      <c r="N1043" s="12"/>
      <c r="O1043" s="12"/>
      <c r="P1043" s="12"/>
      <c r="Q1043" s="17"/>
      <c r="R1043" s="18">
        <f>IF(SUMPRODUCT((E1043:Q1043)*1)=0,0,E1043*INDEX(Hours!M:M,MATCH(C1043,Hours!$A:$A,0))+F1043*INDEX(Hours!B:B,MATCH(C1043,Hours!$A:$A,0))+G1043*INDEX(Hours!C:C,MATCH(C1043,Hours!$A:$A,0))+H1043*INDEX(Hours!D:D,MATCH(C1043,Hours!$A:$A,0))+I1043*INDEX(Hours!E:E,MATCH(C1043,Hours!$A:$A,0))+J1043*INDEX(Hours!F:F,MATCH(C1043,Hours!$A:$A,0))+K1043*INDEX(Hours!G:G,MATCH(C1043,Hours!$A:$A,0)))</f>
        <v>0</v>
      </c>
      <c r="S1043" s="19">
        <f t="shared" si="33"/>
        <v>0</v>
      </c>
    </row>
    <row r="1044" spans="1:19" x14ac:dyDescent="0.25">
      <c r="A1044" s="11" t="str">
        <f>'Bldgs &amp; Rooms'!$A$30</f>
        <v>Main Bldg.</v>
      </c>
      <c r="B1044" s="11">
        <f>'Bldgs &amp; Rooms'!$B$30</f>
        <v>0</v>
      </c>
      <c r="C1044" s="10" t="str">
        <f>Hours!$A$8</f>
        <v>Panelboard-Single Cover &gt; 400A (Distribution Panel)</v>
      </c>
      <c r="D1044" s="11">
        <f t="shared" si="32"/>
        <v>0</v>
      </c>
      <c r="E1044" s="16"/>
      <c r="F1044" s="17"/>
      <c r="G1044" s="17"/>
      <c r="H1044" s="17"/>
      <c r="I1044" s="17"/>
      <c r="J1044" s="17"/>
      <c r="K1044" s="17"/>
      <c r="L1044" s="12"/>
      <c r="M1044" s="12"/>
      <c r="N1044" s="12"/>
      <c r="O1044" s="17"/>
      <c r="P1044" s="12"/>
      <c r="Q1044" s="17"/>
      <c r="R1044" s="18">
        <f>IF(SUMPRODUCT((E1044:Q1044)*1)=0,0,E1044*INDEX(Hours!M:M,MATCH(C1044,Hours!$A:$A,0))+F1044*INDEX(Hours!B:B,MATCH(C1044,Hours!$A:$A,0))+G1044*INDEX(Hours!C:C,MATCH(C1044,Hours!$A:$A,0))+H1044*INDEX(Hours!D:D,MATCH(C1044,Hours!$A:$A,0))+I1044*INDEX(Hours!E:E,MATCH(C1044,Hours!$A:$A,0))+J1044*INDEX(Hours!F:F,MATCH(C1044,Hours!$A:$A,0))+K1044*INDEX(Hours!G:G,MATCH(C1044,Hours!$A:$A,0))+O1044*INDEX(Hours!K:K,MATCH(C1044,Hours!$A:$A,0)))</f>
        <v>0</v>
      </c>
      <c r="S1044" s="19">
        <f t="shared" si="33"/>
        <v>0</v>
      </c>
    </row>
    <row r="1045" spans="1:19" x14ac:dyDescent="0.25">
      <c r="A1045" s="11" t="str">
        <f>'Bldgs &amp; Rooms'!$A$30</f>
        <v>Main Bldg.</v>
      </c>
      <c r="B1045" s="11">
        <f>'Bldgs &amp; Rooms'!$B$30</f>
        <v>0</v>
      </c>
      <c r="C1045" s="10" t="str">
        <f>Hours!$A$9</f>
        <v>Panelboard-Single Cover &lt; 400A (Branch Ckt Panel)</v>
      </c>
      <c r="D1045" s="11">
        <f t="shared" si="32"/>
        <v>0</v>
      </c>
      <c r="E1045" s="16"/>
      <c r="F1045" s="17"/>
      <c r="G1045" s="17"/>
      <c r="H1045" s="17"/>
      <c r="I1045" s="17"/>
      <c r="J1045" s="17"/>
      <c r="K1045" s="12"/>
      <c r="L1045" s="12"/>
      <c r="M1045" s="12"/>
      <c r="N1045" s="12"/>
      <c r="O1045" s="17"/>
      <c r="P1045" s="12"/>
      <c r="Q1045" s="17"/>
      <c r="R1045" s="18">
        <f>IF(SUMPRODUCT((E1045:Q1045)*1)=0,0,E1045*INDEX(Hours!M:M,MATCH(C1045,Hours!$A:$A,0))+F1045*INDEX(Hours!B:B,MATCH(C1045,Hours!$A:$A,0))+G1045*INDEX(Hours!C:C,MATCH(C1045,Hours!$A:$A,0))+H1045*INDEX(Hours!D:D,MATCH(C1045,Hours!$A:$A,0))+I1045*INDEX(Hours!E:E,MATCH(C1045,Hours!$A:$A,0))+J1045*INDEX(Hours!F:F,MATCH(C1045,Hours!$A:$A,0))+O1045*INDEX(Hours!K:K,MATCH(C1045,Hours!$A:$A,0)))</f>
        <v>0</v>
      </c>
      <c r="S1045" s="19">
        <f t="shared" si="33"/>
        <v>0</v>
      </c>
    </row>
    <row r="1046" spans="1:19" x14ac:dyDescent="0.25">
      <c r="A1046" s="11" t="str">
        <f>'Bldgs &amp; Rooms'!$A$30</f>
        <v>Main Bldg.</v>
      </c>
      <c r="B1046" s="11">
        <f>'Bldgs &amp; Rooms'!$B$30</f>
        <v>0</v>
      </c>
      <c r="C1046" s="10" t="str">
        <f>Hours!$A$10</f>
        <v>Motor Control Center (MCC-Per Vertical Section)</v>
      </c>
      <c r="D1046" s="11">
        <f t="shared" si="32"/>
        <v>0</v>
      </c>
      <c r="E1046" s="16"/>
      <c r="F1046" s="17"/>
      <c r="G1046" s="17"/>
      <c r="H1046" s="17"/>
      <c r="I1046" s="17"/>
      <c r="J1046" s="17"/>
      <c r="K1046" s="12"/>
      <c r="L1046" s="12"/>
      <c r="M1046" s="12"/>
      <c r="N1046" s="12"/>
      <c r="O1046" s="17"/>
      <c r="P1046" s="12"/>
      <c r="Q1046" s="17"/>
      <c r="R1046" s="18">
        <f>IF(SUMPRODUCT((E1046:Q1046)*1)=0,0,E1046*INDEX(Hours!M:M,MATCH(C1046,Hours!$A:$A,0))+F1046*INDEX(Hours!B:B,MATCH(C1046,Hours!$A:$A,0))+G1046*INDEX(Hours!C:C,MATCH(C1046,Hours!$A:$A,0))+H1046*INDEX(Hours!D:D,MATCH(C1046,Hours!$A:$A,0))+I1046*INDEX(Hours!E:E,MATCH(C1046,Hours!$A:$A,0))+J1046*INDEX(Hours!F:F,MATCH(C1046,Hours!$A:$A,0))+O1046*INDEX(Hours!K:K,MATCH(C1046,Hours!$A:$A,0)))</f>
        <v>0</v>
      </c>
      <c r="S1046" s="19">
        <f t="shared" si="33"/>
        <v>0</v>
      </c>
    </row>
    <row r="1047" spans="1:19" x14ac:dyDescent="0.25">
      <c r="A1047" s="11" t="str">
        <f>'Bldgs &amp; Rooms'!$A$30</f>
        <v>Main Bldg.</v>
      </c>
      <c r="B1047" s="11">
        <f>'Bldgs &amp; Rooms'!$B$30</f>
        <v>0</v>
      </c>
      <c r="C1047" s="10" t="str">
        <f>Hours!$A$11</f>
        <v xml:space="preserve">  MCC: Combination Motor Starters</v>
      </c>
      <c r="D1047" s="11">
        <f t="shared" si="32"/>
        <v>0</v>
      </c>
      <c r="E1047" s="16"/>
      <c r="F1047" s="17"/>
      <c r="G1047" s="17"/>
      <c r="H1047" s="17"/>
      <c r="I1047" s="17"/>
      <c r="J1047" s="17"/>
      <c r="K1047" s="17"/>
      <c r="L1047" s="12"/>
      <c r="M1047" s="12"/>
      <c r="N1047" s="12"/>
      <c r="O1047" s="17"/>
      <c r="P1047" s="12"/>
      <c r="Q1047" s="17"/>
      <c r="R1047" s="18">
        <f>IF(SUMPRODUCT((E1047:Q1047)*1)=0,0,E1047*INDEX(Hours!M:M,MATCH(C1047,Hours!$A:$A,0))+F1047*INDEX(Hours!B:B,MATCH(C1047,Hours!$A:$A,0))+G1047*INDEX(Hours!C:C,MATCH(C1047,Hours!$A:$A,0))+H1047*INDEX(Hours!D:D,MATCH(C1047,Hours!$A:$A,0))+I1047*INDEX(Hours!E:E,MATCH(C1047,Hours!$A:$A,0))+J1047*INDEX(Hours!F:F,MATCH(C1047,Hours!$A:$A,0))+K1047*INDEX(Hours!G:G,MATCH(C1047,Hours!$A:$A,0))+O1047*INDEX(Hours!K:K,MATCH(C1047,Hours!$A:$A,0)))</f>
        <v>0</v>
      </c>
      <c r="S1047" s="19">
        <f t="shared" si="33"/>
        <v>0</v>
      </c>
    </row>
    <row r="1048" spans="1:19" x14ac:dyDescent="0.25">
      <c r="A1048" s="11" t="str">
        <f>'Bldgs &amp; Rooms'!$A$30</f>
        <v>Main Bldg.</v>
      </c>
      <c r="B1048" s="11">
        <f>'Bldgs &amp; Rooms'!$B$30</f>
        <v>0</v>
      </c>
      <c r="C1048" s="10" t="str">
        <f>Hours!$A$12</f>
        <v xml:space="preserve">  MCC: Molded Case Breaker</v>
      </c>
      <c r="D1048" s="11">
        <f t="shared" si="32"/>
        <v>0</v>
      </c>
      <c r="E1048" s="16"/>
      <c r="F1048" s="17"/>
      <c r="G1048" s="17"/>
      <c r="H1048" s="17"/>
      <c r="I1048" s="17"/>
      <c r="J1048" s="17"/>
      <c r="K1048" s="17"/>
      <c r="L1048" s="12"/>
      <c r="M1048" s="12"/>
      <c r="N1048" s="12"/>
      <c r="O1048" s="12"/>
      <c r="P1048" s="12"/>
      <c r="Q1048" s="17"/>
      <c r="R1048" s="18">
        <f>IF(SUMPRODUCT((E1048:Q1048)*1)=0,0,E1048*INDEX(Hours!M:M,MATCH(C1048,Hours!$A:$A,0))+F1048*INDEX(Hours!B:B,MATCH(C1048,Hours!$A:$A,0))+G1048*INDEX(Hours!C:C,MATCH(C1048,Hours!$A:$A,0))+H1048*INDEX(Hours!D:D,MATCH(C1048,Hours!$A:$A,0))+I1048*INDEX(Hours!E:E,MATCH(C1048,Hours!$A:$A,0))+J1048*INDEX(Hours!F:F,MATCH(C1048,Hours!$A:$A,0))+K1048*INDEX(Hours!G:G,MATCH(C1048,Hours!$A:$A,0)))</f>
        <v>0</v>
      </c>
      <c r="S1048" s="19">
        <f t="shared" si="33"/>
        <v>0</v>
      </c>
    </row>
    <row r="1049" spans="1:19" x14ac:dyDescent="0.25">
      <c r="A1049" s="11" t="str">
        <f>'Bldgs &amp; Rooms'!$A$30</f>
        <v>Main Bldg.</v>
      </c>
      <c r="B1049" s="11">
        <f>'Bldgs &amp; Rooms'!$B$30</f>
        <v>0</v>
      </c>
      <c r="C1049" s="10" t="str">
        <f>Hours!$A$13</f>
        <v xml:space="preserve">  MCC: Individual Disconnect Switch</v>
      </c>
      <c r="D1049" s="11">
        <f t="shared" si="32"/>
        <v>0</v>
      </c>
      <c r="E1049" s="16"/>
      <c r="F1049" s="17"/>
      <c r="G1049" s="17"/>
      <c r="H1049" s="17"/>
      <c r="I1049" s="17"/>
      <c r="J1049" s="17"/>
      <c r="K1049" s="12"/>
      <c r="L1049" s="12"/>
      <c r="M1049" s="12"/>
      <c r="N1049" s="12"/>
      <c r="O1049" s="12"/>
      <c r="P1049" s="12"/>
      <c r="Q1049" s="17"/>
      <c r="R1049" s="18">
        <f>IF(SUMPRODUCT((E1049:Q1049)*1)=0,0,E1049*INDEX(Hours!M:M,MATCH(C1049,Hours!$A:$A,0))+F1049*INDEX(Hours!B:B,MATCH(C1049,Hours!$A:$A,0))+G1049*INDEX(Hours!C:C,MATCH(C1049,Hours!$A:$A,0))+H1049*INDEX(Hours!D:D,MATCH(C1049,Hours!$A:$A,0))+I1049*INDEX(Hours!E:E,MATCH(C1049,Hours!$A:$A,0))+J1049*INDEX(Hours!F:F,MATCH(C1049,Hours!$A:$A,0)))</f>
        <v>0</v>
      </c>
      <c r="S1049" s="19">
        <f t="shared" si="33"/>
        <v>0</v>
      </c>
    </row>
    <row r="1050" spans="1:19" x14ac:dyDescent="0.25">
      <c r="A1050" s="11" t="str">
        <f>'Bldgs &amp; Rooms'!$A$30</f>
        <v>Main Bldg.</v>
      </c>
      <c r="B1050" s="11">
        <f>'Bldgs &amp; Rooms'!$B$30</f>
        <v>0</v>
      </c>
      <c r="C1050" s="10" t="str">
        <f>Hours!$A$14</f>
        <v>Motor Control Panel (MCP)</v>
      </c>
      <c r="D1050" s="11">
        <f t="shared" si="32"/>
        <v>0</v>
      </c>
      <c r="E1050" s="16"/>
      <c r="F1050" s="17"/>
      <c r="G1050" s="17"/>
      <c r="H1050" s="17"/>
      <c r="I1050" s="17"/>
      <c r="J1050" s="17"/>
      <c r="K1050" s="12"/>
      <c r="L1050" s="12"/>
      <c r="M1050" s="12"/>
      <c r="N1050" s="12"/>
      <c r="O1050" s="17"/>
      <c r="P1050" s="12"/>
      <c r="Q1050" s="17"/>
      <c r="R1050" s="18">
        <f>IF(SUMPRODUCT((E1050:Q1050)*1)=0,0,E1050*INDEX(Hours!M:M,MATCH(C1050,Hours!$A:$A,0))+F1050*INDEX(Hours!B:B,MATCH(C1050,Hours!$A:$A,0))+G1050*INDEX(Hours!C:C,MATCH(C1050,Hours!$A:$A,0))+H1050*INDEX(Hours!D:D,MATCH(C1050,Hours!$A:$A,0))+I1050*INDEX(Hours!E:E,MATCH(C1050,Hours!$A:$A,0))+J1050*INDEX(Hours!F:F,MATCH(C1050,Hours!$A:$A,0))+O1050*INDEX(Hours!K:K,MATCH(C1050,Hours!$A:$A,0)))</f>
        <v>0</v>
      </c>
      <c r="S1050" s="19">
        <f t="shared" si="33"/>
        <v>0</v>
      </c>
    </row>
    <row r="1051" spans="1:19" x14ac:dyDescent="0.25">
      <c r="A1051" s="11" t="str">
        <f>'Bldgs &amp; Rooms'!$A$30</f>
        <v>Main Bldg.</v>
      </c>
      <c r="B1051" s="11">
        <f>'Bldgs &amp; Rooms'!$B$30</f>
        <v>0</v>
      </c>
      <c r="C1051" s="10" t="str">
        <f>Hours!$A$15</f>
        <v>VFD Motor Control Panel (VFD-MCP)</v>
      </c>
      <c r="D1051" s="11">
        <f t="shared" si="32"/>
        <v>0</v>
      </c>
      <c r="E1051" s="16"/>
      <c r="F1051" s="17"/>
      <c r="G1051" s="17"/>
      <c r="H1051" s="17"/>
      <c r="I1051" s="17"/>
      <c r="J1051" s="17"/>
      <c r="K1051" s="12"/>
      <c r="L1051" s="12"/>
      <c r="M1051" s="12"/>
      <c r="N1051" s="12"/>
      <c r="O1051" s="17"/>
      <c r="P1051" s="12"/>
      <c r="Q1051" s="17"/>
      <c r="R1051" s="18">
        <f>IF(SUMPRODUCT((E1051:Q1051)*1)=0,0,E1051*INDEX(Hours!M:M,MATCH(C1051,Hours!$A:$A,0))+F1051*INDEX(Hours!B:B,MATCH(C1051,Hours!$A:$A,0))+G1051*INDEX(Hours!C:C,MATCH(C1051,Hours!$A:$A,0))+H1051*INDEX(Hours!D:D,MATCH(C1051,Hours!$A:$A,0))+I1051*INDEX(Hours!E:E,MATCH(C1051,Hours!$A:$A,0))+J1051*INDEX(Hours!F:F,MATCH(C1051,Hours!$A:$A,0))+O1051*INDEX(Hours!K:K,MATCH(C1051,Hours!$A:$A,0)))</f>
        <v>0</v>
      </c>
      <c r="S1051" s="19">
        <f t="shared" si="33"/>
        <v>0</v>
      </c>
    </row>
    <row r="1052" spans="1:19" x14ac:dyDescent="0.25">
      <c r="A1052" s="11" t="str">
        <f>'Bldgs &amp; Rooms'!$A$30</f>
        <v>Main Bldg.</v>
      </c>
      <c r="B1052" s="11">
        <f>'Bldgs &amp; Rooms'!$B$30</f>
        <v>0</v>
      </c>
      <c r="C1052" s="10" t="str">
        <f>Hours!$A$16</f>
        <v>Individual Disconnect Switch &gt; 100A</v>
      </c>
      <c r="D1052" s="11">
        <f t="shared" si="32"/>
        <v>0</v>
      </c>
      <c r="E1052" s="16"/>
      <c r="F1052" s="17"/>
      <c r="G1052" s="17"/>
      <c r="H1052" s="17"/>
      <c r="I1052" s="17"/>
      <c r="J1052" s="17"/>
      <c r="K1052" s="17"/>
      <c r="L1052" s="12"/>
      <c r="M1052" s="12"/>
      <c r="N1052" s="12"/>
      <c r="O1052" s="12"/>
      <c r="P1052" s="12"/>
      <c r="Q1052" s="17"/>
      <c r="R1052" s="18">
        <f>IF(SUMPRODUCT((E1052:Q1052)*1)=0,0,E1052*INDEX(Hours!M:M,MATCH(C1052,Hours!$A:$A,0))+F1052*INDEX(Hours!B:B,MATCH(C1052,Hours!$A:$A,0))+G1052*INDEX(Hours!C:C,MATCH(C1052,Hours!$A:$A,0))+H1052*INDEX(Hours!D:D,MATCH(C1052,Hours!$A:$A,0))+I1052*INDEX(Hours!E:E,MATCH(C1052,Hours!$A:$A,0))+J1052*INDEX(Hours!F:F,MATCH(C1052,Hours!$A:$A,0))+K1052*INDEX(Hours!G:G,MATCH(C1052,Hours!$A:$A,0)))</f>
        <v>0</v>
      </c>
      <c r="S1052" s="19">
        <f t="shared" si="33"/>
        <v>0</v>
      </c>
    </row>
    <row r="1053" spans="1:19" x14ac:dyDescent="0.25">
      <c r="A1053" s="11" t="str">
        <f>'Bldgs &amp; Rooms'!$A$30</f>
        <v>Main Bldg.</v>
      </c>
      <c r="B1053" s="11">
        <f>'Bldgs &amp; Rooms'!$B$30</f>
        <v>0</v>
      </c>
      <c r="C1053" s="10" t="str">
        <f>Hours!$A$17</f>
        <v>Individual Molded Case Breaker &gt; 100A</v>
      </c>
      <c r="D1053" s="11">
        <f t="shared" si="32"/>
        <v>0</v>
      </c>
      <c r="E1053" s="16"/>
      <c r="F1053" s="17"/>
      <c r="G1053" s="17"/>
      <c r="H1053" s="17"/>
      <c r="I1053" s="17"/>
      <c r="J1053" s="17"/>
      <c r="K1053" s="17"/>
      <c r="L1053" s="12"/>
      <c r="M1053" s="12"/>
      <c r="N1053" s="12"/>
      <c r="O1053" s="12"/>
      <c r="P1053" s="12"/>
      <c r="Q1053" s="17"/>
      <c r="R1053" s="18">
        <f>IF(SUMPRODUCT((E1053:Q1053)*1)=0,0,E1053*INDEX(Hours!M:M,MATCH(C1053,Hours!$A:$A,0))+F1053*INDEX(Hours!B:B,MATCH(C1053,Hours!$A:$A,0))+G1053*INDEX(Hours!C:C,MATCH(C1053,Hours!$A:$A,0))+H1053*INDEX(Hours!D:D,MATCH(C1053,Hours!$A:$A,0))+I1053*INDEX(Hours!E:E,MATCH(C1053,Hours!$A:$A,0))+J1053*INDEX(Hours!F:F,MATCH(C1053,Hours!$A:$A,0))+K1053*INDEX(Hours!G:G,MATCH(C1053,Hours!$A:$A,0)))</f>
        <v>0</v>
      </c>
      <c r="S1053" s="19">
        <f t="shared" si="33"/>
        <v>0</v>
      </c>
    </row>
    <row r="1054" spans="1:19" x14ac:dyDescent="0.25">
      <c r="A1054" s="11" t="str">
        <f>'Bldgs &amp; Rooms'!$A$30</f>
        <v>Main Bldg.</v>
      </c>
      <c r="B1054" s="11">
        <f>'Bldgs &amp; Rooms'!$B$30</f>
        <v>0</v>
      </c>
      <c r="C1054" s="10" t="str">
        <f>Hours!$A$18</f>
        <v>Individual Combination Motor Starter &gt; 100A</v>
      </c>
      <c r="D1054" s="11">
        <f t="shared" si="32"/>
        <v>0</v>
      </c>
      <c r="E1054" s="16"/>
      <c r="F1054" s="17"/>
      <c r="G1054" s="17"/>
      <c r="H1054" s="17"/>
      <c r="I1054" s="17"/>
      <c r="J1054" s="17"/>
      <c r="K1054" s="17"/>
      <c r="L1054" s="12"/>
      <c r="M1054" s="12"/>
      <c r="N1054" s="12"/>
      <c r="O1054" s="12"/>
      <c r="P1054" s="12"/>
      <c r="Q1054" s="17"/>
      <c r="R1054" s="18">
        <f>IF(SUMPRODUCT((E1054:Q1054)*1)=0,0,E1054*INDEX(Hours!M:M,MATCH(C1054,Hours!$A:$A,0))+F1054*INDEX(Hours!B:B,MATCH(C1054,Hours!$A:$A,0))+G1054*INDEX(Hours!C:C,MATCH(C1054,Hours!$A:$A,0))+H1054*INDEX(Hours!D:D,MATCH(C1054,Hours!$A:$A,0))+I1054*INDEX(Hours!E:E,MATCH(C1054,Hours!$A:$A,0))+J1054*INDEX(Hours!F:F,MATCH(C1054,Hours!$A:$A,0))+K1054*INDEX(Hours!G:G,MATCH(C1054,Hours!$A:$A,0)))</f>
        <v>0</v>
      </c>
      <c r="S1054" s="19">
        <f t="shared" si="33"/>
        <v>0</v>
      </c>
    </row>
    <row r="1055" spans="1:19" x14ac:dyDescent="0.25">
      <c r="A1055" s="11" t="str">
        <f>'Bldgs &amp; Rooms'!$A$30</f>
        <v>Main Bldg.</v>
      </c>
      <c r="B1055" s="11">
        <f>'Bldgs &amp; Rooms'!$B$30</f>
        <v>0</v>
      </c>
      <c r="C1055" s="10" t="str">
        <f>Hours!$A$19</f>
        <v>Oil Filled Transformer - 5kV-15kV Primary - Any Size (Pad Mounted)</v>
      </c>
      <c r="D1055" s="11">
        <f t="shared" si="32"/>
        <v>0</v>
      </c>
      <c r="E1055" s="16"/>
      <c r="F1055" s="17"/>
      <c r="G1055" s="17"/>
      <c r="H1055" s="17"/>
      <c r="I1055" s="17"/>
      <c r="J1055" s="17"/>
      <c r="K1055" s="12"/>
      <c r="L1055" s="12"/>
      <c r="M1055" s="17"/>
      <c r="N1055" s="17"/>
      <c r="O1055" s="12"/>
      <c r="P1055" s="17"/>
      <c r="Q1055" s="17"/>
      <c r="R1055" s="18">
        <f>IF(SUMPRODUCT((E1055:Q1055)*1)=0,0,E1055*INDEX(Hours!M:M,MATCH(C1055,Hours!$A:$A,0))+F1055*INDEX(Hours!B:B,MATCH(C1055,Hours!$A:$A,0))+G1055*INDEX(Hours!C:C,MATCH(C1055,Hours!$A:$A,0))+H1055*INDEX(Hours!D:D,MATCH(C1055,Hours!$A:$A,0))+I1055*INDEX(Hours!E:E,MATCH(C1055,Hours!$A:$A,0))+J1055*INDEX(Hours!F:F,MATCH(C1055,Hours!$A:$A,0))+M1055*INDEX(Hours!I:I,MATCH(C1055,Hours!$A:$A,0))+N1055*INDEX(Hours!J:J,MATCH(C1055,Hours!$A:$A,0))+P1055*INDEX(Hours!L:L,MATCH(C1055,Hours!$A:$A,0)))</f>
        <v>0</v>
      </c>
      <c r="S1055" s="19">
        <f t="shared" si="33"/>
        <v>0</v>
      </c>
    </row>
    <row r="1056" spans="1:19" x14ac:dyDescent="0.25">
      <c r="A1056" s="11" t="str">
        <f>'Bldgs &amp; Rooms'!$A$30</f>
        <v>Main Bldg.</v>
      </c>
      <c r="B1056" s="11">
        <f>'Bldgs &amp; Rooms'!$B$30</f>
        <v>0</v>
      </c>
      <c r="C1056" s="10" t="str">
        <f>Hours!$A$20</f>
        <v>Oil Filled Transformer - &gt; 15kV Primary (Substation Class)</v>
      </c>
      <c r="D1056" s="11">
        <f t="shared" si="32"/>
        <v>0</v>
      </c>
      <c r="E1056" s="16"/>
      <c r="F1056" s="17"/>
      <c r="G1056" s="17"/>
      <c r="H1056" s="17"/>
      <c r="I1056" s="17"/>
      <c r="J1056" s="17"/>
      <c r="K1056" s="12"/>
      <c r="L1056" s="12"/>
      <c r="M1056" s="17"/>
      <c r="N1056" s="17"/>
      <c r="O1056" s="12"/>
      <c r="P1056" s="17"/>
      <c r="Q1056" s="17"/>
      <c r="R1056" s="18">
        <f>IF(SUMPRODUCT((E1056:Q1056)*1)=0,0,E1056*INDEX(Hours!M:M,MATCH(C1056,Hours!$A:$A,0))+F1056*INDEX(Hours!B:B,MATCH(C1056,Hours!$A:$A,0))+G1056*INDEX(Hours!C:C,MATCH(C1056,Hours!$A:$A,0))+H1056*INDEX(Hours!D:D,MATCH(C1056,Hours!$A:$A,0))+I1056*INDEX(Hours!E:E,MATCH(C1056,Hours!$A:$A,0))+J1056*INDEX(Hours!F:F,MATCH(C1056,Hours!$A:$A,0))+M1056*INDEX(Hours!I:I,MATCH(C1056,Hours!$A:$A,0))+N1056*INDEX(Hours!J:J,MATCH(C1056,Hours!$A:$A,0))+P1056*INDEX(Hours!L:L,MATCH(C1056,Hours!$A:$A,0)))</f>
        <v>0</v>
      </c>
      <c r="S1056" s="19">
        <f t="shared" si="33"/>
        <v>0</v>
      </c>
    </row>
    <row r="1057" spans="1:19" x14ac:dyDescent="0.25">
      <c r="A1057" s="11" t="str">
        <f>'Bldgs &amp; Rooms'!$A$30</f>
        <v>Main Bldg.</v>
      </c>
      <c r="B1057" s="11">
        <f>'Bldgs &amp; Rooms'!$B$30</f>
        <v>0</v>
      </c>
      <c r="C1057" s="10" t="str">
        <f>Hours!$A$21</f>
        <v>Dry Type Transformer - &lt; 480V Primary - Any Size kVA</v>
      </c>
      <c r="D1057" s="11">
        <f t="shared" si="32"/>
        <v>0</v>
      </c>
      <c r="E1057" s="16"/>
      <c r="F1057" s="17"/>
      <c r="G1057" s="17"/>
      <c r="H1057" s="17"/>
      <c r="I1057" s="17"/>
      <c r="J1057" s="17"/>
      <c r="K1057" s="12"/>
      <c r="L1057" s="12"/>
      <c r="M1057" s="17"/>
      <c r="N1057" s="17"/>
      <c r="O1057" s="12"/>
      <c r="P1057" s="12"/>
      <c r="Q1057" s="17"/>
      <c r="R1057" s="18">
        <f>IF(SUMPRODUCT((E1057:Q1057)*1)=0,0,E1057*INDEX(Hours!M:M,MATCH(C1057,Hours!$A:$A,0))+F1057*INDEX(Hours!B:B,MATCH(C1057,Hours!$A:$A,0))+G1057*INDEX(Hours!C:C,MATCH(C1057,Hours!$A:$A,0))+H1057*INDEX(Hours!D:D,MATCH(C1057,Hours!$A:$A,0))+I1057*INDEX(Hours!E:E,MATCH(C1057,Hours!$A:$A,0))+J1057*INDEX(Hours!F:F,MATCH(C1057,Hours!$A:$A,0))+M1057*INDEX(Hours!I:I,MATCH(C1057,Hours!$A:$A,0))+N1057*INDEX(Hours!J:J,MATCH(C1057,Hours!$A:$A,0)))</f>
        <v>0</v>
      </c>
      <c r="S1057" s="19">
        <f t="shared" si="33"/>
        <v>0</v>
      </c>
    </row>
    <row r="1058" spans="1:19" x14ac:dyDescent="0.25">
      <c r="A1058" s="11" t="str">
        <f>'Bldgs &amp; Rooms'!$A$30</f>
        <v>Main Bldg.</v>
      </c>
      <c r="B1058" s="11">
        <f>'Bldgs &amp; Rooms'!$B$30</f>
        <v>0</v>
      </c>
      <c r="C1058" s="10" t="str">
        <f>Hours!$A$22</f>
        <v>Power Factor Correction Capacitors</v>
      </c>
      <c r="D1058" s="11">
        <f t="shared" si="32"/>
        <v>0</v>
      </c>
      <c r="E1058" s="16"/>
      <c r="F1058" s="17"/>
      <c r="G1058" s="17"/>
      <c r="H1058" s="17"/>
      <c r="I1058" s="17"/>
      <c r="J1058" s="17"/>
      <c r="K1058" s="12"/>
      <c r="L1058" s="12"/>
      <c r="M1058" s="12"/>
      <c r="N1058" s="12"/>
      <c r="O1058" s="12"/>
      <c r="P1058" s="12"/>
      <c r="Q1058" s="17"/>
      <c r="R1058" s="18">
        <f>IF(SUMPRODUCT((E1058:Q1058)*1)=0,0,E1058*INDEX(Hours!M:M,MATCH(C1058,Hours!$A:$A,0))+F1058*INDEX(Hours!B:B,MATCH(C1058,Hours!$A:$A,0))+G1058*INDEX(Hours!C:C,MATCH(C1058,Hours!$A:$A,0))+H1058*INDEX(Hours!D:D,MATCH(C1058,Hours!$A:$A,0))+I1058*INDEX(Hours!E:E,MATCH(C1058,Hours!$A:$A,0))+J1058*INDEX(Hours!F:F,MATCH(C1058,Hours!$A:$A,0)))</f>
        <v>0</v>
      </c>
      <c r="S1058" s="19">
        <f t="shared" si="33"/>
        <v>0</v>
      </c>
    </row>
    <row r="1059" spans="1:19" x14ac:dyDescent="0.25">
      <c r="A1059" s="11" t="str">
        <f>'Bldgs &amp; Rooms'!$A$30</f>
        <v>Main Bldg.</v>
      </c>
      <c r="B1059" s="11">
        <f>'Bldgs &amp; Rooms'!$B$30</f>
        <v>0</v>
      </c>
      <c r="C1059" s="10" t="str">
        <f>Hours!$A$23</f>
        <v>Lighting Contactor &gt; 100A</v>
      </c>
      <c r="D1059" s="11">
        <f t="shared" si="32"/>
        <v>0</v>
      </c>
      <c r="E1059" s="16"/>
      <c r="F1059" s="17"/>
      <c r="G1059" s="17"/>
      <c r="H1059" s="17"/>
      <c r="I1059" s="17"/>
      <c r="J1059" s="17"/>
      <c r="K1059" s="12"/>
      <c r="L1059" s="12"/>
      <c r="M1059" s="12"/>
      <c r="N1059" s="12"/>
      <c r="O1059" s="12"/>
      <c r="P1059" s="12"/>
      <c r="Q1059" s="17"/>
      <c r="R1059" s="18">
        <f>IF(SUMPRODUCT((E1059:Q1059)*1)=0,0,E1059*INDEX(Hours!M:M,MATCH(C1059,Hours!$A:$A,0))+F1059*INDEX(Hours!B:B,MATCH(C1059,Hours!$A:$A,0))+G1059*INDEX(Hours!C:C,MATCH(C1059,Hours!$A:$A,0))+H1059*INDEX(Hours!D:D,MATCH(C1059,Hours!$A:$A,0))+I1059*INDEX(Hours!E:E,MATCH(C1059,Hours!$A:$A,0))+J1059*INDEX(Hours!F:F,MATCH(C1059,Hours!$A:$A,0)))</f>
        <v>0</v>
      </c>
      <c r="S1059" s="19">
        <f t="shared" si="33"/>
        <v>0</v>
      </c>
    </row>
    <row r="1060" spans="1:19" x14ac:dyDescent="0.25">
      <c r="A1060" s="11" t="str">
        <f>'Bldgs &amp; Rooms'!$A$30</f>
        <v>Main Bldg.</v>
      </c>
      <c r="B1060" s="11">
        <f>'Bldgs &amp; Rooms'!$B$30</f>
        <v>0</v>
      </c>
      <c r="C1060" s="10" t="str">
        <f>Hours!$A$24</f>
        <v>Power Distribution Unit (PDU)</v>
      </c>
      <c r="D1060" s="11">
        <f t="shared" si="32"/>
        <v>0</v>
      </c>
      <c r="E1060" s="16"/>
      <c r="F1060" s="17"/>
      <c r="G1060" s="17"/>
      <c r="H1060" s="17"/>
      <c r="I1060" s="17"/>
      <c r="J1060" s="17"/>
      <c r="K1060" s="12"/>
      <c r="L1060" s="12"/>
      <c r="M1060" s="12"/>
      <c r="N1060" s="12"/>
      <c r="O1060" s="12"/>
      <c r="P1060" s="12"/>
      <c r="Q1060" s="17"/>
      <c r="R1060" s="18">
        <f>IF(SUMPRODUCT((E1060:Q1060)*1)=0,0,E1060*INDEX(Hours!M:M,MATCH(C1060,Hours!$A:$A,0))+F1060*INDEX(Hours!B:B,MATCH(C1060,Hours!$A:$A,0))+G1060*INDEX(Hours!C:C,MATCH(C1060,Hours!$A:$A,0))+H1060*INDEX(Hours!D:D,MATCH(C1060,Hours!$A:$A,0))+I1060*INDEX(Hours!E:E,MATCH(C1060,Hours!$A:$A,0))+J1060*INDEX(Hours!F:F,MATCH(C1060,Hours!$A:$A,0)))</f>
        <v>0</v>
      </c>
      <c r="S1060" s="19">
        <f t="shared" si="33"/>
        <v>0</v>
      </c>
    </row>
    <row r="1061" spans="1:19" x14ac:dyDescent="0.25">
      <c r="A1061" s="11" t="str">
        <f>'Bldgs &amp; Rooms'!$A$30</f>
        <v>Main Bldg.</v>
      </c>
      <c r="B1061" s="11">
        <f>'Bldgs &amp; Rooms'!$B$30</f>
        <v>0</v>
      </c>
      <c r="C1061" s="10" t="str">
        <f>Hours!$A$25</f>
        <v>Wire Trough, Gutter, or Large Junction Boxes</v>
      </c>
      <c r="D1061" s="11">
        <f t="shared" si="32"/>
        <v>0</v>
      </c>
      <c r="E1061" s="16"/>
      <c r="F1061" s="17"/>
      <c r="G1061" s="17"/>
      <c r="H1061" s="17"/>
      <c r="I1061" s="17"/>
      <c r="J1061" s="17"/>
      <c r="K1061" s="12"/>
      <c r="L1061" s="12"/>
      <c r="M1061" s="12"/>
      <c r="N1061" s="12"/>
      <c r="O1061" s="12"/>
      <c r="P1061" s="12"/>
      <c r="Q1061" s="17"/>
      <c r="R1061" s="18">
        <f>IF(SUMPRODUCT((E1061:Q1061)*1)=0,0,E1061*INDEX(Hours!M:M,MATCH(C1061,Hours!$A:$A,0))+F1061*INDEX(Hours!B:B,MATCH(C1061,Hours!$A:$A,0))+G1061*INDEX(Hours!C:C,MATCH(C1061,Hours!$A:$A,0))+H1061*INDEX(Hours!D:D,MATCH(C1061,Hours!$A:$A,0))+I1061*INDEX(Hours!E:E,MATCH(C1061,Hours!$A:$A,0))+J1061*INDEX(Hours!F:F,MATCH(C1061,Hours!$A:$A,0)))</f>
        <v>0</v>
      </c>
      <c r="S1061" s="19">
        <f t="shared" si="33"/>
        <v>0</v>
      </c>
    </row>
    <row r="1062" spans="1:19" x14ac:dyDescent="0.25">
      <c r="A1062" s="11" t="str">
        <f>'Bldgs &amp; Rooms'!$A$30</f>
        <v>Main Bldg.</v>
      </c>
      <c r="B1062" s="11">
        <f>'Bldgs &amp; Rooms'!$B$30</f>
        <v>0</v>
      </c>
      <c r="C1062" s="10" t="str">
        <f>Hours!$A$26</f>
        <v>Bus Duct - Vertical or Horizontal (Per 10' section)</v>
      </c>
      <c r="D1062" s="11">
        <f t="shared" si="32"/>
        <v>0</v>
      </c>
      <c r="E1062" s="16"/>
      <c r="F1062" s="17"/>
      <c r="G1062" s="17"/>
      <c r="H1062" s="17"/>
      <c r="I1062" s="17"/>
      <c r="J1062" s="17"/>
      <c r="K1062" s="12"/>
      <c r="L1062" s="12"/>
      <c r="M1062" s="12"/>
      <c r="N1062" s="12"/>
      <c r="O1062" s="12"/>
      <c r="P1062" s="12"/>
      <c r="Q1062" s="17"/>
      <c r="R1062" s="18">
        <f>IF(SUMPRODUCT((E1062:Q1062)*1)=0,0,E1062*INDEX(Hours!M:M,MATCH(C1062,Hours!$A:$A,0))+F1062*INDEX(Hours!B:B,MATCH(C1062,Hours!$A:$A,0))+G1062*INDEX(Hours!C:C,MATCH(C1062,Hours!$A:$A,0))+H1062*INDEX(Hours!D:D,MATCH(C1062,Hours!$A:$A,0))+I1062*INDEX(Hours!E:E,MATCH(C1062,Hours!$A:$A,0))+J1062*INDEX(Hours!F:F,MATCH(C1062,Hours!$A:$A,0)))</f>
        <v>0</v>
      </c>
      <c r="S1062" s="19">
        <f t="shared" si="33"/>
        <v>0</v>
      </c>
    </row>
    <row r="1063" spans="1:19" x14ac:dyDescent="0.25">
      <c r="A1063" s="11" t="str">
        <f>'Bldgs &amp; Rooms'!$A$30</f>
        <v>Main Bldg.</v>
      </c>
      <c r="B1063" s="11">
        <f>'Bldgs &amp; Rooms'!$B$30</f>
        <v>0</v>
      </c>
      <c r="C1063" s="10" t="str">
        <f>Hours!$A$27</f>
        <v>Automatic Transfer Switch (ATS) &gt; 100A</v>
      </c>
      <c r="D1063" s="11">
        <f t="shared" si="32"/>
        <v>0</v>
      </c>
      <c r="E1063" s="16"/>
      <c r="F1063" s="17"/>
      <c r="G1063" s="17"/>
      <c r="H1063" s="17"/>
      <c r="I1063" s="17"/>
      <c r="J1063" s="17"/>
      <c r="K1063" s="12"/>
      <c r="L1063" s="12"/>
      <c r="M1063" s="12"/>
      <c r="N1063" s="12"/>
      <c r="O1063" s="12"/>
      <c r="P1063" s="12"/>
      <c r="Q1063" s="17"/>
      <c r="R1063" s="18">
        <f>IF(SUMPRODUCT((E1063:Q1063)*1)=0,0,E1063*INDEX(Hours!M:M,MATCH(C1063,Hours!$A:$A,0))+F1063*INDEX(Hours!B:B,MATCH(C1063,Hours!$A:$A,0))+G1063*INDEX(Hours!C:C,MATCH(C1063,Hours!$A:$A,0))+H1063*INDEX(Hours!D:D,MATCH(C1063,Hours!$A:$A,0))+I1063*INDEX(Hours!E:E,MATCH(C1063,Hours!$A:$A,0))+J1063*INDEX(Hours!F:F,MATCH(C1063,Hours!$A:$A,0)))</f>
        <v>0</v>
      </c>
      <c r="S1063" s="19">
        <f t="shared" si="33"/>
        <v>0</v>
      </c>
    </row>
    <row r="1064" spans="1:19" x14ac:dyDescent="0.25">
      <c r="A1064" s="11" t="str">
        <f>'Bldgs &amp; Rooms'!$A$30</f>
        <v>Main Bldg.</v>
      </c>
      <c r="B1064" s="11">
        <f>'Bldgs &amp; Rooms'!$B$30</f>
        <v>0</v>
      </c>
      <c r="C1064" s="10" t="str">
        <f>Hours!$A$28</f>
        <v>Manual Transfer Switch (MTS) &gt; 100A</v>
      </c>
      <c r="D1064" s="11">
        <f t="shared" si="32"/>
        <v>0</v>
      </c>
      <c r="E1064" s="16"/>
      <c r="F1064" s="17"/>
      <c r="G1064" s="17"/>
      <c r="H1064" s="17"/>
      <c r="I1064" s="17"/>
      <c r="J1064" s="17"/>
      <c r="K1064" s="12"/>
      <c r="L1064" s="12"/>
      <c r="M1064" s="12"/>
      <c r="N1064" s="12"/>
      <c r="O1064" s="12"/>
      <c r="P1064" s="12"/>
      <c r="Q1064" s="17"/>
      <c r="R1064" s="18">
        <f>IF(SUMPRODUCT((E1064:Q1064)*1)=0,0,E1064*INDEX(Hours!M:M,MATCH(C1064,Hours!$A:$A,0))+F1064*INDEX(Hours!B:B,MATCH(C1064,Hours!$A:$A,0))+G1064*INDEX(Hours!C:C,MATCH(C1064,Hours!$A:$A,0))+H1064*INDEX(Hours!D:D,MATCH(C1064,Hours!$A:$A,0))+I1064*INDEX(Hours!E:E,MATCH(C1064,Hours!$A:$A,0))+J1064*INDEX(Hours!F:F,MATCH(C1064,Hours!$A:$A,0)))</f>
        <v>0</v>
      </c>
      <c r="S1064" s="19">
        <f t="shared" si="33"/>
        <v>0</v>
      </c>
    </row>
    <row r="1065" spans="1:19" x14ac:dyDescent="0.25">
      <c r="A1065" s="11" t="str">
        <f>'Bldgs &amp; Rooms'!$A$30</f>
        <v>Main Bldg.</v>
      </c>
      <c r="B1065" s="11">
        <f>'Bldgs &amp; Rooms'!$B$30</f>
        <v>0</v>
      </c>
      <c r="C1065" s="10" t="str">
        <f>Hours!$A$29</f>
        <v>Variable Frequency Drives (VFD) &lt; 50 HP</v>
      </c>
      <c r="D1065" s="11">
        <f t="shared" si="32"/>
        <v>0</v>
      </c>
      <c r="E1065" s="16"/>
      <c r="F1065" s="17"/>
      <c r="G1065" s="17"/>
      <c r="H1065" s="17"/>
      <c r="I1065" s="17"/>
      <c r="J1065" s="17"/>
      <c r="K1065" s="12"/>
      <c r="L1065" s="12"/>
      <c r="M1065" s="12"/>
      <c r="N1065" s="12"/>
      <c r="O1065" s="12"/>
      <c r="P1065" s="12"/>
      <c r="Q1065" s="17"/>
      <c r="R1065" s="18">
        <f>IF(SUMPRODUCT((E1065:Q1065)*1)=0,0,E1065*INDEX(Hours!M:M,MATCH(C1065,Hours!$A:$A,0))+F1065*INDEX(Hours!B:B,MATCH(C1065,Hours!$A:$A,0))+G1065*INDEX(Hours!C:C,MATCH(C1065,Hours!$A:$A,0))+H1065*INDEX(Hours!D:D,MATCH(C1065,Hours!$A:$A,0))+I1065*INDEX(Hours!E:E,MATCH(C1065,Hours!$A:$A,0))+J1065*INDEX(Hours!F:F,MATCH(C1065,Hours!$A:$A,0)))</f>
        <v>0</v>
      </c>
      <c r="S1065" s="19">
        <f t="shared" si="33"/>
        <v>0</v>
      </c>
    </row>
    <row r="1066" spans="1:19" x14ac:dyDescent="0.25">
      <c r="A1066" s="11" t="str">
        <f>'Bldgs &amp; Rooms'!$A$30</f>
        <v>Main Bldg.</v>
      </c>
      <c r="B1066" s="11">
        <f>'Bldgs &amp; Rooms'!$B$30</f>
        <v>0</v>
      </c>
      <c r="C1066" s="10" t="str">
        <f>Hours!$A$30</f>
        <v>Variable Frequency Drives (VFD) 51-200 HP</v>
      </c>
      <c r="D1066" s="11">
        <f t="shared" si="32"/>
        <v>0</v>
      </c>
      <c r="E1066" s="16"/>
      <c r="F1066" s="17"/>
      <c r="G1066" s="17"/>
      <c r="H1066" s="17"/>
      <c r="I1066" s="17"/>
      <c r="J1066" s="17"/>
      <c r="K1066" s="12"/>
      <c r="L1066" s="12"/>
      <c r="M1066" s="12"/>
      <c r="N1066" s="12"/>
      <c r="O1066" s="12"/>
      <c r="P1066" s="12"/>
      <c r="Q1066" s="17"/>
      <c r="R1066" s="18">
        <f>IF(SUMPRODUCT((E1066:Q1066)*1)=0,0,E1066*INDEX(Hours!M:M,MATCH(C1066,Hours!$A:$A,0))+F1066*INDEX(Hours!B:B,MATCH(C1066,Hours!$A:$A,0))+G1066*INDEX(Hours!C:C,MATCH(C1066,Hours!$A:$A,0))+H1066*INDEX(Hours!D:D,MATCH(C1066,Hours!$A:$A,0))+I1066*INDEX(Hours!E:E,MATCH(C1066,Hours!$A:$A,0))+J1066*INDEX(Hours!F:F,MATCH(C1066,Hours!$A:$A,0)))</f>
        <v>0</v>
      </c>
      <c r="S1066" s="19">
        <f t="shared" si="33"/>
        <v>0</v>
      </c>
    </row>
    <row r="1067" spans="1:19" x14ac:dyDescent="0.25">
      <c r="A1067" s="11" t="str">
        <f>'Bldgs &amp; Rooms'!$A$30</f>
        <v>Main Bldg.</v>
      </c>
      <c r="B1067" s="11">
        <f>'Bldgs &amp; Rooms'!$B$30</f>
        <v>0</v>
      </c>
      <c r="C1067" s="10" t="str">
        <f>Hours!$A$31</f>
        <v>Motors &lt; 50 HP</v>
      </c>
      <c r="D1067" s="11">
        <f t="shared" si="32"/>
        <v>0</v>
      </c>
      <c r="E1067" s="16"/>
      <c r="F1067" s="17"/>
      <c r="G1067" s="17"/>
      <c r="H1067" s="17"/>
      <c r="I1067" s="17"/>
      <c r="J1067" s="17"/>
      <c r="K1067" s="12"/>
      <c r="L1067" s="12"/>
      <c r="M1067" s="12"/>
      <c r="N1067" s="12"/>
      <c r="O1067" s="12"/>
      <c r="P1067" s="12"/>
      <c r="Q1067" s="17"/>
      <c r="R1067" s="18">
        <f>IF(SUMPRODUCT((E1067:Q1067)*1)=0,0,E1067*INDEX(Hours!M:M,MATCH(C1067,Hours!$A:$A,0))+F1067*INDEX(Hours!B:B,MATCH(C1067,Hours!$A:$A,0))+G1067*INDEX(Hours!C:C,MATCH(C1067,Hours!$A:$A,0))+H1067*INDEX(Hours!D:D,MATCH(C1067,Hours!$A:$A,0))+I1067*INDEX(Hours!E:E,MATCH(C1067,Hours!$A:$A,0))+J1067*INDEX(Hours!F:F,MATCH(C1067,Hours!$A:$A,0)))</f>
        <v>0</v>
      </c>
      <c r="S1067" s="19">
        <f t="shared" si="33"/>
        <v>0</v>
      </c>
    </row>
    <row r="1068" spans="1:19" x14ac:dyDescent="0.25">
      <c r="A1068" s="11" t="str">
        <f>'Bldgs &amp; Rooms'!$A$30</f>
        <v>Main Bldg.</v>
      </c>
      <c r="B1068" s="11">
        <f>'Bldgs &amp; Rooms'!$B$30</f>
        <v>0</v>
      </c>
      <c r="C1068" s="10" t="str">
        <f>Hours!$A$32</f>
        <v>Motors 51-200 HP</v>
      </c>
      <c r="D1068" s="11">
        <f t="shared" si="32"/>
        <v>0</v>
      </c>
      <c r="E1068" s="16"/>
      <c r="F1068" s="17"/>
      <c r="G1068" s="17"/>
      <c r="H1068" s="17"/>
      <c r="I1068" s="17"/>
      <c r="J1068" s="17"/>
      <c r="K1068" s="12"/>
      <c r="L1068" s="12"/>
      <c r="M1068" s="12"/>
      <c r="N1068" s="12"/>
      <c r="O1068" s="12"/>
      <c r="P1068" s="12"/>
      <c r="Q1068" s="17"/>
      <c r="R1068" s="18">
        <f>IF(SUMPRODUCT((E1068:Q1068)*1)=0,0,E1068*INDEX(Hours!M:M,MATCH(C1068,Hours!$A:$A,0))+F1068*INDEX(Hours!B:B,MATCH(C1068,Hours!$A:$A,0))+G1068*INDEX(Hours!C:C,MATCH(C1068,Hours!$A:$A,0))+H1068*INDEX(Hours!D:D,MATCH(C1068,Hours!$A:$A,0))+I1068*INDEX(Hours!E:E,MATCH(C1068,Hours!$A:$A,0))+J1068*INDEX(Hours!F:F,MATCH(C1068,Hours!$A:$A,0)))</f>
        <v>0</v>
      </c>
      <c r="S1068" s="19">
        <f t="shared" si="33"/>
        <v>0</v>
      </c>
    </row>
    <row r="1069" spans="1:19" x14ac:dyDescent="0.25">
      <c r="A1069" s="11" t="str">
        <f>'Bldgs &amp; Rooms'!$A$30</f>
        <v>Main Bldg.</v>
      </c>
      <c r="B1069" s="11">
        <f>'Bldgs &amp; Rooms'!$B$30</f>
        <v>0</v>
      </c>
      <c r="C1069" s="10" t="str">
        <f>Hours!$A$33</f>
        <v>Motors 201-500 HP</v>
      </c>
      <c r="D1069" s="11">
        <f t="shared" si="32"/>
        <v>0</v>
      </c>
      <c r="E1069" s="16"/>
      <c r="F1069" s="17"/>
      <c r="G1069" s="17"/>
      <c r="H1069" s="17"/>
      <c r="I1069" s="17"/>
      <c r="J1069" s="17"/>
      <c r="K1069" s="12"/>
      <c r="L1069" s="12"/>
      <c r="M1069" s="12"/>
      <c r="N1069" s="12"/>
      <c r="O1069" s="12"/>
      <c r="P1069" s="12"/>
      <c r="Q1069" s="17"/>
      <c r="R1069" s="18">
        <f>IF(SUMPRODUCT((E1069:Q1069)*1)=0,0,E1069*INDEX(Hours!M:M,MATCH(C1069,Hours!$A:$A,0))+F1069*INDEX(Hours!B:B,MATCH(C1069,Hours!$A:$A,0))+G1069*INDEX(Hours!C:C,MATCH(C1069,Hours!$A:$A,0))+H1069*INDEX(Hours!D:D,MATCH(C1069,Hours!$A:$A,0))+I1069*INDEX(Hours!E:E,MATCH(C1069,Hours!$A:$A,0))+J1069*INDEX(Hours!F:F,MATCH(C1069,Hours!$A:$A,0)))</f>
        <v>0</v>
      </c>
      <c r="S1069" s="19">
        <f t="shared" si="33"/>
        <v>0</v>
      </c>
    </row>
    <row r="1070" spans="1:19" x14ac:dyDescent="0.25">
      <c r="A1070" s="11" t="str">
        <f>'Bldgs &amp; Rooms'!$A$30</f>
        <v>Main Bldg.</v>
      </c>
      <c r="B1070" s="11">
        <f>'Bldgs &amp; Rooms'!$B$30</f>
        <v>0</v>
      </c>
      <c r="C1070" s="10" t="str">
        <f>Hours!$A$34</f>
        <v>Compressed Air Equipment</v>
      </c>
      <c r="D1070" s="11">
        <f t="shared" si="32"/>
        <v>0</v>
      </c>
      <c r="E1070" s="16"/>
      <c r="F1070" s="17"/>
      <c r="G1070" s="17"/>
      <c r="H1070" s="17"/>
      <c r="I1070" s="17"/>
      <c r="J1070" s="17"/>
      <c r="K1070" s="12"/>
      <c r="L1070" s="12"/>
      <c r="M1070" s="12"/>
      <c r="N1070" s="12"/>
      <c r="O1070" s="12"/>
      <c r="P1070" s="12"/>
      <c r="Q1070" s="17"/>
      <c r="R1070" s="18">
        <f>IF(SUMPRODUCT((E1070:Q1070)*1)=0,0,E1070*INDEX(Hours!M:M,MATCH(C1070,Hours!$A:$A,0))+F1070*INDEX(Hours!B:B,MATCH(C1070,Hours!$A:$A,0))+G1070*INDEX(Hours!C:C,MATCH(C1070,Hours!$A:$A,0))+H1070*INDEX(Hours!D:D,MATCH(C1070,Hours!$A:$A,0))+I1070*INDEX(Hours!E:E,MATCH(C1070,Hours!$A:$A,0))+J1070*INDEX(Hours!F:F,MATCH(C1070,Hours!$A:$A,0)))</f>
        <v>0</v>
      </c>
      <c r="S1070" s="19">
        <f t="shared" si="33"/>
        <v>0</v>
      </c>
    </row>
    <row r="1071" spans="1:19" x14ac:dyDescent="0.25">
      <c r="A1071" s="11" t="str">
        <f>'Bldgs &amp; Rooms'!$A$30</f>
        <v>Main Bldg.</v>
      </c>
      <c r="B1071" s="11">
        <f>'Bldgs &amp; Rooms'!$B$30</f>
        <v>0</v>
      </c>
      <c r="C1071" s="10" t="str">
        <f>Hours!$A$35</f>
        <v>HVAC Equipment (Large)</v>
      </c>
      <c r="D1071" s="11">
        <f t="shared" si="32"/>
        <v>0</v>
      </c>
      <c r="E1071" s="16"/>
      <c r="F1071" s="17"/>
      <c r="G1071" s="17"/>
      <c r="H1071" s="17"/>
      <c r="I1071" s="17"/>
      <c r="J1071" s="17"/>
      <c r="K1071" s="12"/>
      <c r="L1071" s="12"/>
      <c r="M1071" s="12"/>
      <c r="N1071" s="12"/>
      <c r="O1071" s="12"/>
      <c r="P1071" s="12"/>
      <c r="Q1071" s="17"/>
      <c r="R1071" s="18">
        <f>IF(SUMPRODUCT((E1071:Q1071)*1)=0,0,E1071*INDEX(Hours!M:M,MATCH(C1071,Hours!$A:$A,0))+F1071*INDEX(Hours!B:B,MATCH(C1071,Hours!$A:$A,0))+G1071*INDEX(Hours!C:C,MATCH(C1071,Hours!$A:$A,0))+H1071*INDEX(Hours!D:D,MATCH(C1071,Hours!$A:$A,0))+I1071*INDEX(Hours!E:E,MATCH(C1071,Hours!$A:$A,0))+J1071*INDEX(Hours!F:F,MATCH(C1071,Hours!$A:$A,0)))</f>
        <v>0</v>
      </c>
      <c r="S1071" s="19">
        <f t="shared" si="33"/>
        <v>0</v>
      </c>
    </row>
    <row r="1072" spans="1:19" x14ac:dyDescent="0.25">
      <c r="A1072" s="11" t="str">
        <f>'Bldgs &amp; Rooms'!$A$30</f>
        <v>Main Bldg.</v>
      </c>
      <c r="B1072" s="11">
        <f>'Bldgs &amp; Rooms'!$B$30</f>
        <v>0</v>
      </c>
      <c r="C1072" s="10" t="str">
        <f>Hours!$A$36</f>
        <v>HVAC Equipment (Small)</v>
      </c>
      <c r="D1072" s="11">
        <f t="shared" si="32"/>
        <v>0</v>
      </c>
      <c r="E1072" s="16"/>
      <c r="F1072" s="17"/>
      <c r="G1072" s="17"/>
      <c r="H1072" s="17"/>
      <c r="I1072" s="17"/>
      <c r="J1072" s="17"/>
      <c r="K1072" s="12"/>
      <c r="L1072" s="12"/>
      <c r="M1072" s="12"/>
      <c r="N1072" s="12"/>
      <c r="O1072" s="12"/>
      <c r="P1072" s="12"/>
      <c r="Q1072" s="17"/>
      <c r="R1072" s="18">
        <f>IF(SUMPRODUCT((E1072:Q1072)*1)=0,0,E1072*INDEX(Hours!M:M,MATCH(C1072,Hours!$A:$A,0))+F1072*INDEX(Hours!B:B,MATCH(C1072,Hours!$A:$A,0))+G1072*INDEX(Hours!C:C,MATCH(C1072,Hours!$A:$A,0))+H1072*INDEX(Hours!D:D,MATCH(C1072,Hours!$A:$A,0))+I1072*INDEX(Hours!E:E,MATCH(C1072,Hours!$A:$A,0))+J1072*INDEX(Hours!F:F,MATCH(C1072,Hours!$A:$A,0)))</f>
        <v>0</v>
      </c>
      <c r="S1072" s="19">
        <f t="shared" si="33"/>
        <v>0</v>
      </c>
    </row>
    <row r="1073" spans="1:19" x14ac:dyDescent="0.25">
      <c r="A1073" s="11" t="str">
        <f>'Bldgs &amp; Rooms'!$A$30</f>
        <v>Main Bldg.</v>
      </c>
      <c r="B1073" s="11">
        <f>'Bldgs &amp; Rooms'!$B$30</f>
        <v>0</v>
      </c>
      <c r="C1073" s="10" t="str">
        <f>Hours!$A$37</f>
        <v>Uninterruptible Power Supply (UPS) &lt; 50kVA</v>
      </c>
      <c r="D1073" s="11">
        <f t="shared" si="32"/>
        <v>0</v>
      </c>
      <c r="E1073" s="16"/>
      <c r="F1073" s="17"/>
      <c r="G1073" s="17"/>
      <c r="H1073" s="17"/>
      <c r="I1073" s="17"/>
      <c r="J1073" s="17"/>
      <c r="K1073" s="12"/>
      <c r="L1073" s="12"/>
      <c r="M1073" s="12"/>
      <c r="N1073" s="12"/>
      <c r="O1073" s="12"/>
      <c r="P1073" s="12"/>
      <c r="Q1073" s="17"/>
      <c r="R1073" s="18">
        <f>IF(SUMPRODUCT((E1073:Q1073)*1)=0,0,E1073*INDEX(Hours!M:M,MATCH(C1073,Hours!$A:$A,0))+F1073*INDEX(Hours!B:B,MATCH(C1073,Hours!$A:$A,0))+G1073*INDEX(Hours!C:C,MATCH(C1073,Hours!$A:$A,0))+H1073*INDEX(Hours!D:D,MATCH(C1073,Hours!$A:$A,0))+I1073*INDEX(Hours!E:E,MATCH(C1073,Hours!$A:$A,0))+J1073*INDEX(Hours!F:F,MATCH(C1073,Hours!$A:$A,0)))</f>
        <v>0</v>
      </c>
      <c r="S1073" s="19">
        <f t="shared" si="33"/>
        <v>0</v>
      </c>
    </row>
    <row r="1074" spans="1:19" x14ac:dyDescent="0.25">
      <c r="A1074" s="11" t="str">
        <f>'Bldgs &amp; Rooms'!$A$30</f>
        <v>Main Bldg.</v>
      </c>
      <c r="B1074" s="11">
        <f>'Bldgs &amp; Rooms'!$B$30</f>
        <v>0</v>
      </c>
      <c r="C1074" s="10" t="str">
        <f>Hours!$A$38</f>
        <v>Uninterruptible Power Supply (UPS) &gt; 50kVA</v>
      </c>
      <c r="D1074" s="11">
        <f t="shared" si="32"/>
        <v>0</v>
      </c>
      <c r="E1074" s="16"/>
      <c r="F1074" s="17"/>
      <c r="G1074" s="17"/>
      <c r="H1074" s="17"/>
      <c r="I1074" s="17"/>
      <c r="J1074" s="17"/>
      <c r="K1074" s="12"/>
      <c r="L1074" s="12"/>
      <c r="M1074" s="12"/>
      <c r="N1074" s="12"/>
      <c r="O1074" s="12"/>
      <c r="P1074" s="12"/>
      <c r="Q1074" s="17"/>
      <c r="R1074" s="18">
        <f>IF(SUMPRODUCT((E1074:Q1074)*1)=0,0,E1074*INDEX(Hours!M:M,MATCH(C1074,Hours!$A:$A,0))+F1074*INDEX(Hours!B:B,MATCH(C1074,Hours!$A:$A,0))+G1074*INDEX(Hours!C:C,MATCH(C1074,Hours!$A:$A,0))+H1074*INDEX(Hours!D:D,MATCH(C1074,Hours!$A:$A,0))+I1074*INDEX(Hours!E:E,MATCH(C1074,Hours!$A:$A,0))+J1074*INDEX(Hours!F:F,MATCH(C1074,Hours!$A:$A,0)))</f>
        <v>0</v>
      </c>
      <c r="S1074" s="19">
        <f t="shared" si="33"/>
        <v>0</v>
      </c>
    </row>
    <row r="1075" spans="1:19" x14ac:dyDescent="0.25">
      <c r="A1075" s="15" t="str">
        <f>'Bldgs &amp; Rooms'!$A$31</f>
        <v>Main Bldg.</v>
      </c>
      <c r="B1075" s="15">
        <f>'Bldgs &amp; Rooms'!$B$31</f>
        <v>0</v>
      </c>
      <c r="C1075" s="14" t="str">
        <f>Hours!$A$2</f>
        <v>Switchgear - Incoming Main Service (Per Section)</v>
      </c>
      <c r="D1075" s="15">
        <f t="shared" si="32"/>
        <v>0</v>
      </c>
      <c r="E1075" s="16"/>
      <c r="F1075" s="17"/>
      <c r="G1075" s="17"/>
      <c r="H1075" s="17"/>
      <c r="I1075" s="17"/>
      <c r="J1075" s="17"/>
      <c r="K1075" s="17"/>
      <c r="L1075" s="17"/>
      <c r="M1075" s="12"/>
      <c r="N1075" s="12"/>
      <c r="O1075" s="17"/>
      <c r="P1075" s="12"/>
      <c r="Q1075" s="17"/>
      <c r="R1075" s="18">
        <f>IF(SUMPRODUCT((E1075:Q1075)*1)=0,0,E1075*INDEX(Hours!M:M,MATCH(C1075,Hours!$A:$A,0))+F1075*INDEX(Hours!B:B,MATCH(C1075,Hours!$A:$A,0))+G1075*INDEX(Hours!C:C,MATCH(C1075,Hours!$A:$A,0))+H1075*INDEX(Hours!D:D,MATCH(C1075,Hours!$A:$A,0))+I1075*INDEX(Hours!E:E,MATCH(C1075,Hours!$A:$A,0))+J1075*INDEX(Hours!F:F,MATCH(C1075,Hours!$A:$A,0))+K1075*INDEX(Hours!G:G,MATCH(C1075,Hours!$A:$A,0))+L1075*INDEX(Hours!H:H,MATCH(C1075,Hours!$A:$A,0))+O1075*INDEX(Hours!K:K,MATCH(C1075,Hours!$A:$A,0)))</f>
        <v>0</v>
      </c>
      <c r="S1075" s="19">
        <f t="shared" si="33"/>
        <v>0</v>
      </c>
    </row>
    <row r="1076" spans="1:19" x14ac:dyDescent="0.25">
      <c r="A1076" s="15" t="str">
        <f>'Bldgs &amp; Rooms'!$A$31</f>
        <v>Main Bldg.</v>
      </c>
      <c r="B1076" s="15">
        <f>'Bldgs &amp; Rooms'!$B$31</f>
        <v>0</v>
      </c>
      <c r="C1076" s="14" t="str">
        <f>Hours!$A$3</f>
        <v xml:space="preserve">  Switchgear Insulated Case Breakers (Bus Mounted)</v>
      </c>
      <c r="D1076" s="15">
        <f t="shared" si="32"/>
        <v>0</v>
      </c>
      <c r="E1076" s="16"/>
      <c r="F1076" s="17"/>
      <c r="G1076" s="17"/>
      <c r="H1076" s="17"/>
      <c r="I1076" s="17"/>
      <c r="J1076" s="17"/>
      <c r="K1076" s="17"/>
      <c r="L1076" s="12"/>
      <c r="M1076" s="12"/>
      <c r="N1076" s="12"/>
      <c r="O1076" s="12"/>
      <c r="P1076" s="12"/>
      <c r="Q1076" s="17"/>
      <c r="R1076" s="18">
        <f>IF(SUMPRODUCT((E1076:Q1076)*1)=0,0,E1076*INDEX(Hours!M:M,MATCH(C1076,Hours!$A:$A,0))+F1076*INDEX(Hours!B:B,MATCH(C1076,Hours!$A:$A,0))+G1076*INDEX(Hours!C:C,MATCH(C1076,Hours!$A:$A,0))+H1076*INDEX(Hours!D:D,MATCH(C1076,Hours!$A:$A,0))+I1076*INDEX(Hours!E:E,MATCH(C1076,Hours!$A:$A,0))+J1076*INDEX(Hours!F:F,MATCH(C1076,Hours!$A:$A,0))+K1076*INDEX(Hours!G:G,MATCH(C1076,Hours!$A:$A,0)))</f>
        <v>0</v>
      </c>
      <c r="S1076" s="19">
        <f t="shared" si="33"/>
        <v>0</v>
      </c>
    </row>
    <row r="1077" spans="1:19" x14ac:dyDescent="0.25">
      <c r="A1077" s="15" t="str">
        <f>'Bldgs &amp; Rooms'!$A$31</f>
        <v>Main Bldg.</v>
      </c>
      <c r="B1077" s="15">
        <f>'Bldgs &amp; Rooms'!$B$31</f>
        <v>0</v>
      </c>
      <c r="C1077" s="14" t="str">
        <f>Hours!$A$4</f>
        <v xml:space="preserve">  SwitchGear Drawout Breakers</v>
      </c>
      <c r="D1077" s="15">
        <f t="shared" si="32"/>
        <v>0</v>
      </c>
      <c r="E1077" s="16"/>
      <c r="F1077" s="17"/>
      <c r="G1077" s="17"/>
      <c r="H1077" s="17"/>
      <c r="I1077" s="17"/>
      <c r="J1077" s="17"/>
      <c r="K1077" s="12"/>
      <c r="L1077" s="17"/>
      <c r="M1077" s="12"/>
      <c r="N1077" s="12"/>
      <c r="O1077" s="12"/>
      <c r="P1077" s="12"/>
      <c r="Q1077" s="17"/>
      <c r="R1077" s="18">
        <f>IF(SUMPRODUCT((E1077:Q1077)*1)=0,0,E1077*INDEX(Hours!M:M,MATCH(C1077,Hours!$A:$A,0))+F1077*INDEX(Hours!B:B,MATCH(C1077,Hours!$A:$A,0))+G1077*INDEX(Hours!C:C,MATCH(C1077,Hours!$A:$A,0))+H1077*INDEX(Hours!D:D,MATCH(C1077,Hours!$A:$A,0))+I1077*INDEX(Hours!E:E,MATCH(C1077,Hours!$A:$A,0))+J1077*INDEX(Hours!F:F,MATCH(C1077,Hours!$A:$A,0))+L1077*INDEX(Hours!H:H,MATCH(C1077,Hours!$A:$A,0)))</f>
        <v>0</v>
      </c>
      <c r="S1077" s="19">
        <f t="shared" si="33"/>
        <v>0</v>
      </c>
    </row>
    <row r="1078" spans="1:19" x14ac:dyDescent="0.25">
      <c r="A1078" s="15" t="str">
        <f>'Bldgs &amp; Rooms'!$A$31</f>
        <v>Main Bldg.</v>
      </c>
      <c r="B1078" s="15">
        <f>'Bldgs &amp; Rooms'!$B$31</f>
        <v>0</v>
      </c>
      <c r="C1078" s="14" t="str">
        <f>Hours!$A$5</f>
        <v>Distribution Switchboard Multi Cover (Per Section)</v>
      </c>
      <c r="D1078" s="15">
        <f t="shared" si="32"/>
        <v>0</v>
      </c>
      <c r="E1078" s="16"/>
      <c r="F1078" s="17"/>
      <c r="G1078" s="17"/>
      <c r="H1078" s="17"/>
      <c r="I1078" s="17"/>
      <c r="J1078" s="17"/>
      <c r="K1078" s="17"/>
      <c r="L1078" s="12"/>
      <c r="M1078" s="12"/>
      <c r="N1078" s="12"/>
      <c r="O1078" s="17"/>
      <c r="P1078" s="12"/>
      <c r="Q1078" s="17"/>
      <c r="R1078" s="18">
        <f>IF(SUMPRODUCT((E1078:Q1078)*1)=0,0,E1078*INDEX(Hours!M:M,MATCH(C1078,Hours!$A:$A,0))+F1078*INDEX(Hours!B:B,MATCH(C1078,Hours!$A:$A,0))+G1078*INDEX(Hours!C:C,MATCH(C1078,Hours!$A:$A,0))+H1078*INDEX(Hours!D:D,MATCH(C1078,Hours!$A:$A,0))+I1078*INDEX(Hours!E:E,MATCH(C1078,Hours!$A:$A,0))+J1078*INDEX(Hours!F:F,MATCH(C1078,Hours!$A:$A,0))+K1078*INDEX(Hours!G:G,MATCH(C1078,Hours!$A:$A,0))+O1078*INDEX(Hours!K:K,MATCH(C1078,Hours!$A:$A,0)))</f>
        <v>0</v>
      </c>
      <c r="S1078" s="19">
        <f t="shared" si="33"/>
        <v>0</v>
      </c>
    </row>
    <row r="1079" spans="1:19" x14ac:dyDescent="0.25">
      <c r="A1079" s="15" t="str">
        <f>'Bldgs &amp; Rooms'!$A$31</f>
        <v>Main Bldg.</v>
      </c>
      <c r="B1079" s="15">
        <f>'Bldgs &amp; Rooms'!$B$31</f>
        <v>0</v>
      </c>
      <c r="C1079" s="14" t="str">
        <f>Hours!$A$6</f>
        <v xml:space="preserve">  Switchboard Disconnects</v>
      </c>
      <c r="D1079" s="15">
        <f t="shared" si="32"/>
        <v>0</v>
      </c>
      <c r="E1079" s="16"/>
      <c r="F1079" s="17"/>
      <c r="G1079" s="17"/>
      <c r="H1079" s="17"/>
      <c r="I1079" s="17"/>
      <c r="J1079" s="17"/>
      <c r="K1079" s="12"/>
      <c r="L1079" s="12"/>
      <c r="M1079" s="12"/>
      <c r="N1079" s="12"/>
      <c r="O1079" s="12"/>
      <c r="P1079" s="12"/>
      <c r="Q1079" s="17"/>
      <c r="R1079" s="18">
        <f>IF(SUMPRODUCT((E1079:Q1079)*1)=0,0,E1079*INDEX(Hours!M:M,MATCH(C1079,Hours!$A:$A,0))+F1079*INDEX(Hours!B:B,MATCH(C1079,Hours!$A:$A,0))+G1079*INDEX(Hours!C:C,MATCH(C1079,Hours!$A:$A,0))+H1079*INDEX(Hours!D:D,MATCH(C1079,Hours!$A:$A,0))+I1079*INDEX(Hours!E:E,MATCH(C1079,Hours!$A:$A,0))+J1079*INDEX(Hours!F:F,MATCH(C1079,Hours!$A:$A,0)))</f>
        <v>0</v>
      </c>
      <c r="S1079" s="19">
        <f t="shared" si="33"/>
        <v>0</v>
      </c>
    </row>
    <row r="1080" spans="1:19" x14ac:dyDescent="0.25">
      <c r="A1080" s="15" t="str">
        <f>'Bldgs &amp; Rooms'!$A$31</f>
        <v>Main Bldg.</v>
      </c>
      <c r="B1080" s="15">
        <f>'Bldgs &amp; Rooms'!$B$31</f>
        <v>0</v>
      </c>
      <c r="C1080" s="14" t="str">
        <f>Hours!$A$7</f>
        <v xml:space="preserve">  Switchboard Molded Case Breakers</v>
      </c>
      <c r="D1080" s="15">
        <f t="shared" si="32"/>
        <v>0</v>
      </c>
      <c r="E1080" s="16"/>
      <c r="F1080" s="17"/>
      <c r="G1080" s="17"/>
      <c r="H1080" s="17"/>
      <c r="I1080" s="17"/>
      <c r="J1080" s="17"/>
      <c r="K1080" s="17"/>
      <c r="L1080" s="12"/>
      <c r="M1080" s="12"/>
      <c r="N1080" s="12"/>
      <c r="O1080" s="12"/>
      <c r="P1080" s="12"/>
      <c r="Q1080" s="17"/>
      <c r="R1080" s="18">
        <f>IF(SUMPRODUCT((E1080:Q1080)*1)=0,0,E1080*INDEX(Hours!M:M,MATCH(C1080,Hours!$A:$A,0))+F1080*INDEX(Hours!B:B,MATCH(C1080,Hours!$A:$A,0))+G1080*INDEX(Hours!C:C,MATCH(C1080,Hours!$A:$A,0))+H1080*INDEX(Hours!D:D,MATCH(C1080,Hours!$A:$A,0))+I1080*INDEX(Hours!E:E,MATCH(C1080,Hours!$A:$A,0))+J1080*INDEX(Hours!F:F,MATCH(C1080,Hours!$A:$A,0))+K1080*INDEX(Hours!G:G,MATCH(C1080,Hours!$A:$A,0)))</f>
        <v>0</v>
      </c>
      <c r="S1080" s="19">
        <f t="shared" si="33"/>
        <v>0</v>
      </c>
    </row>
    <row r="1081" spans="1:19" x14ac:dyDescent="0.25">
      <c r="A1081" s="15" t="str">
        <f>'Bldgs &amp; Rooms'!$A$31</f>
        <v>Main Bldg.</v>
      </c>
      <c r="B1081" s="15">
        <f>'Bldgs &amp; Rooms'!$B$31</f>
        <v>0</v>
      </c>
      <c r="C1081" s="14" t="str">
        <f>Hours!$A$8</f>
        <v>Panelboard-Single Cover &gt; 400A (Distribution Panel)</v>
      </c>
      <c r="D1081" s="15">
        <f t="shared" si="32"/>
        <v>0</v>
      </c>
      <c r="E1081" s="16"/>
      <c r="F1081" s="17"/>
      <c r="G1081" s="17"/>
      <c r="H1081" s="17"/>
      <c r="I1081" s="17"/>
      <c r="J1081" s="17"/>
      <c r="K1081" s="17"/>
      <c r="L1081" s="12"/>
      <c r="M1081" s="12"/>
      <c r="N1081" s="12"/>
      <c r="O1081" s="17"/>
      <c r="P1081" s="12"/>
      <c r="Q1081" s="17"/>
      <c r="R1081" s="18">
        <f>IF(SUMPRODUCT((E1081:Q1081)*1)=0,0,E1081*INDEX(Hours!M:M,MATCH(C1081,Hours!$A:$A,0))+F1081*INDEX(Hours!B:B,MATCH(C1081,Hours!$A:$A,0))+G1081*INDEX(Hours!C:C,MATCH(C1081,Hours!$A:$A,0))+H1081*INDEX(Hours!D:D,MATCH(C1081,Hours!$A:$A,0))+I1081*INDEX(Hours!E:E,MATCH(C1081,Hours!$A:$A,0))+J1081*INDEX(Hours!F:F,MATCH(C1081,Hours!$A:$A,0))+K1081*INDEX(Hours!G:G,MATCH(C1081,Hours!$A:$A,0))+O1081*INDEX(Hours!K:K,MATCH(C1081,Hours!$A:$A,0)))</f>
        <v>0</v>
      </c>
      <c r="S1081" s="19">
        <f t="shared" si="33"/>
        <v>0</v>
      </c>
    </row>
    <row r="1082" spans="1:19" x14ac:dyDescent="0.25">
      <c r="A1082" s="15" t="str">
        <f>'Bldgs &amp; Rooms'!$A$31</f>
        <v>Main Bldg.</v>
      </c>
      <c r="B1082" s="15">
        <f>'Bldgs &amp; Rooms'!$B$31</f>
        <v>0</v>
      </c>
      <c r="C1082" s="14" t="str">
        <f>Hours!$A$9</f>
        <v>Panelboard-Single Cover &lt; 400A (Branch Ckt Panel)</v>
      </c>
      <c r="D1082" s="15">
        <f t="shared" si="32"/>
        <v>0</v>
      </c>
      <c r="E1082" s="16"/>
      <c r="F1082" s="17"/>
      <c r="G1082" s="17"/>
      <c r="H1082" s="17"/>
      <c r="I1082" s="17"/>
      <c r="J1082" s="17"/>
      <c r="K1082" s="12"/>
      <c r="L1082" s="12"/>
      <c r="M1082" s="12"/>
      <c r="N1082" s="12"/>
      <c r="O1082" s="17"/>
      <c r="P1082" s="12"/>
      <c r="Q1082" s="17"/>
      <c r="R1082" s="18">
        <f>IF(SUMPRODUCT((E1082:Q1082)*1)=0,0,E1082*INDEX(Hours!M:M,MATCH(C1082,Hours!$A:$A,0))+F1082*INDEX(Hours!B:B,MATCH(C1082,Hours!$A:$A,0))+G1082*INDEX(Hours!C:C,MATCH(C1082,Hours!$A:$A,0))+H1082*INDEX(Hours!D:D,MATCH(C1082,Hours!$A:$A,0))+I1082*INDEX(Hours!E:E,MATCH(C1082,Hours!$A:$A,0))+J1082*INDEX(Hours!F:F,MATCH(C1082,Hours!$A:$A,0))+O1082*INDEX(Hours!K:K,MATCH(C1082,Hours!$A:$A,0)))</f>
        <v>0</v>
      </c>
      <c r="S1082" s="19">
        <f t="shared" si="33"/>
        <v>0</v>
      </c>
    </row>
    <row r="1083" spans="1:19" x14ac:dyDescent="0.25">
      <c r="A1083" s="15" t="str">
        <f>'Bldgs &amp; Rooms'!$A$31</f>
        <v>Main Bldg.</v>
      </c>
      <c r="B1083" s="15">
        <f>'Bldgs &amp; Rooms'!$B$31</f>
        <v>0</v>
      </c>
      <c r="C1083" s="14" t="str">
        <f>Hours!$A$10</f>
        <v>Motor Control Center (MCC-Per Vertical Section)</v>
      </c>
      <c r="D1083" s="15">
        <f t="shared" si="32"/>
        <v>0</v>
      </c>
      <c r="E1083" s="16"/>
      <c r="F1083" s="17"/>
      <c r="G1083" s="17"/>
      <c r="H1083" s="17"/>
      <c r="I1083" s="17"/>
      <c r="J1083" s="17"/>
      <c r="K1083" s="12"/>
      <c r="L1083" s="12"/>
      <c r="M1083" s="12"/>
      <c r="N1083" s="12"/>
      <c r="O1083" s="17"/>
      <c r="P1083" s="12"/>
      <c r="Q1083" s="17"/>
      <c r="R1083" s="18">
        <f>IF(SUMPRODUCT((E1083:Q1083)*1)=0,0,E1083*INDEX(Hours!M:M,MATCH(C1083,Hours!$A:$A,0))+F1083*INDEX(Hours!B:B,MATCH(C1083,Hours!$A:$A,0))+G1083*INDEX(Hours!C:C,MATCH(C1083,Hours!$A:$A,0))+H1083*INDEX(Hours!D:D,MATCH(C1083,Hours!$A:$A,0))+I1083*INDEX(Hours!E:E,MATCH(C1083,Hours!$A:$A,0))+J1083*INDEX(Hours!F:F,MATCH(C1083,Hours!$A:$A,0))+O1083*INDEX(Hours!K:K,MATCH(C1083,Hours!$A:$A,0)))</f>
        <v>0</v>
      </c>
      <c r="S1083" s="19">
        <f t="shared" si="33"/>
        <v>0</v>
      </c>
    </row>
    <row r="1084" spans="1:19" x14ac:dyDescent="0.25">
      <c r="A1084" s="15" t="str">
        <f>'Bldgs &amp; Rooms'!$A$31</f>
        <v>Main Bldg.</v>
      </c>
      <c r="B1084" s="15">
        <f>'Bldgs &amp; Rooms'!$B$31</f>
        <v>0</v>
      </c>
      <c r="C1084" s="14" t="str">
        <f>Hours!$A$11</f>
        <v xml:space="preserve">  MCC: Combination Motor Starters</v>
      </c>
      <c r="D1084" s="15">
        <f t="shared" si="32"/>
        <v>0</v>
      </c>
      <c r="E1084" s="16"/>
      <c r="F1084" s="17"/>
      <c r="G1084" s="17"/>
      <c r="H1084" s="17"/>
      <c r="I1084" s="17"/>
      <c r="J1084" s="17"/>
      <c r="K1084" s="17"/>
      <c r="L1084" s="12"/>
      <c r="M1084" s="12"/>
      <c r="N1084" s="12"/>
      <c r="O1084" s="17"/>
      <c r="P1084" s="12"/>
      <c r="Q1084" s="17"/>
      <c r="R1084" s="18">
        <f>IF(SUMPRODUCT((E1084:Q1084)*1)=0,0,E1084*INDEX(Hours!M:M,MATCH(C1084,Hours!$A:$A,0))+F1084*INDEX(Hours!B:B,MATCH(C1084,Hours!$A:$A,0))+G1084*INDEX(Hours!C:C,MATCH(C1084,Hours!$A:$A,0))+H1084*INDEX(Hours!D:D,MATCH(C1084,Hours!$A:$A,0))+I1084*INDEX(Hours!E:E,MATCH(C1084,Hours!$A:$A,0))+J1084*INDEX(Hours!F:F,MATCH(C1084,Hours!$A:$A,0))+K1084*INDEX(Hours!G:G,MATCH(C1084,Hours!$A:$A,0))+O1084*INDEX(Hours!K:K,MATCH(C1084,Hours!$A:$A,0)))</f>
        <v>0</v>
      </c>
      <c r="S1084" s="19">
        <f t="shared" si="33"/>
        <v>0</v>
      </c>
    </row>
    <row r="1085" spans="1:19" x14ac:dyDescent="0.25">
      <c r="A1085" s="15" t="str">
        <f>'Bldgs &amp; Rooms'!$A$31</f>
        <v>Main Bldg.</v>
      </c>
      <c r="B1085" s="15">
        <f>'Bldgs &amp; Rooms'!$B$31</f>
        <v>0</v>
      </c>
      <c r="C1085" s="14" t="str">
        <f>Hours!$A$12</f>
        <v xml:space="preserve">  MCC: Molded Case Breaker</v>
      </c>
      <c r="D1085" s="15">
        <f t="shared" si="32"/>
        <v>0</v>
      </c>
      <c r="E1085" s="16"/>
      <c r="F1085" s="17"/>
      <c r="G1085" s="17"/>
      <c r="H1085" s="17"/>
      <c r="I1085" s="17"/>
      <c r="J1085" s="17"/>
      <c r="K1085" s="17"/>
      <c r="L1085" s="12"/>
      <c r="M1085" s="12"/>
      <c r="N1085" s="12"/>
      <c r="O1085" s="12"/>
      <c r="P1085" s="12"/>
      <c r="Q1085" s="17"/>
      <c r="R1085" s="18">
        <f>IF(SUMPRODUCT((E1085:Q1085)*1)=0,0,E1085*INDEX(Hours!M:M,MATCH(C1085,Hours!$A:$A,0))+F1085*INDEX(Hours!B:B,MATCH(C1085,Hours!$A:$A,0))+G1085*INDEX(Hours!C:C,MATCH(C1085,Hours!$A:$A,0))+H1085*INDEX(Hours!D:D,MATCH(C1085,Hours!$A:$A,0))+I1085*INDEX(Hours!E:E,MATCH(C1085,Hours!$A:$A,0))+J1085*INDEX(Hours!F:F,MATCH(C1085,Hours!$A:$A,0))+K1085*INDEX(Hours!G:G,MATCH(C1085,Hours!$A:$A,0)))</f>
        <v>0</v>
      </c>
      <c r="S1085" s="19">
        <f t="shared" si="33"/>
        <v>0</v>
      </c>
    </row>
    <row r="1086" spans="1:19" x14ac:dyDescent="0.25">
      <c r="A1086" s="15" t="str">
        <f>'Bldgs &amp; Rooms'!$A$31</f>
        <v>Main Bldg.</v>
      </c>
      <c r="B1086" s="15">
        <f>'Bldgs &amp; Rooms'!$B$31</f>
        <v>0</v>
      </c>
      <c r="C1086" s="14" t="str">
        <f>Hours!$A$13</f>
        <v xml:space="preserve">  MCC: Individual Disconnect Switch</v>
      </c>
      <c r="D1086" s="15">
        <f t="shared" si="32"/>
        <v>0</v>
      </c>
      <c r="E1086" s="16"/>
      <c r="F1086" s="17"/>
      <c r="G1086" s="17"/>
      <c r="H1086" s="17"/>
      <c r="I1086" s="17"/>
      <c r="J1086" s="17"/>
      <c r="K1086" s="12"/>
      <c r="L1086" s="12"/>
      <c r="M1086" s="12"/>
      <c r="N1086" s="12"/>
      <c r="O1086" s="12"/>
      <c r="P1086" s="12"/>
      <c r="Q1086" s="17"/>
      <c r="R1086" s="18">
        <f>IF(SUMPRODUCT((E1086:Q1086)*1)=0,0,E1086*INDEX(Hours!M:M,MATCH(C1086,Hours!$A:$A,0))+F1086*INDEX(Hours!B:B,MATCH(C1086,Hours!$A:$A,0))+G1086*INDEX(Hours!C:C,MATCH(C1086,Hours!$A:$A,0))+H1086*INDEX(Hours!D:D,MATCH(C1086,Hours!$A:$A,0))+I1086*INDEX(Hours!E:E,MATCH(C1086,Hours!$A:$A,0))+J1086*INDEX(Hours!F:F,MATCH(C1086,Hours!$A:$A,0)))</f>
        <v>0</v>
      </c>
      <c r="S1086" s="19">
        <f t="shared" si="33"/>
        <v>0</v>
      </c>
    </row>
    <row r="1087" spans="1:19" x14ac:dyDescent="0.25">
      <c r="A1087" s="15" t="str">
        <f>'Bldgs &amp; Rooms'!$A$31</f>
        <v>Main Bldg.</v>
      </c>
      <c r="B1087" s="15">
        <f>'Bldgs &amp; Rooms'!$B$31</f>
        <v>0</v>
      </c>
      <c r="C1087" s="14" t="str">
        <f>Hours!$A$14</f>
        <v>Motor Control Panel (MCP)</v>
      </c>
      <c r="D1087" s="15">
        <f t="shared" si="32"/>
        <v>0</v>
      </c>
      <c r="E1087" s="16"/>
      <c r="F1087" s="17"/>
      <c r="G1087" s="17"/>
      <c r="H1087" s="17"/>
      <c r="I1087" s="17"/>
      <c r="J1087" s="17"/>
      <c r="K1087" s="12"/>
      <c r="L1087" s="12"/>
      <c r="M1087" s="12"/>
      <c r="N1087" s="12"/>
      <c r="O1087" s="17"/>
      <c r="P1087" s="12"/>
      <c r="Q1087" s="17"/>
      <c r="R1087" s="18">
        <f>IF(SUMPRODUCT((E1087:Q1087)*1)=0,0,E1087*INDEX(Hours!M:M,MATCH(C1087,Hours!$A:$A,0))+F1087*INDEX(Hours!B:B,MATCH(C1087,Hours!$A:$A,0))+G1087*INDEX(Hours!C:C,MATCH(C1087,Hours!$A:$A,0))+H1087*INDEX(Hours!D:D,MATCH(C1087,Hours!$A:$A,0))+I1087*INDEX(Hours!E:E,MATCH(C1087,Hours!$A:$A,0))+J1087*INDEX(Hours!F:F,MATCH(C1087,Hours!$A:$A,0))+O1087*INDEX(Hours!K:K,MATCH(C1087,Hours!$A:$A,0)))</f>
        <v>0</v>
      </c>
      <c r="S1087" s="19">
        <f t="shared" si="33"/>
        <v>0</v>
      </c>
    </row>
    <row r="1088" spans="1:19" x14ac:dyDescent="0.25">
      <c r="A1088" s="15" t="str">
        <f>'Bldgs &amp; Rooms'!$A$31</f>
        <v>Main Bldg.</v>
      </c>
      <c r="B1088" s="15">
        <f>'Bldgs &amp; Rooms'!$B$31</f>
        <v>0</v>
      </c>
      <c r="C1088" s="14" t="str">
        <f>Hours!$A$15</f>
        <v>VFD Motor Control Panel (VFD-MCP)</v>
      </c>
      <c r="D1088" s="15">
        <f t="shared" si="32"/>
        <v>0</v>
      </c>
      <c r="E1088" s="16"/>
      <c r="F1088" s="17"/>
      <c r="G1088" s="17"/>
      <c r="H1088" s="17"/>
      <c r="I1088" s="17"/>
      <c r="J1088" s="17"/>
      <c r="K1088" s="12"/>
      <c r="L1088" s="12"/>
      <c r="M1088" s="12"/>
      <c r="N1088" s="12"/>
      <c r="O1088" s="17"/>
      <c r="P1088" s="12"/>
      <c r="Q1088" s="17"/>
      <c r="R1088" s="18">
        <f>IF(SUMPRODUCT((E1088:Q1088)*1)=0,0,E1088*INDEX(Hours!M:M,MATCH(C1088,Hours!$A:$A,0))+F1088*INDEX(Hours!B:B,MATCH(C1088,Hours!$A:$A,0))+G1088*INDEX(Hours!C:C,MATCH(C1088,Hours!$A:$A,0))+H1088*INDEX(Hours!D:D,MATCH(C1088,Hours!$A:$A,0))+I1088*INDEX(Hours!E:E,MATCH(C1088,Hours!$A:$A,0))+J1088*INDEX(Hours!F:F,MATCH(C1088,Hours!$A:$A,0))+O1088*INDEX(Hours!K:K,MATCH(C1088,Hours!$A:$A,0)))</f>
        <v>0</v>
      </c>
      <c r="S1088" s="19">
        <f t="shared" si="33"/>
        <v>0</v>
      </c>
    </row>
    <row r="1089" spans="1:19" x14ac:dyDescent="0.25">
      <c r="A1089" s="15" t="str">
        <f>'Bldgs &amp; Rooms'!$A$31</f>
        <v>Main Bldg.</v>
      </c>
      <c r="B1089" s="15">
        <f>'Bldgs &amp; Rooms'!$B$31</f>
        <v>0</v>
      </c>
      <c r="C1089" s="14" t="str">
        <f>Hours!$A$16</f>
        <v>Individual Disconnect Switch &gt; 100A</v>
      </c>
      <c r="D1089" s="15">
        <f t="shared" si="32"/>
        <v>0</v>
      </c>
      <c r="E1089" s="16"/>
      <c r="F1089" s="17"/>
      <c r="G1089" s="17"/>
      <c r="H1089" s="17"/>
      <c r="I1089" s="17"/>
      <c r="J1089" s="17"/>
      <c r="K1089" s="17"/>
      <c r="L1089" s="12"/>
      <c r="M1089" s="12"/>
      <c r="N1089" s="12"/>
      <c r="O1089" s="12"/>
      <c r="P1089" s="12"/>
      <c r="Q1089" s="17"/>
      <c r="R1089" s="18">
        <f>IF(SUMPRODUCT((E1089:Q1089)*1)=0,0,E1089*INDEX(Hours!M:M,MATCH(C1089,Hours!$A:$A,0))+F1089*INDEX(Hours!B:B,MATCH(C1089,Hours!$A:$A,0))+G1089*INDEX(Hours!C:C,MATCH(C1089,Hours!$A:$A,0))+H1089*INDEX(Hours!D:D,MATCH(C1089,Hours!$A:$A,0))+I1089*INDEX(Hours!E:E,MATCH(C1089,Hours!$A:$A,0))+J1089*INDEX(Hours!F:F,MATCH(C1089,Hours!$A:$A,0))+K1089*INDEX(Hours!G:G,MATCH(C1089,Hours!$A:$A,0)))</f>
        <v>0</v>
      </c>
      <c r="S1089" s="19">
        <f t="shared" si="33"/>
        <v>0</v>
      </c>
    </row>
    <row r="1090" spans="1:19" x14ac:dyDescent="0.25">
      <c r="A1090" s="15" t="str">
        <f>'Bldgs &amp; Rooms'!$A$31</f>
        <v>Main Bldg.</v>
      </c>
      <c r="B1090" s="15">
        <f>'Bldgs &amp; Rooms'!$B$31</f>
        <v>0</v>
      </c>
      <c r="C1090" s="14" t="str">
        <f>Hours!$A$17</f>
        <v>Individual Molded Case Breaker &gt; 100A</v>
      </c>
      <c r="D1090" s="15">
        <f t="shared" ref="D1090:D1153" si="34">MAX(E1090+F1090,G1090,H1090,I1090,J1090,K1090,L1090,M1090,N1090,O1090,P1090,Q1090)</f>
        <v>0</v>
      </c>
      <c r="E1090" s="16"/>
      <c r="F1090" s="17"/>
      <c r="G1090" s="17"/>
      <c r="H1090" s="17"/>
      <c r="I1090" s="17"/>
      <c r="J1090" s="17"/>
      <c r="K1090" s="17"/>
      <c r="L1090" s="12"/>
      <c r="M1090" s="12"/>
      <c r="N1090" s="12"/>
      <c r="O1090" s="12"/>
      <c r="P1090" s="12"/>
      <c r="Q1090" s="17"/>
      <c r="R1090" s="18">
        <f>IF(SUMPRODUCT((E1090:Q1090)*1)=0,0,E1090*INDEX(Hours!M:M,MATCH(C1090,Hours!$A:$A,0))+F1090*INDEX(Hours!B:B,MATCH(C1090,Hours!$A:$A,0))+G1090*INDEX(Hours!C:C,MATCH(C1090,Hours!$A:$A,0))+H1090*INDEX(Hours!D:D,MATCH(C1090,Hours!$A:$A,0))+I1090*INDEX(Hours!E:E,MATCH(C1090,Hours!$A:$A,0))+J1090*INDEX(Hours!F:F,MATCH(C1090,Hours!$A:$A,0))+K1090*INDEX(Hours!G:G,MATCH(C1090,Hours!$A:$A,0)))</f>
        <v>0</v>
      </c>
      <c r="S1090" s="19">
        <f t="shared" ref="S1090:S1111" si="35">MAX(E1090+F1090,G1090,H1090,I1090,J1090,K1090,L1090,M1090,N1090,O1090,P1090,Q1090)</f>
        <v>0</v>
      </c>
    </row>
    <row r="1091" spans="1:19" x14ac:dyDescent="0.25">
      <c r="A1091" s="15" t="str">
        <f>'Bldgs &amp; Rooms'!$A$31</f>
        <v>Main Bldg.</v>
      </c>
      <c r="B1091" s="15">
        <f>'Bldgs &amp; Rooms'!$B$31</f>
        <v>0</v>
      </c>
      <c r="C1091" s="14" t="str">
        <f>Hours!$A$18</f>
        <v>Individual Combination Motor Starter &gt; 100A</v>
      </c>
      <c r="D1091" s="15">
        <f t="shared" si="34"/>
        <v>0</v>
      </c>
      <c r="E1091" s="16"/>
      <c r="F1091" s="17"/>
      <c r="G1091" s="17"/>
      <c r="H1091" s="17"/>
      <c r="I1091" s="17"/>
      <c r="J1091" s="17"/>
      <c r="K1091" s="17"/>
      <c r="L1091" s="12"/>
      <c r="M1091" s="12"/>
      <c r="N1091" s="12"/>
      <c r="O1091" s="12"/>
      <c r="P1091" s="12"/>
      <c r="Q1091" s="17"/>
      <c r="R1091" s="18">
        <f>IF(SUMPRODUCT((E1091:Q1091)*1)=0,0,E1091*INDEX(Hours!M:M,MATCH(C1091,Hours!$A:$A,0))+F1091*INDEX(Hours!B:B,MATCH(C1091,Hours!$A:$A,0))+G1091*INDEX(Hours!C:C,MATCH(C1091,Hours!$A:$A,0))+H1091*INDEX(Hours!D:D,MATCH(C1091,Hours!$A:$A,0))+I1091*INDEX(Hours!E:E,MATCH(C1091,Hours!$A:$A,0))+J1091*INDEX(Hours!F:F,MATCH(C1091,Hours!$A:$A,0))+K1091*INDEX(Hours!G:G,MATCH(C1091,Hours!$A:$A,0)))</f>
        <v>0</v>
      </c>
      <c r="S1091" s="19">
        <f t="shared" si="35"/>
        <v>0</v>
      </c>
    </row>
    <row r="1092" spans="1:19" x14ac:dyDescent="0.25">
      <c r="A1092" s="15" t="str">
        <f>'Bldgs &amp; Rooms'!$A$31</f>
        <v>Main Bldg.</v>
      </c>
      <c r="B1092" s="15">
        <f>'Bldgs &amp; Rooms'!$B$31</f>
        <v>0</v>
      </c>
      <c r="C1092" s="14" t="str">
        <f>Hours!$A$19</f>
        <v>Oil Filled Transformer - 5kV-15kV Primary - Any Size (Pad Mounted)</v>
      </c>
      <c r="D1092" s="15">
        <f t="shared" si="34"/>
        <v>0</v>
      </c>
      <c r="E1092" s="16"/>
      <c r="F1092" s="17"/>
      <c r="G1092" s="17"/>
      <c r="H1092" s="17"/>
      <c r="I1092" s="17"/>
      <c r="J1092" s="17"/>
      <c r="K1092" s="12"/>
      <c r="L1092" s="12"/>
      <c r="M1092" s="17"/>
      <c r="N1092" s="17"/>
      <c r="O1092" s="12"/>
      <c r="P1092" s="17"/>
      <c r="Q1092" s="17"/>
      <c r="R1092" s="18">
        <f>IF(SUMPRODUCT((E1092:Q1092)*1)=0,0,E1092*INDEX(Hours!M:M,MATCH(C1092,Hours!$A:$A,0))+F1092*INDEX(Hours!B:B,MATCH(C1092,Hours!$A:$A,0))+G1092*INDEX(Hours!C:C,MATCH(C1092,Hours!$A:$A,0))+H1092*INDEX(Hours!D:D,MATCH(C1092,Hours!$A:$A,0))+I1092*INDEX(Hours!E:E,MATCH(C1092,Hours!$A:$A,0))+J1092*INDEX(Hours!F:F,MATCH(C1092,Hours!$A:$A,0))+M1092*INDEX(Hours!I:I,MATCH(C1092,Hours!$A:$A,0))+N1092*INDEX(Hours!J:J,MATCH(C1092,Hours!$A:$A,0))+P1092*INDEX(Hours!L:L,MATCH(C1092,Hours!$A:$A,0)))</f>
        <v>0</v>
      </c>
      <c r="S1092" s="19">
        <f t="shared" si="35"/>
        <v>0</v>
      </c>
    </row>
    <row r="1093" spans="1:19" x14ac:dyDescent="0.25">
      <c r="A1093" s="15" t="str">
        <f>'Bldgs &amp; Rooms'!$A$31</f>
        <v>Main Bldg.</v>
      </c>
      <c r="B1093" s="15">
        <f>'Bldgs &amp; Rooms'!$B$31</f>
        <v>0</v>
      </c>
      <c r="C1093" s="14" t="str">
        <f>Hours!$A$20</f>
        <v>Oil Filled Transformer - &gt; 15kV Primary (Substation Class)</v>
      </c>
      <c r="D1093" s="15">
        <f t="shared" si="34"/>
        <v>0</v>
      </c>
      <c r="E1093" s="16"/>
      <c r="F1093" s="17"/>
      <c r="G1093" s="17"/>
      <c r="H1093" s="17"/>
      <c r="I1093" s="17"/>
      <c r="J1093" s="17"/>
      <c r="K1093" s="12"/>
      <c r="L1093" s="12"/>
      <c r="M1093" s="17"/>
      <c r="N1093" s="17"/>
      <c r="O1093" s="12"/>
      <c r="P1093" s="17"/>
      <c r="Q1093" s="17"/>
      <c r="R1093" s="18">
        <f>IF(SUMPRODUCT((E1093:Q1093)*1)=0,0,E1093*INDEX(Hours!M:M,MATCH(C1093,Hours!$A:$A,0))+F1093*INDEX(Hours!B:B,MATCH(C1093,Hours!$A:$A,0))+G1093*INDEX(Hours!C:C,MATCH(C1093,Hours!$A:$A,0))+H1093*INDEX(Hours!D:D,MATCH(C1093,Hours!$A:$A,0))+I1093*INDEX(Hours!E:E,MATCH(C1093,Hours!$A:$A,0))+J1093*INDEX(Hours!F:F,MATCH(C1093,Hours!$A:$A,0))+M1093*INDEX(Hours!I:I,MATCH(C1093,Hours!$A:$A,0))+N1093*INDEX(Hours!J:J,MATCH(C1093,Hours!$A:$A,0))+P1093*INDEX(Hours!L:L,MATCH(C1093,Hours!$A:$A,0)))</f>
        <v>0</v>
      </c>
      <c r="S1093" s="19">
        <f t="shared" si="35"/>
        <v>0</v>
      </c>
    </row>
    <row r="1094" spans="1:19" x14ac:dyDescent="0.25">
      <c r="A1094" s="15" t="str">
        <f>'Bldgs &amp; Rooms'!$A$31</f>
        <v>Main Bldg.</v>
      </c>
      <c r="B1094" s="15">
        <f>'Bldgs &amp; Rooms'!$B$31</f>
        <v>0</v>
      </c>
      <c r="C1094" s="14" t="str">
        <f>Hours!$A$21</f>
        <v>Dry Type Transformer - &lt; 480V Primary - Any Size kVA</v>
      </c>
      <c r="D1094" s="15">
        <f t="shared" si="34"/>
        <v>0</v>
      </c>
      <c r="E1094" s="16"/>
      <c r="F1094" s="17"/>
      <c r="G1094" s="17"/>
      <c r="H1094" s="17"/>
      <c r="I1094" s="17"/>
      <c r="J1094" s="17"/>
      <c r="K1094" s="12"/>
      <c r="L1094" s="12"/>
      <c r="M1094" s="17"/>
      <c r="N1094" s="17"/>
      <c r="O1094" s="12"/>
      <c r="P1094" s="12"/>
      <c r="Q1094" s="17"/>
      <c r="R1094" s="18">
        <f>IF(SUMPRODUCT((E1094:Q1094)*1)=0,0,E1094*INDEX(Hours!M:M,MATCH(C1094,Hours!$A:$A,0))+F1094*INDEX(Hours!B:B,MATCH(C1094,Hours!$A:$A,0))+G1094*INDEX(Hours!C:C,MATCH(C1094,Hours!$A:$A,0))+H1094*INDEX(Hours!D:D,MATCH(C1094,Hours!$A:$A,0))+I1094*INDEX(Hours!E:E,MATCH(C1094,Hours!$A:$A,0))+J1094*INDEX(Hours!F:F,MATCH(C1094,Hours!$A:$A,0))+M1094*INDEX(Hours!I:I,MATCH(C1094,Hours!$A:$A,0))+N1094*INDEX(Hours!J:J,MATCH(C1094,Hours!$A:$A,0)))</f>
        <v>0</v>
      </c>
      <c r="S1094" s="19">
        <f t="shared" si="35"/>
        <v>0</v>
      </c>
    </row>
    <row r="1095" spans="1:19" x14ac:dyDescent="0.25">
      <c r="A1095" s="15" t="str">
        <f>'Bldgs &amp; Rooms'!$A$31</f>
        <v>Main Bldg.</v>
      </c>
      <c r="B1095" s="15">
        <f>'Bldgs &amp; Rooms'!$B$31</f>
        <v>0</v>
      </c>
      <c r="C1095" s="14" t="str">
        <f>Hours!$A$22</f>
        <v>Power Factor Correction Capacitors</v>
      </c>
      <c r="D1095" s="15">
        <f t="shared" si="34"/>
        <v>0</v>
      </c>
      <c r="E1095" s="16"/>
      <c r="F1095" s="17"/>
      <c r="G1095" s="17"/>
      <c r="H1095" s="17"/>
      <c r="I1095" s="17"/>
      <c r="J1095" s="17"/>
      <c r="K1095" s="12"/>
      <c r="L1095" s="12"/>
      <c r="M1095" s="12"/>
      <c r="N1095" s="12"/>
      <c r="O1095" s="12"/>
      <c r="P1095" s="12"/>
      <c r="Q1095" s="17"/>
      <c r="R1095" s="18">
        <f>IF(SUMPRODUCT((E1095:Q1095)*1)=0,0,E1095*INDEX(Hours!M:M,MATCH(C1095,Hours!$A:$A,0))+F1095*INDEX(Hours!B:B,MATCH(C1095,Hours!$A:$A,0))+G1095*INDEX(Hours!C:C,MATCH(C1095,Hours!$A:$A,0))+H1095*INDEX(Hours!D:D,MATCH(C1095,Hours!$A:$A,0))+I1095*INDEX(Hours!E:E,MATCH(C1095,Hours!$A:$A,0))+J1095*INDEX(Hours!F:F,MATCH(C1095,Hours!$A:$A,0)))</f>
        <v>0</v>
      </c>
      <c r="S1095" s="19">
        <f t="shared" si="35"/>
        <v>0</v>
      </c>
    </row>
    <row r="1096" spans="1:19" x14ac:dyDescent="0.25">
      <c r="A1096" s="15" t="str">
        <f>'Bldgs &amp; Rooms'!$A$31</f>
        <v>Main Bldg.</v>
      </c>
      <c r="B1096" s="15">
        <f>'Bldgs &amp; Rooms'!$B$31</f>
        <v>0</v>
      </c>
      <c r="C1096" s="14" t="str">
        <f>Hours!$A$23</f>
        <v>Lighting Contactor &gt; 100A</v>
      </c>
      <c r="D1096" s="15">
        <f t="shared" si="34"/>
        <v>0</v>
      </c>
      <c r="E1096" s="16"/>
      <c r="F1096" s="17"/>
      <c r="G1096" s="17"/>
      <c r="H1096" s="17"/>
      <c r="I1096" s="17"/>
      <c r="J1096" s="17"/>
      <c r="K1096" s="12"/>
      <c r="L1096" s="12"/>
      <c r="M1096" s="12"/>
      <c r="N1096" s="12"/>
      <c r="O1096" s="12"/>
      <c r="P1096" s="12"/>
      <c r="Q1096" s="17"/>
      <c r="R1096" s="18">
        <f>IF(SUMPRODUCT((E1096:Q1096)*1)=0,0,E1096*INDEX(Hours!M:M,MATCH(C1096,Hours!$A:$A,0))+F1096*INDEX(Hours!B:B,MATCH(C1096,Hours!$A:$A,0))+G1096*INDEX(Hours!C:C,MATCH(C1096,Hours!$A:$A,0))+H1096*INDEX(Hours!D:D,MATCH(C1096,Hours!$A:$A,0))+I1096*INDEX(Hours!E:E,MATCH(C1096,Hours!$A:$A,0))+J1096*INDEX(Hours!F:F,MATCH(C1096,Hours!$A:$A,0)))</f>
        <v>0</v>
      </c>
      <c r="S1096" s="19">
        <f t="shared" si="35"/>
        <v>0</v>
      </c>
    </row>
    <row r="1097" spans="1:19" x14ac:dyDescent="0.25">
      <c r="A1097" s="15" t="str">
        <f>'Bldgs &amp; Rooms'!$A$31</f>
        <v>Main Bldg.</v>
      </c>
      <c r="B1097" s="15">
        <f>'Bldgs &amp; Rooms'!$B$31</f>
        <v>0</v>
      </c>
      <c r="C1097" s="14" t="str">
        <f>Hours!$A$24</f>
        <v>Power Distribution Unit (PDU)</v>
      </c>
      <c r="D1097" s="15">
        <f t="shared" si="34"/>
        <v>0</v>
      </c>
      <c r="E1097" s="16"/>
      <c r="F1097" s="17"/>
      <c r="G1097" s="17"/>
      <c r="H1097" s="17"/>
      <c r="I1097" s="17"/>
      <c r="J1097" s="17"/>
      <c r="K1097" s="12"/>
      <c r="L1097" s="12"/>
      <c r="M1097" s="12"/>
      <c r="N1097" s="12"/>
      <c r="O1097" s="12"/>
      <c r="P1097" s="12"/>
      <c r="Q1097" s="17"/>
      <c r="R1097" s="18">
        <f>IF(SUMPRODUCT((E1097:Q1097)*1)=0,0,E1097*INDEX(Hours!M:M,MATCH(C1097,Hours!$A:$A,0))+F1097*INDEX(Hours!B:B,MATCH(C1097,Hours!$A:$A,0))+G1097*INDEX(Hours!C:C,MATCH(C1097,Hours!$A:$A,0))+H1097*INDEX(Hours!D:D,MATCH(C1097,Hours!$A:$A,0))+I1097*INDEX(Hours!E:E,MATCH(C1097,Hours!$A:$A,0))+J1097*INDEX(Hours!F:F,MATCH(C1097,Hours!$A:$A,0)))</f>
        <v>0</v>
      </c>
      <c r="S1097" s="19">
        <f t="shared" si="35"/>
        <v>0</v>
      </c>
    </row>
    <row r="1098" spans="1:19" x14ac:dyDescent="0.25">
      <c r="A1098" s="15" t="str">
        <f>'Bldgs &amp; Rooms'!$A$31</f>
        <v>Main Bldg.</v>
      </c>
      <c r="B1098" s="15">
        <f>'Bldgs &amp; Rooms'!$B$31</f>
        <v>0</v>
      </c>
      <c r="C1098" s="14" t="str">
        <f>Hours!$A$25</f>
        <v>Wire Trough, Gutter, or Large Junction Boxes</v>
      </c>
      <c r="D1098" s="15">
        <f t="shared" si="34"/>
        <v>0</v>
      </c>
      <c r="E1098" s="16"/>
      <c r="F1098" s="17"/>
      <c r="G1098" s="17"/>
      <c r="H1098" s="17"/>
      <c r="I1098" s="17"/>
      <c r="J1098" s="17"/>
      <c r="K1098" s="12"/>
      <c r="L1098" s="12"/>
      <c r="M1098" s="12"/>
      <c r="N1098" s="12"/>
      <c r="O1098" s="12"/>
      <c r="P1098" s="12"/>
      <c r="Q1098" s="17"/>
      <c r="R1098" s="18">
        <f>IF(SUMPRODUCT((E1098:Q1098)*1)=0,0,E1098*INDEX(Hours!M:M,MATCH(C1098,Hours!$A:$A,0))+F1098*INDEX(Hours!B:B,MATCH(C1098,Hours!$A:$A,0))+G1098*INDEX(Hours!C:C,MATCH(C1098,Hours!$A:$A,0))+H1098*INDEX(Hours!D:D,MATCH(C1098,Hours!$A:$A,0))+I1098*INDEX(Hours!E:E,MATCH(C1098,Hours!$A:$A,0))+J1098*INDEX(Hours!F:F,MATCH(C1098,Hours!$A:$A,0)))</f>
        <v>0</v>
      </c>
      <c r="S1098" s="19">
        <f t="shared" si="35"/>
        <v>0</v>
      </c>
    </row>
    <row r="1099" spans="1:19" x14ac:dyDescent="0.25">
      <c r="A1099" s="15" t="str">
        <f>'Bldgs &amp; Rooms'!$A$31</f>
        <v>Main Bldg.</v>
      </c>
      <c r="B1099" s="15">
        <f>'Bldgs &amp; Rooms'!$B$31</f>
        <v>0</v>
      </c>
      <c r="C1099" s="14" t="str">
        <f>Hours!$A$26</f>
        <v>Bus Duct - Vertical or Horizontal (Per 10' section)</v>
      </c>
      <c r="D1099" s="15">
        <f t="shared" si="34"/>
        <v>0</v>
      </c>
      <c r="E1099" s="16"/>
      <c r="F1099" s="17"/>
      <c r="G1099" s="17"/>
      <c r="H1099" s="17"/>
      <c r="I1099" s="17"/>
      <c r="J1099" s="17"/>
      <c r="K1099" s="12"/>
      <c r="L1099" s="12"/>
      <c r="M1099" s="12"/>
      <c r="N1099" s="12"/>
      <c r="O1099" s="12"/>
      <c r="P1099" s="12"/>
      <c r="Q1099" s="17"/>
      <c r="R1099" s="18">
        <f>IF(SUMPRODUCT((E1099:Q1099)*1)=0,0,E1099*INDEX(Hours!M:M,MATCH(C1099,Hours!$A:$A,0))+F1099*INDEX(Hours!B:B,MATCH(C1099,Hours!$A:$A,0))+G1099*INDEX(Hours!C:C,MATCH(C1099,Hours!$A:$A,0))+H1099*INDEX(Hours!D:D,MATCH(C1099,Hours!$A:$A,0))+I1099*INDEX(Hours!E:E,MATCH(C1099,Hours!$A:$A,0))+J1099*INDEX(Hours!F:F,MATCH(C1099,Hours!$A:$A,0)))</f>
        <v>0</v>
      </c>
      <c r="S1099" s="19">
        <f t="shared" si="35"/>
        <v>0</v>
      </c>
    </row>
    <row r="1100" spans="1:19" x14ac:dyDescent="0.25">
      <c r="A1100" s="15" t="str">
        <f>'Bldgs &amp; Rooms'!$A$31</f>
        <v>Main Bldg.</v>
      </c>
      <c r="B1100" s="15">
        <f>'Bldgs &amp; Rooms'!$B$31</f>
        <v>0</v>
      </c>
      <c r="C1100" s="14" t="str">
        <f>Hours!$A$27</f>
        <v>Automatic Transfer Switch (ATS) &gt; 100A</v>
      </c>
      <c r="D1100" s="15">
        <f t="shared" si="34"/>
        <v>0</v>
      </c>
      <c r="E1100" s="16"/>
      <c r="F1100" s="17"/>
      <c r="G1100" s="17"/>
      <c r="H1100" s="17"/>
      <c r="I1100" s="17"/>
      <c r="J1100" s="17"/>
      <c r="K1100" s="12"/>
      <c r="L1100" s="12"/>
      <c r="M1100" s="12"/>
      <c r="N1100" s="12"/>
      <c r="O1100" s="12"/>
      <c r="P1100" s="12"/>
      <c r="Q1100" s="17"/>
      <c r="R1100" s="18">
        <f>IF(SUMPRODUCT((E1100:Q1100)*1)=0,0,E1100*INDEX(Hours!M:M,MATCH(C1100,Hours!$A:$A,0))+F1100*INDEX(Hours!B:B,MATCH(C1100,Hours!$A:$A,0))+G1100*INDEX(Hours!C:C,MATCH(C1100,Hours!$A:$A,0))+H1100*INDEX(Hours!D:D,MATCH(C1100,Hours!$A:$A,0))+I1100*INDEX(Hours!E:E,MATCH(C1100,Hours!$A:$A,0))+J1100*INDEX(Hours!F:F,MATCH(C1100,Hours!$A:$A,0)))</f>
        <v>0</v>
      </c>
      <c r="S1100" s="19">
        <f t="shared" si="35"/>
        <v>0</v>
      </c>
    </row>
    <row r="1101" spans="1:19" x14ac:dyDescent="0.25">
      <c r="A1101" s="15" t="str">
        <f>'Bldgs &amp; Rooms'!$A$31</f>
        <v>Main Bldg.</v>
      </c>
      <c r="B1101" s="15">
        <f>'Bldgs &amp; Rooms'!$B$31</f>
        <v>0</v>
      </c>
      <c r="C1101" s="14" t="str">
        <f>Hours!$A$28</f>
        <v>Manual Transfer Switch (MTS) &gt; 100A</v>
      </c>
      <c r="D1101" s="15">
        <f t="shared" si="34"/>
        <v>0</v>
      </c>
      <c r="E1101" s="16"/>
      <c r="F1101" s="17"/>
      <c r="G1101" s="17"/>
      <c r="H1101" s="17"/>
      <c r="I1101" s="17"/>
      <c r="J1101" s="17"/>
      <c r="K1101" s="12"/>
      <c r="L1101" s="12"/>
      <c r="M1101" s="12"/>
      <c r="N1101" s="12"/>
      <c r="O1101" s="12"/>
      <c r="P1101" s="12"/>
      <c r="Q1101" s="17"/>
      <c r="R1101" s="18">
        <f>IF(SUMPRODUCT((E1101:Q1101)*1)=0,0,E1101*INDEX(Hours!M:M,MATCH(C1101,Hours!$A:$A,0))+F1101*INDEX(Hours!B:B,MATCH(C1101,Hours!$A:$A,0))+G1101*INDEX(Hours!C:C,MATCH(C1101,Hours!$A:$A,0))+H1101*INDEX(Hours!D:D,MATCH(C1101,Hours!$A:$A,0))+I1101*INDEX(Hours!E:E,MATCH(C1101,Hours!$A:$A,0))+J1101*INDEX(Hours!F:F,MATCH(C1101,Hours!$A:$A,0)))</f>
        <v>0</v>
      </c>
      <c r="S1101" s="19">
        <f t="shared" si="35"/>
        <v>0</v>
      </c>
    </row>
    <row r="1102" spans="1:19" x14ac:dyDescent="0.25">
      <c r="A1102" s="15" t="str">
        <f>'Bldgs &amp; Rooms'!$A$31</f>
        <v>Main Bldg.</v>
      </c>
      <c r="B1102" s="15">
        <f>'Bldgs &amp; Rooms'!$B$31</f>
        <v>0</v>
      </c>
      <c r="C1102" s="14" t="str">
        <f>Hours!$A$29</f>
        <v>Variable Frequency Drives (VFD) &lt; 50 HP</v>
      </c>
      <c r="D1102" s="15">
        <f t="shared" si="34"/>
        <v>0</v>
      </c>
      <c r="E1102" s="16"/>
      <c r="F1102" s="17"/>
      <c r="G1102" s="17"/>
      <c r="H1102" s="17"/>
      <c r="I1102" s="17"/>
      <c r="J1102" s="17"/>
      <c r="K1102" s="12"/>
      <c r="L1102" s="12"/>
      <c r="M1102" s="12"/>
      <c r="N1102" s="12"/>
      <c r="O1102" s="12"/>
      <c r="P1102" s="12"/>
      <c r="Q1102" s="17"/>
      <c r="R1102" s="18">
        <f>IF(SUMPRODUCT((E1102:Q1102)*1)=0,0,E1102*INDEX(Hours!M:M,MATCH(C1102,Hours!$A:$A,0))+F1102*INDEX(Hours!B:B,MATCH(C1102,Hours!$A:$A,0))+G1102*INDEX(Hours!C:C,MATCH(C1102,Hours!$A:$A,0))+H1102*INDEX(Hours!D:D,MATCH(C1102,Hours!$A:$A,0))+I1102*INDEX(Hours!E:E,MATCH(C1102,Hours!$A:$A,0))+J1102*INDEX(Hours!F:F,MATCH(C1102,Hours!$A:$A,0)))</f>
        <v>0</v>
      </c>
      <c r="S1102" s="19">
        <f t="shared" si="35"/>
        <v>0</v>
      </c>
    </row>
    <row r="1103" spans="1:19" x14ac:dyDescent="0.25">
      <c r="A1103" s="15" t="str">
        <f>'Bldgs &amp; Rooms'!$A$31</f>
        <v>Main Bldg.</v>
      </c>
      <c r="B1103" s="15">
        <f>'Bldgs &amp; Rooms'!$B$31</f>
        <v>0</v>
      </c>
      <c r="C1103" s="14" t="str">
        <f>Hours!$A$30</f>
        <v>Variable Frequency Drives (VFD) 51-200 HP</v>
      </c>
      <c r="D1103" s="15">
        <f t="shared" si="34"/>
        <v>0</v>
      </c>
      <c r="E1103" s="16"/>
      <c r="F1103" s="17"/>
      <c r="G1103" s="17"/>
      <c r="H1103" s="17"/>
      <c r="I1103" s="17"/>
      <c r="J1103" s="17"/>
      <c r="K1103" s="12"/>
      <c r="L1103" s="12"/>
      <c r="M1103" s="12"/>
      <c r="N1103" s="12"/>
      <c r="O1103" s="12"/>
      <c r="P1103" s="12"/>
      <c r="Q1103" s="17"/>
      <c r="R1103" s="18">
        <f>IF(SUMPRODUCT((E1103:Q1103)*1)=0,0,E1103*INDEX(Hours!M:M,MATCH(C1103,Hours!$A:$A,0))+F1103*INDEX(Hours!B:B,MATCH(C1103,Hours!$A:$A,0))+G1103*INDEX(Hours!C:C,MATCH(C1103,Hours!$A:$A,0))+H1103*INDEX(Hours!D:D,MATCH(C1103,Hours!$A:$A,0))+I1103*INDEX(Hours!E:E,MATCH(C1103,Hours!$A:$A,0))+J1103*INDEX(Hours!F:F,MATCH(C1103,Hours!$A:$A,0)))</f>
        <v>0</v>
      </c>
      <c r="S1103" s="19">
        <f t="shared" si="35"/>
        <v>0</v>
      </c>
    </row>
    <row r="1104" spans="1:19" x14ac:dyDescent="0.25">
      <c r="A1104" s="15" t="str">
        <f>'Bldgs &amp; Rooms'!$A$31</f>
        <v>Main Bldg.</v>
      </c>
      <c r="B1104" s="15">
        <f>'Bldgs &amp; Rooms'!$B$31</f>
        <v>0</v>
      </c>
      <c r="C1104" s="14" t="str">
        <f>Hours!$A$31</f>
        <v>Motors &lt; 50 HP</v>
      </c>
      <c r="D1104" s="15">
        <f t="shared" si="34"/>
        <v>0</v>
      </c>
      <c r="E1104" s="16"/>
      <c r="F1104" s="17"/>
      <c r="G1104" s="17"/>
      <c r="H1104" s="17"/>
      <c r="I1104" s="17"/>
      <c r="J1104" s="17"/>
      <c r="K1104" s="12"/>
      <c r="L1104" s="12"/>
      <c r="M1104" s="12"/>
      <c r="N1104" s="12"/>
      <c r="O1104" s="12"/>
      <c r="P1104" s="12"/>
      <c r="Q1104" s="17"/>
      <c r="R1104" s="18">
        <f>IF(SUMPRODUCT((E1104:Q1104)*1)=0,0,E1104*INDEX(Hours!M:M,MATCH(C1104,Hours!$A:$A,0))+F1104*INDEX(Hours!B:B,MATCH(C1104,Hours!$A:$A,0))+G1104*INDEX(Hours!C:C,MATCH(C1104,Hours!$A:$A,0))+H1104*INDEX(Hours!D:D,MATCH(C1104,Hours!$A:$A,0))+I1104*INDEX(Hours!E:E,MATCH(C1104,Hours!$A:$A,0))+J1104*INDEX(Hours!F:F,MATCH(C1104,Hours!$A:$A,0)))</f>
        <v>0</v>
      </c>
      <c r="S1104" s="19">
        <f t="shared" si="35"/>
        <v>0</v>
      </c>
    </row>
    <row r="1105" spans="1:19" x14ac:dyDescent="0.25">
      <c r="A1105" s="15" t="str">
        <f>'Bldgs &amp; Rooms'!$A$31</f>
        <v>Main Bldg.</v>
      </c>
      <c r="B1105" s="15">
        <f>'Bldgs &amp; Rooms'!$B$31</f>
        <v>0</v>
      </c>
      <c r="C1105" s="14" t="str">
        <f>Hours!$A$32</f>
        <v>Motors 51-200 HP</v>
      </c>
      <c r="D1105" s="15">
        <f t="shared" si="34"/>
        <v>0</v>
      </c>
      <c r="E1105" s="16"/>
      <c r="F1105" s="17"/>
      <c r="G1105" s="17"/>
      <c r="H1105" s="17"/>
      <c r="I1105" s="17"/>
      <c r="J1105" s="17"/>
      <c r="K1105" s="12"/>
      <c r="L1105" s="12"/>
      <c r="M1105" s="12"/>
      <c r="N1105" s="12"/>
      <c r="O1105" s="12"/>
      <c r="P1105" s="12"/>
      <c r="Q1105" s="17"/>
      <c r="R1105" s="18">
        <f>IF(SUMPRODUCT((E1105:Q1105)*1)=0,0,E1105*INDEX(Hours!M:M,MATCH(C1105,Hours!$A:$A,0))+F1105*INDEX(Hours!B:B,MATCH(C1105,Hours!$A:$A,0))+G1105*INDEX(Hours!C:C,MATCH(C1105,Hours!$A:$A,0))+H1105*INDEX(Hours!D:D,MATCH(C1105,Hours!$A:$A,0))+I1105*INDEX(Hours!E:E,MATCH(C1105,Hours!$A:$A,0))+J1105*INDEX(Hours!F:F,MATCH(C1105,Hours!$A:$A,0)))</f>
        <v>0</v>
      </c>
      <c r="S1105" s="19">
        <f t="shared" si="35"/>
        <v>0</v>
      </c>
    </row>
    <row r="1106" spans="1:19" x14ac:dyDescent="0.25">
      <c r="A1106" s="15" t="str">
        <f>'Bldgs &amp; Rooms'!$A$31</f>
        <v>Main Bldg.</v>
      </c>
      <c r="B1106" s="15">
        <f>'Bldgs &amp; Rooms'!$B$31</f>
        <v>0</v>
      </c>
      <c r="C1106" s="14" t="str">
        <f>Hours!$A$33</f>
        <v>Motors 201-500 HP</v>
      </c>
      <c r="D1106" s="15">
        <f t="shared" si="34"/>
        <v>0</v>
      </c>
      <c r="E1106" s="16"/>
      <c r="F1106" s="17"/>
      <c r="G1106" s="17"/>
      <c r="H1106" s="17"/>
      <c r="I1106" s="17"/>
      <c r="J1106" s="17"/>
      <c r="K1106" s="12"/>
      <c r="L1106" s="12"/>
      <c r="M1106" s="12"/>
      <c r="N1106" s="12"/>
      <c r="O1106" s="12"/>
      <c r="P1106" s="12"/>
      <c r="Q1106" s="17"/>
      <c r="R1106" s="18">
        <f>IF(SUMPRODUCT((E1106:Q1106)*1)=0,0,E1106*INDEX(Hours!M:M,MATCH(C1106,Hours!$A:$A,0))+F1106*INDEX(Hours!B:B,MATCH(C1106,Hours!$A:$A,0))+G1106*INDEX(Hours!C:C,MATCH(C1106,Hours!$A:$A,0))+H1106*INDEX(Hours!D:D,MATCH(C1106,Hours!$A:$A,0))+I1106*INDEX(Hours!E:E,MATCH(C1106,Hours!$A:$A,0))+J1106*INDEX(Hours!F:F,MATCH(C1106,Hours!$A:$A,0)))</f>
        <v>0</v>
      </c>
      <c r="S1106" s="19">
        <f t="shared" si="35"/>
        <v>0</v>
      </c>
    </row>
    <row r="1107" spans="1:19" x14ac:dyDescent="0.25">
      <c r="A1107" s="15" t="str">
        <f>'Bldgs &amp; Rooms'!$A$31</f>
        <v>Main Bldg.</v>
      </c>
      <c r="B1107" s="15">
        <f>'Bldgs &amp; Rooms'!$B$31</f>
        <v>0</v>
      </c>
      <c r="C1107" s="14" t="str">
        <f>Hours!$A$34</f>
        <v>Compressed Air Equipment</v>
      </c>
      <c r="D1107" s="15">
        <f t="shared" si="34"/>
        <v>0</v>
      </c>
      <c r="E1107" s="16"/>
      <c r="F1107" s="17"/>
      <c r="G1107" s="17"/>
      <c r="H1107" s="17"/>
      <c r="I1107" s="17"/>
      <c r="J1107" s="17"/>
      <c r="K1107" s="12"/>
      <c r="L1107" s="12"/>
      <c r="M1107" s="12"/>
      <c r="N1107" s="12"/>
      <c r="O1107" s="12"/>
      <c r="P1107" s="12"/>
      <c r="Q1107" s="17"/>
      <c r="R1107" s="18">
        <f>IF(SUMPRODUCT((E1107:Q1107)*1)=0,0,E1107*INDEX(Hours!M:M,MATCH(C1107,Hours!$A:$A,0))+F1107*INDEX(Hours!B:B,MATCH(C1107,Hours!$A:$A,0))+G1107*INDEX(Hours!C:C,MATCH(C1107,Hours!$A:$A,0))+H1107*INDEX(Hours!D:D,MATCH(C1107,Hours!$A:$A,0))+I1107*INDEX(Hours!E:E,MATCH(C1107,Hours!$A:$A,0))+J1107*INDEX(Hours!F:F,MATCH(C1107,Hours!$A:$A,0)))</f>
        <v>0</v>
      </c>
      <c r="S1107" s="19">
        <f t="shared" si="35"/>
        <v>0</v>
      </c>
    </row>
    <row r="1108" spans="1:19" x14ac:dyDescent="0.25">
      <c r="A1108" s="15" t="str">
        <f>'Bldgs &amp; Rooms'!$A$31</f>
        <v>Main Bldg.</v>
      </c>
      <c r="B1108" s="15">
        <f>'Bldgs &amp; Rooms'!$B$31</f>
        <v>0</v>
      </c>
      <c r="C1108" s="14" t="str">
        <f>Hours!$A$35</f>
        <v>HVAC Equipment (Large)</v>
      </c>
      <c r="D1108" s="15">
        <f t="shared" si="34"/>
        <v>0</v>
      </c>
      <c r="E1108" s="16"/>
      <c r="F1108" s="17"/>
      <c r="G1108" s="17"/>
      <c r="H1108" s="17"/>
      <c r="I1108" s="17"/>
      <c r="J1108" s="17"/>
      <c r="K1108" s="12"/>
      <c r="L1108" s="12"/>
      <c r="M1108" s="12"/>
      <c r="N1108" s="12"/>
      <c r="O1108" s="12"/>
      <c r="P1108" s="12"/>
      <c r="Q1108" s="17"/>
      <c r="R1108" s="18">
        <f>IF(SUMPRODUCT((E1108:Q1108)*1)=0,0,E1108*INDEX(Hours!M:M,MATCH(C1108,Hours!$A:$A,0))+F1108*INDEX(Hours!B:B,MATCH(C1108,Hours!$A:$A,0))+G1108*INDEX(Hours!C:C,MATCH(C1108,Hours!$A:$A,0))+H1108*INDEX(Hours!D:D,MATCH(C1108,Hours!$A:$A,0))+I1108*INDEX(Hours!E:E,MATCH(C1108,Hours!$A:$A,0))+J1108*INDEX(Hours!F:F,MATCH(C1108,Hours!$A:$A,0)))</f>
        <v>0</v>
      </c>
      <c r="S1108" s="19">
        <f t="shared" si="35"/>
        <v>0</v>
      </c>
    </row>
    <row r="1109" spans="1:19" x14ac:dyDescent="0.25">
      <c r="A1109" s="15" t="str">
        <f>'Bldgs &amp; Rooms'!$A$31</f>
        <v>Main Bldg.</v>
      </c>
      <c r="B1109" s="15">
        <f>'Bldgs &amp; Rooms'!$B$31</f>
        <v>0</v>
      </c>
      <c r="C1109" s="14" t="str">
        <f>Hours!$A$36</f>
        <v>HVAC Equipment (Small)</v>
      </c>
      <c r="D1109" s="15">
        <f t="shared" si="34"/>
        <v>0</v>
      </c>
      <c r="E1109" s="16"/>
      <c r="F1109" s="17"/>
      <c r="G1109" s="17"/>
      <c r="H1109" s="17"/>
      <c r="I1109" s="17"/>
      <c r="J1109" s="17"/>
      <c r="K1109" s="12"/>
      <c r="L1109" s="12"/>
      <c r="M1109" s="12"/>
      <c r="N1109" s="12"/>
      <c r="O1109" s="12"/>
      <c r="P1109" s="12"/>
      <c r="Q1109" s="17"/>
      <c r="R1109" s="18">
        <f>IF(SUMPRODUCT((E1109:Q1109)*1)=0,0,E1109*INDEX(Hours!M:M,MATCH(C1109,Hours!$A:$A,0))+F1109*INDEX(Hours!B:B,MATCH(C1109,Hours!$A:$A,0))+G1109*INDEX(Hours!C:C,MATCH(C1109,Hours!$A:$A,0))+H1109*INDEX(Hours!D:D,MATCH(C1109,Hours!$A:$A,0))+I1109*INDEX(Hours!E:E,MATCH(C1109,Hours!$A:$A,0))+J1109*INDEX(Hours!F:F,MATCH(C1109,Hours!$A:$A,0)))</f>
        <v>0</v>
      </c>
      <c r="S1109" s="19">
        <f t="shared" si="35"/>
        <v>0</v>
      </c>
    </row>
    <row r="1110" spans="1:19" x14ac:dyDescent="0.25">
      <c r="A1110" s="15" t="str">
        <f>'Bldgs &amp; Rooms'!$A$31</f>
        <v>Main Bldg.</v>
      </c>
      <c r="B1110" s="15">
        <f>'Bldgs &amp; Rooms'!$B$31</f>
        <v>0</v>
      </c>
      <c r="C1110" s="14" t="str">
        <f>Hours!$A$37</f>
        <v>Uninterruptible Power Supply (UPS) &lt; 50kVA</v>
      </c>
      <c r="D1110" s="15">
        <f t="shared" si="34"/>
        <v>0</v>
      </c>
      <c r="E1110" s="16"/>
      <c r="F1110" s="17"/>
      <c r="G1110" s="17"/>
      <c r="H1110" s="17"/>
      <c r="I1110" s="17"/>
      <c r="J1110" s="17"/>
      <c r="K1110" s="12"/>
      <c r="L1110" s="12"/>
      <c r="M1110" s="12"/>
      <c r="N1110" s="12"/>
      <c r="O1110" s="12"/>
      <c r="P1110" s="12"/>
      <c r="Q1110" s="17"/>
      <c r="R1110" s="18">
        <f>IF(SUMPRODUCT((E1110:Q1110)*1)=0,0,E1110*INDEX(Hours!M:M,MATCH(C1110,Hours!$A:$A,0))+F1110*INDEX(Hours!B:B,MATCH(C1110,Hours!$A:$A,0))+G1110*INDEX(Hours!C:C,MATCH(C1110,Hours!$A:$A,0))+H1110*INDEX(Hours!D:D,MATCH(C1110,Hours!$A:$A,0))+I1110*INDEX(Hours!E:E,MATCH(C1110,Hours!$A:$A,0))+J1110*INDEX(Hours!F:F,MATCH(C1110,Hours!$A:$A,0)))</f>
        <v>0</v>
      </c>
      <c r="S1110" s="19">
        <f t="shared" si="35"/>
        <v>0</v>
      </c>
    </row>
    <row r="1111" spans="1:19" x14ac:dyDescent="0.25">
      <c r="A1111" s="15" t="str">
        <f>'Bldgs &amp; Rooms'!$A$31</f>
        <v>Main Bldg.</v>
      </c>
      <c r="B1111" s="15">
        <f>'Bldgs &amp; Rooms'!$B$31</f>
        <v>0</v>
      </c>
      <c r="C1111" s="14" t="str">
        <f>Hours!$A$38</f>
        <v>Uninterruptible Power Supply (UPS) &gt; 50kVA</v>
      </c>
      <c r="D1111" s="15">
        <f t="shared" si="34"/>
        <v>0</v>
      </c>
      <c r="E1111" s="16"/>
      <c r="F1111" s="17"/>
      <c r="G1111" s="17"/>
      <c r="H1111" s="17"/>
      <c r="I1111" s="17"/>
      <c r="J1111" s="17"/>
      <c r="K1111" s="12"/>
      <c r="L1111" s="12"/>
      <c r="M1111" s="12"/>
      <c r="N1111" s="12"/>
      <c r="O1111" s="12"/>
      <c r="P1111" s="12"/>
      <c r="Q1111" s="17"/>
      <c r="R1111" s="18">
        <f>IF(SUMPRODUCT((E1111:Q1111)*1)=0,0,E1111*INDEX(Hours!M:M,MATCH(C1111,Hours!$A:$A,0))+F1111*INDEX(Hours!B:B,MATCH(C1111,Hours!$A:$A,0))+G1111*INDEX(Hours!C:C,MATCH(C1111,Hours!$A:$A,0))+H1111*INDEX(Hours!D:D,MATCH(C1111,Hours!$A:$A,0))+I1111*INDEX(Hours!E:E,MATCH(C1111,Hours!$A:$A,0))+J1111*INDEX(Hours!F:F,MATCH(C1111,Hours!$A:$A,0)))</f>
        <v>0</v>
      </c>
      <c r="S1111" s="19">
        <f t="shared" si="35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11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2" sqref="H2"/>
    </sheetView>
  </sheetViews>
  <sheetFormatPr defaultColWidth="8.7109375" defaultRowHeight="15" x14ac:dyDescent="0.25"/>
  <cols>
    <col min="1" max="2" width="14" customWidth="1"/>
    <col min="3" max="3" width="52" customWidth="1"/>
    <col min="4" max="4" width="14" customWidth="1"/>
    <col min="5" max="6" width="12" customWidth="1"/>
    <col min="7" max="7" width="16" customWidth="1"/>
    <col min="8" max="8" width="10" customWidth="1"/>
    <col min="9" max="9" width="12" customWidth="1"/>
    <col min="10" max="10" width="16" customWidth="1"/>
    <col min="11" max="11" width="12" customWidth="1"/>
    <col min="12" max="12" width="13" customWidth="1"/>
    <col min="13" max="13" width="14" customWidth="1"/>
    <col min="14" max="14" width="16" customWidth="1"/>
    <col min="15" max="16" width="12" customWidth="1"/>
    <col min="17" max="17" width="10" customWidth="1"/>
    <col min="18" max="18" width="14" customWidth="1"/>
    <col min="19" max="19" width="16" customWidth="1"/>
  </cols>
  <sheetData>
    <row r="1" spans="1:19" ht="45" customHeight="1" x14ac:dyDescent="0.25">
      <c r="A1" s="8" t="s">
        <v>52</v>
      </c>
      <c r="B1" s="8" t="s">
        <v>53</v>
      </c>
      <c r="C1" s="8" t="s">
        <v>2</v>
      </c>
      <c r="D1" s="8" t="s">
        <v>54</v>
      </c>
      <c r="E1" s="9" t="s">
        <v>14</v>
      </c>
      <c r="F1" s="8" t="s">
        <v>3</v>
      </c>
      <c r="G1" s="8" t="s">
        <v>55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56</v>
      </c>
      <c r="R1" s="8" t="s">
        <v>57</v>
      </c>
      <c r="S1" s="8" t="s">
        <v>58</v>
      </c>
    </row>
    <row r="2" spans="1:19" x14ac:dyDescent="0.25">
      <c r="A2" s="11" t="str">
        <f>'Bldgs &amp; Rooms'!$A$2</f>
        <v>Main Bldg.</v>
      </c>
      <c r="B2" s="11">
        <f>'Bldgs &amp; Rooms'!$B$2</f>
        <v>0</v>
      </c>
      <c r="C2" s="10" t="str">
        <f>Hours!$A$2</f>
        <v>Switchgear - Incoming Main Service (Per Section)</v>
      </c>
      <c r="D2" s="11">
        <f t="shared" ref="D2:D65" si="0">MAX(E2+F2,G2,H2,I2,J2,K2,L2,M2,N2,O2,P2,Q2)</f>
        <v>0</v>
      </c>
      <c r="E2" s="16">
        <f>IF('Components Yr 1'!E2=0,0,'Components Yr 1'!E2)</f>
        <v>0</v>
      </c>
      <c r="F2" s="17">
        <f>IF('Components Yr 1'!F2=0,0,'Components Yr 1'!F2)</f>
        <v>0</v>
      </c>
      <c r="G2" s="17">
        <f>IF('Components Yr 1'!G2=0,0,'Components Yr 1'!G2)</f>
        <v>0</v>
      </c>
      <c r="H2" s="17">
        <f>IF('Components Yr 1'!H2=0,0,'Components Yr 1'!H2)</f>
        <v>0</v>
      </c>
      <c r="I2" s="17">
        <f>IF('Components Yr 1'!I2=0,0,'Components Yr 1'!I2)</f>
        <v>0</v>
      </c>
      <c r="J2" s="17">
        <f>IF('Components Yr 1'!J2=0,0,'Components Yr 1'!J2)</f>
        <v>0</v>
      </c>
      <c r="K2" s="17">
        <f>IF('Components Yr 1'!K2=0,0,'Components Yr 1'!K2)</f>
        <v>0</v>
      </c>
      <c r="L2" s="17">
        <f>IF('Components Yr 1'!L2=0,0,'Components Yr 1'!L2)</f>
        <v>0</v>
      </c>
      <c r="M2" s="12"/>
      <c r="N2" s="12"/>
      <c r="O2" s="17">
        <f>IF('Components Yr 1'!O2=0,0,'Components Yr 1'!O2)</f>
        <v>0</v>
      </c>
      <c r="P2" s="12"/>
      <c r="Q2" s="17"/>
      <c r="R2" s="18">
        <f>IF(SUMPRODUCT((E2:Q2)*1)=0,0,E2*INDEX(Hours!M:M,MATCH(C2,Hours!$A:$A,0))+F2*INDEX(Hours!B:B,MATCH(C2,Hours!$A:$A,0))+G2*INDEX(Hours!C:C,MATCH(C2,Hours!$A:$A,0))+H2*INDEX(Hours!D:D,MATCH(C2,Hours!$A:$A,0))+I2*INDEX(Hours!E:E,MATCH(C2,Hours!$A:$A,0))+J2*INDEX(Hours!F:F,MATCH(C2,Hours!$A:$A,0))+K2*INDEX(Hours!G:G,MATCH(C2,Hours!$A:$A,0))+L2*INDEX(Hours!H:H,MATCH(C2,Hours!$A:$A,0))+O2*INDEX(Hours!K:K,MATCH(C2,Hours!$A:$A,0)))</f>
        <v>0</v>
      </c>
      <c r="S2" s="19">
        <f t="shared" ref="S2:S65" si="1">MAX(E2+F2,G2,H2,I2,J2,K2,L2,M2,N2,O2,P2,Q2)</f>
        <v>0</v>
      </c>
    </row>
    <row r="3" spans="1:19" x14ac:dyDescent="0.25">
      <c r="A3" s="11" t="str">
        <f>'Bldgs &amp; Rooms'!$A$2</f>
        <v>Main Bldg.</v>
      </c>
      <c r="B3" s="11">
        <f>'Bldgs &amp; Rooms'!$B$2</f>
        <v>0</v>
      </c>
      <c r="C3" s="10" t="str">
        <f>Hours!$A$3</f>
        <v xml:space="preserve">  Switchgear Insulated Case Breakers (Bus Mounted)</v>
      </c>
      <c r="D3" s="11">
        <f t="shared" si="0"/>
        <v>0</v>
      </c>
      <c r="E3" s="16">
        <f>IF('Components Yr 1'!E3=0,0,'Components Yr 1'!E3)</f>
        <v>0</v>
      </c>
      <c r="F3" s="17">
        <f>IF('Components Yr 1'!F3=0,0,'Components Yr 1'!F3)</f>
        <v>0</v>
      </c>
      <c r="G3" s="17">
        <f>IF('Components Yr 1'!G3=0,0,'Components Yr 1'!G3)</f>
        <v>0</v>
      </c>
      <c r="H3" s="17">
        <f>IF('Components Yr 1'!H3=0,0,'Components Yr 1'!H3)</f>
        <v>0</v>
      </c>
      <c r="I3" s="17">
        <f>IF('Components Yr 1'!I3=0,0,'Components Yr 1'!I3)</f>
        <v>0</v>
      </c>
      <c r="J3" s="17">
        <f>IF('Components Yr 1'!J3=0,0,'Components Yr 1'!J3)</f>
        <v>0</v>
      </c>
      <c r="K3" s="17">
        <f>IF('Components Yr 1'!K3=0,0,'Components Yr 1'!K3)</f>
        <v>0</v>
      </c>
      <c r="L3" s="12"/>
      <c r="M3" s="12"/>
      <c r="N3" s="12"/>
      <c r="O3" s="12"/>
      <c r="P3" s="12"/>
      <c r="Q3" s="17"/>
      <c r="R3" s="18">
        <f>IF(SUMPRODUCT((E3:Q3)*1)=0,0,E3*INDEX(Hours!M:M,MATCH(C3,Hours!$A:$A,0))+F3*INDEX(Hours!B:B,MATCH(C3,Hours!$A:$A,0))+G3*INDEX(Hours!C:C,MATCH(C3,Hours!$A:$A,0))+H3*INDEX(Hours!D:D,MATCH(C3,Hours!$A:$A,0))+I3*INDEX(Hours!E:E,MATCH(C3,Hours!$A:$A,0))+J3*INDEX(Hours!F:F,MATCH(C3,Hours!$A:$A,0))+K3*INDEX(Hours!G:G,MATCH(C3,Hours!$A:$A,0)))</f>
        <v>0</v>
      </c>
      <c r="S3" s="19">
        <f t="shared" si="1"/>
        <v>0</v>
      </c>
    </row>
    <row r="4" spans="1:19" x14ac:dyDescent="0.25">
      <c r="A4" s="11" t="str">
        <f>'Bldgs &amp; Rooms'!$A$2</f>
        <v>Main Bldg.</v>
      </c>
      <c r="B4" s="11">
        <f>'Bldgs &amp; Rooms'!$B$2</f>
        <v>0</v>
      </c>
      <c r="C4" s="10" t="str">
        <f>Hours!$A$4</f>
        <v xml:space="preserve">  SwitchGear Drawout Breakers</v>
      </c>
      <c r="D4" s="11">
        <f t="shared" si="0"/>
        <v>0</v>
      </c>
      <c r="E4" s="16">
        <f>IF('Components Yr 1'!E4=0,0,'Components Yr 1'!E4)</f>
        <v>0</v>
      </c>
      <c r="F4" s="17">
        <f>IF('Components Yr 1'!F4=0,0,'Components Yr 1'!F4)</f>
        <v>0</v>
      </c>
      <c r="G4" s="17">
        <f>IF('Components Yr 1'!G4=0,0,'Components Yr 1'!G4)</f>
        <v>0</v>
      </c>
      <c r="H4" s="17">
        <f>IF('Components Yr 1'!H4=0,0,'Components Yr 1'!H4)</f>
        <v>0</v>
      </c>
      <c r="I4" s="17">
        <f>IF('Components Yr 1'!I4=0,0,'Components Yr 1'!I4)</f>
        <v>0</v>
      </c>
      <c r="J4" s="17">
        <f>IF('Components Yr 1'!J4=0,0,'Components Yr 1'!J4)</f>
        <v>0</v>
      </c>
      <c r="K4" s="12"/>
      <c r="L4" s="17">
        <f>IF('Components Yr 1'!L4=0,0,'Components Yr 1'!L4)</f>
        <v>0</v>
      </c>
      <c r="M4" s="12"/>
      <c r="N4" s="12"/>
      <c r="O4" s="12"/>
      <c r="P4" s="12"/>
      <c r="Q4" s="17"/>
      <c r="R4" s="18">
        <f>IF(SUMPRODUCT((E4:Q4)*1)=0,0,E4*INDEX(Hours!M:M,MATCH(C4,Hours!$A:$A,0))+F4*INDEX(Hours!B:B,MATCH(C4,Hours!$A:$A,0))+G4*INDEX(Hours!C:C,MATCH(C4,Hours!$A:$A,0))+H4*INDEX(Hours!D:D,MATCH(C4,Hours!$A:$A,0))+I4*INDEX(Hours!E:E,MATCH(C4,Hours!$A:$A,0))+J4*INDEX(Hours!F:F,MATCH(C4,Hours!$A:$A,0))+L4*INDEX(Hours!H:H,MATCH(C4,Hours!$A:$A,0)))</f>
        <v>0</v>
      </c>
      <c r="S4" s="19">
        <f t="shared" si="1"/>
        <v>0</v>
      </c>
    </row>
    <row r="5" spans="1:19" x14ac:dyDescent="0.25">
      <c r="A5" s="11" t="str">
        <f>'Bldgs &amp; Rooms'!$A$2</f>
        <v>Main Bldg.</v>
      </c>
      <c r="B5" s="11">
        <f>'Bldgs &amp; Rooms'!$B$2</f>
        <v>0</v>
      </c>
      <c r="C5" s="10" t="str">
        <f>Hours!$A$5</f>
        <v>Distribution Switchboard Multi Cover (Per Section)</v>
      </c>
      <c r="D5" s="11">
        <f t="shared" si="0"/>
        <v>0</v>
      </c>
      <c r="E5" s="16">
        <f>IF('Components Yr 1'!E5=0,0,'Components Yr 1'!E5)</f>
        <v>0</v>
      </c>
      <c r="F5" s="17">
        <f>IF('Components Yr 1'!F5=0,0,'Components Yr 1'!F5)</f>
        <v>0</v>
      </c>
      <c r="G5" s="17">
        <f>IF('Components Yr 1'!G5=0,0,'Components Yr 1'!G5)</f>
        <v>0</v>
      </c>
      <c r="H5" s="17">
        <f>IF('Components Yr 1'!H5=0,0,'Components Yr 1'!H5)</f>
        <v>0</v>
      </c>
      <c r="I5" s="17">
        <f>IF('Components Yr 1'!I5=0,0,'Components Yr 1'!I5)</f>
        <v>0</v>
      </c>
      <c r="J5" s="17">
        <f>IF('Components Yr 1'!J5=0,0,'Components Yr 1'!J5)</f>
        <v>0</v>
      </c>
      <c r="K5" s="17">
        <f>IF('Components Yr 1'!K5=0,0,'Components Yr 1'!K5)</f>
        <v>0</v>
      </c>
      <c r="L5" s="12"/>
      <c r="M5" s="12"/>
      <c r="N5" s="12"/>
      <c r="O5" s="17">
        <f>IF('Components Yr 1'!O5=0,0,'Components Yr 1'!O5)</f>
        <v>0</v>
      </c>
      <c r="P5" s="12"/>
      <c r="Q5" s="17"/>
      <c r="R5" s="18">
        <f>IF(SUMPRODUCT((E5:Q5)*1)=0,0,E5*INDEX(Hours!M:M,MATCH(C5,Hours!$A:$A,0))+F5*INDEX(Hours!B:B,MATCH(C5,Hours!$A:$A,0))+G5*INDEX(Hours!C:C,MATCH(C5,Hours!$A:$A,0))+H5*INDEX(Hours!D:D,MATCH(C5,Hours!$A:$A,0))+I5*INDEX(Hours!E:E,MATCH(C5,Hours!$A:$A,0))+J5*INDEX(Hours!F:F,MATCH(C5,Hours!$A:$A,0))+K5*INDEX(Hours!G:G,MATCH(C5,Hours!$A:$A,0))+O5*INDEX(Hours!K:K,MATCH(C5,Hours!$A:$A,0)))</f>
        <v>0</v>
      </c>
      <c r="S5" s="19">
        <f t="shared" si="1"/>
        <v>0</v>
      </c>
    </row>
    <row r="6" spans="1:19" x14ac:dyDescent="0.25">
      <c r="A6" s="11" t="str">
        <f>'Bldgs &amp; Rooms'!$A$2</f>
        <v>Main Bldg.</v>
      </c>
      <c r="B6" s="11">
        <f>'Bldgs &amp; Rooms'!$B$2</f>
        <v>0</v>
      </c>
      <c r="C6" s="10" t="str">
        <f>Hours!$A$6</f>
        <v xml:space="preserve">  Switchboard Disconnects</v>
      </c>
      <c r="D6" s="11">
        <f t="shared" si="0"/>
        <v>0</v>
      </c>
      <c r="E6" s="16">
        <f>IF('Components Yr 1'!E6=0,0,'Components Yr 1'!E6)</f>
        <v>0</v>
      </c>
      <c r="F6" s="17">
        <f>IF('Components Yr 1'!F6=0,0,'Components Yr 1'!F6)</f>
        <v>0</v>
      </c>
      <c r="G6" s="17">
        <f>IF('Components Yr 1'!G6=0,0,'Components Yr 1'!G6)</f>
        <v>0</v>
      </c>
      <c r="H6" s="17">
        <f>IF('Components Yr 1'!H6=0,0,'Components Yr 1'!H6)</f>
        <v>0</v>
      </c>
      <c r="I6" s="17">
        <f>IF('Components Yr 1'!I6=0,0,'Components Yr 1'!I6)</f>
        <v>0</v>
      </c>
      <c r="J6" s="17">
        <f>IF('Components Yr 1'!J6=0,0,'Components Yr 1'!J6)</f>
        <v>0</v>
      </c>
      <c r="K6" s="12"/>
      <c r="L6" s="12"/>
      <c r="M6" s="12"/>
      <c r="N6" s="12"/>
      <c r="O6" s="12"/>
      <c r="P6" s="12"/>
      <c r="Q6" s="17"/>
      <c r="R6" s="18">
        <f>IF(SUMPRODUCT((E6:Q6)*1)=0,0,E6*INDEX(Hours!M:M,MATCH(C6,Hours!$A:$A,0))+F6*INDEX(Hours!B:B,MATCH(C6,Hours!$A:$A,0))+G6*INDEX(Hours!C:C,MATCH(C6,Hours!$A:$A,0))+H6*INDEX(Hours!D:D,MATCH(C6,Hours!$A:$A,0))+I6*INDEX(Hours!E:E,MATCH(C6,Hours!$A:$A,0))+J6*INDEX(Hours!F:F,MATCH(C6,Hours!$A:$A,0)))</f>
        <v>0</v>
      </c>
      <c r="S6" s="19">
        <f t="shared" si="1"/>
        <v>0</v>
      </c>
    </row>
    <row r="7" spans="1:19" x14ac:dyDescent="0.25">
      <c r="A7" s="11" t="str">
        <f>'Bldgs &amp; Rooms'!$A$2</f>
        <v>Main Bldg.</v>
      </c>
      <c r="B7" s="11">
        <f>'Bldgs &amp; Rooms'!$B$2</f>
        <v>0</v>
      </c>
      <c r="C7" s="10" t="str">
        <f>Hours!$A$7</f>
        <v xml:space="preserve">  Switchboard Molded Case Breakers</v>
      </c>
      <c r="D7" s="11">
        <f t="shared" si="0"/>
        <v>0</v>
      </c>
      <c r="E7" s="16">
        <f>IF('Components Yr 1'!E7=0,0,'Components Yr 1'!E7)</f>
        <v>0</v>
      </c>
      <c r="F7" s="17">
        <f>IF('Components Yr 1'!F7=0,0,'Components Yr 1'!F7)</f>
        <v>0</v>
      </c>
      <c r="G7" s="17">
        <f>IF('Components Yr 1'!G7=0,0,'Components Yr 1'!G7)</f>
        <v>0</v>
      </c>
      <c r="H7" s="17">
        <f>IF('Components Yr 1'!H7=0,0,'Components Yr 1'!H7)</f>
        <v>0</v>
      </c>
      <c r="I7" s="17">
        <f>IF('Components Yr 1'!I7=0,0,'Components Yr 1'!I7)</f>
        <v>0</v>
      </c>
      <c r="J7" s="17">
        <f>IF('Components Yr 1'!J7=0,0,'Components Yr 1'!J7)</f>
        <v>0</v>
      </c>
      <c r="K7" s="17">
        <f>IF('Components Yr 1'!K7=0,0,'Components Yr 1'!K7)</f>
        <v>0</v>
      </c>
      <c r="L7" s="12"/>
      <c r="M7" s="12"/>
      <c r="N7" s="12"/>
      <c r="O7" s="12"/>
      <c r="P7" s="12"/>
      <c r="Q7" s="17"/>
      <c r="R7" s="18">
        <f>IF(SUMPRODUCT((E7:Q7)*1)=0,0,E7*INDEX(Hours!M:M,MATCH(C7,Hours!$A:$A,0))+F7*INDEX(Hours!B:B,MATCH(C7,Hours!$A:$A,0))+G7*INDEX(Hours!C:C,MATCH(C7,Hours!$A:$A,0))+H7*INDEX(Hours!D:D,MATCH(C7,Hours!$A:$A,0))+I7*INDEX(Hours!E:E,MATCH(C7,Hours!$A:$A,0))+J7*INDEX(Hours!F:F,MATCH(C7,Hours!$A:$A,0))+K7*INDEX(Hours!G:G,MATCH(C7,Hours!$A:$A,0)))</f>
        <v>0</v>
      </c>
      <c r="S7" s="19">
        <f t="shared" si="1"/>
        <v>0</v>
      </c>
    </row>
    <row r="8" spans="1:19" x14ac:dyDescent="0.25">
      <c r="A8" s="11" t="str">
        <f>'Bldgs &amp; Rooms'!$A$2</f>
        <v>Main Bldg.</v>
      </c>
      <c r="B8" s="11">
        <f>'Bldgs &amp; Rooms'!$B$2</f>
        <v>0</v>
      </c>
      <c r="C8" s="10" t="str">
        <f>Hours!$A$8</f>
        <v>Panelboard-Single Cover &gt; 400A (Distribution Panel)</v>
      </c>
      <c r="D8" s="11">
        <f t="shared" si="0"/>
        <v>0</v>
      </c>
      <c r="E8" s="16">
        <f>IF('Components Yr 1'!E8=0,0,'Components Yr 1'!E8)</f>
        <v>0</v>
      </c>
      <c r="F8" s="17">
        <f>IF('Components Yr 1'!F8=0,0,'Components Yr 1'!F8)</f>
        <v>0</v>
      </c>
      <c r="G8" s="17">
        <f>IF('Components Yr 1'!G8=0,0,'Components Yr 1'!G8)</f>
        <v>0</v>
      </c>
      <c r="H8" s="17">
        <f>IF('Components Yr 1'!H8=0,0,'Components Yr 1'!H8)</f>
        <v>0</v>
      </c>
      <c r="I8" s="17">
        <f>IF('Components Yr 1'!I8=0,0,'Components Yr 1'!I8)</f>
        <v>0</v>
      </c>
      <c r="J8" s="17">
        <f>IF('Components Yr 1'!J8=0,0,'Components Yr 1'!J8)</f>
        <v>0</v>
      </c>
      <c r="K8" s="17">
        <f>IF('Components Yr 1'!K8=0,0,'Components Yr 1'!K8)</f>
        <v>0</v>
      </c>
      <c r="L8" s="12"/>
      <c r="M8" s="12"/>
      <c r="N8" s="12"/>
      <c r="O8" s="17">
        <f>IF('Components Yr 1'!O8=0,0,'Components Yr 1'!O8)</f>
        <v>0</v>
      </c>
      <c r="P8" s="12"/>
      <c r="Q8" s="17"/>
      <c r="R8" s="18">
        <f>IF(SUMPRODUCT((E8:Q8)*1)=0,0,E8*INDEX(Hours!M:M,MATCH(C8,Hours!$A:$A,0))+F8*INDEX(Hours!B:B,MATCH(C8,Hours!$A:$A,0))+G8*INDEX(Hours!C:C,MATCH(C8,Hours!$A:$A,0))+H8*INDEX(Hours!D:D,MATCH(C8,Hours!$A:$A,0))+I8*INDEX(Hours!E:E,MATCH(C8,Hours!$A:$A,0))+J8*INDEX(Hours!F:F,MATCH(C8,Hours!$A:$A,0))+K8*INDEX(Hours!G:G,MATCH(C8,Hours!$A:$A,0))+O8*INDEX(Hours!K:K,MATCH(C8,Hours!$A:$A,0)))</f>
        <v>0</v>
      </c>
      <c r="S8" s="19">
        <f t="shared" si="1"/>
        <v>0</v>
      </c>
    </row>
    <row r="9" spans="1:19" x14ac:dyDescent="0.25">
      <c r="A9" s="11" t="str">
        <f>'Bldgs &amp; Rooms'!$A$2</f>
        <v>Main Bldg.</v>
      </c>
      <c r="B9" s="11">
        <f>'Bldgs &amp; Rooms'!$B$2</f>
        <v>0</v>
      </c>
      <c r="C9" s="10" t="str">
        <f>Hours!$A$9</f>
        <v>Panelboard-Single Cover &lt; 400A (Branch Ckt Panel)</v>
      </c>
      <c r="D9" s="11">
        <f t="shared" si="0"/>
        <v>0</v>
      </c>
      <c r="E9" s="16">
        <f>IF('Components Yr 1'!E9=0,0,'Components Yr 1'!E9)</f>
        <v>0</v>
      </c>
      <c r="F9" s="17">
        <f>IF('Components Yr 1'!F9=0,0,'Components Yr 1'!F9)</f>
        <v>0</v>
      </c>
      <c r="G9" s="17">
        <f>IF('Components Yr 1'!G9=0,0,'Components Yr 1'!G9)</f>
        <v>0</v>
      </c>
      <c r="H9" s="17">
        <f>IF('Components Yr 1'!H9=0,0,'Components Yr 1'!H9)</f>
        <v>0</v>
      </c>
      <c r="I9" s="17">
        <f>IF('Components Yr 1'!I9=0,0,'Components Yr 1'!I9)</f>
        <v>0</v>
      </c>
      <c r="J9" s="17">
        <f>IF('Components Yr 1'!J9=0,0,'Components Yr 1'!J9)</f>
        <v>0</v>
      </c>
      <c r="K9" s="12"/>
      <c r="L9" s="12"/>
      <c r="M9" s="12"/>
      <c r="N9" s="12"/>
      <c r="O9" s="17">
        <f>IF('Components Yr 1'!O9=0,0,'Components Yr 1'!O9)</f>
        <v>0</v>
      </c>
      <c r="P9" s="12"/>
      <c r="Q9" s="17"/>
      <c r="R9" s="18">
        <f>IF(SUMPRODUCT((E9:Q9)*1)=0,0,E9*INDEX(Hours!M:M,MATCH(C9,Hours!$A:$A,0))+F9*INDEX(Hours!B:B,MATCH(C9,Hours!$A:$A,0))+G9*INDEX(Hours!C:C,MATCH(C9,Hours!$A:$A,0))+H9*INDEX(Hours!D:D,MATCH(C9,Hours!$A:$A,0))+I9*INDEX(Hours!E:E,MATCH(C9,Hours!$A:$A,0))+J9*INDEX(Hours!F:F,MATCH(C9,Hours!$A:$A,0))+O9*INDEX(Hours!K:K,MATCH(C9,Hours!$A:$A,0)))</f>
        <v>0</v>
      </c>
      <c r="S9" s="19">
        <f t="shared" si="1"/>
        <v>0</v>
      </c>
    </row>
    <row r="10" spans="1:19" x14ac:dyDescent="0.25">
      <c r="A10" s="11" t="str">
        <f>'Bldgs &amp; Rooms'!$A$2</f>
        <v>Main Bldg.</v>
      </c>
      <c r="B10" s="11">
        <f>'Bldgs &amp; Rooms'!$B$2</f>
        <v>0</v>
      </c>
      <c r="C10" s="10" t="str">
        <f>Hours!$A$10</f>
        <v>Motor Control Center (MCC-Per Vertical Section)</v>
      </c>
      <c r="D10" s="11">
        <f t="shared" si="0"/>
        <v>0</v>
      </c>
      <c r="E10" s="16">
        <f>IF('Components Yr 1'!E10=0,0,'Components Yr 1'!E10)</f>
        <v>0</v>
      </c>
      <c r="F10" s="17">
        <f>IF('Components Yr 1'!F10=0,0,'Components Yr 1'!F10)</f>
        <v>0</v>
      </c>
      <c r="G10" s="17">
        <f>IF('Components Yr 1'!G10=0,0,'Components Yr 1'!G10)</f>
        <v>0</v>
      </c>
      <c r="H10" s="17">
        <f>IF('Components Yr 1'!H10=0,0,'Components Yr 1'!H10)</f>
        <v>0</v>
      </c>
      <c r="I10" s="17">
        <f>IF('Components Yr 1'!I10=0,0,'Components Yr 1'!I10)</f>
        <v>0</v>
      </c>
      <c r="J10" s="17">
        <f>IF('Components Yr 1'!J10=0,0,'Components Yr 1'!J10)</f>
        <v>0</v>
      </c>
      <c r="K10" s="12"/>
      <c r="L10" s="12"/>
      <c r="M10" s="12"/>
      <c r="N10" s="12"/>
      <c r="O10" s="17">
        <f>IF('Components Yr 1'!O10=0,0,'Components Yr 1'!O10)</f>
        <v>0</v>
      </c>
      <c r="P10" s="12"/>
      <c r="Q10" s="17"/>
      <c r="R10" s="18">
        <f>IF(SUMPRODUCT((E10:Q10)*1)=0,0,E10*INDEX(Hours!M:M,MATCH(C10,Hours!$A:$A,0))+F10*INDEX(Hours!B:B,MATCH(C10,Hours!$A:$A,0))+G10*INDEX(Hours!C:C,MATCH(C10,Hours!$A:$A,0))+H10*INDEX(Hours!D:D,MATCH(C10,Hours!$A:$A,0))+I10*INDEX(Hours!E:E,MATCH(C10,Hours!$A:$A,0))+J10*INDEX(Hours!F:F,MATCH(C10,Hours!$A:$A,0))+O10*INDEX(Hours!K:K,MATCH(C10,Hours!$A:$A,0)))</f>
        <v>0</v>
      </c>
      <c r="S10" s="19">
        <f t="shared" si="1"/>
        <v>0</v>
      </c>
    </row>
    <row r="11" spans="1:19" x14ac:dyDescent="0.25">
      <c r="A11" s="11" t="str">
        <f>'Bldgs &amp; Rooms'!$A$2</f>
        <v>Main Bldg.</v>
      </c>
      <c r="B11" s="11">
        <f>'Bldgs &amp; Rooms'!$B$2</f>
        <v>0</v>
      </c>
      <c r="C11" s="10" t="str">
        <f>Hours!$A$11</f>
        <v xml:space="preserve">  MCC: Combination Motor Starters</v>
      </c>
      <c r="D11" s="11">
        <f t="shared" si="0"/>
        <v>0</v>
      </c>
      <c r="E11" s="16">
        <f>IF('Components Yr 1'!E11=0,0,'Components Yr 1'!E11)</f>
        <v>0</v>
      </c>
      <c r="F11" s="17">
        <f>IF('Components Yr 1'!F11=0,0,'Components Yr 1'!F11)</f>
        <v>0</v>
      </c>
      <c r="G11" s="17">
        <f>IF('Components Yr 1'!G11=0,0,'Components Yr 1'!G11)</f>
        <v>0</v>
      </c>
      <c r="H11" s="17">
        <f>IF('Components Yr 1'!H11=0,0,'Components Yr 1'!H11)</f>
        <v>0</v>
      </c>
      <c r="I11" s="17">
        <f>IF('Components Yr 1'!I11=0,0,'Components Yr 1'!I11)</f>
        <v>0</v>
      </c>
      <c r="J11" s="17">
        <f>IF('Components Yr 1'!J11=0,0,'Components Yr 1'!J11)</f>
        <v>0</v>
      </c>
      <c r="K11" s="17">
        <f>IF('Components Yr 1'!K11=0,0,'Components Yr 1'!K11)</f>
        <v>0</v>
      </c>
      <c r="L11" s="12"/>
      <c r="M11" s="12"/>
      <c r="N11" s="12"/>
      <c r="O11" s="17">
        <f>IF('Components Yr 1'!O11=0,0,'Components Yr 1'!O11)</f>
        <v>0</v>
      </c>
      <c r="P11" s="12"/>
      <c r="Q11" s="17"/>
      <c r="R11" s="18">
        <f>IF(SUMPRODUCT((E11:Q11)*1)=0,0,E11*INDEX(Hours!M:M,MATCH(C11,Hours!$A:$A,0))+F11*INDEX(Hours!B:B,MATCH(C11,Hours!$A:$A,0))+G11*INDEX(Hours!C:C,MATCH(C11,Hours!$A:$A,0))+H11*INDEX(Hours!D:D,MATCH(C11,Hours!$A:$A,0))+I11*INDEX(Hours!E:E,MATCH(C11,Hours!$A:$A,0))+J11*INDEX(Hours!F:F,MATCH(C11,Hours!$A:$A,0))+K11*INDEX(Hours!G:G,MATCH(C11,Hours!$A:$A,0))+O11*INDEX(Hours!K:K,MATCH(C11,Hours!$A:$A,0)))</f>
        <v>0</v>
      </c>
      <c r="S11" s="19">
        <f t="shared" si="1"/>
        <v>0</v>
      </c>
    </row>
    <row r="12" spans="1:19" x14ac:dyDescent="0.25">
      <c r="A12" s="11" t="str">
        <f>'Bldgs &amp; Rooms'!$A$2</f>
        <v>Main Bldg.</v>
      </c>
      <c r="B12" s="11">
        <f>'Bldgs &amp; Rooms'!$B$2</f>
        <v>0</v>
      </c>
      <c r="C12" s="10" t="str">
        <f>Hours!$A$12</f>
        <v xml:space="preserve">  MCC: Molded Case Breaker</v>
      </c>
      <c r="D12" s="11">
        <f t="shared" si="0"/>
        <v>0</v>
      </c>
      <c r="E12" s="16">
        <f>IF('Components Yr 1'!E12=0,0,'Components Yr 1'!E12)</f>
        <v>0</v>
      </c>
      <c r="F12" s="17">
        <f>IF('Components Yr 1'!F12=0,0,'Components Yr 1'!F12)</f>
        <v>0</v>
      </c>
      <c r="G12" s="17">
        <f>IF('Components Yr 1'!G12=0,0,'Components Yr 1'!G12)</f>
        <v>0</v>
      </c>
      <c r="H12" s="17">
        <f>IF('Components Yr 1'!H12=0,0,'Components Yr 1'!H12)</f>
        <v>0</v>
      </c>
      <c r="I12" s="17">
        <f>IF('Components Yr 1'!I12=0,0,'Components Yr 1'!I12)</f>
        <v>0</v>
      </c>
      <c r="J12" s="17">
        <f>IF('Components Yr 1'!J12=0,0,'Components Yr 1'!J12)</f>
        <v>0</v>
      </c>
      <c r="K12" s="17">
        <f>IF('Components Yr 1'!K12=0,0,'Components Yr 1'!K12)</f>
        <v>0</v>
      </c>
      <c r="L12" s="12"/>
      <c r="M12" s="12"/>
      <c r="N12" s="12"/>
      <c r="O12" s="12"/>
      <c r="P12" s="12"/>
      <c r="Q12" s="17"/>
      <c r="R12" s="18">
        <f>IF(SUMPRODUCT((E12:Q12)*1)=0,0,E12*INDEX(Hours!M:M,MATCH(C12,Hours!$A:$A,0))+F12*INDEX(Hours!B:B,MATCH(C12,Hours!$A:$A,0))+G12*INDEX(Hours!C:C,MATCH(C12,Hours!$A:$A,0))+H12*INDEX(Hours!D:D,MATCH(C12,Hours!$A:$A,0))+I12*INDEX(Hours!E:E,MATCH(C12,Hours!$A:$A,0))+J12*INDEX(Hours!F:F,MATCH(C12,Hours!$A:$A,0))+K12*INDEX(Hours!G:G,MATCH(C12,Hours!$A:$A,0)))</f>
        <v>0</v>
      </c>
      <c r="S12" s="19">
        <f t="shared" si="1"/>
        <v>0</v>
      </c>
    </row>
    <row r="13" spans="1:19" x14ac:dyDescent="0.25">
      <c r="A13" s="11" t="str">
        <f>'Bldgs &amp; Rooms'!$A$2</f>
        <v>Main Bldg.</v>
      </c>
      <c r="B13" s="11">
        <f>'Bldgs &amp; Rooms'!$B$2</f>
        <v>0</v>
      </c>
      <c r="C13" s="10" t="str">
        <f>Hours!$A$13</f>
        <v xml:space="preserve">  MCC: Individual Disconnect Switch</v>
      </c>
      <c r="D13" s="11">
        <f t="shared" si="0"/>
        <v>0</v>
      </c>
      <c r="E13" s="16">
        <f>IF('Components Yr 1'!E13=0,0,'Components Yr 1'!E13)</f>
        <v>0</v>
      </c>
      <c r="F13" s="17">
        <f>IF('Components Yr 1'!F13=0,0,'Components Yr 1'!F13)</f>
        <v>0</v>
      </c>
      <c r="G13" s="17">
        <f>IF('Components Yr 1'!G13=0,0,'Components Yr 1'!G13)</f>
        <v>0</v>
      </c>
      <c r="H13" s="17">
        <f>IF('Components Yr 1'!H13=0,0,'Components Yr 1'!H13)</f>
        <v>0</v>
      </c>
      <c r="I13" s="17">
        <f>IF('Components Yr 1'!I13=0,0,'Components Yr 1'!I13)</f>
        <v>0</v>
      </c>
      <c r="J13" s="17">
        <f>IF('Components Yr 1'!J13=0,0,'Components Yr 1'!J13)</f>
        <v>0</v>
      </c>
      <c r="K13" s="12"/>
      <c r="L13" s="12"/>
      <c r="M13" s="12"/>
      <c r="N13" s="12"/>
      <c r="O13" s="12"/>
      <c r="P13" s="12"/>
      <c r="Q13" s="17"/>
      <c r="R13" s="18">
        <f>IF(SUMPRODUCT((E13:Q13)*1)=0,0,E13*INDEX(Hours!M:M,MATCH(C13,Hours!$A:$A,0))+F13*INDEX(Hours!B:B,MATCH(C13,Hours!$A:$A,0))+G13*INDEX(Hours!C:C,MATCH(C13,Hours!$A:$A,0))+H13*INDEX(Hours!D:D,MATCH(C13,Hours!$A:$A,0))+I13*INDEX(Hours!E:E,MATCH(C13,Hours!$A:$A,0))+J13*INDEX(Hours!F:F,MATCH(C13,Hours!$A:$A,0)))</f>
        <v>0</v>
      </c>
      <c r="S13" s="19">
        <f t="shared" si="1"/>
        <v>0</v>
      </c>
    </row>
    <row r="14" spans="1:19" x14ac:dyDescent="0.25">
      <c r="A14" s="11" t="str">
        <f>'Bldgs &amp; Rooms'!$A$2</f>
        <v>Main Bldg.</v>
      </c>
      <c r="B14" s="11">
        <f>'Bldgs &amp; Rooms'!$B$2</f>
        <v>0</v>
      </c>
      <c r="C14" s="10" t="str">
        <f>Hours!$A$14</f>
        <v>Motor Control Panel (MCP)</v>
      </c>
      <c r="D14" s="11">
        <f t="shared" si="0"/>
        <v>0</v>
      </c>
      <c r="E14" s="16">
        <f>IF('Components Yr 1'!E14=0,0,'Components Yr 1'!E14)</f>
        <v>0</v>
      </c>
      <c r="F14" s="17">
        <f>IF('Components Yr 1'!F14=0,0,'Components Yr 1'!F14)</f>
        <v>0</v>
      </c>
      <c r="G14" s="17">
        <f>IF('Components Yr 1'!G14=0,0,'Components Yr 1'!G14)</f>
        <v>0</v>
      </c>
      <c r="H14" s="17">
        <f>IF('Components Yr 1'!H14=0,0,'Components Yr 1'!H14)</f>
        <v>0</v>
      </c>
      <c r="I14" s="17">
        <f>IF('Components Yr 1'!I14=0,0,'Components Yr 1'!I14)</f>
        <v>0</v>
      </c>
      <c r="J14" s="17">
        <f>IF('Components Yr 1'!J14=0,0,'Components Yr 1'!J14)</f>
        <v>0</v>
      </c>
      <c r="K14" s="12"/>
      <c r="L14" s="12"/>
      <c r="M14" s="12"/>
      <c r="N14" s="12"/>
      <c r="O14" s="17">
        <f>IF('Components Yr 1'!O14=0,0,'Components Yr 1'!O14)</f>
        <v>0</v>
      </c>
      <c r="P14" s="12"/>
      <c r="Q14" s="17"/>
      <c r="R14" s="18">
        <f>IF(SUMPRODUCT((E14:Q14)*1)=0,0,E14*INDEX(Hours!M:M,MATCH(C14,Hours!$A:$A,0))+F14*INDEX(Hours!B:B,MATCH(C14,Hours!$A:$A,0))+G14*INDEX(Hours!C:C,MATCH(C14,Hours!$A:$A,0))+H14*INDEX(Hours!D:D,MATCH(C14,Hours!$A:$A,0))+I14*INDEX(Hours!E:E,MATCH(C14,Hours!$A:$A,0))+J14*INDEX(Hours!F:F,MATCH(C14,Hours!$A:$A,0))+O14*INDEX(Hours!K:K,MATCH(C14,Hours!$A:$A,0)))</f>
        <v>0</v>
      </c>
      <c r="S14" s="19">
        <f t="shared" si="1"/>
        <v>0</v>
      </c>
    </row>
    <row r="15" spans="1:19" x14ac:dyDescent="0.25">
      <c r="A15" s="11" t="str">
        <f>'Bldgs &amp; Rooms'!$A$2</f>
        <v>Main Bldg.</v>
      </c>
      <c r="B15" s="11">
        <f>'Bldgs &amp; Rooms'!$B$2</f>
        <v>0</v>
      </c>
      <c r="C15" s="10" t="str">
        <f>Hours!$A$15</f>
        <v>VFD Motor Control Panel (VFD-MCP)</v>
      </c>
      <c r="D15" s="11">
        <f t="shared" si="0"/>
        <v>0</v>
      </c>
      <c r="E15" s="16">
        <f>IF('Components Yr 1'!E15=0,0,'Components Yr 1'!E15)</f>
        <v>0</v>
      </c>
      <c r="F15" s="17">
        <f>IF('Components Yr 1'!F15=0,0,'Components Yr 1'!F15)</f>
        <v>0</v>
      </c>
      <c r="G15" s="17">
        <f>IF('Components Yr 1'!G15=0,0,'Components Yr 1'!G15)</f>
        <v>0</v>
      </c>
      <c r="H15" s="17">
        <f>IF('Components Yr 1'!H15=0,0,'Components Yr 1'!H15)</f>
        <v>0</v>
      </c>
      <c r="I15" s="17">
        <f>IF('Components Yr 1'!I15=0,0,'Components Yr 1'!I15)</f>
        <v>0</v>
      </c>
      <c r="J15" s="17">
        <f>IF('Components Yr 1'!J15=0,0,'Components Yr 1'!J15)</f>
        <v>0</v>
      </c>
      <c r="K15" s="12"/>
      <c r="L15" s="12"/>
      <c r="M15" s="12"/>
      <c r="N15" s="12"/>
      <c r="O15" s="17">
        <f>IF('Components Yr 1'!O15=0,0,'Components Yr 1'!O15)</f>
        <v>0</v>
      </c>
      <c r="P15" s="12"/>
      <c r="Q15" s="17"/>
      <c r="R15" s="18">
        <f>IF(SUMPRODUCT((E15:Q15)*1)=0,0,E15*INDEX(Hours!M:M,MATCH(C15,Hours!$A:$A,0))+F15*INDEX(Hours!B:B,MATCH(C15,Hours!$A:$A,0))+G15*INDEX(Hours!C:C,MATCH(C15,Hours!$A:$A,0))+H15*INDEX(Hours!D:D,MATCH(C15,Hours!$A:$A,0))+I15*INDEX(Hours!E:E,MATCH(C15,Hours!$A:$A,0))+J15*INDEX(Hours!F:F,MATCH(C15,Hours!$A:$A,0))+O15*INDEX(Hours!K:K,MATCH(C15,Hours!$A:$A,0)))</f>
        <v>0</v>
      </c>
      <c r="S15" s="19">
        <f t="shared" si="1"/>
        <v>0</v>
      </c>
    </row>
    <row r="16" spans="1:19" x14ac:dyDescent="0.25">
      <c r="A16" s="11" t="str">
        <f>'Bldgs &amp; Rooms'!$A$2</f>
        <v>Main Bldg.</v>
      </c>
      <c r="B16" s="11">
        <f>'Bldgs &amp; Rooms'!$B$2</f>
        <v>0</v>
      </c>
      <c r="C16" s="10" t="str">
        <f>Hours!$A$16</f>
        <v>Individual Disconnect Switch &gt; 100A</v>
      </c>
      <c r="D16" s="11">
        <f t="shared" si="0"/>
        <v>0</v>
      </c>
      <c r="E16" s="16">
        <f>IF('Components Yr 1'!E16=0,0,'Components Yr 1'!E16)</f>
        <v>0</v>
      </c>
      <c r="F16" s="17">
        <f>IF('Components Yr 1'!F16=0,0,'Components Yr 1'!F16)</f>
        <v>0</v>
      </c>
      <c r="G16" s="17">
        <f>IF('Components Yr 1'!G16=0,0,'Components Yr 1'!G16)</f>
        <v>0</v>
      </c>
      <c r="H16" s="17">
        <f>IF('Components Yr 1'!H16=0,0,'Components Yr 1'!H16)</f>
        <v>0</v>
      </c>
      <c r="I16" s="17">
        <f>IF('Components Yr 1'!I16=0,0,'Components Yr 1'!I16)</f>
        <v>0</v>
      </c>
      <c r="J16" s="17">
        <f>IF('Components Yr 1'!J16=0,0,'Components Yr 1'!J16)</f>
        <v>0</v>
      </c>
      <c r="K16" s="17">
        <f>IF('Components Yr 1'!K16=0,0,'Components Yr 1'!K16)</f>
        <v>0</v>
      </c>
      <c r="L16" s="12"/>
      <c r="M16" s="12"/>
      <c r="N16" s="12"/>
      <c r="O16" s="12"/>
      <c r="P16" s="12"/>
      <c r="Q16" s="17"/>
      <c r="R16" s="18">
        <f>IF(SUMPRODUCT((E16:Q16)*1)=0,0,E16*INDEX(Hours!M:M,MATCH(C16,Hours!$A:$A,0))+F16*INDEX(Hours!B:B,MATCH(C16,Hours!$A:$A,0))+G16*INDEX(Hours!C:C,MATCH(C16,Hours!$A:$A,0))+H16*INDEX(Hours!D:D,MATCH(C16,Hours!$A:$A,0))+I16*INDEX(Hours!E:E,MATCH(C16,Hours!$A:$A,0))+J16*INDEX(Hours!F:F,MATCH(C16,Hours!$A:$A,0))+K16*INDEX(Hours!G:G,MATCH(C16,Hours!$A:$A,0)))</f>
        <v>0</v>
      </c>
      <c r="S16" s="19">
        <f t="shared" si="1"/>
        <v>0</v>
      </c>
    </row>
    <row r="17" spans="1:19" x14ac:dyDescent="0.25">
      <c r="A17" s="11" t="str">
        <f>'Bldgs &amp; Rooms'!$A$2</f>
        <v>Main Bldg.</v>
      </c>
      <c r="B17" s="11">
        <f>'Bldgs &amp; Rooms'!$B$2</f>
        <v>0</v>
      </c>
      <c r="C17" s="10" t="str">
        <f>Hours!$A$17</f>
        <v>Individual Molded Case Breaker &gt; 100A</v>
      </c>
      <c r="D17" s="11">
        <f t="shared" si="0"/>
        <v>0</v>
      </c>
      <c r="E17" s="16">
        <f>IF('Components Yr 1'!E17=0,0,'Components Yr 1'!E17)</f>
        <v>0</v>
      </c>
      <c r="F17" s="17">
        <f>IF('Components Yr 1'!F17=0,0,'Components Yr 1'!F17)</f>
        <v>0</v>
      </c>
      <c r="G17" s="17">
        <f>IF('Components Yr 1'!G17=0,0,'Components Yr 1'!G17)</f>
        <v>0</v>
      </c>
      <c r="H17" s="17">
        <f>IF('Components Yr 1'!H17=0,0,'Components Yr 1'!H17)</f>
        <v>0</v>
      </c>
      <c r="I17" s="17">
        <f>IF('Components Yr 1'!I17=0,0,'Components Yr 1'!I17)</f>
        <v>0</v>
      </c>
      <c r="J17" s="17">
        <f>IF('Components Yr 1'!J17=0,0,'Components Yr 1'!J17)</f>
        <v>0</v>
      </c>
      <c r="K17" s="17">
        <f>IF('Components Yr 1'!K17=0,0,'Components Yr 1'!K17)</f>
        <v>0</v>
      </c>
      <c r="L17" s="12"/>
      <c r="M17" s="12"/>
      <c r="N17" s="12"/>
      <c r="O17" s="12"/>
      <c r="P17" s="12"/>
      <c r="Q17" s="17"/>
      <c r="R17" s="18">
        <f>IF(SUMPRODUCT((E17:Q17)*1)=0,0,E17*INDEX(Hours!M:M,MATCH(C17,Hours!$A:$A,0))+F17*INDEX(Hours!B:B,MATCH(C17,Hours!$A:$A,0))+G17*INDEX(Hours!C:C,MATCH(C17,Hours!$A:$A,0))+H17*INDEX(Hours!D:D,MATCH(C17,Hours!$A:$A,0))+I17*INDEX(Hours!E:E,MATCH(C17,Hours!$A:$A,0))+J17*INDEX(Hours!F:F,MATCH(C17,Hours!$A:$A,0))+K17*INDEX(Hours!G:G,MATCH(C17,Hours!$A:$A,0)))</f>
        <v>0</v>
      </c>
      <c r="S17" s="19">
        <f t="shared" si="1"/>
        <v>0</v>
      </c>
    </row>
    <row r="18" spans="1:19" x14ac:dyDescent="0.25">
      <c r="A18" s="11" t="str">
        <f>'Bldgs &amp; Rooms'!$A$2</f>
        <v>Main Bldg.</v>
      </c>
      <c r="B18" s="11">
        <f>'Bldgs &amp; Rooms'!$B$2</f>
        <v>0</v>
      </c>
      <c r="C18" s="10" t="str">
        <f>Hours!$A$18</f>
        <v>Individual Combination Motor Starter &gt; 100A</v>
      </c>
      <c r="D18" s="11">
        <f t="shared" si="0"/>
        <v>0</v>
      </c>
      <c r="E18" s="16">
        <f>IF('Components Yr 1'!E18=0,0,'Components Yr 1'!E18)</f>
        <v>0</v>
      </c>
      <c r="F18" s="17">
        <f>IF('Components Yr 1'!F18=0,0,'Components Yr 1'!F18)</f>
        <v>0</v>
      </c>
      <c r="G18" s="17">
        <f>IF('Components Yr 1'!G18=0,0,'Components Yr 1'!G18)</f>
        <v>0</v>
      </c>
      <c r="H18" s="17">
        <f>IF('Components Yr 1'!H18=0,0,'Components Yr 1'!H18)</f>
        <v>0</v>
      </c>
      <c r="I18" s="17">
        <f>IF('Components Yr 1'!I18=0,0,'Components Yr 1'!I18)</f>
        <v>0</v>
      </c>
      <c r="J18" s="17">
        <f>IF('Components Yr 1'!J18=0,0,'Components Yr 1'!J18)</f>
        <v>0</v>
      </c>
      <c r="K18" s="17">
        <f>IF('Components Yr 1'!K18=0,0,'Components Yr 1'!K18)</f>
        <v>0</v>
      </c>
      <c r="L18" s="12"/>
      <c r="M18" s="12"/>
      <c r="N18" s="12"/>
      <c r="O18" s="12"/>
      <c r="P18" s="12"/>
      <c r="Q18" s="17"/>
      <c r="R18" s="18">
        <f>IF(SUMPRODUCT((E18:Q18)*1)=0,0,E18*INDEX(Hours!M:M,MATCH(C18,Hours!$A:$A,0))+F18*INDEX(Hours!B:B,MATCH(C18,Hours!$A:$A,0))+G18*INDEX(Hours!C:C,MATCH(C18,Hours!$A:$A,0))+H18*INDEX(Hours!D:D,MATCH(C18,Hours!$A:$A,0))+I18*INDEX(Hours!E:E,MATCH(C18,Hours!$A:$A,0))+J18*INDEX(Hours!F:F,MATCH(C18,Hours!$A:$A,0))+K18*INDEX(Hours!G:G,MATCH(C18,Hours!$A:$A,0)))</f>
        <v>0</v>
      </c>
      <c r="S18" s="19">
        <f t="shared" si="1"/>
        <v>0</v>
      </c>
    </row>
    <row r="19" spans="1:19" x14ac:dyDescent="0.25">
      <c r="A19" s="11" t="str">
        <f>'Bldgs &amp; Rooms'!$A$2</f>
        <v>Main Bldg.</v>
      </c>
      <c r="B19" s="11">
        <f>'Bldgs &amp; Rooms'!$B$2</f>
        <v>0</v>
      </c>
      <c r="C19" s="10" t="str">
        <f>Hours!$A$19</f>
        <v>Oil Filled Transformer - 5kV-15kV Primary - Any Size (Pad Mounted)</v>
      </c>
      <c r="D19" s="11">
        <f t="shared" si="0"/>
        <v>0</v>
      </c>
      <c r="E19" s="16">
        <f>IF('Components Yr 1'!E19=0,0,'Components Yr 1'!E19)</f>
        <v>0</v>
      </c>
      <c r="F19" s="17">
        <f>IF('Components Yr 1'!F19=0,0,'Components Yr 1'!F19)</f>
        <v>0</v>
      </c>
      <c r="G19" s="17">
        <f>IF('Components Yr 1'!G19=0,0,'Components Yr 1'!G19)</f>
        <v>0</v>
      </c>
      <c r="H19" s="17">
        <f>IF('Components Yr 1'!H19=0,0,'Components Yr 1'!H19)</f>
        <v>0</v>
      </c>
      <c r="I19" s="17">
        <f>IF('Components Yr 1'!I19=0,0,'Components Yr 1'!I19)</f>
        <v>0</v>
      </c>
      <c r="J19" s="17">
        <f>IF('Components Yr 1'!J19=0,0,'Components Yr 1'!J19)</f>
        <v>0</v>
      </c>
      <c r="K19" s="12"/>
      <c r="L19" s="12"/>
      <c r="M19" s="17">
        <f>IF('Components Yr 1'!M19=0,0,'Components Yr 1'!M19)</f>
        <v>0</v>
      </c>
      <c r="N19" s="17">
        <f>IF('Components Yr 1'!N19=0,0,'Components Yr 1'!N19)</f>
        <v>0</v>
      </c>
      <c r="O19" s="12"/>
      <c r="P19" s="17">
        <f>IF('Components Yr 1'!P19=0,0,'Components Yr 1'!P19)</f>
        <v>0</v>
      </c>
      <c r="Q19" s="17"/>
      <c r="R19" s="18">
        <f>IF(SUMPRODUCT((E19:Q19)*1)=0,0,E19*INDEX(Hours!M:M,MATCH(C19,Hours!$A:$A,0))+F19*INDEX(Hours!B:B,MATCH(C19,Hours!$A:$A,0))+G19*INDEX(Hours!C:C,MATCH(C19,Hours!$A:$A,0))+H19*INDEX(Hours!D:D,MATCH(C19,Hours!$A:$A,0))+I19*INDEX(Hours!E:E,MATCH(C19,Hours!$A:$A,0))+J19*INDEX(Hours!F:F,MATCH(C19,Hours!$A:$A,0))+M19*INDEX(Hours!I:I,MATCH(C19,Hours!$A:$A,0))+N19*INDEX(Hours!J:J,MATCH(C19,Hours!$A:$A,0))+P19*INDEX(Hours!L:L,MATCH(C19,Hours!$A:$A,0)))</f>
        <v>0</v>
      </c>
      <c r="S19" s="19">
        <f t="shared" si="1"/>
        <v>0</v>
      </c>
    </row>
    <row r="20" spans="1:19" x14ac:dyDescent="0.25">
      <c r="A20" s="11" t="str">
        <f>'Bldgs &amp; Rooms'!$A$2</f>
        <v>Main Bldg.</v>
      </c>
      <c r="B20" s="11">
        <f>'Bldgs &amp; Rooms'!$B$2</f>
        <v>0</v>
      </c>
      <c r="C20" s="10" t="str">
        <f>Hours!$A$20</f>
        <v>Oil Filled Transformer - &gt; 15kV Primary (Substation Class)</v>
      </c>
      <c r="D20" s="11">
        <f t="shared" si="0"/>
        <v>0</v>
      </c>
      <c r="E20" s="16">
        <f>IF('Components Yr 1'!E20=0,0,'Components Yr 1'!E20)</f>
        <v>0</v>
      </c>
      <c r="F20" s="17">
        <f>IF('Components Yr 1'!F20=0,0,'Components Yr 1'!F20)</f>
        <v>0</v>
      </c>
      <c r="G20" s="17">
        <f>IF('Components Yr 1'!G20=0,0,'Components Yr 1'!G20)</f>
        <v>0</v>
      </c>
      <c r="H20" s="17">
        <f>IF('Components Yr 1'!H20=0,0,'Components Yr 1'!H20)</f>
        <v>0</v>
      </c>
      <c r="I20" s="17">
        <f>IF('Components Yr 1'!I20=0,0,'Components Yr 1'!I20)</f>
        <v>0</v>
      </c>
      <c r="J20" s="17">
        <f>IF('Components Yr 1'!J20=0,0,'Components Yr 1'!J20)</f>
        <v>0</v>
      </c>
      <c r="K20" s="12"/>
      <c r="L20" s="12"/>
      <c r="M20" s="17">
        <f>IF('Components Yr 1'!M20=0,0,'Components Yr 1'!M20)</f>
        <v>0</v>
      </c>
      <c r="N20" s="17">
        <f>IF('Components Yr 1'!N20=0,0,'Components Yr 1'!N20)</f>
        <v>0</v>
      </c>
      <c r="O20" s="12"/>
      <c r="P20" s="17">
        <f>IF('Components Yr 1'!P20=0,0,'Components Yr 1'!P20)</f>
        <v>0</v>
      </c>
      <c r="Q20" s="17"/>
      <c r="R20" s="18">
        <f>IF(SUMPRODUCT((E20:Q20)*1)=0,0,E20*INDEX(Hours!M:M,MATCH(C20,Hours!$A:$A,0))+F20*INDEX(Hours!B:B,MATCH(C20,Hours!$A:$A,0))+G20*INDEX(Hours!C:C,MATCH(C20,Hours!$A:$A,0))+H20*INDEX(Hours!D:D,MATCH(C20,Hours!$A:$A,0))+I20*INDEX(Hours!E:E,MATCH(C20,Hours!$A:$A,0))+J20*INDEX(Hours!F:F,MATCH(C20,Hours!$A:$A,0))+M20*INDEX(Hours!I:I,MATCH(C20,Hours!$A:$A,0))+N20*INDEX(Hours!J:J,MATCH(C20,Hours!$A:$A,0))+P20*INDEX(Hours!L:L,MATCH(C20,Hours!$A:$A,0)))</f>
        <v>0</v>
      </c>
      <c r="S20" s="19">
        <f t="shared" si="1"/>
        <v>0</v>
      </c>
    </row>
    <row r="21" spans="1:19" x14ac:dyDescent="0.25">
      <c r="A21" s="11" t="str">
        <f>'Bldgs &amp; Rooms'!$A$2</f>
        <v>Main Bldg.</v>
      </c>
      <c r="B21" s="11">
        <f>'Bldgs &amp; Rooms'!$B$2</f>
        <v>0</v>
      </c>
      <c r="C21" s="10" t="str">
        <f>Hours!$A$21</f>
        <v>Dry Type Transformer - &lt; 480V Primary - Any Size kVA</v>
      </c>
      <c r="D21" s="11">
        <f t="shared" si="0"/>
        <v>0</v>
      </c>
      <c r="E21" s="16">
        <f>IF('Components Yr 1'!E21=0,0,'Components Yr 1'!E21)</f>
        <v>0</v>
      </c>
      <c r="F21" s="17">
        <f>IF('Components Yr 1'!F21=0,0,'Components Yr 1'!F21)</f>
        <v>0</v>
      </c>
      <c r="G21" s="17">
        <f>IF('Components Yr 1'!G21=0,0,'Components Yr 1'!G21)</f>
        <v>0</v>
      </c>
      <c r="H21" s="17">
        <f>IF('Components Yr 1'!H21=0,0,'Components Yr 1'!H21)</f>
        <v>0</v>
      </c>
      <c r="I21" s="17">
        <f>IF('Components Yr 1'!I21=0,0,'Components Yr 1'!I21)</f>
        <v>0</v>
      </c>
      <c r="J21" s="17">
        <f>IF('Components Yr 1'!J21=0,0,'Components Yr 1'!J21)</f>
        <v>0</v>
      </c>
      <c r="K21" s="12"/>
      <c r="L21" s="12"/>
      <c r="M21" s="17">
        <f>IF('Components Yr 1'!M21=0,0,'Components Yr 1'!M21)</f>
        <v>0</v>
      </c>
      <c r="N21" s="17">
        <f>IF('Components Yr 1'!N21=0,0,'Components Yr 1'!N21)</f>
        <v>0</v>
      </c>
      <c r="O21" s="12"/>
      <c r="P21" s="12"/>
      <c r="Q21" s="17"/>
      <c r="R21" s="18">
        <f>IF(SUMPRODUCT((E21:Q21)*1)=0,0,E21*INDEX(Hours!M:M,MATCH(C21,Hours!$A:$A,0))+F21*INDEX(Hours!B:B,MATCH(C21,Hours!$A:$A,0))+G21*INDEX(Hours!C:C,MATCH(C21,Hours!$A:$A,0))+H21*INDEX(Hours!D:D,MATCH(C21,Hours!$A:$A,0))+I21*INDEX(Hours!E:E,MATCH(C21,Hours!$A:$A,0))+J21*INDEX(Hours!F:F,MATCH(C21,Hours!$A:$A,0))+M21*INDEX(Hours!I:I,MATCH(C21,Hours!$A:$A,0))+N21*INDEX(Hours!J:J,MATCH(C21,Hours!$A:$A,0)))</f>
        <v>0</v>
      </c>
      <c r="S21" s="19">
        <f t="shared" si="1"/>
        <v>0</v>
      </c>
    </row>
    <row r="22" spans="1:19" x14ac:dyDescent="0.25">
      <c r="A22" s="11" t="str">
        <f>'Bldgs &amp; Rooms'!$A$2</f>
        <v>Main Bldg.</v>
      </c>
      <c r="B22" s="11">
        <f>'Bldgs &amp; Rooms'!$B$2</f>
        <v>0</v>
      </c>
      <c r="C22" s="10" t="str">
        <f>Hours!$A$22</f>
        <v>Power Factor Correction Capacitors</v>
      </c>
      <c r="D22" s="11">
        <f t="shared" si="0"/>
        <v>0</v>
      </c>
      <c r="E22" s="16">
        <f>IF('Components Yr 1'!E22=0,0,'Components Yr 1'!E22)</f>
        <v>0</v>
      </c>
      <c r="F22" s="17">
        <f>IF('Components Yr 1'!F22=0,0,'Components Yr 1'!F22)</f>
        <v>0</v>
      </c>
      <c r="G22" s="17">
        <f>IF('Components Yr 1'!G22=0,0,'Components Yr 1'!G22)</f>
        <v>0</v>
      </c>
      <c r="H22" s="17">
        <f>IF('Components Yr 1'!H22=0,0,'Components Yr 1'!H22)</f>
        <v>0</v>
      </c>
      <c r="I22" s="17">
        <f>IF('Components Yr 1'!I22=0,0,'Components Yr 1'!I22)</f>
        <v>0</v>
      </c>
      <c r="J22" s="17">
        <f>IF('Components Yr 1'!J22=0,0,'Components Yr 1'!J22)</f>
        <v>0</v>
      </c>
      <c r="K22" s="12"/>
      <c r="L22" s="12"/>
      <c r="M22" s="12"/>
      <c r="N22" s="12"/>
      <c r="O22" s="12"/>
      <c r="P22" s="12"/>
      <c r="Q22" s="17"/>
      <c r="R22" s="18">
        <f>IF(SUMPRODUCT((E22:Q22)*1)=0,0,E22*INDEX(Hours!M:M,MATCH(C22,Hours!$A:$A,0))+F22*INDEX(Hours!B:B,MATCH(C22,Hours!$A:$A,0))+G22*INDEX(Hours!C:C,MATCH(C22,Hours!$A:$A,0))+H22*INDEX(Hours!D:D,MATCH(C22,Hours!$A:$A,0))+I22*INDEX(Hours!E:E,MATCH(C22,Hours!$A:$A,0))+J22*INDEX(Hours!F:F,MATCH(C22,Hours!$A:$A,0)))</f>
        <v>0</v>
      </c>
      <c r="S22" s="19">
        <f t="shared" si="1"/>
        <v>0</v>
      </c>
    </row>
    <row r="23" spans="1:19" x14ac:dyDescent="0.25">
      <c r="A23" s="11" t="str">
        <f>'Bldgs &amp; Rooms'!$A$2</f>
        <v>Main Bldg.</v>
      </c>
      <c r="B23" s="11">
        <f>'Bldgs &amp; Rooms'!$B$2</f>
        <v>0</v>
      </c>
      <c r="C23" s="10" t="str">
        <f>Hours!$A$23</f>
        <v>Lighting Contactor &gt; 100A</v>
      </c>
      <c r="D23" s="11">
        <f t="shared" si="0"/>
        <v>0</v>
      </c>
      <c r="E23" s="16">
        <f>IF('Components Yr 1'!E23=0,0,'Components Yr 1'!E23)</f>
        <v>0</v>
      </c>
      <c r="F23" s="17">
        <f>IF('Components Yr 1'!F23=0,0,'Components Yr 1'!F23)</f>
        <v>0</v>
      </c>
      <c r="G23" s="17">
        <f>IF('Components Yr 1'!G23=0,0,'Components Yr 1'!G23)</f>
        <v>0</v>
      </c>
      <c r="H23" s="17">
        <f>IF('Components Yr 1'!H23=0,0,'Components Yr 1'!H23)</f>
        <v>0</v>
      </c>
      <c r="I23" s="17">
        <f>IF('Components Yr 1'!I23=0,0,'Components Yr 1'!I23)</f>
        <v>0</v>
      </c>
      <c r="J23" s="17">
        <f>IF('Components Yr 1'!J23=0,0,'Components Yr 1'!J23)</f>
        <v>0</v>
      </c>
      <c r="K23" s="12"/>
      <c r="L23" s="12"/>
      <c r="M23" s="12"/>
      <c r="N23" s="12"/>
      <c r="O23" s="12"/>
      <c r="P23" s="12"/>
      <c r="Q23" s="17"/>
      <c r="R23" s="18">
        <f>IF(SUMPRODUCT((E23:Q23)*1)=0,0,E23*INDEX(Hours!M:M,MATCH(C23,Hours!$A:$A,0))+F23*INDEX(Hours!B:B,MATCH(C23,Hours!$A:$A,0))+G23*INDEX(Hours!C:C,MATCH(C23,Hours!$A:$A,0))+H23*INDEX(Hours!D:D,MATCH(C23,Hours!$A:$A,0))+I23*INDEX(Hours!E:E,MATCH(C23,Hours!$A:$A,0))+J23*INDEX(Hours!F:F,MATCH(C23,Hours!$A:$A,0)))</f>
        <v>0</v>
      </c>
      <c r="S23" s="19">
        <f t="shared" si="1"/>
        <v>0</v>
      </c>
    </row>
    <row r="24" spans="1:19" x14ac:dyDescent="0.25">
      <c r="A24" s="11" t="str">
        <f>'Bldgs &amp; Rooms'!$A$2</f>
        <v>Main Bldg.</v>
      </c>
      <c r="B24" s="11">
        <f>'Bldgs &amp; Rooms'!$B$2</f>
        <v>0</v>
      </c>
      <c r="C24" s="10" t="str">
        <f>Hours!$A$24</f>
        <v>Power Distribution Unit (PDU)</v>
      </c>
      <c r="D24" s="11">
        <f t="shared" si="0"/>
        <v>0</v>
      </c>
      <c r="E24" s="16">
        <f>IF('Components Yr 1'!E24=0,0,'Components Yr 1'!E24)</f>
        <v>0</v>
      </c>
      <c r="F24" s="17">
        <f>IF('Components Yr 1'!F24=0,0,'Components Yr 1'!F24)</f>
        <v>0</v>
      </c>
      <c r="G24" s="17">
        <f>IF('Components Yr 1'!G24=0,0,'Components Yr 1'!G24)</f>
        <v>0</v>
      </c>
      <c r="H24" s="17">
        <f>IF('Components Yr 1'!H24=0,0,'Components Yr 1'!H24)</f>
        <v>0</v>
      </c>
      <c r="I24" s="17">
        <f>IF('Components Yr 1'!I24=0,0,'Components Yr 1'!I24)</f>
        <v>0</v>
      </c>
      <c r="J24" s="17">
        <f>IF('Components Yr 1'!J24=0,0,'Components Yr 1'!J24)</f>
        <v>0</v>
      </c>
      <c r="K24" s="12"/>
      <c r="L24" s="12"/>
      <c r="M24" s="12"/>
      <c r="N24" s="12"/>
      <c r="O24" s="12"/>
      <c r="P24" s="12"/>
      <c r="Q24" s="17"/>
      <c r="R24" s="18">
        <f>IF(SUMPRODUCT((E24:Q24)*1)=0,0,E24*INDEX(Hours!M:M,MATCH(C24,Hours!$A:$A,0))+F24*INDEX(Hours!B:B,MATCH(C24,Hours!$A:$A,0))+G24*INDEX(Hours!C:C,MATCH(C24,Hours!$A:$A,0))+H24*INDEX(Hours!D:D,MATCH(C24,Hours!$A:$A,0))+I24*INDEX(Hours!E:E,MATCH(C24,Hours!$A:$A,0))+J24*INDEX(Hours!F:F,MATCH(C24,Hours!$A:$A,0)))</f>
        <v>0</v>
      </c>
      <c r="S24" s="19">
        <f t="shared" si="1"/>
        <v>0</v>
      </c>
    </row>
    <row r="25" spans="1:19" x14ac:dyDescent="0.25">
      <c r="A25" s="11" t="str">
        <f>'Bldgs &amp; Rooms'!$A$2</f>
        <v>Main Bldg.</v>
      </c>
      <c r="B25" s="11">
        <f>'Bldgs &amp; Rooms'!$B$2</f>
        <v>0</v>
      </c>
      <c r="C25" s="10" t="str">
        <f>Hours!$A$25</f>
        <v>Wire Trough, Gutter, or Large Junction Boxes</v>
      </c>
      <c r="D25" s="11">
        <f t="shared" si="0"/>
        <v>0</v>
      </c>
      <c r="E25" s="16">
        <f>IF('Components Yr 1'!E25=0,0,'Components Yr 1'!E25)</f>
        <v>0</v>
      </c>
      <c r="F25" s="17">
        <f>IF('Components Yr 1'!F25=0,0,'Components Yr 1'!F25)</f>
        <v>0</v>
      </c>
      <c r="G25" s="17">
        <f>IF('Components Yr 1'!G25=0,0,'Components Yr 1'!G25)</f>
        <v>0</v>
      </c>
      <c r="H25" s="17">
        <f>IF('Components Yr 1'!H25=0,0,'Components Yr 1'!H25)</f>
        <v>0</v>
      </c>
      <c r="I25" s="17">
        <f>IF('Components Yr 1'!I25=0,0,'Components Yr 1'!I25)</f>
        <v>0</v>
      </c>
      <c r="J25" s="17">
        <f>IF('Components Yr 1'!J25=0,0,'Components Yr 1'!J25)</f>
        <v>0</v>
      </c>
      <c r="K25" s="12"/>
      <c r="L25" s="12"/>
      <c r="M25" s="12"/>
      <c r="N25" s="12"/>
      <c r="O25" s="12"/>
      <c r="P25" s="12"/>
      <c r="Q25" s="17"/>
      <c r="R25" s="18">
        <f>IF(SUMPRODUCT((E25:Q25)*1)=0,0,E25*INDEX(Hours!M:M,MATCH(C25,Hours!$A:$A,0))+F25*INDEX(Hours!B:B,MATCH(C25,Hours!$A:$A,0))+G25*INDEX(Hours!C:C,MATCH(C25,Hours!$A:$A,0))+H25*INDEX(Hours!D:D,MATCH(C25,Hours!$A:$A,0))+I25*INDEX(Hours!E:E,MATCH(C25,Hours!$A:$A,0))+J25*INDEX(Hours!F:F,MATCH(C25,Hours!$A:$A,0)))</f>
        <v>0</v>
      </c>
      <c r="S25" s="19">
        <f t="shared" si="1"/>
        <v>0</v>
      </c>
    </row>
    <row r="26" spans="1:19" x14ac:dyDescent="0.25">
      <c r="A26" s="11" t="str">
        <f>'Bldgs &amp; Rooms'!$A$2</f>
        <v>Main Bldg.</v>
      </c>
      <c r="B26" s="11">
        <f>'Bldgs &amp; Rooms'!$B$2</f>
        <v>0</v>
      </c>
      <c r="C26" s="10" t="str">
        <f>Hours!$A$26</f>
        <v>Bus Duct - Vertical or Horizontal (Per 10' section)</v>
      </c>
      <c r="D26" s="11">
        <f t="shared" si="0"/>
        <v>0</v>
      </c>
      <c r="E26" s="16">
        <f>IF('Components Yr 1'!E26=0,0,'Components Yr 1'!E26)</f>
        <v>0</v>
      </c>
      <c r="F26" s="17">
        <f>IF('Components Yr 1'!F26=0,0,'Components Yr 1'!F26)</f>
        <v>0</v>
      </c>
      <c r="G26" s="17">
        <f>IF('Components Yr 1'!G26=0,0,'Components Yr 1'!G26)</f>
        <v>0</v>
      </c>
      <c r="H26" s="17">
        <f>IF('Components Yr 1'!H26=0,0,'Components Yr 1'!H26)</f>
        <v>0</v>
      </c>
      <c r="I26" s="17">
        <f>IF('Components Yr 1'!I26=0,0,'Components Yr 1'!I26)</f>
        <v>0</v>
      </c>
      <c r="J26" s="17">
        <f>IF('Components Yr 1'!J26=0,0,'Components Yr 1'!J26)</f>
        <v>0</v>
      </c>
      <c r="K26" s="12"/>
      <c r="L26" s="12"/>
      <c r="M26" s="12"/>
      <c r="N26" s="12"/>
      <c r="O26" s="12"/>
      <c r="P26" s="12"/>
      <c r="Q26" s="17"/>
      <c r="R26" s="18">
        <f>IF(SUMPRODUCT((E26:Q26)*1)=0,0,E26*INDEX(Hours!M:M,MATCH(C26,Hours!$A:$A,0))+F26*INDEX(Hours!B:B,MATCH(C26,Hours!$A:$A,0))+G26*INDEX(Hours!C:C,MATCH(C26,Hours!$A:$A,0))+H26*INDEX(Hours!D:D,MATCH(C26,Hours!$A:$A,0))+I26*INDEX(Hours!E:E,MATCH(C26,Hours!$A:$A,0))+J26*INDEX(Hours!F:F,MATCH(C26,Hours!$A:$A,0)))</f>
        <v>0</v>
      </c>
      <c r="S26" s="19">
        <f t="shared" si="1"/>
        <v>0</v>
      </c>
    </row>
    <row r="27" spans="1:19" x14ac:dyDescent="0.25">
      <c r="A27" s="11" t="str">
        <f>'Bldgs &amp; Rooms'!$A$2</f>
        <v>Main Bldg.</v>
      </c>
      <c r="B27" s="11">
        <f>'Bldgs &amp; Rooms'!$B$2</f>
        <v>0</v>
      </c>
      <c r="C27" s="10" t="str">
        <f>Hours!$A$27</f>
        <v>Automatic Transfer Switch (ATS) &gt; 100A</v>
      </c>
      <c r="D27" s="11">
        <f t="shared" si="0"/>
        <v>0</v>
      </c>
      <c r="E27" s="16">
        <f>IF('Components Yr 1'!E27=0,0,'Components Yr 1'!E27)</f>
        <v>0</v>
      </c>
      <c r="F27" s="17">
        <f>IF('Components Yr 1'!F27=0,0,'Components Yr 1'!F27)</f>
        <v>0</v>
      </c>
      <c r="G27" s="17">
        <f>IF('Components Yr 1'!G27=0,0,'Components Yr 1'!G27)</f>
        <v>0</v>
      </c>
      <c r="H27" s="17">
        <f>IF('Components Yr 1'!H27=0,0,'Components Yr 1'!H27)</f>
        <v>0</v>
      </c>
      <c r="I27" s="17">
        <f>IF('Components Yr 1'!I27=0,0,'Components Yr 1'!I27)</f>
        <v>0</v>
      </c>
      <c r="J27" s="17">
        <f>IF('Components Yr 1'!J27=0,0,'Components Yr 1'!J27)</f>
        <v>0</v>
      </c>
      <c r="K27" s="12"/>
      <c r="L27" s="12"/>
      <c r="M27" s="12"/>
      <c r="N27" s="12"/>
      <c r="O27" s="12"/>
      <c r="P27" s="12"/>
      <c r="Q27" s="17"/>
      <c r="R27" s="18">
        <f>IF(SUMPRODUCT((E27:Q27)*1)=0,0,E27*INDEX(Hours!M:M,MATCH(C27,Hours!$A:$A,0))+F27*INDEX(Hours!B:B,MATCH(C27,Hours!$A:$A,0))+G27*INDEX(Hours!C:C,MATCH(C27,Hours!$A:$A,0))+H27*INDEX(Hours!D:D,MATCH(C27,Hours!$A:$A,0))+I27*INDEX(Hours!E:E,MATCH(C27,Hours!$A:$A,0))+J27*INDEX(Hours!F:F,MATCH(C27,Hours!$A:$A,0)))</f>
        <v>0</v>
      </c>
      <c r="S27" s="19">
        <f t="shared" si="1"/>
        <v>0</v>
      </c>
    </row>
    <row r="28" spans="1:19" x14ac:dyDescent="0.25">
      <c r="A28" s="11" t="str">
        <f>'Bldgs &amp; Rooms'!$A$2</f>
        <v>Main Bldg.</v>
      </c>
      <c r="B28" s="11">
        <f>'Bldgs &amp; Rooms'!$B$2</f>
        <v>0</v>
      </c>
      <c r="C28" s="10" t="str">
        <f>Hours!$A$28</f>
        <v>Manual Transfer Switch (MTS) &gt; 100A</v>
      </c>
      <c r="D28" s="11">
        <f t="shared" si="0"/>
        <v>0</v>
      </c>
      <c r="E28" s="16">
        <f>IF('Components Yr 1'!E28=0,0,'Components Yr 1'!E28)</f>
        <v>0</v>
      </c>
      <c r="F28" s="17">
        <f>IF('Components Yr 1'!F28=0,0,'Components Yr 1'!F28)</f>
        <v>0</v>
      </c>
      <c r="G28" s="17">
        <f>IF('Components Yr 1'!G28=0,0,'Components Yr 1'!G28)</f>
        <v>0</v>
      </c>
      <c r="H28" s="17">
        <f>IF('Components Yr 1'!H28=0,0,'Components Yr 1'!H28)</f>
        <v>0</v>
      </c>
      <c r="I28" s="17">
        <f>IF('Components Yr 1'!I28=0,0,'Components Yr 1'!I28)</f>
        <v>0</v>
      </c>
      <c r="J28" s="17">
        <f>IF('Components Yr 1'!J28=0,0,'Components Yr 1'!J28)</f>
        <v>0</v>
      </c>
      <c r="K28" s="12"/>
      <c r="L28" s="12"/>
      <c r="M28" s="12"/>
      <c r="N28" s="12"/>
      <c r="O28" s="12"/>
      <c r="P28" s="12"/>
      <c r="Q28" s="17"/>
      <c r="R28" s="18">
        <f>IF(SUMPRODUCT((E28:Q28)*1)=0,0,E28*INDEX(Hours!M:M,MATCH(C28,Hours!$A:$A,0))+F28*INDEX(Hours!B:B,MATCH(C28,Hours!$A:$A,0))+G28*INDEX(Hours!C:C,MATCH(C28,Hours!$A:$A,0))+H28*INDEX(Hours!D:D,MATCH(C28,Hours!$A:$A,0))+I28*INDEX(Hours!E:E,MATCH(C28,Hours!$A:$A,0))+J28*INDEX(Hours!F:F,MATCH(C28,Hours!$A:$A,0)))</f>
        <v>0</v>
      </c>
      <c r="S28" s="19">
        <f t="shared" si="1"/>
        <v>0</v>
      </c>
    </row>
    <row r="29" spans="1:19" x14ac:dyDescent="0.25">
      <c r="A29" s="11" t="str">
        <f>'Bldgs &amp; Rooms'!$A$2</f>
        <v>Main Bldg.</v>
      </c>
      <c r="B29" s="11">
        <f>'Bldgs &amp; Rooms'!$B$2</f>
        <v>0</v>
      </c>
      <c r="C29" s="10" t="str">
        <f>Hours!$A$29</f>
        <v>Variable Frequency Drives (VFD) &lt; 50 HP</v>
      </c>
      <c r="D29" s="11">
        <f t="shared" si="0"/>
        <v>0</v>
      </c>
      <c r="E29" s="16">
        <f>IF('Components Yr 1'!E29=0,0,'Components Yr 1'!E29)</f>
        <v>0</v>
      </c>
      <c r="F29" s="17">
        <f>IF('Components Yr 1'!F29=0,0,'Components Yr 1'!F29)</f>
        <v>0</v>
      </c>
      <c r="G29" s="17">
        <f>IF('Components Yr 1'!G29=0,0,'Components Yr 1'!G29)</f>
        <v>0</v>
      </c>
      <c r="H29" s="17">
        <f>IF('Components Yr 1'!H29=0,0,'Components Yr 1'!H29)</f>
        <v>0</v>
      </c>
      <c r="I29" s="17">
        <f>IF('Components Yr 1'!I29=0,0,'Components Yr 1'!I29)</f>
        <v>0</v>
      </c>
      <c r="J29" s="17">
        <f>IF('Components Yr 1'!J29=0,0,'Components Yr 1'!J29)</f>
        <v>0</v>
      </c>
      <c r="K29" s="12"/>
      <c r="L29" s="12"/>
      <c r="M29" s="12"/>
      <c r="N29" s="12"/>
      <c r="O29" s="12"/>
      <c r="P29" s="12"/>
      <c r="Q29" s="17"/>
      <c r="R29" s="18">
        <f>IF(SUMPRODUCT((E29:Q29)*1)=0,0,E29*INDEX(Hours!M:M,MATCH(C29,Hours!$A:$A,0))+F29*INDEX(Hours!B:B,MATCH(C29,Hours!$A:$A,0))+G29*INDEX(Hours!C:C,MATCH(C29,Hours!$A:$A,0))+H29*INDEX(Hours!D:D,MATCH(C29,Hours!$A:$A,0))+I29*INDEX(Hours!E:E,MATCH(C29,Hours!$A:$A,0))+J29*INDEX(Hours!F:F,MATCH(C29,Hours!$A:$A,0)))</f>
        <v>0</v>
      </c>
      <c r="S29" s="19">
        <f t="shared" si="1"/>
        <v>0</v>
      </c>
    </row>
    <row r="30" spans="1:19" x14ac:dyDescent="0.25">
      <c r="A30" s="11" t="str">
        <f>'Bldgs &amp; Rooms'!$A$2</f>
        <v>Main Bldg.</v>
      </c>
      <c r="B30" s="11">
        <f>'Bldgs &amp; Rooms'!$B$2</f>
        <v>0</v>
      </c>
      <c r="C30" s="10" t="str">
        <f>Hours!$A$30</f>
        <v>Variable Frequency Drives (VFD) 51-200 HP</v>
      </c>
      <c r="D30" s="11">
        <f t="shared" si="0"/>
        <v>0</v>
      </c>
      <c r="E30" s="16">
        <f>IF('Components Yr 1'!E30=0,0,'Components Yr 1'!E30)</f>
        <v>0</v>
      </c>
      <c r="F30" s="17">
        <f>IF('Components Yr 1'!F30=0,0,'Components Yr 1'!F30)</f>
        <v>0</v>
      </c>
      <c r="G30" s="17">
        <f>IF('Components Yr 1'!G30=0,0,'Components Yr 1'!G30)</f>
        <v>0</v>
      </c>
      <c r="H30" s="17">
        <f>IF('Components Yr 1'!H30=0,0,'Components Yr 1'!H30)</f>
        <v>0</v>
      </c>
      <c r="I30" s="17">
        <f>IF('Components Yr 1'!I30=0,0,'Components Yr 1'!I30)</f>
        <v>0</v>
      </c>
      <c r="J30" s="17">
        <f>IF('Components Yr 1'!J30=0,0,'Components Yr 1'!J30)</f>
        <v>0</v>
      </c>
      <c r="K30" s="12"/>
      <c r="L30" s="12"/>
      <c r="M30" s="12"/>
      <c r="N30" s="12"/>
      <c r="O30" s="12"/>
      <c r="P30" s="12"/>
      <c r="Q30" s="17"/>
      <c r="R30" s="18">
        <f>IF(SUMPRODUCT((E30:Q30)*1)=0,0,E30*INDEX(Hours!M:M,MATCH(C30,Hours!$A:$A,0))+F30*INDEX(Hours!B:B,MATCH(C30,Hours!$A:$A,0))+G30*INDEX(Hours!C:C,MATCH(C30,Hours!$A:$A,0))+H30*INDEX(Hours!D:D,MATCH(C30,Hours!$A:$A,0))+I30*INDEX(Hours!E:E,MATCH(C30,Hours!$A:$A,0))+J30*INDEX(Hours!F:F,MATCH(C30,Hours!$A:$A,0)))</f>
        <v>0</v>
      </c>
      <c r="S30" s="19">
        <f t="shared" si="1"/>
        <v>0</v>
      </c>
    </row>
    <row r="31" spans="1:19" x14ac:dyDescent="0.25">
      <c r="A31" s="11" t="str">
        <f>'Bldgs &amp; Rooms'!$A$2</f>
        <v>Main Bldg.</v>
      </c>
      <c r="B31" s="11">
        <f>'Bldgs &amp; Rooms'!$B$2</f>
        <v>0</v>
      </c>
      <c r="C31" s="10" t="str">
        <f>Hours!$A$31</f>
        <v>Motors &lt; 50 HP</v>
      </c>
      <c r="D31" s="11">
        <f t="shared" si="0"/>
        <v>0</v>
      </c>
      <c r="E31" s="16">
        <f>IF('Components Yr 1'!E31=0,0,'Components Yr 1'!E31)</f>
        <v>0</v>
      </c>
      <c r="F31" s="17">
        <f>IF('Components Yr 1'!F31=0,0,'Components Yr 1'!F31)</f>
        <v>0</v>
      </c>
      <c r="G31" s="17">
        <f>IF('Components Yr 1'!G31=0,0,'Components Yr 1'!G31)</f>
        <v>0</v>
      </c>
      <c r="H31" s="17">
        <f>IF('Components Yr 1'!H31=0,0,'Components Yr 1'!H31)</f>
        <v>0</v>
      </c>
      <c r="I31" s="17">
        <f>IF('Components Yr 1'!I31=0,0,'Components Yr 1'!I31)</f>
        <v>0</v>
      </c>
      <c r="J31" s="17">
        <f>IF('Components Yr 1'!J31=0,0,'Components Yr 1'!J31)</f>
        <v>0</v>
      </c>
      <c r="K31" s="12"/>
      <c r="L31" s="12"/>
      <c r="M31" s="12"/>
      <c r="N31" s="12"/>
      <c r="O31" s="12"/>
      <c r="P31" s="12"/>
      <c r="Q31" s="17"/>
      <c r="R31" s="18">
        <f>IF(SUMPRODUCT((E31:Q31)*1)=0,0,E31*INDEX(Hours!M:M,MATCH(C31,Hours!$A:$A,0))+F31*INDEX(Hours!B:B,MATCH(C31,Hours!$A:$A,0))+G31*INDEX(Hours!C:C,MATCH(C31,Hours!$A:$A,0))+H31*INDEX(Hours!D:D,MATCH(C31,Hours!$A:$A,0))+I31*INDEX(Hours!E:E,MATCH(C31,Hours!$A:$A,0))+J31*INDEX(Hours!F:F,MATCH(C31,Hours!$A:$A,0)))</f>
        <v>0</v>
      </c>
      <c r="S31" s="19">
        <f t="shared" si="1"/>
        <v>0</v>
      </c>
    </row>
    <row r="32" spans="1:19" x14ac:dyDescent="0.25">
      <c r="A32" s="11" t="str">
        <f>'Bldgs &amp; Rooms'!$A$2</f>
        <v>Main Bldg.</v>
      </c>
      <c r="B32" s="11">
        <f>'Bldgs &amp; Rooms'!$B$2</f>
        <v>0</v>
      </c>
      <c r="C32" s="10" t="str">
        <f>Hours!$A$32</f>
        <v>Motors 51-200 HP</v>
      </c>
      <c r="D32" s="11">
        <f t="shared" si="0"/>
        <v>0</v>
      </c>
      <c r="E32" s="16">
        <f>IF('Components Yr 1'!E32=0,0,'Components Yr 1'!E32)</f>
        <v>0</v>
      </c>
      <c r="F32" s="17">
        <f>IF('Components Yr 1'!F32=0,0,'Components Yr 1'!F32)</f>
        <v>0</v>
      </c>
      <c r="G32" s="17">
        <f>IF('Components Yr 1'!G32=0,0,'Components Yr 1'!G32)</f>
        <v>0</v>
      </c>
      <c r="H32" s="17">
        <f>IF('Components Yr 1'!H32=0,0,'Components Yr 1'!H32)</f>
        <v>0</v>
      </c>
      <c r="I32" s="17">
        <f>IF('Components Yr 1'!I32=0,0,'Components Yr 1'!I32)</f>
        <v>0</v>
      </c>
      <c r="J32" s="17">
        <f>IF('Components Yr 1'!J32=0,0,'Components Yr 1'!J32)</f>
        <v>0</v>
      </c>
      <c r="K32" s="12"/>
      <c r="L32" s="12"/>
      <c r="M32" s="12"/>
      <c r="N32" s="12"/>
      <c r="O32" s="12"/>
      <c r="P32" s="12"/>
      <c r="Q32" s="17"/>
      <c r="R32" s="18">
        <f>IF(SUMPRODUCT((E32:Q32)*1)=0,0,E32*INDEX(Hours!M:M,MATCH(C32,Hours!$A:$A,0))+F32*INDEX(Hours!B:B,MATCH(C32,Hours!$A:$A,0))+G32*INDEX(Hours!C:C,MATCH(C32,Hours!$A:$A,0))+H32*INDEX(Hours!D:D,MATCH(C32,Hours!$A:$A,0))+I32*INDEX(Hours!E:E,MATCH(C32,Hours!$A:$A,0))+J32*INDEX(Hours!F:F,MATCH(C32,Hours!$A:$A,0)))</f>
        <v>0</v>
      </c>
      <c r="S32" s="19">
        <f t="shared" si="1"/>
        <v>0</v>
      </c>
    </row>
    <row r="33" spans="1:19" x14ac:dyDescent="0.25">
      <c r="A33" s="11" t="str">
        <f>'Bldgs &amp; Rooms'!$A$2</f>
        <v>Main Bldg.</v>
      </c>
      <c r="B33" s="11">
        <f>'Bldgs &amp; Rooms'!$B$2</f>
        <v>0</v>
      </c>
      <c r="C33" s="10" t="str">
        <f>Hours!$A$33</f>
        <v>Motors 201-500 HP</v>
      </c>
      <c r="D33" s="11">
        <f t="shared" si="0"/>
        <v>0</v>
      </c>
      <c r="E33" s="16">
        <f>IF('Components Yr 1'!E33=0,0,'Components Yr 1'!E33)</f>
        <v>0</v>
      </c>
      <c r="F33" s="17">
        <f>IF('Components Yr 1'!F33=0,0,'Components Yr 1'!F33)</f>
        <v>0</v>
      </c>
      <c r="G33" s="17">
        <f>IF('Components Yr 1'!G33=0,0,'Components Yr 1'!G33)</f>
        <v>0</v>
      </c>
      <c r="H33" s="17">
        <f>IF('Components Yr 1'!H33=0,0,'Components Yr 1'!H33)</f>
        <v>0</v>
      </c>
      <c r="I33" s="17">
        <f>IF('Components Yr 1'!I33=0,0,'Components Yr 1'!I33)</f>
        <v>0</v>
      </c>
      <c r="J33" s="17">
        <f>IF('Components Yr 1'!J33=0,0,'Components Yr 1'!J33)</f>
        <v>0</v>
      </c>
      <c r="K33" s="12"/>
      <c r="L33" s="12"/>
      <c r="M33" s="12"/>
      <c r="N33" s="12"/>
      <c r="O33" s="12"/>
      <c r="P33" s="12"/>
      <c r="Q33" s="17"/>
      <c r="R33" s="18">
        <f>IF(SUMPRODUCT((E33:Q33)*1)=0,0,E33*INDEX(Hours!M:M,MATCH(C33,Hours!$A:$A,0))+F33*INDEX(Hours!B:B,MATCH(C33,Hours!$A:$A,0))+G33*INDEX(Hours!C:C,MATCH(C33,Hours!$A:$A,0))+H33*INDEX(Hours!D:D,MATCH(C33,Hours!$A:$A,0))+I33*INDEX(Hours!E:E,MATCH(C33,Hours!$A:$A,0))+J33*INDEX(Hours!F:F,MATCH(C33,Hours!$A:$A,0)))</f>
        <v>0</v>
      </c>
      <c r="S33" s="19">
        <f t="shared" si="1"/>
        <v>0</v>
      </c>
    </row>
    <row r="34" spans="1:19" x14ac:dyDescent="0.25">
      <c r="A34" s="11" t="str">
        <f>'Bldgs &amp; Rooms'!$A$2</f>
        <v>Main Bldg.</v>
      </c>
      <c r="B34" s="11">
        <f>'Bldgs &amp; Rooms'!$B$2</f>
        <v>0</v>
      </c>
      <c r="C34" s="10" t="str">
        <f>Hours!$A$34</f>
        <v>Compressed Air Equipment</v>
      </c>
      <c r="D34" s="11">
        <f t="shared" si="0"/>
        <v>0</v>
      </c>
      <c r="E34" s="16">
        <f>IF('Components Yr 1'!E34=0,0,'Components Yr 1'!E34)</f>
        <v>0</v>
      </c>
      <c r="F34" s="17">
        <f>IF('Components Yr 1'!F34=0,0,'Components Yr 1'!F34)</f>
        <v>0</v>
      </c>
      <c r="G34" s="17">
        <f>IF('Components Yr 1'!G34=0,0,'Components Yr 1'!G34)</f>
        <v>0</v>
      </c>
      <c r="H34" s="17">
        <f>IF('Components Yr 1'!H34=0,0,'Components Yr 1'!H34)</f>
        <v>0</v>
      </c>
      <c r="I34" s="17">
        <f>IF('Components Yr 1'!I34=0,0,'Components Yr 1'!I34)</f>
        <v>0</v>
      </c>
      <c r="J34" s="17">
        <f>IF('Components Yr 1'!J34=0,0,'Components Yr 1'!J34)</f>
        <v>0</v>
      </c>
      <c r="K34" s="12"/>
      <c r="L34" s="12"/>
      <c r="M34" s="12"/>
      <c r="N34" s="12"/>
      <c r="O34" s="12"/>
      <c r="P34" s="12"/>
      <c r="Q34" s="17"/>
      <c r="R34" s="18">
        <f>IF(SUMPRODUCT((E34:Q34)*1)=0,0,E34*INDEX(Hours!M:M,MATCH(C34,Hours!$A:$A,0))+F34*INDEX(Hours!B:B,MATCH(C34,Hours!$A:$A,0))+G34*INDEX(Hours!C:C,MATCH(C34,Hours!$A:$A,0))+H34*INDEX(Hours!D:D,MATCH(C34,Hours!$A:$A,0))+I34*INDEX(Hours!E:E,MATCH(C34,Hours!$A:$A,0))+J34*INDEX(Hours!F:F,MATCH(C34,Hours!$A:$A,0)))</f>
        <v>0</v>
      </c>
      <c r="S34" s="19">
        <f t="shared" si="1"/>
        <v>0</v>
      </c>
    </row>
    <row r="35" spans="1:19" x14ac:dyDescent="0.25">
      <c r="A35" s="11" t="str">
        <f>'Bldgs &amp; Rooms'!$A$2</f>
        <v>Main Bldg.</v>
      </c>
      <c r="B35" s="11">
        <f>'Bldgs &amp; Rooms'!$B$2</f>
        <v>0</v>
      </c>
      <c r="C35" s="10" t="str">
        <f>Hours!$A$35</f>
        <v>HVAC Equipment (Large)</v>
      </c>
      <c r="D35" s="11">
        <f t="shared" si="0"/>
        <v>0</v>
      </c>
      <c r="E35" s="16">
        <f>IF('Components Yr 1'!E35=0,0,'Components Yr 1'!E35)</f>
        <v>0</v>
      </c>
      <c r="F35" s="17">
        <f>IF('Components Yr 1'!F35=0,0,'Components Yr 1'!F35)</f>
        <v>0</v>
      </c>
      <c r="G35" s="17">
        <f>IF('Components Yr 1'!G35=0,0,'Components Yr 1'!G35)</f>
        <v>0</v>
      </c>
      <c r="H35" s="17">
        <f>IF('Components Yr 1'!H35=0,0,'Components Yr 1'!H35)</f>
        <v>0</v>
      </c>
      <c r="I35" s="17">
        <f>IF('Components Yr 1'!I35=0,0,'Components Yr 1'!I35)</f>
        <v>0</v>
      </c>
      <c r="J35" s="17">
        <f>IF('Components Yr 1'!J35=0,0,'Components Yr 1'!J35)</f>
        <v>0</v>
      </c>
      <c r="K35" s="12"/>
      <c r="L35" s="12"/>
      <c r="M35" s="12"/>
      <c r="N35" s="12"/>
      <c r="O35" s="12"/>
      <c r="P35" s="12"/>
      <c r="Q35" s="17"/>
      <c r="R35" s="18">
        <f>IF(SUMPRODUCT((E35:Q35)*1)=0,0,E35*INDEX(Hours!M:M,MATCH(C35,Hours!$A:$A,0))+F35*INDEX(Hours!B:B,MATCH(C35,Hours!$A:$A,0))+G35*INDEX(Hours!C:C,MATCH(C35,Hours!$A:$A,0))+H35*INDEX(Hours!D:D,MATCH(C35,Hours!$A:$A,0))+I35*INDEX(Hours!E:E,MATCH(C35,Hours!$A:$A,0))+J35*INDEX(Hours!F:F,MATCH(C35,Hours!$A:$A,0)))</f>
        <v>0</v>
      </c>
      <c r="S35" s="19">
        <f t="shared" si="1"/>
        <v>0</v>
      </c>
    </row>
    <row r="36" spans="1:19" x14ac:dyDescent="0.25">
      <c r="A36" s="11" t="str">
        <f>'Bldgs &amp; Rooms'!$A$2</f>
        <v>Main Bldg.</v>
      </c>
      <c r="B36" s="11">
        <f>'Bldgs &amp; Rooms'!$B$2</f>
        <v>0</v>
      </c>
      <c r="C36" s="10" t="str">
        <f>Hours!$A$36</f>
        <v>HVAC Equipment (Small)</v>
      </c>
      <c r="D36" s="11">
        <f t="shared" si="0"/>
        <v>0</v>
      </c>
      <c r="E36" s="16">
        <f>IF('Components Yr 1'!E36=0,0,'Components Yr 1'!E36)</f>
        <v>0</v>
      </c>
      <c r="F36" s="17">
        <f>IF('Components Yr 1'!F36=0,0,'Components Yr 1'!F36)</f>
        <v>0</v>
      </c>
      <c r="G36" s="17">
        <f>IF('Components Yr 1'!G36=0,0,'Components Yr 1'!G36)</f>
        <v>0</v>
      </c>
      <c r="H36" s="17">
        <f>IF('Components Yr 1'!H36=0,0,'Components Yr 1'!H36)</f>
        <v>0</v>
      </c>
      <c r="I36" s="17">
        <f>IF('Components Yr 1'!I36=0,0,'Components Yr 1'!I36)</f>
        <v>0</v>
      </c>
      <c r="J36" s="17">
        <f>IF('Components Yr 1'!J36=0,0,'Components Yr 1'!J36)</f>
        <v>0</v>
      </c>
      <c r="K36" s="12"/>
      <c r="L36" s="12"/>
      <c r="M36" s="12"/>
      <c r="N36" s="12"/>
      <c r="O36" s="12"/>
      <c r="P36" s="12"/>
      <c r="Q36" s="17"/>
      <c r="R36" s="18">
        <f>IF(SUMPRODUCT((E36:Q36)*1)=0,0,E36*INDEX(Hours!M:M,MATCH(C36,Hours!$A:$A,0))+F36*INDEX(Hours!B:B,MATCH(C36,Hours!$A:$A,0))+G36*INDEX(Hours!C:C,MATCH(C36,Hours!$A:$A,0))+H36*INDEX(Hours!D:D,MATCH(C36,Hours!$A:$A,0))+I36*INDEX(Hours!E:E,MATCH(C36,Hours!$A:$A,0))+J36*INDEX(Hours!F:F,MATCH(C36,Hours!$A:$A,0)))</f>
        <v>0</v>
      </c>
      <c r="S36" s="19">
        <f t="shared" si="1"/>
        <v>0</v>
      </c>
    </row>
    <row r="37" spans="1:19" x14ac:dyDescent="0.25">
      <c r="A37" s="11" t="str">
        <f>'Bldgs &amp; Rooms'!$A$2</f>
        <v>Main Bldg.</v>
      </c>
      <c r="B37" s="11">
        <f>'Bldgs &amp; Rooms'!$B$2</f>
        <v>0</v>
      </c>
      <c r="C37" s="10" t="str">
        <f>Hours!$A$37</f>
        <v>Uninterruptible Power Supply (UPS) &lt; 50kVA</v>
      </c>
      <c r="D37" s="11">
        <f t="shared" si="0"/>
        <v>0</v>
      </c>
      <c r="E37" s="16">
        <f>IF('Components Yr 1'!E37=0,0,'Components Yr 1'!E37)</f>
        <v>0</v>
      </c>
      <c r="F37" s="17">
        <f>IF('Components Yr 1'!F37=0,0,'Components Yr 1'!F37)</f>
        <v>0</v>
      </c>
      <c r="G37" s="17">
        <f>IF('Components Yr 1'!G37=0,0,'Components Yr 1'!G37)</f>
        <v>0</v>
      </c>
      <c r="H37" s="17">
        <f>IF('Components Yr 1'!H37=0,0,'Components Yr 1'!H37)</f>
        <v>0</v>
      </c>
      <c r="I37" s="17">
        <f>IF('Components Yr 1'!I37=0,0,'Components Yr 1'!I37)</f>
        <v>0</v>
      </c>
      <c r="J37" s="17">
        <f>IF('Components Yr 1'!J37=0,0,'Components Yr 1'!J37)</f>
        <v>0</v>
      </c>
      <c r="K37" s="12"/>
      <c r="L37" s="12"/>
      <c r="M37" s="12"/>
      <c r="N37" s="12"/>
      <c r="O37" s="12"/>
      <c r="P37" s="12"/>
      <c r="Q37" s="17"/>
      <c r="R37" s="18">
        <f>IF(SUMPRODUCT((E37:Q37)*1)=0,0,E37*INDEX(Hours!M:M,MATCH(C37,Hours!$A:$A,0))+F37*INDEX(Hours!B:B,MATCH(C37,Hours!$A:$A,0))+G37*INDEX(Hours!C:C,MATCH(C37,Hours!$A:$A,0))+H37*INDEX(Hours!D:D,MATCH(C37,Hours!$A:$A,0))+I37*INDEX(Hours!E:E,MATCH(C37,Hours!$A:$A,0))+J37*INDEX(Hours!F:F,MATCH(C37,Hours!$A:$A,0)))</f>
        <v>0</v>
      </c>
      <c r="S37" s="19">
        <f t="shared" si="1"/>
        <v>0</v>
      </c>
    </row>
    <row r="38" spans="1:19" x14ac:dyDescent="0.25">
      <c r="A38" s="11" t="str">
        <f>'Bldgs &amp; Rooms'!$A$2</f>
        <v>Main Bldg.</v>
      </c>
      <c r="B38" s="11">
        <f>'Bldgs &amp; Rooms'!$B$2</f>
        <v>0</v>
      </c>
      <c r="C38" s="10" t="str">
        <f>Hours!$A$38</f>
        <v>Uninterruptible Power Supply (UPS) &gt; 50kVA</v>
      </c>
      <c r="D38" s="11">
        <f t="shared" si="0"/>
        <v>0</v>
      </c>
      <c r="E38" s="16">
        <f>IF('Components Yr 1'!E38=0,0,'Components Yr 1'!E38)</f>
        <v>0</v>
      </c>
      <c r="F38" s="17">
        <f>IF('Components Yr 1'!F38=0,0,'Components Yr 1'!F38)</f>
        <v>0</v>
      </c>
      <c r="G38" s="17">
        <f>IF('Components Yr 1'!G38=0,0,'Components Yr 1'!G38)</f>
        <v>0</v>
      </c>
      <c r="H38" s="17">
        <f>IF('Components Yr 1'!H38=0,0,'Components Yr 1'!H38)</f>
        <v>0</v>
      </c>
      <c r="I38" s="17">
        <f>IF('Components Yr 1'!I38=0,0,'Components Yr 1'!I38)</f>
        <v>0</v>
      </c>
      <c r="J38" s="17">
        <f>IF('Components Yr 1'!J38=0,0,'Components Yr 1'!J38)</f>
        <v>0</v>
      </c>
      <c r="K38" s="12"/>
      <c r="L38" s="12"/>
      <c r="M38" s="12"/>
      <c r="N38" s="12"/>
      <c r="O38" s="12"/>
      <c r="P38" s="12"/>
      <c r="Q38" s="17"/>
      <c r="R38" s="18">
        <f>IF(SUMPRODUCT((E38:Q38)*1)=0,0,E38*INDEX(Hours!M:M,MATCH(C38,Hours!$A:$A,0))+F38*INDEX(Hours!B:B,MATCH(C38,Hours!$A:$A,0))+G38*INDEX(Hours!C:C,MATCH(C38,Hours!$A:$A,0))+H38*INDEX(Hours!D:D,MATCH(C38,Hours!$A:$A,0))+I38*INDEX(Hours!E:E,MATCH(C38,Hours!$A:$A,0))+J38*INDEX(Hours!F:F,MATCH(C38,Hours!$A:$A,0)))</f>
        <v>0</v>
      </c>
      <c r="S38" s="19">
        <f t="shared" si="1"/>
        <v>0</v>
      </c>
    </row>
    <row r="39" spans="1:19" x14ac:dyDescent="0.25">
      <c r="A39" s="15" t="str">
        <f>'Bldgs &amp; Rooms'!$A$3</f>
        <v>Main Bldg.</v>
      </c>
      <c r="B39" s="15">
        <f>'Bldgs &amp; Rooms'!$B$3</f>
        <v>0</v>
      </c>
      <c r="C39" s="14" t="str">
        <f>Hours!$A$2</f>
        <v>Switchgear - Incoming Main Service (Per Section)</v>
      </c>
      <c r="D39" s="15">
        <f t="shared" si="0"/>
        <v>0</v>
      </c>
      <c r="E39" s="16">
        <f>IF('Components Yr 1'!E39=0,0,'Components Yr 1'!E39)</f>
        <v>0</v>
      </c>
      <c r="F39" s="17">
        <f>IF('Components Yr 1'!F39=0,0,'Components Yr 1'!F39)</f>
        <v>0</v>
      </c>
      <c r="G39" s="17">
        <f>IF('Components Yr 1'!G39=0,0,'Components Yr 1'!G39)</f>
        <v>0</v>
      </c>
      <c r="H39" s="17">
        <f>IF('Components Yr 1'!H39=0,0,'Components Yr 1'!H39)</f>
        <v>0</v>
      </c>
      <c r="I39" s="17">
        <f>IF('Components Yr 1'!I39=0,0,'Components Yr 1'!I39)</f>
        <v>0</v>
      </c>
      <c r="J39" s="17">
        <f>IF('Components Yr 1'!J39=0,0,'Components Yr 1'!J39)</f>
        <v>0</v>
      </c>
      <c r="K39" s="17">
        <f>IF('Components Yr 1'!K39=0,0,'Components Yr 1'!K39)</f>
        <v>0</v>
      </c>
      <c r="L39" s="17">
        <f>IF('Components Yr 1'!L39=0,0,'Components Yr 1'!L39)</f>
        <v>0</v>
      </c>
      <c r="M39" s="12"/>
      <c r="N39" s="12"/>
      <c r="O39" s="17">
        <f>IF('Components Yr 1'!O39=0,0,'Components Yr 1'!O39)</f>
        <v>0</v>
      </c>
      <c r="P39" s="12"/>
      <c r="Q39" s="17"/>
      <c r="R39" s="18">
        <f>IF(SUMPRODUCT((E39:Q39)*1)=0,0,E39*INDEX(Hours!M:M,MATCH(C39,Hours!$A:$A,0))+F39*INDEX(Hours!B:B,MATCH(C39,Hours!$A:$A,0))+G39*INDEX(Hours!C:C,MATCH(C39,Hours!$A:$A,0))+H39*INDEX(Hours!D:D,MATCH(C39,Hours!$A:$A,0))+I39*INDEX(Hours!E:E,MATCH(C39,Hours!$A:$A,0))+J39*INDEX(Hours!F:F,MATCH(C39,Hours!$A:$A,0))+K39*INDEX(Hours!G:G,MATCH(C39,Hours!$A:$A,0))+L39*INDEX(Hours!H:H,MATCH(C39,Hours!$A:$A,0))+O39*INDEX(Hours!K:K,MATCH(C39,Hours!$A:$A,0)))</f>
        <v>0</v>
      </c>
      <c r="S39" s="19">
        <f t="shared" si="1"/>
        <v>0</v>
      </c>
    </row>
    <row r="40" spans="1:19" x14ac:dyDescent="0.25">
      <c r="A40" s="15" t="str">
        <f>'Bldgs &amp; Rooms'!$A$3</f>
        <v>Main Bldg.</v>
      </c>
      <c r="B40" s="15">
        <f>'Bldgs &amp; Rooms'!$B$3</f>
        <v>0</v>
      </c>
      <c r="C40" s="14" t="str">
        <f>Hours!$A$3</f>
        <v xml:space="preserve">  Switchgear Insulated Case Breakers (Bus Mounted)</v>
      </c>
      <c r="D40" s="15">
        <f t="shared" si="0"/>
        <v>0</v>
      </c>
      <c r="E40" s="16">
        <f>IF('Components Yr 1'!E40=0,0,'Components Yr 1'!E40)</f>
        <v>0</v>
      </c>
      <c r="F40" s="17">
        <f>IF('Components Yr 1'!F40=0,0,'Components Yr 1'!F40)</f>
        <v>0</v>
      </c>
      <c r="G40" s="17">
        <f>IF('Components Yr 1'!G40=0,0,'Components Yr 1'!G40)</f>
        <v>0</v>
      </c>
      <c r="H40" s="17">
        <f>IF('Components Yr 1'!H40=0,0,'Components Yr 1'!H40)</f>
        <v>0</v>
      </c>
      <c r="I40" s="17">
        <f>IF('Components Yr 1'!I40=0,0,'Components Yr 1'!I40)</f>
        <v>0</v>
      </c>
      <c r="J40" s="17">
        <f>IF('Components Yr 1'!J40=0,0,'Components Yr 1'!J40)</f>
        <v>0</v>
      </c>
      <c r="K40" s="17">
        <f>IF('Components Yr 1'!K40=0,0,'Components Yr 1'!K40)</f>
        <v>0</v>
      </c>
      <c r="L40" s="12"/>
      <c r="M40" s="12"/>
      <c r="N40" s="12"/>
      <c r="O40" s="12"/>
      <c r="P40" s="12"/>
      <c r="Q40" s="17"/>
      <c r="R40" s="18">
        <f>IF(SUMPRODUCT((E40:Q40)*1)=0,0,E40*INDEX(Hours!M:M,MATCH(C40,Hours!$A:$A,0))+F40*INDEX(Hours!B:B,MATCH(C40,Hours!$A:$A,0))+G40*INDEX(Hours!C:C,MATCH(C40,Hours!$A:$A,0))+H40*INDEX(Hours!D:D,MATCH(C40,Hours!$A:$A,0))+I40*INDEX(Hours!E:E,MATCH(C40,Hours!$A:$A,0))+J40*INDEX(Hours!F:F,MATCH(C40,Hours!$A:$A,0))+K40*INDEX(Hours!G:G,MATCH(C40,Hours!$A:$A,0)))</f>
        <v>0</v>
      </c>
      <c r="S40" s="19">
        <f t="shared" si="1"/>
        <v>0</v>
      </c>
    </row>
    <row r="41" spans="1:19" x14ac:dyDescent="0.25">
      <c r="A41" s="15" t="str">
        <f>'Bldgs &amp; Rooms'!$A$3</f>
        <v>Main Bldg.</v>
      </c>
      <c r="B41" s="15">
        <f>'Bldgs &amp; Rooms'!$B$3</f>
        <v>0</v>
      </c>
      <c r="C41" s="14" t="str">
        <f>Hours!$A$4</f>
        <v xml:space="preserve">  SwitchGear Drawout Breakers</v>
      </c>
      <c r="D41" s="15">
        <f t="shared" si="0"/>
        <v>0</v>
      </c>
      <c r="E41" s="16">
        <f>IF('Components Yr 1'!E41=0,0,'Components Yr 1'!E41)</f>
        <v>0</v>
      </c>
      <c r="F41" s="17">
        <f>IF('Components Yr 1'!F41=0,0,'Components Yr 1'!F41)</f>
        <v>0</v>
      </c>
      <c r="G41" s="17">
        <f>IF('Components Yr 1'!G41=0,0,'Components Yr 1'!G41)</f>
        <v>0</v>
      </c>
      <c r="H41" s="17">
        <f>IF('Components Yr 1'!H41=0,0,'Components Yr 1'!H41)</f>
        <v>0</v>
      </c>
      <c r="I41" s="17">
        <f>IF('Components Yr 1'!I41=0,0,'Components Yr 1'!I41)</f>
        <v>0</v>
      </c>
      <c r="J41" s="17">
        <f>IF('Components Yr 1'!J41=0,0,'Components Yr 1'!J41)</f>
        <v>0</v>
      </c>
      <c r="K41" s="12"/>
      <c r="L41" s="17">
        <f>IF('Components Yr 1'!L41=0,0,'Components Yr 1'!L41)</f>
        <v>0</v>
      </c>
      <c r="M41" s="12"/>
      <c r="N41" s="12"/>
      <c r="O41" s="12"/>
      <c r="P41" s="12"/>
      <c r="Q41" s="17"/>
      <c r="R41" s="18">
        <f>IF(SUMPRODUCT((E41:Q41)*1)=0,0,E41*INDEX(Hours!M:M,MATCH(C41,Hours!$A:$A,0))+F41*INDEX(Hours!B:B,MATCH(C41,Hours!$A:$A,0))+G41*INDEX(Hours!C:C,MATCH(C41,Hours!$A:$A,0))+H41*INDEX(Hours!D:D,MATCH(C41,Hours!$A:$A,0))+I41*INDEX(Hours!E:E,MATCH(C41,Hours!$A:$A,0))+J41*INDEX(Hours!F:F,MATCH(C41,Hours!$A:$A,0))+L41*INDEX(Hours!H:H,MATCH(C41,Hours!$A:$A,0)))</f>
        <v>0</v>
      </c>
      <c r="S41" s="19">
        <f t="shared" si="1"/>
        <v>0</v>
      </c>
    </row>
    <row r="42" spans="1:19" x14ac:dyDescent="0.25">
      <c r="A42" s="15" t="str">
        <f>'Bldgs &amp; Rooms'!$A$3</f>
        <v>Main Bldg.</v>
      </c>
      <c r="B42" s="15">
        <f>'Bldgs &amp; Rooms'!$B$3</f>
        <v>0</v>
      </c>
      <c r="C42" s="14" t="str">
        <f>Hours!$A$5</f>
        <v>Distribution Switchboard Multi Cover (Per Section)</v>
      </c>
      <c r="D42" s="15">
        <f t="shared" si="0"/>
        <v>0</v>
      </c>
      <c r="E42" s="16">
        <f>IF('Components Yr 1'!E42=0,0,'Components Yr 1'!E42)</f>
        <v>0</v>
      </c>
      <c r="F42" s="17">
        <f>IF('Components Yr 1'!F42=0,0,'Components Yr 1'!F42)</f>
        <v>0</v>
      </c>
      <c r="G42" s="17">
        <f>IF('Components Yr 1'!G42=0,0,'Components Yr 1'!G42)</f>
        <v>0</v>
      </c>
      <c r="H42" s="17">
        <f>IF('Components Yr 1'!H42=0,0,'Components Yr 1'!H42)</f>
        <v>0</v>
      </c>
      <c r="I42" s="17">
        <f>IF('Components Yr 1'!I42=0,0,'Components Yr 1'!I42)</f>
        <v>0</v>
      </c>
      <c r="J42" s="17">
        <f>IF('Components Yr 1'!J42=0,0,'Components Yr 1'!J42)</f>
        <v>0</v>
      </c>
      <c r="K42" s="17">
        <f>IF('Components Yr 1'!K42=0,0,'Components Yr 1'!K42)</f>
        <v>0</v>
      </c>
      <c r="L42" s="12"/>
      <c r="M42" s="12"/>
      <c r="N42" s="12"/>
      <c r="O42" s="17">
        <f>IF('Components Yr 1'!O42=0,0,'Components Yr 1'!O42)</f>
        <v>0</v>
      </c>
      <c r="P42" s="12"/>
      <c r="Q42" s="17"/>
      <c r="R42" s="18">
        <f>IF(SUMPRODUCT((E42:Q42)*1)=0,0,E42*INDEX(Hours!M:M,MATCH(C42,Hours!$A:$A,0))+F42*INDEX(Hours!B:B,MATCH(C42,Hours!$A:$A,0))+G42*INDEX(Hours!C:C,MATCH(C42,Hours!$A:$A,0))+H42*INDEX(Hours!D:D,MATCH(C42,Hours!$A:$A,0))+I42*INDEX(Hours!E:E,MATCH(C42,Hours!$A:$A,0))+J42*INDEX(Hours!F:F,MATCH(C42,Hours!$A:$A,0))+K42*INDEX(Hours!G:G,MATCH(C42,Hours!$A:$A,0))+O42*INDEX(Hours!K:K,MATCH(C42,Hours!$A:$A,0)))</f>
        <v>0</v>
      </c>
      <c r="S42" s="19">
        <f t="shared" si="1"/>
        <v>0</v>
      </c>
    </row>
    <row r="43" spans="1:19" x14ac:dyDescent="0.25">
      <c r="A43" s="15" t="str">
        <f>'Bldgs &amp; Rooms'!$A$3</f>
        <v>Main Bldg.</v>
      </c>
      <c r="B43" s="15">
        <f>'Bldgs &amp; Rooms'!$B$3</f>
        <v>0</v>
      </c>
      <c r="C43" s="14" t="str">
        <f>Hours!$A$6</f>
        <v xml:space="preserve">  Switchboard Disconnects</v>
      </c>
      <c r="D43" s="15">
        <f t="shared" si="0"/>
        <v>0</v>
      </c>
      <c r="E43" s="16">
        <f>IF('Components Yr 1'!E43=0,0,'Components Yr 1'!E43)</f>
        <v>0</v>
      </c>
      <c r="F43" s="17">
        <f>IF('Components Yr 1'!F43=0,0,'Components Yr 1'!F43)</f>
        <v>0</v>
      </c>
      <c r="G43" s="17">
        <f>IF('Components Yr 1'!G43=0,0,'Components Yr 1'!G43)</f>
        <v>0</v>
      </c>
      <c r="H43" s="17">
        <f>IF('Components Yr 1'!H43=0,0,'Components Yr 1'!H43)</f>
        <v>0</v>
      </c>
      <c r="I43" s="17">
        <f>IF('Components Yr 1'!I43=0,0,'Components Yr 1'!I43)</f>
        <v>0</v>
      </c>
      <c r="J43" s="17">
        <f>IF('Components Yr 1'!J43=0,0,'Components Yr 1'!J43)</f>
        <v>0</v>
      </c>
      <c r="K43" s="12"/>
      <c r="L43" s="12"/>
      <c r="M43" s="12"/>
      <c r="N43" s="12"/>
      <c r="O43" s="12"/>
      <c r="P43" s="12"/>
      <c r="Q43" s="17"/>
      <c r="R43" s="18">
        <f>IF(SUMPRODUCT((E43:Q43)*1)=0,0,E43*INDEX(Hours!M:M,MATCH(C43,Hours!$A:$A,0))+F43*INDEX(Hours!B:B,MATCH(C43,Hours!$A:$A,0))+G43*INDEX(Hours!C:C,MATCH(C43,Hours!$A:$A,0))+H43*INDEX(Hours!D:D,MATCH(C43,Hours!$A:$A,0))+I43*INDEX(Hours!E:E,MATCH(C43,Hours!$A:$A,0))+J43*INDEX(Hours!F:F,MATCH(C43,Hours!$A:$A,0)))</f>
        <v>0</v>
      </c>
      <c r="S43" s="19">
        <f t="shared" si="1"/>
        <v>0</v>
      </c>
    </row>
    <row r="44" spans="1:19" x14ac:dyDescent="0.25">
      <c r="A44" s="15" t="str">
        <f>'Bldgs &amp; Rooms'!$A$3</f>
        <v>Main Bldg.</v>
      </c>
      <c r="B44" s="15">
        <f>'Bldgs &amp; Rooms'!$B$3</f>
        <v>0</v>
      </c>
      <c r="C44" s="14" t="str">
        <f>Hours!$A$7</f>
        <v xml:space="preserve">  Switchboard Molded Case Breakers</v>
      </c>
      <c r="D44" s="15">
        <f t="shared" si="0"/>
        <v>0</v>
      </c>
      <c r="E44" s="16">
        <f>IF('Components Yr 1'!E44=0,0,'Components Yr 1'!E44)</f>
        <v>0</v>
      </c>
      <c r="F44" s="17">
        <f>IF('Components Yr 1'!F44=0,0,'Components Yr 1'!F44)</f>
        <v>0</v>
      </c>
      <c r="G44" s="17">
        <f>IF('Components Yr 1'!G44=0,0,'Components Yr 1'!G44)</f>
        <v>0</v>
      </c>
      <c r="H44" s="17">
        <f>IF('Components Yr 1'!H44=0,0,'Components Yr 1'!H44)</f>
        <v>0</v>
      </c>
      <c r="I44" s="17">
        <f>IF('Components Yr 1'!I44=0,0,'Components Yr 1'!I44)</f>
        <v>0</v>
      </c>
      <c r="J44" s="17">
        <f>IF('Components Yr 1'!J44=0,0,'Components Yr 1'!J44)</f>
        <v>0</v>
      </c>
      <c r="K44" s="17">
        <f>IF('Components Yr 1'!K44=0,0,'Components Yr 1'!K44)</f>
        <v>0</v>
      </c>
      <c r="L44" s="12"/>
      <c r="M44" s="12"/>
      <c r="N44" s="12"/>
      <c r="O44" s="12"/>
      <c r="P44" s="12"/>
      <c r="Q44" s="17"/>
      <c r="R44" s="18">
        <f>IF(SUMPRODUCT((E44:Q44)*1)=0,0,E44*INDEX(Hours!M:M,MATCH(C44,Hours!$A:$A,0))+F44*INDEX(Hours!B:B,MATCH(C44,Hours!$A:$A,0))+G44*INDEX(Hours!C:C,MATCH(C44,Hours!$A:$A,0))+H44*INDEX(Hours!D:D,MATCH(C44,Hours!$A:$A,0))+I44*INDEX(Hours!E:E,MATCH(C44,Hours!$A:$A,0))+J44*INDEX(Hours!F:F,MATCH(C44,Hours!$A:$A,0))+K44*INDEX(Hours!G:G,MATCH(C44,Hours!$A:$A,0)))</f>
        <v>0</v>
      </c>
      <c r="S44" s="19">
        <f t="shared" si="1"/>
        <v>0</v>
      </c>
    </row>
    <row r="45" spans="1:19" x14ac:dyDescent="0.25">
      <c r="A45" s="15" t="str">
        <f>'Bldgs &amp; Rooms'!$A$3</f>
        <v>Main Bldg.</v>
      </c>
      <c r="B45" s="15">
        <f>'Bldgs &amp; Rooms'!$B$3</f>
        <v>0</v>
      </c>
      <c r="C45" s="14" t="str">
        <f>Hours!$A$8</f>
        <v>Panelboard-Single Cover &gt; 400A (Distribution Panel)</v>
      </c>
      <c r="D45" s="15">
        <f t="shared" si="0"/>
        <v>0</v>
      </c>
      <c r="E45" s="16">
        <f>IF('Components Yr 1'!E45=0,0,'Components Yr 1'!E45)</f>
        <v>0</v>
      </c>
      <c r="F45" s="17">
        <f>IF('Components Yr 1'!F45=0,0,'Components Yr 1'!F45)</f>
        <v>0</v>
      </c>
      <c r="G45" s="17">
        <f>IF('Components Yr 1'!G45=0,0,'Components Yr 1'!G45)</f>
        <v>0</v>
      </c>
      <c r="H45" s="17">
        <f>IF('Components Yr 1'!H45=0,0,'Components Yr 1'!H45)</f>
        <v>0</v>
      </c>
      <c r="I45" s="17">
        <f>IF('Components Yr 1'!I45=0,0,'Components Yr 1'!I45)</f>
        <v>0</v>
      </c>
      <c r="J45" s="17">
        <f>IF('Components Yr 1'!J45=0,0,'Components Yr 1'!J45)</f>
        <v>0</v>
      </c>
      <c r="K45" s="17">
        <f>IF('Components Yr 1'!K45=0,0,'Components Yr 1'!K45)</f>
        <v>0</v>
      </c>
      <c r="L45" s="12"/>
      <c r="M45" s="12"/>
      <c r="N45" s="12"/>
      <c r="O45" s="17">
        <f>IF('Components Yr 1'!O45=0,0,'Components Yr 1'!O45)</f>
        <v>0</v>
      </c>
      <c r="P45" s="12"/>
      <c r="Q45" s="17"/>
      <c r="R45" s="18">
        <f>IF(SUMPRODUCT((E45:Q45)*1)=0,0,E45*INDEX(Hours!M:M,MATCH(C45,Hours!$A:$A,0))+F45*INDEX(Hours!B:B,MATCH(C45,Hours!$A:$A,0))+G45*INDEX(Hours!C:C,MATCH(C45,Hours!$A:$A,0))+H45*INDEX(Hours!D:D,MATCH(C45,Hours!$A:$A,0))+I45*INDEX(Hours!E:E,MATCH(C45,Hours!$A:$A,0))+J45*INDEX(Hours!F:F,MATCH(C45,Hours!$A:$A,0))+K45*INDEX(Hours!G:G,MATCH(C45,Hours!$A:$A,0))+O45*INDEX(Hours!K:K,MATCH(C45,Hours!$A:$A,0)))</f>
        <v>0</v>
      </c>
      <c r="S45" s="19">
        <f t="shared" si="1"/>
        <v>0</v>
      </c>
    </row>
    <row r="46" spans="1:19" x14ac:dyDescent="0.25">
      <c r="A46" s="15" t="str">
        <f>'Bldgs &amp; Rooms'!$A$3</f>
        <v>Main Bldg.</v>
      </c>
      <c r="B46" s="15">
        <f>'Bldgs &amp; Rooms'!$B$3</f>
        <v>0</v>
      </c>
      <c r="C46" s="14" t="str">
        <f>Hours!$A$9</f>
        <v>Panelboard-Single Cover &lt; 400A (Branch Ckt Panel)</v>
      </c>
      <c r="D46" s="15">
        <f t="shared" si="0"/>
        <v>0</v>
      </c>
      <c r="E46" s="16">
        <f>IF('Components Yr 1'!E46=0,0,'Components Yr 1'!E46)</f>
        <v>0</v>
      </c>
      <c r="F46" s="17">
        <f>IF('Components Yr 1'!F46=0,0,'Components Yr 1'!F46)</f>
        <v>0</v>
      </c>
      <c r="G46" s="17">
        <f>IF('Components Yr 1'!G46=0,0,'Components Yr 1'!G46)</f>
        <v>0</v>
      </c>
      <c r="H46" s="17">
        <f>IF('Components Yr 1'!H46=0,0,'Components Yr 1'!H46)</f>
        <v>0</v>
      </c>
      <c r="I46" s="17">
        <f>IF('Components Yr 1'!I46=0,0,'Components Yr 1'!I46)</f>
        <v>0</v>
      </c>
      <c r="J46" s="17">
        <f>IF('Components Yr 1'!J46=0,0,'Components Yr 1'!J46)</f>
        <v>0</v>
      </c>
      <c r="K46" s="12"/>
      <c r="L46" s="12"/>
      <c r="M46" s="12"/>
      <c r="N46" s="12"/>
      <c r="O46" s="17">
        <f>IF('Components Yr 1'!O46=0,0,'Components Yr 1'!O46)</f>
        <v>0</v>
      </c>
      <c r="P46" s="12"/>
      <c r="Q46" s="17"/>
      <c r="R46" s="18">
        <f>IF(SUMPRODUCT((E46:Q46)*1)=0,0,E46*INDEX(Hours!M:M,MATCH(C46,Hours!$A:$A,0))+F46*INDEX(Hours!B:B,MATCH(C46,Hours!$A:$A,0))+G46*INDEX(Hours!C:C,MATCH(C46,Hours!$A:$A,0))+H46*INDEX(Hours!D:D,MATCH(C46,Hours!$A:$A,0))+I46*INDEX(Hours!E:E,MATCH(C46,Hours!$A:$A,0))+J46*INDEX(Hours!F:F,MATCH(C46,Hours!$A:$A,0))+O46*INDEX(Hours!K:K,MATCH(C46,Hours!$A:$A,0)))</f>
        <v>0</v>
      </c>
      <c r="S46" s="19">
        <f t="shared" si="1"/>
        <v>0</v>
      </c>
    </row>
    <row r="47" spans="1:19" x14ac:dyDescent="0.25">
      <c r="A47" s="15" t="str">
        <f>'Bldgs &amp; Rooms'!$A$3</f>
        <v>Main Bldg.</v>
      </c>
      <c r="B47" s="15">
        <f>'Bldgs &amp; Rooms'!$B$3</f>
        <v>0</v>
      </c>
      <c r="C47" s="14" t="str">
        <f>Hours!$A$10</f>
        <v>Motor Control Center (MCC-Per Vertical Section)</v>
      </c>
      <c r="D47" s="15">
        <f t="shared" si="0"/>
        <v>0</v>
      </c>
      <c r="E47" s="16">
        <f>IF('Components Yr 1'!E47=0,0,'Components Yr 1'!E47)</f>
        <v>0</v>
      </c>
      <c r="F47" s="17">
        <f>IF('Components Yr 1'!F47=0,0,'Components Yr 1'!F47)</f>
        <v>0</v>
      </c>
      <c r="G47" s="17">
        <f>IF('Components Yr 1'!G47=0,0,'Components Yr 1'!G47)</f>
        <v>0</v>
      </c>
      <c r="H47" s="17">
        <f>IF('Components Yr 1'!H47=0,0,'Components Yr 1'!H47)</f>
        <v>0</v>
      </c>
      <c r="I47" s="17">
        <f>IF('Components Yr 1'!I47=0,0,'Components Yr 1'!I47)</f>
        <v>0</v>
      </c>
      <c r="J47" s="17">
        <f>IF('Components Yr 1'!J47=0,0,'Components Yr 1'!J47)</f>
        <v>0</v>
      </c>
      <c r="K47" s="12"/>
      <c r="L47" s="12"/>
      <c r="M47" s="12"/>
      <c r="N47" s="12"/>
      <c r="O47" s="17">
        <f>IF('Components Yr 1'!O47=0,0,'Components Yr 1'!O47)</f>
        <v>0</v>
      </c>
      <c r="P47" s="12"/>
      <c r="Q47" s="17"/>
      <c r="R47" s="18">
        <f>IF(SUMPRODUCT((E47:Q47)*1)=0,0,E47*INDEX(Hours!M:M,MATCH(C47,Hours!$A:$A,0))+F47*INDEX(Hours!B:B,MATCH(C47,Hours!$A:$A,0))+G47*INDEX(Hours!C:C,MATCH(C47,Hours!$A:$A,0))+H47*INDEX(Hours!D:D,MATCH(C47,Hours!$A:$A,0))+I47*INDEX(Hours!E:E,MATCH(C47,Hours!$A:$A,0))+J47*INDEX(Hours!F:F,MATCH(C47,Hours!$A:$A,0))+O47*INDEX(Hours!K:K,MATCH(C47,Hours!$A:$A,0)))</f>
        <v>0</v>
      </c>
      <c r="S47" s="19">
        <f t="shared" si="1"/>
        <v>0</v>
      </c>
    </row>
    <row r="48" spans="1:19" x14ac:dyDescent="0.25">
      <c r="A48" s="15" t="str">
        <f>'Bldgs &amp; Rooms'!$A$3</f>
        <v>Main Bldg.</v>
      </c>
      <c r="B48" s="15">
        <f>'Bldgs &amp; Rooms'!$B$3</f>
        <v>0</v>
      </c>
      <c r="C48" s="14" t="str">
        <f>Hours!$A$11</f>
        <v xml:space="preserve">  MCC: Combination Motor Starters</v>
      </c>
      <c r="D48" s="15">
        <f t="shared" si="0"/>
        <v>0</v>
      </c>
      <c r="E48" s="16">
        <f>IF('Components Yr 1'!E48=0,0,'Components Yr 1'!E48)</f>
        <v>0</v>
      </c>
      <c r="F48" s="17">
        <f>IF('Components Yr 1'!F48=0,0,'Components Yr 1'!F48)</f>
        <v>0</v>
      </c>
      <c r="G48" s="17">
        <f>IF('Components Yr 1'!G48=0,0,'Components Yr 1'!G48)</f>
        <v>0</v>
      </c>
      <c r="H48" s="17">
        <f>IF('Components Yr 1'!H48=0,0,'Components Yr 1'!H48)</f>
        <v>0</v>
      </c>
      <c r="I48" s="17">
        <f>IF('Components Yr 1'!I48=0,0,'Components Yr 1'!I48)</f>
        <v>0</v>
      </c>
      <c r="J48" s="17">
        <f>IF('Components Yr 1'!J48=0,0,'Components Yr 1'!J48)</f>
        <v>0</v>
      </c>
      <c r="K48" s="17">
        <f>IF('Components Yr 1'!K48=0,0,'Components Yr 1'!K48)</f>
        <v>0</v>
      </c>
      <c r="L48" s="12"/>
      <c r="M48" s="12"/>
      <c r="N48" s="12"/>
      <c r="O48" s="17">
        <f>IF('Components Yr 1'!O48=0,0,'Components Yr 1'!O48)</f>
        <v>0</v>
      </c>
      <c r="P48" s="12"/>
      <c r="Q48" s="17"/>
      <c r="R48" s="18">
        <f>IF(SUMPRODUCT((E48:Q48)*1)=0,0,E48*INDEX(Hours!M:M,MATCH(C48,Hours!$A:$A,0))+F48*INDEX(Hours!B:B,MATCH(C48,Hours!$A:$A,0))+G48*INDEX(Hours!C:C,MATCH(C48,Hours!$A:$A,0))+H48*INDEX(Hours!D:D,MATCH(C48,Hours!$A:$A,0))+I48*INDEX(Hours!E:E,MATCH(C48,Hours!$A:$A,0))+J48*INDEX(Hours!F:F,MATCH(C48,Hours!$A:$A,0))+K48*INDEX(Hours!G:G,MATCH(C48,Hours!$A:$A,0))+O48*INDEX(Hours!K:K,MATCH(C48,Hours!$A:$A,0)))</f>
        <v>0</v>
      </c>
      <c r="S48" s="19">
        <f t="shared" si="1"/>
        <v>0</v>
      </c>
    </row>
    <row r="49" spans="1:19" x14ac:dyDescent="0.25">
      <c r="A49" s="15" t="str">
        <f>'Bldgs &amp; Rooms'!$A$3</f>
        <v>Main Bldg.</v>
      </c>
      <c r="B49" s="15">
        <f>'Bldgs &amp; Rooms'!$B$3</f>
        <v>0</v>
      </c>
      <c r="C49" s="14" t="str">
        <f>Hours!$A$12</f>
        <v xml:space="preserve">  MCC: Molded Case Breaker</v>
      </c>
      <c r="D49" s="15">
        <f t="shared" si="0"/>
        <v>0</v>
      </c>
      <c r="E49" s="16">
        <f>IF('Components Yr 1'!E49=0,0,'Components Yr 1'!E49)</f>
        <v>0</v>
      </c>
      <c r="F49" s="17">
        <f>IF('Components Yr 1'!F49=0,0,'Components Yr 1'!F49)</f>
        <v>0</v>
      </c>
      <c r="G49" s="17">
        <f>IF('Components Yr 1'!G49=0,0,'Components Yr 1'!G49)</f>
        <v>0</v>
      </c>
      <c r="H49" s="17">
        <f>IF('Components Yr 1'!H49=0,0,'Components Yr 1'!H49)</f>
        <v>0</v>
      </c>
      <c r="I49" s="17">
        <f>IF('Components Yr 1'!I49=0,0,'Components Yr 1'!I49)</f>
        <v>0</v>
      </c>
      <c r="J49" s="17">
        <f>IF('Components Yr 1'!J49=0,0,'Components Yr 1'!J49)</f>
        <v>0</v>
      </c>
      <c r="K49" s="17">
        <f>IF('Components Yr 1'!K49=0,0,'Components Yr 1'!K49)</f>
        <v>0</v>
      </c>
      <c r="L49" s="12"/>
      <c r="M49" s="12"/>
      <c r="N49" s="12"/>
      <c r="O49" s="12"/>
      <c r="P49" s="12"/>
      <c r="Q49" s="17"/>
      <c r="R49" s="18">
        <f>IF(SUMPRODUCT((E49:Q49)*1)=0,0,E49*INDEX(Hours!M:M,MATCH(C49,Hours!$A:$A,0))+F49*INDEX(Hours!B:B,MATCH(C49,Hours!$A:$A,0))+G49*INDEX(Hours!C:C,MATCH(C49,Hours!$A:$A,0))+H49*INDEX(Hours!D:D,MATCH(C49,Hours!$A:$A,0))+I49*INDEX(Hours!E:E,MATCH(C49,Hours!$A:$A,0))+J49*INDEX(Hours!F:F,MATCH(C49,Hours!$A:$A,0))+K49*INDEX(Hours!G:G,MATCH(C49,Hours!$A:$A,0)))</f>
        <v>0</v>
      </c>
      <c r="S49" s="19">
        <f t="shared" si="1"/>
        <v>0</v>
      </c>
    </row>
    <row r="50" spans="1:19" x14ac:dyDescent="0.25">
      <c r="A50" s="15" t="str">
        <f>'Bldgs &amp; Rooms'!$A$3</f>
        <v>Main Bldg.</v>
      </c>
      <c r="B50" s="15">
        <f>'Bldgs &amp; Rooms'!$B$3</f>
        <v>0</v>
      </c>
      <c r="C50" s="14" t="str">
        <f>Hours!$A$13</f>
        <v xml:space="preserve">  MCC: Individual Disconnect Switch</v>
      </c>
      <c r="D50" s="15">
        <f t="shared" si="0"/>
        <v>0</v>
      </c>
      <c r="E50" s="16">
        <f>IF('Components Yr 1'!E50=0,0,'Components Yr 1'!E50)</f>
        <v>0</v>
      </c>
      <c r="F50" s="17">
        <f>IF('Components Yr 1'!F50=0,0,'Components Yr 1'!F50)</f>
        <v>0</v>
      </c>
      <c r="G50" s="17">
        <f>IF('Components Yr 1'!G50=0,0,'Components Yr 1'!G50)</f>
        <v>0</v>
      </c>
      <c r="H50" s="17">
        <f>IF('Components Yr 1'!H50=0,0,'Components Yr 1'!H50)</f>
        <v>0</v>
      </c>
      <c r="I50" s="17">
        <f>IF('Components Yr 1'!I50=0,0,'Components Yr 1'!I50)</f>
        <v>0</v>
      </c>
      <c r="J50" s="17">
        <f>IF('Components Yr 1'!J50=0,0,'Components Yr 1'!J50)</f>
        <v>0</v>
      </c>
      <c r="K50" s="12"/>
      <c r="L50" s="12"/>
      <c r="M50" s="12"/>
      <c r="N50" s="12"/>
      <c r="O50" s="12"/>
      <c r="P50" s="12"/>
      <c r="Q50" s="17"/>
      <c r="R50" s="18">
        <f>IF(SUMPRODUCT((E50:Q50)*1)=0,0,E50*INDEX(Hours!M:M,MATCH(C50,Hours!$A:$A,0))+F50*INDEX(Hours!B:B,MATCH(C50,Hours!$A:$A,0))+G50*INDEX(Hours!C:C,MATCH(C50,Hours!$A:$A,0))+H50*INDEX(Hours!D:D,MATCH(C50,Hours!$A:$A,0))+I50*INDEX(Hours!E:E,MATCH(C50,Hours!$A:$A,0))+J50*INDEX(Hours!F:F,MATCH(C50,Hours!$A:$A,0)))</f>
        <v>0</v>
      </c>
      <c r="S50" s="19">
        <f t="shared" si="1"/>
        <v>0</v>
      </c>
    </row>
    <row r="51" spans="1:19" x14ac:dyDescent="0.25">
      <c r="A51" s="15" t="str">
        <f>'Bldgs &amp; Rooms'!$A$3</f>
        <v>Main Bldg.</v>
      </c>
      <c r="B51" s="15">
        <f>'Bldgs &amp; Rooms'!$B$3</f>
        <v>0</v>
      </c>
      <c r="C51" s="14" t="str">
        <f>Hours!$A$14</f>
        <v>Motor Control Panel (MCP)</v>
      </c>
      <c r="D51" s="15">
        <f t="shared" si="0"/>
        <v>0</v>
      </c>
      <c r="E51" s="16">
        <f>IF('Components Yr 1'!E51=0,0,'Components Yr 1'!E51)</f>
        <v>0</v>
      </c>
      <c r="F51" s="17">
        <f>IF('Components Yr 1'!F51=0,0,'Components Yr 1'!F51)</f>
        <v>0</v>
      </c>
      <c r="G51" s="17">
        <f>IF('Components Yr 1'!G51=0,0,'Components Yr 1'!G51)</f>
        <v>0</v>
      </c>
      <c r="H51" s="17">
        <f>IF('Components Yr 1'!H51=0,0,'Components Yr 1'!H51)</f>
        <v>0</v>
      </c>
      <c r="I51" s="17">
        <f>IF('Components Yr 1'!I51=0,0,'Components Yr 1'!I51)</f>
        <v>0</v>
      </c>
      <c r="J51" s="17">
        <f>IF('Components Yr 1'!J51=0,0,'Components Yr 1'!J51)</f>
        <v>0</v>
      </c>
      <c r="K51" s="12"/>
      <c r="L51" s="12"/>
      <c r="M51" s="12"/>
      <c r="N51" s="12"/>
      <c r="O51" s="17">
        <f>IF('Components Yr 1'!O51=0,0,'Components Yr 1'!O51)</f>
        <v>0</v>
      </c>
      <c r="P51" s="12"/>
      <c r="Q51" s="17"/>
      <c r="R51" s="18">
        <f>IF(SUMPRODUCT((E51:Q51)*1)=0,0,E51*INDEX(Hours!M:M,MATCH(C51,Hours!$A:$A,0))+F51*INDEX(Hours!B:B,MATCH(C51,Hours!$A:$A,0))+G51*INDEX(Hours!C:C,MATCH(C51,Hours!$A:$A,0))+H51*INDEX(Hours!D:D,MATCH(C51,Hours!$A:$A,0))+I51*INDEX(Hours!E:E,MATCH(C51,Hours!$A:$A,0))+J51*INDEX(Hours!F:F,MATCH(C51,Hours!$A:$A,0))+O51*INDEX(Hours!K:K,MATCH(C51,Hours!$A:$A,0)))</f>
        <v>0</v>
      </c>
      <c r="S51" s="19">
        <f t="shared" si="1"/>
        <v>0</v>
      </c>
    </row>
    <row r="52" spans="1:19" x14ac:dyDescent="0.25">
      <c r="A52" s="15" t="str">
        <f>'Bldgs &amp; Rooms'!$A$3</f>
        <v>Main Bldg.</v>
      </c>
      <c r="B52" s="15">
        <f>'Bldgs &amp; Rooms'!$B$3</f>
        <v>0</v>
      </c>
      <c r="C52" s="14" t="str">
        <f>Hours!$A$15</f>
        <v>VFD Motor Control Panel (VFD-MCP)</v>
      </c>
      <c r="D52" s="15">
        <f t="shared" si="0"/>
        <v>0</v>
      </c>
      <c r="E52" s="16">
        <f>IF('Components Yr 1'!E52=0,0,'Components Yr 1'!E52)</f>
        <v>0</v>
      </c>
      <c r="F52" s="17">
        <f>IF('Components Yr 1'!F52=0,0,'Components Yr 1'!F52)</f>
        <v>0</v>
      </c>
      <c r="G52" s="17">
        <f>IF('Components Yr 1'!G52=0,0,'Components Yr 1'!G52)</f>
        <v>0</v>
      </c>
      <c r="H52" s="17">
        <f>IF('Components Yr 1'!H52=0,0,'Components Yr 1'!H52)</f>
        <v>0</v>
      </c>
      <c r="I52" s="17">
        <f>IF('Components Yr 1'!I52=0,0,'Components Yr 1'!I52)</f>
        <v>0</v>
      </c>
      <c r="J52" s="17">
        <f>IF('Components Yr 1'!J52=0,0,'Components Yr 1'!J52)</f>
        <v>0</v>
      </c>
      <c r="K52" s="12"/>
      <c r="L52" s="12"/>
      <c r="M52" s="12"/>
      <c r="N52" s="12"/>
      <c r="O52" s="17">
        <f>IF('Components Yr 1'!O52=0,0,'Components Yr 1'!O52)</f>
        <v>0</v>
      </c>
      <c r="P52" s="12"/>
      <c r="Q52" s="17"/>
      <c r="R52" s="18">
        <f>IF(SUMPRODUCT((E52:Q52)*1)=0,0,E52*INDEX(Hours!M:M,MATCH(C52,Hours!$A:$A,0))+F52*INDEX(Hours!B:B,MATCH(C52,Hours!$A:$A,0))+G52*INDEX(Hours!C:C,MATCH(C52,Hours!$A:$A,0))+H52*INDEX(Hours!D:D,MATCH(C52,Hours!$A:$A,0))+I52*INDEX(Hours!E:E,MATCH(C52,Hours!$A:$A,0))+J52*INDEX(Hours!F:F,MATCH(C52,Hours!$A:$A,0))+O52*INDEX(Hours!K:K,MATCH(C52,Hours!$A:$A,0)))</f>
        <v>0</v>
      </c>
      <c r="S52" s="19">
        <f t="shared" si="1"/>
        <v>0</v>
      </c>
    </row>
    <row r="53" spans="1:19" x14ac:dyDescent="0.25">
      <c r="A53" s="15" t="str">
        <f>'Bldgs &amp; Rooms'!$A$3</f>
        <v>Main Bldg.</v>
      </c>
      <c r="B53" s="15">
        <f>'Bldgs &amp; Rooms'!$B$3</f>
        <v>0</v>
      </c>
      <c r="C53" s="14" t="str">
        <f>Hours!$A$16</f>
        <v>Individual Disconnect Switch &gt; 100A</v>
      </c>
      <c r="D53" s="15">
        <f t="shared" si="0"/>
        <v>0</v>
      </c>
      <c r="E53" s="16">
        <f>IF('Components Yr 1'!E53=0,0,'Components Yr 1'!E53)</f>
        <v>0</v>
      </c>
      <c r="F53" s="17">
        <f>IF('Components Yr 1'!F53=0,0,'Components Yr 1'!F53)</f>
        <v>0</v>
      </c>
      <c r="G53" s="17">
        <f>IF('Components Yr 1'!G53=0,0,'Components Yr 1'!G53)</f>
        <v>0</v>
      </c>
      <c r="H53" s="17">
        <f>IF('Components Yr 1'!H53=0,0,'Components Yr 1'!H53)</f>
        <v>0</v>
      </c>
      <c r="I53" s="17">
        <f>IF('Components Yr 1'!I53=0,0,'Components Yr 1'!I53)</f>
        <v>0</v>
      </c>
      <c r="J53" s="17">
        <f>IF('Components Yr 1'!J53=0,0,'Components Yr 1'!J53)</f>
        <v>0</v>
      </c>
      <c r="K53" s="17">
        <f>IF('Components Yr 1'!K53=0,0,'Components Yr 1'!K53)</f>
        <v>0</v>
      </c>
      <c r="L53" s="12"/>
      <c r="M53" s="12"/>
      <c r="N53" s="12"/>
      <c r="O53" s="12"/>
      <c r="P53" s="12"/>
      <c r="Q53" s="17"/>
      <c r="R53" s="18">
        <f>IF(SUMPRODUCT((E53:Q53)*1)=0,0,E53*INDEX(Hours!M:M,MATCH(C53,Hours!$A:$A,0))+F53*INDEX(Hours!B:B,MATCH(C53,Hours!$A:$A,0))+G53*INDEX(Hours!C:C,MATCH(C53,Hours!$A:$A,0))+H53*INDEX(Hours!D:D,MATCH(C53,Hours!$A:$A,0))+I53*INDEX(Hours!E:E,MATCH(C53,Hours!$A:$A,0))+J53*INDEX(Hours!F:F,MATCH(C53,Hours!$A:$A,0))+K53*INDEX(Hours!G:G,MATCH(C53,Hours!$A:$A,0)))</f>
        <v>0</v>
      </c>
      <c r="S53" s="19">
        <f t="shared" si="1"/>
        <v>0</v>
      </c>
    </row>
    <row r="54" spans="1:19" x14ac:dyDescent="0.25">
      <c r="A54" s="15" t="str">
        <f>'Bldgs &amp; Rooms'!$A$3</f>
        <v>Main Bldg.</v>
      </c>
      <c r="B54" s="15">
        <f>'Bldgs &amp; Rooms'!$B$3</f>
        <v>0</v>
      </c>
      <c r="C54" s="14" t="str">
        <f>Hours!$A$17</f>
        <v>Individual Molded Case Breaker &gt; 100A</v>
      </c>
      <c r="D54" s="15">
        <f t="shared" si="0"/>
        <v>0</v>
      </c>
      <c r="E54" s="16">
        <f>IF('Components Yr 1'!E54=0,0,'Components Yr 1'!E54)</f>
        <v>0</v>
      </c>
      <c r="F54" s="17">
        <f>IF('Components Yr 1'!F54=0,0,'Components Yr 1'!F54)</f>
        <v>0</v>
      </c>
      <c r="G54" s="17">
        <f>IF('Components Yr 1'!G54=0,0,'Components Yr 1'!G54)</f>
        <v>0</v>
      </c>
      <c r="H54" s="17">
        <f>IF('Components Yr 1'!H54=0,0,'Components Yr 1'!H54)</f>
        <v>0</v>
      </c>
      <c r="I54" s="17">
        <f>IF('Components Yr 1'!I54=0,0,'Components Yr 1'!I54)</f>
        <v>0</v>
      </c>
      <c r="J54" s="17">
        <f>IF('Components Yr 1'!J54=0,0,'Components Yr 1'!J54)</f>
        <v>0</v>
      </c>
      <c r="K54" s="17">
        <f>IF('Components Yr 1'!K54=0,0,'Components Yr 1'!K54)</f>
        <v>0</v>
      </c>
      <c r="L54" s="12"/>
      <c r="M54" s="12"/>
      <c r="N54" s="12"/>
      <c r="O54" s="12"/>
      <c r="P54" s="12"/>
      <c r="Q54" s="17"/>
      <c r="R54" s="18">
        <f>IF(SUMPRODUCT((E54:Q54)*1)=0,0,E54*INDEX(Hours!M:M,MATCH(C54,Hours!$A:$A,0))+F54*INDEX(Hours!B:B,MATCH(C54,Hours!$A:$A,0))+G54*INDEX(Hours!C:C,MATCH(C54,Hours!$A:$A,0))+H54*INDEX(Hours!D:D,MATCH(C54,Hours!$A:$A,0))+I54*INDEX(Hours!E:E,MATCH(C54,Hours!$A:$A,0))+J54*INDEX(Hours!F:F,MATCH(C54,Hours!$A:$A,0))+K54*INDEX(Hours!G:G,MATCH(C54,Hours!$A:$A,0)))</f>
        <v>0</v>
      </c>
      <c r="S54" s="19">
        <f t="shared" si="1"/>
        <v>0</v>
      </c>
    </row>
    <row r="55" spans="1:19" x14ac:dyDescent="0.25">
      <c r="A55" s="15" t="str">
        <f>'Bldgs &amp; Rooms'!$A$3</f>
        <v>Main Bldg.</v>
      </c>
      <c r="B55" s="15">
        <f>'Bldgs &amp; Rooms'!$B$3</f>
        <v>0</v>
      </c>
      <c r="C55" s="14" t="str">
        <f>Hours!$A$18</f>
        <v>Individual Combination Motor Starter &gt; 100A</v>
      </c>
      <c r="D55" s="15">
        <f t="shared" si="0"/>
        <v>0</v>
      </c>
      <c r="E55" s="16">
        <f>IF('Components Yr 1'!E55=0,0,'Components Yr 1'!E55)</f>
        <v>0</v>
      </c>
      <c r="F55" s="17">
        <f>IF('Components Yr 1'!F55=0,0,'Components Yr 1'!F55)</f>
        <v>0</v>
      </c>
      <c r="G55" s="17">
        <f>IF('Components Yr 1'!G55=0,0,'Components Yr 1'!G55)</f>
        <v>0</v>
      </c>
      <c r="H55" s="17">
        <f>IF('Components Yr 1'!H55=0,0,'Components Yr 1'!H55)</f>
        <v>0</v>
      </c>
      <c r="I55" s="17">
        <f>IF('Components Yr 1'!I55=0,0,'Components Yr 1'!I55)</f>
        <v>0</v>
      </c>
      <c r="J55" s="17">
        <f>IF('Components Yr 1'!J55=0,0,'Components Yr 1'!J55)</f>
        <v>0</v>
      </c>
      <c r="K55" s="17">
        <f>IF('Components Yr 1'!K55=0,0,'Components Yr 1'!K55)</f>
        <v>0</v>
      </c>
      <c r="L55" s="12"/>
      <c r="M55" s="12"/>
      <c r="N55" s="12"/>
      <c r="O55" s="12"/>
      <c r="P55" s="12"/>
      <c r="Q55" s="17"/>
      <c r="R55" s="18">
        <f>IF(SUMPRODUCT((E55:Q55)*1)=0,0,E55*INDEX(Hours!M:M,MATCH(C55,Hours!$A:$A,0))+F55*INDEX(Hours!B:B,MATCH(C55,Hours!$A:$A,0))+G55*INDEX(Hours!C:C,MATCH(C55,Hours!$A:$A,0))+H55*INDEX(Hours!D:D,MATCH(C55,Hours!$A:$A,0))+I55*INDEX(Hours!E:E,MATCH(C55,Hours!$A:$A,0))+J55*INDEX(Hours!F:F,MATCH(C55,Hours!$A:$A,0))+K55*INDEX(Hours!G:G,MATCH(C55,Hours!$A:$A,0)))</f>
        <v>0</v>
      </c>
      <c r="S55" s="19">
        <f t="shared" si="1"/>
        <v>0</v>
      </c>
    </row>
    <row r="56" spans="1:19" x14ac:dyDescent="0.25">
      <c r="A56" s="15" t="str">
        <f>'Bldgs &amp; Rooms'!$A$3</f>
        <v>Main Bldg.</v>
      </c>
      <c r="B56" s="15">
        <f>'Bldgs &amp; Rooms'!$B$3</f>
        <v>0</v>
      </c>
      <c r="C56" s="14" t="str">
        <f>Hours!$A$19</f>
        <v>Oil Filled Transformer - 5kV-15kV Primary - Any Size (Pad Mounted)</v>
      </c>
      <c r="D56" s="15">
        <f t="shared" si="0"/>
        <v>0</v>
      </c>
      <c r="E56" s="16">
        <f>IF('Components Yr 1'!E56=0,0,'Components Yr 1'!E56)</f>
        <v>0</v>
      </c>
      <c r="F56" s="17">
        <f>IF('Components Yr 1'!F56=0,0,'Components Yr 1'!F56)</f>
        <v>0</v>
      </c>
      <c r="G56" s="17">
        <f>IF('Components Yr 1'!G56=0,0,'Components Yr 1'!G56)</f>
        <v>0</v>
      </c>
      <c r="H56" s="17">
        <f>IF('Components Yr 1'!H56=0,0,'Components Yr 1'!H56)</f>
        <v>0</v>
      </c>
      <c r="I56" s="17">
        <f>IF('Components Yr 1'!I56=0,0,'Components Yr 1'!I56)</f>
        <v>0</v>
      </c>
      <c r="J56" s="17">
        <f>IF('Components Yr 1'!J56=0,0,'Components Yr 1'!J56)</f>
        <v>0</v>
      </c>
      <c r="K56" s="12"/>
      <c r="L56" s="12"/>
      <c r="M56" s="17">
        <f>IF('Components Yr 1'!M56=0,0,'Components Yr 1'!M56)</f>
        <v>0</v>
      </c>
      <c r="N56" s="17">
        <f>IF('Components Yr 1'!N56=0,0,'Components Yr 1'!N56)</f>
        <v>0</v>
      </c>
      <c r="O56" s="12"/>
      <c r="P56" s="17">
        <f>IF('Components Yr 1'!P56=0,0,'Components Yr 1'!P56)</f>
        <v>0</v>
      </c>
      <c r="Q56" s="17"/>
      <c r="R56" s="18">
        <f>IF(SUMPRODUCT((E56:Q56)*1)=0,0,E56*INDEX(Hours!M:M,MATCH(C56,Hours!$A:$A,0))+F56*INDEX(Hours!B:B,MATCH(C56,Hours!$A:$A,0))+G56*INDEX(Hours!C:C,MATCH(C56,Hours!$A:$A,0))+H56*INDEX(Hours!D:D,MATCH(C56,Hours!$A:$A,0))+I56*INDEX(Hours!E:E,MATCH(C56,Hours!$A:$A,0))+J56*INDEX(Hours!F:F,MATCH(C56,Hours!$A:$A,0))+M56*INDEX(Hours!I:I,MATCH(C56,Hours!$A:$A,0))+N56*INDEX(Hours!J:J,MATCH(C56,Hours!$A:$A,0))+P56*INDEX(Hours!L:L,MATCH(C56,Hours!$A:$A,0)))</f>
        <v>0</v>
      </c>
      <c r="S56" s="19">
        <f t="shared" si="1"/>
        <v>0</v>
      </c>
    </row>
    <row r="57" spans="1:19" x14ac:dyDescent="0.25">
      <c r="A57" s="15" t="str">
        <f>'Bldgs &amp; Rooms'!$A$3</f>
        <v>Main Bldg.</v>
      </c>
      <c r="B57" s="15">
        <f>'Bldgs &amp; Rooms'!$B$3</f>
        <v>0</v>
      </c>
      <c r="C57" s="14" t="str">
        <f>Hours!$A$20</f>
        <v>Oil Filled Transformer - &gt; 15kV Primary (Substation Class)</v>
      </c>
      <c r="D57" s="15">
        <f t="shared" si="0"/>
        <v>0</v>
      </c>
      <c r="E57" s="16">
        <f>IF('Components Yr 1'!E57=0,0,'Components Yr 1'!E57)</f>
        <v>0</v>
      </c>
      <c r="F57" s="17">
        <f>IF('Components Yr 1'!F57=0,0,'Components Yr 1'!F57)</f>
        <v>0</v>
      </c>
      <c r="G57" s="17">
        <f>IF('Components Yr 1'!G57=0,0,'Components Yr 1'!G57)</f>
        <v>0</v>
      </c>
      <c r="H57" s="17">
        <f>IF('Components Yr 1'!H57=0,0,'Components Yr 1'!H57)</f>
        <v>0</v>
      </c>
      <c r="I57" s="17">
        <f>IF('Components Yr 1'!I57=0,0,'Components Yr 1'!I57)</f>
        <v>0</v>
      </c>
      <c r="J57" s="17">
        <f>IF('Components Yr 1'!J57=0,0,'Components Yr 1'!J57)</f>
        <v>0</v>
      </c>
      <c r="K57" s="12"/>
      <c r="L57" s="12"/>
      <c r="M57" s="17">
        <f>IF('Components Yr 1'!M57=0,0,'Components Yr 1'!M57)</f>
        <v>0</v>
      </c>
      <c r="N57" s="17">
        <f>IF('Components Yr 1'!N57=0,0,'Components Yr 1'!N57)</f>
        <v>0</v>
      </c>
      <c r="O57" s="12"/>
      <c r="P57" s="17">
        <f>IF('Components Yr 1'!P57=0,0,'Components Yr 1'!P57)</f>
        <v>0</v>
      </c>
      <c r="Q57" s="17"/>
      <c r="R57" s="18">
        <f>IF(SUMPRODUCT((E57:Q57)*1)=0,0,E57*INDEX(Hours!M:M,MATCH(C57,Hours!$A:$A,0))+F57*INDEX(Hours!B:B,MATCH(C57,Hours!$A:$A,0))+G57*INDEX(Hours!C:C,MATCH(C57,Hours!$A:$A,0))+H57*INDEX(Hours!D:D,MATCH(C57,Hours!$A:$A,0))+I57*INDEX(Hours!E:E,MATCH(C57,Hours!$A:$A,0))+J57*INDEX(Hours!F:F,MATCH(C57,Hours!$A:$A,0))+M57*INDEX(Hours!I:I,MATCH(C57,Hours!$A:$A,0))+N57*INDEX(Hours!J:J,MATCH(C57,Hours!$A:$A,0))+P57*INDEX(Hours!L:L,MATCH(C57,Hours!$A:$A,0)))</f>
        <v>0</v>
      </c>
      <c r="S57" s="19">
        <f t="shared" si="1"/>
        <v>0</v>
      </c>
    </row>
    <row r="58" spans="1:19" x14ac:dyDescent="0.25">
      <c r="A58" s="15" t="str">
        <f>'Bldgs &amp; Rooms'!$A$3</f>
        <v>Main Bldg.</v>
      </c>
      <c r="B58" s="15">
        <f>'Bldgs &amp; Rooms'!$B$3</f>
        <v>0</v>
      </c>
      <c r="C58" s="14" t="str">
        <f>Hours!$A$21</f>
        <v>Dry Type Transformer - &lt; 480V Primary - Any Size kVA</v>
      </c>
      <c r="D58" s="15">
        <f t="shared" si="0"/>
        <v>0</v>
      </c>
      <c r="E58" s="16">
        <f>IF('Components Yr 1'!E58=0,0,'Components Yr 1'!E58)</f>
        <v>0</v>
      </c>
      <c r="F58" s="17">
        <f>IF('Components Yr 1'!F58=0,0,'Components Yr 1'!F58)</f>
        <v>0</v>
      </c>
      <c r="G58" s="17">
        <f>IF('Components Yr 1'!G58=0,0,'Components Yr 1'!G58)</f>
        <v>0</v>
      </c>
      <c r="H58" s="17">
        <f>IF('Components Yr 1'!H58=0,0,'Components Yr 1'!H58)</f>
        <v>0</v>
      </c>
      <c r="I58" s="17">
        <f>IF('Components Yr 1'!I58=0,0,'Components Yr 1'!I58)</f>
        <v>0</v>
      </c>
      <c r="J58" s="17">
        <f>IF('Components Yr 1'!J58=0,0,'Components Yr 1'!J58)</f>
        <v>0</v>
      </c>
      <c r="K58" s="12"/>
      <c r="L58" s="12"/>
      <c r="M58" s="17">
        <f>IF('Components Yr 1'!M58=0,0,'Components Yr 1'!M58)</f>
        <v>0</v>
      </c>
      <c r="N58" s="17">
        <f>IF('Components Yr 1'!N58=0,0,'Components Yr 1'!N58)</f>
        <v>0</v>
      </c>
      <c r="O58" s="12"/>
      <c r="P58" s="12"/>
      <c r="Q58" s="17"/>
      <c r="R58" s="18">
        <f>IF(SUMPRODUCT((E58:Q58)*1)=0,0,E58*INDEX(Hours!M:M,MATCH(C58,Hours!$A:$A,0))+F58*INDEX(Hours!B:B,MATCH(C58,Hours!$A:$A,0))+G58*INDEX(Hours!C:C,MATCH(C58,Hours!$A:$A,0))+H58*INDEX(Hours!D:D,MATCH(C58,Hours!$A:$A,0))+I58*INDEX(Hours!E:E,MATCH(C58,Hours!$A:$A,0))+J58*INDEX(Hours!F:F,MATCH(C58,Hours!$A:$A,0))+M58*INDEX(Hours!I:I,MATCH(C58,Hours!$A:$A,0))+N58*INDEX(Hours!J:J,MATCH(C58,Hours!$A:$A,0)))</f>
        <v>0</v>
      </c>
      <c r="S58" s="19">
        <f t="shared" si="1"/>
        <v>0</v>
      </c>
    </row>
    <row r="59" spans="1:19" x14ac:dyDescent="0.25">
      <c r="A59" s="15" t="str">
        <f>'Bldgs &amp; Rooms'!$A$3</f>
        <v>Main Bldg.</v>
      </c>
      <c r="B59" s="15">
        <f>'Bldgs &amp; Rooms'!$B$3</f>
        <v>0</v>
      </c>
      <c r="C59" s="14" t="str">
        <f>Hours!$A$22</f>
        <v>Power Factor Correction Capacitors</v>
      </c>
      <c r="D59" s="15">
        <f t="shared" si="0"/>
        <v>0</v>
      </c>
      <c r="E59" s="16">
        <f>IF('Components Yr 1'!E59=0,0,'Components Yr 1'!E59)</f>
        <v>0</v>
      </c>
      <c r="F59" s="17">
        <f>IF('Components Yr 1'!F59=0,0,'Components Yr 1'!F59)</f>
        <v>0</v>
      </c>
      <c r="G59" s="17">
        <f>IF('Components Yr 1'!G59=0,0,'Components Yr 1'!G59)</f>
        <v>0</v>
      </c>
      <c r="H59" s="17">
        <f>IF('Components Yr 1'!H59=0,0,'Components Yr 1'!H59)</f>
        <v>0</v>
      </c>
      <c r="I59" s="17">
        <f>IF('Components Yr 1'!I59=0,0,'Components Yr 1'!I59)</f>
        <v>0</v>
      </c>
      <c r="J59" s="17">
        <f>IF('Components Yr 1'!J59=0,0,'Components Yr 1'!J59)</f>
        <v>0</v>
      </c>
      <c r="K59" s="12"/>
      <c r="L59" s="12"/>
      <c r="M59" s="12"/>
      <c r="N59" s="12"/>
      <c r="O59" s="12"/>
      <c r="P59" s="12"/>
      <c r="Q59" s="17"/>
      <c r="R59" s="18">
        <f>IF(SUMPRODUCT((E59:Q59)*1)=0,0,E59*INDEX(Hours!M:M,MATCH(C59,Hours!$A:$A,0))+F59*INDEX(Hours!B:B,MATCH(C59,Hours!$A:$A,0))+G59*INDEX(Hours!C:C,MATCH(C59,Hours!$A:$A,0))+H59*INDEX(Hours!D:D,MATCH(C59,Hours!$A:$A,0))+I59*INDEX(Hours!E:E,MATCH(C59,Hours!$A:$A,0))+J59*INDEX(Hours!F:F,MATCH(C59,Hours!$A:$A,0)))</f>
        <v>0</v>
      </c>
      <c r="S59" s="19">
        <f t="shared" si="1"/>
        <v>0</v>
      </c>
    </row>
    <row r="60" spans="1:19" x14ac:dyDescent="0.25">
      <c r="A60" s="15" t="str">
        <f>'Bldgs &amp; Rooms'!$A$3</f>
        <v>Main Bldg.</v>
      </c>
      <c r="B60" s="15">
        <f>'Bldgs &amp; Rooms'!$B$3</f>
        <v>0</v>
      </c>
      <c r="C60" s="14" t="str">
        <f>Hours!$A$23</f>
        <v>Lighting Contactor &gt; 100A</v>
      </c>
      <c r="D60" s="15">
        <f t="shared" si="0"/>
        <v>0</v>
      </c>
      <c r="E60" s="16">
        <f>IF('Components Yr 1'!E60=0,0,'Components Yr 1'!E60)</f>
        <v>0</v>
      </c>
      <c r="F60" s="17">
        <f>IF('Components Yr 1'!F60=0,0,'Components Yr 1'!F60)</f>
        <v>0</v>
      </c>
      <c r="G60" s="17">
        <f>IF('Components Yr 1'!G60=0,0,'Components Yr 1'!G60)</f>
        <v>0</v>
      </c>
      <c r="H60" s="17">
        <f>IF('Components Yr 1'!H60=0,0,'Components Yr 1'!H60)</f>
        <v>0</v>
      </c>
      <c r="I60" s="17">
        <f>IF('Components Yr 1'!I60=0,0,'Components Yr 1'!I60)</f>
        <v>0</v>
      </c>
      <c r="J60" s="17">
        <f>IF('Components Yr 1'!J60=0,0,'Components Yr 1'!J60)</f>
        <v>0</v>
      </c>
      <c r="K60" s="12"/>
      <c r="L60" s="12"/>
      <c r="M60" s="12"/>
      <c r="N60" s="12"/>
      <c r="O60" s="12"/>
      <c r="P60" s="12"/>
      <c r="Q60" s="17"/>
      <c r="R60" s="18">
        <f>IF(SUMPRODUCT((E60:Q60)*1)=0,0,E60*INDEX(Hours!M:M,MATCH(C60,Hours!$A:$A,0))+F60*INDEX(Hours!B:B,MATCH(C60,Hours!$A:$A,0))+G60*INDEX(Hours!C:C,MATCH(C60,Hours!$A:$A,0))+H60*INDEX(Hours!D:D,MATCH(C60,Hours!$A:$A,0))+I60*INDEX(Hours!E:E,MATCH(C60,Hours!$A:$A,0))+J60*INDEX(Hours!F:F,MATCH(C60,Hours!$A:$A,0)))</f>
        <v>0</v>
      </c>
      <c r="S60" s="19">
        <f t="shared" si="1"/>
        <v>0</v>
      </c>
    </row>
    <row r="61" spans="1:19" x14ac:dyDescent="0.25">
      <c r="A61" s="15" t="str">
        <f>'Bldgs &amp; Rooms'!$A$3</f>
        <v>Main Bldg.</v>
      </c>
      <c r="B61" s="15">
        <f>'Bldgs &amp; Rooms'!$B$3</f>
        <v>0</v>
      </c>
      <c r="C61" s="14" t="str">
        <f>Hours!$A$24</f>
        <v>Power Distribution Unit (PDU)</v>
      </c>
      <c r="D61" s="15">
        <f t="shared" si="0"/>
        <v>0</v>
      </c>
      <c r="E61" s="16">
        <f>IF('Components Yr 1'!E61=0,0,'Components Yr 1'!E61)</f>
        <v>0</v>
      </c>
      <c r="F61" s="17">
        <f>IF('Components Yr 1'!F61=0,0,'Components Yr 1'!F61)</f>
        <v>0</v>
      </c>
      <c r="G61" s="17">
        <f>IF('Components Yr 1'!G61=0,0,'Components Yr 1'!G61)</f>
        <v>0</v>
      </c>
      <c r="H61" s="17">
        <f>IF('Components Yr 1'!H61=0,0,'Components Yr 1'!H61)</f>
        <v>0</v>
      </c>
      <c r="I61" s="17">
        <f>IF('Components Yr 1'!I61=0,0,'Components Yr 1'!I61)</f>
        <v>0</v>
      </c>
      <c r="J61" s="17">
        <f>IF('Components Yr 1'!J61=0,0,'Components Yr 1'!J61)</f>
        <v>0</v>
      </c>
      <c r="K61" s="12"/>
      <c r="L61" s="12"/>
      <c r="M61" s="12"/>
      <c r="N61" s="12"/>
      <c r="O61" s="12"/>
      <c r="P61" s="12"/>
      <c r="Q61" s="17"/>
      <c r="R61" s="18">
        <f>IF(SUMPRODUCT((E61:Q61)*1)=0,0,E61*INDEX(Hours!M:M,MATCH(C61,Hours!$A:$A,0))+F61*INDEX(Hours!B:B,MATCH(C61,Hours!$A:$A,0))+G61*INDEX(Hours!C:C,MATCH(C61,Hours!$A:$A,0))+H61*INDEX(Hours!D:D,MATCH(C61,Hours!$A:$A,0))+I61*INDEX(Hours!E:E,MATCH(C61,Hours!$A:$A,0))+J61*INDEX(Hours!F:F,MATCH(C61,Hours!$A:$A,0)))</f>
        <v>0</v>
      </c>
      <c r="S61" s="19">
        <f t="shared" si="1"/>
        <v>0</v>
      </c>
    </row>
    <row r="62" spans="1:19" x14ac:dyDescent="0.25">
      <c r="A62" s="15" t="str">
        <f>'Bldgs &amp; Rooms'!$A$3</f>
        <v>Main Bldg.</v>
      </c>
      <c r="B62" s="15">
        <f>'Bldgs &amp; Rooms'!$B$3</f>
        <v>0</v>
      </c>
      <c r="C62" s="14" t="str">
        <f>Hours!$A$25</f>
        <v>Wire Trough, Gutter, or Large Junction Boxes</v>
      </c>
      <c r="D62" s="15">
        <f t="shared" si="0"/>
        <v>0</v>
      </c>
      <c r="E62" s="16">
        <f>IF('Components Yr 1'!E62=0,0,'Components Yr 1'!E62)</f>
        <v>0</v>
      </c>
      <c r="F62" s="17">
        <f>IF('Components Yr 1'!F62=0,0,'Components Yr 1'!F62)</f>
        <v>0</v>
      </c>
      <c r="G62" s="17">
        <f>IF('Components Yr 1'!G62=0,0,'Components Yr 1'!G62)</f>
        <v>0</v>
      </c>
      <c r="H62" s="17">
        <f>IF('Components Yr 1'!H62=0,0,'Components Yr 1'!H62)</f>
        <v>0</v>
      </c>
      <c r="I62" s="17">
        <f>IF('Components Yr 1'!I62=0,0,'Components Yr 1'!I62)</f>
        <v>0</v>
      </c>
      <c r="J62" s="17">
        <f>IF('Components Yr 1'!J62=0,0,'Components Yr 1'!J62)</f>
        <v>0</v>
      </c>
      <c r="K62" s="12"/>
      <c r="L62" s="12"/>
      <c r="M62" s="12"/>
      <c r="N62" s="12"/>
      <c r="O62" s="12"/>
      <c r="P62" s="12"/>
      <c r="Q62" s="17"/>
      <c r="R62" s="18">
        <f>IF(SUMPRODUCT((E62:Q62)*1)=0,0,E62*INDEX(Hours!M:M,MATCH(C62,Hours!$A:$A,0))+F62*INDEX(Hours!B:B,MATCH(C62,Hours!$A:$A,0))+G62*INDEX(Hours!C:C,MATCH(C62,Hours!$A:$A,0))+H62*INDEX(Hours!D:D,MATCH(C62,Hours!$A:$A,0))+I62*INDEX(Hours!E:E,MATCH(C62,Hours!$A:$A,0))+J62*INDEX(Hours!F:F,MATCH(C62,Hours!$A:$A,0)))</f>
        <v>0</v>
      </c>
      <c r="S62" s="19">
        <f t="shared" si="1"/>
        <v>0</v>
      </c>
    </row>
    <row r="63" spans="1:19" x14ac:dyDescent="0.25">
      <c r="A63" s="15" t="str">
        <f>'Bldgs &amp; Rooms'!$A$3</f>
        <v>Main Bldg.</v>
      </c>
      <c r="B63" s="15">
        <f>'Bldgs &amp; Rooms'!$B$3</f>
        <v>0</v>
      </c>
      <c r="C63" s="14" t="str">
        <f>Hours!$A$26</f>
        <v>Bus Duct - Vertical or Horizontal (Per 10' section)</v>
      </c>
      <c r="D63" s="15">
        <f t="shared" si="0"/>
        <v>0</v>
      </c>
      <c r="E63" s="16">
        <f>IF('Components Yr 1'!E63=0,0,'Components Yr 1'!E63)</f>
        <v>0</v>
      </c>
      <c r="F63" s="17">
        <f>IF('Components Yr 1'!F63=0,0,'Components Yr 1'!F63)</f>
        <v>0</v>
      </c>
      <c r="G63" s="17">
        <f>IF('Components Yr 1'!G63=0,0,'Components Yr 1'!G63)</f>
        <v>0</v>
      </c>
      <c r="H63" s="17">
        <f>IF('Components Yr 1'!H63=0,0,'Components Yr 1'!H63)</f>
        <v>0</v>
      </c>
      <c r="I63" s="17">
        <f>IF('Components Yr 1'!I63=0,0,'Components Yr 1'!I63)</f>
        <v>0</v>
      </c>
      <c r="J63" s="17">
        <f>IF('Components Yr 1'!J63=0,0,'Components Yr 1'!J63)</f>
        <v>0</v>
      </c>
      <c r="K63" s="12"/>
      <c r="L63" s="12"/>
      <c r="M63" s="12"/>
      <c r="N63" s="12"/>
      <c r="O63" s="12"/>
      <c r="P63" s="12"/>
      <c r="Q63" s="17"/>
      <c r="R63" s="18">
        <f>IF(SUMPRODUCT((E63:Q63)*1)=0,0,E63*INDEX(Hours!M:M,MATCH(C63,Hours!$A:$A,0))+F63*INDEX(Hours!B:B,MATCH(C63,Hours!$A:$A,0))+G63*INDEX(Hours!C:C,MATCH(C63,Hours!$A:$A,0))+H63*INDEX(Hours!D:D,MATCH(C63,Hours!$A:$A,0))+I63*INDEX(Hours!E:E,MATCH(C63,Hours!$A:$A,0))+J63*INDEX(Hours!F:F,MATCH(C63,Hours!$A:$A,0)))</f>
        <v>0</v>
      </c>
      <c r="S63" s="19">
        <f t="shared" si="1"/>
        <v>0</v>
      </c>
    </row>
    <row r="64" spans="1:19" x14ac:dyDescent="0.25">
      <c r="A64" s="15" t="str">
        <f>'Bldgs &amp; Rooms'!$A$3</f>
        <v>Main Bldg.</v>
      </c>
      <c r="B64" s="15">
        <f>'Bldgs &amp; Rooms'!$B$3</f>
        <v>0</v>
      </c>
      <c r="C64" s="14" t="str">
        <f>Hours!$A$27</f>
        <v>Automatic Transfer Switch (ATS) &gt; 100A</v>
      </c>
      <c r="D64" s="15">
        <f t="shared" si="0"/>
        <v>0</v>
      </c>
      <c r="E64" s="16">
        <f>IF('Components Yr 1'!E64=0,0,'Components Yr 1'!E64)</f>
        <v>0</v>
      </c>
      <c r="F64" s="17">
        <f>IF('Components Yr 1'!F64=0,0,'Components Yr 1'!F64)</f>
        <v>0</v>
      </c>
      <c r="G64" s="17">
        <f>IF('Components Yr 1'!G64=0,0,'Components Yr 1'!G64)</f>
        <v>0</v>
      </c>
      <c r="H64" s="17">
        <f>IF('Components Yr 1'!H64=0,0,'Components Yr 1'!H64)</f>
        <v>0</v>
      </c>
      <c r="I64" s="17">
        <f>IF('Components Yr 1'!I64=0,0,'Components Yr 1'!I64)</f>
        <v>0</v>
      </c>
      <c r="J64" s="17">
        <f>IF('Components Yr 1'!J64=0,0,'Components Yr 1'!J64)</f>
        <v>0</v>
      </c>
      <c r="K64" s="12"/>
      <c r="L64" s="12"/>
      <c r="M64" s="12"/>
      <c r="N64" s="12"/>
      <c r="O64" s="12"/>
      <c r="P64" s="12"/>
      <c r="Q64" s="17"/>
      <c r="R64" s="18">
        <f>IF(SUMPRODUCT((E64:Q64)*1)=0,0,E64*INDEX(Hours!M:M,MATCH(C64,Hours!$A:$A,0))+F64*INDEX(Hours!B:B,MATCH(C64,Hours!$A:$A,0))+G64*INDEX(Hours!C:C,MATCH(C64,Hours!$A:$A,0))+H64*INDEX(Hours!D:D,MATCH(C64,Hours!$A:$A,0))+I64*INDEX(Hours!E:E,MATCH(C64,Hours!$A:$A,0))+J64*INDEX(Hours!F:F,MATCH(C64,Hours!$A:$A,0)))</f>
        <v>0</v>
      </c>
      <c r="S64" s="19">
        <f t="shared" si="1"/>
        <v>0</v>
      </c>
    </row>
    <row r="65" spans="1:19" x14ac:dyDescent="0.25">
      <c r="A65" s="15" t="str">
        <f>'Bldgs &amp; Rooms'!$A$3</f>
        <v>Main Bldg.</v>
      </c>
      <c r="B65" s="15">
        <f>'Bldgs &amp; Rooms'!$B$3</f>
        <v>0</v>
      </c>
      <c r="C65" s="14" t="str">
        <f>Hours!$A$28</f>
        <v>Manual Transfer Switch (MTS) &gt; 100A</v>
      </c>
      <c r="D65" s="15">
        <f t="shared" si="0"/>
        <v>0</v>
      </c>
      <c r="E65" s="16">
        <f>IF('Components Yr 1'!E65=0,0,'Components Yr 1'!E65)</f>
        <v>0</v>
      </c>
      <c r="F65" s="17">
        <f>IF('Components Yr 1'!F65=0,0,'Components Yr 1'!F65)</f>
        <v>0</v>
      </c>
      <c r="G65" s="17">
        <f>IF('Components Yr 1'!G65=0,0,'Components Yr 1'!G65)</f>
        <v>0</v>
      </c>
      <c r="H65" s="17">
        <f>IF('Components Yr 1'!H65=0,0,'Components Yr 1'!H65)</f>
        <v>0</v>
      </c>
      <c r="I65" s="17">
        <f>IF('Components Yr 1'!I65=0,0,'Components Yr 1'!I65)</f>
        <v>0</v>
      </c>
      <c r="J65" s="17">
        <f>IF('Components Yr 1'!J65=0,0,'Components Yr 1'!J65)</f>
        <v>0</v>
      </c>
      <c r="K65" s="12"/>
      <c r="L65" s="12"/>
      <c r="M65" s="12"/>
      <c r="N65" s="12"/>
      <c r="O65" s="12"/>
      <c r="P65" s="12"/>
      <c r="Q65" s="17"/>
      <c r="R65" s="18">
        <f>IF(SUMPRODUCT((E65:Q65)*1)=0,0,E65*INDEX(Hours!M:M,MATCH(C65,Hours!$A:$A,0))+F65*INDEX(Hours!B:B,MATCH(C65,Hours!$A:$A,0))+G65*INDEX(Hours!C:C,MATCH(C65,Hours!$A:$A,0))+H65*INDEX(Hours!D:D,MATCH(C65,Hours!$A:$A,0))+I65*INDEX(Hours!E:E,MATCH(C65,Hours!$A:$A,0))+J65*INDEX(Hours!F:F,MATCH(C65,Hours!$A:$A,0)))</f>
        <v>0</v>
      </c>
      <c r="S65" s="19">
        <f t="shared" si="1"/>
        <v>0</v>
      </c>
    </row>
    <row r="66" spans="1:19" x14ac:dyDescent="0.25">
      <c r="A66" s="15" t="str">
        <f>'Bldgs &amp; Rooms'!$A$3</f>
        <v>Main Bldg.</v>
      </c>
      <c r="B66" s="15">
        <f>'Bldgs &amp; Rooms'!$B$3</f>
        <v>0</v>
      </c>
      <c r="C66" s="14" t="str">
        <f>Hours!$A$29</f>
        <v>Variable Frequency Drives (VFD) &lt; 50 HP</v>
      </c>
      <c r="D66" s="15">
        <f t="shared" ref="D66:D129" si="2">MAX(E66+F66,G66,H66,I66,J66,K66,L66,M66,N66,O66,P66,Q66)</f>
        <v>0</v>
      </c>
      <c r="E66" s="16">
        <f>IF('Components Yr 1'!E66=0,0,'Components Yr 1'!E66)</f>
        <v>0</v>
      </c>
      <c r="F66" s="17">
        <f>IF('Components Yr 1'!F66=0,0,'Components Yr 1'!F66)</f>
        <v>0</v>
      </c>
      <c r="G66" s="17">
        <f>IF('Components Yr 1'!G66=0,0,'Components Yr 1'!G66)</f>
        <v>0</v>
      </c>
      <c r="H66" s="17">
        <f>IF('Components Yr 1'!H66=0,0,'Components Yr 1'!H66)</f>
        <v>0</v>
      </c>
      <c r="I66" s="17">
        <f>IF('Components Yr 1'!I66=0,0,'Components Yr 1'!I66)</f>
        <v>0</v>
      </c>
      <c r="J66" s="17">
        <f>IF('Components Yr 1'!J66=0,0,'Components Yr 1'!J66)</f>
        <v>0</v>
      </c>
      <c r="K66" s="12"/>
      <c r="L66" s="12"/>
      <c r="M66" s="12"/>
      <c r="N66" s="12"/>
      <c r="O66" s="12"/>
      <c r="P66" s="12"/>
      <c r="Q66" s="17"/>
      <c r="R66" s="18">
        <f>IF(SUMPRODUCT((E66:Q66)*1)=0,0,E66*INDEX(Hours!M:M,MATCH(C66,Hours!$A:$A,0))+F66*INDEX(Hours!B:B,MATCH(C66,Hours!$A:$A,0))+G66*INDEX(Hours!C:C,MATCH(C66,Hours!$A:$A,0))+H66*INDEX(Hours!D:D,MATCH(C66,Hours!$A:$A,0))+I66*INDEX(Hours!E:E,MATCH(C66,Hours!$A:$A,0))+J66*INDEX(Hours!F:F,MATCH(C66,Hours!$A:$A,0)))</f>
        <v>0</v>
      </c>
      <c r="S66" s="19">
        <f t="shared" ref="S66:S129" si="3">MAX(E66+F66,G66,H66,I66,J66,K66,L66,M66,N66,O66,P66,Q66)</f>
        <v>0</v>
      </c>
    </row>
    <row r="67" spans="1:19" x14ac:dyDescent="0.25">
      <c r="A67" s="15" t="str">
        <f>'Bldgs &amp; Rooms'!$A$3</f>
        <v>Main Bldg.</v>
      </c>
      <c r="B67" s="15">
        <f>'Bldgs &amp; Rooms'!$B$3</f>
        <v>0</v>
      </c>
      <c r="C67" s="14" t="str">
        <f>Hours!$A$30</f>
        <v>Variable Frequency Drives (VFD) 51-200 HP</v>
      </c>
      <c r="D67" s="15">
        <f t="shared" si="2"/>
        <v>0</v>
      </c>
      <c r="E67" s="16">
        <f>IF('Components Yr 1'!E67=0,0,'Components Yr 1'!E67)</f>
        <v>0</v>
      </c>
      <c r="F67" s="17">
        <f>IF('Components Yr 1'!F67=0,0,'Components Yr 1'!F67)</f>
        <v>0</v>
      </c>
      <c r="G67" s="17">
        <f>IF('Components Yr 1'!G67=0,0,'Components Yr 1'!G67)</f>
        <v>0</v>
      </c>
      <c r="H67" s="17">
        <f>IF('Components Yr 1'!H67=0,0,'Components Yr 1'!H67)</f>
        <v>0</v>
      </c>
      <c r="I67" s="17">
        <f>IF('Components Yr 1'!I67=0,0,'Components Yr 1'!I67)</f>
        <v>0</v>
      </c>
      <c r="J67" s="17">
        <f>IF('Components Yr 1'!J67=0,0,'Components Yr 1'!J67)</f>
        <v>0</v>
      </c>
      <c r="K67" s="12"/>
      <c r="L67" s="12"/>
      <c r="M67" s="12"/>
      <c r="N67" s="12"/>
      <c r="O67" s="12"/>
      <c r="P67" s="12"/>
      <c r="Q67" s="17"/>
      <c r="R67" s="18">
        <f>IF(SUMPRODUCT((E67:Q67)*1)=0,0,E67*INDEX(Hours!M:M,MATCH(C67,Hours!$A:$A,0))+F67*INDEX(Hours!B:B,MATCH(C67,Hours!$A:$A,0))+G67*INDEX(Hours!C:C,MATCH(C67,Hours!$A:$A,0))+H67*INDEX(Hours!D:D,MATCH(C67,Hours!$A:$A,0))+I67*INDEX(Hours!E:E,MATCH(C67,Hours!$A:$A,0))+J67*INDEX(Hours!F:F,MATCH(C67,Hours!$A:$A,0)))</f>
        <v>0</v>
      </c>
      <c r="S67" s="19">
        <f t="shared" si="3"/>
        <v>0</v>
      </c>
    </row>
    <row r="68" spans="1:19" x14ac:dyDescent="0.25">
      <c r="A68" s="15" t="str">
        <f>'Bldgs &amp; Rooms'!$A$3</f>
        <v>Main Bldg.</v>
      </c>
      <c r="B68" s="15">
        <f>'Bldgs &amp; Rooms'!$B$3</f>
        <v>0</v>
      </c>
      <c r="C68" s="14" t="str">
        <f>Hours!$A$31</f>
        <v>Motors &lt; 50 HP</v>
      </c>
      <c r="D68" s="15">
        <f t="shared" si="2"/>
        <v>0</v>
      </c>
      <c r="E68" s="16">
        <f>IF('Components Yr 1'!E68=0,0,'Components Yr 1'!E68)</f>
        <v>0</v>
      </c>
      <c r="F68" s="17">
        <f>IF('Components Yr 1'!F68=0,0,'Components Yr 1'!F68)</f>
        <v>0</v>
      </c>
      <c r="G68" s="17">
        <f>IF('Components Yr 1'!G68=0,0,'Components Yr 1'!G68)</f>
        <v>0</v>
      </c>
      <c r="H68" s="17">
        <f>IF('Components Yr 1'!H68=0,0,'Components Yr 1'!H68)</f>
        <v>0</v>
      </c>
      <c r="I68" s="17">
        <f>IF('Components Yr 1'!I68=0,0,'Components Yr 1'!I68)</f>
        <v>0</v>
      </c>
      <c r="J68" s="17">
        <f>IF('Components Yr 1'!J68=0,0,'Components Yr 1'!J68)</f>
        <v>0</v>
      </c>
      <c r="K68" s="12"/>
      <c r="L68" s="12"/>
      <c r="M68" s="12"/>
      <c r="N68" s="12"/>
      <c r="O68" s="12"/>
      <c r="P68" s="12"/>
      <c r="Q68" s="17"/>
      <c r="R68" s="18">
        <f>IF(SUMPRODUCT((E68:Q68)*1)=0,0,E68*INDEX(Hours!M:M,MATCH(C68,Hours!$A:$A,0))+F68*INDEX(Hours!B:B,MATCH(C68,Hours!$A:$A,0))+G68*INDEX(Hours!C:C,MATCH(C68,Hours!$A:$A,0))+H68*INDEX(Hours!D:D,MATCH(C68,Hours!$A:$A,0))+I68*INDEX(Hours!E:E,MATCH(C68,Hours!$A:$A,0))+J68*INDEX(Hours!F:F,MATCH(C68,Hours!$A:$A,0)))</f>
        <v>0</v>
      </c>
      <c r="S68" s="19">
        <f t="shared" si="3"/>
        <v>0</v>
      </c>
    </row>
    <row r="69" spans="1:19" x14ac:dyDescent="0.25">
      <c r="A69" s="15" t="str">
        <f>'Bldgs &amp; Rooms'!$A$3</f>
        <v>Main Bldg.</v>
      </c>
      <c r="B69" s="15">
        <f>'Bldgs &amp; Rooms'!$B$3</f>
        <v>0</v>
      </c>
      <c r="C69" s="14" t="str">
        <f>Hours!$A$32</f>
        <v>Motors 51-200 HP</v>
      </c>
      <c r="D69" s="15">
        <f t="shared" si="2"/>
        <v>0</v>
      </c>
      <c r="E69" s="16">
        <f>IF('Components Yr 1'!E69=0,0,'Components Yr 1'!E69)</f>
        <v>0</v>
      </c>
      <c r="F69" s="17">
        <f>IF('Components Yr 1'!F69=0,0,'Components Yr 1'!F69)</f>
        <v>0</v>
      </c>
      <c r="G69" s="17">
        <f>IF('Components Yr 1'!G69=0,0,'Components Yr 1'!G69)</f>
        <v>0</v>
      </c>
      <c r="H69" s="17">
        <f>IF('Components Yr 1'!H69=0,0,'Components Yr 1'!H69)</f>
        <v>0</v>
      </c>
      <c r="I69" s="17">
        <f>IF('Components Yr 1'!I69=0,0,'Components Yr 1'!I69)</f>
        <v>0</v>
      </c>
      <c r="J69" s="17">
        <f>IF('Components Yr 1'!J69=0,0,'Components Yr 1'!J69)</f>
        <v>0</v>
      </c>
      <c r="K69" s="12"/>
      <c r="L69" s="12"/>
      <c r="M69" s="12"/>
      <c r="N69" s="12"/>
      <c r="O69" s="12"/>
      <c r="P69" s="12"/>
      <c r="Q69" s="17"/>
      <c r="R69" s="18">
        <f>IF(SUMPRODUCT((E69:Q69)*1)=0,0,E69*INDEX(Hours!M:M,MATCH(C69,Hours!$A:$A,0))+F69*INDEX(Hours!B:B,MATCH(C69,Hours!$A:$A,0))+G69*INDEX(Hours!C:C,MATCH(C69,Hours!$A:$A,0))+H69*INDEX(Hours!D:D,MATCH(C69,Hours!$A:$A,0))+I69*INDEX(Hours!E:E,MATCH(C69,Hours!$A:$A,0))+J69*INDEX(Hours!F:F,MATCH(C69,Hours!$A:$A,0)))</f>
        <v>0</v>
      </c>
      <c r="S69" s="19">
        <f t="shared" si="3"/>
        <v>0</v>
      </c>
    </row>
    <row r="70" spans="1:19" x14ac:dyDescent="0.25">
      <c r="A70" s="15" t="str">
        <f>'Bldgs &amp; Rooms'!$A$3</f>
        <v>Main Bldg.</v>
      </c>
      <c r="B70" s="15">
        <f>'Bldgs &amp; Rooms'!$B$3</f>
        <v>0</v>
      </c>
      <c r="C70" s="14" t="str">
        <f>Hours!$A$33</f>
        <v>Motors 201-500 HP</v>
      </c>
      <c r="D70" s="15">
        <f t="shared" si="2"/>
        <v>0</v>
      </c>
      <c r="E70" s="16">
        <f>IF('Components Yr 1'!E70=0,0,'Components Yr 1'!E70)</f>
        <v>0</v>
      </c>
      <c r="F70" s="17">
        <f>IF('Components Yr 1'!F70=0,0,'Components Yr 1'!F70)</f>
        <v>0</v>
      </c>
      <c r="G70" s="17">
        <f>IF('Components Yr 1'!G70=0,0,'Components Yr 1'!G70)</f>
        <v>0</v>
      </c>
      <c r="H70" s="17">
        <f>IF('Components Yr 1'!H70=0,0,'Components Yr 1'!H70)</f>
        <v>0</v>
      </c>
      <c r="I70" s="17">
        <f>IF('Components Yr 1'!I70=0,0,'Components Yr 1'!I70)</f>
        <v>0</v>
      </c>
      <c r="J70" s="17">
        <f>IF('Components Yr 1'!J70=0,0,'Components Yr 1'!J70)</f>
        <v>0</v>
      </c>
      <c r="K70" s="12"/>
      <c r="L70" s="12"/>
      <c r="M70" s="12"/>
      <c r="N70" s="12"/>
      <c r="O70" s="12"/>
      <c r="P70" s="12"/>
      <c r="Q70" s="17"/>
      <c r="R70" s="18">
        <f>IF(SUMPRODUCT((E70:Q70)*1)=0,0,E70*INDEX(Hours!M:M,MATCH(C70,Hours!$A:$A,0))+F70*INDEX(Hours!B:B,MATCH(C70,Hours!$A:$A,0))+G70*INDEX(Hours!C:C,MATCH(C70,Hours!$A:$A,0))+H70*INDEX(Hours!D:D,MATCH(C70,Hours!$A:$A,0))+I70*INDEX(Hours!E:E,MATCH(C70,Hours!$A:$A,0))+J70*INDEX(Hours!F:F,MATCH(C70,Hours!$A:$A,0)))</f>
        <v>0</v>
      </c>
      <c r="S70" s="19">
        <f t="shared" si="3"/>
        <v>0</v>
      </c>
    </row>
    <row r="71" spans="1:19" x14ac:dyDescent="0.25">
      <c r="A71" s="15" t="str">
        <f>'Bldgs &amp; Rooms'!$A$3</f>
        <v>Main Bldg.</v>
      </c>
      <c r="B71" s="15">
        <f>'Bldgs &amp; Rooms'!$B$3</f>
        <v>0</v>
      </c>
      <c r="C71" s="14" t="str">
        <f>Hours!$A$34</f>
        <v>Compressed Air Equipment</v>
      </c>
      <c r="D71" s="15">
        <f t="shared" si="2"/>
        <v>0</v>
      </c>
      <c r="E71" s="16">
        <f>IF('Components Yr 1'!E71=0,0,'Components Yr 1'!E71)</f>
        <v>0</v>
      </c>
      <c r="F71" s="17">
        <f>IF('Components Yr 1'!F71=0,0,'Components Yr 1'!F71)</f>
        <v>0</v>
      </c>
      <c r="G71" s="17">
        <f>IF('Components Yr 1'!G71=0,0,'Components Yr 1'!G71)</f>
        <v>0</v>
      </c>
      <c r="H71" s="17">
        <f>IF('Components Yr 1'!H71=0,0,'Components Yr 1'!H71)</f>
        <v>0</v>
      </c>
      <c r="I71" s="17">
        <f>IF('Components Yr 1'!I71=0,0,'Components Yr 1'!I71)</f>
        <v>0</v>
      </c>
      <c r="J71" s="17">
        <f>IF('Components Yr 1'!J71=0,0,'Components Yr 1'!J71)</f>
        <v>0</v>
      </c>
      <c r="K71" s="12"/>
      <c r="L71" s="12"/>
      <c r="M71" s="12"/>
      <c r="N71" s="12"/>
      <c r="O71" s="12"/>
      <c r="P71" s="12"/>
      <c r="Q71" s="17"/>
      <c r="R71" s="18">
        <f>IF(SUMPRODUCT((E71:Q71)*1)=0,0,E71*INDEX(Hours!M:M,MATCH(C71,Hours!$A:$A,0))+F71*INDEX(Hours!B:B,MATCH(C71,Hours!$A:$A,0))+G71*INDEX(Hours!C:C,MATCH(C71,Hours!$A:$A,0))+H71*INDEX(Hours!D:D,MATCH(C71,Hours!$A:$A,0))+I71*INDEX(Hours!E:E,MATCH(C71,Hours!$A:$A,0))+J71*INDEX(Hours!F:F,MATCH(C71,Hours!$A:$A,0)))</f>
        <v>0</v>
      </c>
      <c r="S71" s="19">
        <f t="shared" si="3"/>
        <v>0</v>
      </c>
    </row>
    <row r="72" spans="1:19" x14ac:dyDescent="0.25">
      <c r="A72" s="15" t="str">
        <f>'Bldgs &amp; Rooms'!$A$3</f>
        <v>Main Bldg.</v>
      </c>
      <c r="B72" s="15">
        <f>'Bldgs &amp; Rooms'!$B$3</f>
        <v>0</v>
      </c>
      <c r="C72" s="14" t="str">
        <f>Hours!$A$35</f>
        <v>HVAC Equipment (Large)</v>
      </c>
      <c r="D72" s="15">
        <f t="shared" si="2"/>
        <v>0</v>
      </c>
      <c r="E72" s="16">
        <f>IF('Components Yr 1'!E72=0,0,'Components Yr 1'!E72)</f>
        <v>0</v>
      </c>
      <c r="F72" s="17">
        <f>IF('Components Yr 1'!F72=0,0,'Components Yr 1'!F72)</f>
        <v>0</v>
      </c>
      <c r="G72" s="17">
        <f>IF('Components Yr 1'!G72=0,0,'Components Yr 1'!G72)</f>
        <v>0</v>
      </c>
      <c r="H72" s="17">
        <f>IF('Components Yr 1'!H72=0,0,'Components Yr 1'!H72)</f>
        <v>0</v>
      </c>
      <c r="I72" s="17">
        <f>IF('Components Yr 1'!I72=0,0,'Components Yr 1'!I72)</f>
        <v>0</v>
      </c>
      <c r="J72" s="17">
        <f>IF('Components Yr 1'!J72=0,0,'Components Yr 1'!J72)</f>
        <v>0</v>
      </c>
      <c r="K72" s="12"/>
      <c r="L72" s="12"/>
      <c r="M72" s="12"/>
      <c r="N72" s="12"/>
      <c r="O72" s="12"/>
      <c r="P72" s="12"/>
      <c r="Q72" s="17"/>
      <c r="R72" s="18">
        <f>IF(SUMPRODUCT((E72:Q72)*1)=0,0,E72*INDEX(Hours!M:M,MATCH(C72,Hours!$A:$A,0))+F72*INDEX(Hours!B:B,MATCH(C72,Hours!$A:$A,0))+G72*INDEX(Hours!C:C,MATCH(C72,Hours!$A:$A,0))+H72*INDEX(Hours!D:D,MATCH(C72,Hours!$A:$A,0))+I72*INDEX(Hours!E:E,MATCH(C72,Hours!$A:$A,0))+J72*INDEX(Hours!F:F,MATCH(C72,Hours!$A:$A,0)))</f>
        <v>0</v>
      </c>
      <c r="S72" s="19">
        <f t="shared" si="3"/>
        <v>0</v>
      </c>
    </row>
    <row r="73" spans="1:19" x14ac:dyDescent="0.25">
      <c r="A73" s="15" t="str">
        <f>'Bldgs &amp; Rooms'!$A$3</f>
        <v>Main Bldg.</v>
      </c>
      <c r="B73" s="15">
        <f>'Bldgs &amp; Rooms'!$B$3</f>
        <v>0</v>
      </c>
      <c r="C73" s="14" t="str">
        <f>Hours!$A$36</f>
        <v>HVAC Equipment (Small)</v>
      </c>
      <c r="D73" s="15">
        <f t="shared" si="2"/>
        <v>0</v>
      </c>
      <c r="E73" s="16">
        <f>IF('Components Yr 1'!E73=0,0,'Components Yr 1'!E73)</f>
        <v>0</v>
      </c>
      <c r="F73" s="17">
        <f>IF('Components Yr 1'!F73=0,0,'Components Yr 1'!F73)</f>
        <v>0</v>
      </c>
      <c r="G73" s="17">
        <f>IF('Components Yr 1'!G73=0,0,'Components Yr 1'!G73)</f>
        <v>0</v>
      </c>
      <c r="H73" s="17">
        <f>IF('Components Yr 1'!H73=0,0,'Components Yr 1'!H73)</f>
        <v>0</v>
      </c>
      <c r="I73" s="17">
        <f>IF('Components Yr 1'!I73=0,0,'Components Yr 1'!I73)</f>
        <v>0</v>
      </c>
      <c r="J73" s="17">
        <f>IF('Components Yr 1'!J73=0,0,'Components Yr 1'!J73)</f>
        <v>0</v>
      </c>
      <c r="K73" s="12"/>
      <c r="L73" s="12"/>
      <c r="M73" s="12"/>
      <c r="N73" s="12"/>
      <c r="O73" s="12"/>
      <c r="P73" s="12"/>
      <c r="Q73" s="17"/>
      <c r="R73" s="18">
        <f>IF(SUMPRODUCT((E73:Q73)*1)=0,0,E73*INDEX(Hours!M:M,MATCH(C73,Hours!$A:$A,0))+F73*INDEX(Hours!B:B,MATCH(C73,Hours!$A:$A,0))+G73*INDEX(Hours!C:C,MATCH(C73,Hours!$A:$A,0))+H73*INDEX(Hours!D:D,MATCH(C73,Hours!$A:$A,0))+I73*INDEX(Hours!E:E,MATCH(C73,Hours!$A:$A,0))+J73*INDEX(Hours!F:F,MATCH(C73,Hours!$A:$A,0)))</f>
        <v>0</v>
      </c>
      <c r="S73" s="19">
        <f t="shared" si="3"/>
        <v>0</v>
      </c>
    </row>
    <row r="74" spans="1:19" x14ac:dyDescent="0.25">
      <c r="A74" s="15" t="str">
        <f>'Bldgs &amp; Rooms'!$A$3</f>
        <v>Main Bldg.</v>
      </c>
      <c r="B74" s="15">
        <f>'Bldgs &amp; Rooms'!$B$3</f>
        <v>0</v>
      </c>
      <c r="C74" s="14" t="str">
        <f>Hours!$A$37</f>
        <v>Uninterruptible Power Supply (UPS) &lt; 50kVA</v>
      </c>
      <c r="D74" s="15">
        <f t="shared" si="2"/>
        <v>0</v>
      </c>
      <c r="E74" s="16">
        <f>IF('Components Yr 1'!E74=0,0,'Components Yr 1'!E74)</f>
        <v>0</v>
      </c>
      <c r="F74" s="17">
        <f>IF('Components Yr 1'!F74=0,0,'Components Yr 1'!F74)</f>
        <v>0</v>
      </c>
      <c r="G74" s="17">
        <f>IF('Components Yr 1'!G74=0,0,'Components Yr 1'!G74)</f>
        <v>0</v>
      </c>
      <c r="H74" s="17">
        <f>IF('Components Yr 1'!H74=0,0,'Components Yr 1'!H74)</f>
        <v>0</v>
      </c>
      <c r="I74" s="17">
        <f>IF('Components Yr 1'!I74=0,0,'Components Yr 1'!I74)</f>
        <v>0</v>
      </c>
      <c r="J74" s="17">
        <f>IF('Components Yr 1'!J74=0,0,'Components Yr 1'!J74)</f>
        <v>0</v>
      </c>
      <c r="K74" s="12"/>
      <c r="L74" s="12"/>
      <c r="M74" s="12"/>
      <c r="N74" s="12"/>
      <c r="O74" s="12"/>
      <c r="P74" s="12"/>
      <c r="Q74" s="17"/>
      <c r="R74" s="18">
        <f>IF(SUMPRODUCT((E74:Q74)*1)=0,0,E74*INDEX(Hours!M:M,MATCH(C74,Hours!$A:$A,0))+F74*INDEX(Hours!B:B,MATCH(C74,Hours!$A:$A,0))+G74*INDEX(Hours!C:C,MATCH(C74,Hours!$A:$A,0))+H74*INDEX(Hours!D:D,MATCH(C74,Hours!$A:$A,0))+I74*INDEX(Hours!E:E,MATCH(C74,Hours!$A:$A,0))+J74*INDEX(Hours!F:F,MATCH(C74,Hours!$A:$A,0)))</f>
        <v>0</v>
      </c>
      <c r="S74" s="19">
        <f t="shared" si="3"/>
        <v>0</v>
      </c>
    </row>
    <row r="75" spans="1:19" x14ac:dyDescent="0.25">
      <c r="A75" s="15" t="str">
        <f>'Bldgs &amp; Rooms'!$A$3</f>
        <v>Main Bldg.</v>
      </c>
      <c r="B75" s="15">
        <f>'Bldgs &amp; Rooms'!$B$3</f>
        <v>0</v>
      </c>
      <c r="C75" s="14" t="str">
        <f>Hours!$A$38</f>
        <v>Uninterruptible Power Supply (UPS) &gt; 50kVA</v>
      </c>
      <c r="D75" s="15">
        <f t="shared" si="2"/>
        <v>0</v>
      </c>
      <c r="E75" s="16">
        <f>IF('Components Yr 1'!E75=0,0,'Components Yr 1'!E75)</f>
        <v>0</v>
      </c>
      <c r="F75" s="17">
        <f>IF('Components Yr 1'!F75=0,0,'Components Yr 1'!F75)</f>
        <v>0</v>
      </c>
      <c r="G75" s="17">
        <f>IF('Components Yr 1'!G75=0,0,'Components Yr 1'!G75)</f>
        <v>0</v>
      </c>
      <c r="H75" s="17">
        <f>IF('Components Yr 1'!H75=0,0,'Components Yr 1'!H75)</f>
        <v>0</v>
      </c>
      <c r="I75" s="17">
        <f>IF('Components Yr 1'!I75=0,0,'Components Yr 1'!I75)</f>
        <v>0</v>
      </c>
      <c r="J75" s="17">
        <f>IF('Components Yr 1'!J75=0,0,'Components Yr 1'!J75)</f>
        <v>0</v>
      </c>
      <c r="K75" s="12"/>
      <c r="L75" s="12"/>
      <c r="M75" s="12"/>
      <c r="N75" s="12"/>
      <c r="O75" s="12"/>
      <c r="P75" s="12"/>
      <c r="Q75" s="17"/>
      <c r="R75" s="18">
        <f>IF(SUMPRODUCT((E75:Q75)*1)=0,0,E75*INDEX(Hours!M:M,MATCH(C75,Hours!$A:$A,0))+F75*INDEX(Hours!B:B,MATCH(C75,Hours!$A:$A,0))+G75*INDEX(Hours!C:C,MATCH(C75,Hours!$A:$A,0))+H75*INDEX(Hours!D:D,MATCH(C75,Hours!$A:$A,0))+I75*INDEX(Hours!E:E,MATCH(C75,Hours!$A:$A,0))+J75*INDEX(Hours!F:F,MATCH(C75,Hours!$A:$A,0)))</f>
        <v>0</v>
      </c>
      <c r="S75" s="19">
        <f t="shared" si="3"/>
        <v>0</v>
      </c>
    </row>
    <row r="76" spans="1:19" x14ac:dyDescent="0.25">
      <c r="A76" s="11" t="str">
        <f>'Bldgs &amp; Rooms'!$A$4</f>
        <v>Main Bldg.</v>
      </c>
      <c r="B76" s="11">
        <f>'Bldgs &amp; Rooms'!$B$4</f>
        <v>0</v>
      </c>
      <c r="C76" s="10" t="str">
        <f>Hours!$A$2</f>
        <v>Switchgear - Incoming Main Service (Per Section)</v>
      </c>
      <c r="D76" s="11">
        <f t="shared" si="2"/>
        <v>0</v>
      </c>
      <c r="E76" s="16">
        <f>IF('Components Yr 1'!E76=0,0,'Components Yr 1'!E76)</f>
        <v>0</v>
      </c>
      <c r="F76" s="17">
        <f>IF('Components Yr 1'!F76=0,0,'Components Yr 1'!F76)</f>
        <v>0</v>
      </c>
      <c r="G76" s="17">
        <f>IF('Components Yr 1'!G76=0,0,'Components Yr 1'!G76)</f>
        <v>0</v>
      </c>
      <c r="H76" s="17">
        <f>IF('Components Yr 1'!H76=0,0,'Components Yr 1'!H76)</f>
        <v>0</v>
      </c>
      <c r="I76" s="17">
        <f>IF('Components Yr 1'!I76=0,0,'Components Yr 1'!I76)</f>
        <v>0</v>
      </c>
      <c r="J76" s="17">
        <f>IF('Components Yr 1'!J76=0,0,'Components Yr 1'!J76)</f>
        <v>0</v>
      </c>
      <c r="K76" s="17">
        <f>IF('Components Yr 1'!K76=0,0,'Components Yr 1'!K76)</f>
        <v>0</v>
      </c>
      <c r="L76" s="17">
        <f>IF('Components Yr 1'!L76=0,0,'Components Yr 1'!L76)</f>
        <v>0</v>
      </c>
      <c r="M76" s="12"/>
      <c r="N76" s="12"/>
      <c r="O76" s="17">
        <f>IF('Components Yr 1'!O76=0,0,'Components Yr 1'!O76)</f>
        <v>0</v>
      </c>
      <c r="P76" s="12"/>
      <c r="Q76" s="17"/>
      <c r="R76" s="18">
        <f>IF(SUMPRODUCT((E76:Q76)*1)=0,0,E76*INDEX(Hours!M:M,MATCH(C76,Hours!$A:$A,0))+F76*INDEX(Hours!B:B,MATCH(C76,Hours!$A:$A,0))+G76*INDEX(Hours!C:C,MATCH(C76,Hours!$A:$A,0))+H76*INDEX(Hours!D:D,MATCH(C76,Hours!$A:$A,0))+I76*INDEX(Hours!E:E,MATCH(C76,Hours!$A:$A,0))+J76*INDEX(Hours!F:F,MATCH(C76,Hours!$A:$A,0))+K76*INDEX(Hours!G:G,MATCH(C76,Hours!$A:$A,0))+L76*INDEX(Hours!H:H,MATCH(C76,Hours!$A:$A,0))+O76*INDEX(Hours!K:K,MATCH(C76,Hours!$A:$A,0)))</f>
        <v>0</v>
      </c>
      <c r="S76" s="19">
        <f t="shared" si="3"/>
        <v>0</v>
      </c>
    </row>
    <row r="77" spans="1:19" x14ac:dyDescent="0.25">
      <c r="A77" s="11" t="str">
        <f>'Bldgs &amp; Rooms'!$A$4</f>
        <v>Main Bldg.</v>
      </c>
      <c r="B77" s="11">
        <f>'Bldgs &amp; Rooms'!$B$4</f>
        <v>0</v>
      </c>
      <c r="C77" s="10" t="str">
        <f>Hours!$A$3</f>
        <v xml:space="preserve">  Switchgear Insulated Case Breakers (Bus Mounted)</v>
      </c>
      <c r="D77" s="11">
        <f t="shared" si="2"/>
        <v>0</v>
      </c>
      <c r="E77" s="16">
        <f>IF('Components Yr 1'!E77=0,0,'Components Yr 1'!E77)</f>
        <v>0</v>
      </c>
      <c r="F77" s="17">
        <f>IF('Components Yr 1'!F77=0,0,'Components Yr 1'!F77)</f>
        <v>0</v>
      </c>
      <c r="G77" s="17">
        <f>IF('Components Yr 1'!G77=0,0,'Components Yr 1'!G77)</f>
        <v>0</v>
      </c>
      <c r="H77" s="17">
        <f>IF('Components Yr 1'!H77=0,0,'Components Yr 1'!H77)</f>
        <v>0</v>
      </c>
      <c r="I77" s="17">
        <f>IF('Components Yr 1'!I77=0,0,'Components Yr 1'!I77)</f>
        <v>0</v>
      </c>
      <c r="J77" s="17">
        <f>IF('Components Yr 1'!J77=0,0,'Components Yr 1'!J77)</f>
        <v>0</v>
      </c>
      <c r="K77" s="17">
        <f>IF('Components Yr 1'!K77=0,0,'Components Yr 1'!K77)</f>
        <v>0</v>
      </c>
      <c r="L77" s="12"/>
      <c r="M77" s="12"/>
      <c r="N77" s="12"/>
      <c r="O77" s="12"/>
      <c r="P77" s="12"/>
      <c r="Q77" s="17"/>
      <c r="R77" s="18">
        <f>IF(SUMPRODUCT((E77:Q77)*1)=0,0,E77*INDEX(Hours!M:M,MATCH(C77,Hours!$A:$A,0))+F77*INDEX(Hours!B:B,MATCH(C77,Hours!$A:$A,0))+G77*INDEX(Hours!C:C,MATCH(C77,Hours!$A:$A,0))+H77*INDEX(Hours!D:D,MATCH(C77,Hours!$A:$A,0))+I77*INDEX(Hours!E:E,MATCH(C77,Hours!$A:$A,0))+J77*INDEX(Hours!F:F,MATCH(C77,Hours!$A:$A,0))+K77*INDEX(Hours!G:G,MATCH(C77,Hours!$A:$A,0)))</f>
        <v>0</v>
      </c>
      <c r="S77" s="19">
        <f t="shared" si="3"/>
        <v>0</v>
      </c>
    </row>
    <row r="78" spans="1:19" x14ac:dyDescent="0.25">
      <c r="A78" s="11" t="str">
        <f>'Bldgs &amp; Rooms'!$A$4</f>
        <v>Main Bldg.</v>
      </c>
      <c r="B78" s="11">
        <f>'Bldgs &amp; Rooms'!$B$4</f>
        <v>0</v>
      </c>
      <c r="C78" s="10" t="str">
        <f>Hours!$A$4</f>
        <v xml:space="preserve">  SwitchGear Drawout Breakers</v>
      </c>
      <c r="D78" s="11">
        <f t="shared" si="2"/>
        <v>0</v>
      </c>
      <c r="E78" s="16">
        <f>IF('Components Yr 1'!E78=0,0,'Components Yr 1'!E78)</f>
        <v>0</v>
      </c>
      <c r="F78" s="17">
        <f>IF('Components Yr 1'!F78=0,0,'Components Yr 1'!F78)</f>
        <v>0</v>
      </c>
      <c r="G78" s="17">
        <f>IF('Components Yr 1'!G78=0,0,'Components Yr 1'!G78)</f>
        <v>0</v>
      </c>
      <c r="H78" s="17">
        <f>IF('Components Yr 1'!H78=0,0,'Components Yr 1'!H78)</f>
        <v>0</v>
      </c>
      <c r="I78" s="17">
        <f>IF('Components Yr 1'!I78=0,0,'Components Yr 1'!I78)</f>
        <v>0</v>
      </c>
      <c r="J78" s="17">
        <f>IF('Components Yr 1'!J78=0,0,'Components Yr 1'!J78)</f>
        <v>0</v>
      </c>
      <c r="K78" s="12"/>
      <c r="L78" s="17">
        <f>IF('Components Yr 1'!L78=0,0,'Components Yr 1'!L78)</f>
        <v>0</v>
      </c>
      <c r="M78" s="12"/>
      <c r="N78" s="12"/>
      <c r="O78" s="12"/>
      <c r="P78" s="12"/>
      <c r="Q78" s="17"/>
      <c r="R78" s="18">
        <f>IF(SUMPRODUCT((E78:Q78)*1)=0,0,E78*INDEX(Hours!M:M,MATCH(C78,Hours!$A:$A,0))+F78*INDEX(Hours!B:B,MATCH(C78,Hours!$A:$A,0))+G78*INDEX(Hours!C:C,MATCH(C78,Hours!$A:$A,0))+H78*INDEX(Hours!D:D,MATCH(C78,Hours!$A:$A,0))+I78*INDEX(Hours!E:E,MATCH(C78,Hours!$A:$A,0))+J78*INDEX(Hours!F:F,MATCH(C78,Hours!$A:$A,0))+L78*INDEX(Hours!H:H,MATCH(C78,Hours!$A:$A,0)))</f>
        <v>0</v>
      </c>
      <c r="S78" s="19">
        <f t="shared" si="3"/>
        <v>0</v>
      </c>
    </row>
    <row r="79" spans="1:19" x14ac:dyDescent="0.25">
      <c r="A79" s="11" t="str">
        <f>'Bldgs &amp; Rooms'!$A$4</f>
        <v>Main Bldg.</v>
      </c>
      <c r="B79" s="11">
        <f>'Bldgs &amp; Rooms'!$B$4</f>
        <v>0</v>
      </c>
      <c r="C79" s="10" t="str">
        <f>Hours!$A$5</f>
        <v>Distribution Switchboard Multi Cover (Per Section)</v>
      </c>
      <c r="D79" s="11">
        <f t="shared" si="2"/>
        <v>0</v>
      </c>
      <c r="E79" s="16">
        <f>IF('Components Yr 1'!E79=0,0,'Components Yr 1'!E79)</f>
        <v>0</v>
      </c>
      <c r="F79" s="17">
        <f>IF('Components Yr 1'!F79=0,0,'Components Yr 1'!F79)</f>
        <v>0</v>
      </c>
      <c r="G79" s="17">
        <f>IF('Components Yr 1'!G79=0,0,'Components Yr 1'!G79)</f>
        <v>0</v>
      </c>
      <c r="H79" s="17">
        <f>IF('Components Yr 1'!H79=0,0,'Components Yr 1'!H79)</f>
        <v>0</v>
      </c>
      <c r="I79" s="17">
        <f>IF('Components Yr 1'!I79=0,0,'Components Yr 1'!I79)</f>
        <v>0</v>
      </c>
      <c r="J79" s="17">
        <f>IF('Components Yr 1'!J79=0,0,'Components Yr 1'!J79)</f>
        <v>0</v>
      </c>
      <c r="K79" s="17">
        <f>IF('Components Yr 1'!K79=0,0,'Components Yr 1'!K79)</f>
        <v>0</v>
      </c>
      <c r="L79" s="12"/>
      <c r="M79" s="12"/>
      <c r="N79" s="12"/>
      <c r="O79" s="17">
        <f>IF('Components Yr 1'!O79=0,0,'Components Yr 1'!O79)</f>
        <v>0</v>
      </c>
      <c r="P79" s="12"/>
      <c r="Q79" s="17"/>
      <c r="R79" s="18">
        <f>IF(SUMPRODUCT((E79:Q79)*1)=0,0,E79*INDEX(Hours!M:M,MATCH(C79,Hours!$A:$A,0))+F79*INDEX(Hours!B:B,MATCH(C79,Hours!$A:$A,0))+G79*INDEX(Hours!C:C,MATCH(C79,Hours!$A:$A,0))+H79*INDEX(Hours!D:D,MATCH(C79,Hours!$A:$A,0))+I79*INDEX(Hours!E:E,MATCH(C79,Hours!$A:$A,0))+J79*INDEX(Hours!F:F,MATCH(C79,Hours!$A:$A,0))+K79*INDEX(Hours!G:G,MATCH(C79,Hours!$A:$A,0))+O79*INDEX(Hours!K:K,MATCH(C79,Hours!$A:$A,0)))</f>
        <v>0</v>
      </c>
      <c r="S79" s="19">
        <f t="shared" si="3"/>
        <v>0</v>
      </c>
    </row>
    <row r="80" spans="1:19" x14ac:dyDescent="0.25">
      <c r="A80" s="11" t="str">
        <f>'Bldgs &amp; Rooms'!$A$4</f>
        <v>Main Bldg.</v>
      </c>
      <c r="B80" s="11">
        <f>'Bldgs &amp; Rooms'!$B$4</f>
        <v>0</v>
      </c>
      <c r="C80" s="10" t="str">
        <f>Hours!$A$6</f>
        <v xml:space="preserve">  Switchboard Disconnects</v>
      </c>
      <c r="D80" s="11">
        <f t="shared" si="2"/>
        <v>0</v>
      </c>
      <c r="E80" s="16">
        <f>IF('Components Yr 1'!E80=0,0,'Components Yr 1'!E80)</f>
        <v>0</v>
      </c>
      <c r="F80" s="17">
        <f>IF('Components Yr 1'!F80=0,0,'Components Yr 1'!F80)</f>
        <v>0</v>
      </c>
      <c r="G80" s="17">
        <f>IF('Components Yr 1'!G80=0,0,'Components Yr 1'!G80)</f>
        <v>0</v>
      </c>
      <c r="H80" s="17">
        <f>IF('Components Yr 1'!H80=0,0,'Components Yr 1'!H80)</f>
        <v>0</v>
      </c>
      <c r="I80" s="17">
        <f>IF('Components Yr 1'!I80=0,0,'Components Yr 1'!I80)</f>
        <v>0</v>
      </c>
      <c r="J80" s="17">
        <f>IF('Components Yr 1'!J80=0,0,'Components Yr 1'!J80)</f>
        <v>0</v>
      </c>
      <c r="K80" s="12"/>
      <c r="L80" s="12"/>
      <c r="M80" s="12"/>
      <c r="N80" s="12"/>
      <c r="O80" s="12"/>
      <c r="P80" s="12"/>
      <c r="Q80" s="17"/>
      <c r="R80" s="18">
        <f>IF(SUMPRODUCT((E80:Q80)*1)=0,0,E80*INDEX(Hours!M:M,MATCH(C80,Hours!$A:$A,0))+F80*INDEX(Hours!B:B,MATCH(C80,Hours!$A:$A,0))+G80*INDEX(Hours!C:C,MATCH(C80,Hours!$A:$A,0))+H80*INDEX(Hours!D:D,MATCH(C80,Hours!$A:$A,0))+I80*INDEX(Hours!E:E,MATCH(C80,Hours!$A:$A,0))+J80*INDEX(Hours!F:F,MATCH(C80,Hours!$A:$A,0)))</f>
        <v>0</v>
      </c>
      <c r="S80" s="19">
        <f t="shared" si="3"/>
        <v>0</v>
      </c>
    </row>
    <row r="81" spans="1:19" x14ac:dyDescent="0.25">
      <c r="A81" s="11" t="str">
        <f>'Bldgs &amp; Rooms'!$A$4</f>
        <v>Main Bldg.</v>
      </c>
      <c r="B81" s="11">
        <f>'Bldgs &amp; Rooms'!$B$4</f>
        <v>0</v>
      </c>
      <c r="C81" s="10" t="str">
        <f>Hours!$A$7</f>
        <v xml:space="preserve">  Switchboard Molded Case Breakers</v>
      </c>
      <c r="D81" s="11">
        <f t="shared" si="2"/>
        <v>0</v>
      </c>
      <c r="E81" s="16">
        <f>IF('Components Yr 1'!E81=0,0,'Components Yr 1'!E81)</f>
        <v>0</v>
      </c>
      <c r="F81" s="17">
        <f>IF('Components Yr 1'!F81=0,0,'Components Yr 1'!F81)</f>
        <v>0</v>
      </c>
      <c r="G81" s="17">
        <f>IF('Components Yr 1'!G81=0,0,'Components Yr 1'!G81)</f>
        <v>0</v>
      </c>
      <c r="H81" s="17">
        <f>IF('Components Yr 1'!H81=0,0,'Components Yr 1'!H81)</f>
        <v>0</v>
      </c>
      <c r="I81" s="17">
        <f>IF('Components Yr 1'!I81=0,0,'Components Yr 1'!I81)</f>
        <v>0</v>
      </c>
      <c r="J81" s="17">
        <f>IF('Components Yr 1'!J81=0,0,'Components Yr 1'!J81)</f>
        <v>0</v>
      </c>
      <c r="K81" s="17">
        <f>IF('Components Yr 1'!K81=0,0,'Components Yr 1'!K81)</f>
        <v>0</v>
      </c>
      <c r="L81" s="12"/>
      <c r="M81" s="12"/>
      <c r="N81" s="12"/>
      <c r="O81" s="12"/>
      <c r="P81" s="12"/>
      <c r="Q81" s="17"/>
      <c r="R81" s="18">
        <f>IF(SUMPRODUCT((E81:Q81)*1)=0,0,E81*INDEX(Hours!M:M,MATCH(C81,Hours!$A:$A,0))+F81*INDEX(Hours!B:B,MATCH(C81,Hours!$A:$A,0))+G81*INDEX(Hours!C:C,MATCH(C81,Hours!$A:$A,0))+H81*INDEX(Hours!D:D,MATCH(C81,Hours!$A:$A,0))+I81*INDEX(Hours!E:E,MATCH(C81,Hours!$A:$A,0))+J81*INDEX(Hours!F:F,MATCH(C81,Hours!$A:$A,0))+K81*INDEX(Hours!G:G,MATCH(C81,Hours!$A:$A,0)))</f>
        <v>0</v>
      </c>
      <c r="S81" s="19">
        <f t="shared" si="3"/>
        <v>0</v>
      </c>
    </row>
    <row r="82" spans="1:19" x14ac:dyDescent="0.25">
      <c r="A82" s="11" t="str">
        <f>'Bldgs &amp; Rooms'!$A$4</f>
        <v>Main Bldg.</v>
      </c>
      <c r="B82" s="11">
        <f>'Bldgs &amp; Rooms'!$B$4</f>
        <v>0</v>
      </c>
      <c r="C82" s="10" t="str">
        <f>Hours!$A$8</f>
        <v>Panelboard-Single Cover &gt; 400A (Distribution Panel)</v>
      </c>
      <c r="D82" s="11">
        <f t="shared" si="2"/>
        <v>0</v>
      </c>
      <c r="E82" s="16">
        <f>IF('Components Yr 1'!E82=0,0,'Components Yr 1'!E82)</f>
        <v>0</v>
      </c>
      <c r="F82" s="17">
        <f>IF('Components Yr 1'!F82=0,0,'Components Yr 1'!F82)</f>
        <v>0</v>
      </c>
      <c r="G82" s="17">
        <f>IF('Components Yr 1'!G82=0,0,'Components Yr 1'!G82)</f>
        <v>0</v>
      </c>
      <c r="H82" s="17">
        <f>IF('Components Yr 1'!H82=0,0,'Components Yr 1'!H82)</f>
        <v>0</v>
      </c>
      <c r="I82" s="17">
        <f>IF('Components Yr 1'!I82=0,0,'Components Yr 1'!I82)</f>
        <v>0</v>
      </c>
      <c r="J82" s="17">
        <f>IF('Components Yr 1'!J82=0,0,'Components Yr 1'!J82)</f>
        <v>0</v>
      </c>
      <c r="K82" s="17">
        <f>IF('Components Yr 1'!K82=0,0,'Components Yr 1'!K82)</f>
        <v>0</v>
      </c>
      <c r="L82" s="12"/>
      <c r="M82" s="12"/>
      <c r="N82" s="12"/>
      <c r="O82" s="17">
        <f>IF('Components Yr 1'!O82=0,0,'Components Yr 1'!O82)</f>
        <v>0</v>
      </c>
      <c r="P82" s="12"/>
      <c r="Q82" s="17"/>
      <c r="R82" s="18">
        <f>IF(SUMPRODUCT((E82:Q82)*1)=0,0,E82*INDEX(Hours!M:M,MATCH(C82,Hours!$A:$A,0))+F82*INDEX(Hours!B:B,MATCH(C82,Hours!$A:$A,0))+G82*INDEX(Hours!C:C,MATCH(C82,Hours!$A:$A,0))+H82*INDEX(Hours!D:D,MATCH(C82,Hours!$A:$A,0))+I82*INDEX(Hours!E:E,MATCH(C82,Hours!$A:$A,0))+J82*INDEX(Hours!F:F,MATCH(C82,Hours!$A:$A,0))+K82*INDEX(Hours!G:G,MATCH(C82,Hours!$A:$A,0))+O82*INDEX(Hours!K:K,MATCH(C82,Hours!$A:$A,0)))</f>
        <v>0</v>
      </c>
      <c r="S82" s="19">
        <f t="shared" si="3"/>
        <v>0</v>
      </c>
    </row>
    <row r="83" spans="1:19" x14ac:dyDescent="0.25">
      <c r="A83" s="11" t="str">
        <f>'Bldgs &amp; Rooms'!$A$4</f>
        <v>Main Bldg.</v>
      </c>
      <c r="B83" s="11">
        <f>'Bldgs &amp; Rooms'!$B$4</f>
        <v>0</v>
      </c>
      <c r="C83" s="10" t="str">
        <f>Hours!$A$9</f>
        <v>Panelboard-Single Cover &lt; 400A (Branch Ckt Panel)</v>
      </c>
      <c r="D83" s="11">
        <f t="shared" si="2"/>
        <v>0</v>
      </c>
      <c r="E83" s="16">
        <f>IF('Components Yr 1'!E83=0,0,'Components Yr 1'!E83)</f>
        <v>0</v>
      </c>
      <c r="F83" s="17">
        <f>IF('Components Yr 1'!F83=0,0,'Components Yr 1'!F83)</f>
        <v>0</v>
      </c>
      <c r="G83" s="17">
        <f>IF('Components Yr 1'!G83=0,0,'Components Yr 1'!G83)</f>
        <v>0</v>
      </c>
      <c r="H83" s="17">
        <f>IF('Components Yr 1'!H83=0,0,'Components Yr 1'!H83)</f>
        <v>0</v>
      </c>
      <c r="I83" s="17">
        <f>IF('Components Yr 1'!I83=0,0,'Components Yr 1'!I83)</f>
        <v>0</v>
      </c>
      <c r="J83" s="17">
        <f>IF('Components Yr 1'!J83=0,0,'Components Yr 1'!J83)</f>
        <v>0</v>
      </c>
      <c r="K83" s="12"/>
      <c r="L83" s="12"/>
      <c r="M83" s="12"/>
      <c r="N83" s="12"/>
      <c r="O83" s="17">
        <f>IF('Components Yr 1'!O83=0,0,'Components Yr 1'!O83)</f>
        <v>0</v>
      </c>
      <c r="P83" s="12"/>
      <c r="Q83" s="17"/>
      <c r="R83" s="18">
        <f>IF(SUMPRODUCT((E83:Q83)*1)=0,0,E83*INDEX(Hours!M:M,MATCH(C83,Hours!$A:$A,0))+F83*INDEX(Hours!B:B,MATCH(C83,Hours!$A:$A,0))+G83*INDEX(Hours!C:C,MATCH(C83,Hours!$A:$A,0))+H83*INDEX(Hours!D:D,MATCH(C83,Hours!$A:$A,0))+I83*INDEX(Hours!E:E,MATCH(C83,Hours!$A:$A,0))+J83*INDEX(Hours!F:F,MATCH(C83,Hours!$A:$A,0))+O83*INDEX(Hours!K:K,MATCH(C83,Hours!$A:$A,0)))</f>
        <v>0</v>
      </c>
      <c r="S83" s="19">
        <f t="shared" si="3"/>
        <v>0</v>
      </c>
    </row>
    <row r="84" spans="1:19" x14ac:dyDescent="0.25">
      <c r="A84" s="11" t="str">
        <f>'Bldgs &amp; Rooms'!$A$4</f>
        <v>Main Bldg.</v>
      </c>
      <c r="B84" s="11">
        <f>'Bldgs &amp; Rooms'!$B$4</f>
        <v>0</v>
      </c>
      <c r="C84" s="10" t="str">
        <f>Hours!$A$10</f>
        <v>Motor Control Center (MCC-Per Vertical Section)</v>
      </c>
      <c r="D84" s="11">
        <f t="shared" si="2"/>
        <v>0</v>
      </c>
      <c r="E84" s="16">
        <f>IF('Components Yr 1'!E84=0,0,'Components Yr 1'!E84)</f>
        <v>0</v>
      </c>
      <c r="F84" s="17">
        <f>IF('Components Yr 1'!F84=0,0,'Components Yr 1'!F84)</f>
        <v>0</v>
      </c>
      <c r="G84" s="17">
        <f>IF('Components Yr 1'!G84=0,0,'Components Yr 1'!G84)</f>
        <v>0</v>
      </c>
      <c r="H84" s="17">
        <f>IF('Components Yr 1'!H84=0,0,'Components Yr 1'!H84)</f>
        <v>0</v>
      </c>
      <c r="I84" s="17">
        <f>IF('Components Yr 1'!I84=0,0,'Components Yr 1'!I84)</f>
        <v>0</v>
      </c>
      <c r="J84" s="17">
        <f>IF('Components Yr 1'!J84=0,0,'Components Yr 1'!J84)</f>
        <v>0</v>
      </c>
      <c r="K84" s="12"/>
      <c r="L84" s="12"/>
      <c r="M84" s="12"/>
      <c r="N84" s="12"/>
      <c r="O84" s="17">
        <f>IF('Components Yr 1'!O84=0,0,'Components Yr 1'!O84)</f>
        <v>0</v>
      </c>
      <c r="P84" s="12"/>
      <c r="Q84" s="17"/>
      <c r="R84" s="18">
        <f>IF(SUMPRODUCT((E84:Q84)*1)=0,0,E84*INDEX(Hours!M:M,MATCH(C84,Hours!$A:$A,0))+F84*INDEX(Hours!B:B,MATCH(C84,Hours!$A:$A,0))+G84*INDEX(Hours!C:C,MATCH(C84,Hours!$A:$A,0))+H84*INDEX(Hours!D:D,MATCH(C84,Hours!$A:$A,0))+I84*INDEX(Hours!E:E,MATCH(C84,Hours!$A:$A,0))+J84*INDEX(Hours!F:F,MATCH(C84,Hours!$A:$A,0))+O84*INDEX(Hours!K:K,MATCH(C84,Hours!$A:$A,0)))</f>
        <v>0</v>
      </c>
      <c r="S84" s="19">
        <f t="shared" si="3"/>
        <v>0</v>
      </c>
    </row>
    <row r="85" spans="1:19" x14ac:dyDescent="0.25">
      <c r="A85" s="11" t="str">
        <f>'Bldgs &amp; Rooms'!$A$4</f>
        <v>Main Bldg.</v>
      </c>
      <c r="B85" s="11">
        <f>'Bldgs &amp; Rooms'!$B$4</f>
        <v>0</v>
      </c>
      <c r="C85" s="10" t="str">
        <f>Hours!$A$11</f>
        <v xml:space="preserve">  MCC: Combination Motor Starters</v>
      </c>
      <c r="D85" s="11">
        <f t="shared" si="2"/>
        <v>0</v>
      </c>
      <c r="E85" s="16">
        <f>IF('Components Yr 1'!E85=0,0,'Components Yr 1'!E85)</f>
        <v>0</v>
      </c>
      <c r="F85" s="17">
        <f>IF('Components Yr 1'!F85=0,0,'Components Yr 1'!F85)</f>
        <v>0</v>
      </c>
      <c r="G85" s="17">
        <f>IF('Components Yr 1'!G85=0,0,'Components Yr 1'!G85)</f>
        <v>0</v>
      </c>
      <c r="H85" s="17">
        <f>IF('Components Yr 1'!H85=0,0,'Components Yr 1'!H85)</f>
        <v>0</v>
      </c>
      <c r="I85" s="17">
        <f>IF('Components Yr 1'!I85=0,0,'Components Yr 1'!I85)</f>
        <v>0</v>
      </c>
      <c r="J85" s="17">
        <f>IF('Components Yr 1'!J85=0,0,'Components Yr 1'!J85)</f>
        <v>0</v>
      </c>
      <c r="K85" s="17">
        <f>IF('Components Yr 1'!K85=0,0,'Components Yr 1'!K85)</f>
        <v>0</v>
      </c>
      <c r="L85" s="12"/>
      <c r="M85" s="12"/>
      <c r="N85" s="12"/>
      <c r="O85" s="17">
        <f>IF('Components Yr 1'!O85=0,0,'Components Yr 1'!O85)</f>
        <v>0</v>
      </c>
      <c r="P85" s="12"/>
      <c r="Q85" s="17"/>
      <c r="R85" s="18">
        <f>IF(SUMPRODUCT((E85:Q85)*1)=0,0,E85*INDEX(Hours!M:M,MATCH(C85,Hours!$A:$A,0))+F85*INDEX(Hours!B:B,MATCH(C85,Hours!$A:$A,0))+G85*INDEX(Hours!C:C,MATCH(C85,Hours!$A:$A,0))+H85*INDEX(Hours!D:D,MATCH(C85,Hours!$A:$A,0))+I85*INDEX(Hours!E:E,MATCH(C85,Hours!$A:$A,0))+J85*INDEX(Hours!F:F,MATCH(C85,Hours!$A:$A,0))+K85*INDEX(Hours!G:G,MATCH(C85,Hours!$A:$A,0))+O85*INDEX(Hours!K:K,MATCH(C85,Hours!$A:$A,0)))</f>
        <v>0</v>
      </c>
      <c r="S85" s="19">
        <f t="shared" si="3"/>
        <v>0</v>
      </c>
    </row>
    <row r="86" spans="1:19" x14ac:dyDescent="0.25">
      <c r="A86" s="11" t="str">
        <f>'Bldgs &amp; Rooms'!$A$4</f>
        <v>Main Bldg.</v>
      </c>
      <c r="B86" s="11">
        <f>'Bldgs &amp; Rooms'!$B$4</f>
        <v>0</v>
      </c>
      <c r="C86" s="10" t="str">
        <f>Hours!$A$12</f>
        <v xml:space="preserve">  MCC: Molded Case Breaker</v>
      </c>
      <c r="D86" s="11">
        <f t="shared" si="2"/>
        <v>0</v>
      </c>
      <c r="E86" s="16">
        <f>IF('Components Yr 1'!E86=0,0,'Components Yr 1'!E86)</f>
        <v>0</v>
      </c>
      <c r="F86" s="17">
        <f>IF('Components Yr 1'!F86=0,0,'Components Yr 1'!F86)</f>
        <v>0</v>
      </c>
      <c r="G86" s="17">
        <f>IF('Components Yr 1'!G86=0,0,'Components Yr 1'!G86)</f>
        <v>0</v>
      </c>
      <c r="H86" s="17">
        <f>IF('Components Yr 1'!H86=0,0,'Components Yr 1'!H86)</f>
        <v>0</v>
      </c>
      <c r="I86" s="17">
        <f>IF('Components Yr 1'!I86=0,0,'Components Yr 1'!I86)</f>
        <v>0</v>
      </c>
      <c r="J86" s="17">
        <f>IF('Components Yr 1'!J86=0,0,'Components Yr 1'!J86)</f>
        <v>0</v>
      </c>
      <c r="K86" s="17">
        <f>IF('Components Yr 1'!K86=0,0,'Components Yr 1'!K86)</f>
        <v>0</v>
      </c>
      <c r="L86" s="12"/>
      <c r="M86" s="12"/>
      <c r="N86" s="12"/>
      <c r="O86" s="12"/>
      <c r="P86" s="12"/>
      <c r="Q86" s="17"/>
      <c r="R86" s="18">
        <f>IF(SUMPRODUCT((E86:Q86)*1)=0,0,E86*INDEX(Hours!M:M,MATCH(C86,Hours!$A:$A,0))+F86*INDEX(Hours!B:B,MATCH(C86,Hours!$A:$A,0))+G86*INDEX(Hours!C:C,MATCH(C86,Hours!$A:$A,0))+H86*INDEX(Hours!D:D,MATCH(C86,Hours!$A:$A,0))+I86*INDEX(Hours!E:E,MATCH(C86,Hours!$A:$A,0))+J86*INDEX(Hours!F:F,MATCH(C86,Hours!$A:$A,0))+K86*INDEX(Hours!G:G,MATCH(C86,Hours!$A:$A,0)))</f>
        <v>0</v>
      </c>
      <c r="S86" s="19">
        <f t="shared" si="3"/>
        <v>0</v>
      </c>
    </row>
    <row r="87" spans="1:19" x14ac:dyDescent="0.25">
      <c r="A87" s="11" t="str">
        <f>'Bldgs &amp; Rooms'!$A$4</f>
        <v>Main Bldg.</v>
      </c>
      <c r="B87" s="11">
        <f>'Bldgs &amp; Rooms'!$B$4</f>
        <v>0</v>
      </c>
      <c r="C87" s="10" t="str">
        <f>Hours!$A$13</f>
        <v xml:space="preserve">  MCC: Individual Disconnect Switch</v>
      </c>
      <c r="D87" s="11">
        <f t="shared" si="2"/>
        <v>0</v>
      </c>
      <c r="E87" s="16">
        <f>IF('Components Yr 1'!E87=0,0,'Components Yr 1'!E87)</f>
        <v>0</v>
      </c>
      <c r="F87" s="17">
        <f>IF('Components Yr 1'!F87=0,0,'Components Yr 1'!F87)</f>
        <v>0</v>
      </c>
      <c r="G87" s="17">
        <f>IF('Components Yr 1'!G87=0,0,'Components Yr 1'!G87)</f>
        <v>0</v>
      </c>
      <c r="H87" s="17">
        <f>IF('Components Yr 1'!H87=0,0,'Components Yr 1'!H87)</f>
        <v>0</v>
      </c>
      <c r="I87" s="17">
        <f>IF('Components Yr 1'!I87=0,0,'Components Yr 1'!I87)</f>
        <v>0</v>
      </c>
      <c r="J87" s="17">
        <f>IF('Components Yr 1'!J87=0,0,'Components Yr 1'!J87)</f>
        <v>0</v>
      </c>
      <c r="K87" s="12"/>
      <c r="L87" s="12"/>
      <c r="M87" s="12"/>
      <c r="N87" s="12"/>
      <c r="O87" s="12"/>
      <c r="P87" s="12"/>
      <c r="Q87" s="17"/>
      <c r="R87" s="18">
        <f>IF(SUMPRODUCT((E87:Q87)*1)=0,0,E87*INDEX(Hours!M:M,MATCH(C87,Hours!$A:$A,0))+F87*INDEX(Hours!B:B,MATCH(C87,Hours!$A:$A,0))+G87*INDEX(Hours!C:C,MATCH(C87,Hours!$A:$A,0))+H87*INDEX(Hours!D:D,MATCH(C87,Hours!$A:$A,0))+I87*INDEX(Hours!E:E,MATCH(C87,Hours!$A:$A,0))+J87*INDEX(Hours!F:F,MATCH(C87,Hours!$A:$A,0)))</f>
        <v>0</v>
      </c>
      <c r="S87" s="19">
        <f t="shared" si="3"/>
        <v>0</v>
      </c>
    </row>
    <row r="88" spans="1:19" x14ac:dyDescent="0.25">
      <c r="A88" s="11" t="str">
        <f>'Bldgs &amp; Rooms'!$A$4</f>
        <v>Main Bldg.</v>
      </c>
      <c r="B88" s="11">
        <f>'Bldgs &amp; Rooms'!$B$4</f>
        <v>0</v>
      </c>
      <c r="C88" s="10" t="str">
        <f>Hours!$A$14</f>
        <v>Motor Control Panel (MCP)</v>
      </c>
      <c r="D88" s="11">
        <f t="shared" si="2"/>
        <v>0</v>
      </c>
      <c r="E88" s="16">
        <f>IF('Components Yr 1'!E88=0,0,'Components Yr 1'!E88)</f>
        <v>0</v>
      </c>
      <c r="F88" s="17">
        <f>IF('Components Yr 1'!F88=0,0,'Components Yr 1'!F88)</f>
        <v>0</v>
      </c>
      <c r="G88" s="17">
        <f>IF('Components Yr 1'!G88=0,0,'Components Yr 1'!G88)</f>
        <v>0</v>
      </c>
      <c r="H88" s="17">
        <f>IF('Components Yr 1'!H88=0,0,'Components Yr 1'!H88)</f>
        <v>0</v>
      </c>
      <c r="I88" s="17">
        <f>IF('Components Yr 1'!I88=0,0,'Components Yr 1'!I88)</f>
        <v>0</v>
      </c>
      <c r="J88" s="17">
        <f>IF('Components Yr 1'!J88=0,0,'Components Yr 1'!J88)</f>
        <v>0</v>
      </c>
      <c r="K88" s="12"/>
      <c r="L88" s="12"/>
      <c r="M88" s="12"/>
      <c r="N88" s="12"/>
      <c r="O88" s="17">
        <f>IF('Components Yr 1'!O88=0,0,'Components Yr 1'!O88)</f>
        <v>0</v>
      </c>
      <c r="P88" s="12"/>
      <c r="Q88" s="17"/>
      <c r="R88" s="18">
        <f>IF(SUMPRODUCT((E88:Q88)*1)=0,0,E88*INDEX(Hours!M:M,MATCH(C88,Hours!$A:$A,0))+F88*INDEX(Hours!B:B,MATCH(C88,Hours!$A:$A,0))+G88*INDEX(Hours!C:C,MATCH(C88,Hours!$A:$A,0))+H88*INDEX(Hours!D:D,MATCH(C88,Hours!$A:$A,0))+I88*INDEX(Hours!E:E,MATCH(C88,Hours!$A:$A,0))+J88*INDEX(Hours!F:F,MATCH(C88,Hours!$A:$A,0))+O88*INDEX(Hours!K:K,MATCH(C88,Hours!$A:$A,0)))</f>
        <v>0</v>
      </c>
      <c r="S88" s="19">
        <f t="shared" si="3"/>
        <v>0</v>
      </c>
    </row>
    <row r="89" spans="1:19" x14ac:dyDescent="0.25">
      <c r="A89" s="11" t="str">
        <f>'Bldgs &amp; Rooms'!$A$4</f>
        <v>Main Bldg.</v>
      </c>
      <c r="B89" s="11">
        <f>'Bldgs &amp; Rooms'!$B$4</f>
        <v>0</v>
      </c>
      <c r="C89" s="10" t="str">
        <f>Hours!$A$15</f>
        <v>VFD Motor Control Panel (VFD-MCP)</v>
      </c>
      <c r="D89" s="11">
        <f t="shared" si="2"/>
        <v>0</v>
      </c>
      <c r="E89" s="16">
        <f>IF('Components Yr 1'!E89=0,0,'Components Yr 1'!E89)</f>
        <v>0</v>
      </c>
      <c r="F89" s="17">
        <f>IF('Components Yr 1'!F89=0,0,'Components Yr 1'!F89)</f>
        <v>0</v>
      </c>
      <c r="G89" s="17">
        <f>IF('Components Yr 1'!G89=0,0,'Components Yr 1'!G89)</f>
        <v>0</v>
      </c>
      <c r="H89" s="17">
        <f>IF('Components Yr 1'!H89=0,0,'Components Yr 1'!H89)</f>
        <v>0</v>
      </c>
      <c r="I89" s="17">
        <f>IF('Components Yr 1'!I89=0,0,'Components Yr 1'!I89)</f>
        <v>0</v>
      </c>
      <c r="J89" s="17">
        <f>IF('Components Yr 1'!J89=0,0,'Components Yr 1'!J89)</f>
        <v>0</v>
      </c>
      <c r="K89" s="12"/>
      <c r="L89" s="12"/>
      <c r="M89" s="12"/>
      <c r="N89" s="12"/>
      <c r="O89" s="17">
        <f>IF('Components Yr 1'!O89=0,0,'Components Yr 1'!O89)</f>
        <v>0</v>
      </c>
      <c r="P89" s="12"/>
      <c r="Q89" s="17"/>
      <c r="R89" s="18">
        <f>IF(SUMPRODUCT((E89:Q89)*1)=0,0,E89*INDEX(Hours!M:M,MATCH(C89,Hours!$A:$A,0))+F89*INDEX(Hours!B:B,MATCH(C89,Hours!$A:$A,0))+G89*INDEX(Hours!C:C,MATCH(C89,Hours!$A:$A,0))+H89*INDEX(Hours!D:D,MATCH(C89,Hours!$A:$A,0))+I89*INDEX(Hours!E:E,MATCH(C89,Hours!$A:$A,0))+J89*INDEX(Hours!F:F,MATCH(C89,Hours!$A:$A,0))+O89*INDEX(Hours!K:K,MATCH(C89,Hours!$A:$A,0)))</f>
        <v>0</v>
      </c>
      <c r="S89" s="19">
        <f t="shared" si="3"/>
        <v>0</v>
      </c>
    </row>
    <row r="90" spans="1:19" x14ac:dyDescent="0.25">
      <c r="A90" s="11" t="str">
        <f>'Bldgs &amp; Rooms'!$A$4</f>
        <v>Main Bldg.</v>
      </c>
      <c r="B90" s="11">
        <f>'Bldgs &amp; Rooms'!$B$4</f>
        <v>0</v>
      </c>
      <c r="C90" s="10" t="str">
        <f>Hours!$A$16</f>
        <v>Individual Disconnect Switch &gt; 100A</v>
      </c>
      <c r="D90" s="11">
        <f t="shared" si="2"/>
        <v>0</v>
      </c>
      <c r="E90" s="16">
        <f>IF('Components Yr 1'!E90=0,0,'Components Yr 1'!E90)</f>
        <v>0</v>
      </c>
      <c r="F90" s="17">
        <f>IF('Components Yr 1'!F90=0,0,'Components Yr 1'!F90)</f>
        <v>0</v>
      </c>
      <c r="G90" s="17">
        <f>IF('Components Yr 1'!G90=0,0,'Components Yr 1'!G90)</f>
        <v>0</v>
      </c>
      <c r="H90" s="17">
        <f>IF('Components Yr 1'!H90=0,0,'Components Yr 1'!H90)</f>
        <v>0</v>
      </c>
      <c r="I90" s="17">
        <f>IF('Components Yr 1'!I90=0,0,'Components Yr 1'!I90)</f>
        <v>0</v>
      </c>
      <c r="J90" s="17">
        <f>IF('Components Yr 1'!J90=0,0,'Components Yr 1'!J90)</f>
        <v>0</v>
      </c>
      <c r="K90" s="17">
        <f>IF('Components Yr 1'!K90=0,0,'Components Yr 1'!K90)</f>
        <v>0</v>
      </c>
      <c r="L90" s="12"/>
      <c r="M90" s="12"/>
      <c r="N90" s="12"/>
      <c r="O90" s="12"/>
      <c r="P90" s="12"/>
      <c r="Q90" s="17"/>
      <c r="R90" s="18">
        <f>IF(SUMPRODUCT((E90:Q90)*1)=0,0,E90*INDEX(Hours!M:M,MATCH(C90,Hours!$A:$A,0))+F90*INDEX(Hours!B:B,MATCH(C90,Hours!$A:$A,0))+G90*INDEX(Hours!C:C,MATCH(C90,Hours!$A:$A,0))+H90*INDEX(Hours!D:D,MATCH(C90,Hours!$A:$A,0))+I90*INDEX(Hours!E:E,MATCH(C90,Hours!$A:$A,0))+J90*INDEX(Hours!F:F,MATCH(C90,Hours!$A:$A,0))+K90*INDEX(Hours!G:G,MATCH(C90,Hours!$A:$A,0)))</f>
        <v>0</v>
      </c>
      <c r="S90" s="19">
        <f t="shared" si="3"/>
        <v>0</v>
      </c>
    </row>
    <row r="91" spans="1:19" x14ac:dyDescent="0.25">
      <c r="A91" s="11" t="str">
        <f>'Bldgs &amp; Rooms'!$A$4</f>
        <v>Main Bldg.</v>
      </c>
      <c r="B91" s="11">
        <f>'Bldgs &amp; Rooms'!$B$4</f>
        <v>0</v>
      </c>
      <c r="C91" s="10" t="str">
        <f>Hours!$A$17</f>
        <v>Individual Molded Case Breaker &gt; 100A</v>
      </c>
      <c r="D91" s="11">
        <f t="shared" si="2"/>
        <v>0</v>
      </c>
      <c r="E91" s="16">
        <f>IF('Components Yr 1'!E91=0,0,'Components Yr 1'!E91)</f>
        <v>0</v>
      </c>
      <c r="F91" s="17">
        <f>IF('Components Yr 1'!F91=0,0,'Components Yr 1'!F91)</f>
        <v>0</v>
      </c>
      <c r="G91" s="17">
        <f>IF('Components Yr 1'!G91=0,0,'Components Yr 1'!G91)</f>
        <v>0</v>
      </c>
      <c r="H91" s="17">
        <f>IF('Components Yr 1'!H91=0,0,'Components Yr 1'!H91)</f>
        <v>0</v>
      </c>
      <c r="I91" s="17">
        <f>IF('Components Yr 1'!I91=0,0,'Components Yr 1'!I91)</f>
        <v>0</v>
      </c>
      <c r="J91" s="17">
        <f>IF('Components Yr 1'!J91=0,0,'Components Yr 1'!J91)</f>
        <v>0</v>
      </c>
      <c r="K91" s="17">
        <f>IF('Components Yr 1'!K91=0,0,'Components Yr 1'!K91)</f>
        <v>0</v>
      </c>
      <c r="L91" s="12"/>
      <c r="M91" s="12"/>
      <c r="N91" s="12"/>
      <c r="O91" s="12"/>
      <c r="P91" s="12"/>
      <c r="Q91" s="17"/>
      <c r="R91" s="18">
        <f>IF(SUMPRODUCT((E91:Q91)*1)=0,0,E91*INDEX(Hours!M:M,MATCH(C91,Hours!$A:$A,0))+F91*INDEX(Hours!B:B,MATCH(C91,Hours!$A:$A,0))+G91*INDEX(Hours!C:C,MATCH(C91,Hours!$A:$A,0))+H91*INDEX(Hours!D:D,MATCH(C91,Hours!$A:$A,0))+I91*INDEX(Hours!E:E,MATCH(C91,Hours!$A:$A,0))+J91*INDEX(Hours!F:F,MATCH(C91,Hours!$A:$A,0))+K91*INDEX(Hours!G:G,MATCH(C91,Hours!$A:$A,0)))</f>
        <v>0</v>
      </c>
      <c r="S91" s="19">
        <f t="shared" si="3"/>
        <v>0</v>
      </c>
    </row>
    <row r="92" spans="1:19" x14ac:dyDescent="0.25">
      <c r="A92" s="11" t="str">
        <f>'Bldgs &amp; Rooms'!$A$4</f>
        <v>Main Bldg.</v>
      </c>
      <c r="B92" s="11">
        <f>'Bldgs &amp; Rooms'!$B$4</f>
        <v>0</v>
      </c>
      <c r="C92" s="10" t="str">
        <f>Hours!$A$18</f>
        <v>Individual Combination Motor Starter &gt; 100A</v>
      </c>
      <c r="D92" s="11">
        <f t="shared" si="2"/>
        <v>0</v>
      </c>
      <c r="E92" s="16">
        <f>IF('Components Yr 1'!E92=0,0,'Components Yr 1'!E92)</f>
        <v>0</v>
      </c>
      <c r="F92" s="17">
        <f>IF('Components Yr 1'!F92=0,0,'Components Yr 1'!F92)</f>
        <v>0</v>
      </c>
      <c r="G92" s="17">
        <f>IF('Components Yr 1'!G92=0,0,'Components Yr 1'!G92)</f>
        <v>0</v>
      </c>
      <c r="H92" s="17">
        <f>IF('Components Yr 1'!H92=0,0,'Components Yr 1'!H92)</f>
        <v>0</v>
      </c>
      <c r="I92" s="17">
        <f>IF('Components Yr 1'!I92=0,0,'Components Yr 1'!I92)</f>
        <v>0</v>
      </c>
      <c r="J92" s="17">
        <f>IF('Components Yr 1'!J92=0,0,'Components Yr 1'!J92)</f>
        <v>0</v>
      </c>
      <c r="K92" s="17">
        <f>IF('Components Yr 1'!K92=0,0,'Components Yr 1'!K92)</f>
        <v>0</v>
      </c>
      <c r="L92" s="12"/>
      <c r="M92" s="12"/>
      <c r="N92" s="12"/>
      <c r="O92" s="12"/>
      <c r="P92" s="12"/>
      <c r="Q92" s="17"/>
      <c r="R92" s="18">
        <f>IF(SUMPRODUCT((E92:Q92)*1)=0,0,E92*INDEX(Hours!M:M,MATCH(C92,Hours!$A:$A,0))+F92*INDEX(Hours!B:B,MATCH(C92,Hours!$A:$A,0))+G92*INDEX(Hours!C:C,MATCH(C92,Hours!$A:$A,0))+H92*INDEX(Hours!D:D,MATCH(C92,Hours!$A:$A,0))+I92*INDEX(Hours!E:E,MATCH(C92,Hours!$A:$A,0))+J92*INDEX(Hours!F:F,MATCH(C92,Hours!$A:$A,0))+K92*INDEX(Hours!G:G,MATCH(C92,Hours!$A:$A,0)))</f>
        <v>0</v>
      </c>
      <c r="S92" s="19">
        <f t="shared" si="3"/>
        <v>0</v>
      </c>
    </row>
    <row r="93" spans="1:19" x14ac:dyDescent="0.25">
      <c r="A93" s="11" t="str">
        <f>'Bldgs &amp; Rooms'!$A$4</f>
        <v>Main Bldg.</v>
      </c>
      <c r="B93" s="11">
        <f>'Bldgs &amp; Rooms'!$B$4</f>
        <v>0</v>
      </c>
      <c r="C93" s="10" t="str">
        <f>Hours!$A$19</f>
        <v>Oil Filled Transformer - 5kV-15kV Primary - Any Size (Pad Mounted)</v>
      </c>
      <c r="D93" s="11">
        <f t="shared" si="2"/>
        <v>0</v>
      </c>
      <c r="E93" s="16">
        <f>IF('Components Yr 1'!E93=0,0,'Components Yr 1'!E93)</f>
        <v>0</v>
      </c>
      <c r="F93" s="17">
        <f>IF('Components Yr 1'!F93=0,0,'Components Yr 1'!F93)</f>
        <v>0</v>
      </c>
      <c r="G93" s="17">
        <f>IF('Components Yr 1'!G93=0,0,'Components Yr 1'!G93)</f>
        <v>0</v>
      </c>
      <c r="H93" s="17">
        <f>IF('Components Yr 1'!H93=0,0,'Components Yr 1'!H93)</f>
        <v>0</v>
      </c>
      <c r="I93" s="17">
        <f>IF('Components Yr 1'!I93=0,0,'Components Yr 1'!I93)</f>
        <v>0</v>
      </c>
      <c r="J93" s="17">
        <f>IF('Components Yr 1'!J93=0,0,'Components Yr 1'!J93)</f>
        <v>0</v>
      </c>
      <c r="K93" s="12"/>
      <c r="L93" s="12"/>
      <c r="M93" s="17">
        <f>IF('Components Yr 1'!M93=0,0,'Components Yr 1'!M93)</f>
        <v>0</v>
      </c>
      <c r="N93" s="17">
        <f>IF('Components Yr 1'!N93=0,0,'Components Yr 1'!N93)</f>
        <v>0</v>
      </c>
      <c r="O93" s="12"/>
      <c r="P93" s="17">
        <f>IF('Components Yr 1'!P93=0,0,'Components Yr 1'!P93)</f>
        <v>0</v>
      </c>
      <c r="Q93" s="17"/>
      <c r="R93" s="18">
        <f>IF(SUMPRODUCT((E93:Q93)*1)=0,0,E93*INDEX(Hours!M:M,MATCH(C93,Hours!$A:$A,0))+F93*INDEX(Hours!B:B,MATCH(C93,Hours!$A:$A,0))+G93*INDEX(Hours!C:C,MATCH(C93,Hours!$A:$A,0))+H93*INDEX(Hours!D:D,MATCH(C93,Hours!$A:$A,0))+I93*INDEX(Hours!E:E,MATCH(C93,Hours!$A:$A,0))+J93*INDEX(Hours!F:F,MATCH(C93,Hours!$A:$A,0))+M93*INDEX(Hours!I:I,MATCH(C93,Hours!$A:$A,0))+N93*INDEX(Hours!J:J,MATCH(C93,Hours!$A:$A,0))+P93*INDEX(Hours!L:L,MATCH(C93,Hours!$A:$A,0)))</f>
        <v>0</v>
      </c>
      <c r="S93" s="19">
        <f t="shared" si="3"/>
        <v>0</v>
      </c>
    </row>
    <row r="94" spans="1:19" x14ac:dyDescent="0.25">
      <c r="A94" s="11" t="str">
        <f>'Bldgs &amp; Rooms'!$A$4</f>
        <v>Main Bldg.</v>
      </c>
      <c r="B94" s="11">
        <f>'Bldgs &amp; Rooms'!$B$4</f>
        <v>0</v>
      </c>
      <c r="C94" s="10" t="str">
        <f>Hours!$A$20</f>
        <v>Oil Filled Transformer - &gt; 15kV Primary (Substation Class)</v>
      </c>
      <c r="D94" s="11">
        <f t="shared" si="2"/>
        <v>0</v>
      </c>
      <c r="E94" s="16">
        <f>IF('Components Yr 1'!E94=0,0,'Components Yr 1'!E94)</f>
        <v>0</v>
      </c>
      <c r="F94" s="17">
        <f>IF('Components Yr 1'!F94=0,0,'Components Yr 1'!F94)</f>
        <v>0</v>
      </c>
      <c r="G94" s="17">
        <f>IF('Components Yr 1'!G94=0,0,'Components Yr 1'!G94)</f>
        <v>0</v>
      </c>
      <c r="H94" s="17">
        <f>IF('Components Yr 1'!H94=0,0,'Components Yr 1'!H94)</f>
        <v>0</v>
      </c>
      <c r="I94" s="17">
        <f>IF('Components Yr 1'!I94=0,0,'Components Yr 1'!I94)</f>
        <v>0</v>
      </c>
      <c r="J94" s="17">
        <f>IF('Components Yr 1'!J94=0,0,'Components Yr 1'!J94)</f>
        <v>0</v>
      </c>
      <c r="K94" s="12"/>
      <c r="L94" s="12"/>
      <c r="M94" s="17">
        <f>IF('Components Yr 1'!M94=0,0,'Components Yr 1'!M94)</f>
        <v>0</v>
      </c>
      <c r="N94" s="17">
        <f>IF('Components Yr 1'!N94=0,0,'Components Yr 1'!N94)</f>
        <v>0</v>
      </c>
      <c r="O94" s="12"/>
      <c r="P94" s="17">
        <f>IF('Components Yr 1'!P94=0,0,'Components Yr 1'!P94)</f>
        <v>0</v>
      </c>
      <c r="Q94" s="17"/>
      <c r="R94" s="18">
        <f>IF(SUMPRODUCT((E94:Q94)*1)=0,0,E94*INDEX(Hours!M:M,MATCH(C94,Hours!$A:$A,0))+F94*INDEX(Hours!B:B,MATCH(C94,Hours!$A:$A,0))+G94*INDEX(Hours!C:C,MATCH(C94,Hours!$A:$A,0))+H94*INDEX(Hours!D:D,MATCH(C94,Hours!$A:$A,0))+I94*INDEX(Hours!E:E,MATCH(C94,Hours!$A:$A,0))+J94*INDEX(Hours!F:F,MATCH(C94,Hours!$A:$A,0))+M94*INDEX(Hours!I:I,MATCH(C94,Hours!$A:$A,0))+N94*INDEX(Hours!J:J,MATCH(C94,Hours!$A:$A,0))+P94*INDEX(Hours!L:L,MATCH(C94,Hours!$A:$A,0)))</f>
        <v>0</v>
      </c>
      <c r="S94" s="19">
        <f t="shared" si="3"/>
        <v>0</v>
      </c>
    </row>
    <row r="95" spans="1:19" x14ac:dyDescent="0.25">
      <c r="A95" s="11" t="str">
        <f>'Bldgs &amp; Rooms'!$A$4</f>
        <v>Main Bldg.</v>
      </c>
      <c r="B95" s="11">
        <f>'Bldgs &amp; Rooms'!$B$4</f>
        <v>0</v>
      </c>
      <c r="C95" s="10" t="str">
        <f>Hours!$A$21</f>
        <v>Dry Type Transformer - &lt; 480V Primary - Any Size kVA</v>
      </c>
      <c r="D95" s="11">
        <f t="shared" si="2"/>
        <v>0</v>
      </c>
      <c r="E95" s="16">
        <f>IF('Components Yr 1'!E95=0,0,'Components Yr 1'!E95)</f>
        <v>0</v>
      </c>
      <c r="F95" s="17">
        <f>IF('Components Yr 1'!F95=0,0,'Components Yr 1'!F95)</f>
        <v>0</v>
      </c>
      <c r="G95" s="17">
        <f>IF('Components Yr 1'!G95=0,0,'Components Yr 1'!G95)</f>
        <v>0</v>
      </c>
      <c r="H95" s="17">
        <f>IF('Components Yr 1'!H95=0,0,'Components Yr 1'!H95)</f>
        <v>0</v>
      </c>
      <c r="I95" s="17">
        <f>IF('Components Yr 1'!I95=0,0,'Components Yr 1'!I95)</f>
        <v>0</v>
      </c>
      <c r="J95" s="17">
        <f>IF('Components Yr 1'!J95=0,0,'Components Yr 1'!J95)</f>
        <v>0</v>
      </c>
      <c r="K95" s="12"/>
      <c r="L95" s="12"/>
      <c r="M95" s="17">
        <f>IF('Components Yr 1'!M95=0,0,'Components Yr 1'!M95)</f>
        <v>0</v>
      </c>
      <c r="N95" s="17">
        <f>IF('Components Yr 1'!N95=0,0,'Components Yr 1'!N95)</f>
        <v>0</v>
      </c>
      <c r="O95" s="12"/>
      <c r="P95" s="12"/>
      <c r="Q95" s="17"/>
      <c r="R95" s="18">
        <f>IF(SUMPRODUCT((E95:Q95)*1)=0,0,E95*INDEX(Hours!M:M,MATCH(C95,Hours!$A:$A,0))+F95*INDEX(Hours!B:B,MATCH(C95,Hours!$A:$A,0))+G95*INDEX(Hours!C:C,MATCH(C95,Hours!$A:$A,0))+H95*INDEX(Hours!D:D,MATCH(C95,Hours!$A:$A,0))+I95*INDEX(Hours!E:E,MATCH(C95,Hours!$A:$A,0))+J95*INDEX(Hours!F:F,MATCH(C95,Hours!$A:$A,0))+M95*INDEX(Hours!I:I,MATCH(C95,Hours!$A:$A,0))+N95*INDEX(Hours!J:J,MATCH(C95,Hours!$A:$A,0)))</f>
        <v>0</v>
      </c>
      <c r="S95" s="19">
        <f t="shared" si="3"/>
        <v>0</v>
      </c>
    </row>
    <row r="96" spans="1:19" x14ac:dyDescent="0.25">
      <c r="A96" s="11" t="str">
        <f>'Bldgs &amp; Rooms'!$A$4</f>
        <v>Main Bldg.</v>
      </c>
      <c r="B96" s="11">
        <f>'Bldgs &amp; Rooms'!$B$4</f>
        <v>0</v>
      </c>
      <c r="C96" s="10" t="str">
        <f>Hours!$A$22</f>
        <v>Power Factor Correction Capacitors</v>
      </c>
      <c r="D96" s="11">
        <f t="shared" si="2"/>
        <v>0</v>
      </c>
      <c r="E96" s="16">
        <f>IF('Components Yr 1'!E96=0,0,'Components Yr 1'!E96)</f>
        <v>0</v>
      </c>
      <c r="F96" s="17">
        <f>IF('Components Yr 1'!F96=0,0,'Components Yr 1'!F96)</f>
        <v>0</v>
      </c>
      <c r="G96" s="17">
        <f>IF('Components Yr 1'!G96=0,0,'Components Yr 1'!G96)</f>
        <v>0</v>
      </c>
      <c r="H96" s="17">
        <f>IF('Components Yr 1'!H96=0,0,'Components Yr 1'!H96)</f>
        <v>0</v>
      </c>
      <c r="I96" s="17">
        <f>IF('Components Yr 1'!I96=0,0,'Components Yr 1'!I96)</f>
        <v>0</v>
      </c>
      <c r="J96" s="17">
        <f>IF('Components Yr 1'!J96=0,0,'Components Yr 1'!J96)</f>
        <v>0</v>
      </c>
      <c r="K96" s="12"/>
      <c r="L96" s="12"/>
      <c r="M96" s="12"/>
      <c r="N96" s="12"/>
      <c r="O96" s="12"/>
      <c r="P96" s="12"/>
      <c r="Q96" s="17"/>
      <c r="R96" s="18">
        <f>IF(SUMPRODUCT((E96:Q96)*1)=0,0,E96*INDEX(Hours!M:M,MATCH(C96,Hours!$A:$A,0))+F96*INDEX(Hours!B:B,MATCH(C96,Hours!$A:$A,0))+G96*INDEX(Hours!C:C,MATCH(C96,Hours!$A:$A,0))+H96*INDEX(Hours!D:D,MATCH(C96,Hours!$A:$A,0))+I96*INDEX(Hours!E:E,MATCH(C96,Hours!$A:$A,0))+J96*INDEX(Hours!F:F,MATCH(C96,Hours!$A:$A,0)))</f>
        <v>0</v>
      </c>
      <c r="S96" s="19">
        <f t="shared" si="3"/>
        <v>0</v>
      </c>
    </row>
    <row r="97" spans="1:19" x14ac:dyDescent="0.25">
      <c r="A97" s="11" t="str">
        <f>'Bldgs &amp; Rooms'!$A$4</f>
        <v>Main Bldg.</v>
      </c>
      <c r="B97" s="11">
        <f>'Bldgs &amp; Rooms'!$B$4</f>
        <v>0</v>
      </c>
      <c r="C97" s="10" t="str">
        <f>Hours!$A$23</f>
        <v>Lighting Contactor &gt; 100A</v>
      </c>
      <c r="D97" s="11">
        <f t="shared" si="2"/>
        <v>0</v>
      </c>
      <c r="E97" s="16">
        <f>IF('Components Yr 1'!E97=0,0,'Components Yr 1'!E97)</f>
        <v>0</v>
      </c>
      <c r="F97" s="17">
        <f>IF('Components Yr 1'!F97=0,0,'Components Yr 1'!F97)</f>
        <v>0</v>
      </c>
      <c r="G97" s="17">
        <f>IF('Components Yr 1'!G97=0,0,'Components Yr 1'!G97)</f>
        <v>0</v>
      </c>
      <c r="H97" s="17">
        <f>IF('Components Yr 1'!H97=0,0,'Components Yr 1'!H97)</f>
        <v>0</v>
      </c>
      <c r="I97" s="17">
        <f>IF('Components Yr 1'!I97=0,0,'Components Yr 1'!I97)</f>
        <v>0</v>
      </c>
      <c r="J97" s="17">
        <f>IF('Components Yr 1'!J97=0,0,'Components Yr 1'!J97)</f>
        <v>0</v>
      </c>
      <c r="K97" s="12"/>
      <c r="L97" s="12"/>
      <c r="M97" s="12"/>
      <c r="N97" s="12"/>
      <c r="O97" s="12"/>
      <c r="P97" s="12"/>
      <c r="Q97" s="17"/>
      <c r="R97" s="18">
        <f>IF(SUMPRODUCT((E97:Q97)*1)=0,0,E97*INDEX(Hours!M:M,MATCH(C97,Hours!$A:$A,0))+F97*INDEX(Hours!B:B,MATCH(C97,Hours!$A:$A,0))+G97*INDEX(Hours!C:C,MATCH(C97,Hours!$A:$A,0))+H97*INDEX(Hours!D:D,MATCH(C97,Hours!$A:$A,0))+I97*INDEX(Hours!E:E,MATCH(C97,Hours!$A:$A,0))+J97*INDEX(Hours!F:F,MATCH(C97,Hours!$A:$A,0)))</f>
        <v>0</v>
      </c>
      <c r="S97" s="19">
        <f t="shared" si="3"/>
        <v>0</v>
      </c>
    </row>
    <row r="98" spans="1:19" x14ac:dyDescent="0.25">
      <c r="A98" s="11" t="str">
        <f>'Bldgs &amp; Rooms'!$A$4</f>
        <v>Main Bldg.</v>
      </c>
      <c r="B98" s="11">
        <f>'Bldgs &amp; Rooms'!$B$4</f>
        <v>0</v>
      </c>
      <c r="C98" s="10" t="str">
        <f>Hours!$A$24</f>
        <v>Power Distribution Unit (PDU)</v>
      </c>
      <c r="D98" s="11">
        <f t="shared" si="2"/>
        <v>0</v>
      </c>
      <c r="E98" s="16">
        <f>IF('Components Yr 1'!E98=0,0,'Components Yr 1'!E98)</f>
        <v>0</v>
      </c>
      <c r="F98" s="17">
        <f>IF('Components Yr 1'!F98=0,0,'Components Yr 1'!F98)</f>
        <v>0</v>
      </c>
      <c r="G98" s="17">
        <f>IF('Components Yr 1'!G98=0,0,'Components Yr 1'!G98)</f>
        <v>0</v>
      </c>
      <c r="H98" s="17">
        <f>IF('Components Yr 1'!H98=0,0,'Components Yr 1'!H98)</f>
        <v>0</v>
      </c>
      <c r="I98" s="17">
        <f>IF('Components Yr 1'!I98=0,0,'Components Yr 1'!I98)</f>
        <v>0</v>
      </c>
      <c r="J98" s="17">
        <f>IF('Components Yr 1'!J98=0,0,'Components Yr 1'!J98)</f>
        <v>0</v>
      </c>
      <c r="K98" s="12"/>
      <c r="L98" s="12"/>
      <c r="M98" s="12"/>
      <c r="N98" s="12"/>
      <c r="O98" s="12"/>
      <c r="P98" s="12"/>
      <c r="Q98" s="17"/>
      <c r="R98" s="18">
        <f>IF(SUMPRODUCT((E98:Q98)*1)=0,0,E98*INDEX(Hours!M:M,MATCH(C98,Hours!$A:$A,0))+F98*INDEX(Hours!B:B,MATCH(C98,Hours!$A:$A,0))+G98*INDEX(Hours!C:C,MATCH(C98,Hours!$A:$A,0))+H98*INDEX(Hours!D:D,MATCH(C98,Hours!$A:$A,0))+I98*INDEX(Hours!E:E,MATCH(C98,Hours!$A:$A,0))+J98*INDEX(Hours!F:F,MATCH(C98,Hours!$A:$A,0)))</f>
        <v>0</v>
      </c>
      <c r="S98" s="19">
        <f t="shared" si="3"/>
        <v>0</v>
      </c>
    </row>
    <row r="99" spans="1:19" x14ac:dyDescent="0.25">
      <c r="A99" s="11" t="str">
        <f>'Bldgs &amp; Rooms'!$A$4</f>
        <v>Main Bldg.</v>
      </c>
      <c r="B99" s="11">
        <f>'Bldgs &amp; Rooms'!$B$4</f>
        <v>0</v>
      </c>
      <c r="C99" s="10" t="str">
        <f>Hours!$A$25</f>
        <v>Wire Trough, Gutter, or Large Junction Boxes</v>
      </c>
      <c r="D99" s="11">
        <f t="shared" si="2"/>
        <v>0</v>
      </c>
      <c r="E99" s="16">
        <f>IF('Components Yr 1'!E99=0,0,'Components Yr 1'!E99)</f>
        <v>0</v>
      </c>
      <c r="F99" s="17">
        <f>IF('Components Yr 1'!F99=0,0,'Components Yr 1'!F99)</f>
        <v>0</v>
      </c>
      <c r="G99" s="17">
        <f>IF('Components Yr 1'!G99=0,0,'Components Yr 1'!G99)</f>
        <v>0</v>
      </c>
      <c r="H99" s="17">
        <f>IF('Components Yr 1'!H99=0,0,'Components Yr 1'!H99)</f>
        <v>0</v>
      </c>
      <c r="I99" s="17">
        <f>IF('Components Yr 1'!I99=0,0,'Components Yr 1'!I99)</f>
        <v>0</v>
      </c>
      <c r="J99" s="17">
        <f>IF('Components Yr 1'!J99=0,0,'Components Yr 1'!J99)</f>
        <v>0</v>
      </c>
      <c r="K99" s="12"/>
      <c r="L99" s="12"/>
      <c r="M99" s="12"/>
      <c r="N99" s="12"/>
      <c r="O99" s="12"/>
      <c r="P99" s="12"/>
      <c r="Q99" s="17"/>
      <c r="R99" s="18">
        <f>IF(SUMPRODUCT((E99:Q99)*1)=0,0,E99*INDEX(Hours!M:M,MATCH(C99,Hours!$A:$A,0))+F99*INDEX(Hours!B:B,MATCH(C99,Hours!$A:$A,0))+G99*INDEX(Hours!C:C,MATCH(C99,Hours!$A:$A,0))+H99*INDEX(Hours!D:D,MATCH(C99,Hours!$A:$A,0))+I99*INDEX(Hours!E:E,MATCH(C99,Hours!$A:$A,0))+J99*INDEX(Hours!F:F,MATCH(C99,Hours!$A:$A,0)))</f>
        <v>0</v>
      </c>
      <c r="S99" s="19">
        <f t="shared" si="3"/>
        <v>0</v>
      </c>
    </row>
    <row r="100" spans="1:19" x14ac:dyDescent="0.25">
      <c r="A100" s="11" t="str">
        <f>'Bldgs &amp; Rooms'!$A$4</f>
        <v>Main Bldg.</v>
      </c>
      <c r="B100" s="11">
        <f>'Bldgs &amp; Rooms'!$B$4</f>
        <v>0</v>
      </c>
      <c r="C100" s="10" t="str">
        <f>Hours!$A$26</f>
        <v>Bus Duct - Vertical or Horizontal (Per 10' section)</v>
      </c>
      <c r="D100" s="11">
        <f t="shared" si="2"/>
        <v>0</v>
      </c>
      <c r="E100" s="16">
        <f>IF('Components Yr 1'!E100=0,0,'Components Yr 1'!E100)</f>
        <v>0</v>
      </c>
      <c r="F100" s="17">
        <f>IF('Components Yr 1'!F100=0,0,'Components Yr 1'!F100)</f>
        <v>0</v>
      </c>
      <c r="G100" s="17">
        <f>IF('Components Yr 1'!G100=0,0,'Components Yr 1'!G100)</f>
        <v>0</v>
      </c>
      <c r="H100" s="17">
        <f>IF('Components Yr 1'!H100=0,0,'Components Yr 1'!H100)</f>
        <v>0</v>
      </c>
      <c r="I100" s="17">
        <f>IF('Components Yr 1'!I100=0,0,'Components Yr 1'!I100)</f>
        <v>0</v>
      </c>
      <c r="J100" s="17">
        <f>IF('Components Yr 1'!J100=0,0,'Components Yr 1'!J100)</f>
        <v>0</v>
      </c>
      <c r="K100" s="12"/>
      <c r="L100" s="12"/>
      <c r="M100" s="12"/>
      <c r="N100" s="12"/>
      <c r="O100" s="12"/>
      <c r="P100" s="12"/>
      <c r="Q100" s="17"/>
      <c r="R100" s="18">
        <f>IF(SUMPRODUCT((E100:Q100)*1)=0,0,E100*INDEX(Hours!M:M,MATCH(C100,Hours!$A:$A,0))+F100*INDEX(Hours!B:B,MATCH(C100,Hours!$A:$A,0))+G100*INDEX(Hours!C:C,MATCH(C100,Hours!$A:$A,0))+H100*INDEX(Hours!D:D,MATCH(C100,Hours!$A:$A,0))+I100*INDEX(Hours!E:E,MATCH(C100,Hours!$A:$A,0))+J100*INDEX(Hours!F:F,MATCH(C100,Hours!$A:$A,0)))</f>
        <v>0</v>
      </c>
      <c r="S100" s="19">
        <f t="shared" si="3"/>
        <v>0</v>
      </c>
    </row>
    <row r="101" spans="1:19" x14ac:dyDescent="0.25">
      <c r="A101" s="11" t="str">
        <f>'Bldgs &amp; Rooms'!$A$4</f>
        <v>Main Bldg.</v>
      </c>
      <c r="B101" s="11">
        <f>'Bldgs &amp; Rooms'!$B$4</f>
        <v>0</v>
      </c>
      <c r="C101" s="10" t="str">
        <f>Hours!$A$27</f>
        <v>Automatic Transfer Switch (ATS) &gt; 100A</v>
      </c>
      <c r="D101" s="11">
        <f t="shared" si="2"/>
        <v>0</v>
      </c>
      <c r="E101" s="16">
        <f>IF('Components Yr 1'!E101=0,0,'Components Yr 1'!E101)</f>
        <v>0</v>
      </c>
      <c r="F101" s="17">
        <f>IF('Components Yr 1'!F101=0,0,'Components Yr 1'!F101)</f>
        <v>0</v>
      </c>
      <c r="G101" s="17">
        <f>IF('Components Yr 1'!G101=0,0,'Components Yr 1'!G101)</f>
        <v>0</v>
      </c>
      <c r="H101" s="17">
        <f>IF('Components Yr 1'!H101=0,0,'Components Yr 1'!H101)</f>
        <v>0</v>
      </c>
      <c r="I101" s="17">
        <f>IF('Components Yr 1'!I101=0,0,'Components Yr 1'!I101)</f>
        <v>0</v>
      </c>
      <c r="J101" s="17">
        <f>IF('Components Yr 1'!J101=0,0,'Components Yr 1'!J101)</f>
        <v>0</v>
      </c>
      <c r="K101" s="12"/>
      <c r="L101" s="12"/>
      <c r="M101" s="12"/>
      <c r="N101" s="12"/>
      <c r="O101" s="12"/>
      <c r="P101" s="12"/>
      <c r="Q101" s="17"/>
      <c r="R101" s="18">
        <f>IF(SUMPRODUCT((E101:Q101)*1)=0,0,E101*INDEX(Hours!M:M,MATCH(C101,Hours!$A:$A,0))+F101*INDEX(Hours!B:B,MATCH(C101,Hours!$A:$A,0))+G101*INDEX(Hours!C:C,MATCH(C101,Hours!$A:$A,0))+H101*INDEX(Hours!D:D,MATCH(C101,Hours!$A:$A,0))+I101*INDEX(Hours!E:E,MATCH(C101,Hours!$A:$A,0))+J101*INDEX(Hours!F:F,MATCH(C101,Hours!$A:$A,0)))</f>
        <v>0</v>
      </c>
      <c r="S101" s="19">
        <f t="shared" si="3"/>
        <v>0</v>
      </c>
    </row>
    <row r="102" spans="1:19" x14ac:dyDescent="0.25">
      <c r="A102" s="11" t="str">
        <f>'Bldgs &amp; Rooms'!$A$4</f>
        <v>Main Bldg.</v>
      </c>
      <c r="B102" s="11">
        <f>'Bldgs &amp; Rooms'!$B$4</f>
        <v>0</v>
      </c>
      <c r="C102" s="10" t="str">
        <f>Hours!$A$28</f>
        <v>Manual Transfer Switch (MTS) &gt; 100A</v>
      </c>
      <c r="D102" s="11">
        <f t="shared" si="2"/>
        <v>0</v>
      </c>
      <c r="E102" s="16">
        <f>IF('Components Yr 1'!E102=0,0,'Components Yr 1'!E102)</f>
        <v>0</v>
      </c>
      <c r="F102" s="17">
        <f>IF('Components Yr 1'!F102=0,0,'Components Yr 1'!F102)</f>
        <v>0</v>
      </c>
      <c r="G102" s="17">
        <f>IF('Components Yr 1'!G102=0,0,'Components Yr 1'!G102)</f>
        <v>0</v>
      </c>
      <c r="H102" s="17">
        <f>IF('Components Yr 1'!H102=0,0,'Components Yr 1'!H102)</f>
        <v>0</v>
      </c>
      <c r="I102" s="17">
        <f>IF('Components Yr 1'!I102=0,0,'Components Yr 1'!I102)</f>
        <v>0</v>
      </c>
      <c r="J102" s="17">
        <f>IF('Components Yr 1'!J102=0,0,'Components Yr 1'!J102)</f>
        <v>0</v>
      </c>
      <c r="K102" s="12"/>
      <c r="L102" s="12"/>
      <c r="M102" s="12"/>
      <c r="N102" s="12"/>
      <c r="O102" s="12"/>
      <c r="P102" s="12"/>
      <c r="Q102" s="17"/>
      <c r="R102" s="18">
        <f>IF(SUMPRODUCT((E102:Q102)*1)=0,0,E102*INDEX(Hours!M:M,MATCH(C102,Hours!$A:$A,0))+F102*INDEX(Hours!B:B,MATCH(C102,Hours!$A:$A,0))+G102*INDEX(Hours!C:C,MATCH(C102,Hours!$A:$A,0))+H102*INDEX(Hours!D:D,MATCH(C102,Hours!$A:$A,0))+I102*INDEX(Hours!E:E,MATCH(C102,Hours!$A:$A,0))+J102*INDEX(Hours!F:F,MATCH(C102,Hours!$A:$A,0)))</f>
        <v>0</v>
      </c>
      <c r="S102" s="19">
        <f t="shared" si="3"/>
        <v>0</v>
      </c>
    </row>
    <row r="103" spans="1:19" x14ac:dyDescent="0.25">
      <c r="A103" s="11" t="str">
        <f>'Bldgs &amp; Rooms'!$A$4</f>
        <v>Main Bldg.</v>
      </c>
      <c r="B103" s="11">
        <f>'Bldgs &amp; Rooms'!$B$4</f>
        <v>0</v>
      </c>
      <c r="C103" s="10" t="str">
        <f>Hours!$A$29</f>
        <v>Variable Frequency Drives (VFD) &lt; 50 HP</v>
      </c>
      <c r="D103" s="11">
        <f t="shared" si="2"/>
        <v>0</v>
      </c>
      <c r="E103" s="16">
        <f>IF('Components Yr 1'!E103=0,0,'Components Yr 1'!E103)</f>
        <v>0</v>
      </c>
      <c r="F103" s="17">
        <f>IF('Components Yr 1'!F103=0,0,'Components Yr 1'!F103)</f>
        <v>0</v>
      </c>
      <c r="G103" s="17">
        <f>IF('Components Yr 1'!G103=0,0,'Components Yr 1'!G103)</f>
        <v>0</v>
      </c>
      <c r="H103" s="17">
        <f>IF('Components Yr 1'!H103=0,0,'Components Yr 1'!H103)</f>
        <v>0</v>
      </c>
      <c r="I103" s="17">
        <f>IF('Components Yr 1'!I103=0,0,'Components Yr 1'!I103)</f>
        <v>0</v>
      </c>
      <c r="J103" s="17">
        <f>IF('Components Yr 1'!J103=0,0,'Components Yr 1'!J103)</f>
        <v>0</v>
      </c>
      <c r="K103" s="12"/>
      <c r="L103" s="12"/>
      <c r="M103" s="12"/>
      <c r="N103" s="12"/>
      <c r="O103" s="12"/>
      <c r="P103" s="12"/>
      <c r="Q103" s="17"/>
      <c r="R103" s="18">
        <f>IF(SUMPRODUCT((E103:Q103)*1)=0,0,E103*INDEX(Hours!M:M,MATCH(C103,Hours!$A:$A,0))+F103*INDEX(Hours!B:B,MATCH(C103,Hours!$A:$A,0))+G103*INDEX(Hours!C:C,MATCH(C103,Hours!$A:$A,0))+H103*INDEX(Hours!D:D,MATCH(C103,Hours!$A:$A,0))+I103*INDEX(Hours!E:E,MATCH(C103,Hours!$A:$A,0))+J103*INDEX(Hours!F:F,MATCH(C103,Hours!$A:$A,0)))</f>
        <v>0</v>
      </c>
      <c r="S103" s="19">
        <f t="shared" si="3"/>
        <v>0</v>
      </c>
    </row>
    <row r="104" spans="1:19" x14ac:dyDescent="0.25">
      <c r="A104" s="11" t="str">
        <f>'Bldgs &amp; Rooms'!$A$4</f>
        <v>Main Bldg.</v>
      </c>
      <c r="B104" s="11">
        <f>'Bldgs &amp; Rooms'!$B$4</f>
        <v>0</v>
      </c>
      <c r="C104" s="10" t="str">
        <f>Hours!$A$30</f>
        <v>Variable Frequency Drives (VFD) 51-200 HP</v>
      </c>
      <c r="D104" s="11">
        <f t="shared" si="2"/>
        <v>0</v>
      </c>
      <c r="E104" s="16">
        <f>IF('Components Yr 1'!E104=0,0,'Components Yr 1'!E104)</f>
        <v>0</v>
      </c>
      <c r="F104" s="17">
        <f>IF('Components Yr 1'!F104=0,0,'Components Yr 1'!F104)</f>
        <v>0</v>
      </c>
      <c r="G104" s="17">
        <f>IF('Components Yr 1'!G104=0,0,'Components Yr 1'!G104)</f>
        <v>0</v>
      </c>
      <c r="H104" s="17">
        <f>IF('Components Yr 1'!H104=0,0,'Components Yr 1'!H104)</f>
        <v>0</v>
      </c>
      <c r="I104" s="17">
        <f>IF('Components Yr 1'!I104=0,0,'Components Yr 1'!I104)</f>
        <v>0</v>
      </c>
      <c r="J104" s="17">
        <f>IF('Components Yr 1'!J104=0,0,'Components Yr 1'!J104)</f>
        <v>0</v>
      </c>
      <c r="K104" s="12"/>
      <c r="L104" s="12"/>
      <c r="M104" s="12"/>
      <c r="N104" s="12"/>
      <c r="O104" s="12"/>
      <c r="P104" s="12"/>
      <c r="Q104" s="17"/>
      <c r="R104" s="18">
        <f>IF(SUMPRODUCT((E104:Q104)*1)=0,0,E104*INDEX(Hours!M:M,MATCH(C104,Hours!$A:$A,0))+F104*INDEX(Hours!B:B,MATCH(C104,Hours!$A:$A,0))+G104*INDEX(Hours!C:C,MATCH(C104,Hours!$A:$A,0))+H104*INDEX(Hours!D:D,MATCH(C104,Hours!$A:$A,0))+I104*INDEX(Hours!E:E,MATCH(C104,Hours!$A:$A,0))+J104*INDEX(Hours!F:F,MATCH(C104,Hours!$A:$A,0)))</f>
        <v>0</v>
      </c>
      <c r="S104" s="19">
        <f t="shared" si="3"/>
        <v>0</v>
      </c>
    </row>
    <row r="105" spans="1:19" x14ac:dyDescent="0.25">
      <c r="A105" s="11" t="str">
        <f>'Bldgs &amp; Rooms'!$A$4</f>
        <v>Main Bldg.</v>
      </c>
      <c r="B105" s="11">
        <f>'Bldgs &amp; Rooms'!$B$4</f>
        <v>0</v>
      </c>
      <c r="C105" s="10" t="str">
        <f>Hours!$A$31</f>
        <v>Motors &lt; 50 HP</v>
      </c>
      <c r="D105" s="11">
        <f t="shared" si="2"/>
        <v>0</v>
      </c>
      <c r="E105" s="16">
        <f>IF('Components Yr 1'!E105=0,0,'Components Yr 1'!E105)</f>
        <v>0</v>
      </c>
      <c r="F105" s="17">
        <f>IF('Components Yr 1'!F105=0,0,'Components Yr 1'!F105)</f>
        <v>0</v>
      </c>
      <c r="G105" s="17">
        <f>IF('Components Yr 1'!G105=0,0,'Components Yr 1'!G105)</f>
        <v>0</v>
      </c>
      <c r="H105" s="17">
        <f>IF('Components Yr 1'!H105=0,0,'Components Yr 1'!H105)</f>
        <v>0</v>
      </c>
      <c r="I105" s="17">
        <f>IF('Components Yr 1'!I105=0,0,'Components Yr 1'!I105)</f>
        <v>0</v>
      </c>
      <c r="J105" s="17">
        <f>IF('Components Yr 1'!J105=0,0,'Components Yr 1'!J105)</f>
        <v>0</v>
      </c>
      <c r="K105" s="12"/>
      <c r="L105" s="12"/>
      <c r="M105" s="12"/>
      <c r="N105" s="12"/>
      <c r="O105" s="12"/>
      <c r="P105" s="12"/>
      <c r="Q105" s="17"/>
      <c r="R105" s="18">
        <f>IF(SUMPRODUCT((E105:Q105)*1)=0,0,E105*INDEX(Hours!M:M,MATCH(C105,Hours!$A:$A,0))+F105*INDEX(Hours!B:B,MATCH(C105,Hours!$A:$A,0))+G105*INDEX(Hours!C:C,MATCH(C105,Hours!$A:$A,0))+H105*INDEX(Hours!D:D,MATCH(C105,Hours!$A:$A,0))+I105*INDEX(Hours!E:E,MATCH(C105,Hours!$A:$A,0))+J105*INDEX(Hours!F:F,MATCH(C105,Hours!$A:$A,0)))</f>
        <v>0</v>
      </c>
      <c r="S105" s="19">
        <f t="shared" si="3"/>
        <v>0</v>
      </c>
    </row>
    <row r="106" spans="1:19" x14ac:dyDescent="0.25">
      <c r="A106" s="11" t="str">
        <f>'Bldgs &amp; Rooms'!$A$4</f>
        <v>Main Bldg.</v>
      </c>
      <c r="B106" s="11">
        <f>'Bldgs &amp; Rooms'!$B$4</f>
        <v>0</v>
      </c>
      <c r="C106" s="10" t="str">
        <f>Hours!$A$32</f>
        <v>Motors 51-200 HP</v>
      </c>
      <c r="D106" s="11">
        <f t="shared" si="2"/>
        <v>0</v>
      </c>
      <c r="E106" s="16">
        <f>IF('Components Yr 1'!E106=0,0,'Components Yr 1'!E106)</f>
        <v>0</v>
      </c>
      <c r="F106" s="17">
        <f>IF('Components Yr 1'!F106=0,0,'Components Yr 1'!F106)</f>
        <v>0</v>
      </c>
      <c r="G106" s="17">
        <f>IF('Components Yr 1'!G106=0,0,'Components Yr 1'!G106)</f>
        <v>0</v>
      </c>
      <c r="H106" s="17">
        <f>IF('Components Yr 1'!H106=0,0,'Components Yr 1'!H106)</f>
        <v>0</v>
      </c>
      <c r="I106" s="17">
        <f>IF('Components Yr 1'!I106=0,0,'Components Yr 1'!I106)</f>
        <v>0</v>
      </c>
      <c r="J106" s="17">
        <f>IF('Components Yr 1'!J106=0,0,'Components Yr 1'!J106)</f>
        <v>0</v>
      </c>
      <c r="K106" s="12"/>
      <c r="L106" s="12"/>
      <c r="M106" s="12"/>
      <c r="N106" s="12"/>
      <c r="O106" s="12"/>
      <c r="P106" s="12"/>
      <c r="Q106" s="17"/>
      <c r="R106" s="18">
        <f>IF(SUMPRODUCT((E106:Q106)*1)=0,0,E106*INDEX(Hours!M:M,MATCH(C106,Hours!$A:$A,0))+F106*INDEX(Hours!B:B,MATCH(C106,Hours!$A:$A,0))+G106*INDEX(Hours!C:C,MATCH(C106,Hours!$A:$A,0))+H106*INDEX(Hours!D:D,MATCH(C106,Hours!$A:$A,0))+I106*INDEX(Hours!E:E,MATCH(C106,Hours!$A:$A,0))+J106*INDEX(Hours!F:F,MATCH(C106,Hours!$A:$A,0)))</f>
        <v>0</v>
      </c>
      <c r="S106" s="19">
        <f t="shared" si="3"/>
        <v>0</v>
      </c>
    </row>
    <row r="107" spans="1:19" x14ac:dyDescent="0.25">
      <c r="A107" s="11" t="str">
        <f>'Bldgs &amp; Rooms'!$A$4</f>
        <v>Main Bldg.</v>
      </c>
      <c r="B107" s="11">
        <f>'Bldgs &amp; Rooms'!$B$4</f>
        <v>0</v>
      </c>
      <c r="C107" s="10" t="str">
        <f>Hours!$A$33</f>
        <v>Motors 201-500 HP</v>
      </c>
      <c r="D107" s="11">
        <f t="shared" si="2"/>
        <v>0</v>
      </c>
      <c r="E107" s="16">
        <f>IF('Components Yr 1'!E107=0,0,'Components Yr 1'!E107)</f>
        <v>0</v>
      </c>
      <c r="F107" s="17">
        <f>IF('Components Yr 1'!F107=0,0,'Components Yr 1'!F107)</f>
        <v>0</v>
      </c>
      <c r="G107" s="17">
        <f>IF('Components Yr 1'!G107=0,0,'Components Yr 1'!G107)</f>
        <v>0</v>
      </c>
      <c r="H107" s="17">
        <f>IF('Components Yr 1'!H107=0,0,'Components Yr 1'!H107)</f>
        <v>0</v>
      </c>
      <c r="I107" s="17">
        <f>IF('Components Yr 1'!I107=0,0,'Components Yr 1'!I107)</f>
        <v>0</v>
      </c>
      <c r="J107" s="17">
        <f>IF('Components Yr 1'!J107=0,0,'Components Yr 1'!J107)</f>
        <v>0</v>
      </c>
      <c r="K107" s="12"/>
      <c r="L107" s="12"/>
      <c r="M107" s="12"/>
      <c r="N107" s="12"/>
      <c r="O107" s="12"/>
      <c r="P107" s="12"/>
      <c r="Q107" s="17"/>
      <c r="R107" s="18">
        <f>IF(SUMPRODUCT((E107:Q107)*1)=0,0,E107*INDEX(Hours!M:M,MATCH(C107,Hours!$A:$A,0))+F107*INDEX(Hours!B:B,MATCH(C107,Hours!$A:$A,0))+G107*INDEX(Hours!C:C,MATCH(C107,Hours!$A:$A,0))+H107*INDEX(Hours!D:D,MATCH(C107,Hours!$A:$A,0))+I107*INDEX(Hours!E:E,MATCH(C107,Hours!$A:$A,0))+J107*INDEX(Hours!F:F,MATCH(C107,Hours!$A:$A,0)))</f>
        <v>0</v>
      </c>
      <c r="S107" s="19">
        <f t="shared" si="3"/>
        <v>0</v>
      </c>
    </row>
    <row r="108" spans="1:19" x14ac:dyDescent="0.25">
      <c r="A108" s="11" t="str">
        <f>'Bldgs &amp; Rooms'!$A$4</f>
        <v>Main Bldg.</v>
      </c>
      <c r="B108" s="11">
        <f>'Bldgs &amp; Rooms'!$B$4</f>
        <v>0</v>
      </c>
      <c r="C108" s="10" t="str">
        <f>Hours!$A$34</f>
        <v>Compressed Air Equipment</v>
      </c>
      <c r="D108" s="11">
        <f t="shared" si="2"/>
        <v>0</v>
      </c>
      <c r="E108" s="16">
        <f>IF('Components Yr 1'!E108=0,0,'Components Yr 1'!E108)</f>
        <v>0</v>
      </c>
      <c r="F108" s="17">
        <f>IF('Components Yr 1'!F108=0,0,'Components Yr 1'!F108)</f>
        <v>0</v>
      </c>
      <c r="G108" s="17">
        <f>IF('Components Yr 1'!G108=0,0,'Components Yr 1'!G108)</f>
        <v>0</v>
      </c>
      <c r="H108" s="17">
        <f>IF('Components Yr 1'!H108=0,0,'Components Yr 1'!H108)</f>
        <v>0</v>
      </c>
      <c r="I108" s="17">
        <f>IF('Components Yr 1'!I108=0,0,'Components Yr 1'!I108)</f>
        <v>0</v>
      </c>
      <c r="J108" s="17">
        <f>IF('Components Yr 1'!J108=0,0,'Components Yr 1'!J108)</f>
        <v>0</v>
      </c>
      <c r="K108" s="12"/>
      <c r="L108" s="12"/>
      <c r="M108" s="12"/>
      <c r="N108" s="12"/>
      <c r="O108" s="12"/>
      <c r="P108" s="12"/>
      <c r="Q108" s="17"/>
      <c r="R108" s="18">
        <f>IF(SUMPRODUCT((E108:Q108)*1)=0,0,E108*INDEX(Hours!M:M,MATCH(C108,Hours!$A:$A,0))+F108*INDEX(Hours!B:B,MATCH(C108,Hours!$A:$A,0))+G108*INDEX(Hours!C:C,MATCH(C108,Hours!$A:$A,0))+H108*INDEX(Hours!D:D,MATCH(C108,Hours!$A:$A,0))+I108*INDEX(Hours!E:E,MATCH(C108,Hours!$A:$A,0))+J108*INDEX(Hours!F:F,MATCH(C108,Hours!$A:$A,0)))</f>
        <v>0</v>
      </c>
      <c r="S108" s="19">
        <f t="shared" si="3"/>
        <v>0</v>
      </c>
    </row>
    <row r="109" spans="1:19" x14ac:dyDescent="0.25">
      <c r="A109" s="11" t="str">
        <f>'Bldgs &amp; Rooms'!$A$4</f>
        <v>Main Bldg.</v>
      </c>
      <c r="B109" s="11">
        <f>'Bldgs &amp; Rooms'!$B$4</f>
        <v>0</v>
      </c>
      <c r="C109" s="10" t="str">
        <f>Hours!$A$35</f>
        <v>HVAC Equipment (Large)</v>
      </c>
      <c r="D109" s="11">
        <f t="shared" si="2"/>
        <v>0</v>
      </c>
      <c r="E109" s="16">
        <f>IF('Components Yr 1'!E109=0,0,'Components Yr 1'!E109)</f>
        <v>0</v>
      </c>
      <c r="F109" s="17">
        <f>IF('Components Yr 1'!F109=0,0,'Components Yr 1'!F109)</f>
        <v>0</v>
      </c>
      <c r="G109" s="17">
        <f>IF('Components Yr 1'!G109=0,0,'Components Yr 1'!G109)</f>
        <v>0</v>
      </c>
      <c r="H109" s="17">
        <f>IF('Components Yr 1'!H109=0,0,'Components Yr 1'!H109)</f>
        <v>0</v>
      </c>
      <c r="I109" s="17">
        <f>IF('Components Yr 1'!I109=0,0,'Components Yr 1'!I109)</f>
        <v>0</v>
      </c>
      <c r="J109" s="17">
        <f>IF('Components Yr 1'!J109=0,0,'Components Yr 1'!J109)</f>
        <v>0</v>
      </c>
      <c r="K109" s="12"/>
      <c r="L109" s="12"/>
      <c r="M109" s="12"/>
      <c r="N109" s="12"/>
      <c r="O109" s="12"/>
      <c r="P109" s="12"/>
      <c r="Q109" s="17"/>
      <c r="R109" s="18">
        <f>IF(SUMPRODUCT((E109:Q109)*1)=0,0,E109*INDEX(Hours!M:M,MATCH(C109,Hours!$A:$A,0))+F109*INDEX(Hours!B:B,MATCH(C109,Hours!$A:$A,0))+G109*INDEX(Hours!C:C,MATCH(C109,Hours!$A:$A,0))+H109*INDEX(Hours!D:D,MATCH(C109,Hours!$A:$A,0))+I109*INDEX(Hours!E:E,MATCH(C109,Hours!$A:$A,0))+J109*INDEX(Hours!F:F,MATCH(C109,Hours!$A:$A,0)))</f>
        <v>0</v>
      </c>
      <c r="S109" s="19">
        <f t="shared" si="3"/>
        <v>0</v>
      </c>
    </row>
    <row r="110" spans="1:19" x14ac:dyDescent="0.25">
      <c r="A110" s="11" t="str">
        <f>'Bldgs &amp; Rooms'!$A$4</f>
        <v>Main Bldg.</v>
      </c>
      <c r="B110" s="11">
        <f>'Bldgs &amp; Rooms'!$B$4</f>
        <v>0</v>
      </c>
      <c r="C110" s="10" t="str">
        <f>Hours!$A$36</f>
        <v>HVAC Equipment (Small)</v>
      </c>
      <c r="D110" s="11">
        <f t="shared" si="2"/>
        <v>0</v>
      </c>
      <c r="E110" s="16">
        <f>IF('Components Yr 1'!E110=0,0,'Components Yr 1'!E110)</f>
        <v>0</v>
      </c>
      <c r="F110" s="17">
        <f>IF('Components Yr 1'!F110=0,0,'Components Yr 1'!F110)</f>
        <v>0</v>
      </c>
      <c r="G110" s="17">
        <f>IF('Components Yr 1'!G110=0,0,'Components Yr 1'!G110)</f>
        <v>0</v>
      </c>
      <c r="H110" s="17">
        <f>IF('Components Yr 1'!H110=0,0,'Components Yr 1'!H110)</f>
        <v>0</v>
      </c>
      <c r="I110" s="17">
        <f>IF('Components Yr 1'!I110=0,0,'Components Yr 1'!I110)</f>
        <v>0</v>
      </c>
      <c r="J110" s="17">
        <f>IF('Components Yr 1'!J110=0,0,'Components Yr 1'!J110)</f>
        <v>0</v>
      </c>
      <c r="K110" s="12"/>
      <c r="L110" s="12"/>
      <c r="M110" s="12"/>
      <c r="N110" s="12"/>
      <c r="O110" s="12"/>
      <c r="P110" s="12"/>
      <c r="Q110" s="17"/>
      <c r="R110" s="18">
        <f>IF(SUMPRODUCT((E110:Q110)*1)=0,0,E110*INDEX(Hours!M:M,MATCH(C110,Hours!$A:$A,0))+F110*INDEX(Hours!B:B,MATCH(C110,Hours!$A:$A,0))+G110*INDEX(Hours!C:C,MATCH(C110,Hours!$A:$A,0))+H110*INDEX(Hours!D:D,MATCH(C110,Hours!$A:$A,0))+I110*INDEX(Hours!E:E,MATCH(C110,Hours!$A:$A,0))+J110*INDEX(Hours!F:F,MATCH(C110,Hours!$A:$A,0)))</f>
        <v>0</v>
      </c>
      <c r="S110" s="19">
        <f t="shared" si="3"/>
        <v>0</v>
      </c>
    </row>
    <row r="111" spans="1:19" x14ac:dyDescent="0.25">
      <c r="A111" s="11" t="str">
        <f>'Bldgs &amp; Rooms'!$A$4</f>
        <v>Main Bldg.</v>
      </c>
      <c r="B111" s="11">
        <f>'Bldgs &amp; Rooms'!$B$4</f>
        <v>0</v>
      </c>
      <c r="C111" s="10" t="str">
        <f>Hours!$A$37</f>
        <v>Uninterruptible Power Supply (UPS) &lt; 50kVA</v>
      </c>
      <c r="D111" s="11">
        <f t="shared" si="2"/>
        <v>0</v>
      </c>
      <c r="E111" s="16">
        <f>IF('Components Yr 1'!E111=0,0,'Components Yr 1'!E111)</f>
        <v>0</v>
      </c>
      <c r="F111" s="17">
        <f>IF('Components Yr 1'!F111=0,0,'Components Yr 1'!F111)</f>
        <v>0</v>
      </c>
      <c r="G111" s="17">
        <f>IF('Components Yr 1'!G111=0,0,'Components Yr 1'!G111)</f>
        <v>0</v>
      </c>
      <c r="H111" s="17">
        <f>IF('Components Yr 1'!H111=0,0,'Components Yr 1'!H111)</f>
        <v>0</v>
      </c>
      <c r="I111" s="17">
        <f>IF('Components Yr 1'!I111=0,0,'Components Yr 1'!I111)</f>
        <v>0</v>
      </c>
      <c r="J111" s="17">
        <f>IF('Components Yr 1'!J111=0,0,'Components Yr 1'!J111)</f>
        <v>0</v>
      </c>
      <c r="K111" s="12"/>
      <c r="L111" s="12"/>
      <c r="M111" s="12"/>
      <c r="N111" s="12"/>
      <c r="O111" s="12"/>
      <c r="P111" s="12"/>
      <c r="Q111" s="17"/>
      <c r="R111" s="18">
        <f>IF(SUMPRODUCT((E111:Q111)*1)=0,0,E111*INDEX(Hours!M:M,MATCH(C111,Hours!$A:$A,0))+F111*INDEX(Hours!B:B,MATCH(C111,Hours!$A:$A,0))+G111*INDEX(Hours!C:C,MATCH(C111,Hours!$A:$A,0))+H111*INDEX(Hours!D:D,MATCH(C111,Hours!$A:$A,0))+I111*INDEX(Hours!E:E,MATCH(C111,Hours!$A:$A,0))+J111*INDEX(Hours!F:F,MATCH(C111,Hours!$A:$A,0)))</f>
        <v>0</v>
      </c>
      <c r="S111" s="19">
        <f t="shared" si="3"/>
        <v>0</v>
      </c>
    </row>
    <row r="112" spans="1:19" x14ac:dyDescent="0.25">
      <c r="A112" s="11" t="str">
        <f>'Bldgs &amp; Rooms'!$A$4</f>
        <v>Main Bldg.</v>
      </c>
      <c r="B112" s="11">
        <f>'Bldgs &amp; Rooms'!$B$4</f>
        <v>0</v>
      </c>
      <c r="C112" s="10" t="str">
        <f>Hours!$A$38</f>
        <v>Uninterruptible Power Supply (UPS) &gt; 50kVA</v>
      </c>
      <c r="D112" s="11">
        <f t="shared" si="2"/>
        <v>0</v>
      </c>
      <c r="E112" s="16">
        <f>IF('Components Yr 1'!E112=0,0,'Components Yr 1'!E112)</f>
        <v>0</v>
      </c>
      <c r="F112" s="17">
        <f>IF('Components Yr 1'!F112=0,0,'Components Yr 1'!F112)</f>
        <v>0</v>
      </c>
      <c r="G112" s="17">
        <f>IF('Components Yr 1'!G112=0,0,'Components Yr 1'!G112)</f>
        <v>0</v>
      </c>
      <c r="H112" s="17">
        <f>IF('Components Yr 1'!H112=0,0,'Components Yr 1'!H112)</f>
        <v>0</v>
      </c>
      <c r="I112" s="17">
        <f>IF('Components Yr 1'!I112=0,0,'Components Yr 1'!I112)</f>
        <v>0</v>
      </c>
      <c r="J112" s="17">
        <f>IF('Components Yr 1'!J112=0,0,'Components Yr 1'!J112)</f>
        <v>0</v>
      </c>
      <c r="K112" s="12"/>
      <c r="L112" s="12"/>
      <c r="M112" s="12"/>
      <c r="N112" s="12"/>
      <c r="O112" s="12"/>
      <c r="P112" s="12"/>
      <c r="Q112" s="17"/>
      <c r="R112" s="18">
        <f>IF(SUMPRODUCT((E112:Q112)*1)=0,0,E112*INDEX(Hours!M:M,MATCH(C112,Hours!$A:$A,0))+F112*INDEX(Hours!B:B,MATCH(C112,Hours!$A:$A,0))+G112*INDEX(Hours!C:C,MATCH(C112,Hours!$A:$A,0))+H112*INDEX(Hours!D:D,MATCH(C112,Hours!$A:$A,0))+I112*INDEX(Hours!E:E,MATCH(C112,Hours!$A:$A,0))+J112*INDEX(Hours!F:F,MATCH(C112,Hours!$A:$A,0)))</f>
        <v>0</v>
      </c>
      <c r="S112" s="19">
        <f t="shared" si="3"/>
        <v>0</v>
      </c>
    </row>
    <row r="113" spans="1:19" x14ac:dyDescent="0.25">
      <c r="A113" s="15" t="str">
        <f>'Bldgs &amp; Rooms'!$A$5</f>
        <v>Main Bldg.</v>
      </c>
      <c r="B113" s="15">
        <f>'Bldgs &amp; Rooms'!$B$5</f>
        <v>0</v>
      </c>
      <c r="C113" s="14" t="str">
        <f>Hours!$A$2</f>
        <v>Switchgear - Incoming Main Service (Per Section)</v>
      </c>
      <c r="D113" s="15">
        <f t="shared" si="2"/>
        <v>0</v>
      </c>
      <c r="E113" s="16">
        <f>IF('Components Yr 1'!E113=0,0,'Components Yr 1'!E113)</f>
        <v>0</v>
      </c>
      <c r="F113" s="17">
        <f>IF('Components Yr 1'!F113=0,0,'Components Yr 1'!F113)</f>
        <v>0</v>
      </c>
      <c r="G113" s="17">
        <f>IF('Components Yr 1'!G113=0,0,'Components Yr 1'!G113)</f>
        <v>0</v>
      </c>
      <c r="H113" s="17">
        <f>IF('Components Yr 1'!H113=0,0,'Components Yr 1'!H113)</f>
        <v>0</v>
      </c>
      <c r="I113" s="17">
        <f>IF('Components Yr 1'!I113=0,0,'Components Yr 1'!I113)</f>
        <v>0</v>
      </c>
      <c r="J113" s="17">
        <f>IF('Components Yr 1'!J113=0,0,'Components Yr 1'!J113)</f>
        <v>0</v>
      </c>
      <c r="K113" s="17">
        <f>IF('Components Yr 1'!K113=0,0,'Components Yr 1'!K113)</f>
        <v>0</v>
      </c>
      <c r="L113" s="17">
        <f>IF('Components Yr 1'!L113=0,0,'Components Yr 1'!L113)</f>
        <v>0</v>
      </c>
      <c r="M113" s="12"/>
      <c r="N113" s="12"/>
      <c r="O113" s="17">
        <f>IF('Components Yr 1'!O113=0,0,'Components Yr 1'!O113)</f>
        <v>0</v>
      </c>
      <c r="P113" s="12"/>
      <c r="Q113" s="17"/>
      <c r="R113" s="18">
        <f>IF(SUMPRODUCT((E113:Q113)*1)=0,0,E113*INDEX(Hours!M:M,MATCH(C113,Hours!$A:$A,0))+F113*INDEX(Hours!B:B,MATCH(C113,Hours!$A:$A,0))+G113*INDEX(Hours!C:C,MATCH(C113,Hours!$A:$A,0))+H113*INDEX(Hours!D:D,MATCH(C113,Hours!$A:$A,0))+I113*INDEX(Hours!E:E,MATCH(C113,Hours!$A:$A,0))+J113*INDEX(Hours!F:F,MATCH(C113,Hours!$A:$A,0))+K113*INDEX(Hours!G:G,MATCH(C113,Hours!$A:$A,0))+L113*INDEX(Hours!H:H,MATCH(C113,Hours!$A:$A,0))+O113*INDEX(Hours!K:K,MATCH(C113,Hours!$A:$A,0)))</f>
        <v>0</v>
      </c>
      <c r="S113" s="19">
        <f t="shared" si="3"/>
        <v>0</v>
      </c>
    </row>
    <row r="114" spans="1:19" x14ac:dyDescent="0.25">
      <c r="A114" s="15" t="str">
        <f>'Bldgs &amp; Rooms'!$A$5</f>
        <v>Main Bldg.</v>
      </c>
      <c r="B114" s="15">
        <f>'Bldgs &amp; Rooms'!$B$5</f>
        <v>0</v>
      </c>
      <c r="C114" s="14" t="str">
        <f>Hours!$A$3</f>
        <v xml:space="preserve">  Switchgear Insulated Case Breakers (Bus Mounted)</v>
      </c>
      <c r="D114" s="15">
        <f t="shared" si="2"/>
        <v>0</v>
      </c>
      <c r="E114" s="16">
        <f>IF('Components Yr 1'!E114=0,0,'Components Yr 1'!E114)</f>
        <v>0</v>
      </c>
      <c r="F114" s="17">
        <f>IF('Components Yr 1'!F114=0,0,'Components Yr 1'!F114)</f>
        <v>0</v>
      </c>
      <c r="G114" s="17">
        <f>IF('Components Yr 1'!G114=0,0,'Components Yr 1'!G114)</f>
        <v>0</v>
      </c>
      <c r="H114" s="17">
        <f>IF('Components Yr 1'!H114=0,0,'Components Yr 1'!H114)</f>
        <v>0</v>
      </c>
      <c r="I114" s="17">
        <f>IF('Components Yr 1'!I114=0,0,'Components Yr 1'!I114)</f>
        <v>0</v>
      </c>
      <c r="J114" s="17">
        <f>IF('Components Yr 1'!J114=0,0,'Components Yr 1'!J114)</f>
        <v>0</v>
      </c>
      <c r="K114" s="17">
        <f>IF('Components Yr 1'!K114=0,0,'Components Yr 1'!K114)</f>
        <v>0</v>
      </c>
      <c r="L114" s="12"/>
      <c r="M114" s="12"/>
      <c r="N114" s="12"/>
      <c r="O114" s="12"/>
      <c r="P114" s="12"/>
      <c r="Q114" s="17"/>
      <c r="R114" s="18">
        <f>IF(SUMPRODUCT((E114:Q114)*1)=0,0,E114*INDEX(Hours!M:M,MATCH(C114,Hours!$A:$A,0))+F114*INDEX(Hours!B:B,MATCH(C114,Hours!$A:$A,0))+G114*INDEX(Hours!C:C,MATCH(C114,Hours!$A:$A,0))+H114*INDEX(Hours!D:D,MATCH(C114,Hours!$A:$A,0))+I114*INDEX(Hours!E:E,MATCH(C114,Hours!$A:$A,0))+J114*INDEX(Hours!F:F,MATCH(C114,Hours!$A:$A,0))+K114*INDEX(Hours!G:G,MATCH(C114,Hours!$A:$A,0)))</f>
        <v>0</v>
      </c>
      <c r="S114" s="19">
        <f t="shared" si="3"/>
        <v>0</v>
      </c>
    </row>
    <row r="115" spans="1:19" x14ac:dyDescent="0.25">
      <c r="A115" s="15" t="str">
        <f>'Bldgs &amp; Rooms'!$A$5</f>
        <v>Main Bldg.</v>
      </c>
      <c r="B115" s="15">
        <f>'Bldgs &amp; Rooms'!$B$5</f>
        <v>0</v>
      </c>
      <c r="C115" s="14" t="str">
        <f>Hours!$A$4</f>
        <v xml:space="preserve">  SwitchGear Drawout Breakers</v>
      </c>
      <c r="D115" s="15">
        <f t="shared" si="2"/>
        <v>0</v>
      </c>
      <c r="E115" s="16">
        <f>IF('Components Yr 1'!E115=0,0,'Components Yr 1'!E115)</f>
        <v>0</v>
      </c>
      <c r="F115" s="17">
        <f>IF('Components Yr 1'!F115=0,0,'Components Yr 1'!F115)</f>
        <v>0</v>
      </c>
      <c r="G115" s="17">
        <f>IF('Components Yr 1'!G115=0,0,'Components Yr 1'!G115)</f>
        <v>0</v>
      </c>
      <c r="H115" s="17">
        <f>IF('Components Yr 1'!H115=0,0,'Components Yr 1'!H115)</f>
        <v>0</v>
      </c>
      <c r="I115" s="17">
        <f>IF('Components Yr 1'!I115=0,0,'Components Yr 1'!I115)</f>
        <v>0</v>
      </c>
      <c r="J115" s="17">
        <f>IF('Components Yr 1'!J115=0,0,'Components Yr 1'!J115)</f>
        <v>0</v>
      </c>
      <c r="K115" s="12"/>
      <c r="L115" s="17">
        <f>IF('Components Yr 1'!L115=0,0,'Components Yr 1'!L115)</f>
        <v>0</v>
      </c>
      <c r="M115" s="12"/>
      <c r="N115" s="12"/>
      <c r="O115" s="12"/>
      <c r="P115" s="12"/>
      <c r="Q115" s="17"/>
      <c r="R115" s="18">
        <f>IF(SUMPRODUCT((E115:Q115)*1)=0,0,E115*INDEX(Hours!M:M,MATCH(C115,Hours!$A:$A,0))+F115*INDEX(Hours!B:B,MATCH(C115,Hours!$A:$A,0))+G115*INDEX(Hours!C:C,MATCH(C115,Hours!$A:$A,0))+H115*INDEX(Hours!D:D,MATCH(C115,Hours!$A:$A,0))+I115*INDEX(Hours!E:E,MATCH(C115,Hours!$A:$A,0))+J115*INDEX(Hours!F:F,MATCH(C115,Hours!$A:$A,0))+L115*INDEX(Hours!H:H,MATCH(C115,Hours!$A:$A,0)))</f>
        <v>0</v>
      </c>
      <c r="S115" s="19">
        <f t="shared" si="3"/>
        <v>0</v>
      </c>
    </row>
    <row r="116" spans="1:19" x14ac:dyDescent="0.25">
      <c r="A116" s="15" t="str">
        <f>'Bldgs &amp; Rooms'!$A$5</f>
        <v>Main Bldg.</v>
      </c>
      <c r="B116" s="15">
        <f>'Bldgs &amp; Rooms'!$B$5</f>
        <v>0</v>
      </c>
      <c r="C116" s="14" t="str">
        <f>Hours!$A$5</f>
        <v>Distribution Switchboard Multi Cover (Per Section)</v>
      </c>
      <c r="D116" s="15">
        <f t="shared" si="2"/>
        <v>0</v>
      </c>
      <c r="E116" s="16">
        <f>IF('Components Yr 1'!E116=0,0,'Components Yr 1'!E116)</f>
        <v>0</v>
      </c>
      <c r="F116" s="17">
        <f>IF('Components Yr 1'!F116=0,0,'Components Yr 1'!F116)</f>
        <v>0</v>
      </c>
      <c r="G116" s="17">
        <f>IF('Components Yr 1'!G116=0,0,'Components Yr 1'!G116)</f>
        <v>0</v>
      </c>
      <c r="H116" s="17">
        <f>IF('Components Yr 1'!H116=0,0,'Components Yr 1'!H116)</f>
        <v>0</v>
      </c>
      <c r="I116" s="17">
        <f>IF('Components Yr 1'!I116=0,0,'Components Yr 1'!I116)</f>
        <v>0</v>
      </c>
      <c r="J116" s="17">
        <f>IF('Components Yr 1'!J116=0,0,'Components Yr 1'!J116)</f>
        <v>0</v>
      </c>
      <c r="K116" s="17">
        <f>IF('Components Yr 1'!K116=0,0,'Components Yr 1'!K116)</f>
        <v>0</v>
      </c>
      <c r="L116" s="12"/>
      <c r="M116" s="12"/>
      <c r="N116" s="12"/>
      <c r="O116" s="17">
        <f>IF('Components Yr 1'!O116=0,0,'Components Yr 1'!O116)</f>
        <v>0</v>
      </c>
      <c r="P116" s="12"/>
      <c r="Q116" s="17"/>
      <c r="R116" s="18">
        <f>IF(SUMPRODUCT((E116:Q116)*1)=0,0,E116*INDEX(Hours!M:M,MATCH(C116,Hours!$A:$A,0))+F116*INDEX(Hours!B:B,MATCH(C116,Hours!$A:$A,0))+G116*INDEX(Hours!C:C,MATCH(C116,Hours!$A:$A,0))+H116*INDEX(Hours!D:D,MATCH(C116,Hours!$A:$A,0))+I116*INDEX(Hours!E:E,MATCH(C116,Hours!$A:$A,0))+J116*INDEX(Hours!F:F,MATCH(C116,Hours!$A:$A,0))+K116*INDEX(Hours!G:G,MATCH(C116,Hours!$A:$A,0))+O116*INDEX(Hours!K:K,MATCH(C116,Hours!$A:$A,0)))</f>
        <v>0</v>
      </c>
      <c r="S116" s="19">
        <f t="shared" si="3"/>
        <v>0</v>
      </c>
    </row>
    <row r="117" spans="1:19" x14ac:dyDescent="0.25">
      <c r="A117" s="15" t="str">
        <f>'Bldgs &amp; Rooms'!$A$5</f>
        <v>Main Bldg.</v>
      </c>
      <c r="B117" s="15">
        <f>'Bldgs &amp; Rooms'!$B$5</f>
        <v>0</v>
      </c>
      <c r="C117" s="14" t="str">
        <f>Hours!$A$6</f>
        <v xml:space="preserve">  Switchboard Disconnects</v>
      </c>
      <c r="D117" s="15">
        <f t="shared" si="2"/>
        <v>0</v>
      </c>
      <c r="E117" s="16">
        <f>IF('Components Yr 1'!E117=0,0,'Components Yr 1'!E117)</f>
        <v>0</v>
      </c>
      <c r="F117" s="17">
        <f>IF('Components Yr 1'!F117=0,0,'Components Yr 1'!F117)</f>
        <v>0</v>
      </c>
      <c r="G117" s="17">
        <f>IF('Components Yr 1'!G117=0,0,'Components Yr 1'!G117)</f>
        <v>0</v>
      </c>
      <c r="H117" s="17">
        <f>IF('Components Yr 1'!H117=0,0,'Components Yr 1'!H117)</f>
        <v>0</v>
      </c>
      <c r="I117" s="17">
        <f>IF('Components Yr 1'!I117=0,0,'Components Yr 1'!I117)</f>
        <v>0</v>
      </c>
      <c r="J117" s="17">
        <f>IF('Components Yr 1'!J117=0,0,'Components Yr 1'!J117)</f>
        <v>0</v>
      </c>
      <c r="K117" s="12"/>
      <c r="L117" s="12"/>
      <c r="M117" s="12"/>
      <c r="N117" s="12"/>
      <c r="O117" s="12"/>
      <c r="P117" s="12"/>
      <c r="Q117" s="17"/>
      <c r="R117" s="18">
        <f>IF(SUMPRODUCT((E117:Q117)*1)=0,0,E117*INDEX(Hours!M:M,MATCH(C117,Hours!$A:$A,0))+F117*INDEX(Hours!B:B,MATCH(C117,Hours!$A:$A,0))+G117*INDEX(Hours!C:C,MATCH(C117,Hours!$A:$A,0))+H117*INDEX(Hours!D:D,MATCH(C117,Hours!$A:$A,0))+I117*INDEX(Hours!E:E,MATCH(C117,Hours!$A:$A,0))+J117*INDEX(Hours!F:F,MATCH(C117,Hours!$A:$A,0)))</f>
        <v>0</v>
      </c>
      <c r="S117" s="19">
        <f t="shared" si="3"/>
        <v>0</v>
      </c>
    </row>
    <row r="118" spans="1:19" x14ac:dyDescent="0.25">
      <c r="A118" s="15" t="str">
        <f>'Bldgs &amp; Rooms'!$A$5</f>
        <v>Main Bldg.</v>
      </c>
      <c r="B118" s="15">
        <f>'Bldgs &amp; Rooms'!$B$5</f>
        <v>0</v>
      </c>
      <c r="C118" s="14" t="str">
        <f>Hours!$A$7</f>
        <v xml:space="preserve">  Switchboard Molded Case Breakers</v>
      </c>
      <c r="D118" s="15">
        <f t="shared" si="2"/>
        <v>0</v>
      </c>
      <c r="E118" s="16">
        <f>IF('Components Yr 1'!E118=0,0,'Components Yr 1'!E118)</f>
        <v>0</v>
      </c>
      <c r="F118" s="17">
        <f>IF('Components Yr 1'!F118=0,0,'Components Yr 1'!F118)</f>
        <v>0</v>
      </c>
      <c r="G118" s="17">
        <f>IF('Components Yr 1'!G118=0,0,'Components Yr 1'!G118)</f>
        <v>0</v>
      </c>
      <c r="H118" s="17">
        <f>IF('Components Yr 1'!H118=0,0,'Components Yr 1'!H118)</f>
        <v>0</v>
      </c>
      <c r="I118" s="17">
        <f>IF('Components Yr 1'!I118=0,0,'Components Yr 1'!I118)</f>
        <v>0</v>
      </c>
      <c r="J118" s="17">
        <f>IF('Components Yr 1'!J118=0,0,'Components Yr 1'!J118)</f>
        <v>0</v>
      </c>
      <c r="K118" s="17">
        <f>IF('Components Yr 1'!K118=0,0,'Components Yr 1'!K118)</f>
        <v>0</v>
      </c>
      <c r="L118" s="12"/>
      <c r="M118" s="12"/>
      <c r="N118" s="12"/>
      <c r="O118" s="12"/>
      <c r="P118" s="12"/>
      <c r="Q118" s="17"/>
      <c r="R118" s="18">
        <f>IF(SUMPRODUCT((E118:Q118)*1)=0,0,E118*INDEX(Hours!M:M,MATCH(C118,Hours!$A:$A,0))+F118*INDEX(Hours!B:B,MATCH(C118,Hours!$A:$A,0))+G118*INDEX(Hours!C:C,MATCH(C118,Hours!$A:$A,0))+H118*INDEX(Hours!D:D,MATCH(C118,Hours!$A:$A,0))+I118*INDEX(Hours!E:E,MATCH(C118,Hours!$A:$A,0))+J118*INDEX(Hours!F:F,MATCH(C118,Hours!$A:$A,0))+K118*INDEX(Hours!G:G,MATCH(C118,Hours!$A:$A,0)))</f>
        <v>0</v>
      </c>
      <c r="S118" s="19">
        <f t="shared" si="3"/>
        <v>0</v>
      </c>
    </row>
    <row r="119" spans="1:19" x14ac:dyDescent="0.25">
      <c r="A119" s="15" t="str">
        <f>'Bldgs &amp; Rooms'!$A$5</f>
        <v>Main Bldg.</v>
      </c>
      <c r="B119" s="15">
        <f>'Bldgs &amp; Rooms'!$B$5</f>
        <v>0</v>
      </c>
      <c r="C119" s="14" t="str">
        <f>Hours!$A$8</f>
        <v>Panelboard-Single Cover &gt; 400A (Distribution Panel)</v>
      </c>
      <c r="D119" s="15">
        <f t="shared" si="2"/>
        <v>0</v>
      </c>
      <c r="E119" s="16">
        <f>IF('Components Yr 1'!E119=0,0,'Components Yr 1'!E119)</f>
        <v>0</v>
      </c>
      <c r="F119" s="17">
        <f>IF('Components Yr 1'!F119=0,0,'Components Yr 1'!F119)</f>
        <v>0</v>
      </c>
      <c r="G119" s="17">
        <f>IF('Components Yr 1'!G119=0,0,'Components Yr 1'!G119)</f>
        <v>0</v>
      </c>
      <c r="H119" s="17">
        <f>IF('Components Yr 1'!H119=0,0,'Components Yr 1'!H119)</f>
        <v>0</v>
      </c>
      <c r="I119" s="17">
        <f>IF('Components Yr 1'!I119=0,0,'Components Yr 1'!I119)</f>
        <v>0</v>
      </c>
      <c r="J119" s="17">
        <f>IF('Components Yr 1'!J119=0,0,'Components Yr 1'!J119)</f>
        <v>0</v>
      </c>
      <c r="K119" s="17">
        <f>IF('Components Yr 1'!K119=0,0,'Components Yr 1'!K119)</f>
        <v>0</v>
      </c>
      <c r="L119" s="12"/>
      <c r="M119" s="12"/>
      <c r="N119" s="12"/>
      <c r="O119" s="17">
        <f>IF('Components Yr 1'!O119=0,0,'Components Yr 1'!O119)</f>
        <v>0</v>
      </c>
      <c r="P119" s="12"/>
      <c r="Q119" s="17"/>
      <c r="R119" s="18">
        <f>IF(SUMPRODUCT((E119:Q119)*1)=0,0,E119*INDEX(Hours!M:M,MATCH(C119,Hours!$A:$A,0))+F119*INDEX(Hours!B:B,MATCH(C119,Hours!$A:$A,0))+G119*INDEX(Hours!C:C,MATCH(C119,Hours!$A:$A,0))+H119*INDEX(Hours!D:D,MATCH(C119,Hours!$A:$A,0))+I119*INDEX(Hours!E:E,MATCH(C119,Hours!$A:$A,0))+J119*INDEX(Hours!F:F,MATCH(C119,Hours!$A:$A,0))+K119*INDEX(Hours!G:G,MATCH(C119,Hours!$A:$A,0))+O119*INDEX(Hours!K:K,MATCH(C119,Hours!$A:$A,0)))</f>
        <v>0</v>
      </c>
      <c r="S119" s="19">
        <f t="shared" si="3"/>
        <v>0</v>
      </c>
    </row>
    <row r="120" spans="1:19" x14ac:dyDescent="0.25">
      <c r="A120" s="15" t="str">
        <f>'Bldgs &amp; Rooms'!$A$5</f>
        <v>Main Bldg.</v>
      </c>
      <c r="B120" s="15">
        <f>'Bldgs &amp; Rooms'!$B$5</f>
        <v>0</v>
      </c>
      <c r="C120" s="14" t="str">
        <f>Hours!$A$9</f>
        <v>Panelboard-Single Cover &lt; 400A (Branch Ckt Panel)</v>
      </c>
      <c r="D120" s="15">
        <f t="shared" si="2"/>
        <v>0</v>
      </c>
      <c r="E120" s="16">
        <f>IF('Components Yr 1'!E120=0,0,'Components Yr 1'!E120)</f>
        <v>0</v>
      </c>
      <c r="F120" s="17">
        <f>IF('Components Yr 1'!F120=0,0,'Components Yr 1'!F120)</f>
        <v>0</v>
      </c>
      <c r="G120" s="17">
        <f>IF('Components Yr 1'!G120=0,0,'Components Yr 1'!G120)</f>
        <v>0</v>
      </c>
      <c r="H120" s="17">
        <f>IF('Components Yr 1'!H120=0,0,'Components Yr 1'!H120)</f>
        <v>0</v>
      </c>
      <c r="I120" s="17">
        <f>IF('Components Yr 1'!I120=0,0,'Components Yr 1'!I120)</f>
        <v>0</v>
      </c>
      <c r="J120" s="17">
        <f>IF('Components Yr 1'!J120=0,0,'Components Yr 1'!J120)</f>
        <v>0</v>
      </c>
      <c r="K120" s="12"/>
      <c r="L120" s="12"/>
      <c r="M120" s="12"/>
      <c r="N120" s="12"/>
      <c r="O120" s="17">
        <f>IF('Components Yr 1'!O120=0,0,'Components Yr 1'!O120)</f>
        <v>0</v>
      </c>
      <c r="P120" s="12"/>
      <c r="Q120" s="17"/>
      <c r="R120" s="18">
        <f>IF(SUMPRODUCT((E120:Q120)*1)=0,0,E120*INDEX(Hours!M:M,MATCH(C120,Hours!$A:$A,0))+F120*INDEX(Hours!B:B,MATCH(C120,Hours!$A:$A,0))+G120*INDEX(Hours!C:C,MATCH(C120,Hours!$A:$A,0))+H120*INDEX(Hours!D:D,MATCH(C120,Hours!$A:$A,0))+I120*INDEX(Hours!E:E,MATCH(C120,Hours!$A:$A,0))+J120*INDEX(Hours!F:F,MATCH(C120,Hours!$A:$A,0))+O120*INDEX(Hours!K:K,MATCH(C120,Hours!$A:$A,0)))</f>
        <v>0</v>
      </c>
      <c r="S120" s="19">
        <f t="shared" si="3"/>
        <v>0</v>
      </c>
    </row>
    <row r="121" spans="1:19" x14ac:dyDescent="0.25">
      <c r="A121" s="15" t="str">
        <f>'Bldgs &amp; Rooms'!$A$5</f>
        <v>Main Bldg.</v>
      </c>
      <c r="B121" s="15">
        <f>'Bldgs &amp; Rooms'!$B$5</f>
        <v>0</v>
      </c>
      <c r="C121" s="14" t="str">
        <f>Hours!$A$10</f>
        <v>Motor Control Center (MCC-Per Vertical Section)</v>
      </c>
      <c r="D121" s="15">
        <f t="shared" si="2"/>
        <v>0</v>
      </c>
      <c r="E121" s="16">
        <f>IF('Components Yr 1'!E121=0,0,'Components Yr 1'!E121)</f>
        <v>0</v>
      </c>
      <c r="F121" s="17">
        <f>IF('Components Yr 1'!F121=0,0,'Components Yr 1'!F121)</f>
        <v>0</v>
      </c>
      <c r="G121" s="17">
        <f>IF('Components Yr 1'!G121=0,0,'Components Yr 1'!G121)</f>
        <v>0</v>
      </c>
      <c r="H121" s="17">
        <f>IF('Components Yr 1'!H121=0,0,'Components Yr 1'!H121)</f>
        <v>0</v>
      </c>
      <c r="I121" s="17">
        <f>IF('Components Yr 1'!I121=0,0,'Components Yr 1'!I121)</f>
        <v>0</v>
      </c>
      <c r="J121" s="17">
        <f>IF('Components Yr 1'!J121=0,0,'Components Yr 1'!J121)</f>
        <v>0</v>
      </c>
      <c r="K121" s="12"/>
      <c r="L121" s="12"/>
      <c r="M121" s="12"/>
      <c r="N121" s="12"/>
      <c r="O121" s="17">
        <f>IF('Components Yr 1'!O121=0,0,'Components Yr 1'!O121)</f>
        <v>0</v>
      </c>
      <c r="P121" s="12"/>
      <c r="Q121" s="17"/>
      <c r="R121" s="18">
        <f>IF(SUMPRODUCT((E121:Q121)*1)=0,0,E121*INDEX(Hours!M:M,MATCH(C121,Hours!$A:$A,0))+F121*INDEX(Hours!B:B,MATCH(C121,Hours!$A:$A,0))+G121*INDEX(Hours!C:C,MATCH(C121,Hours!$A:$A,0))+H121*INDEX(Hours!D:D,MATCH(C121,Hours!$A:$A,0))+I121*INDEX(Hours!E:E,MATCH(C121,Hours!$A:$A,0))+J121*INDEX(Hours!F:F,MATCH(C121,Hours!$A:$A,0))+O121*INDEX(Hours!K:K,MATCH(C121,Hours!$A:$A,0)))</f>
        <v>0</v>
      </c>
      <c r="S121" s="19">
        <f t="shared" si="3"/>
        <v>0</v>
      </c>
    </row>
    <row r="122" spans="1:19" x14ac:dyDescent="0.25">
      <c r="A122" s="15" t="str">
        <f>'Bldgs &amp; Rooms'!$A$5</f>
        <v>Main Bldg.</v>
      </c>
      <c r="B122" s="15">
        <f>'Bldgs &amp; Rooms'!$B$5</f>
        <v>0</v>
      </c>
      <c r="C122" s="14" t="str">
        <f>Hours!$A$11</f>
        <v xml:space="preserve">  MCC: Combination Motor Starters</v>
      </c>
      <c r="D122" s="15">
        <f t="shared" si="2"/>
        <v>0</v>
      </c>
      <c r="E122" s="16">
        <f>IF('Components Yr 1'!E122=0,0,'Components Yr 1'!E122)</f>
        <v>0</v>
      </c>
      <c r="F122" s="17">
        <f>IF('Components Yr 1'!F122=0,0,'Components Yr 1'!F122)</f>
        <v>0</v>
      </c>
      <c r="G122" s="17">
        <f>IF('Components Yr 1'!G122=0,0,'Components Yr 1'!G122)</f>
        <v>0</v>
      </c>
      <c r="H122" s="17">
        <f>IF('Components Yr 1'!H122=0,0,'Components Yr 1'!H122)</f>
        <v>0</v>
      </c>
      <c r="I122" s="17">
        <f>IF('Components Yr 1'!I122=0,0,'Components Yr 1'!I122)</f>
        <v>0</v>
      </c>
      <c r="J122" s="17">
        <f>IF('Components Yr 1'!J122=0,0,'Components Yr 1'!J122)</f>
        <v>0</v>
      </c>
      <c r="K122" s="17">
        <f>IF('Components Yr 1'!K122=0,0,'Components Yr 1'!K122)</f>
        <v>0</v>
      </c>
      <c r="L122" s="12"/>
      <c r="M122" s="12"/>
      <c r="N122" s="12"/>
      <c r="O122" s="17">
        <f>IF('Components Yr 1'!O122=0,0,'Components Yr 1'!O122)</f>
        <v>0</v>
      </c>
      <c r="P122" s="12"/>
      <c r="Q122" s="17"/>
      <c r="R122" s="18">
        <f>IF(SUMPRODUCT((E122:Q122)*1)=0,0,E122*INDEX(Hours!M:M,MATCH(C122,Hours!$A:$A,0))+F122*INDEX(Hours!B:B,MATCH(C122,Hours!$A:$A,0))+G122*INDEX(Hours!C:C,MATCH(C122,Hours!$A:$A,0))+H122*INDEX(Hours!D:D,MATCH(C122,Hours!$A:$A,0))+I122*INDEX(Hours!E:E,MATCH(C122,Hours!$A:$A,0))+J122*INDEX(Hours!F:F,MATCH(C122,Hours!$A:$A,0))+K122*INDEX(Hours!G:G,MATCH(C122,Hours!$A:$A,0))+O122*INDEX(Hours!K:K,MATCH(C122,Hours!$A:$A,0)))</f>
        <v>0</v>
      </c>
      <c r="S122" s="19">
        <f t="shared" si="3"/>
        <v>0</v>
      </c>
    </row>
    <row r="123" spans="1:19" x14ac:dyDescent="0.25">
      <c r="A123" s="15" t="str">
        <f>'Bldgs &amp; Rooms'!$A$5</f>
        <v>Main Bldg.</v>
      </c>
      <c r="B123" s="15">
        <f>'Bldgs &amp; Rooms'!$B$5</f>
        <v>0</v>
      </c>
      <c r="C123" s="14" t="str">
        <f>Hours!$A$12</f>
        <v xml:space="preserve">  MCC: Molded Case Breaker</v>
      </c>
      <c r="D123" s="15">
        <f t="shared" si="2"/>
        <v>0</v>
      </c>
      <c r="E123" s="16">
        <f>IF('Components Yr 1'!E123=0,0,'Components Yr 1'!E123)</f>
        <v>0</v>
      </c>
      <c r="F123" s="17">
        <f>IF('Components Yr 1'!F123=0,0,'Components Yr 1'!F123)</f>
        <v>0</v>
      </c>
      <c r="G123" s="17">
        <f>IF('Components Yr 1'!G123=0,0,'Components Yr 1'!G123)</f>
        <v>0</v>
      </c>
      <c r="H123" s="17">
        <f>IF('Components Yr 1'!H123=0,0,'Components Yr 1'!H123)</f>
        <v>0</v>
      </c>
      <c r="I123" s="17">
        <f>IF('Components Yr 1'!I123=0,0,'Components Yr 1'!I123)</f>
        <v>0</v>
      </c>
      <c r="J123" s="17">
        <f>IF('Components Yr 1'!J123=0,0,'Components Yr 1'!J123)</f>
        <v>0</v>
      </c>
      <c r="K123" s="17">
        <f>IF('Components Yr 1'!K123=0,0,'Components Yr 1'!K123)</f>
        <v>0</v>
      </c>
      <c r="L123" s="12"/>
      <c r="M123" s="12"/>
      <c r="N123" s="12"/>
      <c r="O123" s="12"/>
      <c r="P123" s="12"/>
      <c r="Q123" s="17"/>
      <c r="R123" s="18">
        <f>IF(SUMPRODUCT((E123:Q123)*1)=0,0,E123*INDEX(Hours!M:M,MATCH(C123,Hours!$A:$A,0))+F123*INDEX(Hours!B:B,MATCH(C123,Hours!$A:$A,0))+G123*INDEX(Hours!C:C,MATCH(C123,Hours!$A:$A,0))+H123*INDEX(Hours!D:D,MATCH(C123,Hours!$A:$A,0))+I123*INDEX(Hours!E:E,MATCH(C123,Hours!$A:$A,0))+J123*INDEX(Hours!F:F,MATCH(C123,Hours!$A:$A,0))+K123*INDEX(Hours!G:G,MATCH(C123,Hours!$A:$A,0)))</f>
        <v>0</v>
      </c>
      <c r="S123" s="19">
        <f t="shared" si="3"/>
        <v>0</v>
      </c>
    </row>
    <row r="124" spans="1:19" x14ac:dyDescent="0.25">
      <c r="A124" s="15" t="str">
        <f>'Bldgs &amp; Rooms'!$A$5</f>
        <v>Main Bldg.</v>
      </c>
      <c r="B124" s="15">
        <f>'Bldgs &amp; Rooms'!$B$5</f>
        <v>0</v>
      </c>
      <c r="C124" s="14" t="str">
        <f>Hours!$A$13</f>
        <v xml:space="preserve">  MCC: Individual Disconnect Switch</v>
      </c>
      <c r="D124" s="15">
        <f t="shared" si="2"/>
        <v>0</v>
      </c>
      <c r="E124" s="16">
        <f>IF('Components Yr 1'!E124=0,0,'Components Yr 1'!E124)</f>
        <v>0</v>
      </c>
      <c r="F124" s="17">
        <f>IF('Components Yr 1'!F124=0,0,'Components Yr 1'!F124)</f>
        <v>0</v>
      </c>
      <c r="G124" s="17">
        <f>IF('Components Yr 1'!G124=0,0,'Components Yr 1'!G124)</f>
        <v>0</v>
      </c>
      <c r="H124" s="17">
        <f>IF('Components Yr 1'!H124=0,0,'Components Yr 1'!H124)</f>
        <v>0</v>
      </c>
      <c r="I124" s="17">
        <f>IF('Components Yr 1'!I124=0,0,'Components Yr 1'!I124)</f>
        <v>0</v>
      </c>
      <c r="J124" s="17">
        <f>IF('Components Yr 1'!J124=0,0,'Components Yr 1'!J124)</f>
        <v>0</v>
      </c>
      <c r="K124" s="12"/>
      <c r="L124" s="12"/>
      <c r="M124" s="12"/>
      <c r="N124" s="12"/>
      <c r="O124" s="12"/>
      <c r="P124" s="12"/>
      <c r="Q124" s="17"/>
      <c r="R124" s="18">
        <f>IF(SUMPRODUCT((E124:Q124)*1)=0,0,E124*INDEX(Hours!M:M,MATCH(C124,Hours!$A:$A,0))+F124*INDEX(Hours!B:B,MATCH(C124,Hours!$A:$A,0))+G124*INDEX(Hours!C:C,MATCH(C124,Hours!$A:$A,0))+H124*INDEX(Hours!D:D,MATCH(C124,Hours!$A:$A,0))+I124*INDEX(Hours!E:E,MATCH(C124,Hours!$A:$A,0))+J124*INDEX(Hours!F:F,MATCH(C124,Hours!$A:$A,0)))</f>
        <v>0</v>
      </c>
      <c r="S124" s="19">
        <f t="shared" si="3"/>
        <v>0</v>
      </c>
    </row>
    <row r="125" spans="1:19" x14ac:dyDescent="0.25">
      <c r="A125" s="15" t="str">
        <f>'Bldgs &amp; Rooms'!$A$5</f>
        <v>Main Bldg.</v>
      </c>
      <c r="B125" s="15">
        <f>'Bldgs &amp; Rooms'!$B$5</f>
        <v>0</v>
      </c>
      <c r="C125" s="14" t="str">
        <f>Hours!$A$14</f>
        <v>Motor Control Panel (MCP)</v>
      </c>
      <c r="D125" s="15">
        <f t="shared" si="2"/>
        <v>0</v>
      </c>
      <c r="E125" s="16">
        <f>IF('Components Yr 1'!E125=0,0,'Components Yr 1'!E125)</f>
        <v>0</v>
      </c>
      <c r="F125" s="17">
        <f>IF('Components Yr 1'!F125=0,0,'Components Yr 1'!F125)</f>
        <v>0</v>
      </c>
      <c r="G125" s="17">
        <f>IF('Components Yr 1'!G125=0,0,'Components Yr 1'!G125)</f>
        <v>0</v>
      </c>
      <c r="H125" s="17">
        <f>IF('Components Yr 1'!H125=0,0,'Components Yr 1'!H125)</f>
        <v>0</v>
      </c>
      <c r="I125" s="17">
        <f>IF('Components Yr 1'!I125=0,0,'Components Yr 1'!I125)</f>
        <v>0</v>
      </c>
      <c r="J125" s="17">
        <f>IF('Components Yr 1'!J125=0,0,'Components Yr 1'!J125)</f>
        <v>0</v>
      </c>
      <c r="K125" s="12"/>
      <c r="L125" s="12"/>
      <c r="M125" s="12"/>
      <c r="N125" s="12"/>
      <c r="O125" s="17">
        <f>IF('Components Yr 1'!O125=0,0,'Components Yr 1'!O125)</f>
        <v>0</v>
      </c>
      <c r="P125" s="12"/>
      <c r="Q125" s="17"/>
      <c r="R125" s="18">
        <f>IF(SUMPRODUCT((E125:Q125)*1)=0,0,E125*INDEX(Hours!M:M,MATCH(C125,Hours!$A:$A,0))+F125*INDEX(Hours!B:B,MATCH(C125,Hours!$A:$A,0))+G125*INDEX(Hours!C:C,MATCH(C125,Hours!$A:$A,0))+H125*INDEX(Hours!D:D,MATCH(C125,Hours!$A:$A,0))+I125*INDEX(Hours!E:E,MATCH(C125,Hours!$A:$A,0))+J125*INDEX(Hours!F:F,MATCH(C125,Hours!$A:$A,0))+O125*INDEX(Hours!K:K,MATCH(C125,Hours!$A:$A,0)))</f>
        <v>0</v>
      </c>
      <c r="S125" s="19">
        <f t="shared" si="3"/>
        <v>0</v>
      </c>
    </row>
    <row r="126" spans="1:19" x14ac:dyDescent="0.25">
      <c r="A126" s="15" t="str">
        <f>'Bldgs &amp; Rooms'!$A$5</f>
        <v>Main Bldg.</v>
      </c>
      <c r="B126" s="15">
        <f>'Bldgs &amp; Rooms'!$B$5</f>
        <v>0</v>
      </c>
      <c r="C126" s="14" t="str">
        <f>Hours!$A$15</f>
        <v>VFD Motor Control Panel (VFD-MCP)</v>
      </c>
      <c r="D126" s="15">
        <f t="shared" si="2"/>
        <v>0</v>
      </c>
      <c r="E126" s="16">
        <f>IF('Components Yr 1'!E126=0,0,'Components Yr 1'!E126)</f>
        <v>0</v>
      </c>
      <c r="F126" s="17">
        <f>IF('Components Yr 1'!F126=0,0,'Components Yr 1'!F126)</f>
        <v>0</v>
      </c>
      <c r="G126" s="17">
        <f>IF('Components Yr 1'!G126=0,0,'Components Yr 1'!G126)</f>
        <v>0</v>
      </c>
      <c r="H126" s="17">
        <f>IF('Components Yr 1'!H126=0,0,'Components Yr 1'!H126)</f>
        <v>0</v>
      </c>
      <c r="I126" s="17">
        <f>IF('Components Yr 1'!I126=0,0,'Components Yr 1'!I126)</f>
        <v>0</v>
      </c>
      <c r="J126" s="17">
        <f>IF('Components Yr 1'!J126=0,0,'Components Yr 1'!J126)</f>
        <v>0</v>
      </c>
      <c r="K126" s="12"/>
      <c r="L126" s="12"/>
      <c r="M126" s="12"/>
      <c r="N126" s="12"/>
      <c r="O126" s="17">
        <f>IF('Components Yr 1'!O126=0,0,'Components Yr 1'!O126)</f>
        <v>0</v>
      </c>
      <c r="P126" s="12"/>
      <c r="Q126" s="17"/>
      <c r="R126" s="18">
        <f>IF(SUMPRODUCT((E126:Q126)*1)=0,0,E126*INDEX(Hours!M:M,MATCH(C126,Hours!$A:$A,0))+F126*INDEX(Hours!B:B,MATCH(C126,Hours!$A:$A,0))+G126*INDEX(Hours!C:C,MATCH(C126,Hours!$A:$A,0))+H126*INDEX(Hours!D:D,MATCH(C126,Hours!$A:$A,0))+I126*INDEX(Hours!E:E,MATCH(C126,Hours!$A:$A,0))+J126*INDEX(Hours!F:F,MATCH(C126,Hours!$A:$A,0))+O126*INDEX(Hours!K:K,MATCH(C126,Hours!$A:$A,0)))</f>
        <v>0</v>
      </c>
      <c r="S126" s="19">
        <f t="shared" si="3"/>
        <v>0</v>
      </c>
    </row>
    <row r="127" spans="1:19" x14ac:dyDescent="0.25">
      <c r="A127" s="15" t="str">
        <f>'Bldgs &amp; Rooms'!$A$5</f>
        <v>Main Bldg.</v>
      </c>
      <c r="B127" s="15">
        <f>'Bldgs &amp; Rooms'!$B$5</f>
        <v>0</v>
      </c>
      <c r="C127" s="14" t="str">
        <f>Hours!$A$16</f>
        <v>Individual Disconnect Switch &gt; 100A</v>
      </c>
      <c r="D127" s="15">
        <f t="shared" si="2"/>
        <v>0</v>
      </c>
      <c r="E127" s="16">
        <f>IF('Components Yr 1'!E127=0,0,'Components Yr 1'!E127)</f>
        <v>0</v>
      </c>
      <c r="F127" s="17">
        <f>IF('Components Yr 1'!F127=0,0,'Components Yr 1'!F127)</f>
        <v>0</v>
      </c>
      <c r="G127" s="17">
        <f>IF('Components Yr 1'!G127=0,0,'Components Yr 1'!G127)</f>
        <v>0</v>
      </c>
      <c r="H127" s="17">
        <f>IF('Components Yr 1'!H127=0,0,'Components Yr 1'!H127)</f>
        <v>0</v>
      </c>
      <c r="I127" s="17">
        <f>IF('Components Yr 1'!I127=0,0,'Components Yr 1'!I127)</f>
        <v>0</v>
      </c>
      <c r="J127" s="17">
        <f>IF('Components Yr 1'!J127=0,0,'Components Yr 1'!J127)</f>
        <v>0</v>
      </c>
      <c r="K127" s="17">
        <f>IF('Components Yr 1'!K127=0,0,'Components Yr 1'!K127)</f>
        <v>0</v>
      </c>
      <c r="L127" s="12"/>
      <c r="M127" s="12"/>
      <c r="N127" s="12"/>
      <c r="O127" s="12"/>
      <c r="P127" s="12"/>
      <c r="Q127" s="17"/>
      <c r="R127" s="18">
        <f>IF(SUMPRODUCT((E127:Q127)*1)=0,0,E127*INDEX(Hours!M:M,MATCH(C127,Hours!$A:$A,0))+F127*INDEX(Hours!B:B,MATCH(C127,Hours!$A:$A,0))+G127*INDEX(Hours!C:C,MATCH(C127,Hours!$A:$A,0))+H127*INDEX(Hours!D:D,MATCH(C127,Hours!$A:$A,0))+I127*INDEX(Hours!E:E,MATCH(C127,Hours!$A:$A,0))+J127*INDEX(Hours!F:F,MATCH(C127,Hours!$A:$A,0))+K127*INDEX(Hours!G:G,MATCH(C127,Hours!$A:$A,0)))</f>
        <v>0</v>
      </c>
      <c r="S127" s="19">
        <f t="shared" si="3"/>
        <v>0</v>
      </c>
    </row>
    <row r="128" spans="1:19" x14ac:dyDescent="0.25">
      <c r="A128" s="15" t="str">
        <f>'Bldgs &amp; Rooms'!$A$5</f>
        <v>Main Bldg.</v>
      </c>
      <c r="B128" s="15">
        <f>'Bldgs &amp; Rooms'!$B$5</f>
        <v>0</v>
      </c>
      <c r="C128" s="14" t="str">
        <f>Hours!$A$17</f>
        <v>Individual Molded Case Breaker &gt; 100A</v>
      </c>
      <c r="D128" s="15">
        <f t="shared" si="2"/>
        <v>0</v>
      </c>
      <c r="E128" s="16">
        <f>IF('Components Yr 1'!E128=0,0,'Components Yr 1'!E128)</f>
        <v>0</v>
      </c>
      <c r="F128" s="17">
        <f>IF('Components Yr 1'!F128=0,0,'Components Yr 1'!F128)</f>
        <v>0</v>
      </c>
      <c r="G128" s="17">
        <f>IF('Components Yr 1'!G128=0,0,'Components Yr 1'!G128)</f>
        <v>0</v>
      </c>
      <c r="H128" s="17">
        <f>IF('Components Yr 1'!H128=0,0,'Components Yr 1'!H128)</f>
        <v>0</v>
      </c>
      <c r="I128" s="17">
        <f>IF('Components Yr 1'!I128=0,0,'Components Yr 1'!I128)</f>
        <v>0</v>
      </c>
      <c r="J128" s="17">
        <f>IF('Components Yr 1'!J128=0,0,'Components Yr 1'!J128)</f>
        <v>0</v>
      </c>
      <c r="K128" s="17">
        <f>IF('Components Yr 1'!K128=0,0,'Components Yr 1'!K128)</f>
        <v>0</v>
      </c>
      <c r="L128" s="12"/>
      <c r="M128" s="12"/>
      <c r="N128" s="12"/>
      <c r="O128" s="12"/>
      <c r="P128" s="12"/>
      <c r="Q128" s="17"/>
      <c r="R128" s="18">
        <f>IF(SUMPRODUCT((E128:Q128)*1)=0,0,E128*INDEX(Hours!M:M,MATCH(C128,Hours!$A:$A,0))+F128*INDEX(Hours!B:B,MATCH(C128,Hours!$A:$A,0))+G128*INDEX(Hours!C:C,MATCH(C128,Hours!$A:$A,0))+H128*INDEX(Hours!D:D,MATCH(C128,Hours!$A:$A,0))+I128*INDEX(Hours!E:E,MATCH(C128,Hours!$A:$A,0))+J128*INDEX(Hours!F:F,MATCH(C128,Hours!$A:$A,0))+K128*INDEX(Hours!G:G,MATCH(C128,Hours!$A:$A,0)))</f>
        <v>0</v>
      </c>
      <c r="S128" s="19">
        <f t="shared" si="3"/>
        <v>0</v>
      </c>
    </row>
    <row r="129" spans="1:19" x14ac:dyDescent="0.25">
      <c r="A129" s="15" t="str">
        <f>'Bldgs &amp; Rooms'!$A$5</f>
        <v>Main Bldg.</v>
      </c>
      <c r="B129" s="15">
        <f>'Bldgs &amp; Rooms'!$B$5</f>
        <v>0</v>
      </c>
      <c r="C129" s="14" t="str">
        <f>Hours!$A$18</f>
        <v>Individual Combination Motor Starter &gt; 100A</v>
      </c>
      <c r="D129" s="15">
        <f t="shared" si="2"/>
        <v>0</v>
      </c>
      <c r="E129" s="16">
        <f>IF('Components Yr 1'!E129=0,0,'Components Yr 1'!E129)</f>
        <v>0</v>
      </c>
      <c r="F129" s="17">
        <f>IF('Components Yr 1'!F129=0,0,'Components Yr 1'!F129)</f>
        <v>0</v>
      </c>
      <c r="G129" s="17">
        <f>IF('Components Yr 1'!G129=0,0,'Components Yr 1'!G129)</f>
        <v>0</v>
      </c>
      <c r="H129" s="17">
        <f>IF('Components Yr 1'!H129=0,0,'Components Yr 1'!H129)</f>
        <v>0</v>
      </c>
      <c r="I129" s="17">
        <f>IF('Components Yr 1'!I129=0,0,'Components Yr 1'!I129)</f>
        <v>0</v>
      </c>
      <c r="J129" s="17">
        <f>IF('Components Yr 1'!J129=0,0,'Components Yr 1'!J129)</f>
        <v>0</v>
      </c>
      <c r="K129" s="17">
        <f>IF('Components Yr 1'!K129=0,0,'Components Yr 1'!K129)</f>
        <v>0</v>
      </c>
      <c r="L129" s="12"/>
      <c r="M129" s="12"/>
      <c r="N129" s="12"/>
      <c r="O129" s="12"/>
      <c r="P129" s="12"/>
      <c r="Q129" s="17"/>
      <c r="R129" s="18">
        <f>IF(SUMPRODUCT((E129:Q129)*1)=0,0,E129*INDEX(Hours!M:M,MATCH(C129,Hours!$A:$A,0))+F129*INDEX(Hours!B:B,MATCH(C129,Hours!$A:$A,0))+G129*INDEX(Hours!C:C,MATCH(C129,Hours!$A:$A,0))+H129*INDEX(Hours!D:D,MATCH(C129,Hours!$A:$A,0))+I129*INDEX(Hours!E:E,MATCH(C129,Hours!$A:$A,0))+J129*INDEX(Hours!F:F,MATCH(C129,Hours!$A:$A,0))+K129*INDEX(Hours!G:G,MATCH(C129,Hours!$A:$A,0)))</f>
        <v>0</v>
      </c>
      <c r="S129" s="19">
        <f t="shared" si="3"/>
        <v>0</v>
      </c>
    </row>
    <row r="130" spans="1:19" x14ac:dyDescent="0.25">
      <c r="A130" s="15" t="str">
        <f>'Bldgs &amp; Rooms'!$A$5</f>
        <v>Main Bldg.</v>
      </c>
      <c r="B130" s="15">
        <f>'Bldgs &amp; Rooms'!$B$5</f>
        <v>0</v>
      </c>
      <c r="C130" s="14" t="str">
        <f>Hours!$A$19</f>
        <v>Oil Filled Transformer - 5kV-15kV Primary - Any Size (Pad Mounted)</v>
      </c>
      <c r="D130" s="15">
        <f t="shared" ref="D130:D193" si="4">MAX(E130+F130,G130,H130,I130,J130,K130,L130,M130,N130,O130,P130,Q130)</f>
        <v>0</v>
      </c>
      <c r="E130" s="16">
        <f>IF('Components Yr 1'!E130=0,0,'Components Yr 1'!E130)</f>
        <v>0</v>
      </c>
      <c r="F130" s="17">
        <f>IF('Components Yr 1'!F130=0,0,'Components Yr 1'!F130)</f>
        <v>0</v>
      </c>
      <c r="G130" s="17">
        <f>IF('Components Yr 1'!G130=0,0,'Components Yr 1'!G130)</f>
        <v>0</v>
      </c>
      <c r="H130" s="17">
        <f>IF('Components Yr 1'!H130=0,0,'Components Yr 1'!H130)</f>
        <v>0</v>
      </c>
      <c r="I130" s="17">
        <f>IF('Components Yr 1'!I130=0,0,'Components Yr 1'!I130)</f>
        <v>0</v>
      </c>
      <c r="J130" s="17">
        <f>IF('Components Yr 1'!J130=0,0,'Components Yr 1'!J130)</f>
        <v>0</v>
      </c>
      <c r="K130" s="12"/>
      <c r="L130" s="12"/>
      <c r="M130" s="17">
        <f>IF('Components Yr 1'!M130=0,0,'Components Yr 1'!M130)</f>
        <v>0</v>
      </c>
      <c r="N130" s="17">
        <f>IF('Components Yr 1'!N130=0,0,'Components Yr 1'!N130)</f>
        <v>0</v>
      </c>
      <c r="O130" s="12"/>
      <c r="P130" s="17">
        <f>IF('Components Yr 1'!P130=0,0,'Components Yr 1'!P130)</f>
        <v>0</v>
      </c>
      <c r="Q130" s="17"/>
      <c r="R130" s="18">
        <f>IF(SUMPRODUCT((E130:Q130)*1)=0,0,E130*INDEX(Hours!M:M,MATCH(C130,Hours!$A:$A,0))+F130*INDEX(Hours!B:B,MATCH(C130,Hours!$A:$A,0))+G130*INDEX(Hours!C:C,MATCH(C130,Hours!$A:$A,0))+H130*INDEX(Hours!D:D,MATCH(C130,Hours!$A:$A,0))+I130*INDEX(Hours!E:E,MATCH(C130,Hours!$A:$A,0))+J130*INDEX(Hours!F:F,MATCH(C130,Hours!$A:$A,0))+M130*INDEX(Hours!I:I,MATCH(C130,Hours!$A:$A,0))+N130*INDEX(Hours!J:J,MATCH(C130,Hours!$A:$A,0))+P130*INDEX(Hours!L:L,MATCH(C130,Hours!$A:$A,0)))</f>
        <v>0</v>
      </c>
      <c r="S130" s="19">
        <f t="shared" ref="S130:S193" si="5">MAX(E130+F130,G130,H130,I130,J130,K130,L130,M130,N130,O130,P130,Q130)</f>
        <v>0</v>
      </c>
    </row>
    <row r="131" spans="1:19" x14ac:dyDescent="0.25">
      <c r="A131" s="15" t="str">
        <f>'Bldgs &amp; Rooms'!$A$5</f>
        <v>Main Bldg.</v>
      </c>
      <c r="B131" s="15">
        <f>'Bldgs &amp; Rooms'!$B$5</f>
        <v>0</v>
      </c>
      <c r="C131" s="14" t="str">
        <f>Hours!$A$20</f>
        <v>Oil Filled Transformer - &gt; 15kV Primary (Substation Class)</v>
      </c>
      <c r="D131" s="15">
        <f t="shared" si="4"/>
        <v>0</v>
      </c>
      <c r="E131" s="16">
        <f>IF('Components Yr 1'!E131=0,0,'Components Yr 1'!E131)</f>
        <v>0</v>
      </c>
      <c r="F131" s="17">
        <f>IF('Components Yr 1'!F131=0,0,'Components Yr 1'!F131)</f>
        <v>0</v>
      </c>
      <c r="G131" s="17">
        <f>IF('Components Yr 1'!G131=0,0,'Components Yr 1'!G131)</f>
        <v>0</v>
      </c>
      <c r="H131" s="17">
        <f>IF('Components Yr 1'!H131=0,0,'Components Yr 1'!H131)</f>
        <v>0</v>
      </c>
      <c r="I131" s="17">
        <f>IF('Components Yr 1'!I131=0,0,'Components Yr 1'!I131)</f>
        <v>0</v>
      </c>
      <c r="J131" s="17">
        <f>IF('Components Yr 1'!J131=0,0,'Components Yr 1'!J131)</f>
        <v>0</v>
      </c>
      <c r="K131" s="12"/>
      <c r="L131" s="12"/>
      <c r="M131" s="17">
        <f>IF('Components Yr 1'!M131=0,0,'Components Yr 1'!M131)</f>
        <v>0</v>
      </c>
      <c r="N131" s="17">
        <f>IF('Components Yr 1'!N131=0,0,'Components Yr 1'!N131)</f>
        <v>0</v>
      </c>
      <c r="O131" s="12"/>
      <c r="P131" s="17">
        <f>IF('Components Yr 1'!P131=0,0,'Components Yr 1'!P131)</f>
        <v>0</v>
      </c>
      <c r="Q131" s="17"/>
      <c r="R131" s="18">
        <f>IF(SUMPRODUCT((E131:Q131)*1)=0,0,E131*INDEX(Hours!M:M,MATCH(C131,Hours!$A:$A,0))+F131*INDEX(Hours!B:B,MATCH(C131,Hours!$A:$A,0))+G131*INDEX(Hours!C:C,MATCH(C131,Hours!$A:$A,0))+H131*INDEX(Hours!D:D,MATCH(C131,Hours!$A:$A,0))+I131*INDEX(Hours!E:E,MATCH(C131,Hours!$A:$A,0))+J131*INDEX(Hours!F:F,MATCH(C131,Hours!$A:$A,0))+M131*INDEX(Hours!I:I,MATCH(C131,Hours!$A:$A,0))+N131*INDEX(Hours!J:J,MATCH(C131,Hours!$A:$A,0))+P131*INDEX(Hours!L:L,MATCH(C131,Hours!$A:$A,0)))</f>
        <v>0</v>
      </c>
      <c r="S131" s="19">
        <f t="shared" si="5"/>
        <v>0</v>
      </c>
    </row>
    <row r="132" spans="1:19" x14ac:dyDescent="0.25">
      <c r="A132" s="15" t="str">
        <f>'Bldgs &amp; Rooms'!$A$5</f>
        <v>Main Bldg.</v>
      </c>
      <c r="B132" s="15">
        <f>'Bldgs &amp; Rooms'!$B$5</f>
        <v>0</v>
      </c>
      <c r="C132" s="14" t="str">
        <f>Hours!$A$21</f>
        <v>Dry Type Transformer - &lt; 480V Primary - Any Size kVA</v>
      </c>
      <c r="D132" s="15">
        <f t="shared" si="4"/>
        <v>0</v>
      </c>
      <c r="E132" s="16">
        <f>IF('Components Yr 1'!E132=0,0,'Components Yr 1'!E132)</f>
        <v>0</v>
      </c>
      <c r="F132" s="17">
        <f>IF('Components Yr 1'!F132=0,0,'Components Yr 1'!F132)</f>
        <v>0</v>
      </c>
      <c r="G132" s="17">
        <f>IF('Components Yr 1'!G132=0,0,'Components Yr 1'!G132)</f>
        <v>0</v>
      </c>
      <c r="H132" s="17">
        <f>IF('Components Yr 1'!H132=0,0,'Components Yr 1'!H132)</f>
        <v>0</v>
      </c>
      <c r="I132" s="17">
        <f>IF('Components Yr 1'!I132=0,0,'Components Yr 1'!I132)</f>
        <v>0</v>
      </c>
      <c r="J132" s="17">
        <f>IF('Components Yr 1'!J132=0,0,'Components Yr 1'!J132)</f>
        <v>0</v>
      </c>
      <c r="K132" s="12"/>
      <c r="L132" s="12"/>
      <c r="M132" s="17">
        <f>IF('Components Yr 1'!M132=0,0,'Components Yr 1'!M132)</f>
        <v>0</v>
      </c>
      <c r="N132" s="17">
        <f>IF('Components Yr 1'!N132=0,0,'Components Yr 1'!N132)</f>
        <v>0</v>
      </c>
      <c r="O132" s="12"/>
      <c r="P132" s="12"/>
      <c r="Q132" s="17"/>
      <c r="R132" s="18">
        <f>IF(SUMPRODUCT((E132:Q132)*1)=0,0,E132*INDEX(Hours!M:M,MATCH(C132,Hours!$A:$A,0))+F132*INDEX(Hours!B:B,MATCH(C132,Hours!$A:$A,0))+G132*INDEX(Hours!C:C,MATCH(C132,Hours!$A:$A,0))+H132*INDEX(Hours!D:D,MATCH(C132,Hours!$A:$A,0))+I132*INDEX(Hours!E:E,MATCH(C132,Hours!$A:$A,0))+J132*INDEX(Hours!F:F,MATCH(C132,Hours!$A:$A,0))+M132*INDEX(Hours!I:I,MATCH(C132,Hours!$A:$A,0))+N132*INDEX(Hours!J:J,MATCH(C132,Hours!$A:$A,0)))</f>
        <v>0</v>
      </c>
      <c r="S132" s="19">
        <f t="shared" si="5"/>
        <v>0</v>
      </c>
    </row>
    <row r="133" spans="1:19" x14ac:dyDescent="0.25">
      <c r="A133" s="15" t="str">
        <f>'Bldgs &amp; Rooms'!$A$5</f>
        <v>Main Bldg.</v>
      </c>
      <c r="B133" s="15">
        <f>'Bldgs &amp; Rooms'!$B$5</f>
        <v>0</v>
      </c>
      <c r="C133" s="14" t="str">
        <f>Hours!$A$22</f>
        <v>Power Factor Correction Capacitors</v>
      </c>
      <c r="D133" s="15">
        <f t="shared" si="4"/>
        <v>0</v>
      </c>
      <c r="E133" s="16">
        <f>IF('Components Yr 1'!E133=0,0,'Components Yr 1'!E133)</f>
        <v>0</v>
      </c>
      <c r="F133" s="17">
        <f>IF('Components Yr 1'!F133=0,0,'Components Yr 1'!F133)</f>
        <v>0</v>
      </c>
      <c r="G133" s="17">
        <f>IF('Components Yr 1'!G133=0,0,'Components Yr 1'!G133)</f>
        <v>0</v>
      </c>
      <c r="H133" s="17">
        <f>IF('Components Yr 1'!H133=0,0,'Components Yr 1'!H133)</f>
        <v>0</v>
      </c>
      <c r="I133" s="17">
        <f>IF('Components Yr 1'!I133=0,0,'Components Yr 1'!I133)</f>
        <v>0</v>
      </c>
      <c r="J133" s="17">
        <f>IF('Components Yr 1'!J133=0,0,'Components Yr 1'!J133)</f>
        <v>0</v>
      </c>
      <c r="K133" s="12"/>
      <c r="L133" s="12"/>
      <c r="M133" s="12"/>
      <c r="N133" s="12"/>
      <c r="O133" s="12"/>
      <c r="P133" s="12"/>
      <c r="Q133" s="17"/>
      <c r="R133" s="18">
        <f>IF(SUMPRODUCT((E133:Q133)*1)=0,0,E133*INDEX(Hours!M:M,MATCH(C133,Hours!$A:$A,0))+F133*INDEX(Hours!B:B,MATCH(C133,Hours!$A:$A,0))+G133*INDEX(Hours!C:C,MATCH(C133,Hours!$A:$A,0))+H133*INDEX(Hours!D:D,MATCH(C133,Hours!$A:$A,0))+I133*INDEX(Hours!E:E,MATCH(C133,Hours!$A:$A,0))+J133*INDEX(Hours!F:F,MATCH(C133,Hours!$A:$A,0)))</f>
        <v>0</v>
      </c>
      <c r="S133" s="19">
        <f t="shared" si="5"/>
        <v>0</v>
      </c>
    </row>
    <row r="134" spans="1:19" x14ac:dyDescent="0.25">
      <c r="A134" s="15" t="str">
        <f>'Bldgs &amp; Rooms'!$A$5</f>
        <v>Main Bldg.</v>
      </c>
      <c r="B134" s="15">
        <f>'Bldgs &amp; Rooms'!$B$5</f>
        <v>0</v>
      </c>
      <c r="C134" s="14" t="str">
        <f>Hours!$A$23</f>
        <v>Lighting Contactor &gt; 100A</v>
      </c>
      <c r="D134" s="15">
        <f t="shared" si="4"/>
        <v>0</v>
      </c>
      <c r="E134" s="16">
        <f>IF('Components Yr 1'!E134=0,0,'Components Yr 1'!E134)</f>
        <v>0</v>
      </c>
      <c r="F134" s="17">
        <f>IF('Components Yr 1'!F134=0,0,'Components Yr 1'!F134)</f>
        <v>0</v>
      </c>
      <c r="G134" s="17">
        <f>IF('Components Yr 1'!G134=0,0,'Components Yr 1'!G134)</f>
        <v>0</v>
      </c>
      <c r="H134" s="17">
        <f>IF('Components Yr 1'!H134=0,0,'Components Yr 1'!H134)</f>
        <v>0</v>
      </c>
      <c r="I134" s="17">
        <f>IF('Components Yr 1'!I134=0,0,'Components Yr 1'!I134)</f>
        <v>0</v>
      </c>
      <c r="J134" s="17">
        <f>IF('Components Yr 1'!J134=0,0,'Components Yr 1'!J134)</f>
        <v>0</v>
      </c>
      <c r="K134" s="12"/>
      <c r="L134" s="12"/>
      <c r="M134" s="12"/>
      <c r="N134" s="12"/>
      <c r="O134" s="12"/>
      <c r="P134" s="12"/>
      <c r="Q134" s="17"/>
      <c r="R134" s="18">
        <f>IF(SUMPRODUCT((E134:Q134)*1)=0,0,E134*INDEX(Hours!M:M,MATCH(C134,Hours!$A:$A,0))+F134*INDEX(Hours!B:B,MATCH(C134,Hours!$A:$A,0))+G134*INDEX(Hours!C:C,MATCH(C134,Hours!$A:$A,0))+H134*INDEX(Hours!D:D,MATCH(C134,Hours!$A:$A,0))+I134*INDEX(Hours!E:E,MATCH(C134,Hours!$A:$A,0))+J134*INDEX(Hours!F:F,MATCH(C134,Hours!$A:$A,0)))</f>
        <v>0</v>
      </c>
      <c r="S134" s="19">
        <f t="shared" si="5"/>
        <v>0</v>
      </c>
    </row>
    <row r="135" spans="1:19" x14ac:dyDescent="0.25">
      <c r="A135" s="15" t="str">
        <f>'Bldgs &amp; Rooms'!$A$5</f>
        <v>Main Bldg.</v>
      </c>
      <c r="B135" s="15">
        <f>'Bldgs &amp; Rooms'!$B$5</f>
        <v>0</v>
      </c>
      <c r="C135" s="14" t="str">
        <f>Hours!$A$24</f>
        <v>Power Distribution Unit (PDU)</v>
      </c>
      <c r="D135" s="15">
        <f t="shared" si="4"/>
        <v>0</v>
      </c>
      <c r="E135" s="16">
        <f>IF('Components Yr 1'!E135=0,0,'Components Yr 1'!E135)</f>
        <v>0</v>
      </c>
      <c r="F135" s="17">
        <f>IF('Components Yr 1'!F135=0,0,'Components Yr 1'!F135)</f>
        <v>0</v>
      </c>
      <c r="G135" s="17">
        <f>IF('Components Yr 1'!G135=0,0,'Components Yr 1'!G135)</f>
        <v>0</v>
      </c>
      <c r="H135" s="17">
        <f>IF('Components Yr 1'!H135=0,0,'Components Yr 1'!H135)</f>
        <v>0</v>
      </c>
      <c r="I135" s="17">
        <f>IF('Components Yr 1'!I135=0,0,'Components Yr 1'!I135)</f>
        <v>0</v>
      </c>
      <c r="J135" s="17">
        <f>IF('Components Yr 1'!J135=0,0,'Components Yr 1'!J135)</f>
        <v>0</v>
      </c>
      <c r="K135" s="12"/>
      <c r="L135" s="12"/>
      <c r="M135" s="12"/>
      <c r="N135" s="12"/>
      <c r="O135" s="12"/>
      <c r="P135" s="12"/>
      <c r="Q135" s="17"/>
      <c r="R135" s="18">
        <f>IF(SUMPRODUCT((E135:Q135)*1)=0,0,E135*INDEX(Hours!M:M,MATCH(C135,Hours!$A:$A,0))+F135*INDEX(Hours!B:B,MATCH(C135,Hours!$A:$A,0))+G135*INDEX(Hours!C:C,MATCH(C135,Hours!$A:$A,0))+H135*INDEX(Hours!D:D,MATCH(C135,Hours!$A:$A,0))+I135*INDEX(Hours!E:E,MATCH(C135,Hours!$A:$A,0))+J135*INDEX(Hours!F:F,MATCH(C135,Hours!$A:$A,0)))</f>
        <v>0</v>
      </c>
      <c r="S135" s="19">
        <f t="shared" si="5"/>
        <v>0</v>
      </c>
    </row>
    <row r="136" spans="1:19" x14ac:dyDescent="0.25">
      <c r="A136" s="15" t="str">
        <f>'Bldgs &amp; Rooms'!$A$5</f>
        <v>Main Bldg.</v>
      </c>
      <c r="B136" s="15">
        <f>'Bldgs &amp; Rooms'!$B$5</f>
        <v>0</v>
      </c>
      <c r="C136" s="14" t="str">
        <f>Hours!$A$25</f>
        <v>Wire Trough, Gutter, or Large Junction Boxes</v>
      </c>
      <c r="D136" s="15">
        <f t="shared" si="4"/>
        <v>0</v>
      </c>
      <c r="E136" s="16">
        <f>IF('Components Yr 1'!E136=0,0,'Components Yr 1'!E136)</f>
        <v>0</v>
      </c>
      <c r="F136" s="17">
        <f>IF('Components Yr 1'!F136=0,0,'Components Yr 1'!F136)</f>
        <v>0</v>
      </c>
      <c r="G136" s="17">
        <f>IF('Components Yr 1'!G136=0,0,'Components Yr 1'!G136)</f>
        <v>0</v>
      </c>
      <c r="H136" s="17">
        <f>IF('Components Yr 1'!H136=0,0,'Components Yr 1'!H136)</f>
        <v>0</v>
      </c>
      <c r="I136" s="17">
        <f>IF('Components Yr 1'!I136=0,0,'Components Yr 1'!I136)</f>
        <v>0</v>
      </c>
      <c r="J136" s="17">
        <f>IF('Components Yr 1'!J136=0,0,'Components Yr 1'!J136)</f>
        <v>0</v>
      </c>
      <c r="K136" s="12"/>
      <c r="L136" s="12"/>
      <c r="M136" s="12"/>
      <c r="N136" s="12"/>
      <c r="O136" s="12"/>
      <c r="P136" s="12"/>
      <c r="Q136" s="17"/>
      <c r="R136" s="18">
        <f>IF(SUMPRODUCT((E136:Q136)*1)=0,0,E136*INDEX(Hours!M:M,MATCH(C136,Hours!$A:$A,0))+F136*INDEX(Hours!B:B,MATCH(C136,Hours!$A:$A,0))+G136*INDEX(Hours!C:C,MATCH(C136,Hours!$A:$A,0))+H136*INDEX(Hours!D:D,MATCH(C136,Hours!$A:$A,0))+I136*INDEX(Hours!E:E,MATCH(C136,Hours!$A:$A,0))+J136*INDEX(Hours!F:F,MATCH(C136,Hours!$A:$A,0)))</f>
        <v>0</v>
      </c>
      <c r="S136" s="19">
        <f t="shared" si="5"/>
        <v>0</v>
      </c>
    </row>
    <row r="137" spans="1:19" x14ac:dyDescent="0.25">
      <c r="A137" s="15" t="str">
        <f>'Bldgs &amp; Rooms'!$A$5</f>
        <v>Main Bldg.</v>
      </c>
      <c r="B137" s="15">
        <f>'Bldgs &amp; Rooms'!$B$5</f>
        <v>0</v>
      </c>
      <c r="C137" s="14" t="str">
        <f>Hours!$A$26</f>
        <v>Bus Duct - Vertical or Horizontal (Per 10' section)</v>
      </c>
      <c r="D137" s="15">
        <f t="shared" si="4"/>
        <v>0</v>
      </c>
      <c r="E137" s="16">
        <f>IF('Components Yr 1'!E137=0,0,'Components Yr 1'!E137)</f>
        <v>0</v>
      </c>
      <c r="F137" s="17">
        <f>IF('Components Yr 1'!F137=0,0,'Components Yr 1'!F137)</f>
        <v>0</v>
      </c>
      <c r="G137" s="17">
        <f>IF('Components Yr 1'!G137=0,0,'Components Yr 1'!G137)</f>
        <v>0</v>
      </c>
      <c r="H137" s="17">
        <f>IF('Components Yr 1'!H137=0,0,'Components Yr 1'!H137)</f>
        <v>0</v>
      </c>
      <c r="I137" s="17">
        <f>IF('Components Yr 1'!I137=0,0,'Components Yr 1'!I137)</f>
        <v>0</v>
      </c>
      <c r="J137" s="17">
        <f>IF('Components Yr 1'!J137=0,0,'Components Yr 1'!J137)</f>
        <v>0</v>
      </c>
      <c r="K137" s="12"/>
      <c r="L137" s="12"/>
      <c r="M137" s="12"/>
      <c r="N137" s="12"/>
      <c r="O137" s="12"/>
      <c r="P137" s="12"/>
      <c r="Q137" s="17"/>
      <c r="R137" s="18">
        <f>IF(SUMPRODUCT((E137:Q137)*1)=0,0,E137*INDEX(Hours!M:M,MATCH(C137,Hours!$A:$A,0))+F137*INDEX(Hours!B:B,MATCH(C137,Hours!$A:$A,0))+G137*INDEX(Hours!C:C,MATCH(C137,Hours!$A:$A,0))+H137*INDEX(Hours!D:D,MATCH(C137,Hours!$A:$A,0))+I137*INDEX(Hours!E:E,MATCH(C137,Hours!$A:$A,0))+J137*INDEX(Hours!F:F,MATCH(C137,Hours!$A:$A,0)))</f>
        <v>0</v>
      </c>
      <c r="S137" s="19">
        <f t="shared" si="5"/>
        <v>0</v>
      </c>
    </row>
    <row r="138" spans="1:19" x14ac:dyDescent="0.25">
      <c r="A138" s="15" t="str">
        <f>'Bldgs &amp; Rooms'!$A$5</f>
        <v>Main Bldg.</v>
      </c>
      <c r="B138" s="15">
        <f>'Bldgs &amp; Rooms'!$B$5</f>
        <v>0</v>
      </c>
      <c r="C138" s="14" t="str">
        <f>Hours!$A$27</f>
        <v>Automatic Transfer Switch (ATS) &gt; 100A</v>
      </c>
      <c r="D138" s="15">
        <f t="shared" si="4"/>
        <v>0</v>
      </c>
      <c r="E138" s="16">
        <f>IF('Components Yr 1'!E138=0,0,'Components Yr 1'!E138)</f>
        <v>0</v>
      </c>
      <c r="F138" s="17">
        <f>IF('Components Yr 1'!F138=0,0,'Components Yr 1'!F138)</f>
        <v>0</v>
      </c>
      <c r="G138" s="17">
        <f>IF('Components Yr 1'!G138=0,0,'Components Yr 1'!G138)</f>
        <v>0</v>
      </c>
      <c r="H138" s="17">
        <f>IF('Components Yr 1'!H138=0,0,'Components Yr 1'!H138)</f>
        <v>0</v>
      </c>
      <c r="I138" s="17">
        <f>IF('Components Yr 1'!I138=0,0,'Components Yr 1'!I138)</f>
        <v>0</v>
      </c>
      <c r="J138" s="17">
        <f>IF('Components Yr 1'!J138=0,0,'Components Yr 1'!J138)</f>
        <v>0</v>
      </c>
      <c r="K138" s="12"/>
      <c r="L138" s="12"/>
      <c r="M138" s="12"/>
      <c r="N138" s="12"/>
      <c r="O138" s="12"/>
      <c r="P138" s="12"/>
      <c r="Q138" s="17"/>
      <c r="R138" s="18">
        <f>IF(SUMPRODUCT((E138:Q138)*1)=0,0,E138*INDEX(Hours!M:M,MATCH(C138,Hours!$A:$A,0))+F138*INDEX(Hours!B:B,MATCH(C138,Hours!$A:$A,0))+G138*INDEX(Hours!C:C,MATCH(C138,Hours!$A:$A,0))+H138*INDEX(Hours!D:D,MATCH(C138,Hours!$A:$A,0))+I138*INDEX(Hours!E:E,MATCH(C138,Hours!$A:$A,0))+J138*INDEX(Hours!F:F,MATCH(C138,Hours!$A:$A,0)))</f>
        <v>0</v>
      </c>
      <c r="S138" s="19">
        <f t="shared" si="5"/>
        <v>0</v>
      </c>
    </row>
    <row r="139" spans="1:19" x14ac:dyDescent="0.25">
      <c r="A139" s="15" t="str">
        <f>'Bldgs &amp; Rooms'!$A$5</f>
        <v>Main Bldg.</v>
      </c>
      <c r="B139" s="15">
        <f>'Bldgs &amp; Rooms'!$B$5</f>
        <v>0</v>
      </c>
      <c r="C139" s="14" t="str">
        <f>Hours!$A$28</f>
        <v>Manual Transfer Switch (MTS) &gt; 100A</v>
      </c>
      <c r="D139" s="15">
        <f t="shared" si="4"/>
        <v>0</v>
      </c>
      <c r="E139" s="16">
        <f>IF('Components Yr 1'!E139=0,0,'Components Yr 1'!E139)</f>
        <v>0</v>
      </c>
      <c r="F139" s="17">
        <f>IF('Components Yr 1'!F139=0,0,'Components Yr 1'!F139)</f>
        <v>0</v>
      </c>
      <c r="G139" s="17">
        <f>IF('Components Yr 1'!G139=0,0,'Components Yr 1'!G139)</f>
        <v>0</v>
      </c>
      <c r="H139" s="17">
        <f>IF('Components Yr 1'!H139=0,0,'Components Yr 1'!H139)</f>
        <v>0</v>
      </c>
      <c r="I139" s="17">
        <f>IF('Components Yr 1'!I139=0,0,'Components Yr 1'!I139)</f>
        <v>0</v>
      </c>
      <c r="J139" s="17">
        <f>IF('Components Yr 1'!J139=0,0,'Components Yr 1'!J139)</f>
        <v>0</v>
      </c>
      <c r="K139" s="12"/>
      <c r="L139" s="12"/>
      <c r="M139" s="12"/>
      <c r="N139" s="12"/>
      <c r="O139" s="12"/>
      <c r="P139" s="12"/>
      <c r="Q139" s="17"/>
      <c r="R139" s="18">
        <f>IF(SUMPRODUCT((E139:Q139)*1)=0,0,E139*INDEX(Hours!M:M,MATCH(C139,Hours!$A:$A,0))+F139*INDEX(Hours!B:B,MATCH(C139,Hours!$A:$A,0))+G139*INDEX(Hours!C:C,MATCH(C139,Hours!$A:$A,0))+H139*INDEX(Hours!D:D,MATCH(C139,Hours!$A:$A,0))+I139*INDEX(Hours!E:E,MATCH(C139,Hours!$A:$A,0))+J139*INDEX(Hours!F:F,MATCH(C139,Hours!$A:$A,0)))</f>
        <v>0</v>
      </c>
      <c r="S139" s="19">
        <f t="shared" si="5"/>
        <v>0</v>
      </c>
    </row>
    <row r="140" spans="1:19" x14ac:dyDescent="0.25">
      <c r="A140" s="15" t="str">
        <f>'Bldgs &amp; Rooms'!$A$5</f>
        <v>Main Bldg.</v>
      </c>
      <c r="B140" s="15">
        <f>'Bldgs &amp; Rooms'!$B$5</f>
        <v>0</v>
      </c>
      <c r="C140" s="14" t="str">
        <f>Hours!$A$29</f>
        <v>Variable Frequency Drives (VFD) &lt; 50 HP</v>
      </c>
      <c r="D140" s="15">
        <f t="shared" si="4"/>
        <v>0</v>
      </c>
      <c r="E140" s="16">
        <f>IF('Components Yr 1'!E140=0,0,'Components Yr 1'!E140)</f>
        <v>0</v>
      </c>
      <c r="F140" s="17">
        <f>IF('Components Yr 1'!F140=0,0,'Components Yr 1'!F140)</f>
        <v>0</v>
      </c>
      <c r="G140" s="17">
        <f>IF('Components Yr 1'!G140=0,0,'Components Yr 1'!G140)</f>
        <v>0</v>
      </c>
      <c r="H140" s="17">
        <f>IF('Components Yr 1'!H140=0,0,'Components Yr 1'!H140)</f>
        <v>0</v>
      </c>
      <c r="I140" s="17">
        <f>IF('Components Yr 1'!I140=0,0,'Components Yr 1'!I140)</f>
        <v>0</v>
      </c>
      <c r="J140" s="17">
        <f>IF('Components Yr 1'!J140=0,0,'Components Yr 1'!J140)</f>
        <v>0</v>
      </c>
      <c r="K140" s="12"/>
      <c r="L140" s="12"/>
      <c r="M140" s="12"/>
      <c r="N140" s="12"/>
      <c r="O140" s="12"/>
      <c r="P140" s="12"/>
      <c r="Q140" s="17"/>
      <c r="R140" s="18">
        <f>IF(SUMPRODUCT((E140:Q140)*1)=0,0,E140*INDEX(Hours!M:M,MATCH(C140,Hours!$A:$A,0))+F140*INDEX(Hours!B:B,MATCH(C140,Hours!$A:$A,0))+G140*INDEX(Hours!C:C,MATCH(C140,Hours!$A:$A,0))+H140*INDEX(Hours!D:D,MATCH(C140,Hours!$A:$A,0))+I140*INDEX(Hours!E:E,MATCH(C140,Hours!$A:$A,0))+J140*INDEX(Hours!F:F,MATCH(C140,Hours!$A:$A,0)))</f>
        <v>0</v>
      </c>
      <c r="S140" s="19">
        <f t="shared" si="5"/>
        <v>0</v>
      </c>
    </row>
    <row r="141" spans="1:19" x14ac:dyDescent="0.25">
      <c r="A141" s="15" t="str">
        <f>'Bldgs &amp; Rooms'!$A$5</f>
        <v>Main Bldg.</v>
      </c>
      <c r="B141" s="15">
        <f>'Bldgs &amp; Rooms'!$B$5</f>
        <v>0</v>
      </c>
      <c r="C141" s="14" t="str">
        <f>Hours!$A$30</f>
        <v>Variable Frequency Drives (VFD) 51-200 HP</v>
      </c>
      <c r="D141" s="15">
        <f t="shared" si="4"/>
        <v>0</v>
      </c>
      <c r="E141" s="16">
        <f>IF('Components Yr 1'!E141=0,0,'Components Yr 1'!E141)</f>
        <v>0</v>
      </c>
      <c r="F141" s="17">
        <f>IF('Components Yr 1'!F141=0,0,'Components Yr 1'!F141)</f>
        <v>0</v>
      </c>
      <c r="G141" s="17">
        <f>IF('Components Yr 1'!G141=0,0,'Components Yr 1'!G141)</f>
        <v>0</v>
      </c>
      <c r="H141" s="17">
        <f>IF('Components Yr 1'!H141=0,0,'Components Yr 1'!H141)</f>
        <v>0</v>
      </c>
      <c r="I141" s="17">
        <f>IF('Components Yr 1'!I141=0,0,'Components Yr 1'!I141)</f>
        <v>0</v>
      </c>
      <c r="J141" s="17">
        <f>IF('Components Yr 1'!J141=0,0,'Components Yr 1'!J141)</f>
        <v>0</v>
      </c>
      <c r="K141" s="12"/>
      <c r="L141" s="12"/>
      <c r="M141" s="12"/>
      <c r="N141" s="12"/>
      <c r="O141" s="12"/>
      <c r="P141" s="12"/>
      <c r="Q141" s="17"/>
      <c r="R141" s="18">
        <f>IF(SUMPRODUCT((E141:Q141)*1)=0,0,E141*INDEX(Hours!M:M,MATCH(C141,Hours!$A:$A,0))+F141*INDEX(Hours!B:B,MATCH(C141,Hours!$A:$A,0))+G141*INDEX(Hours!C:C,MATCH(C141,Hours!$A:$A,0))+H141*INDEX(Hours!D:D,MATCH(C141,Hours!$A:$A,0))+I141*INDEX(Hours!E:E,MATCH(C141,Hours!$A:$A,0))+J141*INDEX(Hours!F:F,MATCH(C141,Hours!$A:$A,0)))</f>
        <v>0</v>
      </c>
      <c r="S141" s="19">
        <f t="shared" si="5"/>
        <v>0</v>
      </c>
    </row>
    <row r="142" spans="1:19" x14ac:dyDescent="0.25">
      <c r="A142" s="15" t="str">
        <f>'Bldgs &amp; Rooms'!$A$5</f>
        <v>Main Bldg.</v>
      </c>
      <c r="B142" s="15">
        <f>'Bldgs &amp; Rooms'!$B$5</f>
        <v>0</v>
      </c>
      <c r="C142" s="14" t="str">
        <f>Hours!$A$31</f>
        <v>Motors &lt; 50 HP</v>
      </c>
      <c r="D142" s="15">
        <f t="shared" si="4"/>
        <v>0</v>
      </c>
      <c r="E142" s="16">
        <f>IF('Components Yr 1'!E142=0,0,'Components Yr 1'!E142)</f>
        <v>0</v>
      </c>
      <c r="F142" s="17">
        <f>IF('Components Yr 1'!F142=0,0,'Components Yr 1'!F142)</f>
        <v>0</v>
      </c>
      <c r="G142" s="17">
        <f>IF('Components Yr 1'!G142=0,0,'Components Yr 1'!G142)</f>
        <v>0</v>
      </c>
      <c r="H142" s="17">
        <f>IF('Components Yr 1'!H142=0,0,'Components Yr 1'!H142)</f>
        <v>0</v>
      </c>
      <c r="I142" s="17">
        <f>IF('Components Yr 1'!I142=0,0,'Components Yr 1'!I142)</f>
        <v>0</v>
      </c>
      <c r="J142" s="17">
        <f>IF('Components Yr 1'!J142=0,0,'Components Yr 1'!J142)</f>
        <v>0</v>
      </c>
      <c r="K142" s="12"/>
      <c r="L142" s="12"/>
      <c r="M142" s="12"/>
      <c r="N142" s="12"/>
      <c r="O142" s="12"/>
      <c r="P142" s="12"/>
      <c r="Q142" s="17"/>
      <c r="R142" s="18">
        <f>IF(SUMPRODUCT((E142:Q142)*1)=0,0,E142*INDEX(Hours!M:M,MATCH(C142,Hours!$A:$A,0))+F142*INDEX(Hours!B:B,MATCH(C142,Hours!$A:$A,0))+G142*INDEX(Hours!C:C,MATCH(C142,Hours!$A:$A,0))+H142*INDEX(Hours!D:D,MATCH(C142,Hours!$A:$A,0))+I142*INDEX(Hours!E:E,MATCH(C142,Hours!$A:$A,0))+J142*INDEX(Hours!F:F,MATCH(C142,Hours!$A:$A,0)))</f>
        <v>0</v>
      </c>
      <c r="S142" s="19">
        <f t="shared" si="5"/>
        <v>0</v>
      </c>
    </row>
    <row r="143" spans="1:19" x14ac:dyDescent="0.25">
      <c r="A143" s="15" t="str">
        <f>'Bldgs &amp; Rooms'!$A$5</f>
        <v>Main Bldg.</v>
      </c>
      <c r="B143" s="15">
        <f>'Bldgs &amp; Rooms'!$B$5</f>
        <v>0</v>
      </c>
      <c r="C143" s="14" t="str">
        <f>Hours!$A$32</f>
        <v>Motors 51-200 HP</v>
      </c>
      <c r="D143" s="15">
        <f t="shared" si="4"/>
        <v>0</v>
      </c>
      <c r="E143" s="16">
        <f>IF('Components Yr 1'!E143=0,0,'Components Yr 1'!E143)</f>
        <v>0</v>
      </c>
      <c r="F143" s="17">
        <f>IF('Components Yr 1'!F143=0,0,'Components Yr 1'!F143)</f>
        <v>0</v>
      </c>
      <c r="G143" s="17">
        <f>IF('Components Yr 1'!G143=0,0,'Components Yr 1'!G143)</f>
        <v>0</v>
      </c>
      <c r="H143" s="17">
        <f>IF('Components Yr 1'!H143=0,0,'Components Yr 1'!H143)</f>
        <v>0</v>
      </c>
      <c r="I143" s="17">
        <f>IF('Components Yr 1'!I143=0,0,'Components Yr 1'!I143)</f>
        <v>0</v>
      </c>
      <c r="J143" s="17">
        <f>IF('Components Yr 1'!J143=0,0,'Components Yr 1'!J143)</f>
        <v>0</v>
      </c>
      <c r="K143" s="12"/>
      <c r="L143" s="12"/>
      <c r="M143" s="12"/>
      <c r="N143" s="12"/>
      <c r="O143" s="12"/>
      <c r="P143" s="12"/>
      <c r="Q143" s="17"/>
      <c r="R143" s="18">
        <f>IF(SUMPRODUCT((E143:Q143)*1)=0,0,E143*INDEX(Hours!M:M,MATCH(C143,Hours!$A:$A,0))+F143*INDEX(Hours!B:B,MATCH(C143,Hours!$A:$A,0))+G143*INDEX(Hours!C:C,MATCH(C143,Hours!$A:$A,0))+H143*INDEX(Hours!D:D,MATCH(C143,Hours!$A:$A,0))+I143*INDEX(Hours!E:E,MATCH(C143,Hours!$A:$A,0))+J143*INDEX(Hours!F:F,MATCH(C143,Hours!$A:$A,0)))</f>
        <v>0</v>
      </c>
      <c r="S143" s="19">
        <f t="shared" si="5"/>
        <v>0</v>
      </c>
    </row>
    <row r="144" spans="1:19" x14ac:dyDescent="0.25">
      <c r="A144" s="15" t="str">
        <f>'Bldgs &amp; Rooms'!$A$5</f>
        <v>Main Bldg.</v>
      </c>
      <c r="B144" s="15">
        <f>'Bldgs &amp; Rooms'!$B$5</f>
        <v>0</v>
      </c>
      <c r="C144" s="14" t="str">
        <f>Hours!$A$33</f>
        <v>Motors 201-500 HP</v>
      </c>
      <c r="D144" s="15">
        <f t="shared" si="4"/>
        <v>0</v>
      </c>
      <c r="E144" s="16">
        <f>IF('Components Yr 1'!E144=0,0,'Components Yr 1'!E144)</f>
        <v>0</v>
      </c>
      <c r="F144" s="17">
        <f>IF('Components Yr 1'!F144=0,0,'Components Yr 1'!F144)</f>
        <v>0</v>
      </c>
      <c r="G144" s="17">
        <f>IF('Components Yr 1'!G144=0,0,'Components Yr 1'!G144)</f>
        <v>0</v>
      </c>
      <c r="H144" s="17">
        <f>IF('Components Yr 1'!H144=0,0,'Components Yr 1'!H144)</f>
        <v>0</v>
      </c>
      <c r="I144" s="17">
        <f>IF('Components Yr 1'!I144=0,0,'Components Yr 1'!I144)</f>
        <v>0</v>
      </c>
      <c r="J144" s="17">
        <f>IF('Components Yr 1'!J144=0,0,'Components Yr 1'!J144)</f>
        <v>0</v>
      </c>
      <c r="K144" s="12"/>
      <c r="L144" s="12"/>
      <c r="M144" s="12"/>
      <c r="N144" s="12"/>
      <c r="O144" s="12"/>
      <c r="P144" s="12"/>
      <c r="Q144" s="17"/>
      <c r="R144" s="18">
        <f>IF(SUMPRODUCT((E144:Q144)*1)=0,0,E144*INDEX(Hours!M:M,MATCH(C144,Hours!$A:$A,0))+F144*INDEX(Hours!B:B,MATCH(C144,Hours!$A:$A,0))+G144*INDEX(Hours!C:C,MATCH(C144,Hours!$A:$A,0))+H144*INDEX(Hours!D:D,MATCH(C144,Hours!$A:$A,0))+I144*INDEX(Hours!E:E,MATCH(C144,Hours!$A:$A,0))+J144*INDEX(Hours!F:F,MATCH(C144,Hours!$A:$A,0)))</f>
        <v>0</v>
      </c>
      <c r="S144" s="19">
        <f t="shared" si="5"/>
        <v>0</v>
      </c>
    </row>
    <row r="145" spans="1:19" x14ac:dyDescent="0.25">
      <c r="A145" s="15" t="str">
        <f>'Bldgs &amp; Rooms'!$A$5</f>
        <v>Main Bldg.</v>
      </c>
      <c r="B145" s="15">
        <f>'Bldgs &amp; Rooms'!$B$5</f>
        <v>0</v>
      </c>
      <c r="C145" s="14" t="str">
        <f>Hours!$A$34</f>
        <v>Compressed Air Equipment</v>
      </c>
      <c r="D145" s="15">
        <f t="shared" si="4"/>
        <v>0</v>
      </c>
      <c r="E145" s="16">
        <f>IF('Components Yr 1'!E145=0,0,'Components Yr 1'!E145)</f>
        <v>0</v>
      </c>
      <c r="F145" s="17">
        <f>IF('Components Yr 1'!F145=0,0,'Components Yr 1'!F145)</f>
        <v>0</v>
      </c>
      <c r="G145" s="17">
        <f>IF('Components Yr 1'!G145=0,0,'Components Yr 1'!G145)</f>
        <v>0</v>
      </c>
      <c r="H145" s="17">
        <f>IF('Components Yr 1'!H145=0,0,'Components Yr 1'!H145)</f>
        <v>0</v>
      </c>
      <c r="I145" s="17">
        <f>IF('Components Yr 1'!I145=0,0,'Components Yr 1'!I145)</f>
        <v>0</v>
      </c>
      <c r="J145" s="17">
        <f>IF('Components Yr 1'!J145=0,0,'Components Yr 1'!J145)</f>
        <v>0</v>
      </c>
      <c r="K145" s="12"/>
      <c r="L145" s="12"/>
      <c r="M145" s="12"/>
      <c r="N145" s="12"/>
      <c r="O145" s="12"/>
      <c r="P145" s="12"/>
      <c r="Q145" s="17"/>
      <c r="R145" s="18">
        <f>IF(SUMPRODUCT((E145:Q145)*1)=0,0,E145*INDEX(Hours!M:M,MATCH(C145,Hours!$A:$A,0))+F145*INDEX(Hours!B:B,MATCH(C145,Hours!$A:$A,0))+G145*INDEX(Hours!C:C,MATCH(C145,Hours!$A:$A,0))+H145*INDEX(Hours!D:D,MATCH(C145,Hours!$A:$A,0))+I145*INDEX(Hours!E:E,MATCH(C145,Hours!$A:$A,0))+J145*INDEX(Hours!F:F,MATCH(C145,Hours!$A:$A,0)))</f>
        <v>0</v>
      </c>
      <c r="S145" s="19">
        <f t="shared" si="5"/>
        <v>0</v>
      </c>
    </row>
    <row r="146" spans="1:19" x14ac:dyDescent="0.25">
      <c r="A146" s="15" t="str">
        <f>'Bldgs &amp; Rooms'!$A$5</f>
        <v>Main Bldg.</v>
      </c>
      <c r="B146" s="15">
        <f>'Bldgs &amp; Rooms'!$B$5</f>
        <v>0</v>
      </c>
      <c r="C146" s="14" t="str">
        <f>Hours!$A$35</f>
        <v>HVAC Equipment (Large)</v>
      </c>
      <c r="D146" s="15">
        <f t="shared" si="4"/>
        <v>0</v>
      </c>
      <c r="E146" s="16">
        <f>IF('Components Yr 1'!E146=0,0,'Components Yr 1'!E146)</f>
        <v>0</v>
      </c>
      <c r="F146" s="17">
        <f>IF('Components Yr 1'!F146=0,0,'Components Yr 1'!F146)</f>
        <v>0</v>
      </c>
      <c r="G146" s="17">
        <f>IF('Components Yr 1'!G146=0,0,'Components Yr 1'!G146)</f>
        <v>0</v>
      </c>
      <c r="H146" s="17">
        <f>IF('Components Yr 1'!H146=0,0,'Components Yr 1'!H146)</f>
        <v>0</v>
      </c>
      <c r="I146" s="17">
        <f>IF('Components Yr 1'!I146=0,0,'Components Yr 1'!I146)</f>
        <v>0</v>
      </c>
      <c r="J146" s="17">
        <f>IF('Components Yr 1'!J146=0,0,'Components Yr 1'!J146)</f>
        <v>0</v>
      </c>
      <c r="K146" s="12"/>
      <c r="L146" s="12"/>
      <c r="M146" s="12"/>
      <c r="N146" s="12"/>
      <c r="O146" s="12"/>
      <c r="P146" s="12"/>
      <c r="Q146" s="17"/>
      <c r="R146" s="18">
        <f>IF(SUMPRODUCT((E146:Q146)*1)=0,0,E146*INDEX(Hours!M:M,MATCH(C146,Hours!$A:$A,0))+F146*INDEX(Hours!B:B,MATCH(C146,Hours!$A:$A,0))+G146*INDEX(Hours!C:C,MATCH(C146,Hours!$A:$A,0))+H146*INDEX(Hours!D:D,MATCH(C146,Hours!$A:$A,0))+I146*INDEX(Hours!E:E,MATCH(C146,Hours!$A:$A,0))+J146*INDEX(Hours!F:F,MATCH(C146,Hours!$A:$A,0)))</f>
        <v>0</v>
      </c>
      <c r="S146" s="19">
        <f t="shared" si="5"/>
        <v>0</v>
      </c>
    </row>
    <row r="147" spans="1:19" x14ac:dyDescent="0.25">
      <c r="A147" s="15" t="str">
        <f>'Bldgs &amp; Rooms'!$A$5</f>
        <v>Main Bldg.</v>
      </c>
      <c r="B147" s="15">
        <f>'Bldgs &amp; Rooms'!$B$5</f>
        <v>0</v>
      </c>
      <c r="C147" s="14" t="str">
        <f>Hours!$A$36</f>
        <v>HVAC Equipment (Small)</v>
      </c>
      <c r="D147" s="15">
        <f t="shared" si="4"/>
        <v>0</v>
      </c>
      <c r="E147" s="16">
        <f>IF('Components Yr 1'!E147=0,0,'Components Yr 1'!E147)</f>
        <v>0</v>
      </c>
      <c r="F147" s="17">
        <f>IF('Components Yr 1'!F147=0,0,'Components Yr 1'!F147)</f>
        <v>0</v>
      </c>
      <c r="G147" s="17">
        <f>IF('Components Yr 1'!G147=0,0,'Components Yr 1'!G147)</f>
        <v>0</v>
      </c>
      <c r="H147" s="17">
        <f>IF('Components Yr 1'!H147=0,0,'Components Yr 1'!H147)</f>
        <v>0</v>
      </c>
      <c r="I147" s="17">
        <f>IF('Components Yr 1'!I147=0,0,'Components Yr 1'!I147)</f>
        <v>0</v>
      </c>
      <c r="J147" s="17">
        <f>IF('Components Yr 1'!J147=0,0,'Components Yr 1'!J147)</f>
        <v>0</v>
      </c>
      <c r="K147" s="12"/>
      <c r="L147" s="12"/>
      <c r="M147" s="12"/>
      <c r="N147" s="12"/>
      <c r="O147" s="12"/>
      <c r="P147" s="12"/>
      <c r="Q147" s="17"/>
      <c r="R147" s="18">
        <f>IF(SUMPRODUCT((E147:Q147)*1)=0,0,E147*INDEX(Hours!M:M,MATCH(C147,Hours!$A:$A,0))+F147*INDEX(Hours!B:B,MATCH(C147,Hours!$A:$A,0))+G147*INDEX(Hours!C:C,MATCH(C147,Hours!$A:$A,0))+H147*INDEX(Hours!D:D,MATCH(C147,Hours!$A:$A,0))+I147*INDEX(Hours!E:E,MATCH(C147,Hours!$A:$A,0))+J147*INDEX(Hours!F:F,MATCH(C147,Hours!$A:$A,0)))</f>
        <v>0</v>
      </c>
      <c r="S147" s="19">
        <f t="shared" si="5"/>
        <v>0</v>
      </c>
    </row>
    <row r="148" spans="1:19" x14ac:dyDescent="0.25">
      <c r="A148" s="15" t="str">
        <f>'Bldgs &amp; Rooms'!$A$5</f>
        <v>Main Bldg.</v>
      </c>
      <c r="B148" s="15">
        <f>'Bldgs &amp; Rooms'!$B$5</f>
        <v>0</v>
      </c>
      <c r="C148" s="14" t="str">
        <f>Hours!$A$37</f>
        <v>Uninterruptible Power Supply (UPS) &lt; 50kVA</v>
      </c>
      <c r="D148" s="15">
        <f t="shared" si="4"/>
        <v>0</v>
      </c>
      <c r="E148" s="16">
        <f>IF('Components Yr 1'!E148=0,0,'Components Yr 1'!E148)</f>
        <v>0</v>
      </c>
      <c r="F148" s="17">
        <f>IF('Components Yr 1'!F148=0,0,'Components Yr 1'!F148)</f>
        <v>0</v>
      </c>
      <c r="G148" s="17">
        <f>IF('Components Yr 1'!G148=0,0,'Components Yr 1'!G148)</f>
        <v>0</v>
      </c>
      <c r="H148" s="17">
        <f>IF('Components Yr 1'!H148=0,0,'Components Yr 1'!H148)</f>
        <v>0</v>
      </c>
      <c r="I148" s="17">
        <f>IF('Components Yr 1'!I148=0,0,'Components Yr 1'!I148)</f>
        <v>0</v>
      </c>
      <c r="J148" s="17">
        <f>IF('Components Yr 1'!J148=0,0,'Components Yr 1'!J148)</f>
        <v>0</v>
      </c>
      <c r="K148" s="12"/>
      <c r="L148" s="12"/>
      <c r="M148" s="12"/>
      <c r="N148" s="12"/>
      <c r="O148" s="12"/>
      <c r="P148" s="12"/>
      <c r="Q148" s="17"/>
      <c r="R148" s="18">
        <f>IF(SUMPRODUCT((E148:Q148)*1)=0,0,E148*INDEX(Hours!M:M,MATCH(C148,Hours!$A:$A,0))+F148*INDEX(Hours!B:B,MATCH(C148,Hours!$A:$A,0))+G148*INDEX(Hours!C:C,MATCH(C148,Hours!$A:$A,0))+H148*INDEX(Hours!D:D,MATCH(C148,Hours!$A:$A,0))+I148*INDEX(Hours!E:E,MATCH(C148,Hours!$A:$A,0))+J148*INDEX(Hours!F:F,MATCH(C148,Hours!$A:$A,0)))</f>
        <v>0</v>
      </c>
      <c r="S148" s="19">
        <f t="shared" si="5"/>
        <v>0</v>
      </c>
    </row>
    <row r="149" spans="1:19" x14ac:dyDescent="0.25">
      <c r="A149" s="15" t="str">
        <f>'Bldgs &amp; Rooms'!$A$5</f>
        <v>Main Bldg.</v>
      </c>
      <c r="B149" s="15">
        <f>'Bldgs &amp; Rooms'!$B$5</f>
        <v>0</v>
      </c>
      <c r="C149" s="14" t="str">
        <f>Hours!$A$38</f>
        <v>Uninterruptible Power Supply (UPS) &gt; 50kVA</v>
      </c>
      <c r="D149" s="15">
        <f t="shared" si="4"/>
        <v>0</v>
      </c>
      <c r="E149" s="16">
        <f>IF('Components Yr 1'!E149=0,0,'Components Yr 1'!E149)</f>
        <v>0</v>
      </c>
      <c r="F149" s="17">
        <f>IF('Components Yr 1'!F149=0,0,'Components Yr 1'!F149)</f>
        <v>0</v>
      </c>
      <c r="G149" s="17">
        <f>IF('Components Yr 1'!G149=0,0,'Components Yr 1'!G149)</f>
        <v>0</v>
      </c>
      <c r="H149" s="17">
        <f>IF('Components Yr 1'!H149=0,0,'Components Yr 1'!H149)</f>
        <v>0</v>
      </c>
      <c r="I149" s="17">
        <f>IF('Components Yr 1'!I149=0,0,'Components Yr 1'!I149)</f>
        <v>0</v>
      </c>
      <c r="J149" s="17">
        <f>IF('Components Yr 1'!J149=0,0,'Components Yr 1'!J149)</f>
        <v>0</v>
      </c>
      <c r="K149" s="12"/>
      <c r="L149" s="12"/>
      <c r="M149" s="12"/>
      <c r="N149" s="12"/>
      <c r="O149" s="12"/>
      <c r="P149" s="12"/>
      <c r="Q149" s="17"/>
      <c r="R149" s="18">
        <f>IF(SUMPRODUCT((E149:Q149)*1)=0,0,E149*INDEX(Hours!M:M,MATCH(C149,Hours!$A:$A,0))+F149*INDEX(Hours!B:B,MATCH(C149,Hours!$A:$A,0))+G149*INDEX(Hours!C:C,MATCH(C149,Hours!$A:$A,0))+H149*INDEX(Hours!D:D,MATCH(C149,Hours!$A:$A,0))+I149*INDEX(Hours!E:E,MATCH(C149,Hours!$A:$A,0))+J149*INDEX(Hours!F:F,MATCH(C149,Hours!$A:$A,0)))</f>
        <v>0</v>
      </c>
      <c r="S149" s="19">
        <f t="shared" si="5"/>
        <v>0</v>
      </c>
    </row>
    <row r="150" spans="1:19" x14ac:dyDescent="0.25">
      <c r="A150" s="11" t="str">
        <f>'Bldgs &amp; Rooms'!$A$6</f>
        <v>Main Bldg.</v>
      </c>
      <c r="B150" s="11">
        <f>'Bldgs &amp; Rooms'!$B$6</f>
        <v>0</v>
      </c>
      <c r="C150" s="10" t="str">
        <f>Hours!$A$2</f>
        <v>Switchgear - Incoming Main Service (Per Section)</v>
      </c>
      <c r="D150" s="11">
        <f t="shared" si="4"/>
        <v>0</v>
      </c>
      <c r="E150" s="16">
        <f>IF('Components Yr 1'!E150=0,0,'Components Yr 1'!E150)</f>
        <v>0</v>
      </c>
      <c r="F150" s="17">
        <f>IF('Components Yr 1'!F150=0,0,'Components Yr 1'!F150)</f>
        <v>0</v>
      </c>
      <c r="G150" s="17">
        <f>IF('Components Yr 1'!G150=0,0,'Components Yr 1'!G150)</f>
        <v>0</v>
      </c>
      <c r="H150" s="17">
        <f>IF('Components Yr 1'!H150=0,0,'Components Yr 1'!H150)</f>
        <v>0</v>
      </c>
      <c r="I150" s="17">
        <f>IF('Components Yr 1'!I150=0,0,'Components Yr 1'!I150)</f>
        <v>0</v>
      </c>
      <c r="J150" s="17">
        <f>IF('Components Yr 1'!J150=0,0,'Components Yr 1'!J150)</f>
        <v>0</v>
      </c>
      <c r="K150" s="17">
        <f>IF('Components Yr 1'!K150=0,0,'Components Yr 1'!K150)</f>
        <v>0</v>
      </c>
      <c r="L150" s="17">
        <f>IF('Components Yr 1'!L150=0,0,'Components Yr 1'!L150)</f>
        <v>0</v>
      </c>
      <c r="M150" s="12"/>
      <c r="N150" s="12"/>
      <c r="O150" s="17">
        <f>IF('Components Yr 1'!O150=0,0,'Components Yr 1'!O150)</f>
        <v>0</v>
      </c>
      <c r="P150" s="12"/>
      <c r="Q150" s="17"/>
      <c r="R150" s="18">
        <f>IF(SUMPRODUCT((E150:Q150)*1)=0,0,E150*INDEX(Hours!M:M,MATCH(C150,Hours!$A:$A,0))+F150*INDEX(Hours!B:B,MATCH(C150,Hours!$A:$A,0))+G150*INDEX(Hours!C:C,MATCH(C150,Hours!$A:$A,0))+H150*INDEX(Hours!D:D,MATCH(C150,Hours!$A:$A,0))+I150*INDEX(Hours!E:E,MATCH(C150,Hours!$A:$A,0))+J150*INDEX(Hours!F:F,MATCH(C150,Hours!$A:$A,0))+K150*INDEX(Hours!G:G,MATCH(C150,Hours!$A:$A,0))+L150*INDEX(Hours!H:H,MATCH(C150,Hours!$A:$A,0))+O150*INDEX(Hours!K:K,MATCH(C150,Hours!$A:$A,0)))</f>
        <v>0</v>
      </c>
      <c r="S150" s="19">
        <f t="shared" si="5"/>
        <v>0</v>
      </c>
    </row>
    <row r="151" spans="1:19" x14ac:dyDescent="0.25">
      <c r="A151" s="11" t="str">
        <f>'Bldgs &amp; Rooms'!$A$6</f>
        <v>Main Bldg.</v>
      </c>
      <c r="B151" s="11">
        <f>'Bldgs &amp; Rooms'!$B$6</f>
        <v>0</v>
      </c>
      <c r="C151" s="10" t="str">
        <f>Hours!$A$3</f>
        <v xml:space="preserve">  Switchgear Insulated Case Breakers (Bus Mounted)</v>
      </c>
      <c r="D151" s="11">
        <f t="shared" si="4"/>
        <v>0</v>
      </c>
      <c r="E151" s="16">
        <f>IF('Components Yr 1'!E151=0,0,'Components Yr 1'!E151)</f>
        <v>0</v>
      </c>
      <c r="F151" s="17">
        <f>IF('Components Yr 1'!F151=0,0,'Components Yr 1'!F151)</f>
        <v>0</v>
      </c>
      <c r="G151" s="17">
        <f>IF('Components Yr 1'!G151=0,0,'Components Yr 1'!G151)</f>
        <v>0</v>
      </c>
      <c r="H151" s="17">
        <f>IF('Components Yr 1'!H151=0,0,'Components Yr 1'!H151)</f>
        <v>0</v>
      </c>
      <c r="I151" s="17">
        <f>IF('Components Yr 1'!I151=0,0,'Components Yr 1'!I151)</f>
        <v>0</v>
      </c>
      <c r="J151" s="17">
        <f>IF('Components Yr 1'!J151=0,0,'Components Yr 1'!J151)</f>
        <v>0</v>
      </c>
      <c r="K151" s="17">
        <f>IF('Components Yr 1'!K151=0,0,'Components Yr 1'!K151)</f>
        <v>0</v>
      </c>
      <c r="L151" s="12"/>
      <c r="M151" s="12"/>
      <c r="N151" s="12"/>
      <c r="O151" s="12"/>
      <c r="P151" s="12"/>
      <c r="Q151" s="17"/>
      <c r="R151" s="18">
        <f>IF(SUMPRODUCT((E151:Q151)*1)=0,0,E151*INDEX(Hours!M:M,MATCH(C151,Hours!$A:$A,0))+F151*INDEX(Hours!B:B,MATCH(C151,Hours!$A:$A,0))+G151*INDEX(Hours!C:C,MATCH(C151,Hours!$A:$A,0))+H151*INDEX(Hours!D:D,MATCH(C151,Hours!$A:$A,0))+I151*INDEX(Hours!E:E,MATCH(C151,Hours!$A:$A,0))+J151*INDEX(Hours!F:F,MATCH(C151,Hours!$A:$A,0))+K151*INDEX(Hours!G:G,MATCH(C151,Hours!$A:$A,0)))</f>
        <v>0</v>
      </c>
      <c r="S151" s="19">
        <f t="shared" si="5"/>
        <v>0</v>
      </c>
    </row>
    <row r="152" spans="1:19" x14ac:dyDescent="0.25">
      <c r="A152" s="11" t="str">
        <f>'Bldgs &amp; Rooms'!$A$6</f>
        <v>Main Bldg.</v>
      </c>
      <c r="B152" s="11">
        <f>'Bldgs &amp; Rooms'!$B$6</f>
        <v>0</v>
      </c>
      <c r="C152" s="10" t="str">
        <f>Hours!$A$4</f>
        <v xml:space="preserve">  SwitchGear Drawout Breakers</v>
      </c>
      <c r="D152" s="11">
        <f t="shared" si="4"/>
        <v>0</v>
      </c>
      <c r="E152" s="16">
        <f>IF('Components Yr 1'!E152=0,0,'Components Yr 1'!E152)</f>
        <v>0</v>
      </c>
      <c r="F152" s="17">
        <f>IF('Components Yr 1'!F152=0,0,'Components Yr 1'!F152)</f>
        <v>0</v>
      </c>
      <c r="G152" s="17">
        <f>IF('Components Yr 1'!G152=0,0,'Components Yr 1'!G152)</f>
        <v>0</v>
      </c>
      <c r="H152" s="17">
        <f>IF('Components Yr 1'!H152=0,0,'Components Yr 1'!H152)</f>
        <v>0</v>
      </c>
      <c r="I152" s="17">
        <f>IF('Components Yr 1'!I152=0,0,'Components Yr 1'!I152)</f>
        <v>0</v>
      </c>
      <c r="J152" s="17">
        <f>IF('Components Yr 1'!J152=0,0,'Components Yr 1'!J152)</f>
        <v>0</v>
      </c>
      <c r="K152" s="12"/>
      <c r="L152" s="17">
        <f>IF('Components Yr 1'!L152=0,0,'Components Yr 1'!L152)</f>
        <v>0</v>
      </c>
      <c r="M152" s="12"/>
      <c r="N152" s="12"/>
      <c r="O152" s="12"/>
      <c r="P152" s="12"/>
      <c r="Q152" s="17"/>
      <c r="R152" s="18">
        <f>IF(SUMPRODUCT((E152:Q152)*1)=0,0,E152*INDEX(Hours!M:M,MATCH(C152,Hours!$A:$A,0))+F152*INDEX(Hours!B:B,MATCH(C152,Hours!$A:$A,0))+G152*INDEX(Hours!C:C,MATCH(C152,Hours!$A:$A,0))+H152*INDEX(Hours!D:D,MATCH(C152,Hours!$A:$A,0))+I152*INDEX(Hours!E:E,MATCH(C152,Hours!$A:$A,0))+J152*INDEX(Hours!F:F,MATCH(C152,Hours!$A:$A,0))+L152*INDEX(Hours!H:H,MATCH(C152,Hours!$A:$A,0)))</f>
        <v>0</v>
      </c>
      <c r="S152" s="19">
        <f t="shared" si="5"/>
        <v>0</v>
      </c>
    </row>
    <row r="153" spans="1:19" x14ac:dyDescent="0.25">
      <c r="A153" s="11" t="str">
        <f>'Bldgs &amp; Rooms'!$A$6</f>
        <v>Main Bldg.</v>
      </c>
      <c r="B153" s="11">
        <f>'Bldgs &amp; Rooms'!$B$6</f>
        <v>0</v>
      </c>
      <c r="C153" s="10" t="str">
        <f>Hours!$A$5</f>
        <v>Distribution Switchboard Multi Cover (Per Section)</v>
      </c>
      <c r="D153" s="11">
        <f t="shared" si="4"/>
        <v>0</v>
      </c>
      <c r="E153" s="16">
        <f>IF('Components Yr 1'!E153=0,0,'Components Yr 1'!E153)</f>
        <v>0</v>
      </c>
      <c r="F153" s="17">
        <f>IF('Components Yr 1'!F153=0,0,'Components Yr 1'!F153)</f>
        <v>0</v>
      </c>
      <c r="G153" s="17">
        <f>IF('Components Yr 1'!G153=0,0,'Components Yr 1'!G153)</f>
        <v>0</v>
      </c>
      <c r="H153" s="17">
        <f>IF('Components Yr 1'!H153=0,0,'Components Yr 1'!H153)</f>
        <v>0</v>
      </c>
      <c r="I153" s="17">
        <f>IF('Components Yr 1'!I153=0,0,'Components Yr 1'!I153)</f>
        <v>0</v>
      </c>
      <c r="J153" s="17">
        <f>IF('Components Yr 1'!J153=0,0,'Components Yr 1'!J153)</f>
        <v>0</v>
      </c>
      <c r="K153" s="17">
        <f>IF('Components Yr 1'!K153=0,0,'Components Yr 1'!K153)</f>
        <v>0</v>
      </c>
      <c r="L153" s="12"/>
      <c r="M153" s="12"/>
      <c r="N153" s="12"/>
      <c r="O153" s="17">
        <f>IF('Components Yr 1'!O153=0,0,'Components Yr 1'!O153)</f>
        <v>0</v>
      </c>
      <c r="P153" s="12"/>
      <c r="Q153" s="17"/>
      <c r="R153" s="18">
        <f>IF(SUMPRODUCT((E153:Q153)*1)=0,0,E153*INDEX(Hours!M:M,MATCH(C153,Hours!$A:$A,0))+F153*INDEX(Hours!B:B,MATCH(C153,Hours!$A:$A,0))+G153*INDEX(Hours!C:C,MATCH(C153,Hours!$A:$A,0))+H153*INDEX(Hours!D:D,MATCH(C153,Hours!$A:$A,0))+I153*INDEX(Hours!E:E,MATCH(C153,Hours!$A:$A,0))+J153*INDEX(Hours!F:F,MATCH(C153,Hours!$A:$A,0))+K153*INDEX(Hours!G:G,MATCH(C153,Hours!$A:$A,0))+O153*INDEX(Hours!K:K,MATCH(C153,Hours!$A:$A,0)))</f>
        <v>0</v>
      </c>
      <c r="S153" s="19">
        <f t="shared" si="5"/>
        <v>0</v>
      </c>
    </row>
    <row r="154" spans="1:19" x14ac:dyDescent="0.25">
      <c r="A154" s="11" t="str">
        <f>'Bldgs &amp; Rooms'!$A$6</f>
        <v>Main Bldg.</v>
      </c>
      <c r="B154" s="11">
        <f>'Bldgs &amp; Rooms'!$B$6</f>
        <v>0</v>
      </c>
      <c r="C154" s="10" t="str">
        <f>Hours!$A$6</f>
        <v xml:space="preserve">  Switchboard Disconnects</v>
      </c>
      <c r="D154" s="11">
        <f t="shared" si="4"/>
        <v>0</v>
      </c>
      <c r="E154" s="16">
        <f>IF('Components Yr 1'!E154=0,0,'Components Yr 1'!E154)</f>
        <v>0</v>
      </c>
      <c r="F154" s="17">
        <f>IF('Components Yr 1'!F154=0,0,'Components Yr 1'!F154)</f>
        <v>0</v>
      </c>
      <c r="G154" s="17">
        <f>IF('Components Yr 1'!G154=0,0,'Components Yr 1'!G154)</f>
        <v>0</v>
      </c>
      <c r="H154" s="17">
        <f>IF('Components Yr 1'!H154=0,0,'Components Yr 1'!H154)</f>
        <v>0</v>
      </c>
      <c r="I154" s="17">
        <f>IF('Components Yr 1'!I154=0,0,'Components Yr 1'!I154)</f>
        <v>0</v>
      </c>
      <c r="J154" s="17">
        <f>IF('Components Yr 1'!J154=0,0,'Components Yr 1'!J154)</f>
        <v>0</v>
      </c>
      <c r="K154" s="12"/>
      <c r="L154" s="12"/>
      <c r="M154" s="12"/>
      <c r="N154" s="12"/>
      <c r="O154" s="12"/>
      <c r="P154" s="12"/>
      <c r="Q154" s="17"/>
      <c r="R154" s="18">
        <f>IF(SUMPRODUCT((E154:Q154)*1)=0,0,E154*INDEX(Hours!M:M,MATCH(C154,Hours!$A:$A,0))+F154*INDEX(Hours!B:B,MATCH(C154,Hours!$A:$A,0))+G154*INDEX(Hours!C:C,MATCH(C154,Hours!$A:$A,0))+H154*INDEX(Hours!D:D,MATCH(C154,Hours!$A:$A,0))+I154*INDEX(Hours!E:E,MATCH(C154,Hours!$A:$A,0))+J154*INDEX(Hours!F:F,MATCH(C154,Hours!$A:$A,0)))</f>
        <v>0</v>
      </c>
      <c r="S154" s="19">
        <f t="shared" si="5"/>
        <v>0</v>
      </c>
    </row>
    <row r="155" spans="1:19" x14ac:dyDescent="0.25">
      <c r="A155" s="11" t="str">
        <f>'Bldgs &amp; Rooms'!$A$6</f>
        <v>Main Bldg.</v>
      </c>
      <c r="B155" s="11">
        <f>'Bldgs &amp; Rooms'!$B$6</f>
        <v>0</v>
      </c>
      <c r="C155" s="10" t="str">
        <f>Hours!$A$7</f>
        <v xml:space="preserve">  Switchboard Molded Case Breakers</v>
      </c>
      <c r="D155" s="11">
        <f t="shared" si="4"/>
        <v>0</v>
      </c>
      <c r="E155" s="16">
        <f>IF('Components Yr 1'!E155=0,0,'Components Yr 1'!E155)</f>
        <v>0</v>
      </c>
      <c r="F155" s="17">
        <f>IF('Components Yr 1'!F155=0,0,'Components Yr 1'!F155)</f>
        <v>0</v>
      </c>
      <c r="G155" s="17">
        <f>IF('Components Yr 1'!G155=0,0,'Components Yr 1'!G155)</f>
        <v>0</v>
      </c>
      <c r="H155" s="17">
        <f>IF('Components Yr 1'!H155=0,0,'Components Yr 1'!H155)</f>
        <v>0</v>
      </c>
      <c r="I155" s="17">
        <f>IF('Components Yr 1'!I155=0,0,'Components Yr 1'!I155)</f>
        <v>0</v>
      </c>
      <c r="J155" s="17">
        <f>IF('Components Yr 1'!J155=0,0,'Components Yr 1'!J155)</f>
        <v>0</v>
      </c>
      <c r="K155" s="17">
        <f>IF('Components Yr 1'!K155=0,0,'Components Yr 1'!K155)</f>
        <v>0</v>
      </c>
      <c r="L155" s="12"/>
      <c r="M155" s="12"/>
      <c r="N155" s="12"/>
      <c r="O155" s="12"/>
      <c r="P155" s="12"/>
      <c r="Q155" s="17"/>
      <c r="R155" s="18">
        <f>IF(SUMPRODUCT((E155:Q155)*1)=0,0,E155*INDEX(Hours!M:M,MATCH(C155,Hours!$A:$A,0))+F155*INDEX(Hours!B:B,MATCH(C155,Hours!$A:$A,0))+G155*INDEX(Hours!C:C,MATCH(C155,Hours!$A:$A,0))+H155*INDEX(Hours!D:D,MATCH(C155,Hours!$A:$A,0))+I155*INDEX(Hours!E:E,MATCH(C155,Hours!$A:$A,0))+J155*INDEX(Hours!F:F,MATCH(C155,Hours!$A:$A,0))+K155*INDEX(Hours!G:G,MATCH(C155,Hours!$A:$A,0)))</f>
        <v>0</v>
      </c>
      <c r="S155" s="19">
        <f t="shared" si="5"/>
        <v>0</v>
      </c>
    </row>
    <row r="156" spans="1:19" x14ac:dyDescent="0.25">
      <c r="A156" s="11" t="str">
        <f>'Bldgs &amp; Rooms'!$A$6</f>
        <v>Main Bldg.</v>
      </c>
      <c r="B156" s="11">
        <f>'Bldgs &amp; Rooms'!$B$6</f>
        <v>0</v>
      </c>
      <c r="C156" s="10" t="str">
        <f>Hours!$A$8</f>
        <v>Panelboard-Single Cover &gt; 400A (Distribution Panel)</v>
      </c>
      <c r="D156" s="11">
        <f t="shared" si="4"/>
        <v>0</v>
      </c>
      <c r="E156" s="16">
        <f>IF('Components Yr 1'!E156=0,0,'Components Yr 1'!E156)</f>
        <v>0</v>
      </c>
      <c r="F156" s="17">
        <f>IF('Components Yr 1'!F156=0,0,'Components Yr 1'!F156)</f>
        <v>0</v>
      </c>
      <c r="G156" s="17">
        <f>IF('Components Yr 1'!G156=0,0,'Components Yr 1'!G156)</f>
        <v>0</v>
      </c>
      <c r="H156" s="17">
        <f>IF('Components Yr 1'!H156=0,0,'Components Yr 1'!H156)</f>
        <v>0</v>
      </c>
      <c r="I156" s="17">
        <f>IF('Components Yr 1'!I156=0,0,'Components Yr 1'!I156)</f>
        <v>0</v>
      </c>
      <c r="J156" s="17">
        <f>IF('Components Yr 1'!J156=0,0,'Components Yr 1'!J156)</f>
        <v>0</v>
      </c>
      <c r="K156" s="17">
        <f>IF('Components Yr 1'!K156=0,0,'Components Yr 1'!K156)</f>
        <v>0</v>
      </c>
      <c r="L156" s="12"/>
      <c r="M156" s="12"/>
      <c r="N156" s="12"/>
      <c r="O156" s="17">
        <f>IF('Components Yr 1'!O156=0,0,'Components Yr 1'!O156)</f>
        <v>0</v>
      </c>
      <c r="P156" s="12"/>
      <c r="Q156" s="17"/>
      <c r="R156" s="18">
        <f>IF(SUMPRODUCT((E156:Q156)*1)=0,0,E156*INDEX(Hours!M:M,MATCH(C156,Hours!$A:$A,0))+F156*INDEX(Hours!B:B,MATCH(C156,Hours!$A:$A,0))+G156*INDEX(Hours!C:C,MATCH(C156,Hours!$A:$A,0))+H156*INDEX(Hours!D:D,MATCH(C156,Hours!$A:$A,0))+I156*INDEX(Hours!E:E,MATCH(C156,Hours!$A:$A,0))+J156*INDEX(Hours!F:F,MATCH(C156,Hours!$A:$A,0))+K156*INDEX(Hours!G:G,MATCH(C156,Hours!$A:$A,0))+O156*INDEX(Hours!K:K,MATCH(C156,Hours!$A:$A,0)))</f>
        <v>0</v>
      </c>
      <c r="S156" s="19">
        <f t="shared" si="5"/>
        <v>0</v>
      </c>
    </row>
    <row r="157" spans="1:19" x14ac:dyDescent="0.25">
      <c r="A157" s="11" t="str">
        <f>'Bldgs &amp; Rooms'!$A$6</f>
        <v>Main Bldg.</v>
      </c>
      <c r="B157" s="11">
        <f>'Bldgs &amp; Rooms'!$B$6</f>
        <v>0</v>
      </c>
      <c r="C157" s="10" t="str">
        <f>Hours!$A$9</f>
        <v>Panelboard-Single Cover &lt; 400A (Branch Ckt Panel)</v>
      </c>
      <c r="D157" s="11">
        <f t="shared" si="4"/>
        <v>0</v>
      </c>
      <c r="E157" s="16">
        <f>IF('Components Yr 1'!E157=0,0,'Components Yr 1'!E157)</f>
        <v>0</v>
      </c>
      <c r="F157" s="17">
        <f>IF('Components Yr 1'!F157=0,0,'Components Yr 1'!F157)</f>
        <v>0</v>
      </c>
      <c r="G157" s="17">
        <f>IF('Components Yr 1'!G157=0,0,'Components Yr 1'!G157)</f>
        <v>0</v>
      </c>
      <c r="H157" s="17">
        <f>IF('Components Yr 1'!H157=0,0,'Components Yr 1'!H157)</f>
        <v>0</v>
      </c>
      <c r="I157" s="17">
        <f>IF('Components Yr 1'!I157=0,0,'Components Yr 1'!I157)</f>
        <v>0</v>
      </c>
      <c r="J157" s="17">
        <f>IF('Components Yr 1'!J157=0,0,'Components Yr 1'!J157)</f>
        <v>0</v>
      </c>
      <c r="K157" s="12"/>
      <c r="L157" s="12"/>
      <c r="M157" s="12"/>
      <c r="N157" s="12"/>
      <c r="O157" s="17">
        <f>IF('Components Yr 1'!O157=0,0,'Components Yr 1'!O157)</f>
        <v>0</v>
      </c>
      <c r="P157" s="12"/>
      <c r="Q157" s="17"/>
      <c r="R157" s="18">
        <f>IF(SUMPRODUCT((E157:Q157)*1)=0,0,E157*INDEX(Hours!M:M,MATCH(C157,Hours!$A:$A,0))+F157*INDEX(Hours!B:B,MATCH(C157,Hours!$A:$A,0))+G157*INDEX(Hours!C:C,MATCH(C157,Hours!$A:$A,0))+H157*INDEX(Hours!D:D,MATCH(C157,Hours!$A:$A,0))+I157*INDEX(Hours!E:E,MATCH(C157,Hours!$A:$A,0))+J157*INDEX(Hours!F:F,MATCH(C157,Hours!$A:$A,0))+O157*INDEX(Hours!K:K,MATCH(C157,Hours!$A:$A,0)))</f>
        <v>0</v>
      </c>
      <c r="S157" s="19">
        <f t="shared" si="5"/>
        <v>0</v>
      </c>
    </row>
    <row r="158" spans="1:19" x14ac:dyDescent="0.25">
      <c r="A158" s="11" t="str">
        <f>'Bldgs &amp; Rooms'!$A$6</f>
        <v>Main Bldg.</v>
      </c>
      <c r="B158" s="11">
        <f>'Bldgs &amp; Rooms'!$B$6</f>
        <v>0</v>
      </c>
      <c r="C158" s="10" t="str">
        <f>Hours!$A$10</f>
        <v>Motor Control Center (MCC-Per Vertical Section)</v>
      </c>
      <c r="D158" s="11">
        <f t="shared" si="4"/>
        <v>0</v>
      </c>
      <c r="E158" s="16">
        <f>IF('Components Yr 1'!E158=0,0,'Components Yr 1'!E158)</f>
        <v>0</v>
      </c>
      <c r="F158" s="17">
        <f>IF('Components Yr 1'!F158=0,0,'Components Yr 1'!F158)</f>
        <v>0</v>
      </c>
      <c r="G158" s="17">
        <f>IF('Components Yr 1'!G158=0,0,'Components Yr 1'!G158)</f>
        <v>0</v>
      </c>
      <c r="H158" s="17">
        <f>IF('Components Yr 1'!H158=0,0,'Components Yr 1'!H158)</f>
        <v>0</v>
      </c>
      <c r="I158" s="17">
        <f>IF('Components Yr 1'!I158=0,0,'Components Yr 1'!I158)</f>
        <v>0</v>
      </c>
      <c r="J158" s="17">
        <f>IF('Components Yr 1'!J158=0,0,'Components Yr 1'!J158)</f>
        <v>0</v>
      </c>
      <c r="K158" s="12"/>
      <c r="L158" s="12"/>
      <c r="M158" s="12"/>
      <c r="N158" s="12"/>
      <c r="O158" s="17">
        <f>IF('Components Yr 1'!O158=0,0,'Components Yr 1'!O158)</f>
        <v>0</v>
      </c>
      <c r="P158" s="12"/>
      <c r="Q158" s="17"/>
      <c r="R158" s="18">
        <f>IF(SUMPRODUCT((E158:Q158)*1)=0,0,E158*INDEX(Hours!M:M,MATCH(C158,Hours!$A:$A,0))+F158*INDEX(Hours!B:B,MATCH(C158,Hours!$A:$A,0))+G158*INDEX(Hours!C:C,MATCH(C158,Hours!$A:$A,0))+H158*INDEX(Hours!D:D,MATCH(C158,Hours!$A:$A,0))+I158*INDEX(Hours!E:E,MATCH(C158,Hours!$A:$A,0))+J158*INDEX(Hours!F:F,MATCH(C158,Hours!$A:$A,0))+O158*INDEX(Hours!K:K,MATCH(C158,Hours!$A:$A,0)))</f>
        <v>0</v>
      </c>
      <c r="S158" s="19">
        <f t="shared" si="5"/>
        <v>0</v>
      </c>
    </row>
    <row r="159" spans="1:19" x14ac:dyDescent="0.25">
      <c r="A159" s="11" t="str">
        <f>'Bldgs &amp; Rooms'!$A$6</f>
        <v>Main Bldg.</v>
      </c>
      <c r="B159" s="11">
        <f>'Bldgs &amp; Rooms'!$B$6</f>
        <v>0</v>
      </c>
      <c r="C159" s="10" t="str">
        <f>Hours!$A$11</f>
        <v xml:space="preserve">  MCC: Combination Motor Starters</v>
      </c>
      <c r="D159" s="11">
        <f t="shared" si="4"/>
        <v>0</v>
      </c>
      <c r="E159" s="16">
        <f>IF('Components Yr 1'!E159=0,0,'Components Yr 1'!E159)</f>
        <v>0</v>
      </c>
      <c r="F159" s="17">
        <f>IF('Components Yr 1'!F159=0,0,'Components Yr 1'!F159)</f>
        <v>0</v>
      </c>
      <c r="G159" s="17">
        <f>IF('Components Yr 1'!G159=0,0,'Components Yr 1'!G159)</f>
        <v>0</v>
      </c>
      <c r="H159" s="17">
        <f>IF('Components Yr 1'!H159=0,0,'Components Yr 1'!H159)</f>
        <v>0</v>
      </c>
      <c r="I159" s="17">
        <f>IF('Components Yr 1'!I159=0,0,'Components Yr 1'!I159)</f>
        <v>0</v>
      </c>
      <c r="J159" s="17">
        <f>IF('Components Yr 1'!J159=0,0,'Components Yr 1'!J159)</f>
        <v>0</v>
      </c>
      <c r="K159" s="17">
        <f>IF('Components Yr 1'!K159=0,0,'Components Yr 1'!K159)</f>
        <v>0</v>
      </c>
      <c r="L159" s="12"/>
      <c r="M159" s="12"/>
      <c r="N159" s="12"/>
      <c r="O159" s="17">
        <f>IF('Components Yr 1'!O159=0,0,'Components Yr 1'!O159)</f>
        <v>0</v>
      </c>
      <c r="P159" s="12"/>
      <c r="Q159" s="17"/>
      <c r="R159" s="18">
        <f>IF(SUMPRODUCT((E159:Q159)*1)=0,0,E159*INDEX(Hours!M:M,MATCH(C159,Hours!$A:$A,0))+F159*INDEX(Hours!B:B,MATCH(C159,Hours!$A:$A,0))+G159*INDEX(Hours!C:C,MATCH(C159,Hours!$A:$A,0))+H159*INDEX(Hours!D:D,MATCH(C159,Hours!$A:$A,0))+I159*INDEX(Hours!E:E,MATCH(C159,Hours!$A:$A,0))+J159*INDEX(Hours!F:F,MATCH(C159,Hours!$A:$A,0))+K159*INDEX(Hours!G:G,MATCH(C159,Hours!$A:$A,0))+O159*INDEX(Hours!K:K,MATCH(C159,Hours!$A:$A,0)))</f>
        <v>0</v>
      </c>
      <c r="S159" s="19">
        <f t="shared" si="5"/>
        <v>0</v>
      </c>
    </row>
    <row r="160" spans="1:19" x14ac:dyDescent="0.25">
      <c r="A160" s="11" t="str">
        <f>'Bldgs &amp; Rooms'!$A$6</f>
        <v>Main Bldg.</v>
      </c>
      <c r="B160" s="11">
        <f>'Bldgs &amp; Rooms'!$B$6</f>
        <v>0</v>
      </c>
      <c r="C160" s="10" t="str">
        <f>Hours!$A$12</f>
        <v xml:space="preserve">  MCC: Molded Case Breaker</v>
      </c>
      <c r="D160" s="11">
        <f t="shared" si="4"/>
        <v>0</v>
      </c>
      <c r="E160" s="16">
        <f>IF('Components Yr 1'!E160=0,0,'Components Yr 1'!E160)</f>
        <v>0</v>
      </c>
      <c r="F160" s="17">
        <f>IF('Components Yr 1'!F160=0,0,'Components Yr 1'!F160)</f>
        <v>0</v>
      </c>
      <c r="G160" s="17">
        <f>IF('Components Yr 1'!G160=0,0,'Components Yr 1'!G160)</f>
        <v>0</v>
      </c>
      <c r="H160" s="17">
        <f>IF('Components Yr 1'!H160=0,0,'Components Yr 1'!H160)</f>
        <v>0</v>
      </c>
      <c r="I160" s="17">
        <f>IF('Components Yr 1'!I160=0,0,'Components Yr 1'!I160)</f>
        <v>0</v>
      </c>
      <c r="J160" s="17">
        <f>IF('Components Yr 1'!J160=0,0,'Components Yr 1'!J160)</f>
        <v>0</v>
      </c>
      <c r="K160" s="17">
        <f>IF('Components Yr 1'!K160=0,0,'Components Yr 1'!K160)</f>
        <v>0</v>
      </c>
      <c r="L160" s="12"/>
      <c r="M160" s="12"/>
      <c r="N160" s="12"/>
      <c r="O160" s="12"/>
      <c r="P160" s="12"/>
      <c r="Q160" s="17"/>
      <c r="R160" s="18">
        <f>IF(SUMPRODUCT((E160:Q160)*1)=0,0,E160*INDEX(Hours!M:M,MATCH(C160,Hours!$A:$A,0))+F160*INDEX(Hours!B:B,MATCH(C160,Hours!$A:$A,0))+G160*INDEX(Hours!C:C,MATCH(C160,Hours!$A:$A,0))+H160*INDEX(Hours!D:D,MATCH(C160,Hours!$A:$A,0))+I160*INDEX(Hours!E:E,MATCH(C160,Hours!$A:$A,0))+J160*INDEX(Hours!F:F,MATCH(C160,Hours!$A:$A,0))+K160*INDEX(Hours!G:G,MATCH(C160,Hours!$A:$A,0)))</f>
        <v>0</v>
      </c>
      <c r="S160" s="19">
        <f t="shared" si="5"/>
        <v>0</v>
      </c>
    </row>
    <row r="161" spans="1:19" x14ac:dyDescent="0.25">
      <c r="A161" s="11" t="str">
        <f>'Bldgs &amp; Rooms'!$A$6</f>
        <v>Main Bldg.</v>
      </c>
      <c r="B161" s="11">
        <f>'Bldgs &amp; Rooms'!$B$6</f>
        <v>0</v>
      </c>
      <c r="C161" s="10" t="str">
        <f>Hours!$A$13</f>
        <v xml:space="preserve">  MCC: Individual Disconnect Switch</v>
      </c>
      <c r="D161" s="11">
        <f t="shared" si="4"/>
        <v>0</v>
      </c>
      <c r="E161" s="16">
        <f>IF('Components Yr 1'!E161=0,0,'Components Yr 1'!E161)</f>
        <v>0</v>
      </c>
      <c r="F161" s="17">
        <f>IF('Components Yr 1'!F161=0,0,'Components Yr 1'!F161)</f>
        <v>0</v>
      </c>
      <c r="G161" s="17">
        <f>IF('Components Yr 1'!G161=0,0,'Components Yr 1'!G161)</f>
        <v>0</v>
      </c>
      <c r="H161" s="17">
        <f>IF('Components Yr 1'!H161=0,0,'Components Yr 1'!H161)</f>
        <v>0</v>
      </c>
      <c r="I161" s="17">
        <f>IF('Components Yr 1'!I161=0,0,'Components Yr 1'!I161)</f>
        <v>0</v>
      </c>
      <c r="J161" s="17">
        <f>IF('Components Yr 1'!J161=0,0,'Components Yr 1'!J161)</f>
        <v>0</v>
      </c>
      <c r="K161" s="12"/>
      <c r="L161" s="12"/>
      <c r="M161" s="12"/>
      <c r="N161" s="12"/>
      <c r="O161" s="12"/>
      <c r="P161" s="12"/>
      <c r="Q161" s="17"/>
      <c r="R161" s="18">
        <f>IF(SUMPRODUCT((E161:Q161)*1)=0,0,E161*INDEX(Hours!M:M,MATCH(C161,Hours!$A:$A,0))+F161*INDEX(Hours!B:B,MATCH(C161,Hours!$A:$A,0))+G161*INDEX(Hours!C:C,MATCH(C161,Hours!$A:$A,0))+H161*INDEX(Hours!D:D,MATCH(C161,Hours!$A:$A,0))+I161*INDEX(Hours!E:E,MATCH(C161,Hours!$A:$A,0))+J161*INDEX(Hours!F:F,MATCH(C161,Hours!$A:$A,0)))</f>
        <v>0</v>
      </c>
      <c r="S161" s="19">
        <f t="shared" si="5"/>
        <v>0</v>
      </c>
    </row>
    <row r="162" spans="1:19" x14ac:dyDescent="0.25">
      <c r="A162" s="11" t="str">
        <f>'Bldgs &amp; Rooms'!$A$6</f>
        <v>Main Bldg.</v>
      </c>
      <c r="B162" s="11">
        <f>'Bldgs &amp; Rooms'!$B$6</f>
        <v>0</v>
      </c>
      <c r="C162" s="10" t="str">
        <f>Hours!$A$14</f>
        <v>Motor Control Panel (MCP)</v>
      </c>
      <c r="D162" s="11">
        <f t="shared" si="4"/>
        <v>0</v>
      </c>
      <c r="E162" s="16">
        <f>IF('Components Yr 1'!E162=0,0,'Components Yr 1'!E162)</f>
        <v>0</v>
      </c>
      <c r="F162" s="17">
        <f>IF('Components Yr 1'!F162=0,0,'Components Yr 1'!F162)</f>
        <v>0</v>
      </c>
      <c r="G162" s="17">
        <f>IF('Components Yr 1'!G162=0,0,'Components Yr 1'!G162)</f>
        <v>0</v>
      </c>
      <c r="H162" s="17">
        <f>IF('Components Yr 1'!H162=0,0,'Components Yr 1'!H162)</f>
        <v>0</v>
      </c>
      <c r="I162" s="17">
        <f>IF('Components Yr 1'!I162=0,0,'Components Yr 1'!I162)</f>
        <v>0</v>
      </c>
      <c r="J162" s="17">
        <f>IF('Components Yr 1'!J162=0,0,'Components Yr 1'!J162)</f>
        <v>0</v>
      </c>
      <c r="K162" s="12"/>
      <c r="L162" s="12"/>
      <c r="M162" s="12"/>
      <c r="N162" s="12"/>
      <c r="O162" s="17">
        <f>IF('Components Yr 1'!O162=0,0,'Components Yr 1'!O162)</f>
        <v>0</v>
      </c>
      <c r="P162" s="12"/>
      <c r="Q162" s="17"/>
      <c r="R162" s="18">
        <f>IF(SUMPRODUCT((E162:Q162)*1)=0,0,E162*INDEX(Hours!M:M,MATCH(C162,Hours!$A:$A,0))+F162*INDEX(Hours!B:B,MATCH(C162,Hours!$A:$A,0))+G162*INDEX(Hours!C:C,MATCH(C162,Hours!$A:$A,0))+H162*INDEX(Hours!D:D,MATCH(C162,Hours!$A:$A,0))+I162*INDEX(Hours!E:E,MATCH(C162,Hours!$A:$A,0))+J162*INDEX(Hours!F:F,MATCH(C162,Hours!$A:$A,0))+O162*INDEX(Hours!K:K,MATCH(C162,Hours!$A:$A,0)))</f>
        <v>0</v>
      </c>
      <c r="S162" s="19">
        <f t="shared" si="5"/>
        <v>0</v>
      </c>
    </row>
    <row r="163" spans="1:19" x14ac:dyDescent="0.25">
      <c r="A163" s="11" t="str">
        <f>'Bldgs &amp; Rooms'!$A$6</f>
        <v>Main Bldg.</v>
      </c>
      <c r="B163" s="11">
        <f>'Bldgs &amp; Rooms'!$B$6</f>
        <v>0</v>
      </c>
      <c r="C163" s="10" t="str">
        <f>Hours!$A$15</f>
        <v>VFD Motor Control Panel (VFD-MCP)</v>
      </c>
      <c r="D163" s="11">
        <f t="shared" si="4"/>
        <v>0</v>
      </c>
      <c r="E163" s="16">
        <f>IF('Components Yr 1'!E163=0,0,'Components Yr 1'!E163)</f>
        <v>0</v>
      </c>
      <c r="F163" s="17">
        <f>IF('Components Yr 1'!F163=0,0,'Components Yr 1'!F163)</f>
        <v>0</v>
      </c>
      <c r="G163" s="17">
        <f>IF('Components Yr 1'!G163=0,0,'Components Yr 1'!G163)</f>
        <v>0</v>
      </c>
      <c r="H163" s="17">
        <f>IF('Components Yr 1'!H163=0,0,'Components Yr 1'!H163)</f>
        <v>0</v>
      </c>
      <c r="I163" s="17">
        <f>IF('Components Yr 1'!I163=0,0,'Components Yr 1'!I163)</f>
        <v>0</v>
      </c>
      <c r="J163" s="17">
        <f>IF('Components Yr 1'!J163=0,0,'Components Yr 1'!J163)</f>
        <v>0</v>
      </c>
      <c r="K163" s="12"/>
      <c r="L163" s="12"/>
      <c r="M163" s="12"/>
      <c r="N163" s="12"/>
      <c r="O163" s="17">
        <f>IF('Components Yr 1'!O163=0,0,'Components Yr 1'!O163)</f>
        <v>0</v>
      </c>
      <c r="P163" s="12"/>
      <c r="Q163" s="17"/>
      <c r="R163" s="18">
        <f>IF(SUMPRODUCT((E163:Q163)*1)=0,0,E163*INDEX(Hours!M:M,MATCH(C163,Hours!$A:$A,0))+F163*INDEX(Hours!B:B,MATCH(C163,Hours!$A:$A,0))+G163*INDEX(Hours!C:C,MATCH(C163,Hours!$A:$A,0))+H163*INDEX(Hours!D:D,MATCH(C163,Hours!$A:$A,0))+I163*INDEX(Hours!E:E,MATCH(C163,Hours!$A:$A,0))+J163*INDEX(Hours!F:F,MATCH(C163,Hours!$A:$A,0))+O163*INDEX(Hours!K:K,MATCH(C163,Hours!$A:$A,0)))</f>
        <v>0</v>
      </c>
      <c r="S163" s="19">
        <f t="shared" si="5"/>
        <v>0</v>
      </c>
    </row>
    <row r="164" spans="1:19" x14ac:dyDescent="0.25">
      <c r="A164" s="11" t="str">
        <f>'Bldgs &amp; Rooms'!$A$6</f>
        <v>Main Bldg.</v>
      </c>
      <c r="B164" s="11">
        <f>'Bldgs &amp; Rooms'!$B$6</f>
        <v>0</v>
      </c>
      <c r="C164" s="10" t="str">
        <f>Hours!$A$16</f>
        <v>Individual Disconnect Switch &gt; 100A</v>
      </c>
      <c r="D164" s="11">
        <f t="shared" si="4"/>
        <v>0</v>
      </c>
      <c r="E164" s="16">
        <f>IF('Components Yr 1'!E164=0,0,'Components Yr 1'!E164)</f>
        <v>0</v>
      </c>
      <c r="F164" s="17">
        <f>IF('Components Yr 1'!F164=0,0,'Components Yr 1'!F164)</f>
        <v>0</v>
      </c>
      <c r="G164" s="17">
        <f>IF('Components Yr 1'!G164=0,0,'Components Yr 1'!G164)</f>
        <v>0</v>
      </c>
      <c r="H164" s="17">
        <f>IF('Components Yr 1'!H164=0,0,'Components Yr 1'!H164)</f>
        <v>0</v>
      </c>
      <c r="I164" s="17">
        <f>IF('Components Yr 1'!I164=0,0,'Components Yr 1'!I164)</f>
        <v>0</v>
      </c>
      <c r="J164" s="17">
        <f>IF('Components Yr 1'!J164=0,0,'Components Yr 1'!J164)</f>
        <v>0</v>
      </c>
      <c r="K164" s="17">
        <f>IF('Components Yr 1'!K164=0,0,'Components Yr 1'!K164)</f>
        <v>0</v>
      </c>
      <c r="L164" s="12"/>
      <c r="M164" s="12"/>
      <c r="N164" s="12"/>
      <c r="O164" s="12"/>
      <c r="P164" s="12"/>
      <c r="Q164" s="17"/>
      <c r="R164" s="18">
        <f>IF(SUMPRODUCT((E164:Q164)*1)=0,0,E164*INDEX(Hours!M:M,MATCH(C164,Hours!$A:$A,0))+F164*INDEX(Hours!B:B,MATCH(C164,Hours!$A:$A,0))+G164*INDEX(Hours!C:C,MATCH(C164,Hours!$A:$A,0))+H164*INDEX(Hours!D:D,MATCH(C164,Hours!$A:$A,0))+I164*INDEX(Hours!E:E,MATCH(C164,Hours!$A:$A,0))+J164*INDEX(Hours!F:F,MATCH(C164,Hours!$A:$A,0))+K164*INDEX(Hours!G:G,MATCH(C164,Hours!$A:$A,0)))</f>
        <v>0</v>
      </c>
      <c r="S164" s="19">
        <f t="shared" si="5"/>
        <v>0</v>
      </c>
    </row>
    <row r="165" spans="1:19" x14ac:dyDescent="0.25">
      <c r="A165" s="11" t="str">
        <f>'Bldgs &amp; Rooms'!$A$6</f>
        <v>Main Bldg.</v>
      </c>
      <c r="B165" s="11">
        <f>'Bldgs &amp; Rooms'!$B$6</f>
        <v>0</v>
      </c>
      <c r="C165" s="10" t="str">
        <f>Hours!$A$17</f>
        <v>Individual Molded Case Breaker &gt; 100A</v>
      </c>
      <c r="D165" s="11">
        <f t="shared" si="4"/>
        <v>0</v>
      </c>
      <c r="E165" s="16">
        <f>IF('Components Yr 1'!E165=0,0,'Components Yr 1'!E165)</f>
        <v>0</v>
      </c>
      <c r="F165" s="17">
        <f>IF('Components Yr 1'!F165=0,0,'Components Yr 1'!F165)</f>
        <v>0</v>
      </c>
      <c r="G165" s="17">
        <f>IF('Components Yr 1'!G165=0,0,'Components Yr 1'!G165)</f>
        <v>0</v>
      </c>
      <c r="H165" s="17">
        <f>IF('Components Yr 1'!H165=0,0,'Components Yr 1'!H165)</f>
        <v>0</v>
      </c>
      <c r="I165" s="17">
        <f>IF('Components Yr 1'!I165=0,0,'Components Yr 1'!I165)</f>
        <v>0</v>
      </c>
      <c r="J165" s="17">
        <f>IF('Components Yr 1'!J165=0,0,'Components Yr 1'!J165)</f>
        <v>0</v>
      </c>
      <c r="K165" s="17">
        <f>IF('Components Yr 1'!K165=0,0,'Components Yr 1'!K165)</f>
        <v>0</v>
      </c>
      <c r="L165" s="12"/>
      <c r="M165" s="12"/>
      <c r="N165" s="12"/>
      <c r="O165" s="12"/>
      <c r="P165" s="12"/>
      <c r="Q165" s="17"/>
      <c r="R165" s="18">
        <f>IF(SUMPRODUCT((E165:Q165)*1)=0,0,E165*INDEX(Hours!M:M,MATCH(C165,Hours!$A:$A,0))+F165*INDEX(Hours!B:B,MATCH(C165,Hours!$A:$A,0))+G165*INDEX(Hours!C:C,MATCH(C165,Hours!$A:$A,0))+H165*INDEX(Hours!D:D,MATCH(C165,Hours!$A:$A,0))+I165*INDEX(Hours!E:E,MATCH(C165,Hours!$A:$A,0))+J165*INDEX(Hours!F:F,MATCH(C165,Hours!$A:$A,0))+K165*INDEX(Hours!G:G,MATCH(C165,Hours!$A:$A,0)))</f>
        <v>0</v>
      </c>
      <c r="S165" s="19">
        <f t="shared" si="5"/>
        <v>0</v>
      </c>
    </row>
    <row r="166" spans="1:19" x14ac:dyDescent="0.25">
      <c r="A166" s="11" t="str">
        <f>'Bldgs &amp; Rooms'!$A$6</f>
        <v>Main Bldg.</v>
      </c>
      <c r="B166" s="11">
        <f>'Bldgs &amp; Rooms'!$B$6</f>
        <v>0</v>
      </c>
      <c r="C166" s="10" t="str">
        <f>Hours!$A$18</f>
        <v>Individual Combination Motor Starter &gt; 100A</v>
      </c>
      <c r="D166" s="11">
        <f t="shared" si="4"/>
        <v>0</v>
      </c>
      <c r="E166" s="16">
        <f>IF('Components Yr 1'!E166=0,0,'Components Yr 1'!E166)</f>
        <v>0</v>
      </c>
      <c r="F166" s="17">
        <f>IF('Components Yr 1'!F166=0,0,'Components Yr 1'!F166)</f>
        <v>0</v>
      </c>
      <c r="G166" s="17">
        <f>IF('Components Yr 1'!G166=0,0,'Components Yr 1'!G166)</f>
        <v>0</v>
      </c>
      <c r="H166" s="17">
        <f>IF('Components Yr 1'!H166=0,0,'Components Yr 1'!H166)</f>
        <v>0</v>
      </c>
      <c r="I166" s="17">
        <f>IF('Components Yr 1'!I166=0,0,'Components Yr 1'!I166)</f>
        <v>0</v>
      </c>
      <c r="J166" s="17">
        <f>IF('Components Yr 1'!J166=0,0,'Components Yr 1'!J166)</f>
        <v>0</v>
      </c>
      <c r="K166" s="17">
        <f>IF('Components Yr 1'!K166=0,0,'Components Yr 1'!K166)</f>
        <v>0</v>
      </c>
      <c r="L166" s="12"/>
      <c r="M166" s="12"/>
      <c r="N166" s="12"/>
      <c r="O166" s="12"/>
      <c r="P166" s="12"/>
      <c r="Q166" s="17"/>
      <c r="R166" s="18">
        <f>IF(SUMPRODUCT((E166:Q166)*1)=0,0,E166*INDEX(Hours!M:M,MATCH(C166,Hours!$A:$A,0))+F166*INDEX(Hours!B:B,MATCH(C166,Hours!$A:$A,0))+G166*INDEX(Hours!C:C,MATCH(C166,Hours!$A:$A,0))+H166*INDEX(Hours!D:D,MATCH(C166,Hours!$A:$A,0))+I166*INDEX(Hours!E:E,MATCH(C166,Hours!$A:$A,0))+J166*INDEX(Hours!F:F,MATCH(C166,Hours!$A:$A,0))+K166*INDEX(Hours!G:G,MATCH(C166,Hours!$A:$A,0)))</f>
        <v>0</v>
      </c>
      <c r="S166" s="19">
        <f t="shared" si="5"/>
        <v>0</v>
      </c>
    </row>
    <row r="167" spans="1:19" x14ac:dyDescent="0.25">
      <c r="A167" s="11" t="str">
        <f>'Bldgs &amp; Rooms'!$A$6</f>
        <v>Main Bldg.</v>
      </c>
      <c r="B167" s="11">
        <f>'Bldgs &amp; Rooms'!$B$6</f>
        <v>0</v>
      </c>
      <c r="C167" s="10" t="str">
        <f>Hours!$A$19</f>
        <v>Oil Filled Transformer - 5kV-15kV Primary - Any Size (Pad Mounted)</v>
      </c>
      <c r="D167" s="11">
        <f t="shared" si="4"/>
        <v>0</v>
      </c>
      <c r="E167" s="16">
        <f>IF('Components Yr 1'!E167=0,0,'Components Yr 1'!E167)</f>
        <v>0</v>
      </c>
      <c r="F167" s="17">
        <f>IF('Components Yr 1'!F167=0,0,'Components Yr 1'!F167)</f>
        <v>0</v>
      </c>
      <c r="G167" s="17">
        <f>IF('Components Yr 1'!G167=0,0,'Components Yr 1'!G167)</f>
        <v>0</v>
      </c>
      <c r="H167" s="17">
        <f>IF('Components Yr 1'!H167=0,0,'Components Yr 1'!H167)</f>
        <v>0</v>
      </c>
      <c r="I167" s="17">
        <f>IF('Components Yr 1'!I167=0,0,'Components Yr 1'!I167)</f>
        <v>0</v>
      </c>
      <c r="J167" s="17">
        <f>IF('Components Yr 1'!J167=0,0,'Components Yr 1'!J167)</f>
        <v>0</v>
      </c>
      <c r="K167" s="12"/>
      <c r="L167" s="12"/>
      <c r="M167" s="17">
        <f>IF('Components Yr 1'!M167=0,0,'Components Yr 1'!M167)</f>
        <v>0</v>
      </c>
      <c r="N167" s="17">
        <f>IF('Components Yr 1'!N167=0,0,'Components Yr 1'!N167)</f>
        <v>0</v>
      </c>
      <c r="O167" s="12"/>
      <c r="P167" s="17">
        <f>IF('Components Yr 1'!P167=0,0,'Components Yr 1'!P167)</f>
        <v>0</v>
      </c>
      <c r="Q167" s="17"/>
      <c r="R167" s="18">
        <f>IF(SUMPRODUCT((E167:Q167)*1)=0,0,E167*INDEX(Hours!M:M,MATCH(C167,Hours!$A:$A,0))+F167*INDEX(Hours!B:B,MATCH(C167,Hours!$A:$A,0))+G167*INDEX(Hours!C:C,MATCH(C167,Hours!$A:$A,0))+H167*INDEX(Hours!D:D,MATCH(C167,Hours!$A:$A,0))+I167*INDEX(Hours!E:E,MATCH(C167,Hours!$A:$A,0))+J167*INDEX(Hours!F:F,MATCH(C167,Hours!$A:$A,0))+M167*INDEX(Hours!I:I,MATCH(C167,Hours!$A:$A,0))+N167*INDEX(Hours!J:J,MATCH(C167,Hours!$A:$A,0))+P167*INDEX(Hours!L:L,MATCH(C167,Hours!$A:$A,0)))</f>
        <v>0</v>
      </c>
      <c r="S167" s="19">
        <f t="shared" si="5"/>
        <v>0</v>
      </c>
    </row>
    <row r="168" spans="1:19" x14ac:dyDescent="0.25">
      <c r="A168" s="11" t="str">
        <f>'Bldgs &amp; Rooms'!$A$6</f>
        <v>Main Bldg.</v>
      </c>
      <c r="B168" s="11">
        <f>'Bldgs &amp; Rooms'!$B$6</f>
        <v>0</v>
      </c>
      <c r="C168" s="10" t="str">
        <f>Hours!$A$20</f>
        <v>Oil Filled Transformer - &gt; 15kV Primary (Substation Class)</v>
      </c>
      <c r="D168" s="11">
        <f t="shared" si="4"/>
        <v>0</v>
      </c>
      <c r="E168" s="16">
        <f>IF('Components Yr 1'!E168=0,0,'Components Yr 1'!E168)</f>
        <v>0</v>
      </c>
      <c r="F168" s="17">
        <f>IF('Components Yr 1'!F168=0,0,'Components Yr 1'!F168)</f>
        <v>0</v>
      </c>
      <c r="G168" s="17">
        <f>IF('Components Yr 1'!G168=0,0,'Components Yr 1'!G168)</f>
        <v>0</v>
      </c>
      <c r="H168" s="17">
        <f>IF('Components Yr 1'!H168=0,0,'Components Yr 1'!H168)</f>
        <v>0</v>
      </c>
      <c r="I168" s="17">
        <f>IF('Components Yr 1'!I168=0,0,'Components Yr 1'!I168)</f>
        <v>0</v>
      </c>
      <c r="J168" s="17">
        <f>IF('Components Yr 1'!J168=0,0,'Components Yr 1'!J168)</f>
        <v>0</v>
      </c>
      <c r="K168" s="12"/>
      <c r="L168" s="12"/>
      <c r="M168" s="17">
        <f>IF('Components Yr 1'!M168=0,0,'Components Yr 1'!M168)</f>
        <v>0</v>
      </c>
      <c r="N168" s="17">
        <f>IF('Components Yr 1'!N168=0,0,'Components Yr 1'!N168)</f>
        <v>0</v>
      </c>
      <c r="O168" s="12"/>
      <c r="P168" s="17">
        <f>IF('Components Yr 1'!P168=0,0,'Components Yr 1'!P168)</f>
        <v>0</v>
      </c>
      <c r="Q168" s="17"/>
      <c r="R168" s="18">
        <f>IF(SUMPRODUCT((E168:Q168)*1)=0,0,E168*INDEX(Hours!M:M,MATCH(C168,Hours!$A:$A,0))+F168*INDEX(Hours!B:B,MATCH(C168,Hours!$A:$A,0))+G168*INDEX(Hours!C:C,MATCH(C168,Hours!$A:$A,0))+H168*INDEX(Hours!D:D,MATCH(C168,Hours!$A:$A,0))+I168*INDEX(Hours!E:E,MATCH(C168,Hours!$A:$A,0))+J168*INDEX(Hours!F:F,MATCH(C168,Hours!$A:$A,0))+M168*INDEX(Hours!I:I,MATCH(C168,Hours!$A:$A,0))+N168*INDEX(Hours!J:J,MATCH(C168,Hours!$A:$A,0))+P168*INDEX(Hours!L:L,MATCH(C168,Hours!$A:$A,0)))</f>
        <v>0</v>
      </c>
      <c r="S168" s="19">
        <f t="shared" si="5"/>
        <v>0</v>
      </c>
    </row>
    <row r="169" spans="1:19" x14ac:dyDescent="0.25">
      <c r="A169" s="11" t="str">
        <f>'Bldgs &amp; Rooms'!$A$6</f>
        <v>Main Bldg.</v>
      </c>
      <c r="B169" s="11">
        <f>'Bldgs &amp; Rooms'!$B$6</f>
        <v>0</v>
      </c>
      <c r="C169" s="10" t="str">
        <f>Hours!$A$21</f>
        <v>Dry Type Transformer - &lt; 480V Primary - Any Size kVA</v>
      </c>
      <c r="D169" s="11">
        <f t="shared" si="4"/>
        <v>0</v>
      </c>
      <c r="E169" s="16">
        <f>IF('Components Yr 1'!E169=0,0,'Components Yr 1'!E169)</f>
        <v>0</v>
      </c>
      <c r="F169" s="17">
        <f>IF('Components Yr 1'!F169=0,0,'Components Yr 1'!F169)</f>
        <v>0</v>
      </c>
      <c r="G169" s="17">
        <f>IF('Components Yr 1'!G169=0,0,'Components Yr 1'!G169)</f>
        <v>0</v>
      </c>
      <c r="H169" s="17">
        <f>IF('Components Yr 1'!H169=0,0,'Components Yr 1'!H169)</f>
        <v>0</v>
      </c>
      <c r="I169" s="17">
        <f>IF('Components Yr 1'!I169=0,0,'Components Yr 1'!I169)</f>
        <v>0</v>
      </c>
      <c r="J169" s="17">
        <f>IF('Components Yr 1'!J169=0,0,'Components Yr 1'!J169)</f>
        <v>0</v>
      </c>
      <c r="K169" s="12"/>
      <c r="L169" s="12"/>
      <c r="M169" s="17">
        <f>IF('Components Yr 1'!M169=0,0,'Components Yr 1'!M169)</f>
        <v>0</v>
      </c>
      <c r="N169" s="17">
        <f>IF('Components Yr 1'!N169=0,0,'Components Yr 1'!N169)</f>
        <v>0</v>
      </c>
      <c r="O169" s="12"/>
      <c r="P169" s="12"/>
      <c r="Q169" s="17"/>
      <c r="R169" s="18">
        <f>IF(SUMPRODUCT((E169:Q169)*1)=0,0,E169*INDEX(Hours!M:M,MATCH(C169,Hours!$A:$A,0))+F169*INDEX(Hours!B:B,MATCH(C169,Hours!$A:$A,0))+G169*INDEX(Hours!C:C,MATCH(C169,Hours!$A:$A,0))+H169*INDEX(Hours!D:D,MATCH(C169,Hours!$A:$A,0))+I169*INDEX(Hours!E:E,MATCH(C169,Hours!$A:$A,0))+J169*INDEX(Hours!F:F,MATCH(C169,Hours!$A:$A,0))+M169*INDEX(Hours!I:I,MATCH(C169,Hours!$A:$A,0))+N169*INDEX(Hours!J:J,MATCH(C169,Hours!$A:$A,0)))</f>
        <v>0</v>
      </c>
      <c r="S169" s="19">
        <f t="shared" si="5"/>
        <v>0</v>
      </c>
    </row>
    <row r="170" spans="1:19" x14ac:dyDescent="0.25">
      <c r="A170" s="11" t="str">
        <f>'Bldgs &amp; Rooms'!$A$6</f>
        <v>Main Bldg.</v>
      </c>
      <c r="B170" s="11">
        <f>'Bldgs &amp; Rooms'!$B$6</f>
        <v>0</v>
      </c>
      <c r="C170" s="10" t="str">
        <f>Hours!$A$22</f>
        <v>Power Factor Correction Capacitors</v>
      </c>
      <c r="D170" s="11">
        <f t="shared" si="4"/>
        <v>0</v>
      </c>
      <c r="E170" s="16">
        <f>IF('Components Yr 1'!E170=0,0,'Components Yr 1'!E170)</f>
        <v>0</v>
      </c>
      <c r="F170" s="17">
        <f>IF('Components Yr 1'!F170=0,0,'Components Yr 1'!F170)</f>
        <v>0</v>
      </c>
      <c r="G170" s="17">
        <f>IF('Components Yr 1'!G170=0,0,'Components Yr 1'!G170)</f>
        <v>0</v>
      </c>
      <c r="H170" s="17">
        <f>IF('Components Yr 1'!H170=0,0,'Components Yr 1'!H170)</f>
        <v>0</v>
      </c>
      <c r="I170" s="17">
        <f>IF('Components Yr 1'!I170=0,0,'Components Yr 1'!I170)</f>
        <v>0</v>
      </c>
      <c r="J170" s="17">
        <f>IF('Components Yr 1'!J170=0,0,'Components Yr 1'!J170)</f>
        <v>0</v>
      </c>
      <c r="K170" s="12"/>
      <c r="L170" s="12"/>
      <c r="M170" s="12"/>
      <c r="N170" s="12"/>
      <c r="O170" s="12"/>
      <c r="P170" s="12"/>
      <c r="Q170" s="17"/>
      <c r="R170" s="18">
        <f>IF(SUMPRODUCT((E170:Q170)*1)=0,0,E170*INDEX(Hours!M:M,MATCH(C170,Hours!$A:$A,0))+F170*INDEX(Hours!B:B,MATCH(C170,Hours!$A:$A,0))+G170*INDEX(Hours!C:C,MATCH(C170,Hours!$A:$A,0))+H170*INDEX(Hours!D:D,MATCH(C170,Hours!$A:$A,0))+I170*INDEX(Hours!E:E,MATCH(C170,Hours!$A:$A,0))+J170*INDEX(Hours!F:F,MATCH(C170,Hours!$A:$A,0)))</f>
        <v>0</v>
      </c>
      <c r="S170" s="19">
        <f t="shared" si="5"/>
        <v>0</v>
      </c>
    </row>
    <row r="171" spans="1:19" x14ac:dyDescent="0.25">
      <c r="A171" s="11" t="str">
        <f>'Bldgs &amp; Rooms'!$A$6</f>
        <v>Main Bldg.</v>
      </c>
      <c r="B171" s="11">
        <f>'Bldgs &amp; Rooms'!$B$6</f>
        <v>0</v>
      </c>
      <c r="C171" s="10" t="str">
        <f>Hours!$A$23</f>
        <v>Lighting Contactor &gt; 100A</v>
      </c>
      <c r="D171" s="11">
        <f t="shared" si="4"/>
        <v>0</v>
      </c>
      <c r="E171" s="16">
        <f>IF('Components Yr 1'!E171=0,0,'Components Yr 1'!E171)</f>
        <v>0</v>
      </c>
      <c r="F171" s="17">
        <f>IF('Components Yr 1'!F171=0,0,'Components Yr 1'!F171)</f>
        <v>0</v>
      </c>
      <c r="G171" s="17">
        <f>IF('Components Yr 1'!G171=0,0,'Components Yr 1'!G171)</f>
        <v>0</v>
      </c>
      <c r="H171" s="17">
        <f>IF('Components Yr 1'!H171=0,0,'Components Yr 1'!H171)</f>
        <v>0</v>
      </c>
      <c r="I171" s="17">
        <f>IF('Components Yr 1'!I171=0,0,'Components Yr 1'!I171)</f>
        <v>0</v>
      </c>
      <c r="J171" s="17">
        <f>IF('Components Yr 1'!J171=0,0,'Components Yr 1'!J171)</f>
        <v>0</v>
      </c>
      <c r="K171" s="12"/>
      <c r="L171" s="12"/>
      <c r="M171" s="12"/>
      <c r="N171" s="12"/>
      <c r="O171" s="12"/>
      <c r="P171" s="12"/>
      <c r="Q171" s="17"/>
      <c r="R171" s="18">
        <f>IF(SUMPRODUCT((E171:Q171)*1)=0,0,E171*INDEX(Hours!M:M,MATCH(C171,Hours!$A:$A,0))+F171*INDEX(Hours!B:B,MATCH(C171,Hours!$A:$A,0))+G171*INDEX(Hours!C:C,MATCH(C171,Hours!$A:$A,0))+H171*INDEX(Hours!D:D,MATCH(C171,Hours!$A:$A,0))+I171*INDEX(Hours!E:E,MATCH(C171,Hours!$A:$A,0))+J171*INDEX(Hours!F:F,MATCH(C171,Hours!$A:$A,0)))</f>
        <v>0</v>
      </c>
      <c r="S171" s="19">
        <f t="shared" si="5"/>
        <v>0</v>
      </c>
    </row>
    <row r="172" spans="1:19" x14ac:dyDescent="0.25">
      <c r="A172" s="11" t="str">
        <f>'Bldgs &amp; Rooms'!$A$6</f>
        <v>Main Bldg.</v>
      </c>
      <c r="B172" s="11">
        <f>'Bldgs &amp; Rooms'!$B$6</f>
        <v>0</v>
      </c>
      <c r="C172" s="10" t="str">
        <f>Hours!$A$24</f>
        <v>Power Distribution Unit (PDU)</v>
      </c>
      <c r="D172" s="11">
        <f t="shared" si="4"/>
        <v>0</v>
      </c>
      <c r="E172" s="16">
        <f>IF('Components Yr 1'!E172=0,0,'Components Yr 1'!E172)</f>
        <v>0</v>
      </c>
      <c r="F172" s="17">
        <f>IF('Components Yr 1'!F172=0,0,'Components Yr 1'!F172)</f>
        <v>0</v>
      </c>
      <c r="G172" s="17">
        <f>IF('Components Yr 1'!G172=0,0,'Components Yr 1'!G172)</f>
        <v>0</v>
      </c>
      <c r="H172" s="17">
        <f>IF('Components Yr 1'!H172=0,0,'Components Yr 1'!H172)</f>
        <v>0</v>
      </c>
      <c r="I172" s="17">
        <f>IF('Components Yr 1'!I172=0,0,'Components Yr 1'!I172)</f>
        <v>0</v>
      </c>
      <c r="J172" s="17">
        <f>IF('Components Yr 1'!J172=0,0,'Components Yr 1'!J172)</f>
        <v>0</v>
      </c>
      <c r="K172" s="12"/>
      <c r="L172" s="12"/>
      <c r="M172" s="12"/>
      <c r="N172" s="12"/>
      <c r="O172" s="12"/>
      <c r="P172" s="12"/>
      <c r="Q172" s="17"/>
      <c r="R172" s="18">
        <f>IF(SUMPRODUCT((E172:Q172)*1)=0,0,E172*INDEX(Hours!M:M,MATCH(C172,Hours!$A:$A,0))+F172*INDEX(Hours!B:B,MATCH(C172,Hours!$A:$A,0))+G172*INDEX(Hours!C:C,MATCH(C172,Hours!$A:$A,0))+H172*INDEX(Hours!D:D,MATCH(C172,Hours!$A:$A,0))+I172*INDEX(Hours!E:E,MATCH(C172,Hours!$A:$A,0))+J172*INDEX(Hours!F:F,MATCH(C172,Hours!$A:$A,0)))</f>
        <v>0</v>
      </c>
      <c r="S172" s="19">
        <f t="shared" si="5"/>
        <v>0</v>
      </c>
    </row>
    <row r="173" spans="1:19" x14ac:dyDescent="0.25">
      <c r="A173" s="11" t="str">
        <f>'Bldgs &amp; Rooms'!$A$6</f>
        <v>Main Bldg.</v>
      </c>
      <c r="B173" s="11">
        <f>'Bldgs &amp; Rooms'!$B$6</f>
        <v>0</v>
      </c>
      <c r="C173" s="10" t="str">
        <f>Hours!$A$25</f>
        <v>Wire Trough, Gutter, or Large Junction Boxes</v>
      </c>
      <c r="D173" s="11">
        <f t="shared" si="4"/>
        <v>0</v>
      </c>
      <c r="E173" s="16">
        <f>IF('Components Yr 1'!E173=0,0,'Components Yr 1'!E173)</f>
        <v>0</v>
      </c>
      <c r="F173" s="17">
        <f>IF('Components Yr 1'!F173=0,0,'Components Yr 1'!F173)</f>
        <v>0</v>
      </c>
      <c r="G173" s="17">
        <f>IF('Components Yr 1'!G173=0,0,'Components Yr 1'!G173)</f>
        <v>0</v>
      </c>
      <c r="H173" s="17">
        <f>IF('Components Yr 1'!H173=0,0,'Components Yr 1'!H173)</f>
        <v>0</v>
      </c>
      <c r="I173" s="17">
        <f>IF('Components Yr 1'!I173=0,0,'Components Yr 1'!I173)</f>
        <v>0</v>
      </c>
      <c r="J173" s="17">
        <f>IF('Components Yr 1'!J173=0,0,'Components Yr 1'!J173)</f>
        <v>0</v>
      </c>
      <c r="K173" s="12"/>
      <c r="L173" s="12"/>
      <c r="M173" s="12"/>
      <c r="N173" s="12"/>
      <c r="O173" s="12"/>
      <c r="P173" s="12"/>
      <c r="Q173" s="17"/>
      <c r="R173" s="18">
        <f>IF(SUMPRODUCT((E173:Q173)*1)=0,0,E173*INDEX(Hours!M:M,MATCH(C173,Hours!$A:$A,0))+F173*INDEX(Hours!B:B,MATCH(C173,Hours!$A:$A,0))+G173*INDEX(Hours!C:C,MATCH(C173,Hours!$A:$A,0))+H173*INDEX(Hours!D:D,MATCH(C173,Hours!$A:$A,0))+I173*INDEX(Hours!E:E,MATCH(C173,Hours!$A:$A,0))+J173*INDEX(Hours!F:F,MATCH(C173,Hours!$A:$A,0)))</f>
        <v>0</v>
      </c>
      <c r="S173" s="19">
        <f t="shared" si="5"/>
        <v>0</v>
      </c>
    </row>
    <row r="174" spans="1:19" x14ac:dyDescent="0.25">
      <c r="A174" s="11" t="str">
        <f>'Bldgs &amp; Rooms'!$A$6</f>
        <v>Main Bldg.</v>
      </c>
      <c r="B174" s="11">
        <f>'Bldgs &amp; Rooms'!$B$6</f>
        <v>0</v>
      </c>
      <c r="C174" s="10" t="str">
        <f>Hours!$A$26</f>
        <v>Bus Duct - Vertical or Horizontal (Per 10' section)</v>
      </c>
      <c r="D174" s="11">
        <f t="shared" si="4"/>
        <v>0</v>
      </c>
      <c r="E174" s="16">
        <f>IF('Components Yr 1'!E174=0,0,'Components Yr 1'!E174)</f>
        <v>0</v>
      </c>
      <c r="F174" s="17">
        <f>IF('Components Yr 1'!F174=0,0,'Components Yr 1'!F174)</f>
        <v>0</v>
      </c>
      <c r="G174" s="17">
        <f>IF('Components Yr 1'!G174=0,0,'Components Yr 1'!G174)</f>
        <v>0</v>
      </c>
      <c r="H174" s="17">
        <f>IF('Components Yr 1'!H174=0,0,'Components Yr 1'!H174)</f>
        <v>0</v>
      </c>
      <c r="I174" s="17">
        <f>IF('Components Yr 1'!I174=0,0,'Components Yr 1'!I174)</f>
        <v>0</v>
      </c>
      <c r="J174" s="17">
        <f>IF('Components Yr 1'!J174=0,0,'Components Yr 1'!J174)</f>
        <v>0</v>
      </c>
      <c r="K174" s="12"/>
      <c r="L174" s="12"/>
      <c r="M174" s="12"/>
      <c r="N174" s="12"/>
      <c r="O174" s="12"/>
      <c r="P174" s="12"/>
      <c r="Q174" s="17"/>
      <c r="R174" s="18">
        <f>IF(SUMPRODUCT((E174:Q174)*1)=0,0,E174*INDEX(Hours!M:M,MATCH(C174,Hours!$A:$A,0))+F174*INDEX(Hours!B:B,MATCH(C174,Hours!$A:$A,0))+G174*INDEX(Hours!C:C,MATCH(C174,Hours!$A:$A,0))+H174*INDEX(Hours!D:D,MATCH(C174,Hours!$A:$A,0))+I174*INDEX(Hours!E:E,MATCH(C174,Hours!$A:$A,0))+J174*INDEX(Hours!F:F,MATCH(C174,Hours!$A:$A,0)))</f>
        <v>0</v>
      </c>
      <c r="S174" s="19">
        <f t="shared" si="5"/>
        <v>0</v>
      </c>
    </row>
    <row r="175" spans="1:19" x14ac:dyDescent="0.25">
      <c r="A175" s="11" t="str">
        <f>'Bldgs &amp; Rooms'!$A$6</f>
        <v>Main Bldg.</v>
      </c>
      <c r="B175" s="11">
        <f>'Bldgs &amp; Rooms'!$B$6</f>
        <v>0</v>
      </c>
      <c r="C175" s="10" t="str">
        <f>Hours!$A$27</f>
        <v>Automatic Transfer Switch (ATS) &gt; 100A</v>
      </c>
      <c r="D175" s="11">
        <f t="shared" si="4"/>
        <v>0</v>
      </c>
      <c r="E175" s="16">
        <f>IF('Components Yr 1'!E175=0,0,'Components Yr 1'!E175)</f>
        <v>0</v>
      </c>
      <c r="F175" s="17">
        <f>IF('Components Yr 1'!F175=0,0,'Components Yr 1'!F175)</f>
        <v>0</v>
      </c>
      <c r="G175" s="17">
        <f>IF('Components Yr 1'!G175=0,0,'Components Yr 1'!G175)</f>
        <v>0</v>
      </c>
      <c r="H175" s="17">
        <f>IF('Components Yr 1'!H175=0,0,'Components Yr 1'!H175)</f>
        <v>0</v>
      </c>
      <c r="I175" s="17">
        <f>IF('Components Yr 1'!I175=0,0,'Components Yr 1'!I175)</f>
        <v>0</v>
      </c>
      <c r="J175" s="17">
        <f>IF('Components Yr 1'!J175=0,0,'Components Yr 1'!J175)</f>
        <v>0</v>
      </c>
      <c r="K175" s="12"/>
      <c r="L175" s="12"/>
      <c r="M175" s="12"/>
      <c r="N175" s="12"/>
      <c r="O175" s="12"/>
      <c r="P175" s="12"/>
      <c r="Q175" s="17"/>
      <c r="R175" s="18">
        <f>IF(SUMPRODUCT((E175:Q175)*1)=0,0,E175*INDEX(Hours!M:M,MATCH(C175,Hours!$A:$A,0))+F175*INDEX(Hours!B:B,MATCH(C175,Hours!$A:$A,0))+G175*INDEX(Hours!C:C,MATCH(C175,Hours!$A:$A,0))+H175*INDEX(Hours!D:D,MATCH(C175,Hours!$A:$A,0))+I175*INDEX(Hours!E:E,MATCH(C175,Hours!$A:$A,0))+J175*INDEX(Hours!F:F,MATCH(C175,Hours!$A:$A,0)))</f>
        <v>0</v>
      </c>
      <c r="S175" s="19">
        <f t="shared" si="5"/>
        <v>0</v>
      </c>
    </row>
    <row r="176" spans="1:19" x14ac:dyDescent="0.25">
      <c r="A176" s="11" t="str">
        <f>'Bldgs &amp; Rooms'!$A$6</f>
        <v>Main Bldg.</v>
      </c>
      <c r="B176" s="11">
        <f>'Bldgs &amp; Rooms'!$B$6</f>
        <v>0</v>
      </c>
      <c r="C176" s="10" t="str">
        <f>Hours!$A$28</f>
        <v>Manual Transfer Switch (MTS) &gt; 100A</v>
      </c>
      <c r="D176" s="11">
        <f t="shared" si="4"/>
        <v>0</v>
      </c>
      <c r="E176" s="16">
        <f>IF('Components Yr 1'!E176=0,0,'Components Yr 1'!E176)</f>
        <v>0</v>
      </c>
      <c r="F176" s="17">
        <f>IF('Components Yr 1'!F176=0,0,'Components Yr 1'!F176)</f>
        <v>0</v>
      </c>
      <c r="G176" s="17">
        <f>IF('Components Yr 1'!G176=0,0,'Components Yr 1'!G176)</f>
        <v>0</v>
      </c>
      <c r="H176" s="17">
        <f>IF('Components Yr 1'!H176=0,0,'Components Yr 1'!H176)</f>
        <v>0</v>
      </c>
      <c r="I176" s="17">
        <f>IF('Components Yr 1'!I176=0,0,'Components Yr 1'!I176)</f>
        <v>0</v>
      </c>
      <c r="J176" s="17">
        <f>IF('Components Yr 1'!J176=0,0,'Components Yr 1'!J176)</f>
        <v>0</v>
      </c>
      <c r="K176" s="12"/>
      <c r="L176" s="12"/>
      <c r="M176" s="12"/>
      <c r="N176" s="12"/>
      <c r="O176" s="12"/>
      <c r="P176" s="12"/>
      <c r="Q176" s="17"/>
      <c r="R176" s="18">
        <f>IF(SUMPRODUCT((E176:Q176)*1)=0,0,E176*INDEX(Hours!M:M,MATCH(C176,Hours!$A:$A,0))+F176*INDEX(Hours!B:B,MATCH(C176,Hours!$A:$A,0))+G176*INDEX(Hours!C:C,MATCH(C176,Hours!$A:$A,0))+H176*INDEX(Hours!D:D,MATCH(C176,Hours!$A:$A,0))+I176*INDEX(Hours!E:E,MATCH(C176,Hours!$A:$A,0))+J176*INDEX(Hours!F:F,MATCH(C176,Hours!$A:$A,0)))</f>
        <v>0</v>
      </c>
      <c r="S176" s="19">
        <f t="shared" si="5"/>
        <v>0</v>
      </c>
    </row>
    <row r="177" spans="1:19" x14ac:dyDescent="0.25">
      <c r="A177" s="11" t="str">
        <f>'Bldgs &amp; Rooms'!$A$6</f>
        <v>Main Bldg.</v>
      </c>
      <c r="B177" s="11">
        <f>'Bldgs &amp; Rooms'!$B$6</f>
        <v>0</v>
      </c>
      <c r="C177" s="10" t="str">
        <f>Hours!$A$29</f>
        <v>Variable Frequency Drives (VFD) &lt; 50 HP</v>
      </c>
      <c r="D177" s="11">
        <f t="shared" si="4"/>
        <v>0</v>
      </c>
      <c r="E177" s="16">
        <f>IF('Components Yr 1'!E177=0,0,'Components Yr 1'!E177)</f>
        <v>0</v>
      </c>
      <c r="F177" s="17">
        <f>IF('Components Yr 1'!F177=0,0,'Components Yr 1'!F177)</f>
        <v>0</v>
      </c>
      <c r="G177" s="17">
        <f>IF('Components Yr 1'!G177=0,0,'Components Yr 1'!G177)</f>
        <v>0</v>
      </c>
      <c r="H177" s="17">
        <f>IF('Components Yr 1'!H177=0,0,'Components Yr 1'!H177)</f>
        <v>0</v>
      </c>
      <c r="I177" s="17">
        <f>IF('Components Yr 1'!I177=0,0,'Components Yr 1'!I177)</f>
        <v>0</v>
      </c>
      <c r="J177" s="17">
        <f>IF('Components Yr 1'!J177=0,0,'Components Yr 1'!J177)</f>
        <v>0</v>
      </c>
      <c r="K177" s="12"/>
      <c r="L177" s="12"/>
      <c r="M177" s="12"/>
      <c r="N177" s="12"/>
      <c r="O177" s="12"/>
      <c r="P177" s="12"/>
      <c r="Q177" s="17"/>
      <c r="R177" s="18">
        <f>IF(SUMPRODUCT((E177:Q177)*1)=0,0,E177*INDEX(Hours!M:M,MATCH(C177,Hours!$A:$A,0))+F177*INDEX(Hours!B:B,MATCH(C177,Hours!$A:$A,0))+G177*INDEX(Hours!C:C,MATCH(C177,Hours!$A:$A,0))+H177*INDEX(Hours!D:D,MATCH(C177,Hours!$A:$A,0))+I177*INDEX(Hours!E:E,MATCH(C177,Hours!$A:$A,0))+J177*INDEX(Hours!F:F,MATCH(C177,Hours!$A:$A,0)))</f>
        <v>0</v>
      </c>
      <c r="S177" s="19">
        <f t="shared" si="5"/>
        <v>0</v>
      </c>
    </row>
    <row r="178" spans="1:19" x14ac:dyDescent="0.25">
      <c r="A178" s="11" t="str">
        <f>'Bldgs &amp; Rooms'!$A$6</f>
        <v>Main Bldg.</v>
      </c>
      <c r="B178" s="11">
        <f>'Bldgs &amp; Rooms'!$B$6</f>
        <v>0</v>
      </c>
      <c r="C178" s="10" t="str">
        <f>Hours!$A$30</f>
        <v>Variable Frequency Drives (VFD) 51-200 HP</v>
      </c>
      <c r="D178" s="11">
        <f t="shared" si="4"/>
        <v>0</v>
      </c>
      <c r="E178" s="16">
        <f>IF('Components Yr 1'!E178=0,0,'Components Yr 1'!E178)</f>
        <v>0</v>
      </c>
      <c r="F178" s="17">
        <f>IF('Components Yr 1'!F178=0,0,'Components Yr 1'!F178)</f>
        <v>0</v>
      </c>
      <c r="G178" s="17">
        <f>IF('Components Yr 1'!G178=0,0,'Components Yr 1'!G178)</f>
        <v>0</v>
      </c>
      <c r="H178" s="17">
        <f>IF('Components Yr 1'!H178=0,0,'Components Yr 1'!H178)</f>
        <v>0</v>
      </c>
      <c r="I178" s="17">
        <f>IF('Components Yr 1'!I178=0,0,'Components Yr 1'!I178)</f>
        <v>0</v>
      </c>
      <c r="J178" s="17">
        <f>IF('Components Yr 1'!J178=0,0,'Components Yr 1'!J178)</f>
        <v>0</v>
      </c>
      <c r="K178" s="12"/>
      <c r="L178" s="12"/>
      <c r="M178" s="12"/>
      <c r="N178" s="12"/>
      <c r="O178" s="12"/>
      <c r="P178" s="12"/>
      <c r="Q178" s="17"/>
      <c r="R178" s="18">
        <f>IF(SUMPRODUCT((E178:Q178)*1)=0,0,E178*INDEX(Hours!M:M,MATCH(C178,Hours!$A:$A,0))+F178*INDEX(Hours!B:B,MATCH(C178,Hours!$A:$A,0))+G178*INDEX(Hours!C:C,MATCH(C178,Hours!$A:$A,0))+H178*INDEX(Hours!D:D,MATCH(C178,Hours!$A:$A,0))+I178*INDEX(Hours!E:E,MATCH(C178,Hours!$A:$A,0))+J178*INDEX(Hours!F:F,MATCH(C178,Hours!$A:$A,0)))</f>
        <v>0</v>
      </c>
      <c r="S178" s="19">
        <f t="shared" si="5"/>
        <v>0</v>
      </c>
    </row>
    <row r="179" spans="1:19" x14ac:dyDescent="0.25">
      <c r="A179" s="11" t="str">
        <f>'Bldgs &amp; Rooms'!$A$6</f>
        <v>Main Bldg.</v>
      </c>
      <c r="B179" s="11">
        <f>'Bldgs &amp; Rooms'!$B$6</f>
        <v>0</v>
      </c>
      <c r="C179" s="10" t="str">
        <f>Hours!$A$31</f>
        <v>Motors &lt; 50 HP</v>
      </c>
      <c r="D179" s="11">
        <f t="shared" si="4"/>
        <v>0</v>
      </c>
      <c r="E179" s="16">
        <f>IF('Components Yr 1'!E179=0,0,'Components Yr 1'!E179)</f>
        <v>0</v>
      </c>
      <c r="F179" s="17">
        <f>IF('Components Yr 1'!F179=0,0,'Components Yr 1'!F179)</f>
        <v>0</v>
      </c>
      <c r="G179" s="17">
        <f>IF('Components Yr 1'!G179=0,0,'Components Yr 1'!G179)</f>
        <v>0</v>
      </c>
      <c r="H179" s="17">
        <f>IF('Components Yr 1'!H179=0,0,'Components Yr 1'!H179)</f>
        <v>0</v>
      </c>
      <c r="I179" s="17">
        <f>IF('Components Yr 1'!I179=0,0,'Components Yr 1'!I179)</f>
        <v>0</v>
      </c>
      <c r="J179" s="17">
        <f>IF('Components Yr 1'!J179=0,0,'Components Yr 1'!J179)</f>
        <v>0</v>
      </c>
      <c r="K179" s="12"/>
      <c r="L179" s="12"/>
      <c r="M179" s="12"/>
      <c r="N179" s="12"/>
      <c r="O179" s="12"/>
      <c r="P179" s="12"/>
      <c r="Q179" s="17"/>
      <c r="R179" s="18">
        <f>IF(SUMPRODUCT((E179:Q179)*1)=0,0,E179*INDEX(Hours!M:M,MATCH(C179,Hours!$A:$A,0))+F179*INDEX(Hours!B:B,MATCH(C179,Hours!$A:$A,0))+G179*INDEX(Hours!C:C,MATCH(C179,Hours!$A:$A,0))+H179*INDEX(Hours!D:D,MATCH(C179,Hours!$A:$A,0))+I179*INDEX(Hours!E:E,MATCH(C179,Hours!$A:$A,0))+J179*INDEX(Hours!F:F,MATCH(C179,Hours!$A:$A,0)))</f>
        <v>0</v>
      </c>
      <c r="S179" s="19">
        <f t="shared" si="5"/>
        <v>0</v>
      </c>
    </row>
    <row r="180" spans="1:19" x14ac:dyDescent="0.25">
      <c r="A180" s="11" t="str">
        <f>'Bldgs &amp; Rooms'!$A$6</f>
        <v>Main Bldg.</v>
      </c>
      <c r="B180" s="11">
        <f>'Bldgs &amp; Rooms'!$B$6</f>
        <v>0</v>
      </c>
      <c r="C180" s="10" t="str">
        <f>Hours!$A$32</f>
        <v>Motors 51-200 HP</v>
      </c>
      <c r="D180" s="11">
        <f t="shared" si="4"/>
        <v>0</v>
      </c>
      <c r="E180" s="16">
        <f>IF('Components Yr 1'!E180=0,0,'Components Yr 1'!E180)</f>
        <v>0</v>
      </c>
      <c r="F180" s="17">
        <f>IF('Components Yr 1'!F180=0,0,'Components Yr 1'!F180)</f>
        <v>0</v>
      </c>
      <c r="G180" s="17">
        <f>IF('Components Yr 1'!G180=0,0,'Components Yr 1'!G180)</f>
        <v>0</v>
      </c>
      <c r="H180" s="17">
        <f>IF('Components Yr 1'!H180=0,0,'Components Yr 1'!H180)</f>
        <v>0</v>
      </c>
      <c r="I180" s="17">
        <f>IF('Components Yr 1'!I180=0,0,'Components Yr 1'!I180)</f>
        <v>0</v>
      </c>
      <c r="J180" s="17">
        <f>IF('Components Yr 1'!J180=0,0,'Components Yr 1'!J180)</f>
        <v>0</v>
      </c>
      <c r="K180" s="12"/>
      <c r="L180" s="12"/>
      <c r="M180" s="12"/>
      <c r="N180" s="12"/>
      <c r="O180" s="12"/>
      <c r="P180" s="12"/>
      <c r="Q180" s="17"/>
      <c r="R180" s="18">
        <f>IF(SUMPRODUCT((E180:Q180)*1)=0,0,E180*INDEX(Hours!M:M,MATCH(C180,Hours!$A:$A,0))+F180*INDEX(Hours!B:B,MATCH(C180,Hours!$A:$A,0))+G180*INDEX(Hours!C:C,MATCH(C180,Hours!$A:$A,0))+H180*INDEX(Hours!D:D,MATCH(C180,Hours!$A:$A,0))+I180*INDEX(Hours!E:E,MATCH(C180,Hours!$A:$A,0))+J180*INDEX(Hours!F:F,MATCH(C180,Hours!$A:$A,0)))</f>
        <v>0</v>
      </c>
      <c r="S180" s="19">
        <f t="shared" si="5"/>
        <v>0</v>
      </c>
    </row>
    <row r="181" spans="1:19" x14ac:dyDescent="0.25">
      <c r="A181" s="11" t="str">
        <f>'Bldgs &amp; Rooms'!$A$6</f>
        <v>Main Bldg.</v>
      </c>
      <c r="B181" s="11">
        <f>'Bldgs &amp; Rooms'!$B$6</f>
        <v>0</v>
      </c>
      <c r="C181" s="10" t="str">
        <f>Hours!$A$33</f>
        <v>Motors 201-500 HP</v>
      </c>
      <c r="D181" s="11">
        <f t="shared" si="4"/>
        <v>0</v>
      </c>
      <c r="E181" s="16">
        <f>IF('Components Yr 1'!E181=0,0,'Components Yr 1'!E181)</f>
        <v>0</v>
      </c>
      <c r="F181" s="17">
        <f>IF('Components Yr 1'!F181=0,0,'Components Yr 1'!F181)</f>
        <v>0</v>
      </c>
      <c r="G181" s="17">
        <f>IF('Components Yr 1'!G181=0,0,'Components Yr 1'!G181)</f>
        <v>0</v>
      </c>
      <c r="H181" s="17">
        <f>IF('Components Yr 1'!H181=0,0,'Components Yr 1'!H181)</f>
        <v>0</v>
      </c>
      <c r="I181" s="17">
        <f>IF('Components Yr 1'!I181=0,0,'Components Yr 1'!I181)</f>
        <v>0</v>
      </c>
      <c r="J181" s="17">
        <f>IF('Components Yr 1'!J181=0,0,'Components Yr 1'!J181)</f>
        <v>0</v>
      </c>
      <c r="K181" s="12"/>
      <c r="L181" s="12"/>
      <c r="M181" s="12"/>
      <c r="N181" s="12"/>
      <c r="O181" s="12"/>
      <c r="P181" s="12"/>
      <c r="Q181" s="17"/>
      <c r="R181" s="18">
        <f>IF(SUMPRODUCT((E181:Q181)*1)=0,0,E181*INDEX(Hours!M:M,MATCH(C181,Hours!$A:$A,0))+F181*INDEX(Hours!B:B,MATCH(C181,Hours!$A:$A,0))+G181*INDEX(Hours!C:C,MATCH(C181,Hours!$A:$A,0))+H181*INDEX(Hours!D:D,MATCH(C181,Hours!$A:$A,0))+I181*INDEX(Hours!E:E,MATCH(C181,Hours!$A:$A,0))+J181*INDEX(Hours!F:F,MATCH(C181,Hours!$A:$A,0)))</f>
        <v>0</v>
      </c>
      <c r="S181" s="19">
        <f t="shared" si="5"/>
        <v>0</v>
      </c>
    </row>
    <row r="182" spans="1:19" x14ac:dyDescent="0.25">
      <c r="A182" s="11" t="str">
        <f>'Bldgs &amp; Rooms'!$A$6</f>
        <v>Main Bldg.</v>
      </c>
      <c r="B182" s="11">
        <f>'Bldgs &amp; Rooms'!$B$6</f>
        <v>0</v>
      </c>
      <c r="C182" s="10" t="str">
        <f>Hours!$A$34</f>
        <v>Compressed Air Equipment</v>
      </c>
      <c r="D182" s="11">
        <f t="shared" si="4"/>
        <v>0</v>
      </c>
      <c r="E182" s="16">
        <f>IF('Components Yr 1'!E182=0,0,'Components Yr 1'!E182)</f>
        <v>0</v>
      </c>
      <c r="F182" s="17">
        <f>IF('Components Yr 1'!F182=0,0,'Components Yr 1'!F182)</f>
        <v>0</v>
      </c>
      <c r="G182" s="17">
        <f>IF('Components Yr 1'!G182=0,0,'Components Yr 1'!G182)</f>
        <v>0</v>
      </c>
      <c r="H182" s="17">
        <f>IF('Components Yr 1'!H182=0,0,'Components Yr 1'!H182)</f>
        <v>0</v>
      </c>
      <c r="I182" s="17">
        <f>IF('Components Yr 1'!I182=0,0,'Components Yr 1'!I182)</f>
        <v>0</v>
      </c>
      <c r="J182" s="17">
        <f>IF('Components Yr 1'!J182=0,0,'Components Yr 1'!J182)</f>
        <v>0</v>
      </c>
      <c r="K182" s="12"/>
      <c r="L182" s="12"/>
      <c r="M182" s="12"/>
      <c r="N182" s="12"/>
      <c r="O182" s="12"/>
      <c r="P182" s="12"/>
      <c r="Q182" s="17"/>
      <c r="R182" s="18">
        <f>IF(SUMPRODUCT((E182:Q182)*1)=0,0,E182*INDEX(Hours!M:M,MATCH(C182,Hours!$A:$A,0))+F182*INDEX(Hours!B:B,MATCH(C182,Hours!$A:$A,0))+G182*INDEX(Hours!C:C,MATCH(C182,Hours!$A:$A,0))+H182*INDEX(Hours!D:D,MATCH(C182,Hours!$A:$A,0))+I182*INDEX(Hours!E:E,MATCH(C182,Hours!$A:$A,0))+J182*INDEX(Hours!F:F,MATCH(C182,Hours!$A:$A,0)))</f>
        <v>0</v>
      </c>
      <c r="S182" s="19">
        <f t="shared" si="5"/>
        <v>0</v>
      </c>
    </row>
    <row r="183" spans="1:19" x14ac:dyDescent="0.25">
      <c r="A183" s="11" t="str">
        <f>'Bldgs &amp; Rooms'!$A$6</f>
        <v>Main Bldg.</v>
      </c>
      <c r="B183" s="11">
        <f>'Bldgs &amp; Rooms'!$B$6</f>
        <v>0</v>
      </c>
      <c r="C183" s="10" t="str">
        <f>Hours!$A$35</f>
        <v>HVAC Equipment (Large)</v>
      </c>
      <c r="D183" s="11">
        <f t="shared" si="4"/>
        <v>0</v>
      </c>
      <c r="E183" s="16">
        <f>IF('Components Yr 1'!E183=0,0,'Components Yr 1'!E183)</f>
        <v>0</v>
      </c>
      <c r="F183" s="17">
        <f>IF('Components Yr 1'!F183=0,0,'Components Yr 1'!F183)</f>
        <v>0</v>
      </c>
      <c r="G183" s="17">
        <f>IF('Components Yr 1'!G183=0,0,'Components Yr 1'!G183)</f>
        <v>0</v>
      </c>
      <c r="H183" s="17">
        <f>IF('Components Yr 1'!H183=0,0,'Components Yr 1'!H183)</f>
        <v>0</v>
      </c>
      <c r="I183" s="17">
        <f>IF('Components Yr 1'!I183=0,0,'Components Yr 1'!I183)</f>
        <v>0</v>
      </c>
      <c r="J183" s="17">
        <f>IF('Components Yr 1'!J183=0,0,'Components Yr 1'!J183)</f>
        <v>0</v>
      </c>
      <c r="K183" s="12"/>
      <c r="L183" s="12"/>
      <c r="M183" s="12"/>
      <c r="N183" s="12"/>
      <c r="O183" s="12"/>
      <c r="P183" s="12"/>
      <c r="Q183" s="17"/>
      <c r="R183" s="18">
        <f>IF(SUMPRODUCT((E183:Q183)*1)=0,0,E183*INDEX(Hours!M:M,MATCH(C183,Hours!$A:$A,0))+F183*INDEX(Hours!B:B,MATCH(C183,Hours!$A:$A,0))+G183*INDEX(Hours!C:C,MATCH(C183,Hours!$A:$A,0))+H183*INDEX(Hours!D:D,MATCH(C183,Hours!$A:$A,0))+I183*INDEX(Hours!E:E,MATCH(C183,Hours!$A:$A,0))+J183*INDEX(Hours!F:F,MATCH(C183,Hours!$A:$A,0)))</f>
        <v>0</v>
      </c>
      <c r="S183" s="19">
        <f t="shared" si="5"/>
        <v>0</v>
      </c>
    </row>
    <row r="184" spans="1:19" x14ac:dyDescent="0.25">
      <c r="A184" s="11" t="str">
        <f>'Bldgs &amp; Rooms'!$A$6</f>
        <v>Main Bldg.</v>
      </c>
      <c r="B184" s="11">
        <f>'Bldgs &amp; Rooms'!$B$6</f>
        <v>0</v>
      </c>
      <c r="C184" s="10" t="str">
        <f>Hours!$A$36</f>
        <v>HVAC Equipment (Small)</v>
      </c>
      <c r="D184" s="11">
        <f t="shared" si="4"/>
        <v>0</v>
      </c>
      <c r="E184" s="16">
        <f>IF('Components Yr 1'!E184=0,0,'Components Yr 1'!E184)</f>
        <v>0</v>
      </c>
      <c r="F184" s="17">
        <f>IF('Components Yr 1'!F184=0,0,'Components Yr 1'!F184)</f>
        <v>0</v>
      </c>
      <c r="G184" s="17">
        <f>IF('Components Yr 1'!G184=0,0,'Components Yr 1'!G184)</f>
        <v>0</v>
      </c>
      <c r="H184" s="17">
        <f>IF('Components Yr 1'!H184=0,0,'Components Yr 1'!H184)</f>
        <v>0</v>
      </c>
      <c r="I184" s="17">
        <f>IF('Components Yr 1'!I184=0,0,'Components Yr 1'!I184)</f>
        <v>0</v>
      </c>
      <c r="J184" s="17">
        <f>IF('Components Yr 1'!J184=0,0,'Components Yr 1'!J184)</f>
        <v>0</v>
      </c>
      <c r="K184" s="12"/>
      <c r="L184" s="12"/>
      <c r="M184" s="12"/>
      <c r="N184" s="12"/>
      <c r="O184" s="12"/>
      <c r="P184" s="12"/>
      <c r="Q184" s="17"/>
      <c r="R184" s="18">
        <f>IF(SUMPRODUCT((E184:Q184)*1)=0,0,E184*INDEX(Hours!M:M,MATCH(C184,Hours!$A:$A,0))+F184*INDEX(Hours!B:B,MATCH(C184,Hours!$A:$A,0))+G184*INDEX(Hours!C:C,MATCH(C184,Hours!$A:$A,0))+H184*INDEX(Hours!D:D,MATCH(C184,Hours!$A:$A,0))+I184*INDEX(Hours!E:E,MATCH(C184,Hours!$A:$A,0))+J184*INDEX(Hours!F:F,MATCH(C184,Hours!$A:$A,0)))</f>
        <v>0</v>
      </c>
      <c r="S184" s="19">
        <f t="shared" si="5"/>
        <v>0</v>
      </c>
    </row>
    <row r="185" spans="1:19" x14ac:dyDescent="0.25">
      <c r="A185" s="11" t="str">
        <f>'Bldgs &amp; Rooms'!$A$6</f>
        <v>Main Bldg.</v>
      </c>
      <c r="B185" s="11">
        <f>'Bldgs &amp; Rooms'!$B$6</f>
        <v>0</v>
      </c>
      <c r="C185" s="10" t="str">
        <f>Hours!$A$37</f>
        <v>Uninterruptible Power Supply (UPS) &lt; 50kVA</v>
      </c>
      <c r="D185" s="11">
        <f t="shared" si="4"/>
        <v>0</v>
      </c>
      <c r="E185" s="16">
        <f>IF('Components Yr 1'!E185=0,0,'Components Yr 1'!E185)</f>
        <v>0</v>
      </c>
      <c r="F185" s="17">
        <f>IF('Components Yr 1'!F185=0,0,'Components Yr 1'!F185)</f>
        <v>0</v>
      </c>
      <c r="G185" s="17">
        <f>IF('Components Yr 1'!G185=0,0,'Components Yr 1'!G185)</f>
        <v>0</v>
      </c>
      <c r="H185" s="17">
        <f>IF('Components Yr 1'!H185=0,0,'Components Yr 1'!H185)</f>
        <v>0</v>
      </c>
      <c r="I185" s="17">
        <f>IF('Components Yr 1'!I185=0,0,'Components Yr 1'!I185)</f>
        <v>0</v>
      </c>
      <c r="J185" s="17">
        <f>IF('Components Yr 1'!J185=0,0,'Components Yr 1'!J185)</f>
        <v>0</v>
      </c>
      <c r="K185" s="12"/>
      <c r="L185" s="12"/>
      <c r="M185" s="12"/>
      <c r="N185" s="12"/>
      <c r="O185" s="12"/>
      <c r="P185" s="12"/>
      <c r="Q185" s="17"/>
      <c r="R185" s="18">
        <f>IF(SUMPRODUCT((E185:Q185)*1)=0,0,E185*INDEX(Hours!M:M,MATCH(C185,Hours!$A:$A,0))+F185*INDEX(Hours!B:B,MATCH(C185,Hours!$A:$A,0))+G185*INDEX(Hours!C:C,MATCH(C185,Hours!$A:$A,0))+H185*INDEX(Hours!D:D,MATCH(C185,Hours!$A:$A,0))+I185*INDEX(Hours!E:E,MATCH(C185,Hours!$A:$A,0))+J185*INDEX(Hours!F:F,MATCH(C185,Hours!$A:$A,0)))</f>
        <v>0</v>
      </c>
      <c r="S185" s="19">
        <f t="shared" si="5"/>
        <v>0</v>
      </c>
    </row>
    <row r="186" spans="1:19" x14ac:dyDescent="0.25">
      <c r="A186" s="11" t="str">
        <f>'Bldgs &amp; Rooms'!$A$6</f>
        <v>Main Bldg.</v>
      </c>
      <c r="B186" s="11">
        <f>'Bldgs &amp; Rooms'!$B$6</f>
        <v>0</v>
      </c>
      <c r="C186" s="10" t="str">
        <f>Hours!$A$38</f>
        <v>Uninterruptible Power Supply (UPS) &gt; 50kVA</v>
      </c>
      <c r="D186" s="11">
        <f t="shared" si="4"/>
        <v>0</v>
      </c>
      <c r="E186" s="16">
        <f>IF('Components Yr 1'!E186=0,0,'Components Yr 1'!E186)</f>
        <v>0</v>
      </c>
      <c r="F186" s="17">
        <f>IF('Components Yr 1'!F186=0,0,'Components Yr 1'!F186)</f>
        <v>0</v>
      </c>
      <c r="G186" s="17">
        <f>IF('Components Yr 1'!G186=0,0,'Components Yr 1'!G186)</f>
        <v>0</v>
      </c>
      <c r="H186" s="17">
        <f>IF('Components Yr 1'!H186=0,0,'Components Yr 1'!H186)</f>
        <v>0</v>
      </c>
      <c r="I186" s="17">
        <f>IF('Components Yr 1'!I186=0,0,'Components Yr 1'!I186)</f>
        <v>0</v>
      </c>
      <c r="J186" s="17">
        <f>IF('Components Yr 1'!J186=0,0,'Components Yr 1'!J186)</f>
        <v>0</v>
      </c>
      <c r="K186" s="12"/>
      <c r="L186" s="12"/>
      <c r="M186" s="12"/>
      <c r="N186" s="12"/>
      <c r="O186" s="12"/>
      <c r="P186" s="12"/>
      <c r="Q186" s="17"/>
      <c r="R186" s="18">
        <f>IF(SUMPRODUCT((E186:Q186)*1)=0,0,E186*INDEX(Hours!M:M,MATCH(C186,Hours!$A:$A,0))+F186*INDEX(Hours!B:B,MATCH(C186,Hours!$A:$A,0))+G186*INDEX(Hours!C:C,MATCH(C186,Hours!$A:$A,0))+H186*INDEX(Hours!D:D,MATCH(C186,Hours!$A:$A,0))+I186*INDEX(Hours!E:E,MATCH(C186,Hours!$A:$A,0))+J186*INDEX(Hours!F:F,MATCH(C186,Hours!$A:$A,0)))</f>
        <v>0</v>
      </c>
      <c r="S186" s="19">
        <f t="shared" si="5"/>
        <v>0</v>
      </c>
    </row>
    <row r="187" spans="1:19" x14ac:dyDescent="0.25">
      <c r="A187" s="15" t="str">
        <f>'Bldgs &amp; Rooms'!$A$7</f>
        <v>Main Bldg.</v>
      </c>
      <c r="B187" s="15">
        <f>'Bldgs &amp; Rooms'!$B$7</f>
        <v>0</v>
      </c>
      <c r="C187" s="14" t="str">
        <f>Hours!$A$2</f>
        <v>Switchgear - Incoming Main Service (Per Section)</v>
      </c>
      <c r="D187" s="15">
        <f t="shared" si="4"/>
        <v>0</v>
      </c>
      <c r="E187" s="16">
        <f>IF('Components Yr 1'!E187=0,0,'Components Yr 1'!E187)</f>
        <v>0</v>
      </c>
      <c r="F187" s="17">
        <f>IF('Components Yr 1'!F187=0,0,'Components Yr 1'!F187)</f>
        <v>0</v>
      </c>
      <c r="G187" s="17">
        <f>IF('Components Yr 1'!G187=0,0,'Components Yr 1'!G187)</f>
        <v>0</v>
      </c>
      <c r="H187" s="17">
        <f>IF('Components Yr 1'!H187=0,0,'Components Yr 1'!H187)</f>
        <v>0</v>
      </c>
      <c r="I187" s="17">
        <f>IF('Components Yr 1'!I187=0,0,'Components Yr 1'!I187)</f>
        <v>0</v>
      </c>
      <c r="J187" s="17">
        <f>IF('Components Yr 1'!J187=0,0,'Components Yr 1'!J187)</f>
        <v>0</v>
      </c>
      <c r="K187" s="17">
        <f>IF('Components Yr 1'!K187=0,0,'Components Yr 1'!K187)</f>
        <v>0</v>
      </c>
      <c r="L187" s="17">
        <f>IF('Components Yr 1'!L187=0,0,'Components Yr 1'!L187)</f>
        <v>0</v>
      </c>
      <c r="M187" s="12"/>
      <c r="N187" s="12"/>
      <c r="O187" s="17">
        <f>IF('Components Yr 1'!O187=0,0,'Components Yr 1'!O187)</f>
        <v>0</v>
      </c>
      <c r="P187" s="12"/>
      <c r="Q187" s="17"/>
      <c r="R187" s="18">
        <f>IF(SUMPRODUCT((E187:Q187)*1)=0,0,E187*INDEX(Hours!M:M,MATCH(C187,Hours!$A:$A,0))+F187*INDEX(Hours!B:B,MATCH(C187,Hours!$A:$A,0))+G187*INDEX(Hours!C:C,MATCH(C187,Hours!$A:$A,0))+H187*INDEX(Hours!D:D,MATCH(C187,Hours!$A:$A,0))+I187*INDEX(Hours!E:E,MATCH(C187,Hours!$A:$A,0))+J187*INDEX(Hours!F:F,MATCH(C187,Hours!$A:$A,0))+K187*INDEX(Hours!G:G,MATCH(C187,Hours!$A:$A,0))+L187*INDEX(Hours!H:H,MATCH(C187,Hours!$A:$A,0))+O187*INDEX(Hours!K:K,MATCH(C187,Hours!$A:$A,0)))</f>
        <v>0</v>
      </c>
      <c r="S187" s="19">
        <f t="shared" si="5"/>
        <v>0</v>
      </c>
    </row>
    <row r="188" spans="1:19" x14ac:dyDescent="0.25">
      <c r="A188" s="15" t="str">
        <f>'Bldgs &amp; Rooms'!$A$7</f>
        <v>Main Bldg.</v>
      </c>
      <c r="B188" s="15">
        <f>'Bldgs &amp; Rooms'!$B$7</f>
        <v>0</v>
      </c>
      <c r="C188" s="14" t="str">
        <f>Hours!$A$3</f>
        <v xml:space="preserve">  Switchgear Insulated Case Breakers (Bus Mounted)</v>
      </c>
      <c r="D188" s="15">
        <f t="shared" si="4"/>
        <v>0</v>
      </c>
      <c r="E188" s="16">
        <f>IF('Components Yr 1'!E188=0,0,'Components Yr 1'!E188)</f>
        <v>0</v>
      </c>
      <c r="F188" s="17">
        <f>IF('Components Yr 1'!F188=0,0,'Components Yr 1'!F188)</f>
        <v>0</v>
      </c>
      <c r="G188" s="17">
        <f>IF('Components Yr 1'!G188=0,0,'Components Yr 1'!G188)</f>
        <v>0</v>
      </c>
      <c r="H188" s="17">
        <f>IF('Components Yr 1'!H188=0,0,'Components Yr 1'!H188)</f>
        <v>0</v>
      </c>
      <c r="I188" s="17">
        <f>IF('Components Yr 1'!I188=0,0,'Components Yr 1'!I188)</f>
        <v>0</v>
      </c>
      <c r="J188" s="17">
        <f>IF('Components Yr 1'!J188=0,0,'Components Yr 1'!J188)</f>
        <v>0</v>
      </c>
      <c r="K188" s="17">
        <f>IF('Components Yr 1'!K188=0,0,'Components Yr 1'!K188)</f>
        <v>0</v>
      </c>
      <c r="L188" s="12"/>
      <c r="M188" s="12"/>
      <c r="N188" s="12"/>
      <c r="O188" s="12"/>
      <c r="P188" s="12"/>
      <c r="Q188" s="17"/>
      <c r="R188" s="18">
        <f>IF(SUMPRODUCT((E188:Q188)*1)=0,0,E188*INDEX(Hours!M:M,MATCH(C188,Hours!$A:$A,0))+F188*INDEX(Hours!B:B,MATCH(C188,Hours!$A:$A,0))+G188*INDEX(Hours!C:C,MATCH(C188,Hours!$A:$A,0))+H188*INDEX(Hours!D:D,MATCH(C188,Hours!$A:$A,0))+I188*INDEX(Hours!E:E,MATCH(C188,Hours!$A:$A,0))+J188*INDEX(Hours!F:F,MATCH(C188,Hours!$A:$A,0))+K188*INDEX(Hours!G:G,MATCH(C188,Hours!$A:$A,0)))</f>
        <v>0</v>
      </c>
      <c r="S188" s="19">
        <f t="shared" si="5"/>
        <v>0</v>
      </c>
    </row>
    <row r="189" spans="1:19" x14ac:dyDescent="0.25">
      <c r="A189" s="15" t="str">
        <f>'Bldgs &amp; Rooms'!$A$7</f>
        <v>Main Bldg.</v>
      </c>
      <c r="B189" s="15">
        <f>'Bldgs &amp; Rooms'!$B$7</f>
        <v>0</v>
      </c>
      <c r="C189" s="14" t="str">
        <f>Hours!$A$4</f>
        <v xml:space="preserve">  SwitchGear Drawout Breakers</v>
      </c>
      <c r="D189" s="15">
        <f t="shared" si="4"/>
        <v>0</v>
      </c>
      <c r="E189" s="16">
        <f>IF('Components Yr 1'!E189=0,0,'Components Yr 1'!E189)</f>
        <v>0</v>
      </c>
      <c r="F189" s="17">
        <f>IF('Components Yr 1'!F189=0,0,'Components Yr 1'!F189)</f>
        <v>0</v>
      </c>
      <c r="G189" s="17">
        <f>IF('Components Yr 1'!G189=0,0,'Components Yr 1'!G189)</f>
        <v>0</v>
      </c>
      <c r="H189" s="17">
        <f>IF('Components Yr 1'!H189=0,0,'Components Yr 1'!H189)</f>
        <v>0</v>
      </c>
      <c r="I189" s="17">
        <f>IF('Components Yr 1'!I189=0,0,'Components Yr 1'!I189)</f>
        <v>0</v>
      </c>
      <c r="J189" s="17">
        <f>IF('Components Yr 1'!J189=0,0,'Components Yr 1'!J189)</f>
        <v>0</v>
      </c>
      <c r="K189" s="12"/>
      <c r="L189" s="17">
        <f>IF('Components Yr 1'!L189=0,0,'Components Yr 1'!L189)</f>
        <v>0</v>
      </c>
      <c r="M189" s="12"/>
      <c r="N189" s="12"/>
      <c r="O189" s="12"/>
      <c r="P189" s="12"/>
      <c r="Q189" s="17"/>
      <c r="R189" s="18">
        <f>IF(SUMPRODUCT((E189:Q189)*1)=0,0,E189*INDEX(Hours!M:M,MATCH(C189,Hours!$A:$A,0))+F189*INDEX(Hours!B:B,MATCH(C189,Hours!$A:$A,0))+G189*INDEX(Hours!C:C,MATCH(C189,Hours!$A:$A,0))+H189*INDEX(Hours!D:D,MATCH(C189,Hours!$A:$A,0))+I189*INDEX(Hours!E:E,MATCH(C189,Hours!$A:$A,0))+J189*INDEX(Hours!F:F,MATCH(C189,Hours!$A:$A,0))+L189*INDEX(Hours!H:H,MATCH(C189,Hours!$A:$A,0)))</f>
        <v>0</v>
      </c>
      <c r="S189" s="19">
        <f t="shared" si="5"/>
        <v>0</v>
      </c>
    </row>
    <row r="190" spans="1:19" x14ac:dyDescent="0.25">
      <c r="A190" s="15" t="str">
        <f>'Bldgs &amp; Rooms'!$A$7</f>
        <v>Main Bldg.</v>
      </c>
      <c r="B190" s="15">
        <f>'Bldgs &amp; Rooms'!$B$7</f>
        <v>0</v>
      </c>
      <c r="C190" s="14" t="str">
        <f>Hours!$A$5</f>
        <v>Distribution Switchboard Multi Cover (Per Section)</v>
      </c>
      <c r="D190" s="15">
        <f t="shared" si="4"/>
        <v>0</v>
      </c>
      <c r="E190" s="16">
        <f>IF('Components Yr 1'!E190=0,0,'Components Yr 1'!E190)</f>
        <v>0</v>
      </c>
      <c r="F190" s="17">
        <f>IF('Components Yr 1'!F190=0,0,'Components Yr 1'!F190)</f>
        <v>0</v>
      </c>
      <c r="G190" s="17">
        <f>IF('Components Yr 1'!G190=0,0,'Components Yr 1'!G190)</f>
        <v>0</v>
      </c>
      <c r="H190" s="17">
        <f>IF('Components Yr 1'!H190=0,0,'Components Yr 1'!H190)</f>
        <v>0</v>
      </c>
      <c r="I190" s="17">
        <f>IF('Components Yr 1'!I190=0,0,'Components Yr 1'!I190)</f>
        <v>0</v>
      </c>
      <c r="J190" s="17">
        <f>IF('Components Yr 1'!J190=0,0,'Components Yr 1'!J190)</f>
        <v>0</v>
      </c>
      <c r="K190" s="17">
        <f>IF('Components Yr 1'!K190=0,0,'Components Yr 1'!K190)</f>
        <v>0</v>
      </c>
      <c r="L190" s="12"/>
      <c r="M190" s="12"/>
      <c r="N190" s="12"/>
      <c r="O190" s="17">
        <f>IF('Components Yr 1'!O190=0,0,'Components Yr 1'!O190)</f>
        <v>0</v>
      </c>
      <c r="P190" s="12"/>
      <c r="Q190" s="17"/>
      <c r="R190" s="18">
        <f>IF(SUMPRODUCT((E190:Q190)*1)=0,0,E190*INDEX(Hours!M:M,MATCH(C190,Hours!$A:$A,0))+F190*INDEX(Hours!B:B,MATCH(C190,Hours!$A:$A,0))+G190*INDEX(Hours!C:C,MATCH(C190,Hours!$A:$A,0))+H190*INDEX(Hours!D:D,MATCH(C190,Hours!$A:$A,0))+I190*INDEX(Hours!E:E,MATCH(C190,Hours!$A:$A,0))+J190*INDEX(Hours!F:F,MATCH(C190,Hours!$A:$A,0))+K190*INDEX(Hours!G:G,MATCH(C190,Hours!$A:$A,0))+O190*INDEX(Hours!K:K,MATCH(C190,Hours!$A:$A,0)))</f>
        <v>0</v>
      </c>
      <c r="S190" s="19">
        <f t="shared" si="5"/>
        <v>0</v>
      </c>
    </row>
    <row r="191" spans="1:19" x14ac:dyDescent="0.25">
      <c r="A191" s="15" t="str">
        <f>'Bldgs &amp; Rooms'!$A$7</f>
        <v>Main Bldg.</v>
      </c>
      <c r="B191" s="15">
        <f>'Bldgs &amp; Rooms'!$B$7</f>
        <v>0</v>
      </c>
      <c r="C191" s="14" t="str">
        <f>Hours!$A$6</f>
        <v xml:space="preserve">  Switchboard Disconnects</v>
      </c>
      <c r="D191" s="15">
        <f t="shared" si="4"/>
        <v>0</v>
      </c>
      <c r="E191" s="16">
        <f>IF('Components Yr 1'!E191=0,0,'Components Yr 1'!E191)</f>
        <v>0</v>
      </c>
      <c r="F191" s="17">
        <f>IF('Components Yr 1'!F191=0,0,'Components Yr 1'!F191)</f>
        <v>0</v>
      </c>
      <c r="G191" s="17">
        <f>IF('Components Yr 1'!G191=0,0,'Components Yr 1'!G191)</f>
        <v>0</v>
      </c>
      <c r="H191" s="17">
        <f>IF('Components Yr 1'!H191=0,0,'Components Yr 1'!H191)</f>
        <v>0</v>
      </c>
      <c r="I191" s="17">
        <f>IF('Components Yr 1'!I191=0,0,'Components Yr 1'!I191)</f>
        <v>0</v>
      </c>
      <c r="J191" s="17">
        <f>IF('Components Yr 1'!J191=0,0,'Components Yr 1'!J191)</f>
        <v>0</v>
      </c>
      <c r="K191" s="12"/>
      <c r="L191" s="12"/>
      <c r="M191" s="12"/>
      <c r="N191" s="12"/>
      <c r="O191" s="12"/>
      <c r="P191" s="12"/>
      <c r="Q191" s="17"/>
      <c r="R191" s="18">
        <f>IF(SUMPRODUCT((E191:Q191)*1)=0,0,E191*INDEX(Hours!M:M,MATCH(C191,Hours!$A:$A,0))+F191*INDEX(Hours!B:B,MATCH(C191,Hours!$A:$A,0))+G191*INDEX(Hours!C:C,MATCH(C191,Hours!$A:$A,0))+H191*INDEX(Hours!D:D,MATCH(C191,Hours!$A:$A,0))+I191*INDEX(Hours!E:E,MATCH(C191,Hours!$A:$A,0))+J191*INDEX(Hours!F:F,MATCH(C191,Hours!$A:$A,0)))</f>
        <v>0</v>
      </c>
      <c r="S191" s="19">
        <f t="shared" si="5"/>
        <v>0</v>
      </c>
    </row>
    <row r="192" spans="1:19" x14ac:dyDescent="0.25">
      <c r="A192" s="15" t="str">
        <f>'Bldgs &amp; Rooms'!$A$7</f>
        <v>Main Bldg.</v>
      </c>
      <c r="B192" s="15">
        <f>'Bldgs &amp; Rooms'!$B$7</f>
        <v>0</v>
      </c>
      <c r="C192" s="14" t="str">
        <f>Hours!$A$7</f>
        <v xml:space="preserve">  Switchboard Molded Case Breakers</v>
      </c>
      <c r="D192" s="15">
        <f t="shared" si="4"/>
        <v>0</v>
      </c>
      <c r="E192" s="16">
        <f>IF('Components Yr 1'!E192=0,0,'Components Yr 1'!E192)</f>
        <v>0</v>
      </c>
      <c r="F192" s="17">
        <f>IF('Components Yr 1'!F192=0,0,'Components Yr 1'!F192)</f>
        <v>0</v>
      </c>
      <c r="G192" s="17">
        <f>IF('Components Yr 1'!G192=0,0,'Components Yr 1'!G192)</f>
        <v>0</v>
      </c>
      <c r="H192" s="17">
        <f>IF('Components Yr 1'!H192=0,0,'Components Yr 1'!H192)</f>
        <v>0</v>
      </c>
      <c r="I192" s="17">
        <f>IF('Components Yr 1'!I192=0,0,'Components Yr 1'!I192)</f>
        <v>0</v>
      </c>
      <c r="J192" s="17">
        <f>IF('Components Yr 1'!J192=0,0,'Components Yr 1'!J192)</f>
        <v>0</v>
      </c>
      <c r="K192" s="17">
        <f>IF('Components Yr 1'!K192=0,0,'Components Yr 1'!K192)</f>
        <v>0</v>
      </c>
      <c r="L192" s="12"/>
      <c r="M192" s="12"/>
      <c r="N192" s="12"/>
      <c r="O192" s="12"/>
      <c r="P192" s="12"/>
      <c r="Q192" s="17"/>
      <c r="R192" s="18">
        <f>IF(SUMPRODUCT((E192:Q192)*1)=0,0,E192*INDEX(Hours!M:M,MATCH(C192,Hours!$A:$A,0))+F192*INDEX(Hours!B:B,MATCH(C192,Hours!$A:$A,0))+G192*INDEX(Hours!C:C,MATCH(C192,Hours!$A:$A,0))+H192*INDEX(Hours!D:D,MATCH(C192,Hours!$A:$A,0))+I192*INDEX(Hours!E:E,MATCH(C192,Hours!$A:$A,0))+J192*INDEX(Hours!F:F,MATCH(C192,Hours!$A:$A,0))+K192*INDEX(Hours!G:G,MATCH(C192,Hours!$A:$A,0)))</f>
        <v>0</v>
      </c>
      <c r="S192" s="19">
        <f t="shared" si="5"/>
        <v>0</v>
      </c>
    </row>
    <row r="193" spans="1:19" x14ac:dyDescent="0.25">
      <c r="A193" s="15" t="str">
        <f>'Bldgs &amp; Rooms'!$A$7</f>
        <v>Main Bldg.</v>
      </c>
      <c r="B193" s="15">
        <f>'Bldgs &amp; Rooms'!$B$7</f>
        <v>0</v>
      </c>
      <c r="C193" s="14" t="str">
        <f>Hours!$A$8</f>
        <v>Panelboard-Single Cover &gt; 400A (Distribution Panel)</v>
      </c>
      <c r="D193" s="15">
        <f t="shared" si="4"/>
        <v>0</v>
      </c>
      <c r="E193" s="16">
        <f>IF('Components Yr 1'!E193=0,0,'Components Yr 1'!E193)</f>
        <v>0</v>
      </c>
      <c r="F193" s="17">
        <f>IF('Components Yr 1'!F193=0,0,'Components Yr 1'!F193)</f>
        <v>0</v>
      </c>
      <c r="G193" s="17">
        <f>IF('Components Yr 1'!G193=0,0,'Components Yr 1'!G193)</f>
        <v>0</v>
      </c>
      <c r="H193" s="17">
        <f>IF('Components Yr 1'!H193=0,0,'Components Yr 1'!H193)</f>
        <v>0</v>
      </c>
      <c r="I193" s="17">
        <f>IF('Components Yr 1'!I193=0,0,'Components Yr 1'!I193)</f>
        <v>0</v>
      </c>
      <c r="J193" s="17">
        <f>IF('Components Yr 1'!J193=0,0,'Components Yr 1'!J193)</f>
        <v>0</v>
      </c>
      <c r="K193" s="17">
        <f>IF('Components Yr 1'!K193=0,0,'Components Yr 1'!K193)</f>
        <v>0</v>
      </c>
      <c r="L193" s="12"/>
      <c r="M193" s="12"/>
      <c r="N193" s="12"/>
      <c r="O193" s="17">
        <f>IF('Components Yr 1'!O193=0,0,'Components Yr 1'!O193)</f>
        <v>0</v>
      </c>
      <c r="P193" s="12"/>
      <c r="Q193" s="17"/>
      <c r="R193" s="18">
        <f>IF(SUMPRODUCT((E193:Q193)*1)=0,0,E193*INDEX(Hours!M:M,MATCH(C193,Hours!$A:$A,0))+F193*INDEX(Hours!B:B,MATCH(C193,Hours!$A:$A,0))+G193*INDEX(Hours!C:C,MATCH(C193,Hours!$A:$A,0))+H193*INDEX(Hours!D:D,MATCH(C193,Hours!$A:$A,0))+I193*INDEX(Hours!E:E,MATCH(C193,Hours!$A:$A,0))+J193*INDEX(Hours!F:F,MATCH(C193,Hours!$A:$A,0))+K193*INDEX(Hours!G:G,MATCH(C193,Hours!$A:$A,0))+O193*INDEX(Hours!K:K,MATCH(C193,Hours!$A:$A,0)))</f>
        <v>0</v>
      </c>
      <c r="S193" s="19">
        <f t="shared" si="5"/>
        <v>0</v>
      </c>
    </row>
    <row r="194" spans="1:19" x14ac:dyDescent="0.25">
      <c r="A194" s="15" t="str">
        <f>'Bldgs &amp; Rooms'!$A$7</f>
        <v>Main Bldg.</v>
      </c>
      <c r="B194" s="15">
        <f>'Bldgs &amp; Rooms'!$B$7</f>
        <v>0</v>
      </c>
      <c r="C194" s="14" t="str">
        <f>Hours!$A$9</f>
        <v>Panelboard-Single Cover &lt; 400A (Branch Ckt Panel)</v>
      </c>
      <c r="D194" s="15">
        <f t="shared" ref="D194:D257" si="6">MAX(E194+F194,G194,H194,I194,J194,K194,L194,M194,N194,O194,P194,Q194)</f>
        <v>0</v>
      </c>
      <c r="E194" s="16">
        <f>IF('Components Yr 1'!E194=0,0,'Components Yr 1'!E194)</f>
        <v>0</v>
      </c>
      <c r="F194" s="17">
        <f>IF('Components Yr 1'!F194=0,0,'Components Yr 1'!F194)</f>
        <v>0</v>
      </c>
      <c r="G194" s="17">
        <f>IF('Components Yr 1'!G194=0,0,'Components Yr 1'!G194)</f>
        <v>0</v>
      </c>
      <c r="H194" s="17">
        <f>IF('Components Yr 1'!H194=0,0,'Components Yr 1'!H194)</f>
        <v>0</v>
      </c>
      <c r="I194" s="17">
        <f>IF('Components Yr 1'!I194=0,0,'Components Yr 1'!I194)</f>
        <v>0</v>
      </c>
      <c r="J194" s="17">
        <f>IF('Components Yr 1'!J194=0,0,'Components Yr 1'!J194)</f>
        <v>0</v>
      </c>
      <c r="K194" s="12"/>
      <c r="L194" s="12"/>
      <c r="M194" s="12"/>
      <c r="N194" s="12"/>
      <c r="O194" s="17">
        <f>IF('Components Yr 1'!O194=0,0,'Components Yr 1'!O194)</f>
        <v>0</v>
      </c>
      <c r="P194" s="12"/>
      <c r="Q194" s="17"/>
      <c r="R194" s="18">
        <f>IF(SUMPRODUCT((E194:Q194)*1)=0,0,E194*INDEX(Hours!M:M,MATCH(C194,Hours!$A:$A,0))+F194*INDEX(Hours!B:B,MATCH(C194,Hours!$A:$A,0))+G194*INDEX(Hours!C:C,MATCH(C194,Hours!$A:$A,0))+H194*INDEX(Hours!D:D,MATCH(C194,Hours!$A:$A,0))+I194*INDEX(Hours!E:E,MATCH(C194,Hours!$A:$A,0))+J194*INDEX(Hours!F:F,MATCH(C194,Hours!$A:$A,0))+O194*INDEX(Hours!K:K,MATCH(C194,Hours!$A:$A,0)))</f>
        <v>0</v>
      </c>
      <c r="S194" s="19">
        <f t="shared" ref="S194:S257" si="7">MAX(E194+F194,G194,H194,I194,J194,K194,L194,M194,N194,O194,P194,Q194)</f>
        <v>0</v>
      </c>
    </row>
    <row r="195" spans="1:19" x14ac:dyDescent="0.25">
      <c r="A195" s="15" t="str">
        <f>'Bldgs &amp; Rooms'!$A$7</f>
        <v>Main Bldg.</v>
      </c>
      <c r="B195" s="15">
        <f>'Bldgs &amp; Rooms'!$B$7</f>
        <v>0</v>
      </c>
      <c r="C195" s="14" t="str">
        <f>Hours!$A$10</f>
        <v>Motor Control Center (MCC-Per Vertical Section)</v>
      </c>
      <c r="D195" s="15">
        <f t="shared" si="6"/>
        <v>0</v>
      </c>
      <c r="E195" s="16">
        <f>IF('Components Yr 1'!E195=0,0,'Components Yr 1'!E195)</f>
        <v>0</v>
      </c>
      <c r="F195" s="17">
        <f>IF('Components Yr 1'!F195=0,0,'Components Yr 1'!F195)</f>
        <v>0</v>
      </c>
      <c r="G195" s="17">
        <f>IF('Components Yr 1'!G195=0,0,'Components Yr 1'!G195)</f>
        <v>0</v>
      </c>
      <c r="H195" s="17">
        <f>IF('Components Yr 1'!H195=0,0,'Components Yr 1'!H195)</f>
        <v>0</v>
      </c>
      <c r="I195" s="17">
        <f>IF('Components Yr 1'!I195=0,0,'Components Yr 1'!I195)</f>
        <v>0</v>
      </c>
      <c r="J195" s="17">
        <f>IF('Components Yr 1'!J195=0,0,'Components Yr 1'!J195)</f>
        <v>0</v>
      </c>
      <c r="K195" s="12"/>
      <c r="L195" s="12"/>
      <c r="M195" s="12"/>
      <c r="N195" s="12"/>
      <c r="O195" s="17">
        <f>IF('Components Yr 1'!O195=0,0,'Components Yr 1'!O195)</f>
        <v>0</v>
      </c>
      <c r="P195" s="12"/>
      <c r="Q195" s="17"/>
      <c r="R195" s="18">
        <f>IF(SUMPRODUCT((E195:Q195)*1)=0,0,E195*INDEX(Hours!M:M,MATCH(C195,Hours!$A:$A,0))+F195*INDEX(Hours!B:B,MATCH(C195,Hours!$A:$A,0))+G195*INDEX(Hours!C:C,MATCH(C195,Hours!$A:$A,0))+H195*INDEX(Hours!D:D,MATCH(C195,Hours!$A:$A,0))+I195*INDEX(Hours!E:E,MATCH(C195,Hours!$A:$A,0))+J195*INDEX(Hours!F:F,MATCH(C195,Hours!$A:$A,0))+O195*INDEX(Hours!K:K,MATCH(C195,Hours!$A:$A,0)))</f>
        <v>0</v>
      </c>
      <c r="S195" s="19">
        <f t="shared" si="7"/>
        <v>0</v>
      </c>
    </row>
    <row r="196" spans="1:19" x14ac:dyDescent="0.25">
      <c r="A196" s="15" t="str">
        <f>'Bldgs &amp; Rooms'!$A$7</f>
        <v>Main Bldg.</v>
      </c>
      <c r="B196" s="15">
        <f>'Bldgs &amp; Rooms'!$B$7</f>
        <v>0</v>
      </c>
      <c r="C196" s="14" t="str">
        <f>Hours!$A$11</f>
        <v xml:space="preserve">  MCC: Combination Motor Starters</v>
      </c>
      <c r="D196" s="15">
        <f t="shared" si="6"/>
        <v>0</v>
      </c>
      <c r="E196" s="16">
        <f>IF('Components Yr 1'!E196=0,0,'Components Yr 1'!E196)</f>
        <v>0</v>
      </c>
      <c r="F196" s="17">
        <f>IF('Components Yr 1'!F196=0,0,'Components Yr 1'!F196)</f>
        <v>0</v>
      </c>
      <c r="G196" s="17">
        <f>IF('Components Yr 1'!G196=0,0,'Components Yr 1'!G196)</f>
        <v>0</v>
      </c>
      <c r="H196" s="17">
        <f>IF('Components Yr 1'!H196=0,0,'Components Yr 1'!H196)</f>
        <v>0</v>
      </c>
      <c r="I196" s="17">
        <f>IF('Components Yr 1'!I196=0,0,'Components Yr 1'!I196)</f>
        <v>0</v>
      </c>
      <c r="J196" s="17">
        <f>IF('Components Yr 1'!J196=0,0,'Components Yr 1'!J196)</f>
        <v>0</v>
      </c>
      <c r="K196" s="17">
        <f>IF('Components Yr 1'!K196=0,0,'Components Yr 1'!K196)</f>
        <v>0</v>
      </c>
      <c r="L196" s="12"/>
      <c r="M196" s="12"/>
      <c r="N196" s="12"/>
      <c r="O196" s="17">
        <f>IF('Components Yr 1'!O196=0,0,'Components Yr 1'!O196)</f>
        <v>0</v>
      </c>
      <c r="P196" s="12"/>
      <c r="Q196" s="17"/>
      <c r="R196" s="18">
        <f>IF(SUMPRODUCT((E196:Q196)*1)=0,0,E196*INDEX(Hours!M:M,MATCH(C196,Hours!$A:$A,0))+F196*INDEX(Hours!B:B,MATCH(C196,Hours!$A:$A,0))+G196*INDEX(Hours!C:C,MATCH(C196,Hours!$A:$A,0))+H196*INDEX(Hours!D:D,MATCH(C196,Hours!$A:$A,0))+I196*INDEX(Hours!E:E,MATCH(C196,Hours!$A:$A,0))+J196*INDEX(Hours!F:F,MATCH(C196,Hours!$A:$A,0))+K196*INDEX(Hours!G:G,MATCH(C196,Hours!$A:$A,0))+O196*INDEX(Hours!K:K,MATCH(C196,Hours!$A:$A,0)))</f>
        <v>0</v>
      </c>
      <c r="S196" s="19">
        <f t="shared" si="7"/>
        <v>0</v>
      </c>
    </row>
    <row r="197" spans="1:19" x14ac:dyDescent="0.25">
      <c r="A197" s="15" t="str">
        <f>'Bldgs &amp; Rooms'!$A$7</f>
        <v>Main Bldg.</v>
      </c>
      <c r="B197" s="15">
        <f>'Bldgs &amp; Rooms'!$B$7</f>
        <v>0</v>
      </c>
      <c r="C197" s="14" t="str">
        <f>Hours!$A$12</f>
        <v xml:space="preserve">  MCC: Molded Case Breaker</v>
      </c>
      <c r="D197" s="15">
        <f t="shared" si="6"/>
        <v>0</v>
      </c>
      <c r="E197" s="16">
        <f>IF('Components Yr 1'!E197=0,0,'Components Yr 1'!E197)</f>
        <v>0</v>
      </c>
      <c r="F197" s="17">
        <f>IF('Components Yr 1'!F197=0,0,'Components Yr 1'!F197)</f>
        <v>0</v>
      </c>
      <c r="G197" s="17">
        <f>IF('Components Yr 1'!G197=0,0,'Components Yr 1'!G197)</f>
        <v>0</v>
      </c>
      <c r="H197" s="17">
        <f>IF('Components Yr 1'!H197=0,0,'Components Yr 1'!H197)</f>
        <v>0</v>
      </c>
      <c r="I197" s="17">
        <f>IF('Components Yr 1'!I197=0,0,'Components Yr 1'!I197)</f>
        <v>0</v>
      </c>
      <c r="J197" s="17">
        <f>IF('Components Yr 1'!J197=0,0,'Components Yr 1'!J197)</f>
        <v>0</v>
      </c>
      <c r="K197" s="17">
        <f>IF('Components Yr 1'!K197=0,0,'Components Yr 1'!K197)</f>
        <v>0</v>
      </c>
      <c r="L197" s="12"/>
      <c r="M197" s="12"/>
      <c r="N197" s="12"/>
      <c r="O197" s="12"/>
      <c r="P197" s="12"/>
      <c r="Q197" s="17"/>
      <c r="R197" s="18">
        <f>IF(SUMPRODUCT((E197:Q197)*1)=0,0,E197*INDEX(Hours!M:M,MATCH(C197,Hours!$A:$A,0))+F197*INDEX(Hours!B:B,MATCH(C197,Hours!$A:$A,0))+G197*INDEX(Hours!C:C,MATCH(C197,Hours!$A:$A,0))+H197*INDEX(Hours!D:D,MATCH(C197,Hours!$A:$A,0))+I197*INDEX(Hours!E:E,MATCH(C197,Hours!$A:$A,0))+J197*INDEX(Hours!F:F,MATCH(C197,Hours!$A:$A,0))+K197*INDEX(Hours!G:G,MATCH(C197,Hours!$A:$A,0)))</f>
        <v>0</v>
      </c>
      <c r="S197" s="19">
        <f t="shared" si="7"/>
        <v>0</v>
      </c>
    </row>
    <row r="198" spans="1:19" x14ac:dyDescent="0.25">
      <c r="A198" s="15" t="str">
        <f>'Bldgs &amp; Rooms'!$A$7</f>
        <v>Main Bldg.</v>
      </c>
      <c r="B198" s="15">
        <f>'Bldgs &amp; Rooms'!$B$7</f>
        <v>0</v>
      </c>
      <c r="C198" s="14" t="str">
        <f>Hours!$A$13</f>
        <v xml:space="preserve">  MCC: Individual Disconnect Switch</v>
      </c>
      <c r="D198" s="15">
        <f t="shared" si="6"/>
        <v>0</v>
      </c>
      <c r="E198" s="16">
        <f>IF('Components Yr 1'!E198=0,0,'Components Yr 1'!E198)</f>
        <v>0</v>
      </c>
      <c r="F198" s="17">
        <f>IF('Components Yr 1'!F198=0,0,'Components Yr 1'!F198)</f>
        <v>0</v>
      </c>
      <c r="G198" s="17">
        <f>IF('Components Yr 1'!G198=0,0,'Components Yr 1'!G198)</f>
        <v>0</v>
      </c>
      <c r="H198" s="17">
        <f>IF('Components Yr 1'!H198=0,0,'Components Yr 1'!H198)</f>
        <v>0</v>
      </c>
      <c r="I198" s="17">
        <f>IF('Components Yr 1'!I198=0,0,'Components Yr 1'!I198)</f>
        <v>0</v>
      </c>
      <c r="J198" s="17">
        <f>IF('Components Yr 1'!J198=0,0,'Components Yr 1'!J198)</f>
        <v>0</v>
      </c>
      <c r="K198" s="12"/>
      <c r="L198" s="12"/>
      <c r="M198" s="12"/>
      <c r="N198" s="12"/>
      <c r="O198" s="12"/>
      <c r="P198" s="12"/>
      <c r="Q198" s="17"/>
      <c r="R198" s="18">
        <f>IF(SUMPRODUCT((E198:Q198)*1)=0,0,E198*INDEX(Hours!M:M,MATCH(C198,Hours!$A:$A,0))+F198*INDEX(Hours!B:B,MATCH(C198,Hours!$A:$A,0))+G198*INDEX(Hours!C:C,MATCH(C198,Hours!$A:$A,0))+H198*INDEX(Hours!D:D,MATCH(C198,Hours!$A:$A,0))+I198*INDEX(Hours!E:E,MATCH(C198,Hours!$A:$A,0))+J198*INDEX(Hours!F:F,MATCH(C198,Hours!$A:$A,0)))</f>
        <v>0</v>
      </c>
      <c r="S198" s="19">
        <f t="shared" si="7"/>
        <v>0</v>
      </c>
    </row>
    <row r="199" spans="1:19" x14ac:dyDescent="0.25">
      <c r="A199" s="15" t="str">
        <f>'Bldgs &amp; Rooms'!$A$7</f>
        <v>Main Bldg.</v>
      </c>
      <c r="B199" s="15">
        <f>'Bldgs &amp; Rooms'!$B$7</f>
        <v>0</v>
      </c>
      <c r="C199" s="14" t="str">
        <f>Hours!$A$14</f>
        <v>Motor Control Panel (MCP)</v>
      </c>
      <c r="D199" s="15">
        <f t="shared" si="6"/>
        <v>0</v>
      </c>
      <c r="E199" s="16">
        <f>IF('Components Yr 1'!E199=0,0,'Components Yr 1'!E199)</f>
        <v>0</v>
      </c>
      <c r="F199" s="17">
        <f>IF('Components Yr 1'!F199=0,0,'Components Yr 1'!F199)</f>
        <v>0</v>
      </c>
      <c r="G199" s="17">
        <f>IF('Components Yr 1'!G199=0,0,'Components Yr 1'!G199)</f>
        <v>0</v>
      </c>
      <c r="H199" s="17">
        <f>IF('Components Yr 1'!H199=0,0,'Components Yr 1'!H199)</f>
        <v>0</v>
      </c>
      <c r="I199" s="17">
        <f>IF('Components Yr 1'!I199=0,0,'Components Yr 1'!I199)</f>
        <v>0</v>
      </c>
      <c r="J199" s="17">
        <f>IF('Components Yr 1'!J199=0,0,'Components Yr 1'!J199)</f>
        <v>0</v>
      </c>
      <c r="K199" s="12"/>
      <c r="L199" s="12"/>
      <c r="M199" s="12"/>
      <c r="N199" s="12"/>
      <c r="O199" s="17">
        <f>IF('Components Yr 1'!O199=0,0,'Components Yr 1'!O199)</f>
        <v>0</v>
      </c>
      <c r="P199" s="12"/>
      <c r="Q199" s="17"/>
      <c r="R199" s="18">
        <f>IF(SUMPRODUCT((E199:Q199)*1)=0,0,E199*INDEX(Hours!M:M,MATCH(C199,Hours!$A:$A,0))+F199*INDEX(Hours!B:B,MATCH(C199,Hours!$A:$A,0))+G199*INDEX(Hours!C:C,MATCH(C199,Hours!$A:$A,0))+H199*INDEX(Hours!D:D,MATCH(C199,Hours!$A:$A,0))+I199*INDEX(Hours!E:E,MATCH(C199,Hours!$A:$A,0))+J199*INDEX(Hours!F:F,MATCH(C199,Hours!$A:$A,0))+O199*INDEX(Hours!K:K,MATCH(C199,Hours!$A:$A,0)))</f>
        <v>0</v>
      </c>
      <c r="S199" s="19">
        <f t="shared" si="7"/>
        <v>0</v>
      </c>
    </row>
    <row r="200" spans="1:19" x14ac:dyDescent="0.25">
      <c r="A200" s="15" t="str">
        <f>'Bldgs &amp; Rooms'!$A$7</f>
        <v>Main Bldg.</v>
      </c>
      <c r="B200" s="15">
        <f>'Bldgs &amp; Rooms'!$B$7</f>
        <v>0</v>
      </c>
      <c r="C200" s="14" t="str">
        <f>Hours!$A$15</f>
        <v>VFD Motor Control Panel (VFD-MCP)</v>
      </c>
      <c r="D200" s="15">
        <f t="shared" si="6"/>
        <v>0</v>
      </c>
      <c r="E200" s="16">
        <f>IF('Components Yr 1'!E200=0,0,'Components Yr 1'!E200)</f>
        <v>0</v>
      </c>
      <c r="F200" s="17">
        <f>IF('Components Yr 1'!F200=0,0,'Components Yr 1'!F200)</f>
        <v>0</v>
      </c>
      <c r="G200" s="17">
        <f>IF('Components Yr 1'!G200=0,0,'Components Yr 1'!G200)</f>
        <v>0</v>
      </c>
      <c r="H200" s="17">
        <f>IF('Components Yr 1'!H200=0,0,'Components Yr 1'!H200)</f>
        <v>0</v>
      </c>
      <c r="I200" s="17">
        <f>IF('Components Yr 1'!I200=0,0,'Components Yr 1'!I200)</f>
        <v>0</v>
      </c>
      <c r="J200" s="17">
        <f>IF('Components Yr 1'!J200=0,0,'Components Yr 1'!J200)</f>
        <v>0</v>
      </c>
      <c r="K200" s="12"/>
      <c r="L200" s="12"/>
      <c r="M200" s="12"/>
      <c r="N200" s="12"/>
      <c r="O200" s="17">
        <f>IF('Components Yr 1'!O200=0,0,'Components Yr 1'!O200)</f>
        <v>0</v>
      </c>
      <c r="P200" s="12"/>
      <c r="Q200" s="17"/>
      <c r="R200" s="18">
        <f>IF(SUMPRODUCT((E200:Q200)*1)=0,0,E200*INDEX(Hours!M:M,MATCH(C200,Hours!$A:$A,0))+F200*INDEX(Hours!B:B,MATCH(C200,Hours!$A:$A,0))+G200*INDEX(Hours!C:C,MATCH(C200,Hours!$A:$A,0))+H200*INDEX(Hours!D:D,MATCH(C200,Hours!$A:$A,0))+I200*INDEX(Hours!E:E,MATCH(C200,Hours!$A:$A,0))+J200*INDEX(Hours!F:F,MATCH(C200,Hours!$A:$A,0))+O200*INDEX(Hours!K:K,MATCH(C200,Hours!$A:$A,0)))</f>
        <v>0</v>
      </c>
      <c r="S200" s="19">
        <f t="shared" si="7"/>
        <v>0</v>
      </c>
    </row>
    <row r="201" spans="1:19" x14ac:dyDescent="0.25">
      <c r="A201" s="15" t="str">
        <f>'Bldgs &amp; Rooms'!$A$7</f>
        <v>Main Bldg.</v>
      </c>
      <c r="B201" s="15">
        <f>'Bldgs &amp; Rooms'!$B$7</f>
        <v>0</v>
      </c>
      <c r="C201" s="14" t="str">
        <f>Hours!$A$16</f>
        <v>Individual Disconnect Switch &gt; 100A</v>
      </c>
      <c r="D201" s="15">
        <f t="shared" si="6"/>
        <v>0</v>
      </c>
      <c r="E201" s="16">
        <f>IF('Components Yr 1'!E201=0,0,'Components Yr 1'!E201)</f>
        <v>0</v>
      </c>
      <c r="F201" s="17">
        <f>IF('Components Yr 1'!F201=0,0,'Components Yr 1'!F201)</f>
        <v>0</v>
      </c>
      <c r="G201" s="17">
        <f>IF('Components Yr 1'!G201=0,0,'Components Yr 1'!G201)</f>
        <v>0</v>
      </c>
      <c r="H201" s="17">
        <f>IF('Components Yr 1'!H201=0,0,'Components Yr 1'!H201)</f>
        <v>0</v>
      </c>
      <c r="I201" s="17">
        <f>IF('Components Yr 1'!I201=0,0,'Components Yr 1'!I201)</f>
        <v>0</v>
      </c>
      <c r="J201" s="17">
        <f>IF('Components Yr 1'!J201=0,0,'Components Yr 1'!J201)</f>
        <v>0</v>
      </c>
      <c r="K201" s="17">
        <f>IF('Components Yr 1'!K201=0,0,'Components Yr 1'!K201)</f>
        <v>0</v>
      </c>
      <c r="L201" s="12"/>
      <c r="M201" s="12"/>
      <c r="N201" s="12"/>
      <c r="O201" s="12"/>
      <c r="P201" s="12"/>
      <c r="Q201" s="17"/>
      <c r="R201" s="18">
        <f>IF(SUMPRODUCT((E201:Q201)*1)=0,0,E201*INDEX(Hours!M:M,MATCH(C201,Hours!$A:$A,0))+F201*INDEX(Hours!B:B,MATCH(C201,Hours!$A:$A,0))+G201*INDEX(Hours!C:C,MATCH(C201,Hours!$A:$A,0))+H201*INDEX(Hours!D:D,MATCH(C201,Hours!$A:$A,0))+I201*INDEX(Hours!E:E,MATCH(C201,Hours!$A:$A,0))+J201*INDEX(Hours!F:F,MATCH(C201,Hours!$A:$A,0))+K201*INDEX(Hours!G:G,MATCH(C201,Hours!$A:$A,0)))</f>
        <v>0</v>
      </c>
      <c r="S201" s="19">
        <f t="shared" si="7"/>
        <v>0</v>
      </c>
    </row>
    <row r="202" spans="1:19" x14ac:dyDescent="0.25">
      <c r="A202" s="15" t="str">
        <f>'Bldgs &amp; Rooms'!$A$7</f>
        <v>Main Bldg.</v>
      </c>
      <c r="B202" s="15">
        <f>'Bldgs &amp; Rooms'!$B$7</f>
        <v>0</v>
      </c>
      <c r="C202" s="14" t="str">
        <f>Hours!$A$17</f>
        <v>Individual Molded Case Breaker &gt; 100A</v>
      </c>
      <c r="D202" s="15">
        <f t="shared" si="6"/>
        <v>0</v>
      </c>
      <c r="E202" s="16">
        <f>IF('Components Yr 1'!E202=0,0,'Components Yr 1'!E202)</f>
        <v>0</v>
      </c>
      <c r="F202" s="17">
        <f>IF('Components Yr 1'!F202=0,0,'Components Yr 1'!F202)</f>
        <v>0</v>
      </c>
      <c r="G202" s="17">
        <f>IF('Components Yr 1'!G202=0,0,'Components Yr 1'!G202)</f>
        <v>0</v>
      </c>
      <c r="H202" s="17">
        <f>IF('Components Yr 1'!H202=0,0,'Components Yr 1'!H202)</f>
        <v>0</v>
      </c>
      <c r="I202" s="17">
        <f>IF('Components Yr 1'!I202=0,0,'Components Yr 1'!I202)</f>
        <v>0</v>
      </c>
      <c r="J202" s="17">
        <f>IF('Components Yr 1'!J202=0,0,'Components Yr 1'!J202)</f>
        <v>0</v>
      </c>
      <c r="K202" s="17">
        <f>IF('Components Yr 1'!K202=0,0,'Components Yr 1'!K202)</f>
        <v>0</v>
      </c>
      <c r="L202" s="12"/>
      <c r="M202" s="12"/>
      <c r="N202" s="12"/>
      <c r="O202" s="12"/>
      <c r="P202" s="12"/>
      <c r="Q202" s="17"/>
      <c r="R202" s="18">
        <f>IF(SUMPRODUCT((E202:Q202)*1)=0,0,E202*INDEX(Hours!M:M,MATCH(C202,Hours!$A:$A,0))+F202*INDEX(Hours!B:B,MATCH(C202,Hours!$A:$A,0))+G202*INDEX(Hours!C:C,MATCH(C202,Hours!$A:$A,0))+H202*INDEX(Hours!D:D,MATCH(C202,Hours!$A:$A,0))+I202*INDEX(Hours!E:E,MATCH(C202,Hours!$A:$A,0))+J202*INDEX(Hours!F:F,MATCH(C202,Hours!$A:$A,0))+K202*INDEX(Hours!G:G,MATCH(C202,Hours!$A:$A,0)))</f>
        <v>0</v>
      </c>
      <c r="S202" s="19">
        <f t="shared" si="7"/>
        <v>0</v>
      </c>
    </row>
    <row r="203" spans="1:19" x14ac:dyDescent="0.25">
      <c r="A203" s="15" t="str">
        <f>'Bldgs &amp; Rooms'!$A$7</f>
        <v>Main Bldg.</v>
      </c>
      <c r="B203" s="15">
        <f>'Bldgs &amp; Rooms'!$B$7</f>
        <v>0</v>
      </c>
      <c r="C203" s="14" t="str">
        <f>Hours!$A$18</f>
        <v>Individual Combination Motor Starter &gt; 100A</v>
      </c>
      <c r="D203" s="15">
        <f t="shared" si="6"/>
        <v>0</v>
      </c>
      <c r="E203" s="16">
        <f>IF('Components Yr 1'!E203=0,0,'Components Yr 1'!E203)</f>
        <v>0</v>
      </c>
      <c r="F203" s="17">
        <f>IF('Components Yr 1'!F203=0,0,'Components Yr 1'!F203)</f>
        <v>0</v>
      </c>
      <c r="G203" s="17">
        <f>IF('Components Yr 1'!G203=0,0,'Components Yr 1'!G203)</f>
        <v>0</v>
      </c>
      <c r="H203" s="17">
        <f>IF('Components Yr 1'!H203=0,0,'Components Yr 1'!H203)</f>
        <v>0</v>
      </c>
      <c r="I203" s="17">
        <f>IF('Components Yr 1'!I203=0,0,'Components Yr 1'!I203)</f>
        <v>0</v>
      </c>
      <c r="J203" s="17">
        <f>IF('Components Yr 1'!J203=0,0,'Components Yr 1'!J203)</f>
        <v>0</v>
      </c>
      <c r="K203" s="17">
        <f>IF('Components Yr 1'!K203=0,0,'Components Yr 1'!K203)</f>
        <v>0</v>
      </c>
      <c r="L203" s="12"/>
      <c r="M203" s="12"/>
      <c r="N203" s="12"/>
      <c r="O203" s="12"/>
      <c r="P203" s="12"/>
      <c r="Q203" s="17"/>
      <c r="R203" s="18">
        <f>IF(SUMPRODUCT((E203:Q203)*1)=0,0,E203*INDEX(Hours!M:M,MATCH(C203,Hours!$A:$A,0))+F203*INDEX(Hours!B:B,MATCH(C203,Hours!$A:$A,0))+G203*INDEX(Hours!C:C,MATCH(C203,Hours!$A:$A,0))+H203*INDEX(Hours!D:D,MATCH(C203,Hours!$A:$A,0))+I203*INDEX(Hours!E:E,MATCH(C203,Hours!$A:$A,0))+J203*INDEX(Hours!F:F,MATCH(C203,Hours!$A:$A,0))+K203*INDEX(Hours!G:G,MATCH(C203,Hours!$A:$A,0)))</f>
        <v>0</v>
      </c>
      <c r="S203" s="19">
        <f t="shared" si="7"/>
        <v>0</v>
      </c>
    </row>
    <row r="204" spans="1:19" x14ac:dyDescent="0.25">
      <c r="A204" s="15" t="str">
        <f>'Bldgs &amp; Rooms'!$A$7</f>
        <v>Main Bldg.</v>
      </c>
      <c r="B204" s="15">
        <f>'Bldgs &amp; Rooms'!$B$7</f>
        <v>0</v>
      </c>
      <c r="C204" s="14" t="str">
        <f>Hours!$A$19</f>
        <v>Oil Filled Transformer - 5kV-15kV Primary - Any Size (Pad Mounted)</v>
      </c>
      <c r="D204" s="15">
        <f t="shared" si="6"/>
        <v>0</v>
      </c>
      <c r="E204" s="16">
        <f>IF('Components Yr 1'!E204=0,0,'Components Yr 1'!E204)</f>
        <v>0</v>
      </c>
      <c r="F204" s="17">
        <f>IF('Components Yr 1'!F204=0,0,'Components Yr 1'!F204)</f>
        <v>0</v>
      </c>
      <c r="G204" s="17">
        <f>IF('Components Yr 1'!G204=0,0,'Components Yr 1'!G204)</f>
        <v>0</v>
      </c>
      <c r="H204" s="17">
        <f>IF('Components Yr 1'!H204=0,0,'Components Yr 1'!H204)</f>
        <v>0</v>
      </c>
      <c r="I204" s="17">
        <f>IF('Components Yr 1'!I204=0,0,'Components Yr 1'!I204)</f>
        <v>0</v>
      </c>
      <c r="J204" s="17">
        <f>IF('Components Yr 1'!J204=0,0,'Components Yr 1'!J204)</f>
        <v>0</v>
      </c>
      <c r="K204" s="12"/>
      <c r="L204" s="12"/>
      <c r="M204" s="17">
        <f>IF('Components Yr 1'!M204=0,0,'Components Yr 1'!M204)</f>
        <v>0</v>
      </c>
      <c r="N204" s="17">
        <f>IF('Components Yr 1'!N204=0,0,'Components Yr 1'!N204)</f>
        <v>0</v>
      </c>
      <c r="O204" s="12"/>
      <c r="P204" s="17">
        <f>IF('Components Yr 1'!P204=0,0,'Components Yr 1'!P204)</f>
        <v>0</v>
      </c>
      <c r="Q204" s="17"/>
      <c r="R204" s="18">
        <f>IF(SUMPRODUCT((E204:Q204)*1)=0,0,E204*INDEX(Hours!M:M,MATCH(C204,Hours!$A:$A,0))+F204*INDEX(Hours!B:B,MATCH(C204,Hours!$A:$A,0))+G204*INDEX(Hours!C:C,MATCH(C204,Hours!$A:$A,0))+H204*INDEX(Hours!D:D,MATCH(C204,Hours!$A:$A,0))+I204*INDEX(Hours!E:E,MATCH(C204,Hours!$A:$A,0))+J204*INDEX(Hours!F:F,MATCH(C204,Hours!$A:$A,0))+M204*INDEX(Hours!I:I,MATCH(C204,Hours!$A:$A,0))+N204*INDEX(Hours!J:J,MATCH(C204,Hours!$A:$A,0))+P204*INDEX(Hours!L:L,MATCH(C204,Hours!$A:$A,0)))</f>
        <v>0</v>
      </c>
      <c r="S204" s="19">
        <f t="shared" si="7"/>
        <v>0</v>
      </c>
    </row>
    <row r="205" spans="1:19" x14ac:dyDescent="0.25">
      <c r="A205" s="15" t="str">
        <f>'Bldgs &amp; Rooms'!$A$7</f>
        <v>Main Bldg.</v>
      </c>
      <c r="B205" s="15">
        <f>'Bldgs &amp; Rooms'!$B$7</f>
        <v>0</v>
      </c>
      <c r="C205" s="14" t="str">
        <f>Hours!$A$20</f>
        <v>Oil Filled Transformer - &gt; 15kV Primary (Substation Class)</v>
      </c>
      <c r="D205" s="15">
        <f t="shared" si="6"/>
        <v>0</v>
      </c>
      <c r="E205" s="16">
        <f>IF('Components Yr 1'!E205=0,0,'Components Yr 1'!E205)</f>
        <v>0</v>
      </c>
      <c r="F205" s="17">
        <f>IF('Components Yr 1'!F205=0,0,'Components Yr 1'!F205)</f>
        <v>0</v>
      </c>
      <c r="G205" s="17">
        <f>IF('Components Yr 1'!G205=0,0,'Components Yr 1'!G205)</f>
        <v>0</v>
      </c>
      <c r="H205" s="17">
        <f>IF('Components Yr 1'!H205=0,0,'Components Yr 1'!H205)</f>
        <v>0</v>
      </c>
      <c r="I205" s="17">
        <f>IF('Components Yr 1'!I205=0,0,'Components Yr 1'!I205)</f>
        <v>0</v>
      </c>
      <c r="J205" s="17">
        <f>IF('Components Yr 1'!J205=0,0,'Components Yr 1'!J205)</f>
        <v>0</v>
      </c>
      <c r="K205" s="12"/>
      <c r="L205" s="12"/>
      <c r="M205" s="17">
        <f>IF('Components Yr 1'!M205=0,0,'Components Yr 1'!M205)</f>
        <v>0</v>
      </c>
      <c r="N205" s="17">
        <f>IF('Components Yr 1'!N205=0,0,'Components Yr 1'!N205)</f>
        <v>0</v>
      </c>
      <c r="O205" s="12"/>
      <c r="P205" s="17">
        <f>IF('Components Yr 1'!P205=0,0,'Components Yr 1'!P205)</f>
        <v>0</v>
      </c>
      <c r="Q205" s="17"/>
      <c r="R205" s="18">
        <f>IF(SUMPRODUCT((E205:Q205)*1)=0,0,E205*INDEX(Hours!M:M,MATCH(C205,Hours!$A:$A,0))+F205*INDEX(Hours!B:B,MATCH(C205,Hours!$A:$A,0))+G205*INDEX(Hours!C:C,MATCH(C205,Hours!$A:$A,0))+H205*INDEX(Hours!D:D,MATCH(C205,Hours!$A:$A,0))+I205*INDEX(Hours!E:E,MATCH(C205,Hours!$A:$A,0))+J205*INDEX(Hours!F:F,MATCH(C205,Hours!$A:$A,0))+M205*INDEX(Hours!I:I,MATCH(C205,Hours!$A:$A,0))+N205*INDEX(Hours!J:J,MATCH(C205,Hours!$A:$A,0))+P205*INDEX(Hours!L:L,MATCH(C205,Hours!$A:$A,0)))</f>
        <v>0</v>
      </c>
      <c r="S205" s="19">
        <f t="shared" si="7"/>
        <v>0</v>
      </c>
    </row>
    <row r="206" spans="1:19" x14ac:dyDescent="0.25">
      <c r="A206" s="15" t="str">
        <f>'Bldgs &amp; Rooms'!$A$7</f>
        <v>Main Bldg.</v>
      </c>
      <c r="B206" s="15">
        <f>'Bldgs &amp; Rooms'!$B$7</f>
        <v>0</v>
      </c>
      <c r="C206" s="14" t="str">
        <f>Hours!$A$21</f>
        <v>Dry Type Transformer - &lt; 480V Primary - Any Size kVA</v>
      </c>
      <c r="D206" s="15">
        <f t="shared" si="6"/>
        <v>0</v>
      </c>
      <c r="E206" s="16">
        <f>IF('Components Yr 1'!E206=0,0,'Components Yr 1'!E206)</f>
        <v>0</v>
      </c>
      <c r="F206" s="17">
        <f>IF('Components Yr 1'!F206=0,0,'Components Yr 1'!F206)</f>
        <v>0</v>
      </c>
      <c r="G206" s="17">
        <f>IF('Components Yr 1'!G206=0,0,'Components Yr 1'!G206)</f>
        <v>0</v>
      </c>
      <c r="H206" s="17">
        <f>IF('Components Yr 1'!H206=0,0,'Components Yr 1'!H206)</f>
        <v>0</v>
      </c>
      <c r="I206" s="17">
        <f>IF('Components Yr 1'!I206=0,0,'Components Yr 1'!I206)</f>
        <v>0</v>
      </c>
      <c r="J206" s="17">
        <f>IF('Components Yr 1'!J206=0,0,'Components Yr 1'!J206)</f>
        <v>0</v>
      </c>
      <c r="K206" s="12"/>
      <c r="L206" s="12"/>
      <c r="M206" s="17">
        <f>IF('Components Yr 1'!M206=0,0,'Components Yr 1'!M206)</f>
        <v>0</v>
      </c>
      <c r="N206" s="17">
        <f>IF('Components Yr 1'!N206=0,0,'Components Yr 1'!N206)</f>
        <v>0</v>
      </c>
      <c r="O206" s="12"/>
      <c r="P206" s="12"/>
      <c r="Q206" s="17"/>
      <c r="R206" s="18">
        <f>IF(SUMPRODUCT((E206:Q206)*1)=0,0,E206*INDEX(Hours!M:M,MATCH(C206,Hours!$A:$A,0))+F206*INDEX(Hours!B:B,MATCH(C206,Hours!$A:$A,0))+G206*INDEX(Hours!C:C,MATCH(C206,Hours!$A:$A,0))+H206*INDEX(Hours!D:D,MATCH(C206,Hours!$A:$A,0))+I206*INDEX(Hours!E:E,MATCH(C206,Hours!$A:$A,0))+J206*INDEX(Hours!F:F,MATCH(C206,Hours!$A:$A,0))+M206*INDEX(Hours!I:I,MATCH(C206,Hours!$A:$A,0))+N206*INDEX(Hours!J:J,MATCH(C206,Hours!$A:$A,0)))</f>
        <v>0</v>
      </c>
      <c r="S206" s="19">
        <f t="shared" si="7"/>
        <v>0</v>
      </c>
    </row>
    <row r="207" spans="1:19" x14ac:dyDescent="0.25">
      <c r="A207" s="15" t="str">
        <f>'Bldgs &amp; Rooms'!$A$7</f>
        <v>Main Bldg.</v>
      </c>
      <c r="B207" s="15">
        <f>'Bldgs &amp; Rooms'!$B$7</f>
        <v>0</v>
      </c>
      <c r="C207" s="14" t="str">
        <f>Hours!$A$22</f>
        <v>Power Factor Correction Capacitors</v>
      </c>
      <c r="D207" s="15">
        <f t="shared" si="6"/>
        <v>0</v>
      </c>
      <c r="E207" s="16">
        <f>IF('Components Yr 1'!E207=0,0,'Components Yr 1'!E207)</f>
        <v>0</v>
      </c>
      <c r="F207" s="17">
        <f>IF('Components Yr 1'!F207=0,0,'Components Yr 1'!F207)</f>
        <v>0</v>
      </c>
      <c r="G207" s="17">
        <f>IF('Components Yr 1'!G207=0,0,'Components Yr 1'!G207)</f>
        <v>0</v>
      </c>
      <c r="H207" s="17">
        <f>IF('Components Yr 1'!H207=0,0,'Components Yr 1'!H207)</f>
        <v>0</v>
      </c>
      <c r="I207" s="17">
        <f>IF('Components Yr 1'!I207=0,0,'Components Yr 1'!I207)</f>
        <v>0</v>
      </c>
      <c r="J207" s="17">
        <f>IF('Components Yr 1'!J207=0,0,'Components Yr 1'!J207)</f>
        <v>0</v>
      </c>
      <c r="K207" s="12"/>
      <c r="L207" s="12"/>
      <c r="M207" s="12"/>
      <c r="N207" s="12"/>
      <c r="O207" s="12"/>
      <c r="P207" s="12"/>
      <c r="Q207" s="17"/>
      <c r="R207" s="18">
        <f>IF(SUMPRODUCT((E207:Q207)*1)=0,0,E207*INDEX(Hours!M:M,MATCH(C207,Hours!$A:$A,0))+F207*INDEX(Hours!B:B,MATCH(C207,Hours!$A:$A,0))+G207*INDEX(Hours!C:C,MATCH(C207,Hours!$A:$A,0))+H207*INDEX(Hours!D:D,MATCH(C207,Hours!$A:$A,0))+I207*INDEX(Hours!E:E,MATCH(C207,Hours!$A:$A,0))+J207*INDEX(Hours!F:F,MATCH(C207,Hours!$A:$A,0)))</f>
        <v>0</v>
      </c>
      <c r="S207" s="19">
        <f t="shared" si="7"/>
        <v>0</v>
      </c>
    </row>
    <row r="208" spans="1:19" x14ac:dyDescent="0.25">
      <c r="A208" s="15" t="str">
        <f>'Bldgs &amp; Rooms'!$A$7</f>
        <v>Main Bldg.</v>
      </c>
      <c r="B208" s="15">
        <f>'Bldgs &amp; Rooms'!$B$7</f>
        <v>0</v>
      </c>
      <c r="C208" s="14" t="str">
        <f>Hours!$A$23</f>
        <v>Lighting Contactor &gt; 100A</v>
      </c>
      <c r="D208" s="15">
        <f t="shared" si="6"/>
        <v>0</v>
      </c>
      <c r="E208" s="16">
        <f>IF('Components Yr 1'!E208=0,0,'Components Yr 1'!E208)</f>
        <v>0</v>
      </c>
      <c r="F208" s="17">
        <f>IF('Components Yr 1'!F208=0,0,'Components Yr 1'!F208)</f>
        <v>0</v>
      </c>
      <c r="G208" s="17">
        <f>IF('Components Yr 1'!G208=0,0,'Components Yr 1'!G208)</f>
        <v>0</v>
      </c>
      <c r="H208" s="17">
        <f>IF('Components Yr 1'!H208=0,0,'Components Yr 1'!H208)</f>
        <v>0</v>
      </c>
      <c r="I208" s="17">
        <f>IF('Components Yr 1'!I208=0,0,'Components Yr 1'!I208)</f>
        <v>0</v>
      </c>
      <c r="J208" s="17">
        <f>IF('Components Yr 1'!J208=0,0,'Components Yr 1'!J208)</f>
        <v>0</v>
      </c>
      <c r="K208" s="12"/>
      <c r="L208" s="12"/>
      <c r="M208" s="12"/>
      <c r="N208" s="12"/>
      <c r="O208" s="12"/>
      <c r="P208" s="12"/>
      <c r="Q208" s="17"/>
      <c r="R208" s="18">
        <f>IF(SUMPRODUCT((E208:Q208)*1)=0,0,E208*INDEX(Hours!M:M,MATCH(C208,Hours!$A:$A,0))+F208*INDEX(Hours!B:B,MATCH(C208,Hours!$A:$A,0))+G208*INDEX(Hours!C:C,MATCH(C208,Hours!$A:$A,0))+H208*INDEX(Hours!D:D,MATCH(C208,Hours!$A:$A,0))+I208*INDEX(Hours!E:E,MATCH(C208,Hours!$A:$A,0))+J208*INDEX(Hours!F:F,MATCH(C208,Hours!$A:$A,0)))</f>
        <v>0</v>
      </c>
      <c r="S208" s="19">
        <f t="shared" si="7"/>
        <v>0</v>
      </c>
    </row>
    <row r="209" spans="1:19" x14ac:dyDescent="0.25">
      <c r="A209" s="15" t="str">
        <f>'Bldgs &amp; Rooms'!$A$7</f>
        <v>Main Bldg.</v>
      </c>
      <c r="B209" s="15">
        <f>'Bldgs &amp; Rooms'!$B$7</f>
        <v>0</v>
      </c>
      <c r="C209" s="14" t="str">
        <f>Hours!$A$24</f>
        <v>Power Distribution Unit (PDU)</v>
      </c>
      <c r="D209" s="15">
        <f t="shared" si="6"/>
        <v>0</v>
      </c>
      <c r="E209" s="16">
        <f>IF('Components Yr 1'!E209=0,0,'Components Yr 1'!E209)</f>
        <v>0</v>
      </c>
      <c r="F209" s="17">
        <f>IF('Components Yr 1'!F209=0,0,'Components Yr 1'!F209)</f>
        <v>0</v>
      </c>
      <c r="G209" s="17">
        <f>IF('Components Yr 1'!G209=0,0,'Components Yr 1'!G209)</f>
        <v>0</v>
      </c>
      <c r="H209" s="17">
        <f>IF('Components Yr 1'!H209=0,0,'Components Yr 1'!H209)</f>
        <v>0</v>
      </c>
      <c r="I209" s="17">
        <f>IF('Components Yr 1'!I209=0,0,'Components Yr 1'!I209)</f>
        <v>0</v>
      </c>
      <c r="J209" s="17">
        <f>IF('Components Yr 1'!J209=0,0,'Components Yr 1'!J209)</f>
        <v>0</v>
      </c>
      <c r="K209" s="12"/>
      <c r="L209" s="12"/>
      <c r="M209" s="12"/>
      <c r="N209" s="12"/>
      <c r="O209" s="12"/>
      <c r="P209" s="12"/>
      <c r="Q209" s="17"/>
      <c r="R209" s="18">
        <f>IF(SUMPRODUCT((E209:Q209)*1)=0,0,E209*INDEX(Hours!M:M,MATCH(C209,Hours!$A:$A,0))+F209*INDEX(Hours!B:B,MATCH(C209,Hours!$A:$A,0))+G209*INDEX(Hours!C:C,MATCH(C209,Hours!$A:$A,0))+H209*INDEX(Hours!D:D,MATCH(C209,Hours!$A:$A,0))+I209*INDEX(Hours!E:E,MATCH(C209,Hours!$A:$A,0))+J209*INDEX(Hours!F:F,MATCH(C209,Hours!$A:$A,0)))</f>
        <v>0</v>
      </c>
      <c r="S209" s="19">
        <f t="shared" si="7"/>
        <v>0</v>
      </c>
    </row>
    <row r="210" spans="1:19" x14ac:dyDescent="0.25">
      <c r="A210" s="15" t="str">
        <f>'Bldgs &amp; Rooms'!$A$7</f>
        <v>Main Bldg.</v>
      </c>
      <c r="B210" s="15">
        <f>'Bldgs &amp; Rooms'!$B$7</f>
        <v>0</v>
      </c>
      <c r="C210" s="14" t="str">
        <f>Hours!$A$25</f>
        <v>Wire Trough, Gutter, or Large Junction Boxes</v>
      </c>
      <c r="D210" s="15">
        <f t="shared" si="6"/>
        <v>0</v>
      </c>
      <c r="E210" s="16">
        <f>IF('Components Yr 1'!E210=0,0,'Components Yr 1'!E210)</f>
        <v>0</v>
      </c>
      <c r="F210" s="17">
        <f>IF('Components Yr 1'!F210=0,0,'Components Yr 1'!F210)</f>
        <v>0</v>
      </c>
      <c r="G210" s="17">
        <f>IF('Components Yr 1'!G210=0,0,'Components Yr 1'!G210)</f>
        <v>0</v>
      </c>
      <c r="H210" s="17">
        <f>IF('Components Yr 1'!H210=0,0,'Components Yr 1'!H210)</f>
        <v>0</v>
      </c>
      <c r="I210" s="17">
        <f>IF('Components Yr 1'!I210=0,0,'Components Yr 1'!I210)</f>
        <v>0</v>
      </c>
      <c r="J210" s="17">
        <f>IF('Components Yr 1'!J210=0,0,'Components Yr 1'!J210)</f>
        <v>0</v>
      </c>
      <c r="K210" s="12"/>
      <c r="L210" s="12"/>
      <c r="M210" s="12"/>
      <c r="N210" s="12"/>
      <c r="O210" s="12"/>
      <c r="P210" s="12"/>
      <c r="Q210" s="17"/>
      <c r="R210" s="18">
        <f>IF(SUMPRODUCT((E210:Q210)*1)=0,0,E210*INDEX(Hours!M:M,MATCH(C210,Hours!$A:$A,0))+F210*INDEX(Hours!B:B,MATCH(C210,Hours!$A:$A,0))+G210*INDEX(Hours!C:C,MATCH(C210,Hours!$A:$A,0))+H210*INDEX(Hours!D:D,MATCH(C210,Hours!$A:$A,0))+I210*INDEX(Hours!E:E,MATCH(C210,Hours!$A:$A,0))+J210*INDEX(Hours!F:F,MATCH(C210,Hours!$A:$A,0)))</f>
        <v>0</v>
      </c>
      <c r="S210" s="19">
        <f t="shared" si="7"/>
        <v>0</v>
      </c>
    </row>
    <row r="211" spans="1:19" x14ac:dyDescent="0.25">
      <c r="A211" s="15" t="str">
        <f>'Bldgs &amp; Rooms'!$A$7</f>
        <v>Main Bldg.</v>
      </c>
      <c r="B211" s="15">
        <f>'Bldgs &amp; Rooms'!$B$7</f>
        <v>0</v>
      </c>
      <c r="C211" s="14" t="str">
        <f>Hours!$A$26</f>
        <v>Bus Duct - Vertical or Horizontal (Per 10' section)</v>
      </c>
      <c r="D211" s="15">
        <f t="shared" si="6"/>
        <v>0</v>
      </c>
      <c r="E211" s="16">
        <f>IF('Components Yr 1'!E211=0,0,'Components Yr 1'!E211)</f>
        <v>0</v>
      </c>
      <c r="F211" s="17">
        <f>IF('Components Yr 1'!F211=0,0,'Components Yr 1'!F211)</f>
        <v>0</v>
      </c>
      <c r="G211" s="17">
        <f>IF('Components Yr 1'!G211=0,0,'Components Yr 1'!G211)</f>
        <v>0</v>
      </c>
      <c r="H211" s="17">
        <f>IF('Components Yr 1'!H211=0,0,'Components Yr 1'!H211)</f>
        <v>0</v>
      </c>
      <c r="I211" s="17">
        <f>IF('Components Yr 1'!I211=0,0,'Components Yr 1'!I211)</f>
        <v>0</v>
      </c>
      <c r="J211" s="17">
        <f>IF('Components Yr 1'!J211=0,0,'Components Yr 1'!J211)</f>
        <v>0</v>
      </c>
      <c r="K211" s="12"/>
      <c r="L211" s="12"/>
      <c r="M211" s="12"/>
      <c r="N211" s="12"/>
      <c r="O211" s="12"/>
      <c r="P211" s="12"/>
      <c r="Q211" s="17"/>
      <c r="R211" s="18">
        <f>IF(SUMPRODUCT((E211:Q211)*1)=0,0,E211*INDEX(Hours!M:M,MATCH(C211,Hours!$A:$A,0))+F211*INDEX(Hours!B:B,MATCH(C211,Hours!$A:$A,0))+G211*INDEX(Hours!C:C,MATCH(C211,Hours!$A:$A,0))+H211*INDEX(Hours!D:D,MATCH(C211,Hours!$A:$A,0))+I211*INDEX(Hours!E:E,MATCH(C211,Hours!$A:$A,0))+J211*INDEX(Hours!F:F,MATCH(C211,Hours!$A:$A,0)))</f>
        <v>0</v>
      </c>
      <c r="S211" s="19">
        <f t="shared" si="7"/>
        <v>0</v>
      </c>
    </row>
    <row r="212" spans="1:19" x14ac:dyDescent="0.25">
      <c r="A212" s="15" t="str">
        <f>'Bldgs &amp; Rooms'!$A$7</f>
        <v>Main Bldg.</v>
      </c>
      <c r="B212" s="15">
        <f>'Bldgs &amp; Rooms'!$B$7</f>
        <v>0</v>
      </c>
      <c r="C212" s="14" t="str">
        <f>Hours!$A$27</f>
        <v>Automatic Transfer Switch (ATS) &gt; 100A</v>
      </c>
      <c r="D212" s="15">
        <f t="shared" si="6"/>
        <v>0</v>
      </c>
      <c r="E212" s="16">
        <f>IF('Components Yr 1'!E212=0,0,'Components Yr 1'!E212)</f>
        <v>0</v>
      </c>
      <c r="F212" s="17">
        <f>IF('Components Yr 1'!F212=0,0,'Components Yr 1'!F212)</f>
        <v>0</v>
      </c>
      <c r="G212" s="17">
        <f>IF('Components Yr 1'!G212=0,0,'Components Yr 1'!G212)</f>
        <v>0</v>
      </c>
      <c r="H212" s="17">
        <f>IF('Components Yr 1'!H212=0,0,'Components Yr 1'!H212)</f>
        <v>0</v>
      </c>
      <c r="I212" s="17">
        <f>IF('Components Yr 1'!I212=0,0,'Components Yr 1'!I212)</f>
        <v>0</v>
      </c>
      <c r="J212" s="17">
        <f>IF('Components Yr 1'!J212=0,0,'Components Yr 1'!J212)</f>
        <v>0</v>
      </c>
      <c r="K212" s="12"/>
      <c r="L212" s="12"/>
      <c r="M212" s="12"/>
      <c r="N212" s="12"/>
      <c r="O212" s="12"/>
      <c r="P212" s="12"/>
      <c r="Q212" s="17"/>
      <c r="R212" s="18">
        <f>IF(SUMPRODUCT((E212:Q212)*1)=0,0,E212*INDEX(Hours!M:M,MATCH(C212,Hours!$A:$A,0))+F212*INDEX(Hours!B:B,MATCH(C212,Hours!$A:$A,0))+G212*INDEX(Hours!C:C,MATCH(C212,Hours!$A:$A,0))+H212*INDEX(Hours!D:D,MATCH(C212,Hours!$A:$A,0))+I212*INDEX(Hours!E:E,MATCH(C212,Hours!$A:$A,0))+J212*INDEX(Hours!F:F,MATCH(C212,Hours!$A:$A,0)))</f>
        <v>0</v>
      </c>
      <c r="S212" s="19">
        <f t="shared" si="7"/>
        <v>0</v>
      </c>
    </row>
    <row r="213" spans="1:19" x14ac:dyDescent="0.25">
      <c r="A213" s="15" t="str">
        <f>'Bldgs &amp; Rooms'!$A$7</f>
        <v>Main Bldg.</v>
      </c>
      <c r="B213" s="15">
        <f>'Bldgs &amp; Rooms'!$B$7</f>
        <v>0</v>
      </c>
      <c r="C213" s="14" t="str">
        <f>Hours!$A$28</f>
        <v>Manual Transfer Switch (MTS) &gt; 100A</v>
      </c>
      <c r="D213" s="15">
        <f t="shared" si="6"/>
        <v>0</v>
      </c>
      <c r="E213" s="16">
        <f>IF('Components Yr 1'!E213=0,0,'Components Yr 1'!E213)</f>
        <v>0</v>
      </c>
      <c r="F213" s="17">
        <f>IF('Components Yr 1'!F213=0,0,'Components Yr 1'!F213)</f>
        <v>0</v>
      </c>
      <c r="G213" s="17">
        <f>IF('Components Yr 1'!G213=0,0,'Components Yr 1'!G213)</f>
        <v>0</v>
      </c>
      <c r="H213" s="17">
        <f>IF('Components Yr 1'!H213=0,0,'Components Yr 1'!H213)</f>
        <v>0</v>
      </c>
      <c r="I213" s="17">
        <f>IF('Components Yr 1'!I213=0,0,'Components Yr 1'!I213)</f>
        <v>0</v>
      </c>
      <c r="J213" s="17">
        <f>IF('Components Yr 1'!J213=0,0,'Components Yr 1'!J213)</f>
        <v>0</v>
      </c>
      <c r="K213" s="12"/>
      <c r="L213" s="12"/>
      <c r="M213" s="12"/>
      <c r="N213" s="12"/>
      <c r="O213" s="12"/>
      <c r="P213" s="12"/>
      <c r="Q213" s="17"/>
      <c r="R213" s="18">
        <f>IF(SUMPRODUCT((E213:Q213)*1)=0,0,E213*INDEX(Hours!M:M,MATCH(C213,Hours!$A:$A,0))+F213*INDEX(Hours!B:B,MATCH(C213,Hours!$A:$A,0))+G213*INDEX(Hours!C:C,MATCH(C213,Hours!$A:$A,0))+H213*INDEX(Hours!D:D,MATCH(C213,Hours!$A:$A,0))+I213*INDEX(Hours!E:E,MATCH(C213,Hours!$A:$A,0))+J213*INDEX(Hours!F:F,MATCH(C213,Hours!$A:$A,0)))</f>
        <v>0</v>
      </c>
      <c r="S213" s="19">
        <f t="shared" si="7"/>
        <v>0</v>
      </c>
    </row>
    <row r="214" spans="1:19" x14ac:dyDescent="0.25">
      <c r="A214" s="15" t="str">
        <f>'Bldgs &amp; Rooms'!$A$7</f>
        <v>Main Bldg.</v>
      </c>
      <c r="B214" s="15">
        <f>'Bldgs &amp; Rooms'!$B$7</f>
        <v>0</v>
      </c>
      <c r="C214" s="14" t="str">
        <f>Hours!$A$29</f>
        <v>Variable Frequency Drives (VFD) &lt; 50 HP</v>
      </c>
      <c r="D214" s="15">
        <f t="shared" si="6"/>
        <v>0</v>
      </c>
      <c r="E214" s="16">
        <f>IF('Components Yr 1'!E214=0,0,'Components Yr 1'!E214)</f>
        <v>0</v>
      </c>
      <c r="F214" s="17">
        <f>IF('Components Yr 1'!F214=0,0,'Components Yr 1'!F214)</f>
        <v>0</v>
      </c>
      <c r="G214" s="17">
        <f>IF('Components Yr 1'!G214=0,0,'Components Yr 1'!G214)</f>
        <v>0</v>
      </c>
      <c r="H214" s="17">
        <f>IF('Components Yr 1'!H214=0,0,'Components Yr 1'!H214)</f>
        <v>0</v>
      </c>
      <c r="I214" s="17">
        <f>IF('Components Yr 1'!I214=0,0,'Components Yr 1'!I214)</f>
        <v>0</v>
      </c>
      <c r="J214" s="17">
        <f>IF('Components Yr 1'!J214=0,0,'Components Yr 1'!J214)</f>
        <v>0</v>
      </c>
      <c r="K214" s="12"/>
      <c r="L214" s="12"/>
      <c r="M214" s="12"/>
      <c r="N214" s="12"/>
      <c r="O214" s="12"/>
      <c r="P214" s="12"/>
      <c r="Q214" s="17"/>
      <c r="R214" s="18">
        <f>IF(SUMPRODUCT((E214:Q214)*1)=0,0,E214*INDEX(Hours!M:M,MATCH(C214,Hours!$A:$A,0))+F214*INDEX(Hours!B:B,MATCH(C214,Hours!$A:$A,0))+G214*INDEX(Hours!C:C,MATCH(C214,Hours!$A:$A,0))+H214*INDEX(Hours!D:D,MATCH(C214,Hours!$A:$A,0))+I214*INDEX(Hours!E:E,MATCH(C214,Hours!$A:$A,0))+J214*INDEX(Hours!F:F,MATCH(C214,Hours!$A:$A,0)))</f>
        <v>0</v>
      </c>
      <c r="S214" s="19">
        <f t="shared" si="7"/>
        <v>0</v>
      </c>
    </row>
    <row r="215" spans="1:19" x14ac:dyDescent="0.25">
      <c r="A215" s="15" t="str">
        <f>'Bldgs &amp; Rooms'!$A$7</f>
        <v>Main Bldg.</v>
      </c>
      <c r="B215" s="15">
        <f>'Bldgs &amp; Rooms'!$B$7</f>
        <v>0</v>
      </c>
      <c r="C215" s="14" t="str">
        <f>Hours!$A$30</f>
        <v>Variable Frequency Drives (VFD) 51-200 HP</v>
      </c>
      <c r="D215" s="15">
        <f t="shared" si="6"/>
        <v>0</v>
      </c>
      <c r="E215" s="16">
        <f>IF('Components Yr 1'!E215=0,0,'Components Yr 1'!E215)</f>
        <v>0</v>
      </c>
      <c r="F215" s="17">
        <f>IF('Components Yr 1'!F215=0,0,'Components Yr 1'!F215)</f>
        <v>0</v>
      </c>
      <c r="G215" s="17">
        <f>IF('Components Yr 1'!G215=0,0,'Components Yr 1'!G215)</f>
        <v>0</v>
      </c>
      <c r="H215" s="17">
        <f>IF('Components Yr 1'!H215=0,0,'Components Yr 1'!H215)</f>
        <v>0</v>
      </c>
      <c r="I215" s="17">
        <f>IF('Components Yr 1'!I215=0,0,'Components Yr 1'!I215)</f>
        <v>0</v>
      </c>
      <c r="J215" s="17">
        <f>IF('Components Yr 1'!J215=0,0,'Components Yr 1'!J215)</f>
        <v>0</v>
      </c>
      <c r="K215" s="12"/>
      <c r="L215" s="12"/>
      <c r="M215" s="12"/>
      <c r="N215" s="12"/>
      <c r="O215" s="12"/>
      <c r="P215" s="12"/>
      <c r="Q215" s="17"/>
      <c r="R215" s="18">
        <f>IF(SUMPRODUCT((E215:Q215)*1)=0,0,E215*INDEX(Hours!M:M,MATCH(C215,Hours!$A:$A,0))+F215*INDEX(Hours!B:B,MATCH(C215,Hours!$A:$A,0))+G215*INDEX(Hours!C:C,MATCH(C215,Hours!$A:$A,0))+H215*INDEX(Hours!D:D,MATCH(C215,Hours!$A:$A,0))+I215*INDEX(Hours!E:E,MATCH(C215,Hours!$A:$A,0))+J215*INDEX(Hours!F:F,MATCH(C215,Hours!$A:$A,0)))</f>
        <v>0</v>
      </c>
      <c r="S215" s="19">
        <f t="shared" si="7"/>
        <v>0</v>
      </c>
    </row>
    <row r="216" spans="1:19" x14ac:dyDescent="0.25">
      <c r="A216" s="15" t="str">
        <f>'Bldgs &amp; Rooms'!$A$7</f>
        <v>Main Bldg.</v>
      </c>
      <c r="B216" s="15">
        <f>'Bldgs &amp; Rooms'!$B$7</f>
        <v>0</v>
      </c>
      <c r="C216" s="14" t="str">
        <f>Hours!$A$31</f>
        <v>Motors &lt; 50 HP</v>
      </c>
      <c r="D216" s="15">
        <f t="shared" si="6"/>
        <v>0</v>
      </c>
      <c r="E216" s="16">
        <f>IF('Components Yr 1'!E216=0,0,'Components Yr 1'!E216)</f>
        <v>0</v>
      </c>
      <c r="F216" s="17">
        <f>IF('Components Yr 1'!F216=0,0,'Components Yr 1'!F216)</f>
        <v>0</v>
      </c>
      <c r="G216" s="17">
        <f>IF('Components Yr 1'!G216=0,0,'Components Yr 1'!G216)</f>
        <v>0</v>
      </c>
      <c r="H216" s="17">
        <f>IF('Components Yr 1'!H216=0,0,'Components Yr 1'!H216)</f>
        <v>0</v>
      </c>
      <c r="I216" s="17">
        <f>IF('Components Yr 1'!I216=0,0,'Components Yr 1'!I216)</f>
        <v>0</v>
      </c>
      <c r="J216" s="17">
        <f>IF('Components Yr 1'!J216=0,0,'Components Yr 1'!J216)</f>
        <v>0</v>
      </c>
      <c r="K216" s="12"/>
      <c r="L216" s="12"/>
      <c r="M216" s="12"/>
      <c r="N216" s="12"/>
      <c r="O216" s="12"/>
      <c r="P216" s="12"/>
      <c r="Q216" s="17"/>
      <c r="R216" s="18">
        <f>IF(SUMPRODUCT((E216:Q216)*1)=0,0,E216*INDEX(Hours!M:M,MATCH(C216,Hours!$A:$A,0))+F216*INDEX(Hours!B:B,MATCH(C216,Hours!$A:$A,0))+G216*INDEX(Hours!C:C,MATCH(C216,Hours!$A:$A,0))+H216*INDEX(Hours!D:D,MATCH(C216,Hours!$A:$A,0))+I216*INDEX(Hours!E:E,MATCH(C216,Hours!$A:$A,0))+J216*INDEX(Hours!F:F,MATCH(C216,Hours!$A:$A,0)))</f>
        <v>0</v>
      </c>
      <c r="S216" s="19">
        <f t="shared" si="7"/>
        <v>0</v>
      </c>
    </row>
    <row r="217" spans="1:19" x14ac:dyDescent="0.25">
      <c r="A217" s="15" t="str">
        <f>'Bldgs &amp; Rooms'!$A$7</f>
        <v>Main Bldg.</v>
      </c>
      <c r="B217" s="15">
        <f>'Bldgs &amp; Rooms'!$B$7</f>
        <v>0</v>
      </c>
      <c r="C217" s="14" t="str">
        <f>Hours!$A$32</f>
        <v>Motors 51-200 HP</v>
      </c>
      <c r="D217" s="15">
        <f t="shared" si="6"/>
        <v>0</v>
      </c>
      <c r="E217" s="16">
        <f>IF('Components Yr 1'!E217=0,0,'Components Yr 1'!E217)</f>
        <v>0</v>
      </c>
      <c r="F217" s="17">
        <f>IF('Components Yr 1'!F217=0,0,'Components Yr 1'!F217)</f>
        <v>0</v>
      </c>
      <c r="G217" s="17">
        <f>IF('Components Yr 1'!G217=0,0,'Components Yr 1'!G217)</f>
        <v>0</v>
      </c>
      <c r="H217" s="17">
        <f>IF('Components Yr 1'!H217=0,0,'Components Yr 1'!H217)</f>
        <v>0</v>
      </c>
      <c r="I217" s="17">
        <f>IF('Components Yr 1'!I217=0,0,'Components Yr 1'!I217)</f>
        <v>0</v>
      </c>
      <c r="J217" s="17">
        <f>IF('Components Yr 1'!J217=0,0,'Components Yr 1'!J217)</f>
        <v>0</v>
      </c>
      <c r="K217" s="12"/>
      <c r="L217" s="12"/>
      <c r="M217" s="12"/>
      <c r="N217" s="12"/>
      <c r="O217" s="12"/>
      <c r="P217" s="12"/>
      <c r="Q217" s="17"/>
      <c r="R217" s="18">
        <f>IF(SUMPRODUCT((E217:Q217)*1)=0,0,E217*INDEX(Hours!M:M,MATCH(C217,Hours!$A:$A,0))+F217*INDEX(Hours!B:B,MATCH(C217,Hours!$A:$A,0))+G217*INDEX(Hours!C:C,MATCH(C217,Hours!$A:$A,0))+H217*INDEX(Hours!D:D,MATCH(C217,Hours!$A:$A,0))+I217*INDEX(Hours!E:E,MATCH(C217,Hours!$A:$A,0))+J217*INDEX(Hours!F:F,MATCH(C217,Hours!$A:$A,0)))</f>
        <v>0</v>
      </c>
      <c r="S217" s="19">
        <f t="shared" si="7"/>
        <v>0</v>
      </c>
    </row>
    <row r="218" spans="1:19" x14ac:dyDescent="0.25">
      <c r="A218" s="15" t="str">
        <f>'Bldgs &amp; Rooms'!$A$7</f>
        <v>Main Bldg.</v>
      </c>
      <c r="B218" s="15">
        <f>'Bldgs &amp; Rooms'!$B$7</f>
        <v>0</v>
      </c>
      <c r="C218" s="14" t="str">
        <f>Hours!$A$33</f>
        <v>Motors 201-500 HP</v>
      </c>
      <c r="D218" s="15">
        <f t="shared" si="6"/>
        <v>0</v>
      </c>
      <c r="E218" s="16">
        <f>IF('Components Yr 1'!E218=0,0,'Components Yr 1'!E218)</f>
        <v>0</v>
      </c>
      <c r="F218" s="17">
        <f>IF('Components Yr 1'!F218=0,0,'Components Yr 1'!F218)</f>
        <v>0</v>
      </c>
      <c r="G218" s="17">
        <f>IF('Components Yr 1'!G218=0,0,'Components Yr 1'!G218)</f>
        <v>0</v>
      </c>
      <c r="H218" s="17">
        <f>IF('Components Yr 1'!H218=0,0,'Components Yr 1'!H218)</f>
        <v>0</v>
      </c>
      <c r="I218" s="17">
        <f>IF('Components Yr 1'!I218=0,0,'Components Yr 1'!I218)</f>
        <v>0</v>
      </c>
      <c r="J218" s="17">
        <f>IF('Components Yr 1'!J218=0,0,'Components Yr 1'!J218)</f>
        <v>0</v>
      </c>
      <c r="K218" s="12"/>
      <c r="L218" s="12"/>
      <c r="M218" s="12"/>
      <c r="N218" s="12"/>
      <c r="O218" s="12"/>
      <c r="P218" s="12"/>
      <c r="Q218" s="17"/>
      <c r="R218" s="18">
        <f>IF(SUMPRODUCT((E218:Q218)*1)=0,0,E218*INDEX(Hours!M:M,MATCH(C218,Hours!$A:$A,0))+F218*INDEX(Hours!B:B,MATCH(C218,Hours!$A:$A,0))+G218*INDEX(Hours!C:C,MATCH(C218,Hours!$A:$A,0))+H218*INDEX(Hours!D:D,MATCH(C218,Hours!$A:$A,0))+I218*INDEX(Hours!E:E,MATCH(C218,Hours!$A:$A,0))+J218*INDEX(Hours!F:F,MATCH(C218,Hours!$A:$A,0)))</f>
        <v>0</v>
      </c>
      <c r="S218" s="19">
        <f t="shared" si="7"/>
        <v>0</v>
      </c>
    </row>
    <row r="219" spans="1:19" x14ac:dyDescent="0.25">
      <c r="A219" s="15" t="str">
        <f>'Bldgs &amp; Rooms'!$A$7</f>
        <v>Main Bldg.</v>
      </c>
      <c r="B219" s="15">
        <f>'Bldgs &amp; Rooms'!$B$7</f>
        <v>0</v>
      </c>
      <c r="C219" s="14" t="str">
        <f>Hours!$A$34</f>
        <v>Compressed Air Equipment</v>
      </c>
      <c r="D219" s="15">
        <f t="shared" si="6"/>
        <v>0</v>
      </c>
      <c r="E219" s="16">
        <f>IF('Components Yr 1'!E219=0,0,'Components Yr 1'!E219)</f>
        <v>0</v>
      </c>
      <c r="F219" s="17">
        <f>IF('Components Yr 1'!F219=0,0,'Components Yr 1'!F219)</f>
        <v>0</v>
      </c>
      <c r="G219" s="17">
        <f>IF('Components Yr 1'!G219=0,0,'Components Yr 1'!G219)</f>
        <v>0</v>
      </c>
      <c r="H219" s="17">
        <f>IF('Components Yr 1'!H219=0,0,'Components Yr 1'!H219)</f>
        <v>0</v>
      </c>
      <c r="I219" s="17">
        <f>IF('Components Yr 1'!I219=0,0,'Components Yr 1'!I219)</f>
        <v>0</v>
      </c>
      <c r="J219" s="17">
        <f>IF('Components Yr 1'!J219=0,0,'Components Yr 1'!J219)</f>
        <v>0</v>
      </c>
      <c r="K219" s="12"/>
      <c r="L219" s="12"/>
      <c r="M219" s="12"/>
      <c r="N219" s="12"/>
      <c r="O219" s="12"/>
      <c r="P219" s="12"/>
      <c r="Q219" s="17"/>
      <c r="R219" s="18">
        <f>IF(SUMPRODUCT((E219:Q219)*1)=0,0,E219*INDEX(Hours!M:M,MATCH(C219,Hours!$A:$A,0))+F219*INDEX(Hours!B:B,MATCH(C219,Hours!$A:$A,0))+G219*INDEX(Hours!C:C,MATCH(C219,Hours!$A:$A,0))+H219*INDEX(Hours!D:D,MATCH(C219,Hours!$A:$A,0))+I219*INDEX(Hours!E:E,MATCH(C219,Hours!$A:$A,0))+J219*INDEX(Hours!F:F,MATCH(C219,Hours!$A:$A,0)))</f>
        <v>0</v>
      </c>
      <c r="S219" s="19">
        <f t="shared" si="7"/>
        <v>0</v>
      </c>
    </row>
    <row r="220" spans="1:19" x14ac:dyDescent="0.25">
      <c r="A220" s="15" t="str">
        <f>'Bldgs &amp; Rooms'!$A$7</f>
        <v>Main Bldg.</v>
      </c>
      <c r="B220" s="15">
        <f>'Bldgs &amp; Rooms'!$B$7</f>
        <v>0</v>
      </c>
      <c r="C220" s="14" t="str">
        <f>Hours!$A$35</f>
        <v>HVAC Equipment (Large)</v>
      </c>
      <c r="D220" s="15">
        <f t="shared" si="6"/>
        <v>0</v>
      </c>
      <c r="E220" s="16">
        <f>IF('Components Yr 1'!E220=0,0,'Components Yr 1'!E220)</f>
        <v>0</v>
      </c>
      <c r="F220" s="17">
        <f>IF('Components Yr 1'!F220=0,0,'Components Yr 1'!F220)</f>
        <v>0</v>
      </c>
      <c r="G220" s="17">
        <f>IF('Components Yr 1'!G220=0,0,'Components Yr 1'!G220)</f>
        <v>0</v>
      </c>
      <c r="H220" s="17">
        <f>IF('Components Yr 1'!H220=0,0,'Components Yr 1'!H220)</f>
        <v>0</v>
      </c>
      <c r="I220" s="17">
        <f>IF('Components Yr 1'!I220=0,0,'Components Yr 1'!I220)</f>
        <v>0</v>
      </c>
      <c r="J220" s="17">
        <f>IF('Components Yr 1'!J220=0,0,'Components Yr 1'!J220)</f>
        <v>0</v>
      </c>
      <c r="K220" s="12"/>
      <c r="L220" s="12"/>
      <c r="M220" s="12"/>
      <c r="N220" s="12"/>
      <c r="O220" s="12"/>
      <c r="P220" s="12"/>
      <c r="Q220" s="17"/>
      <c r="R220" s="18">
        <f>IF(SUMPRODUCT((E220:Q220)*1)=0,0,E220*INDEX(Hours!M:M,MATCH(C220,Hours!$A:$A,0))+F220*INDEX(Hours!B:B,MATCH(C220,Hours!$A:$A,0))+G220*INDEX(Hours!C:C,MATCH(C220,Hours!$A:$A,0))+H220*INDEX(Hours!D:D,MATCH(C220,Hours!$A:$A,0))+I220*INDEX(Hours!E:E,MATCH(C220,Hours!$A:$A,0))+J220*INDEX(Hours!F:F,MATCH(C220,Hours!$A:$A,0)))</f>
        <v>0</v>
      </c>
      <c r="S220" s="19">
        <f t="shared" si="7"/>
        <v>0</v>
      </c>
    </row>
    <row r="221" spans="1:19" x14ac:dyDescent="0.25">
      <c r="A221" s="15" t="str">
        <f>'Bldgs &amp; Rooms'!$A$7</f>
        <v>Main Bldg.</v>
      </c>
      <c r="B221" s="15">
        <f>'Bldgs &amp; Rooms'!$B$7</f>
        <v>0</v>
      </c>
      <c r="C221" s="14" t="str">
        <f>Hours!$A$36</f>
        <v>HVAC Equipment (Small)</v>
      </c>
      <c r="D221" s="15">
        <f t="shared" si="6"/>
        <v>0</v>
      </c>
      <c r="E221" s="16">
        <f>IF('Components Yr 1'!E221=0,0,'Components Yr 1'!E221)</f>
        <v>0</v>
      </c>
      <c r="F221" s="17">
        <f>IF('Components Yr 1'!F221=0,0,'Components Yr 1'!F221)</f>
        <v>0</v>
      </c>
      <c r="G221" s="17">
        <f>IF('Components Yr 1'!G221=0,0,'Components Yr 1'!G221)</f>
        <v>0</v>
      </c>
      <c r="H221" s="17">
        <f>IF('Components Yr 1'!H221=0,0,'Components Yr 1'!H221)</f>
        <v>0</v>
      </c>
      <c r="I221" s="17">
        <f>IF('Components Yr 1'!I221=0,0,'Components Yr 1'!I221)</f>
        <v>0</v>
      </c>
      <c r="J221" s="17">
        <f>IF('Components Yr 1'!J221=0,0,'Components Yr 1'!J221)</f>
        <v>0</v>
      </c>
      <c r="K221" s="12"/>
      <c r="L221" s="12"/>
      <c r="M221" s="12"/>
      <c r="N221" s="12"/>
      <c r="O221" s="12"/>
      <c r="P221" s="12"/>
      <c r="Q221" s="17"/>
      <c r="R221" s="18">
        <f>IF(SUMPRODUCT((E221:Q221)*1)=0,0,E221*INDEX(Hours!M:M,MATCH(C221,Hours!$A:$A,0))+F221*INDEX(Hours!B:B,MATCH(C221,Hours!$A:$A,0))+G221*INDEX(Hours!C:C,MATCH(C221,Hours!$A:$A,0))+H221*INDEX(Hours!D:D,MATCH(C221,Hours!$A:$A,0))+I221*INDEX(Hours!E:E,MATCH(C221,Hours!$A:$A,0))+J221*INDEX(Hours!F:F,MATCH(C221,Hours!$A:$A,0)))</f>
        <v>0</v>
      </c>
      <c r="S221" s="19">
        <f t="shared" si="7"/>
        <v>0</v>
      </c>
    </row>
    <row r="222" spans="1:19" x14ac:dyDescent="0.25">
      <c r="A222" s="15" t="str">
        <f>'Bldgs &amp; Rooms'!$A$7</f>
        <v>Main Bldg.</v>
      </c>
      <c r="B222" s="15">
        <f>'Bldgs &amp; Rooms'!$B$7</f>
        <v>0</v>
      </c>
      <c r="C222" s="14" t="str">
        <f>Hours!$A$37</f>
        <v>Uninterruptible Power Supply (UPS) &lt; 50kVA</v>
      </c>
      <c r="D222" s="15">
        <f t="shared" si="6"/>
        <v>0</v>
      </c>
      <c r="E222" s="16">
        <f>IF('Components Yr 1'!E222=0,0,'Components Yr 1'!E222)</f>
        <v>0</v>
      </c>
      <c r="F222" s="17">
        <f>IF('Components Yr 1'!F222=0,0,'Components Yr 1'!F222)</f>
        <v>0</v>
      </c>
      <c r="G222" s="17">
        <f>IF('Components Yr 1'!G222=0,0,'Components Yr 1'!G222)</f>
        <v>0</v>
      </c>
      <c r="H222" s="17">
        <f>IF('Components Yr 1'!H222=0,0,'Components Yr 1'!H222)</f>
        <v>0</v>
      </c>
      <c r="I222" s="17">
        <f>IF('Components Yr 1'!I222=0,0,'Components Yr 1'!I222)</f>
        <v>0</v>
      </c>
      <c r="J222" s="17">
        <f>IF('Components Yr 1'!J222=0,0,'Components Yr 1'!J222)</f>
        <v>0</v>
      </c>
      <c r="K222" s="12"/>
      <c r="L222" s="12"/>
      <c r="M222" s="12"/>
      <c r="N222" s="12"/>
      <c r="O222" s="12"/>
      <c r="P222" s="12"/>
      <c r="Q222" s="17"/>
      <c r="R222" s="18">
        <f>IF(SUMPRODUCT((E222:Q222)*1)=0,0,E222*INDEX(Hours!M:M,MATCH(C222,Hours!$A:$A,0))+F222*INDEX(Hours!B:B,MATCH(C222,Hours!$A:$A,0))+G222*INDEX(Hours!C:C,MATCH(C222,Hours!$A:$A,0))+H222*INDEX(Hours!D:D,MATCH(C222,Hours!$A:$A,0))+I222*INDEX(Hours!E:E,MATCH(C222,Hours!$A:$A,0))+J222*INDEX(Hours!F:F,MATCH(C222,Hours!$A:$A,0)))</f>
        <v>0</v>
      </c>
      <c r="S222" s="19">
        <f t="shared" si="7"/>
        <v>0</v>
      </c>
    </row>
    <row r="223" spans="1:19" x14ac:dyDescent="0.25">
      <c r="A223" s="15" t="str">
        <f>'Bldgs &amp; Rooms'!$A$7</f>
        <v>Main Bldg.</v>
      </c>
      <c r="B223" s="15">
        <f>'Bldgs &amp; Rooms'!$B$7</f>
        <v>0</v>
      </c>
      <c r="C223" s="14" t="str">
        <f>Hours!$A$38</f>
        <v>Uninterruptible Power Supply (UPS) &gt; 50kVA</v>
      </c>
      <c r="D223" s="15">
        <f t="shared" si="6"/>
        <v>0</v>
      </c>
      <c r="E223" s="16">
        <f>IF('Components Yr 1'!E223=0,0,'Components Yr 1'!E223)</f>
        <v>0</v>
      </c>
      <c r="F223" s="17">
        <f>IF('Components Yr 1'!F223=0,0,'Components Yr 1'!F223)</f>
        <v>0</v>
      </c>
      <c r="G223" s="17">
        <f>IF('Components Yr 1'!G223=0,0,'Components Yr 1'!G223)</f>
        <v>0</v>
      </c>
      <c r="H223" s="17">
        <f>IF('Components Yr 1'!H223=0,0,'Components Yr 1'!H223)</f>
        <v>0</v>
      </c>
      <c r="I223" s="17">
        <f>IF('Components Yr 1'!I223=0,0,'Components Yr 1'!I223)</f>
        <v>0</v>
      </c>
      <c r="J223" s="17">
        <f>IF('Components Yr 1'!J223=0,0,'Components Yr 1'!J223)</f>
        <v>0</v>
      </c>
      <c r="K223" s="12"/>
      <c r="L223" s="12"/>
      <c r="M223" s="12"/>
      <c r="N223" s="12"/>
      <c r="O223" s="12"/>
      <c r="P223" s="12"/>
      <c r="Q223" s="17"/>
      <c r="R223" s="18">
        <f>IF(SUMPRODUCT((E223:Q223)*1)=0,0,E223*INDEX(Hours!M:M,MATCH(C223,Hours!$A:$A,0))+F223*INDEX(Hours!B:B,MATCH(C223,Hours!$A:$A,0))+G223*INDEX(Hours!C:C,MATCH(C223,Hours!$A:$A,0))+H223*INDEX(Hours!D:D,MATCH(C223,Hours!$A:$A,0))+I223*INDEX(Hours!E:E,MATCH(C223,Hours!$A:$A,0))+J223*INDEX(Hours!F:F,MATCH(C223,Hours!$A:$A,0)))</f>
        <v>0</v>
      </c>
      <c r="S223" s="19">
        <f t="shared" si="7"/>
        <v>0</v>
      </c>
    </row>
    <row r="224" spans="1:19" x14ac:dyDescent="0.25">
      <c r="A224" s="11" t="str">
        <f>'Bldgs &amp; Rooms'!$A$8</f>
        <v>Main Bldg.</v>
      </c>
      <c r="B224" s="11">
        <f>'Bldgs &amp; Rooms'!$B$8</f>
        <v>0</v>
      </c>
      <c r="C224" s="10" t="str">
        <f>Hours!$A$2</f>
        <v>Switchgear - Incoming Main Service (Per Section)</v>
      </c>
      <c r="D224" s="11">
        <f t="shared" si="6"/>
        <v>0</v>
      </c>
      <c r="E224" s="16">
        <f>IF('Components Yr 1'!E224=0,0,'Components Yr 1'!E224)</f>
        <v>0</v>
      </c>
      <c r="F224" s="17">
        <f>IF('Components Yr 1'!F224=0,0,'Components Yr 1'!F224)</f>
        <v>0</v>
      </c>
      <c r="G224" s="17">
        <f>IF('Components Yr 1'!G224=0,0,'Components Yr 1'!G224)</f>
        <v>0</v>
      </c>
      <c r="H224" s="17">
        <f>IF('Components Yr 1'!H224=0,0,'Components Yr 1'!H224)</f>
        <v>0</v>
      </c>
      <c r="I224" s="17">
        <f>IF('Components Yr 1'!I224=0,0,'Components Yr 1'!I224)</f>
        <v>0</v>
      </c>
      <c r="J224" s="17">
        <f>IF('Components Yr 1'!J224=0,0,'Components Yr 1'!J224)</f>
        <v>0</v>
      </c>
      <c r="K224" s="17">
        <f>IF('Components Yr 1'!K224=0,0,'Components Yr 1'!K224)</f>
        <v>0</v>
      </c>
      <c r="L224" s="17">
        <f>IF('Components Yr 1'!L224=0,0,'Components Yr 1'!L224)</f>
        <v>0</v>
      </c>
      <c r="M224" s="12"/>
      <c r="N224" s="12"/>
      <c r="O224" s="17">
        <f>IF('Components Yr 1'!O224=0,0,'Components Yr 1'!O224)</f>
        <v>0</v>
      </c>
      <c r="P224" s="12"/>
      <c r="Q224" s="17"/>
      <c r="R224" s="18">
        <f>IF(SUMPRODUCT((E224:Q224)*1)=0,0,E224*INDEX(Hours!M:M,MATCH(C224,Hours!$A:$A,0))+F224*INDEX(Hours!B:B,MATCH(C224,Hours!$A:$A,0))+G224*INDEX(Hours!C:C,MATCH(C224,Hours!$A:$A,0))+H224*INDEX(Hours!D:D,MATCH(C224,Hours!$A:$A,0))+I224*INDEX(Hours!E:E,MATCH(C224,Hours!$A:$A,0))+J224*INDEX(Hours!F:F,MATCH(C224,Hours!$A:$A,0))+K224*INDEX(Hours!G:G,MATCH(C224,Hours!$A:$A,0))+L224*INDEX(Hours!H:H,MATCH(C224,Hours!$A:$A,0))+O224*INDEX(Hours!K:K,MATCH(C224,Hours!$A:$A,0)))</f>
        <v>0</v>
      </c>
      <c r="S224" s="19">
        <f t="shared" si="7"/>
        <v>0</v>
      </c>
    </row>
    <row r="225" spans="1:19" x14ac:dyDescent="0.25">
      <c r="A225" s="11" t="str">
        <f>'Bldgs &amp; Rooms'!$A$8</f>
        <v>Main Bldg.</v>
      </c>
      <c r="B225" s="11">
        <f>'Bldgs &amp; Rooms'!$B$8</f>
        <v>0</v>
      </c>
      <c r="C225" s="10" t="str">
        <f>Hours!$A$3</f>
        <v xml:space="preserve">  Switchgear Insulated Case Breakers (Bus Mounted)</v>
      </c>
      <c r="D225" s="11">
        <f t="shared" si="6"/>
        <v>0</v>
      </c>
      <c r="E225" s="16">
        <f>IF('Components Yr 1'!E225=0,0,'Components Yr 1'!E225)</f>
        <v>0</v>
      </c>
      <c r="F225" s="17">
        <f>IF('Components Yr 1'!F225=0,0,'Components Yr 1'!F225)</f>
        <v>0</v>
      </c>
      <c r="G225" s="17">
        <f>IF('Components Yr 1'!G225=0,0,'Components Yr 1'!G225)</f>
        <v>0</v>
      </c>
      <c r="H225" s="17">
        <f>IF('Components Yr 1'!H225=0,0,'Components Yr 1'!H225)</f>
        <v>0</v>
      </c>
      <c r="I225" s="17">
        <f>IF('Components Yr 1'!I225=0,0,'Components Yr 1'!I225)</f>
        <v>0</v>
      </c>
      <c r="J225" s="17">
        <f>IF('Components Yr 1'!J225=0,0,'Components Yr 1'!J225)</f>
        <v>0</v>
      </c>
      <c r="K225" s="17">
        <f>IF('Components Yr 1'!K225=0,0,'Components Yr 1'!K225)</f>
        <v>0</v>
      </c>
      <c r="L225" s="12"/>
      <c r="M225" s="12"/>
      <c r="N225" s="12"/>
      <c r="O225" s="12"/>
      <c r="P225" s="12"/>
      <c r="Q225" s="17"/>
      <c r="R225" s="18">
        <f>IF(SUMPRODUCT((E225:Q225)*1)=0,0,E225*INDEX(Hours!M:M,MATCH(C225,Hours!$A:$A,0))+F225*INDEX(Hours!B:B,MATCH(C225,Hours!$A:$A,0))+G225*INDEX(Hours!C:C,MATCH(C225,Hours!$A:$A,0))+H225*INDEX(Hours!D:D,MATCH(C225,Hours!$A:$A,0))+I225*INDEX(Hours!E:E,MATCH(C225,Hours!$A:$A,0))+J225*INDEX(Hours!F:F,MATCH(C225,Hours!$A:$A,0))+K225*INDEX(Hours!G:G,MATCH(C225,Hours!$A:$A,0)))</f>
        <v>0</v>
      </c>
      <c r="S225" s="19">
        <f t="shared" si="7"/>
        <v>0</v>
      </c>
    </row>
    <row r="226" spans="1:19" x14ac:dyDescent="0.25">
      <c r="A226" s="11" t="str">
        <f>'Bldgs &amp; Rooms'!$A$8</f>
        <v>Main Bldg.</v>
      </c>
      <c r="B226" s="11">
        <f>'Bldgs &amp; Rooms'!$B$8</f>
        <v>0</v>
      </c>
      <c r="C226" s="10" t="str">
        <f>Hours!$A$4</f>
        <v xml:space="preserve">  SwitchGear Drawout Breakers</v>
      </c>
      <c r="D226" s="11">
        <f t="shared" si="6"/>
        <v>0</v>
      </c>
      <c r="E226" s="16">
        <f>IF('Components Yr 1'!E226=0,0,'Components Yr 1'!E226)</f>
        <v>0</v>
      </c>
      <c r="F226" s="17">
        <f>IF('Components Yr 1'!F226=0,0,'Components Yr 1'!F226)</f>
        <v>0</v>
      </c>
      <c r="G226" s="17">
        <f>IF('Components Yr 1'!G226=0,0,'Components Yr 1'!G226)</f>
        <v>0</v>
      </c>
      <c r="H226" s="17">
        <f>IF('Components Yr 1'!H226=0,0,'Components Yr 1'!H226)</f>
        <v>0</v>
      </c>
      <c r="I226" s="17">
        <f>IF('Components Yr 1'!I226=0,0,'Components Yr 1'!I226)</f>
        <v>0</v>
      </c>
      <c r="J226" s="17">
        <f>IF('Components Yr 1'!J226=0,0,'Components Yr 1'!J226)</f>
        <v>0</v>
      </c>
      <c r="K226" s="12"/>
      <c r="L226" s="17">
        <f>IF('Components Yr 1'!L226=0,0,'Components Yr 1'!L226)</f>
        <v>0</v>
      </c>
      <c r="M226" s="12"/>
      <c r="N226" s="12"/>
      <c r="O226" s="12"/>
      <c r="P226" s="12"/>
      <c r="Q226" s="17"/>
      <c r="R226" s="18">
        <f>IF(SUMPRODUCT((E226:Q226)*1)=0,0,E226*INDEX(Hours!M:M,MATCH(C226,Hours!$A:$A,0))+F226*INDEX(Hours!B:B,MATCH(C226,Hours!$A:$A,0))+G226*INDEX(Hours!C:C,MATCH(C226,Hours!$A:$A,0))+H226*INDEX(Hours!D:D,MATCH(C226,Hours!$A:$A,0))+I226*INDEX(Hours!E:E,MATCH(C226,Hours!$A:$A,0))+J226*INDEX(Hours!F:F,MATCH(C226,Hours!$A:$A,0))+L226*INDEX(Hours!H:H,MATCH(C226,Hours!$A:$A,0)))</f>
        <v>0</v>
      </c>
      <c r="S226" s="19">
        <f t="shared" si="7"/>
        <v>0</v>
      </c>
    </row>
    <row r="227" spans="1:19" x14ac:dyDescent="0.25">
      <c r="A227" s="11" t="str">
        <f>'Bldgs &amp; Rooms'!$A$8</f>
        <v>Main Bldg.</v>
      </c>
      <c r="B227" s="11">
        <f>'Bldgs &amp; Rooms'!$B$8</f>
        <v>0</v>
      </c>
      <c r="C227" s="10" t="str">
        <f>Hours!$A$5</f>
        <v>Distribution Switchboard Multi Cover (Per Section)</v>
      </c>
      <c r="D227" s="11">
        <f t="shared" si="6"/>
        <v>0</v>
      </c>
      <c r="E227" s="16">
        <f>IF('Components Yr 1'!E227=0,0,'Components Yr 1'!E227)</f>
        <v>0</v>
      </c>
      <c r="F227" s="17">
        <f>IF('Components Yr 1'!F227=0,0,'Components Yr 1'!F227)</f>
        <v>0</v>
      </c>
      <c r="G227" s="17">
        <f>IF('Components Yr 1'!G227=0,0,'Components Yr 1'!G227)</f>
        <v>0</v>
      </c>
      <c r="H227" s="17">
        <f>IF('Components Yr 1'!H227=0,0,'Components Yr 1'!H227)</f>
        <v>0</v>
      </c>
      <c r="I227" s="17">
        <f>IF('Components Yr 1'!I227=0,0,'Components Yr 1'!I227)</f>
        <v>0</v>
      </c>
      <c r="J227" s="17">
        <f>IF('Components Yr 1'!J227=0,0,'Components Yr 1'!J227)</f>
        <v>0</v>
      </c>
      <c r="K227" s="17">
        <f>IF('Components Yr 1'!K227=0,0,'Components Yr 1'!K227)</f>
        <v>0</v>
      </c>
      <c r="L227" s="12"/>
      <c r="M227" s="12"/>
      <c r="N227" s="12"/>
      <c r="O227" s="17">
        <f>IF('Components Yr 1'!O227=0,0,'Components Yr 1'!O227)</f>
        <v>0</v>
      </c>
      <c r="P227" s="12"/>
      <c r="Q227" s="17"/>
      <c r="R227" s="18">
        <f>IF(SUMPRODUCT((E227:Q227)*1)=0,0,E227*INDEX(Hours!M:M,MATCH(C227,Hours!$A:$A,0))+F227*INDEX(Hours!B:B,MATCH(C227,Hours!$A:$A,0))+G227*INDEX(Hours!C:C,MATCH(C227,Hours!$A:$A,0))+H227*INDEX(Hours!D:D,MATCH(C227,Hours!$A:$A,0))+I227*INDEX(Hours!E:E,MATCH(C227,Hours!$A:$A,0))+J227*INDEX(Hours!F:F,MATCH(C227,Hours!$A:$A,0))+K227*INDEX(Hours!G:G,MATCH(C227,Hours!$A:$A,0))+O227*INDEX(Hours!K:K,MATCH(C227,Hours!$A:$A,0)))</f>
        <v>0</v>
      </c>
      <c r="S227" s="19">
        <f t="shared" si="7"/>
        <v>0</v>
      </c>
    </row>
    <row r="228" spans="1:19" x14ac:dyDescent="0.25">
      <c r="A228" s="11" t="str">
        <f>'Bldgs &amp; Rooms'!$A$8</f>
        <v>Main Bldg.</v>
      </c>
      <c r="B228" s="11">
        <f>'Bldgs &amp; Rooms'!$B$8</f>
        <v>0</v>
      </c>
      <c r="C228" s="10" t="str">
        <f>Hours!$A$6</f>
        <v xml:space="preserve">  Switchboard Disconnects</v>
      </c>
      <c r="D228" s="11">
        <f t="shared" si="6"/>
        <v>0</v>
      </c>
      <c r="E228" s="16">
        <f>IF('Components Yr 1'!E228=0,0,'Components Yr 1'!E228)</f>
        <v>0</v>
      </c>
      <c r="F228" s="17">
        <f>IF('Components Yr 1'!F228=0,0,'Components Yr 1'!F228)</f>
        <v>0</v>
      </c>
      <c r="G228" s="17">
        <f>IF('Components Yr 1'!G228=0,0,'Components Yr 1'!G228)</f>
        <v>0</v>
      </c>
      <c r="H228" s="17">
        <f>IF('Components Yr 1'!H228=0,0,'Components Yr 1'!H228)</f>
        <v>0</v>
      </c>
      <c r="I228" s="17">
        <f>IF('Components Yr 1'!I228=0,0,'Components Yr 1'!I228)</f>
        <v>0</v>
      </c>
      <c r="J228" s="17">
        <f>IF('Components Yr 1'!J228=0,0,'Components Yr 1'!J228)</f>
        <v>0</v>
      </c>
      <c r="K228" s="12"/>
      <c r="L228" s="12"/>
      <c r="M228" s="12"/>
      <c r="N228" s="12"/>
      <c r="O228" s="12"/>
      <c r="P228" s="12"/>
      <c r="Q228" s="17"/>
      <c r="R228" s="18">
        <f>IF(SUMPRODUCT((E228:Q228)*1)=0,0,E228*INDEX(Hours!M:M,MATCH(C228,Hours!$A:$A,0))+F228*INDEX(Hours!B:B,MATCH(C228,Hours!$A:$A,0))+G228*INDEX(Hours!C:C,MATCH(C228,Hours!$A:$A,0))+H228*INDEX(Hours!D:D,MATCH(C228,Hours!$A:$A,0))+I228*INDEX(Hours!E:E,MATCH(C228,Hours!$A:$A,0))+J228*INDEX(Hours!F:F,MATCH(C228,Hours!$A:$A,0)))</f>
        <v>0</v>
      </c>
      <c r="S228" s="19">
        <f t="shared" si="7"/>
        <v>0</v>
      </c>
    </row>
    <row r="229" spans="1:19" x14ac:dyDescent="0.25">
      <c r="A229" s="11" t="str">
        <f>'Bldgs &amp; Rooms'!$A$8</f>
        <v>Main Bldg.</v>
      </c>
      <c r="B229" s="11">
        <f>'Bldgs &amp; Rooms'!$B$8</f>
        <v>0</v>
      </c>
      <c r="C229" s="10" t="str">
        <f>Hours!$A$7</f>
        <v xml:space="preserve">  Switchboard Molded Case Breakers</v>
      </c>
      <c r="D229" s="11">
        <f t="shared" si="6"/>
        <v>0</v>
      </c>
      <c r="E229" s="16">
        <f>IF('Components Yr 1'!E229=0,0,'Components Yr 1'!E229)</f>
        <v>0</v>
      </c>
      <c r="F229" s="17">
        <f>IF('Components Yr 1'!F229=0,0,'Components Yr 1'!F229)</f>
        <v>0</v>
      </c>
      <c r="G229" s="17">
        <f>IF('Components Yr 1'!G229=0,0,'Components Yr 1'!G229)</f>
        <v>0</v>
      </c>
      <c r="H229" s="17">
        <f>IF('Components Yr 1'!H229=0,0,'Components Yr 1'!H229)</f>
        <v>0</v>
      </c>
      <c r="I229" s="17">
        <f>IF('Components Yr 1'!I229=0,0,'Components Yr 1'!I229)</f>
        <v>0</v>
      </c>
      <c r="J229" s="17">
        <f>IF('Components Yr 1'!J229=0,0,'Components Yr 1'!J229)</f>
        <v>0</v>
      </c>
      <c r="K229" s="17">
        <f>IF('Components Yr 1'!K229=0,0,'Components Yr 1'!K229)</f>
        <v>0</v>
      </c>
      <c r="L229" s="12"/>
      <c r="M229" s="12"/>
      <c r="N229" s="12"/>
      <c r="O229" s="12"/>
      <c r="P229" s="12"/>
      <c r="Q229" s="17"/>
      <c r="R229" s="18">
        <f>IF(SUMPRODUCT((E229:Q229)*1)=0,0,E229*INDEX(Hours!M:M,MATCH(C229,Hours!$A:$A,0))+F229*INDEX(Hours!B:B,MATCH(C229,Hours!$A:$A,0))+G229*INDEX(Hours!C:C,MATCH(C229,Hours!$A:$A,0))+H229*INDEX(Hours!D:D,MATCH(C229,Hours!$A:$A,0))+I229*INDEX(Hours!E:E,MATCH(C229,Hours!$A:$A,0))+J229*INDEX(Hours!F:F,MATCH(C229,Hours!$A:$A,0))+K229*INDEX(Hours!G:G,MATCH(C229,Hours!$A:$A,0)))</f>
        <v>0</v>
      </c>
      <c r="S229" s="19">
        <f t="shared" si="7"/>
        <v>0</v>
      </c>
    </row>
    <row r="230" spans="1:19" x14ac:dyDescent="0.25">
      <c r="A230" s="11" t="str">
        <f>'Bldgs &amp; Rooms'!$A$8</f>
        <v>Main Bldg.</v>
      </c>
      <c r="B230" s="11">
        <f>'Bldgs &amp; Rooms'!$B$8</f>
        <v>0</v>
      </c>
      <c r="C230" s="10" t="str">
        <f>Hours!$A$8</f>
        <v>Panelboard-Single Cover &gt; 400A (Distribution Panel)</v>
      </c>
      <c r="D230" s="11">
        <f t="shared" si="6"/>
        <v>0</v>
      </c>
      <c r="E230" s="16">
        <f>IF('Components Yr 1'!E230=0,0,'Components Yr 1'!E230)</f>
        <v>0</v>
      </c>
      <c r="F230" s="17">
        <f>IF('Components Yr 1'!F230=0,0,'Components Yr 1'!F230)</f>
        <v>0</v>
      </c>
      <c r="G230" s="17">
        <f>IF('Components Yr 1'!G230=0,0,'Components Yr 1'!G230)</f>
        <v>0</v>
      </c>
      <c r="H230" s="17">
        <f>IF('Components Yr 1'!H230=0,0,'Components Yr 1'!H230)</f>
        <v>0</v>
      </c>
      <c r="I230" s="17">
        <f>IF('Components Yr 1'!I230=0,0,'Components Yr 1'!I230)</f>
        <v>0</v>
      </c>
      <c r="J230" s="17">
        <f>IF('Components Yr 1'!J230=0,0,'Components Yr 1'!J230)</f>
        <v>0</v>
      </c>
      <c r="K230" s="17">
        <f>IF('Components Yr 1'!K230=0,0,'Components Yr 1'!K230)</f>
        <v>0</v>
      </c>
      <c r="L230" s="12"/>
      <c r="M230" s="12"/>
      <c r="N230" s="12"/>
      <c r="O230" s="17">
        <f>IF('Components Yr 1'!O230=0,0,'Components Yr 1'!O230)</f>
        <v>0</v>
      </c>
      <c r="P230" s="12"/>
      <c r="Q230" s="17"/>
      <c r="R230" s="18">
        <f>IF(SUMPRODUCT((E230:Q230)*1)=0,0,E230*INDEX(Hours!M:M,MATCH(C230,Hours!$A:$A,0))+F230*INDEX(Hours!B:B,MATCH(C230,Hours!$A:$A,0))+G230*INDEX(Hours!C:C,MATCH(C230,Hours!$A:$A,0))+H230*INDEX(Hours!D:D,MATCH(C230,Hours!$A:$A,0))+I230*INDEX(Hours!E:E,MATCH(C230,Hours!$A:$A,0))+J230*INDEX(Hours!F:F,MATCH(C230,Hours!$A:$A,0))+K230*INDEX(Hours!G:G,MATCH(C230,Hours!$A:$A,0))+O230*INDEX(Hours!K:K,MATCH(C230,Hours!$A:$A,0)))</f>
        <v>0</v>
      </c>
      <c r="S230" s="19">
        <f t="shared" si="7"/>
        <v>0</v>
      </c>
    </row>
    <row r="231" spans="1:19" x14ac:dyDescent="0.25">
      <c r="A231" s="11" t="str">
        <f>'Bldgs &amp; Rooms'!$A$8</f>
        <v>Main Bldg.</v>
      </c>
      <c r="B231" s="11">
        <f>'Bldgs &amp; Rooms'!$B$8</f>
        <v>0</v>
      </c>
      <c r="C231" s="10" t="str">
        <f>Hours!$A$9</f>
        <v>Panelboard-Single Cover &lt; 400A (Branch Ckt Panel)</v>
      </c>
      <c r="D231" s="11">
        <f t="shared" si="6"/>
        <v>0</v>
      </c>
      <c r="E231" s="16">
        <f>IF('Components Yr 1'!E231=0,0,'Components Yr 1'!E231)</f>
        <v>0</v>
      </c>
      <c r="F231" s="17">
        <f>IF('Components Yr 1'!F231=0,0,'Components Yr 1'!F231)</f>
        <v>0</v>
      </c>
      <c r="G231" s="17">
        <f>IF('Components Yr 1'!G231=0,0,'Components Yr 1'!G231)</f>
        <v>0</v>
      </c>
      <c r="H231" s="17">
        <f>IF('Components Yr 1'!H231=0,0,'Components Yr 1'!H231)</f>
        <v>0</v>
      </c>
      <c r="I231" s="17">
        <f>IF('Components Yr 1'!I231=0,0,'Components Yr 1'!I231)</f>
        <v>0</v>
      </c>
      <c r="J231" s="17">
        <f>IF('Components Yr 1'!J231=0,0,'Components Yr 1'!J231)</f>
        <v>0</v>
      </c>
      <c r="K231" s="12"/>
      <c r="L231" s="12"/>
      <c r="M231" s="12"/>
      <c r="N231" s="12"/>
      <c r="O231" s="17">
        <f>IF('Components Yr 1'!O231=0,0,'Components Yr 1'!O231)</f>
        <v>0</v>
      </c>
      <c r="P231" s="12"/>
      <c r="Q231" s="17"/>
      <c r="R231" s="18">
        <f>IF(SUMPRODUCT((E231:Q231)*1)=0,0,E231*INDEX(Hours!M:M,MATCH(C231,Hours!$A:$A,0))+F231*INDEX(Hours!B:B,MATCH(C231,Hours!$A:$A,0))+G231*INDEX(Hours!C:C,MATCH(C231,Hours!$A:$A,0))+H231*INDEX(Hours!D:D,MATCH(C231,Hours!$A:$A,0))+I231*INDEX(Hours!E:E,MATCH(C231,Hours!$A:$A,0))+J231*INDEX(Hours!F:F,MATCH(C231,Hours!$A:$A,0))+O231*INDEX(Hours!K:K,MATCH(C231,Hours!$A:$A,0)))</f>
        <v>0</v>
      </c>
      <c r="S231" s="19">
        <f t="shared" si="7"/>
        <v>0</v>
      </c>
    </row>
    <row r="232" spans="1:19" x14ac:dyDescent="0.25">
      <c r="A232" s="11" t="str">
        <f>'Bldgs &amp; Rooms'!$A$8</f>
        <v>Main Bldg.</v>
      </c>
      <c r="B232" s="11">
        <f>'Bldgs &amp; Rooms'!$B$8</f>
        <v>0</v>
      </c>
      <c r="C232" s="10" t="str">
        <f>Hours!$A$10</f>
        <v>Motor Control Center (MCC-Per Vertical Section)</v>
      </c>
      <c r="D232" s="11">
        <f t="shared" si="6"/>
        <v>0</v>
      </c>
      <c r="E232" s="16">
        <f>IF('Components Yr 1'!E232=0,0,'Components Yr 1'!E232)</f>
        <v>0</v>
      </c>
      <c r="F232" s="17">
        <f>IF('Components Yr 1'!F232=0,0,'Components Yr 1'!F232)</f>
        <v>0</v>
      </c>
      <c r="G232" s="17">
        <f>IF('Components Yr 1'!G232=0,0,'Components Yr 1'!G232)</f>
        <v>0</v>
      </c>
      <c r="H232" s="17">
        <f>IF('Components Yr 1'!H232=0,0,'Components Yr 1'!H232)</f>
        <v>0</v>
      </c>
      <c r="I232" s="17">
        <f>IF('Components Yr 1'!I232=0,0,'Components Yr 1'!I232)</f>
        <v>0</v>
      </c>
      <c r="J232" s="17">
        <f>IF('Components Yr 1'!J232=0,0,'Components Yr 1'!J232)</f>
        <v>0</v>
      </c>
      <c r="K232" s="12"/>
      <c r="L232" s="12"/>
      <c r="M232" s="12"/>
      <c r="N232" s="12"/>
      <c r="O232" s="17">
        <f>IF('Components Yr 1'!O232=0,0,'Components Yr 1'!O232)</f>
        <v>0</v>
      </c>
      <c r="P232" s="12"/>
      <c r="Q232" s="17"/>
      <c r="R232" s="18">
        <f>IF(SUMPRODUCT((E232:Q232)*1)=0,0,E232*INDEX(Hours!M:M,MATCH(C232,Hours!$A:$A,0))+F232*INDEX(Hours!B:B,MATCH(C232,Hours!$A:$A,0))+G232*INDEX(Hours!C:C,MATCH(C232,Hours!$A:$A,0))+H232*INDEX(Hours!D:D,MATCH(C232,Hours!$A:$A,0))+I232*INDEX(Hours!E:E,MATCH(C232,Hours!$A:$A,0))+J232*INDEX(Hours!F:F,MATCH(C232,Hours!$A:$A,0))+O232*INDEX(Hours!K:K,MATCH(C232,Hours!$A:$A,0)))</f>
        <v>0</v>
      </c>
      <c r="S232" s="19">
        <f t="shared" si="7"/>
        <v>0</v>
      </c>
    </row>
    <row r="233" spans="1:19" x14ac:dyDescent="0.25">
      <c r="A233" s="11" t="str">
        <f>'Bldgs &amp; Rooms'!$A$8</f>
        <v>Main Bldg.</v>
      </c>
      <c r="B233" s="11">
        <f>'Bldgs &amp; Rooms'!$B$8</f>
        <v>0</v>
      </c>
      <c r="C233" s="10" t="str">
        <f>Hours!$A$11</f>
        <v xml:space="preserve">  MCC: Combination Motor Starters</v>
      </c>
      <c r="D233" s="11">
        <f t="shared" si="6"/>
        <v>0</v>
      </c>
      <c r="E233" s="16">
        <f>IF('Components Yr 1'!E233=0,0,'Components Yr 1'!E233)</f>
        <v>0</v>
      </c>
      <c r="F233" s="17">
        <f>IF('Components Yr 1'!F233=0,0,'Components Yr 1'!F233)</f>
        <v>0</v>
      </c>
      <c r="G233" s="17">
        <f>IF('Components Yr 1'!G233=0,0,'Components Yr 1'!G233)</f>
        <v>0</v>
      </c>
      <c r="H233" s="17">
        <f>IF('Components Yr 1'!H233=0,0,'Components Yr 1'!H233)</f>
        <v>0</v>
      </c>
      <c r="I233" s="17">
        <f>IF('Components Yr 1'!I233=0,0,'Components Yr 1'!I233)</f>
        <v>0</v>
      </c>
      <c r="J233" s="17">
        <f>IF('Components Yr 1'!J233=0,0,'Components Yr 1'!J233)</f>
        <v>0</v>
      </c>
      <c r="K233" s="17">
        <f>IF('Components Yr 1'!K233=0,0,'Components Yr 1'!K233)</f>
        <v>0</v>
      </c>
      <c r="L233" s="12"/>
      <c r="M233" s="12"/>
      <c r="N233" s="12"/>
      <c r="O233" s="17">
        <f>IF('Components Yr 1'!O233=0,0,'Components Yr 1'!O233)</f>
        <v>0</v>
      </c>
      <c r="P233" s="12"/>
      <c r="Q233" s="17"/>
      <c r="R233" s="18">
        <f>IF(SUMPRODUCT((E233:Q233)*1)=0,0,E233*INDEX(Hours!M:M,MATCH(C233,Hours!$A:$A,0))+F233*INDEX(Hours!B:B,MATCH(C233,Hours!$A:$A,0))+G233*INDEX(Hours!C:C,MATCH(C233,Hours!$A:$A,0))+H233*INDEX(Hours!D:D,MATCH(C233,Hours!$A:$A,0))+I233*INDEX(Hours!E:E,MATCH(C233,Hours!$A:$A,0))+J233*INDEX(Hours!F:F,MATCH(C233,Hours!$A:$A,0))+K233*INDEX(Hours!G:G,MATCH(C233,Hours!$A:$A,0))+O233*INDEX(Hours!K:K,MATCH(C233,Hours!$A:$A,0)))</f>
        <v>0</v>
      </c>
      <c r="S233" s="19">
        <f t="shared" si="7"/>
        <v>0</v>
      </c>
    </row>
    <row r="234" spans="1:19" x14ac:dyDescent="0.25">
      <c r="A234" s="11" t="str">
        <f>'Bldgs &amp; Rooms'!$A$8</f>
        <v>Main Bldg.</v>
      </c>
      <c r="B234" s="11">
        <f>'Bldgs &amp; Rooms'!$B$8</f>
        <v>0</v>
      </c>
      <c r="C234" s="10" t="str">
        <f>Hours!$A$12</f>
        <v xml:space="preserve">  MCC: Molded Case Breaker</v>
      </c>
      <c r="D234" s="11">
        <f t="shared" si="6"/>
        <v>0</v>
      </c>
      <c r="E234" s="16">
        <f>IF('Components Yr 1'!E234=0,0,'Components Yr 1'!E234)</f>
        <v>0</v>
      </c>
      <c r="F234" s="17">
        <f>IF('Components Yr 1'!F234=0,0,'Components Yr 1'!F234)</f>
        <v>0</v>
      </c>
      <c r="G234" s="17">
        <f>IF('Components Yr 1'!G234=0,0,'Components Yr 1'!G234)</f>
        <v>0</v>
      </c>
      <c r="H234" s="17">
        <f>IF('Components Yr 1'!H234=0,0,'Components Yr 1'!H234)</f>
        <v>0</v>
      </c>
      <c r="I234" s="17">
        <f>IF('Components Yr 1'!I234=0,0,'Components Yr 1'!I234)</f>
        <v>0</v>
      </c>
      <c r="J234" s="17">
        <f>IF('Components Yr 1'!J234=0,0,'Components Yr 1'!J234)</f>
        <v>0</v>
      </c>
      <c r="K234" s="17">
        <f>IF('Components Yr 1'!K234=0,0,'Components Yr 1'!K234)</f>
        <v>0</v>
      </c>
      <c r="L234" s="12"/>
      <c r="M234" s="12"/>
      <c r="N234" s="12"/>
      <c r="O234" s="12"/>
      <c r="P234" s="12"/>
      <c r="Q234" s="17"/>
      <c r="R234" s="18">
        <f>IF(SUMPRODUCT((E234:Q234)*1)=0,0,E234*INDEX(Hours!M:M,MATCH(C234,Hours!$A:$A,0))+F234*INDEX(Hours!B:B,MATCH(C234,Hours!$A:$A,0))+G234*INDEX(Hours!C:C,MATCH(C234,Hours!$A:$A,0))+H234*INDEX(Hours!D:D,MATCH(C234,Hours!$A:$A,0))+I234*INDEX(Hours!E:E,MATCH(C234,Hours!$A:$A,0))+J234*INDEX(Hours!F:F,MATCH(C234,Hours!$A:$A,0))+K234*INDEX(Hours!G:G,MATCH(C234,Hours!$A:$A,0)))</f>
        <v>0</v>
      </c>
      <c r="S234" s="19">
        <f t="shared" si="7"/>
        <v>0</v>
      </c>
    </row>
    <row r="235" spans="1:19" x14ac:dyDescent="0.25">
      <c r="A235" s="11" t="str">
        <f>'Bldgs &amp; Rooms'!$A$8</f>
        <v>Main Bldg.</v>
      </c>
      <c r="B235" s="11">
        <f>'Bldgs &amp; Rooms'!$B$8</f>
        <v>0</v>
      </c>
      <c r="C235" s="10" t="str">
        <f>Hours!$A$13</f>
        <v xml:space="preserve">  MCC: Individual Disconnect Switch</v>
      </c>
      <c r="D235" s="11">
        <f t="shared" si="6"/>
        <v>0</v>
      </c>
      <c r="E235" s="16">
        <f>IF('Components Yr 1'!E235=0,0,'Components Yr 1'!E235)</f>
        <v>0</v>
      </c>
      <c r="F235" s="17">
        <f>IF('Components Yr 1'!F235=0,0,'Components Yr 1'!F235)</f>
        <v>0</v>
      </c>
      <c r="G235" s="17">
        <f>IF('Components Yr 1'!G235=0,0,'Components Yr 1'!G235)</f>
        <v>0</v>
      </c>
      <c r="H235" s="17">
        <f>IF('Components Yr 1'!H235=0,0,'Components Yr 1'!H235)</f>
        <v>0</v>
      </c>
      <c r="I235" s="17">
        <f>IF('Components Yr 1'!I235=0,0,'Components Yr 1'!I235)</f>
        <v>0</v>
      </c>
      <c r="J235" s="17">
        <f>IF('Components Yr 1'!J235=0,0,'Components Yr 1'!J235)</f>
        <v>0</v>
      </c>
      <c r="K235" s="12"/>
      <c r="L235" s="12"/>
      <c r="M235" s="12"/>
      <c r="N235" s="12"/>
      <c r="O235" s="12"/>
      <c r="P235" s="12"/>
      <c r="Q235" s="17"/>
      <c r="R235" s="18">
        <f>IF(SUMPRODUCT((E235:Q235)*1)=0,0,E235*INDEX(Hours!M:M,MATCH(C235,Hours!$A:$A,0))+F235*INDEX(Hours!B:B,MATCH(C235,Hours!$A:$A,0))+G235*INDEX(Hours!C:C,MATCH(C235,Hours!$A:$A,0))+H235*INDEX(Hours!D:D,MATCH(C235,Hours!$A:$A,0))+I235*INDEX(Hours!E:E,MATCH(C235,Hours!$A:$A,0))+J235*INDEX(Hours!F:F,MATCH(C235,Hours!$A:$A,0)))</f>
        <v>0</v>
      </c>
      <c r="S235" s="19">
        <f t="shared" si="7"/>
        <v>0</v>
      </c>
    </row>
    <row r="236" spans="1:19" x14ac:dyDescent="0.25">
      <c r="A236" s="11" t="str">
        <f>'Bldgs &amp; Rooms'!$A$8</f>
        <v>Main Bldg.</v>
      </c>
      <c r="B236" s="11">
        <f>'Bldgs &amp; Rooms'!$B$8</f>
        <v>0</v>
      </c>
      <c r="C236" s="10" t="str">
        <f>Hours!$A$14</f>
        <v>Motor Control Panel (MCP)</v>
      </c>
      <c r="D236" s="11">
        <f t="shared" si="6"/>
        <v>0</v>
      </c>
      <c r="E236" s="16">
        <f>IF('Components Yr 1'!E236=0,0,'Components Yr 1'!E236)</f>
        <v>0</v>
      </c>
      <c r="F236" s="17">
        <f>IF('Components Yr 1'!F236=0,0,'Components Yr 1'!F236)</f>
        <v>0</v>
      </c>
      <c r="G236" s="17">
        <f>IF('Components Yr 1'!G236=0,0,'Components Yr 1'!G236)</f>
        <v>0</v>
      </c>
      <c r="H236" s="17">
        <f>IF('Components Yr 1'!H236=0,0,'Components Yr 1'!H236)</f>
        <v>0</v>
      </c>
      <c r="I236" s="17">
        <f>IF('Components Yr 1'!I236=0,0,'Components Yr 1'!I236)</f>
        <v>0</v>
      </c>
      <c r="J236" s="17">
        <f>IF('Components Yr 1'!J236=0,0,'Components Yr 1'!J236)</f>
        <v>0</v>
      </c>
      <c r="K236" s="12"/>
      <c r="L236" s="12"/>
      <c r="M236" s="12"/>
      <c r="N236" s="12"/>
      <c r="O236" s="17">
        <f>IF('Components Yr 1'!O236=0,0,'Components Yr 1'!O236)</f>
        <v>0</v>
      </c>
      <c r="P236" s="12"/>
      <c r="Q236" s="17"/>
      <c r="R236" s="18">
        <f>IF(SUMPRODUCT((E236:Q236)*1)=0,0,E236*INDEX(Hours!M:M,MATCH(C236,Hours!$A:$A,0))+F236*INDEX(Hours!B:B,MATCH(C236,Hours!$A:$A,0))+G236*INDEX(Hours!C:C,MATCH(C236,Hours!$A:$A,0))+H236*INDEX(Hours!D:D,MATCH(C236,Hours!$A:$A,0))+I236*INDEX(Hours!E:E,MATCH(C236,Hours!$A:$A,0))+J236*INDEX(Hours!F:F,MATCH(C236,Hours!$A:$A,0))+O236*INDEX(Hours!K:K,MATCH(C236,Hours!$A:$A,0)))</f>
        <v>0</v>
      </c>
      <c r="S236" s="19">
        <f t="shared" si="7"/>
        <v>0</v>
      </c>
    </row>
    <row r="237" spans="1:19" x14ac:dyDescent="0.25">
      <c r="A237" s="11" t="str">
        <f>'Bldgs &amp; Rooms'!$A$8</f>
        <v>Main Bldg.</v>
      </c>
      <c r="B237" s="11">
        <f>'Bldgs &amp; Rooms'!$B$8</f>
        <v>0</v>
      </c>
      <c r="C237" s="10" t="str">
        <f>Hours!$A$15</f>
        <v>VFD Motor Control Panel (VFD-MCP)</v>
      </c>
      <c r="D237" s="11">
        <f t="shared" si="6"/>
        <v>0</v>
      </c>
      <c r="E237" s="16">
        <f>IF('Components Yr 1'!E237=0,0,'Components Yr 1'!E237)</f>
        <v>0</v>
      </c>
      <c r="F237" s="17">
        <f>IF('Components Yr 1'!F237=0,0,'Components Yr 1'!F237)</f>
        <v>0</v>
      </c>
      <c r="G237" s="17">
        <f>IF('Components Yr 1'!G237=0,0,'Components Yr 1'!G237)</f>
        <v>0</v>
      </c>
      <c r="H237" s="17">
        <f>IF('Components Yr 1'!H237=0,0,'Components Yr 1'!H237)</f>
        <v>0</v>
      </c>
      <c r="I237" s="17">
        <f>IF('Components Yr 1'!I237=0,0,'Components Yr 1'!I237)</f>
        <v>0</v>
      </c>
      <c r="J237" s="17">
        <f>IF('Components Yr 1'!J237=0,0,'Components Yr 1'!J237)</f>
        <v>0</v>
      </c>
      <c r="K237" s="12"/>
      <c r="L237" s="12"/>
      <c r="M237" s="12"/>
      <c r="N237" s="12"/>
      <c r="O237" s="17">
        <f>IF('Components Yr 1'!O237=0,0,'Components Yr 1'!O237)</f>
        <v>0</v>
      </c>
      <c r="P237" s="12"/>
      <c r="Q237" s="17"/>
      <c r="R237" s="18">
        <f>IF(SUMPRODUCT((E237:Q237)*1)=0,0,E237*INDEX(Hours!M:M,MATCH(C237,Hours!$A:$A,0))+F237*INDEX(Hours!B:B,MATCH(C237,Hours!$A:$A,0))+G237*INDEX(Hours!C:C,MATCH(C237,Hours!$A:$A,0))+H237*INDEX(Hours!D:D,MATCH(C237,Hours!$A:$A,0))+I237*INDEX(Hours!E:E,MATCH(C237,Hours!$A:$A,0))+J237*INDEX(Hours!F:F,MATCH(C237,Hours!$A:$A,0))+O237*INDEX(Hours!K:K,MATCH(C237,Hours!$A:$A,0)))</f>
        <v>0</v>
      </c>
      <c r="S237" s="19">
        <f t="shared" si="7"/>
        <v>0</v>
      </c>
    </row>
    <row r="238" spans="1:19" x14ac:dyDescent="0.25">
      <c r="A238" s="11" t="str">
        <f>'Bldgs &amp; Rooms'!$A$8</f>
        <v>Main Bldg.</v>
      </c>
      <c r="B238" s="11">
        <f>'Bldgs &amp; Rooms'!$B$8</f>
        <v>0</v>
      </c>
      <c r="C238" s="10" t="str">
        <f>Hours!$A$16</f>
        <v>Individual Disconnect Switch &gt; 100A</v>
      </c>
      <c r="D238" s="11">
        <f t="shared" si="6"/>
        <v>0</v>
      </c>
      <c r="E238" s="16">
        <f>IF('Components Yr 1'!E238=0,0,'Components Yr 1'!E238)</f>
        <v>0</v>
      </c>
      <c r="F238" s="17">
        <f>IF('Components Yr 1'!F238=0,0,'Components Yr 1'!F238)</f>
        <v>0</v>
      </c>
      <c r="G238" s="17">
        <f>IF('Components Yr 1'!G238=0,0,'Components Yr 1'!G238)</f>
        <v>0</v>
      </c>
      <c r="H238" s="17">
        <f>IF('Components Yr 1'!H238=0,0,'Components Yr 1'!H238)</f>
        <v>0</v>
      </c>
      <c r="I238" s="17">
        <f>IF('Components Yr 1'!I238=0,0,'Components Yr 1'!I238)</f>
        <v>0</v>
      </c>
      <c r="J238" s="17">
        <f>IF('Components Yr 1'!J238=0,0,'Components Yr 1'!J238)</f>
        <v>0</v>
      </c>
      <c r="K238" s="17">
        <f>IF('Components Yr 1'!K238=0,0,'Components Yr 1'!K238)</f>
        <v>0</v>
      </c>
      <c r="L238" s="12"/>
      <c r="M238" s="12"/>
      <c r="N238" s="12"/>
      <c r="O238" s="12"/>
      <c r="P238" s="12"/>
      <c r="Q238" s="17"/>
      <c r="R238" s="18">
        <f>IF(SUMPRODUCT((E238:Q238)*1)=0,0,E238*INDEX(Hours!M:M,MATCH(C238,Hours!$A:$A,0))+F238*INDEX(Hours!B:B,MATCH(C238,Hours!$A:$A,0))+G238*INDEX(Hours!C:C,MATCH(C238,Hours!$A:$A,0))+H238*INDEX(Hours!D:D,MATCH(C238,Hours!$A:$A,0))+I238*INDEX(Hours!E:E,MATCH(C238,Hours!$A:$A,0))+J238*INDEX(Hours!F:F,MATCH(C238,Hours!$A:$A,0))+K238*INDEX(Hours!G:G,MATCH(C238,Hours!$A:$A,0)))</f>
        <v>0</v>
      </c>
      <c r="S238" s="19">
        <f t="shared" si="7"/>
        <v>0</v>
      </c>
    </row>
    <row r="239" spans="1:19" x14ac:dyDescent="0.25">
      <c r="A239" s="11" t="str">
        <f>'Bldgs &amp; Rooms'!$A$8</f>
        <v>Main Bldg.</v>
      </c>
      <c r="B239" s="11">
        <f>'Bldgs &amp; Rooms'!$B$8</f>
        <v>0</v>
      </c>
      <c r="C239" s="10" t="str">
        <f>Hours!$A$17</f>
        <v>Individual Molded Case Breaker &gt; 100A</v>
      </c>
      <c r="D239" s="11">
        <f t="shared" si="6"/>
        <v>0</v>
      </c>
      <c r="E239" s="16">
        <f>IF('Components Yr 1'!E239=0,0,'Components Yr 1'!E239)</f>
        <v>0</v>
      </c>
      <c r="F239" s="17">
        <f>IF('Components Yr 1'!F239=0,0,'Components Yr 1'!F239)</f>
        <v>0</v>
      </c>
      <c r="G239" s="17">
        <f>IF('Components Yr 1'!G239=0,0,'Components Yr 1'!G239)</f>
        <v>0</v>
      </c>
      <c r="H239" s="17">
        <f>IF('Components Yr 1'!H239=0,0,'Components Yr 1'!H239)</f>
        <v>0</v>
      </c>
      <c r="I239" s="17">
        <f>IF('Components Yr 1'!I239=0,0,'Components Yr 1'!I239)</f>
        <v>0</v>
      </c>
      <c r="J239" s="17">
        <f>IF('Components Yr 1'!J239=0,0,'Components Yr 1'!J239)</f>
        <v>0</v>
      </c>
      <c r="K239" s="17">
        <f>IF('Components Yr 1'!K239=0,0,'Components Yr 1'!K239)</f>
        <v>0</v>
      </c>
      <c r="L239" s="12"/>
      <c r="M239" s="12"/>
      <c r="N239" s="12"/>
      <c r="O239" s="12"/>
      <c r="P239" s="12"/>
      <c r="Q239" s="17"/>
      <c r="R239" s="18">
        <f>IF(SUMPRODUCT((E239:Q239)*1)=0,0,E239*INDEX(Hours!M:M,MATCH(C239,Hours!$A:$A,0))+F239*INDEX(Hours!B:B,MATCH(C239,Hours!$A:$A,0))+G239*INDEX(Hours!C:C,MATCH(C239,Hours!$A:$A,0))+H239*INDEX(Hours!D:D,MATCH(C239,Hours!$A:$A,0))+I239*INDEX(Hours!E:E,MATCH(C239,Hours!$A:$A,0))+J239*INDEX(Hours!F:F,MATCH(C239,Hours!$A:$A,0))+K239*INDEX(Hours!G:G,MATCH(C239,Hours!$A:$A,0)))</f>
        <v>0</v>
      </c>
      <c r="S239" s="19">
        <f t="shared" si="7"/>
        <v>0</v>
      </c>
    </row>
    <row r="240" spans="1:19" x14ac:dyDescent="0.25">
      <c r="A240" s="11" t="str">
        <f>'Bldgs &amp; Rooms'!$A$8</f>
        <v>Main Bldg.</v>
      </c>
      <c r="B240" s="11">
        <f>'Bldgs &amp; Rooms'!$B$8</f>
        <v>0</v>
      </c>
      <c r="C240" s="10" t="str">
        <f>Hours!$A$18</f>
        <v>Individual Combination Motor Starter &gt; 100A</v>
      </c>
      <c r="D240" s="11">
        <f t="shared" si="6"/>
        <v>0</v>
      </c>
      <c r="E240" s="16">
        <f>IF('Components Yr 1'!E240=0,0,'Components Yr 1'!E240)</f>
        <v>0</v>
      </c>
      <c r="F240" s="17">
        <f>IF('Components Yr 1'!F240=0,0,'Components Yr 1'!F240)</f>
        <v>0</v>
      </c>
      <c r="G240" s="17">
        <f>IF('Components Yr 1'!G240=0,0,'Components Yr 1'!G240)</f>
        <v>0</v>
      </c>
      <c r="H240" s="17">
        <f>IF('Components Yr 1'!H240=0,0,'Components Yr 1'!H240)</f>
        <v>0</v>
      </c>
      <c r="I240" s="17">
        <f>IF('Components Yr 1'!I240=0,0,'Components Yr 1'!I240)</f>
        <v>0</v>
      </c>
      <c r="J240" s="17">
        <f>IF('Components Yr 1'!J240=0,0,'Components Yr 1'!J240)</f>
        <v>0</v>
      </c>
      <c r="K240" s="17">
        <f>IF('Components Yr 1'!K240=0,0,'Components Yr 1'!K240)</f>
        <v>0</v>
      </c>
      <c r="L240" s="12"/>
      <c r="M240" s="12"/>
      <c r="N240" s="12"/>
      <c r="O240" s="12"/>
      <c r="P240" s="12"/>
      <c r="Q240" s="17"/>
      <c r="R240" s="18">
        <f>IF(SUMPRODUCT((E240:Q240)*1)=0,0,E240*INDEX(Hours!M:M,MATCH(C240,Hours!$A:$A,0))+F240*INDEX(Hours!B:B,MATCH(C240,Hours!$A:$A,0))+G240*INDEX(Hours!C:C,MATCH(C240,Hours!$A:$A,0))+H240*INDEX(Hours!D:D,MATCH(C240,Hours!$A:$A,0))+I240*INDEX(Hours!E:E,MATCH(C240,Hours!$A:$A,0))+J240*INDEX(Hours!F:F,MATCH(C240,Hours!$A:$A,0))+K240*INDEX(Hours!G:G,MATCH(C240,Hours!$A:$A,0)))</f>
        <v>0</v>
      </c>
      <c r="S240" s="19">
        <f t="shared" si="7"/>
        <v>0</v>
      </c>
    </row>
    <row r="241" spans="1:19" x14ac:dyDescent="0.25">
      <c r="A241" s="11" t="str">
        <f>'Bldgs &amp; Rooms'!$A$8</f>
        <v>Main Bldg.</v>
      </c>
      <c r="B241" s="11">
        <f>'Bldgs &amp; Rooms'!$B$8</f>
        <v>0</v>
      </c>
      <c r="C241" s="10" t="str">
        <f>Hours!$A$19</f>
        <v>Oil Filled Transformer - 5kV-15kV Primary - Any Size (Pad Mounted)</v>
      </c>
      <c r="D241" s="11">
        <f t="shared" si="6"/>
        <v>0</v>
      </c>
      <c r="E241" s="16">
        <f>IF('Components Yr 1'!E241=0,0,'Components Yr 1'!E241)</f>
        <v>0</v>
      </c>
      <c r="F241" s="17">
        <f>IF('Components Yr 1'!F241=0,0,'Components Yr 1'!F241)</f>
        <v>0</v>
      </c>
      <c r="G241" s="17">
        <f>IF('Components Yr 1'!G241=0,0,'Components Yr 1'!G241)</f>
        <v>0</v>
      </c>
      <c r="H241" s="17">
        <f>IF('Components Yr 1'!H241=0,0,'Components Yr 1'!H241)</f>
        <v>0</v>
      </c>
      <c r="I241" s="17">
        <f>IF('Components Yr 1'!I241=0,0,'Components Yr 1'!I241)</f>
        <v>0</v>
      </c>
      <c r="J241" s="17">
        <f>IF('Components Yr 1'!J241=0,0,'Components Yr 1'!J241)</f>
        <v>0</v>
      </c>
      <c r="K241" s="12"/>
      <c r="L241" s="12"/>
      <c r="M241" s="17">
        <f>IF('Components Yr 1'!M241=0,0,'Components Yr 1'!M241)</f>
        <v>0</v>
      </c>
      <c r="N241" s="17">
        <f>IF('Components Yr 1'!N241=0,0,'Components Yr 1'!N241)</f>
        <v>0</v>
      </c>
      <c r="O241" s="12"/>
      <c r="P241" s="17">
        <f>IF('Components Yr 1'!P241=0,0,'Components Yr 1'!P241)</f>
        <v>0</v>
      </c>
      <c r="Q241" s="17"/>
      <c r="R241" s="18">
        <f>IF(SUMPRODUCT((E241:Q241)*1)=0,0,E241*INDEX(Hours!M:M,MATCH(C241,Hours!$A:$A,0))+F241*INDEX(Hours!B:B,MATCH(C241,Hours!$A:$A,0))+G241*INDEX(Hours!C:C,MATCH(C241,Hours!$A:$A,0))+H241*INDEX(Hours!D:D,MATCH(C241,Hours!$A:$A,0))+I241*INDEX(Hours!E:E,MATCH(C241,Hours!$A:$A,0))+J241*INDEX(Hours!F:F,MATCH(C241,Hours!$A:$A,0))+M241*INDEX(Hours!I:I,MATCH(C241,Hours!$A:$A,0))+N241*INDEX(Hours!J:J,MATCH(C241,Hours!$A:$A,0))+P241*INDEX(Hours!L:L,MATCH(C241,Hours!$A:$A,0)))</f>
        <v>0</v>
      </c>
      <c r="S241" s="19">
        <f t="shared" si="7"/>
        <v>0</v>
      </c>
    </row>
    <row r="242" spans="1:19" x14ac:dyDescent="0.25">
      <c r="A242" s="11" t="str">
        <f>'Bldgs &amp; Rooms'!$A$8</f>
        <v>Main Bldg.</v>
      </c>
      <c r="B242" s="11">
        <f>'Bldgs &amp; Rooms'!$B$8</f>
        <v>0</v>
      </c>
      <c r="C242" s="10" t="str">
        <f>Hours!$A$20</f>
        <v>Oil Filled Transformer - &gt; 15kV Primary (Substation Class)</v>
      </c>
      <c r="D242" s="11">
        <f t="shared" si="6"/>
        <v>0</v>
      </c>
      <c r="E242" s="16">
        <f>IF('Components Yr 1'!E242=0,0,'Components Yr 1'!E242)</f>
        <v>0</v>
      </c>
      <c r="F242" s="17">
        <f>IF('Components Yr 1'!F242=0,0,'Components Yr 1'!F242)</f>
        <v>0</v>
      </c>
      <c r="G242" s="17">
        <f>IF('Components Yr 1'!G242=0,0,'Components Yr 1'!G242)</f>
        <v>0</v>
      </c>
      <c r="H242" s="17">
        <f>IF('Components Yr 1'!H242=0,0,'Components Yr 1'!H242)</f>
        <v>0</v>
      </c>
      <c r="I242" s="17">
        <f>IF('Components Yr 1'!I242=0,0,'Components Yr 1'!I242)</f>
        <v>0</v>
      </c>
      <c r="J242" s="17">
        <f>IF('Components Yr 1'!J242=0,0,'Components Yr 1'!J242)</f>
        <v>0</v>
      </c>
      <c r="K242" s="12"/>
      <c r="L242" s="12"/>
      <c r="M242" s="17">
        <f>IF('Components Yr 1'!M242=0,0,'Components Yr 1'!M242)</f>
        <v>0</v>
      </c>
      <c r="N242" s="17">
        <f>IF('Components Yr 1'!N242=0,0,'Components Yr 1'!N242)</f>
        <v>0</v>
      </c>
      <c r="O242" s="12"/>
      <c r="P242" s="17">
        <f>IF('Components Yr 1'!P242=0,0,'Components Yr 1'!P242)</f>
        <v>0</v>
      </c>
      <c r="Q242" s="17"/>
      <c r="R242" s="18">
        <f>IF(SUMPRODUCT((E242:Q242)*1)=0,0,E242*INDEX(Hours!M:M,MATCH(C242,Hours!$A:$A,0))+F242*INDEX(Hours!B:B,MATCH(C242,Hours!$A:$A,0))+G242*INDEX(Hours!C:C,MATCH(C242,Hours!$A:$A,0))+H242*INDEX(Hours!D:D,MATCH(C242,Hours!$A:$A,0))+I242*INDEX(Hours!E:E,MATCH(C242,Hours!$A:$A,0))+J242*INDEX(Hours!F:F,MATCH(C242,Hours!$A:$A,0))+M242*INDEX(Hours!I:I,MATCH(C242,Hours!$A:$A,0))+N242*INDEX(Hours!J:J,MATCH(C242,Hours!$A:$A,0))+P242*INDEX(Hours!L:L,MATCH(C242,Hours!$A:$A,0)))</f>
        <v>0</v>
      </c>
      <c r="S242" s="19">
        <f t="shared" si="7"/>
        <v>0</v>
      </c>
    </row>
    <row r="243" spans="1:19" x14ac:dyDescent="0.25">
      <c r="A243" s="11" t="str">
        <f>'Bldgs &amp; Rooms'!$A$8</f>
        <v>Main Bldg.</v>
      </c>
      <c r="B243" s="11">
        <f>'Bldgs &amp; Rooms'!$B$8</f>
        <v>0</v>
      </c>
      <c r="C243" s="10" t="str">
        <f>Hours!$A$21</f>
        <v>Dry Type Transformer - &lt; 480V Primary - Any Size kVA</v>
      </c>
      <c r="D243" s="11">
        <f t="shared" si="6"/>
        <v>0</v>
      </c>
      <c r="E243" s="16">
        <f>IF('Components Yr 1'!E243=0,0,'Components Yr 1'!E243)</f>
        <v>0</v>
      </c>
      <c r="F243" s="17">
        <f>IF('Components Yr 1'!F243=0,0,'Components Yr 1'!F243)</f>
        <v>0</v>
      </c>
      <c r="G243" s="17">
        <f>IF('Components Yr 1'!G243=0,0,'Components Yr 1'!G243)</f>
        <v>0</v>
      </c>
      <c r="H243" s="17">
        <f>IF('Components Yr 1'!H243=0,0,'Components Yr 1'!H243)</f>
        <v>0</v>
      </c>
      <c r="I243" s="17">
        <f>IF('Components Yr 1'!I243=0,0,'Components Yr 1'!I243)</f>
        <v>0</v>
      </c>
      <c r="J243" s="17">
        <f>IF('Components Yr 1'!J243=0,0,'Components Yr 1'!J243)</f>
        <v>0</v>
      </c>
      <c r="K243" s="12"/>
      <c r="L243" s="12"/>
      <c r="M243" s="17">
        <f>IF('Components Yr 1'!M243=0,0,'Components Yr 1'!M243)</f>
        <v>0</v>
      </c>
      <c r="N243" s="17">
        <f>IF('Components Yr 1'!N243=0,0,'Components Yr 1'!N243)</f>
        <v>0</v>
      </c>
      <c r="O243" s="12"/>
      <c r="P243" s="12"/>
      <c r="Q243" s="17"/>
      <c r="R243" s="18">
        <f>IF(SUMPRODUCT((E243:Q243)*1)=0,0,E243*INDEX(Hours!M:M,MATCH(C243,Hours!$A:$A,0))+F243*INDEX(Hours!B:B,MATCH(C243,Hours!$A:$A,0))+G243*INDEX(Hours!C:C,MATCH(C243,Hours!$A:$A,0))+H243*INDEX(Hours!D:D,MATCH(C243,Hours!$A:$A,0))+I243*INDEX(Hours!E:E,MATCH(C243,Hours!$A:$A,0))+J243*INDEX(Hours!F:F,MATCH(C243,Hours!$A:$A,0))+M243*INDEX(Hours!I:I,MATCH(C243,Hours!$A:$A,0))+N243*INDEX(Hours!J:J,MATCH(C243,Hours!$A:$A,0)))</f>
        <v>0</v>
      </c>
      <c r="S243" s="19">
        <f t="shared" si="7"/>
        <v>0</v>
      </c>
    </row>
    <row r="244" spans="1:19" x14ac:dyDescent="0.25">
      <c r="A244" s="11" t="str">
        <f>'Bldgs &amp; Rooms'!$A$8</f>
        <v>Main Bldg.</v>
      </c>
      <c r="B244" s="11">
        <f>'Bldgs &amp; Rooms'!$B$8</f>
        <v>0</v>
      </c>
      <c r="C244" s="10" t="str">
        <f>Hours!$A$22</f>
        <v>Power Factor Correction Capacitors</v>
      </c>
      <c r="D244" s="11">
        <f t="shared" si="6"/>
        <v>0</v>
      </c>
      <c r="E244" s="16">
        <f>IF('Components Yr 1'!E244=0,0,'Components Yr 1'!E244)</f>
        <v>0</v>
      </c>
      <c r="F244" s="17">
        <f>IF('Components Yr 1'!F244=0,0,'Components Yr 1'!F244)</f>
        <v>0</v>
      </c>
      <c r="G244" s="17">
        <f>IF('Components Yr 1'!G244=0,0,'Components Yr 1'!G244)</f>
        <v>0</v>
      </c>
      <c r="H244" s="17">
        <f>IF('Components Yr 1'!H244=0,0,'Components Yr 1'!H244)</f>
        <v>0</v>
      </c>
      <c r="I244" s="17">
        <f>IF('Components Yr 1'!I244=0,0,'Components Yr 1'!I244)</f>
        <v>0</v>
      </c>
      <c r="J244" s="17">
        <f>IF('Components Yr 1'!J244=0,0,'Components Yr 1'!J244)</f>
        <v>0</v>
      </c>
      <c r="K244" s="12"/>
      <c r="L244" s="12"/>
      <c r="M244" s="12"/>
      <c r="N244" s="12"/>
      <c r="O244" s="12"/>
      <c r="P244" s="12"/>
      <c r="Q244" s="17"/>
      <c r="R244" s="18">
        <f>IF(SUMPRODUCT((E244:Q244)*1)=0,0,E244*INDEX(Hours!M:M,MATCH(C244,Hours!$A:$A,0))+F244*INDEX(Hours!B:B,MATCH(C244,Hours!$A:$A,0))+G244*INDEX(Hours!C:C,MATCH(C244,Hours!$A:$A,0))+H244*INDEX(Hours!D:D,MATCH(C244,Hours!$A:$A,0))+I244*INDEX(Hours!E:E,MATCH(C244,Hours!$A:$A,0))+J244*INDEX(Hours!F:F,MATCH(C244,Hours!$A:$A,0)))</f>
        <v>0</v>
      </c>
      <c r="S244" s="19">
        <f t="shared" si="7"/>
        <v>0</v>
      </c>
    </row>
    <row r="245" spans="1:19" x14ac:dyDescent="0.25">
      <c r="A245" s="11" t="str">
        <f>'Bldgs &amp; Rooms'!$A$8</f>
        <v>Main Bldg.</v>
      </c>
      <c r="B245" s="11">
        <f>'Bldgs &amp; Rooms'!$B$8</f>
        <v>0</v>
      </c>
      <c r="C245" s="10" t="str">
        <f>Hours!$A$23</f>
        <v>Lighting Contactor &gt; 100A</v>
      </c>
      <c r="D245" s="11">
        <f t="shared" si="6"/>
        <v>0</v>
      </c>
      <c r="E245" s="16">
        <f>IF('Components Yr 1'!E245=0,0,'Components Yr 1'!E245)</f>
        <v>0</v>
      </c>
      <c r="F245" s="17">
        <f>IF('Components Yr 1'!F245=0,0,'Components Yr 1'!F245)</f>
        <v>0</v>
      </c>
      <c r="G245" s="17">
        <f>IF('Components Yr 1'!G245=0,0,'Components Yr 1'!G245)</f>
        <v>0</v>
      </c>
      <c r="H245" s="17">
        <f>IF('Components Yr 1'!H245=0,0,'Components Yr 1'!H245)</f>
        <v>0</v>
      </c>
      <c r="I245" s="17">
        <f>IF('Components Yr 1'!I245=0,0,'Components Yr 1'!I245)</f>
        <v>0</v>
      </c>
      <c r="J245" s="17">
        <f>IF('Components Yr 1'!J245=0,0,'Components Yr 1'!J245)</f>
        <v>0</v>
      </c>
      <c r="K245" s="12"/>
      <c r="L245" s="12"/>
      <c r="M245" s="12"/>
      <c r="N245" s="12"/>
      <c r="O245" s="12"/>
      <c r="P245" s="12"/>
      <c r="Q245" s="17"/>
      <c r="R245" s="18">
        <f>IF(SUMPRODUCT((E245:Q245)*1)=0,0,E245*INDEX(Hours!M:M,MATCH(C245,Hours!$A:$A,0))+F245*INDEX(Hours!B:B,MATCH(C245,Hours!$A:$A,0))+G245*INDEX(Hours!C:C,MATCH(C245,Hours!$A:$A,0))+H245*INDEX(Hours!D:D,MATCH(C245,Hours!$A:$A,0))+I245*INDEX(Hours!E:E,MATCH(C245,Hours!$A:$A,0))+J245*INDEX(Hours!F:F,MATCH(C245,Hours!$A:$A,0)))</f>
        <v>0</v>
      </c>
      <c r="S245" s="19">
        <f t="shared" si="7"/>
        <v>0</v>
      </c>
    </row>
    <row r="246" spans="1:19" x14ac:dyDescent="0.25">
      <c r="A246" s="11" t="str">
        <f>'Bldgs &amp; Rooms'!$A$8</f>
        <v>Main Bldg.</v>
      </c>
      <c r="B246" s="11">
        <f>'Bldgs &amp; Rooms'!$B$8</f>
        <v>0</v>
      </c>
      <c r="C246" s="10" t="str">
        <f>Hours!$A$24</f>
        <v>Power Distribution Unit (PDU)</v>
      </c>
      <c r="D246" s="11">
        <f t="shared" si="6"/>
        <v>0</v>
      </c>
      <c r="E246" s="16">
        <f>IF('Components Yr 1'!E246=0,0,'Components Yr 1'!E246)</f>
        <v>0</v>
      </c>
      <c r="F246" s="17">
        <f>IF('Components Yr 1'!F246=0,0,'Components Yr 1'!F246)</f>
        <v>0</v>
      </c>
      <c r="G246" s="17">
        <f>IF('Components Yr 1'!G246=0,0,'Components Yr 1'!G246)</f>
        <v>0</v>
      </c>
      <c r="H246" s="17">
        <f>IF('Components Yr 1'!H246=0,0,'Components Yr 1'!H246)</f>
        <v>0</v>
      </c>
      <c r="I246" s="17">
        <f>IF('Components Yr 1'!I246=0,0,'Components Yr 1'!I246)</f>
        <v>0</v>
      </c>
      <c r="J246" s="17">
        <f>IF('Components Yr 1'!J246=0,0,'Components Yr 1'!J246)</f>
        <v>0</v>
      </c>
      <c r="K246" s="12"/>
      <c r="L246" s="12"/>
      <c r="M246" s="12"/>
      <c r="N246" s="12"/>
      <c r="O246" s="12"/>
      <c r="P246" s="12"/>
      <c r="Q246" s="17"/>
      <c r="R246" s="18">
        <f>IF(SUMPRODUCT((E246:Q246)*1)=0,0,E246*INDEX(Hours!M:M,MATCH(C246,Hours!$A:$A,0))+F246*INDEX(Hours!B:B,MATCH(C246,Hours!$A:$A,0))+G246*INDEX(Hours!C:C,MATCH(C246,Hours!$A:$A,0))+H246*INDEX(Hours!D:D,MATCH(C246,Hours!$A:$A,0))+I246*INDEX(Hours!E:E,MATCH(C246,Hours!$A:$A,0))+J246*INDEX(Hours!F:F,MATCH(C246,Hours!$A:$A,0)))</f>
        <v>0</v>
      </c>
      <c r="S246" s="19">
        <f t="shared" si="7"/>
        <v>0</v>
      </c>
    </row>
    <row r="247" spans="1:19" x14ac:dyDescent="0.25">
      <c r="A247" s="11" t="str">
        <f>'Bldgs &amp; Rooms'!$A$8</f>
        <v>Main Bldg.</v>
      </c>
      <c r="B247" s="11">
        <f>'Bldgs &amp; Rooms'!$B$8</f>
        <v>0</v>
      </c>
      <c r="C247" s="10" t="str">
        <f>Hours!$A$25</f>
        <v>Wire Trough, Gutter, or Large Junction Boxes</v>
      </c>
      <c r="D247" s="11">
        <f t="shared" si="6"/>
        <v>0</v>
      </c>
      <c r="E247" s="16">
        <f>IF('Components Yr 1'!E247=0,0,'Components Yr 1'!E247)</f>
        <v>0</v>
      </c>
      <c r="F247" s="17">
        <f>IF('Components Yr 1'!F247=0,0,'Components Yr 1'!F247)</f>
        <v>0</v>
      </c>
      <c r="G247" s="17">
        <f>IF('Components Yr 1'!G247=0,0,'Components Yr 1'!G247)</f>
        <v>0</v>
      </c>
      <c r="H247" s="17">
        <f>IF('Components Yr 1'!H247=0,0,'Components Yr 1'!H247)</f>
        <v>0</v>
      </c>
      <c r="I247" s="17">
        <f>IF('Components Yr 1'!I247=0,0,'Components Yr 1'!I247)</f>
        <v>0</v>
      </c>
      <c r="J247" s="17">
        <f>IF('Components Yr 1'!J247=0,0,'Components Yr 1'!J247)</f>
        <v>0</v>
      </c>
      <c r="K247" s="12"/>
      <c r="L247" s="12"/>
      <c r="M247" s="12"/>
      <c r="N247" s="12"/>
      <c r="O247" s="12"/>
      <c r="P247" s="12"/>
      <c r="Q247" s="17"/>
      <c r="R247" s="18">
        <f>IF(SUMPRODUCT((E247:Q247)*1)=0,0,E247*INDEX(Hours!M:M,MATCH(C247,Hours!$A:$A,0))+F247*INDEX(Hours!B:B,MATCH(C247,Hours!$A:$A,0))+G247*INDEX(Hours!C:C,MATCH(C247,Hours!$A:$A,0))+H247*INDEX(Hours!D:D,MATCH(C247,Hours!$A:$A,0))+I247*INDEX(Hours!E:E,MATCH(C247,Hours!$A:$A,0))+J247*INDEX(Hours!F:F,MATCH(C247,Hours!$A:$A,0)))</f>
        <v>0</v>
      </c>
      <c r="S247" s="19">
        <f t="shared" si="7"/>
        <v>0</v>
      </c>
    </row>
    <row r="248" spans="1:19" x14ac:dyDescent="0.25">
      <c r="A248" s="11" t="str">
        <f>'Bldgs &amp; Rooms'!$A$8</f>
        <v>Main Bldg.</v>
      </c>
      <c r="B248" s="11">
        <f>'Bldgs &amp; Rooms'!$B$8</f>
        <v>0</v>
      </c>
      <c r="C248" s="10" t="str">
        <f>Hours!$A$26</f>
        <v>Bus Duct - Vertical or Horizontal (Per 10' section)</v>
      </c>
      <c r="D248" s="11">
        <f t="shared" si="6"/>
        <v>0</v>
      </c>
      <c r="E248" s="16">
        <f>IF('Components Yr 1'!E248=0,0,'Components Yr 1'!E248)</f>
        <v>0</v>
      </c>
      <c r="F248" s="17">
        <f>IF('Components Yr 1'!F248=0,0,'Components Yr 1'!F248)</f>
        <v>0</v>
      </c>
      <c r="G248" s="17">
        <f>IF('Components Yr 1'!G248=0,0,'Components Yr 1'!G248)</f>
        <v>0</v>
      </c>
      <c r="H248" s="17">
        <f>IF('Components Yr 1'!H248=0,0,'Components Yr 1'!H248)</f>
        <v>0</v>
      </c>
      <c r="I248" s="17">
        <f>IF('Components Yr 1'!I248=0,0,'Components Yr 1'!I248)</f>
        <v>0</v>
      </c>
      <c r="J248" s="17">
        <f>IF('Components Yr 1'!J248=0,0,'Components Yr 1'!J248)</f>
        <v>0</v>
      </c>
      <c r="K248" s="12"/>
      <c r="L248" s="12"/>
      <c r="M248" s="12"/>
      <c r="N248" s="12"/>
      <c r="O248" s="12"/>
      <c r="P248" s="12"/>
      <c r="Q248" s="17"/>
      <c r="R248" s="18">
        <f>IF(SUMPRODUCT((E248:Q248)*1)=0,0,E248*INDEX(Hours!M:M,MATCH(C248,Hours!$A:$A,0))+F248*INDEX(Hours!B:B,MATCH(C248,Hours!$A:$A,0))+G248*INDEX(Hours!C:C,MATCH(C248,Hours!$A:$A,0))+H248*INDEX(Hours!D:D,MATCH(C248,Hours!$A:$A,0))+I248*INDEX(Hours!E:E,MATCH(C248,Hours!$A:$A,0))+J248*INDEX(Hours!F:F,MATCH(C248,Hours!$A:$A,0)))</f>
        <v>0</v>
      </c>
      <c r="S248" s="19">
        <f t="shared" si="7"/>
        <v>0</v>
      </c>
    </row>
    <row r="249" spans="1:19" x14ac:dyDescent="0.25">
      <c r="A249" s="11" t="str">
        <f>'Bldgs &amp; Rooms'!$A$8</f>
        <v>Main Bldg.</v>
      </c>
      <c r="B249" s="11">
        <f>'Bldgs &amp; Rooms'!$B$8</f>
        <v>0</v>
      </c>
      <c r="C249" s="10" t="str">
        <f>Hours!$A$27</f>
        <v>Automatic Transfer Switch (ATS) &gt; 100A</v>
      </c>
      <c r="D249" s="11">
        <f t="shared" si="6"/>
        <v>0</v>
      </c>
      <c r="E249" s="16">
        <f>IF('Components Yr 1'!E249=0,0,'Components Yr 1'!E249)</f>
        <v>0</v>
      </c>
      <c r="F249" s="17">
        <f>IF('Components Yr 1'!F249=0,0,'Components Yr 1'!F249)</f>
        <v>0</v>
      </c>
      <c r="G249" s="17">
        <f>IF('Components Yr 1'!G249=0,0,'Components Yr 1'!G249)</f>
        <v>0</v>
      </c>
      <c r="H249" s="17">
        <f>IF('Components Yr 1'!H249=0,0,'Components Yr 1'!H249)</f>
        <v>0</v>
      </c>
      <c r="I249" s="17">
        <f>IF('Components Yr 1'!I249=0,0,'Components Yr 1'!I249)</f>
        <v>0</v>
      </c>
      <c r="J249" s="17">
        <f>IF('Components Yr 1'!J249=0,0,'Components Yr 1'!J249)</f>
        <v>0</v>
      </c>
      <c r="K249" s="12"/>
      <c r="L249" s="12"/>
      <c r="M249" s="12"/>
      <c r="N249" s="12"/>
      <c r="O249" s="12"/>
      <c r="P249" s="12"/>
      <c r="Q249" s="17"/>
      <c r="R249" s="18">
        <f>IF(SUMPRODUCT((E249:Q249)*1)=0,0,E249*INDEX(Hours!M:M,MATCH(C249,Hours!$A:$A,0))+F249*INDEX(Hours!B:B,MATCH(C249,Hours!$A:$A,0))+G249*INDEX(Hours!C:C,MATCH(C249,Hours!$A:$A,0))+H249*INDEX(Hours!D:D,MATCH(C249,Hours!$A:$A,0))+I249*INDEX(Hours!E:E,MATCH(C249,Hours!$A:$A,0))+J249*INDEX(Hours!F:F,MATCH(C249,Hours!$A:$A,0)))</f>
        <v>0</v>
      </c>
      <c r="S249" s="19">
        <f t="shared" si="7"/>
        <v>0</v>
      </c>
    </row>
    <row r="250" spans="1:19" x14ac:dyDescent="0.25">
      <c r="A250" s="11" t="str">
        <f>'Bldgs &amp; Rooms'!$A$8</f>
        <v>Main Bldg.</v>
      </c>
      <c r="B250" s="11">
        <f>'Bldgs &amp; Rooms'!$B$8</f>
        <v>0</v>
      </c>
      <c r="C250" s="10" t="str">
        <f>Hours!$A$28</f>
        <v>Manual Transfer Switch (MTS) &gt; 100A</v>
      </c>
      <c r="D250" s="11">
        <f t="shared" si="6"/>
        <v>0</v>
      </c>
      <c r="E250" s="16">
        <f>IF('Components Yr 1'!E250=0,0,'Components Yr 1'!E250)</f>
        <v>0</v>
      </c>
      <c r="F250" s="17">
        <f>IF('Components Yr 1'!F250=0,0,'Components Yr 1'!F250)</f>
        <v>0</v>
      </c>
      <c r="G250" s="17">
        <f>IF('Components Yr 1'!G250=0,0,'Components Yr 1'!G250)</f>
        <v>0</v>
      </c>
      <c r="H250" s="17">
        <f>IF('Components Yr 1'!H250=0,0,'Components Yr 1'!H250)</f>
        <v>0</v>
      </c>
      <c r="I250" s="17">
        <f>IF('Components Yr 1'!I250=0,0,'Components Yr 1'!I250)</f>
        <v>0</v>
      </c>
      <c r="J250" s="17">
        <f>IF('Components Yr 1'!J250=0,0,'Components Yr 1'!J250)</f>
        <v>0</v>
      </c>
      <c r="K250" s="12"/>
      <c r="L250" s="12"/>
      <c r="M250" s="12"/>
      <c r="N250" s="12"/>
      <c r="O250" s="12"/>
      <c r="P250" s="12"/>
      <c r="Q250" s="17"/>
      <c r="R250" s="18">
        <f>IF(SUMPRODUCT((E250:Q250)*1)=0,0,E250*INDEX(Hours!M:M,MATCH(C250,Hours!$A:$A,0))+F250*INDEX(Hours!B:B,MATCH(C250,Hours!$A:$A,0))+G250*INDEX(Hours!C:C,MATCH(C250,Hours!$A:$A,0))+H250*INDEX(Hours!D:D,MATCH(C250,Hours!$A:$A,0))+I250*INDEX(Hours!E:E,MATCH(C250,Hours!$A:$A,0))+J250*INDEX(Hours!F:F,MATCH(C250,Hours!$A:$A,0)))</f>
        <v>0</v>
      </c>
      <c r="S250" s="19">
        <f t="shared" si="7"/>
        <v>0</v>
      </c>
    </row>
    <row r="251" spans="1:19" x14ac:dyDescent="0.25">
      <c r="A251" s="11" t="str">
        <f>'Bldgs &amp; Rooms'!$A$8</f>
        <v>Main Bldg.</v>
      </c>
      <c r="B251" s="11">
        <f>'Bldgs &amp; Rooms'!$B$8</f>
        <v>0</v>
      </c>
      <c r="C251" s="10" t="str">
        <f>Hours!$A$29</f>
        <v>Variable Frequency Drives (VFD) &lt; 50 HP</v>
      </c>
      <c r="D251" s="11">
        <f t="shared" si="6"/>
        <v>0</v>
      </c>
      <c r="E251" s="16">
        <f>IF('Components Yr 1'!E251=0,0,'Components Yr 1'!E251)</f>
        <v>0</v>
      </c>
      <c r="F251" s="17">
        <f>IF('Components Yr 1'!F251=0,0,'Components Yr 1'!F251)</f>
        <v>0</v>
      </c>
      <c r="G251" s="17">
        <f>IF('Components Yr 1'!G251=0,0,'Components Yr 1'!G251)</f>
        <v>0</v>
      </c>
      <c r="H251" s="17">
        <f>IF('Components Yr 1'!H251=0,0,'Components Yr 1'!H251)</f>
        <v>0</v>
      </c>
      <c r="I251" s="17">
        <f>IF('Components Yr 1'!I251=0,0,'Components Yr 1'!I251)</f>
        <v>0</v>
      </c>
      <c r="J251" s="17">
        <f>IF('Components Yr 1'!J251=0,0,'Components Yr 1'!J251)</f>
        <v>0</v>
      </c>
      <c r="K251" s="12"/>
      <c r="L251" s="12"/>
      <c r="M251" s="12"/>
      <c r="N251" s="12"/>
      <c r="O251" s="12"/>
      <c r="P251" s="12"/>
      <c r="Q251" s="17"/>
      <c r="R251" s="18">
        <f>IF(SUMPRODUCT((E251:Q251)*1)=0,0,E251*INDEX(Hours!M:M,MATCH(C251,Hours!$A:$A,0))+F251*INDEX(Hours!B:B,MATCH(C251,Hours!$A:$A,0))+G251*INDEX(Hours!C:C,MATCH(C251,Hours!$A:$A,0))+H251*INDEX(Hours!D:D,MATCH(C251,Hours!$A:$A,0))+I251*INDEX(Hours!E:E,MATCH(C251,Hours!$A:$A,0))+J251*INDEX(Hours!F:F,MATCH(C251,Hours!$A:$A,0)))</f>
        <v>0</v>
      </c>
      <c r="S251" s="19">
        <f t="shared" si="7"/>
        <v>0</v>
      </c>
    </row>
    <row r="252" spans="1:19" x14ac:dyDescent="0.25">
      <c r="A252" s="11" t="str">
        <f>'Bldgs &amp; Rooms'!$A$8</f>
        <v>Main Bldg.</v>
      </c>
      <c r="B252" s="11">
        <f>'Bldgs &amp; Rooms'!$B$8</f>
        <v>0</v>
      </c>
      <c r="C252" s="10" t="str">
        <f>Hours!$A$30</f>
        <v>Variable Frequency Drives (VFD) 51-200 HP</v>
      </c>
      <c r="D252" s="11">
        <f t="shared" si="6"/>
        <v>0</v>
      </c>
      <c r="E252" s="16">
        <f>IF('Components Yr 1'!E252=0,0,'Components Yr 1'!E252)</f>
        <v>0</v>
      </c>
      <c r="F252" s="17">
        <f>IF('Components Yr 1'!F252=0,0,'Components Yr 1'!F252)</f>
        <v>0</v>
      </c>
      <c r="G252" s="17">
        <f>IF('Components Yr 1'!G252=0,0,'Components Yr 1'!G252)</f>
        <v>0</v>
      </c>
      <c r="H252" s="17">
        <f>IF('Components Yr 1'!H252=0,0,'Components Yr 1'!H252)</f>
        <v>0</v>
      </c>
      <c r="I252" s="17">
        <f>IF('Components Yr 1'!I252=0,0,'Components Yr 1'!I252)</f>
        <v>0</v>
      </c>
      <c r="J252" s="17">
        <f>IF('Components Yr 1'!J252=0,0,'Components Yr 1'!J252)</f>
        <v>0</v>
      </c>
      <c r="K252" s="12"/>
      <c r="L252" s="12"/>
      <c r="M252" s="12"/>
      <c r="N252" s="12"/>
      <c r="O252" s="12"/>
      <c r="P252" s="12"/>
      <c r="Q252" s="17"/>
      <c r="R252" s="18">
        <f>IF(SUMPRODUCT((E252:Q252)*1)=0,0,E252*INDEX(Hours!M:M,MATCH(C252,Hours!$A:$A,0))+F252*INDEX(Hours!B:B,MATCH(C252,Hours!$A:$A,0))+G252*INDEX(Hours!C:C,MATCH(C252,Hours!$A:$A,0))+H252*INDEX(Hours!D:D,MATCH(C252,Hours!$A:$A,0))+I252*INDEX(Hours!E:E,MATCH(C252,Hours!$A:$A,0))+J252*INDEX(Hours!F:F,MATCH(C252,Hours!$A:$A,0)))</f>
        <v>0</v>
      </c>
      <c r="S252" s="19">
        <f t="shared" si="7"/>
        <v>0</v>
      </c>
    </row>
    <row r="253" spans="1:19" x14ac:dyDescent="0.25">
      <c r="A253" s="11" t="str">
        <f>'Bldgs &amp; Rooms'!$A$8</f>
        <v>Main Bldg.</v>
      </c>
      <c r="B253" s="11">
        <f>'Bldgs &amp; Rooms'!$B$8</f>
        <v>0</v>
      </c>
      <c r="C253" s="10" t="str">
        <f>Hours!$A$31</f>
        <v>Motors &lt; 50 HP</v>
      </c>
      <c r="D253" s="11">
        <f t="shared" si="6"/>
        <v>0</v>
      </c>
      <c r="E253" s="16">
        <f>IF('Components Yr 1'!E253=0,0,'Components Yr 1'!E253)</f>
        <v>0</v>
      </c>
      <c r="F253" s="17">
        <f>IF('Components Yr 1'!F253=0,0,'Components Yr 1'!F253)</f>
        <v>0</v>
      </c>
      <c r="G253" s="17">
        <f>IF('Components Yr 1'!G253=0,0,'Components Yr 1'!G253)</f>
        <v>0</v>
      </c>
      <c r="H253" s="17">
        <f>IF('Components Yr 1'!H253=0,0,'Components Yr 1'!H253)</f>
        <v>0</v>
      </c>
      <c r="I253" s="17">
        <f>IF('Components Yr 1'!I253=0,0,'Components Yr 1'!I253)</f>
        <v>0</v>
      </c>
      <c r="J253" s="17">
        <f>IF('Components Yr 1'!J253=0,0,'Components Yr 1'!J253)</f>
        <v>0</v>
      </c>
      <c r="K253" s="12"/>
      <c r="L253" s="12"/>
      <c r="M253" s="12"/>
      <c r="N253" s="12"/>
      <c r="O253" s="12"/>
      <c r="P253" s="12"/>
      <c r="Q253" s="17"/>
      <c r="R253" s="18">
        <f>IF(SUMPRODUCT((E253:Q253)*1)=0,0,E253*INDEX(Hours!M:M,MATCH(C253,Hours!$A:$A,0))+F253*INDEX(Hours!B:B,MATCH(C253,Hours!$A:$A,0))+G253*INDEX(Hours!C:C,MATCH(C253,Hours!$A:$A,0))+H253*INDEX(Hours!D:D,MATCH(C253,Hours!$A:$A,0))+I253*INDEX(Hours!E:E,MATCH(C253,Hours!$A:$A,0))+J253*INDEX(Hours!F:F,MATCH(C253,Hours!$A:$A,0)))</f>
        <v>0</v>
      </c>
      <c r="S253" s="19">
        <f t="shared" si="7"/>
        <v>0</v>
      </c>
    </row>
    <row r="254" spans="1:19" x14ac:dyDescent="0.25">
      <c r="A254" s="11" t="str">
        <f>'Bldgs &amp; Rooms'!$A$8</f>
        <v>Main Bldg.</v>
      </c>
      <c r="B254" s="11">
        <f>'Bldgs &amp; Rooms'!$B$8</f>
        <v>0</v>
      </c>
      <c r="C254" s="10" t="str">
        <f>Hours!$A$32</f>
        <v>Motors 51-200 HP</v>
      </c>
      <c r="D254" s="11">
        <f t="shared" si="6"/>
        <v>0</v>
      </c>
      <c r="E254" s="16">
        <f>IF('Components Yr 1'!E254=0,0,'Components Yr 1'!E254)</f>
        <v>0</v>
      </c>
      <c r="F254" s="17">
        <f>IF('Components Yr 1'!F254=0,0,'Components Yr 1'!F254)</f>
        <v>0</v>
      </c>
      <c r="G254" s="17">
        <f>IF('Components Yr 1'!G254=0,0,'Components Yr 1'!G254)</f>
        <v>0</v>
      </c>
      <c r="H254" s="17">
        <f>IF('Components Yr 1'!H254=0,0,'Components Yr 1'!H254)</f>
        <v>0</v>
      </c>
      <c r="I254" s="17">
        <f>IF('Components Yr 1'!I254=0,0,'Components Yr 1'!I254)</f>
        <v>0</v>
      </c>
      <c r="J254" s="17">
        <f>IF('Components Yr 1'!J254=0,0,'Components Yr 1'!J254)</f>
        <v>0</v>
      </c>
      <c r="K254" s="12"/>
      <c r="L254" s="12"/>
      <c r="M254" s="12"/>
      <c r="N254" s="12"/>
      <c r="O254" s="12"/>
      <c r="P254" s="12"/>
      <c r="Q254" s="17"/>
      <c r="R254" s="18">
        <f>IF(SUMPRODUCT((E254:Q254)*1)=0,0,E254*INDEX(Hours!M:M,MATCH(C254,Hours!$A:$A,0))+F254*INDEX(Hours!B:B,MATCH(C254,Hours!$A:$A,0))+G254*INDEX(Hours!C:C,MATCH(C254,Hours!$A:$A,0))+H254*INDEX(Hours!D:D,MATCH(C254,Hours!$A:$A,0))+I254*INDEX(Hours!E:E,MATCH(C254,Hours!$A:$A,0))+J254*INDEX(Hours!F:F,MATCH(C254,Hours!$A:$A,0)))</f>
        <v>0</v>
      </c>
      <c r="S254" s="19">
        <f t="shared" si="7"/>
        <v>0</v>
      </c>
    </row>
    <row r="255" spans="1:19" x14ac:dyDescent="0.25">
      <c r="A255" s="11" t="str">
        <f>'Bldgs &amp; Rooms'!$A$8</f>
        <v>Main Bldg.</v>
      </c>
      <c r="B255" s="11">
        <f>'Bldgs &amp; Rooms'!$B$8</f>
        <v>0</v>
      </c>
      <c r="C255" s="10" t="str">
        <f>Hours!$A$33</f>
        <v>Motors 201-500 HP</v>
      </c>
      <c r="D255" s="11">
        <f t="shared" si="6"/>
        <v>0</v>
      </c>
      <c r="E255" s="16">
        <f>IF('Components Yr 1'!E255=0,0,'Components Yr 1'!E255)</f>
        <v>0</v>
      </c>
      <c r="F255" s="17">
        <f>IF('Components Yr 1'!F255=0,0,'Components Yr 1'!F255)</f>
        <v>0</v>
      </c>
      <c r="G255" s="17">
        <f>IF('Components Yr 1'!G255=0,0,'Components Yr 1'!G255)</f>
        <v>0</v>
      </c>
      <c r="H255" s="17">
        <f>IF('Components Yr 1'!H255=0,0,'Components Yr 1'!H255)</f>
        <v>0</v>
      </c>
      <c r="I255" s="17">
        <f>IF('Components Yr 1'!I255=0,0,'Components Yr 1'!I255)</f>
        <v>0</v>
      </c>
      <c r="J255" s="17">
        <f>IF('Components Yr 1'!J255=0,0,'Components Yr 1'!J255)</f>
        <v>0</v>
      </c>
      <c r="K255" s="12"/>
      <c r="L255" s="12"/>
      <c r="M255" s="12"/>
      <c r="N255" s="12"/>
      <c r="O255" s="12"/>
      <c r="P255" s="12"/>
      <c r="Q255" s="17"/>
      <c r="R255" s="18">
        <f>IF(SUMPRODUCT((E255:Q255)*1)=0,0,E255*INDEX(Hours!M:M,MATCH(C255,Hours!$A:$A,0))+F255*INDEX(Hours!B:B,MATCH(C255,Hours!$A:$A,0))+G255*INDEX(Hours!C:C,MATCH(C255,Hours!$A:$A,0))+H255*INDEX(Hours!D:D,MATCH(C255,Hours!$A:$A,0))+I255*INDEX(Hours!E:E,MATCH(C255,Hours!$A:$A,0))+J255*INDEX(Hours!F:F,MATCH(C255,Hours!$A:$A,0)))</f>
        <v>0</v>
      </c>
      <c r="S255" s="19">
        <f t="shared" si="7"/>
        <v>0</v>
      </c>
    </row>
    <row r="256" spans="1:19" x14ac:dyDescent="0.25">
      <c r="A256" s="11" t="str">
        <f>'Bldgs &amp; Rooms'!$A$8</f>
        <v>Main Bldg.</v>
      </c>
      <c r="B256" s="11">
        <f>'Bldgs &amp; Rooms'!$B$8</f>
        <v>0</v>
      </c>
      <c r="C256" s="10" t="str">
        <f>Hours!$A$34</f>
        <v>Compressed Air Equipment</v>
      </c>
      <c r="D256" s="11">
        <f t="shared" si="6"/>
        <v>0</v>
      </c>
      <c r="E256" s="16">
        <f>IF('Components Yr 1'!E256=0,0,'Components Yr 1'!E256)</f>
        <v>0</v>
      </c>
      <c r="F256" s="17">
        <f>IF('Components Yr 1'!F256=0,0,'Components Yr 1'!F256)</f>
        <v>0</v>
      </c>
      <c r="G256" s="17">
        <f>IF('Components Yr 1'!G256=0,0,'Components Yr 1'!G256)</f>
        <v>0</v>
      </c>
      <c r="H256" s="17">
        <f>IF('Components Yr 1'!H256=0,0,'Components Yr 1'!H256)</f>
        <v>0</v>
      </c>
      <c r="I256" s="17">
        <f>IF('Components Yr 1'!I256=0,0,'Components Yr 1'!I256)</f>
        <v>0</v>
      </c>
      <c r="J256" s="17">
        <f>IF('Components Yr 1'!J256=0,0,'Components Yr 1'!J256)</f>
        <v>0</v>
      </c>
      <c r="K256" s="12"/>
      <c r="L256" s="12"/>
      <c r="M256" s="12"/>
      <c r="N256" s="12"/>
      <c r="O256" s="12"/>
      <c r="P256" s="12"/>
      <c r="Q256" s="17"/>
      <c r="R256" s="18">
        <f>IF(SUMPRODUCT((E256:Q256)*1)=0,0,E256*INDEX(Hours!M:M,MATCH(C256,Hours!$A:$A,0))+F256*INDEX(Hours!B:B,MATCH(C256,Hours!$A:$A,0))+G256*INDEX(Hours!C:C,MATCH(C256,Hours!$A:$A,0))+H256*INDEX(Hours!D:D,MATCH(C256,Hours!$A:$A,0))+I256*INDEX(Hours!E:E,MATCH(C256,Hours!$A:$A,0))+J256*INDEX(Hours!F:F,MATCH(C256,Hours!$A:$A,0)))</f>
        <v>0</v>
      </c>
      <c r="S256" s="19">
        <f t="shared" si="7"/>
        <v>0</v>
      </c>
    </row>
    <row r="257" spans="1:19" x14ac:dyDescent="0.25">
      <c r="A257" s="11" t="str">
        <f>'Bldgs &amp; Rooms'!$A$8</f>
        <v>Main Bldg.</v>
      </c>
      <c r="B257" s="11">
        <f>'Bldgs &amp; Rooms'!$B$8</f>
        <v>0</v>
      </c>
      <c r="C257" s="10" t="str">
        <f>Hours!$A$35</f>
        <v>HVAC Equipment (Large)</v>
      </c>
      <c r="D257" s="11">
        <f t="shared" si="6"/>
        <v>0</v>
      </c>
      <c r="E257" s="16">
        <f>IF('Components Yr 1'!E257=0,0,'Components Yr 1'!E257)</f>
        <v>0</v>
      </c>
      <c r="F257" s="17">
        <f>IF('Components Yr 1'!F257=0,0,'Components Yr 1'!F257)</f>
        <v>0</v>
      </c>
      <c r="G257" s="17">
        <f>IF('Components Yr 1'!G257=0,0,'Components Yr 1'!G257)</f>
        <v>0</v>
      </c>
      <c r="H257" s="17">
        <f>IF('Components Yr 1'!H257=0,0,'Components Yr 1'!H257)</f>
        <v>0</v>
      </c>
      <c r="I257" s="17">
        <f>IF('Components Yr 1'!I257=0,0,'Components Yr 1'!I257)</f>
        <v>0</v>
      </c>
      <c r="J257" s="17">
        <f>IF('Components Yr 1'!J257=0,0,'Components Yr 1'!J257)</f>
        <v>0</v>
      </c>
      <c r="K257" s="12"/>
      <c r="L257" s="12"/>
      <c r="M257" s="12"/>
      <c r="N257" s="12"/>
      <c r="O257" s="12"/>
      <c r="P257" s="12"/>
      <c r="Q257" s="17"/>
      <c r="R257" s="18">
        <f>IF(SUMPRODUCT((E257:Q257)*1)=0,0,E257*INDEX(Hours!M:M,MATCH(C257,Hours!$A:$A,0))+F257*INDEX(Hours!B:B,MATCH(C257,Hours!$A:$A,0))+G257*INDEX(Hours!C:C,MATCH(C257,Hours!$A:$A,0))+H257*INDEX(Hours!D:D,MATCH(C257,Hours!$A:$A,0))+I257*INDEX(Hours!E:E,MATCH(C257,Hours!$A:$A,0))+J257*INDEX(Hours!F:F,MATCH(C257,Hours!$A:$A,0)))</f>
        <v>0</v>
      </c>
      <c r="S257" s="19">
        <f t="shared" si="7"/>
        <v>0</v>
      </c>
    </row>
    <row r="258" spans="1:19" x14ac:dyDescent="0.25">
      <c r="A258" s="11" t="str">
        <f>'Bldgs &amp; Rooms'!$A$8</f>
        <v>Main Bldg.</v>
      </c>
      <c r="B258" s="11">
        <f>'Bldgs &amp; Rooms'!$B$8</f>
        <v>0</v>
      </c>
      <c r="C258" s="10" t="str">
        <f>Hours!$A$36</f>
        <v>HVAC Equipment (Small)</v>
      </c>
      <c r="D258" s="11">
        <f t="shared" ref="D258:D321" si="8">MAX(E258+F258,G258,H258,I258,J258,K258,L258,M258,N258,O258,P258,Q258)</f>
        <v>0</v>
      </c>
      <c r="E258" s="16">
        <f>IF('Components Yr 1'!E258=0,0,'Components Yr 1'!E258)</f>
        <v>0</v>
      </c>
      <c r="F258" s="17">
        <f>IF('Components Yr 1'!F258=0,0,'Components Yr 1'!F258)</f>
        <v>0</v>
      </c>
      <c r="G258" s="17">
        <f>IF('Components Yr 1'!G258=0,0,'Components Yr 1'!G258)</f>
        <v>0</v>
      </c>
      <c r="H258" s="17">
        <f>IF('Components Yr 1'!H258=0,0,'Components Yr 1'!H258)</f>
        <v>0</v>
      </c>
      <c r="I258" s="17">
        <f>IF('Components Yr 1'!I258=0,0,'Components Yr 1'!I258)</f>
        <v>0</v>
      </c>
      <c r="J258" s="17">
        <f>IF('Components Yr 1'!J258=0,0,'Components Yr 1'!J258)</f>
        <v>0</v>
      </c>
      <c r="K258" s="12"/>
      <c r="L258" s="12"/>
      <c r="M258" s="12"/>
      <c r="N258" s="12"/>
      <c r="O258" s="12"/>
      <c r="P258" s="12"/>
      <c r="Q258" s="17"/>
      <c r="R258" s="18">
        <f>IF(SUMPRODUCT((E258:Q258)*1)=0,0,E258*INDEX(Hours!M:M,MATCH(C258,Hours!$A:$A,0))+F258*INDEX(Hours!B:B,MATCH(C258,Hours!$A:$A,0))+G258*INDEX(Hours!C:C,MATCH(C258,Hours!$A:$A,0))+H258*INDEX(Hours!D:D,MATCH(C258,Hours!$A:$A,0))+I258*INDEX(Hours!E:E,MATCH(C258,Hours!$A:$A,0))+J258*INDEX(Hours!F:F,MATCH(C258,Hours!$A:$A,0)))</f>
        <v>0</v>
      </c>
      <c r="S258" s="19">
        <f t="shared" ref="S258:S321" si="9">MAX(E258+F258,G258,H258,I258,J258,K258,L258,M258,N258,O258,P258,Q258)</f>
        <v>0</v>
      </c>
    </row>
    <row r="259" spans="1:19" x14ac:dyDescent="0.25">
      <c r="A259" s="11" t="str">
        <f>'Bldgs &amp; Rooms'!$A$8</f>
        <v>Main Bldg.</v>
      </c>
      <c r="B259" s="11">
        <f>'Bldgs &amp; Rooms'!$B$8</f>
        <v>0</v>
      </c>
      <c r="C259" s="10" t="str">
        <f>Hours!$A$37</f>
        <v>Uninterruptible Power Supply (UPS) &lt; 50kVA</v>
      </c>
      <c r="D259" s="11">
        <f t="shared" si="8"/>
        <v>0</v>
      </c>
      <c r="E259" s="16">
        <f>IF('Components Yr 1'!E259=0,0,'Components Yr 1'!E259)</f>
        <v>0</v>
      </c>
      <c r="F259" s="17">
        <f>IF('Components Yr 1'!F259=0,0,'Components Yr 1'!F259)</f>
        <v>0</v>
      </c>
      <c r="G259" s="17">
        <f>IF('Components Yr 1'!G259=0,0,'Components Yr 1'!G259)</f>
        <v>0</v>
      </c>
      <c r="H259" s="17">
        <f>IF('Components Yr 1'!H259=0,0,'Components Yr 1'!H259)</f>
        <v>0</v>
      </c>
      <c r="I259" s="17">
        <f>IF('Components Yr 1'!I259=0,0,'Components Yr 1'!I259)</f>
        <v>0</v>
      </c>
      <c r="J259" s="17">
        <f>IF('Components Yr 1'!J259=0,0,'Components Yr 1'!J259)</f>
        <v>0</v>
      </c>
      <c r="K259" s="12"/>
      <c r="L259" s="12"/>
      <c r="M259" s="12"/>
      <c r="N259" s="12"/>
      <c r="O259" s="12"/>
      <c r="P259" s="12"/>
      <c r="Q259" s="17"/>
      <c r="R259" s="18">
        <f>IF(SUMPRODUCT((E259:Q259)*1)=0,0,E259*INDEX(Hours!M:M,MATCH(C259,Hours!$A:$A,0))+F259*INDEX(Hours!B:B,MATCH(C259,Hours!$A:$A,0))+G259*INDEX(Hours!C:C,MATCH(C259,Hours!$A:$A,0))+H259*INDEX(Hours!D:D,MATCH(C259,Hours!$A:$A,0))+I259*INDEX(Hours!E:E,MATCH(C259,Hours!$A:$A,0))+J259*INDEX(Hours!F:F,MATCH(C259,Hours!$A:$A,0)))</f>
        <v>0</v>
      </c>
      <c r="S259" s="19">
        <f t="shared" si="9"/>
        <v>0</v>
      </c>
    </row>
    <row r="260" spans="1:19" x14ac:dyDescent="0.25">
      <c r="A260" s="11" t="str">
        <f>'Bldgs &amp; Rooms'!$A$8</f>
        <v>Main Bldg.</v>
      </c>
      <c r="B260" s="11">
        <f>'Bldgs &amp; Rooms'!$B$8</f>
        <v>0</v>
      </c>
      <c r="C260" s="10" t="str">
        <f>Hours!$A$38</f>
        <v>Uninterruptible Power Supply (UPS) &gt; 50kVA</v>
      </c>
      <c r="D260" s="11">
        <f t="shared" si="8"/>
        <v>0</v>
      </c>
      <c r="E260" s="16">
        <f>IF('Components Yr 1'!E260=0,0,'Components Yr 1'!E260)</f>
        <v>0</v>
      </c>
      <c r="F260" s="17">
        <f>IF('Components Yr 1'!F260=0,0,'Components Yr 1'!F260)</f>
        <v>0</v>
      </c>
      <c r="G260" s="17">
        <f>IF('Components Yr 1'!G260=0,0,'Components Yr 1'!G260)</f>
        <v>0</v>
      </c>
      <c r="H260" s="17">
        <f>IF('Components Yr 1'!H260=0,0,'Components Yr 1'!H260)</f>
        <v>0</v>
      </c>
      <c r="I260" s="17">
        <f>IF('Components Yr 1'!I260=0,0,'Components Yr 1'!I260)</f>
        <v>0</v>
      </c>
      <c r="J260" s="17">
        <f>IF('Components Yr 1'!J260=0,0,'Components Yr 1'!J260)</f>
        <v>0</v>
      </c>
      <c r="K260" s="12"/>
      <c r="L260" s="12"/>
      <c r="M260" s="12"/>
      <c r="N260" s="12"/>
      <c r="O260" s="12"/>
      <c r="P260" s="12"/>
      <c r="Q260" s="17"/>
      <c r="R260" s="18">
        <f>IF(SUMPRODUCT((E260:Q260)*1)=0,0,E260*INDEX(Hours!M:M,MATCH(C260,Hours!$A:$A,0))+F260*INDEX(Hours!B:B,MATCH(C260,Hours!$A:$A,0))+G260*INDEX(Hours!C:C,MATCH(C260,Hours!$A:$A,0))+H260*INDEX(Hours!D:D,MATCH(C260,Hours!$A:$A,0))+I260*INDEX(Hours!E:E,MATCH(C260,Hours!$A:$A,0))+J260*INDEX(Hours!F:F,MATCH(C260,Hours!$A:$A,0)))</f>
        <v>0</v>
      </c>
      <c r="S260" s="19">
        <f t="shared" si="9"/>
        <v>0</v>
      </c>
    </row>
    <row r="261" spans="1:19" x14ac:dyDescent="0.25">
      <c r="A261" s="15" t="str">
        <f>'Bldgs &amp; Rooms'!$A$9</f>
        <v>Main Bldg.</v>
      </c>
      <c r="B261" s="15">
        <f>'Bldgs &amp; Rooms'!$B$9</f>
        <v>0</v>
      </c>
      <c r="C261" s="14" t="str">
        <f>Hours!$A$2</f>
        <v>Switchgear - Incoming Main Service (Per Section)</v>
      </c>
      <c r="D261" s="15">
        <f t="shared" si="8"/>
        <v>0</v>
      </c>
      <c r="E261" s="16">
        <f>IF('Components Yr 1'!E261=0,0,'Components Yr 1'!E261)</f>
        <v>0</v>
      </c>
      <c r="F261" s="17">
        <f>IF('Components Yr 1'!F261=0,0,'Components Yr 1'!F261)</f>
        <v>0</v>
      </c>
      <c r="G261" s="17">
        <f>IF('Components Yr 1'!G261=0,0,'Components Yr 1'!G261)</f>
        <v>0</v>
      </c>
      <c r="H261" s="17">
        <f>IF('Components Yr 1'!H261=0,0,'Components Yr 1'!H261)</f>
        <v>0</v>
      </c>
      <c r="I261" s="17">
        <f>IF('Components Yr 1'!I261=0,0,'Components Yr 1'!I261)</f>
        <v>0</v>
      </c>
      <c r="J261" s="17">
        <f>IF('Components Yr 1'!J261=0,0,'Components Yr 1'!J261)</f>
        <v>0</v>
      </c>
      <c r="K261" s="17">
        <f>IF('Components Yr 1'!K261=0,0,'Components Yr 1'!K261)</f>
        <v>0</v>
      </c>
      <c r="L261" s="17">
        <f>IF('Components Yr 1'!L261=0,0,'Components Yr 1'!L261)</f>
        <v>0</v>
      </c>
      <c r="M261" s="12"/>
      <c r="N261" s="12"/>
      <c r="O261" s="17">
        <f>IF('Components Yr 1'!O261=0,0,'Components Yr 1'!O261)</f>
        <v>0</v>
      </c>
      <c r="P261" s="12"/>
      <c r="Q261" s="17"/>
      <c r="R261" s="18">
        <f>IF(SUMPRODUCT((E261:Q261)*1)=0,0,E261*INDEX(Hours!M:M,MATCH(C261,Hours!$A:$A,0))+F261*INDEX(Hours!B:B,MATCH(C261,Hours!$A:$A,0))+G261*INDEX(Hours!C:C,MATCH(C261,Hours!$A:$A,0))+H261*INDEX(Hours!D:D,MATCH(C261,Hours!$A:$A,0))+I261*INDEX(Hours!E:E,MATCH(C261,Hours!$A:$A,0))+J261*INDEX(Hours!F:F,MATCH(C261,Hours!$A:$A,0))+K261*INDEX(Hours!G:G,MATCH(C261,Hours!$A:$A,0))+L261*INDEX(Hours!H:H,MATCH(C261,Hours!$A:$A,0))+O261*INDEX(Hours!K:K,MATCH(C261,Hours!$A:$A,0)))</f>
        <v>0</v>
      </c>
      <c r="S261" s="19">
        <f t="shared" si="9"/>
        <v>0</v>
      </c>
    </row>
    <row r="262" spans="1:19" x14ac:dyDescent="0.25">
      <c r="A262" s="15" t="str">
        <f>'Bldgs &amp; Rooms'!$A$9</f>
        <v>Main Bldg.</v>
      </c>
      <c r="B262" s="15">
        <f>'Bldgs &amp; Rooms'!$B$9</f>
        <v>0</v>
      </c>
      <c r="C262" s="14" t="str">
        <f>Hours!$A$3</f>
        <v xml:space="preserve">  Switchgear Insulated Case Breakers (Bus Mounted)</v>
      </c>
      <c r="D262" s="15">
        <f t="shared" si="8"/>
        <v>0</v>
      </c>
      <c r="E262" s="16">
        <f>IF('Components Yr 1'!E262=0,0,'Components Yr 1'!E262)</f>
        <v>0</v>
      </c>
      <c r="F262" s="17">
        <f>IF('Components Yr 1'!F262=0,0,'Components Yr 1'!F262)</f>
        <v>0</v>
      </c>
      <c r="G262" s="17">
        <f>IF('Components Yr 1'!G262=0,0,'Components Yr 1'!G262)</f>
        <v>0</v>
      </c>
      <c r="H262" s="17">
        <f>IF('Components Yr 1'!H262=0,0,'Components Yr 1'!H262)</f>
        <v>0</v>
      </c>
      <c r="I262" s="17">
        <f>IF('Components Yr 1'!I262=0,0,'Components Yr 1'!I262)</f>
        <v>0</v>
      </c>
      <c r="J262" s="17">
        <f>IF('Components Yr 1'!J262=0,0,'Components Yr 1'!J262)</f>
        <v>0</v>
      </c>
      <c r="K262" s="17">
        <f>IF('Components Yr 1'!K262=0,0,'Components Yr 1'!K262)</f>
        <v>0</v>
      </c>
      <c r="L262" s="12"/>
      <c r="M262" s="12"/>
      <c r="N262" s="12"/>
      <c r="O262" s="12"/>
      <c r="P262" s="12"/>
      <c r="Q262" s="17"/>
      <c r="R262" s="18">
        <f>IF(SUMPRODUCT((E262:Q262)*1)=0,0,E262*INDEX(Hours!M:M,MATCH(C262,Hours!$A:$A,0))+F262*INDEX(Hours!B:B,MATCH(C262,Hours!$A:$A,0))+G262*INDEX(Hours!C:C,MATCH(C262,Hours!$A:$A,0))+H262*INDEX(Hours!D:D,MATCH(C262,Hours!$A:$A,0))+I262*INDEX(Hours!E:E,MATCH(C262,Hours!$A:$A,0))+J262*INDEX(Hours!F:F,MATCH(C262,Hours!$A:$A,0))+K262*INDEX(Hours!G:G,MATCH(C262,Hours!$A:$A,0)))</f>
        <v>0</v>
      </c>
      <c r="S262" s="19">
        <f t="shared" si="9"/>
        <v>0</v>
      </c>
    </row>
    <row r="263" spans="1:19" x14ac:dyDescent="0.25">
      <c r="A263" s="15" t="str">
        <f>'Bldgs &amp; Rooms'!$A$9</f>
        <v>Main Bldg.</v>
      </c>
      <c r="B263" s="15">
        <f>'Bldgs &amp; Rooms'!$B$9</f>
        <v>0</v>
      </c>
      <c r="C263" s="14" t="str">
        <f>Hours!$A$4</f>
        <v xml:space="preserve">  SwitchGear Drawout Breakers</v>
      </c>
      <c r="D263" s="15">
        <f t="shared" si="8"/>
        <v>0</v>
      </c>
      <c r="E263" s="16">
        <f>IF('Components Yr 1'!E263=0,0,'Components Yr 1'!E263)</f>
        <v>0</v>
      </c>
      <c r="F263" s="17">
        <f>IF('Components Yr 1'!F263=0,0,'Components Yr 1'!F263)</f>
        <v>0</v>
      </c>
      <c r="G263" s="17">
        <f>IF('Components Yr 1'!G263=0,0,'Components Yr 1'!G263)</f>
        <v>0</v>
      </c>
      <c r="H263" s="17">
        <f>IF('Components Yr 1'!H263=0,0,'Components Yr 1'!H263)</f>
        <v>0</v>
      </c>
      <c r="I263" s="17">
        <f>IF('Components Yr 1'!I263=0,0,'Components Yr 1'!I263)</f>
        <v>0</v>
      </c>
      <c r="J263" s="17">
        <f>IF('Components Yr 1'!J263=0,0,'Components Yr 1'!J263)</f>
        <v>0</v>
      </c>
      <c r="K263" s="12"/>
      <c r="L263" s="17">
        <f>IF('Components Yr 1'!L263=0,0,'Components Yr 1'!L263)</f>
        <v>0</v>
      </c>
      <c r="M263" s="12"/>
      <c r="N263" s="12"/>
      <c r="O263" s="12"/>
      <c r="P263" s="12"/>
      <c r="Q263" s="17"/>
      <c r="R263" s="18">
        <f>IF(SUMPRODUCT((E263:Q263)*1)=0,0,E263*INDEX(Hours!M:M,MATCH(C263,Hours!$A:$A,0))+F263*INDEX(Hours!B:B,MATCH(C263,Hours!$A:$A,0))+G263*INDEX(Hours!C:C,MATCH(C263,Hours!$A:$A,0))+H263*INDEX(Hours!D:D,MATCH(C263,Hours!$A:$A,0))+I263*INDEX(Hours!E:E,MATCH(C263,Hours!$A:$A,0))+J263*INDEX(Hours!F:F,MATCH(C263,Hours!$A:$A,0))+L263*INDEX(Hours!H:H,MATCH(C263,Hours!$A:$A,0)))</f>
        <v>0</v>
      </c>
      <c r="S263" s="19">
        <f t="shared" si="9"/>
        <v>0</v>
      </c>
    </row>
    <row r="264" spans="1:19" x14ac:dyDescent="0.25">
      <c r="A264" s="15" t="str">
        <f>'Bldgs &amp; Rooms'!$A$9</f>
        <v>Main Bldg.</v>
      </c>
      <c r="B264" s="15">
        <f>'Bldgs &amp; Rooms'!$B$9</f>
        <v>0</v>
      </c>
      <c r="C264" s="14" t="str">
        <f>Hours!$A$5</f>
        <v>Distribution Switchboard Multi Cover (Per Section)</v>
      </c>
      <c r="D264" s="15">
        <f t="shared" si="8"/>
        <v>0</v>
      </c>
      <c r="E264" s="16">
        <f>IF('Components Yr 1'!E264=0,0,'Components Yr 1'!E264)</f>
        <v>0</v>
      </c>
      <c r="F264" s="17">
        <f>IF('Components Yr 1'!F264=0,0,'Components Yr 1'!F264)</f>
        <v>0</v>
      </c>
      <c r="G264" s="17">
        <f>IF('Components Yr 1'!G264=0,0,'Components Yr 1'!G264)</f>
        <v>0</v>
      </c>
      <c r="H264" s="17">
        <f>IF('Components Yr 1'!H264=0,0,'Components Yr 1'!H264)</f>
        <v>0</v>
      </c>
      <c r="I264" s="17">
        <f>IF('Components Yr 1'!I264=0,0,'Components Yr 1'!I264)</f>
        <v>0</v>
      </c>
      <c r="J264" s="17">
        <f>IF('Components Yr 1'!J264=0,0,'Components Yr 1'!J264)</f>
        <v>0</v>
      </c>
      <c r="K264" s="17">
        <f>IF('Components Yr 1'!K264=0,0,'Components Yr 1'!K264)</f>
        <v>0</v>
      </c>
      <c r="L264" s="12"/>
      <c r="M264" s="12"/>
      <c r="N264" s="12"/>
      <c r="O264" s="17">
        <f>IF('Components Yr 1'!O264=0,0,'Components Yr 1'!O264)</f>
        <v>0</v>
      </c>
      <c r="P264" s="12"/>
      <c r="Q264" s="17"/>
      <c r="R264" s="18">
        <f>IF(SUMPRODUCT((E264:Q264)*1)=0,0,E264*INDEX(Hours!M:M,MATCH(C264,Hours!$A:$A,0))+F264*INDEX(Hours!B:B,MATCH(C264,Hours!$A:$A,0))+G264*INDEX(Hours!C:C,MATCH(C264,Hours!$A:$A,0))+H264*INDEX(Hours!D:D,MATCH(C264,Hours!$A:$A,0))+I264*INDEX(Hours!E:E,MATCH(C264,Hours!$A:$A,0))+J264*INDEX(Hours!F:F,MATCH(C264,Hours!$A:$A,0))+K264*INDEX(Hours!G:G,MATCH(C264,Hours!$A:$A,0))+O264*INDEX(Hours!K:K,MATCH(C264,Hours!$A:$A,0)))</f>
        <v>0</v>
      </c>
      <c r="S264" s="19">
        <f t="shared" si="9"/>
        <v>0</v>
      </c>
    </row>
    <row r="265" spans="1:19" x14ac:dyDescent="0.25">
      <c r="A265" s="15" t="str">
        <f>'Bldgs &amp; Rooms'!$A$9</f>
        <v>Main Bldg.</v>
      </c>
      <c r="B265" s="15">
        <f>'Bldgs &amp; Rooms'!$B$9</f>
        <v>0</v>
      </c>
      <c r="C265" s="14" t="str">
        <f>Hours!$A$6</f>
        <v xml:space="preserve">  Switchboard Disconnects</v>
      </c>
      <c r="D265" s="15">
        <f t="shared" si="8"/>
        <v>0</v>
      </c>
      <c r="E265" s="16">
        <f>IF('Components Yr 1'!E265=0,0,'Components Yr 1'!E265)</f>
        <v>0</v>
      </c>
      <c r="F265" s="17">
        <f>IF('Components Yr 1'!F265=0,0,'Components Yr 1'!F265)</f>
        <v>0</v>
      </c>
      <c r="G265" s="17">
        <f>IF('Components Yr 1'!G265=0,0,'Components Yr 1'!G265)</f>
        <v>0</v>
      </c>
      <c r="H265" s="17">
        <f>IF('Components Yr 1'!H265=0,0,'Components Yr 1'!H265)</f>
        <v>0</v>
      </c>
      <c r="I265" s="17">
        <f>IF('Components Yr 1'!I265=0,0,'Components Yr 1'!I265)</f>
        <v>0</v>
      </c>
      <c r="J265" s="17">
        <f>IF('Components Yr 1'!J265=0,0,'Components Yr 1'!J265)</f>
        <v>0</v>
      </c>
      <c r="K265" s="12"/>
      <c r="L265" s="12"/>
      <c r="M265" s="12"/>
      <c r="N265" s="12"/>
      <c r="O265" s="12"/>
      <c r="P265" s="12"/>
      <c r="Q265" s="17"/>
      <c r="R265" s="18">
        <f>IF(SUMPRODUCT((E265:Q265)*1)=0,0,E265*INDEX(Hours!M:M,MATCH(C265,Hours!$A:$A,0))+F265*INDEX(Hours!B:B,MATCH(C265,Hours!$A:$A,0))+G265*INDEX(Hours!C:C,MATCH(C265,Hours!$A:$A,0))+H265*INDEX(Hours!D:D,MATCH(C265,Hours!$A:$A,0))+I265*INDEX(Hours!E:E,MATCH(C265,Hours!$A:$A,0))+J265*INDEX(Hours!F:F,MATCH(C265,Hours!$A:$A,0)))</f>
        <v>0</v>
      </c>
      <c r="S265" s="19">
        <f t="shared" si="9"/>
        <v>0</v>
      </c>
    </row>
    <row r="266" spans="1:19" x14ac:dyDescent="0.25">
      <c r="A266" s="15" t="str">
        <f>'Bldgs &amp; Rooms'!$A$9</f>
        <v>Main Bldg.</v>
      </c>
      <c r="B266" s="15">
        <f>'Bldgs &amp; Rooms'!$B$9</f>
        <v>0</v>
      </c>
      <c r="C266" s="14" t="str">
        <f>Hours!$A$7</f>
        <v xml:space="preserve">  Switchboard Molded Case Breakers</v>
      </c>
      <c r="D266" s="15">
        <f t="shared" si="8"/>
        <v>0</v>
      </c>
      <c r="E266" s="16">
        <f>IF('Components Yr 1'!E266=0,0,'Components Yr 1'!E266)</f>
        <v>0</v>
      </c>
      <c r="F266" s="17">
        <f>IF('Components Yr 1'!F266=0,0,'Components Yr 1'!F266)</f>
        <v>0</v>
      </c>
      <c r="G266" s="17">
        <f>IF('Components Yr 1'!G266=0,0,'Components Yr 1'!G266)</f>
        <v>0</v>
      </c>
      <c r="H266" s="17">
        <f>IF('Components Yr 1'!H266=0,0,'Components Yr 1'!H266)</f>
        <v>0</v>
      </c>
      <c r="I266" s="17">
        <f>IF('Components Yr 1'!I266=0,0,'Components Yr 1'!I266)</f>
        <v>0</v>
      </c>
      <c r="J266" s="17">
        <f>IF('Components Yr 1'!J266=0,0,'Components Yr 1'!J266)</f>
        <v>0</v>
      </c>
      <c r="K266" s="17">
        <f>IF('Components Yr 1'!K266=0,0,'Components Yr 1'!K266)</f>
        <v>0</v>
      </c>
      <c r="L266" s="12"/>
      <c r="M266" s="12"/>
      <c r="N266" s="12"/>
      <c r="O266" s="12"/>
      <c r="P266" s="12"/>
      <c r="Q266" s="17"/>
      <c r="R266" s="18">
        <f>IF(SUMPRODUCT((E266:Q266)*1)=0,0,E266*INDEX(Hours!M:M,MATCH(C266,Hours!$A:$A,0))+F266*INDEX(Hours!B:B,MATCH(C266,Hours!$A:$A,0))+G266*INDEX(Hours!C:C,MATCH(C266,Hours!$A:$A,0))+H266*INDEX(Hours!D:D,MATCH(C266,Hours!$A:$A,0))+I266*INDEX(Hours!E:E,MATCH(C266,Hours!$A:$A,0))+J266*INDEX(Hours!F:F,MATCH(C266,Hours!$A:$A,0))+K266*INDEX(Hours!G:G,MATCH(C266,Hours!$A:$A,0)))</f>
        <v>0</v>
      </c>
      <c r="S266" s="19">
        <f t="shared" si="9"/>
        <v>0</v>
      </c>
    </row>
    <row r="267" spans="1:19" x14ac:dyDescent="0.25">
      <c r="A267" s="15" t="str">
        <f>'Bldgs &amp; Rooms'!$A$9</f>
        <v>Main Bldg.</v>
      </c>
      <c r="B267" s="15">
        <f>'Bldgs &amp; Rooms'!$B$9</f>
        <v>0</v>
      </c>
      <c r="C267" s="14" t="str">
        <f>Hours!$A$8</f>
        <v>Panelboard-Single Cover &gt; 400A (Distribution Panel)</v>
      </c>
      <c r="D267" s="15">
        <f t="shared" si="8"/>
        <v>0</v>
      </c>
      <c r="E267" s="16">
        <f>IF('Components Yr 1'!E267=0,0,'Components Yr 1'!E267)</f>
        <v>0</v>
      </c>
      <c r="F267" s="17">
        <f>IF('Components Yr 1'!F267=0,0,'Components Yr 1'!F267)</f>
        <v>0</v>
      </c>
      <c r="G267" s="17">
        <f>IF('Components Yr 1'!G267=0,0,'Components Yr 1'!G267)</f>
        <v>0</v>
      </c>
      <c r="H267" s="17">
        <f>IF('Components Yr 1'!H267=0,0,'Components Yr 1'!H267)</f>
        <v>0</v>
      </c>
      <c r="I267" s="17">
        <f>IF('Components Yr 1'!I267=0,0,'Components Yr 1'!I267)</f>
        <v>0</v>
      </c>
      <c r="J267" s="17">
        <f>IF('Components Yr 1'!J267=0,0,'Components Yr 1'!J267)</f>
        <v>0</v>
      </c>
      <c r="K267" s="17">
        <f>IF('Components Yr 1'!K267=0,0,'Components Yr 1'!K267)</f>
        <v>0</v>
      </c>
      <c r="L267" s="12"/>
      <c r="M267" s="12"/>
      <c r="N267" s="12"/>
      <c r="O267" s="17">
        <f>IF('Components Yr 1'!O267=0,0,'Components Yr 1'!O267)</f>
        <v>0</v>
      </c>
      <c r="P267" s="12"/>
      <c r="Q267" s="17"/>
      <c r="R267" s="18">
        <f>IF(SUMPRODUCT((E267:Q267)*1)=0,0,E267*INDEX(Hours!M:M,MATCH(C267,Hours!$A:$A,0))+F267*INDEX(Hours!B:B,MATCH(C267,Hours!$A:$A,0))+G267*INDEX(Hours!C:C,MATCH(C267,Hours!$A:$A,0))+H267*INDEX(Hours!D:D,MATCH(C267,Hours!$A:$A,0))+I267*INDEX(Hours!E:E,MATCH(C267,Hours!$A:$A,0))+J267*INDEX(Hours!F:F,MATCH(C267,Hours!$A:$A,0))+K267*INDEX(Hours!G:G,MATCH(C267,Hours!$A:$A,0))+O267*INDEX(Hours!K:K,MATCH(C267,Hours!$A:$A,0)))</f>
        <v>0</v>
      </c>
      <c r="S267" s="19">
        <f t="shared" si="9"/>
        <v>0</v>
      </c>
    </row>
    <row r="268" spans="1:19" x14ac:dyDescent="0.25">
      <c r="A268" s="15" t="str">
        <f>'Bldgs &amp; Rooms'!$A$9</f>
        <v>Main Bldg.</v>
      </c>
      <c r="B268" s="15">
        <f>'Bldgs &amp; Rooms'!$B$9</f>
        <v>0</v>
      </c>
      <c r="C268" s="14" t="str">
        <f>Hours!$A$9</f>
        <v>Panelboard-Single Cover &lt; 400A (Branch Ckt Panel)</v>
      </c>
      <c r="D268" s="15">
        <f t="shared" si="8"/>
        <v>0</v>
      </c>
      <c r="E268" s="16">
        <f>IF('Components Yr 1'!E268=0,0,'Components Yr 1'!E268)</f>
        <v>0</v>
      </c>
      <c r="F268" s="17">
        <f>IF('Components Yr 1'!F268=0,0,'Components Yr 1'!F268)</f>
        <v>0</v>
      </c>
      <c r="G268" s="17">
        <f>IF('Components Yr 1'!G268=0,0,'Components Yr 1'!G268)</f>
        <v>0</v>
      </c>
      <c r="H268" s="17">
        <f>IF('Components Yr 1'!H268=0,0,'Components Yr 1'!H268)</f>
        <v>0</v>
      </c>
      <c r="I268" s="17">
        <f>IF('Components Yr 1'!I268=0,0,'Components Yr 1'!I268)</f>
        <v>0</v>
      </c>
      <c r="J268" s="17">
        <f>IF('Components Yr 1'!J268=0,0,'Components Yr 1'!J268)</f>
        <v>0</v>
      </c>
      <c r="K268" s="12"/>
      <c r="L268" s="12"/>
      <c r="M268" s="12"/>
      <c r="N268" s="12"/>
      <c r="O268" s="17">
        <f>IF('Components Yr 1'!O268=0,0,'Components Yr 1'!O268)</f>
        <v>0</v>
      </c>
      <c r="P268" s="12"/>
      <c r="Q268" s="17"/>
      <c r="R268" s="18">
        <f>IF(SUMPRODUCT((E268:Q268)*1)=0,0,E268*INDEX(Hours!M:M,MATCH(C268,Hours!$A:$A,0))+F268*INDEX(Hours!B:B,MATCH(C268,Hours!$A:$A,0))+G268*INDEX(Hours!C:C,MATCH(C268,Hours!$A:$A,0))+H268*INDEX(Hours!D:D,MATCH(C268,Hours!$A:$A,0))+I268*INDEX(Hours!E:E,MATCH(C268,Hours!$A:$A,0))+J268*INDEX(Hours!F:F,MATCH(C268,Hours!$A:$A,0))+O268*INDEX(Hours!K:K,MATCH(C268,Hours!$A:$A,0)))</f>
        <v>0</v>
      </c>
      <c r="S268" s="19">
        <f t="shared" si="9"/>
        <v>0</v>
      </c>
    </row>
    <row r="269" spans="1:19" x14ac:dyDescent="0.25">
      <c r="A269" s="15" t="str">
        <f>'Bldgs &amp; Rooms'!$A$9</f>
        <v>Main Bldg.</v>
      </c>
      <c r="B269" s="15">
        <f>'Bldgs &amp; Rooms'!$B$9</f>
        <v>0</v>
      </c>
      <c r="C269" s="14" t="str">
        <f>Hours!$A$10</f>
        <v>Motor Control Center (MCC-Per Vertical Section)</v>
      </c>
      <c r="D269" s="15">
        <f t="shared" si="8"/>
        <v>0</v>
      </c>
      <c r="E269" s="16">
        <f>IF('Components Yr 1'!E269=0,0,'Components Yr 1'!E269)</f>
        <v>0</v>
      </c>
      <c r="F269" s="17">
        <f>IF('Components Yr 1'!F269=0,0,'Components Yr 1'!F269)</f>
        <v>0</v>
      </c>
      <c r="G269" s="17">
        <f>IF('Components Yr 1'!G269=0,0,'Components Yr 1'!G269)</f>
        <v>0</v>
      </c>
      <c r="H269" s="17">
        <f>IF('Components Yr 1'!H269=0,0,'Components Yr 1'!H269)</f>
        <v>0</v>
      </c>
      <c r="I269" s="17">
        <f>IF('Components Yr 1'!I269=0,0,'Components Yr 1'!I269)</f>
        <v>0</v>
      </c>
      <c r="J269" s="17">
        <f>IF('Components Yr 1'!J269=0,0,'Components Yr 1'!J269)</f>
        <v>0</v>
      </c>
      <c r="K269" s="12"/>
      <c r="L269" s="12"/>
      <c r="M269" s="12"/>
      <c r="N269" s="12"/>
      <c r="O269" s="17">
        <f>IF('Components Yr 1'!O269=0,0,'Components Yr 1'!O269)</f>
        <v>0</v>
      </c>
      <c r="P269" s="12"/>
      <c r="Q269" s="17"/>
      <c r="R269" s="18">
        <f>IF(SUMPRODUCT((E269:Q269)*1)=0,0,E269*INDEX(Hours!M:M,MATCH(C269,Hours!$A:$A,0))+F269*INDEX(Hours!B:B,MATCH(C269,Hours!$A:$A,0))+G269*INDEX(Hours!C:C,MATCH(C269,Hours!$A:$A,0))+H269*INDEX(Hours!D:D,MATCH(C269,Hours!$A:$A,0))+I269*INDEX(Hours!E:E,MATCH(C269,Hours!$A:$A,0))+J269*INDEX(Hours!F:F,MATCH(C269,Hours!$A:$A,0))+O269*INDEX(Hours!K:K,MATCH(C269,Hours!$A:$A,0)))</f>
        <v>0</v>
      </c>
      <c r="S269" s="19">
        <f t="shared" si="9"/>
        <v>0</v>
      </c>
    </row>
    <row r="270" spans="1:19" x14ac:dyDescent="0.25">
      <c r="A270" s="15" t="str">
        <f>'Bldgs &amp; Rooms'!$A$9</f>
        <v>Main Bldg.</v>
      </c>
      <c r="B270" s="15">
        <f>'Bldgs &amp; Rooms'!$B$9</f>
        <v>0</v>
      </c>
      <c r="C270" s="14" t="str">
        <f>Hours!$A$11</f>
        <v xml:space="preserve">  MCC: Combination Motor Starters</v>
      </c>
      <c r="D270" s="15">
        <f t="shared" si="8"/>
        <v>0</v>
      </c>
      <c r="E270" s="16">
        <f>IF('Components Yr 1'!E270=0,0,'Components Yr 1'!E270)</f>
        <v>0</v>
      </c>
      <c r="F270" s="17">
        <f>IF('Components Yr 1'!F270=0,0,'Components Yr 1'!F270)</f>
        <v>0</v>
      </c>
      <c r="G270" s="17">
        <f>IF('Components Yr 1'!G270=0,0,'Components Yr 1'!G270)</f>
        <v>0</v>
      </c>
      <c r="H270" s="17">
        <f>IF('Components Yr 1'!H270=0,0,'Components Yr 1'!H270)</f>
        <v>0</v>
      </c>
      <c r="I270" s="17">
        <f>IF('Components Yr 1'!I270=0,0,'Components Yr 1'!I270)</f>
        <v>0</v>
      </c>
      <c r="J270" s="17">
        <f>IF('Components Yr 1'!J270=0,0,'Components Yr 1'!J270)</f>
        <v>0</v>
      </c>
      <c r="K270" s="17">
        <f>IF('Components Yr 1'!K270=0,0,'Components Yr 1'!K270)</f>
        <v>0</v>
      </c>
      <c r="L270" s="12"/>
      <c r="M270" s="12"/>
      <c r="N270" s="12"/>
      <c r="O270" s="17">
        <f>IF('Components Yr 1'!O270=0,0,'Components Yr 1'!O270)</f>
        <v>0</v>
      </c>
      <c r="P270" s="12"/>
      <c r="Q270" s="17"/>
      <c r="R270" s="18">
        <f>IF(SUMPRODUCT((E270:Q270)*1)=0,0,E270*INDEX(Hours!M:M,MATCH(C270,Hours!$A:$A,0))+F270*INDEX(Hours!B:B,MATCH(C270,Hours!$A:$A,0))+G270*INDEX(Hours!C:C,MATCH(C270,Hours!$A:$A,0))+H270*INDEX(Hours!D:D,MATCH(C270,Hours!$A:$A,0))+I270*INDEX(Hours!E:E,MATCH(C270,Hours!$A:$A,0))+J270*INDEX(Hours!F:F,MATCH(C270,Hours!$A:$A,0))+K270*INDEX(Hours!G:G,MATCH(C270,Hours!$A:$A,0))+O270*INDEX(Hours!K:K,MATCH(C270,Hours!$A:$A,0)))</f>
        <v>0</v>
      </c>
      <c r="S270" s="19">
        <f t="shared" si="9"/>
        <v>0</v>
      </c>
    </row>
    <row r="271" spans="1:19" x14ac:dyDescent="0.25">
      <c r="A271" s="15" t="str">
        <f>'Bldgs &amp; Rooms'!$A$9</f>
        <v>Main Bldg.</v>
      </c>
      <c r="B271" s="15">
        <f>'Bldgs &amp; Rooms'!$B$9</f>
        <v>0</v>
      </c>
      <c r="C271" s="14" t="str">
        <f>Hours!$A$12</f>
        <v xml:space="preserve">  MCC: Molded Case Breaker</v>
      </c>
      <c r="D271" s="15">
        <f t="shared" si="8"/>
        <v>0</v>
      </c>
      <c r="E271" s="16">
        <f>IF('Components Yr 1'!E271=0,0,'Components Yr 1'!E271)</f>
        <v>0</v>
      </c>
      <c r="F271" s="17">
        <f>IF('Components Yr 1'!F271=0,0,'Components Yr 1'!F271)</f>
        <v>0</v>
      </c>
      <c r="G271" s="17">
        <f>IF('Components Yr 1'!G271=0,0,'Components Yr 1'!G271)</f>
        <v>0</v>
      </c>
      <c r="H271" s="17">
        <f>IF('Components Yr 1'!H271=0,0,'Components Yr 1'!H271)</f>
        <v>0</v>
      </c>
      <c r="I271" s="17">
        <f>IF('Components Yr 1'!I271=0,0,'Components Yr 1'!I271)</f>
        <v>0</v>
      </c>
      <c r="J271" s="17">
        <f>IF('Components Yr 1'!J271=0,0,'Components Yr 1'!J271)</f>
        <v>0</v>
      </c>
      <c r="K271" s="17">
        <f>IF('Components Yr 1'!K271=0,0,'Components Yr 1'!K271)</f>
        <v>0</v>
      </c>
      <c r="L271" s="12"/>
      <c r="M271" s="12"/>
      <c r="N271" s="12"/>
      <c r="O271" s="12"/>
      <c r="P271" s="12"/>
      <c r="Q271" s="17"/>
      <c r="R271" s="18">
        <f>IF(SUMPRODUCT((E271:Q271)*1)=0,0,E271*INDEX(Hours!M:M,MATCH(C271,Hours!$A:$A,0))+F271*INDEX(Hours!B:B,MATCH(C271,Hours!$A:$A,0))+G271*INDEX(Hours!C:C,MATCH(C271,Hours!$A:$A,0))+H271*INDEX(Hours!D:D,MATCH(C271,Hours!$A:$A,0))+I271*INDEX(Hours!E:E,MATCH(C271,Hours!$A:$A,0))+J271*INDEX(Hours!F:F,MATCH(C271,Hours!$A:$A,0))+K271*INDEX(Hours!G:G,MATCH(C271,Hours!$A:$A,0)))</f>
        <v>0</v>
      </c>
      <c r="S271" s="19">
        <f t="shared" si="9"/>
        <v>0</v>
      </c>
    </row>
    <row r="272" spans="1:19" x14ac:dyDescent="0.25">
      <c r="A272" s="15" t="str">
        <f>'Bldgs &amp; Rooms'!$A$9</f>
        <v>Main Bldg.</v>
      </c>
      <c r="B272" s="15">
        <f>'Bldgs &amp; Rooms'!$B$9</f>
        <v>0</v>
      </c>
      <c r="C272" s="14" t="str">
        <f>Hours!$A$13</f>
        <v xml:space="preserve">  MCC: Individual Disconnect Switch</v>
      </c>
      <c r="D272" s="15">
        <f t="shared" si="8"/>
        <v>0</v>
      </c>
      <c r="E272" s="16">
        <f>IF('Components Yr 1'!E272=0,0,'Components Yr 1'!E272)</f>
        <v>0</v>
      </c>
      <c r="F272" s="17">
        <f>IF('Components Yr 1'!F272=0,0,'Components Yr 1'!F272)</f>
        <v>0</v>
      </c>
      <c r="G272" s="17">
        <f>IF('Components Yr 1'!G272=0,0,'Components Yr 1'!G272)</f>
        <v>0</v>
      </c>
      <c r="H272" s="17">
        <f>IF('Components Yr 1'!H272=0,0,'Components Yr 1'!H272)</f>
        <v>0</v>
      </c>
      <c r="I272" s="17">
        <f>IF('Components Yr 1'!I272=0,0,'Components Yr 1'!I272)</f>
        <v>0</v>
      </c>
      <c r="J272" s="17">
        <f>IF('Components Yr 1'!J272=0,0,'Components Yr 1'!J272)</f>
        <v>0</v>
      </c>
      <c r="K272" s="12"/>
      <c r="L272" s="12"/>
      <c r="M272" s="12"/>
      <c r="N272" s="12"/>
      <c r="O272" s="12"/>
      <c r="P272" s="12"/>
      <c r="Q272" s="17"/>
      <c r="R272" s="18">
        <f>IF(SUMPRODUCT((E272:Q272)*1)=0,0,E272*INDEX(Hours!M:M,MATCH(C272,Hours!$A:$A,0))+F272*INDEX(Hours!B:B,MATCH(C272,Hours!$A:$A,0))+G272*INDEX(Hours!C:C,MATCH(C272,Hours!$A:$A,0))+H272*INDEX(Hours!D:D,MATCH(C272,Hours!$A:$A,0))+I272*INDEX(Hours!E:E,MATCH(C272,Hours!$A:$A,0))+J272*INDEX(Hours!F:F,MATCH(C272,Hours!$A:$A,0)))</f>
        <v>0</v>
      </c>
      <c r="S272" s="19">
        <f t="shared" si="9"/>
        <v>0</v>
      </c>
    </row>
    <row r="273" spans="1:19" x14ac:dyDescent="0.25">
      <c r="A273" s="15" t="str">
        <f>'Bldgs &amp; Rooms'!$A$9</f>
        <v>Main Bldg.</v>
      </c>
      <c r="B273" s="15">
        <f>'Bldgs &amp; Rooms'!$B$9</f>
        <v>0</v>
      </c>
      <c r="C273" s="14" t="str">
        <f>Hours!$A$14</f>
        <v>Motor Control Panel (MCP)</v>
      </c>
      <c r="D273" s="15">
        <f t="shared" si="8"/>
        <v>0</v>
      </c>
      <c r="E273" s="16">
        <f>IF('Components Yr 1'!E273=0,0,'Components Yr 1'!E273)</f>
        <v>0</v>
      </c>
      <c r="F273" s="17">
        <f>IF('Components Yr 1'!F273=0,0,'Components Yr 1'!F273)</f>
        <v>0</v>
      </c>
      <c r="G273" s="17">
        <f>IF('Components Yr 1'!G273=0,0,'Components Yr 1'!G273)</f>
        <v>0</v>
      </c>
      <c r="H273" s="17">
        <f>IF('Components Yr 1'!H273=0,0,'Components Yr 1'!H273)</f>
        <v>0</v>
      </c>
      <c r="I273" s="17">
        <f>IF('Components Yr 1'!I273=0,0,'Components Yr 1'!I273)</f>
        <v>0</v>
      </c>
      <c r="J273" s="17">
        <f>IF('Components Yr 1'!J273=0,0,'Components Yr 1'!J273)</f>
        <v>0</v>
      </c>
      <c r="K273" s="12"/>
      <c r="L273" s="12"/>
      <c r="M273" s="12"/>
      <c r="N273" s="12"/>
      <c r="O273" s="17">
        <f>IF('Components Yr 1'!O273=0,0,'Components Yr 1'!O273)</f>
        <v>0</v>
      </c>
      <c r="P273" s="12"/>
      <c r="Q273" s="17"/>
      <c r="R273" s="18">
        <f>IF(SUMPRODUCT((E273:Q273)*1)=0,0,E273*INDEX(Hours!M:M,MATCH(C273,Hours!$A:$A,0))+F273*INDEX(Hours!B:B,MATCH(C273,Hours!$A:$A,0))+G273*INDEX(Hours!C:C,MATCH(C273,Hours!$A:$A,0))+H273*INDEX(Hours!D:D,MATCH(C273,Hours!$A:$A,0))+I273*INDEX(Hours!E:E,MATCH(C273,Hours!$A:$A,0))+J273*INDEX(Hours!F:F,MATCH(C273,Hours!$A:$A,0))+O273*INDEX(Hours!K:K,MATCH(C273,Hours!$A:$A,0)))</f>
        <v>0</v>
      </c>
      <c r="S273" s="19">
        <f t="shared" si="9"/>
        <v>0</v>
      </c>
    </row>
    <row r="274" spans="1:19" x14ac:dyDescent="0.25">
      <c r="A274" s="15" t="str">
        <f>'Bldgs &amp; Rooms'!$A$9</f>
        <v>Main Bldg.</v>
      </c>
      <c r="B274" s="15">
        <f>'Bldgs &amp; Rooms'!$B$9</f>
        <v>0</v>
      </c>
      <c r="C274" s="14" t="str">
        <f>Hours!$A$15</f>
        <v>VFD Motor Control Panel (VFD-MCP)</v>
      </c>
      <c r="D274" s="15">
        <f t="shared" si="8"/>
        <v>0</v>
      </c>
      <c r="E274" s="16">
        <f>IF('Components Yr 1'!E274=0,0,'Components Yr 1'!E274)</f>
        <v>0</v>
      </c>
      <c r="F274" s="17">
        <f>IF('Components Yr 1'!F274=0,0,'Components Yr 1'!F274)</f>
        <v>0</v>
      </c>
      <c r="G274" s="17">
        <f>IF('Components Yr 1'!G274=0,0,'Components Yr 1'!G274)</f>
        <v>0</v>
      </c>
      <c r="H274" s="17">
        <f>IF('Components Yr 1'!H274=0,0,'Components Yr 1'!H274)</f>
        <v>0</v>
      </c>
      <c r="I274" s="17">
        <f>IF('Components Yr 1'!I274=0,0,'Components Yr 1'!I274)</f>
        <v>0</v>
      </c>
      <c r="J274" s="17">
        <f>IF('Components Yr 1'!J274=0,0,'Components Yr 1'!J274)</f>
        <v>0</v>
      </c>
      <c r="K274" s="12"/>
      <c r="L274" s="12"/>
      <c r="M274" s="12"/>
      <c r="N274" s="12"/>
      <c r="O274" s="17">
        <f>IF('Components Yr 1'!O274=0,0,'Components Yr 1'!O274)</f>
        <v>0</v>
      </c>
      <c r="P274" s="12"/>
      <c r="Q274" s="17"/>
      <c r="R274" s="18">
        <f>IF(SUMPRODUCT((E274:Q274)*1)=0,0,E274*INDEX(Hours!M:M,MATCH(C274,Hours!$A:$A,0))+F274*INDEX(Hours!B:B,MATCH(C274,Hours!$A:$A,0))+G274*INDEX(Hours!C:C,MATCH(C274,Hours!$A:$A,0))+H274*INDEX(Hours!D:D,MATCH(C274,Hours!$A:$A,0))+I274*INDEX(Hours!E:E,MATCH(C274,Hours!$A:$A,0))+J274*INDEX(Hours!F:F,MATCH(C274,Hours!$A:$A,0))+O274*INDEX(Hours!K:K,MATCH(C274,Hours!$A:$A,0)))</f>
        <v>0</v>
      </c>
      <c r="S274" s="19">
        <f t="shared" si="9"/>
        <v>0</v>
      </c>
    </row>
    <row r="275" spans="1:19" x14ac:dyDescent="0.25">
      <c r="A275" s="15" t="str">
        <f>'Bldgs &amp; Rooms'!$A$9</f>
        <v>Main Bldg.</v>
      </c>
      <c r="B275" s="15">
        <f>'Bldgs &amp; Rooms'!$B$9</f>
        <v>0</v>
      </c>
      <c r="C275" s="14" t="str">
        <f>Hours!$A$16</f>
        <v>Individual Disconnect Switch &gt; 100A</v>
      </c>
      <c r="D275" s="15">
        <f t="shared" si="8"/>
        <v>0</v>
      </c>
      <c r="E275" s="16">
        <f>IF('Components Yr 1'!E275=0,0,'Components Yr 1'!E275)</f>
        <v>0</v>
      </c>
      <c r="F275" s="17">
        <f>IF('Components Yr 1'!F275=0,0,'Components Yr 1'!F275)</f>
        <v>0</v>
      </c>
      <c r="G275" s="17">
        <f>IF('Components Yr 1'!G275=0,0,'Components Yr 1'!G275)</f>
        <v>0</v>
      </c>
      <c r="H275" s="17">
        <f>IF('Components Yr 1'!H275=0,0,'Components Yr 1'!H275)</f>
        <v>0</v>
      </c>
      <c r="I275" s="17">
        <f>IF('Components Yr 1'!I275=0,0,'Components Yr 1'!I275)</f>
        <v>0</v>
      </c>
      <c r="J275" s="17">
        <f>IF('Components Yr 1'!J275=0,0,'Components Yr 1'!J275)</f>
        <v>0</v>
      </c>
      <c r="K275" s="17">
        <f>IF('Components Yr 1'!K275=0,0,'Components Yr 1'!K275)</f>
        <v>0</v>
      </c>
      <c r="L275" s="12"/>
      <c r="M275" s="12"/>
      <c r="N275" s="12"/>
      <c r="O275" s="12"/>
      <c r="P275" s="12"/>
      <c r="Q275" s="17"/>
      <c r="R275" s="18">
        <f>IF(SUMPRODUCT((E275:Q275)*1)=0,0,E275*INDEX(Hours!M:M,MATCH(C275,Hours!$A:$A,0))+F275*INDEX(Hours!B:B,MATCH(C275,Hours!$A:$A,0))+G275*INDEX(Hours!C:C,MATCH(C275,Hours!$A:$A,0))+H275*INDEX(Hours!D:D,MATCH(C275,Hours!$A:$A,0))+I275*INDEX(Hours!E:E,MATCH(C275,Hours!$A:$A,0))+J275*INDEX(Hours!F:F,MATCH(C275,Hours!$A:$A,0))+K275*INDEX(Hours!G:G,MATCH(C275,Hours!$A:$A,0)))</f>
        <v>0</v>
      </c>
      <c r="S275" s="19">
        <f t="shared" si="9"/>
        <v>0</v>
      </c>
    </row>
    <row r="276" spans="1:19" x14ac:dyDescent="0.25">
      <c r="A276" s="15" t="str">
        <f>'Bldgs &amp; Rooms'!$A$9</f>
        <v>Main Bldg.</v>
      </c>
      <c r="B276" s="15">
        <f>'Bldgs &amp; Rooms'!$B$9</f>
        <v>0</v>
      </c>
      <c r="C276" s="14" t="str">
        <f>Hours!$A$17</f>
        <v>Individual Molded Case Breaker &gt; 100A</v>
      </c>
      <c r="D276" s="15">
        <f t="shared" si="8"/>
        <v>0</v>
      </c>
      <c r="E276" s="16">
        <f>IF('Components Yr 1'!E276=0,0,'Components Yr 1'!E276)</f>
        <v>0</v>
      </c>
      <c r="F276" s="17">
        <f>IF('Components Yr 1'!F276=0,0,'Components Yr 1'!F276)</f>
        <v>0</v>
      </c>
      <c r="G276" s="17">
        <f>IF('Components Yr 1'!G276=0,0,'Components Yr 1'!G276)</f>
        <v>0</v>
      </c>
      <c r="H276" s="17">
        <f>IF('Components Yr 1'!H276=0,0,'Components Yr 1'!H276)</f>
        <v>0</v>
      </c>
      <c r="I276" s="17">
        <f>IF('Components Yr 1'!I276=0,0,'Components Yr 1'!I276)</f>
        <v>0</v>
      </c>
      <c r="J276" s="17">
        <f>IF('Components Yr 1'!J276=0,0,'Components Yr 1'!J276)</f>
        <v>0</v>
      </c>
      <c r="K276" s="17">
        <f>IF('Components Yr 1'!K276=0,0,'Components Yr 1'!K276)</f>
        <v>0</v>
      </c>
      <c r="L276" s="12"/>
      <c r="M276" s="12"/>
      <c r="N276" s="12"/>
      <c r="O276" s="12"/>
      <c r="P276" s="12"/>
      <c r="Q276" s="17"/>
      <c r="R276" s="18">
        <f>IF(SUMPRODUCT((E276:Q276)*1)=0,0,E276*INDEX(Hours!M:M,MATCH(C276,Hours!$A:$A,0))+F276*INDEX(Hours!B:B,MATCH(C276,Hours!$A:$A,0))+G276*INDEX(Hours!C:C,MATCH(C276,Hours!$A:$A,0))+H276*INDEX(Hours!D:D,MATCH(C276,Hours!$A:$A,0))+I276*INDEX(Hours!E:E,MATCH(C276,Hours!$A:$A,0))+J276*INDEX(Hours!F:F,MATCH(C276,Hours!$A:$A,0))+K276*INDEX(Hours!G:G,MATCH(C276,Hours!$A:$A,0)))</f>
        <v>0</v>
      </c>
      <c r="S276" s="19">
        <f t="shared" si="9"/>
        <v>0</v>
      </c>
    </row>
    <row r="277" spans="1:19" x14ac:dyDescent="0.25">
      <c r="A277" s="15" t="str">
        <f>'Bldgs &amp; Rooms'!$A$9</f>
        <v>Main Bldg.</v>
      </c>
      <c r="B277" s="15">
        <f>'Bldgs &amp; Rooms'!$B$9</f>
        <v>0</v>
      </c>
      <c r="C277" s="14" t="str">
        <f>Hours!$A$18</f>
        <v>Individual Combination Motor Starter &gt; 100A</v>
      </c>
      <c r="D277" s="15">
        <f t="shared" si="8"/>
        <v>0</v>
      </c>
      <c r="E277" s="16">
        <f>IF('Components Yr 1'!E277=0,0,'Components Yr 1'!E277)</f>
        <v>0</v>
      </c>
      <c r="F277" s="17">
        <f>IF('Components Yr 1'!F277=0,0,'Components Yr 1'!F277)</f>
        <v>0</v>
      </c>
      <c r="G277" s="17">
        <f>IF('Components Yr 1'!G277=0,0,'Components Yr 1'!G277)</f>
        <v>0</v>
      </c>
      <c r="H277" s="17">
        <f>IF('Components Yr 1'!H277=0,0,'Components Yr 1'!H277)</f>
        <v>0</v>
      </c>
      <c r="I277" s="17">
        <f>IF('Components Yr 1'!I277=0,0,'Components Yr 1'!I277)</f>
        <v>0</v>
      </c>
      <c r="J277" s="17">
        <f>IF('Components Yr 1'!J277=0,0,'Components Yr 1'!J277)</f>
        <v>0</v>
      </c>
      <c r="K277" s="17">
        <f>IF('Components Yr 1'!K277=0,0,'Components Yr 1'!K277)</f>
        <v>0</v>
      </c>
      <c r="L277" s="12"/>
      <c r="M277" s="12"/>
      <c r="N277" s="12"/>
      <c r="O277" s="12"/>
      <c r="P277" s="12"/>
      <c r="Q277" s="17"/>
      <c r="R277" s="18">
        <f>IF(SUMPRODUCT((E277:Q277)*1)=0,0,E277*INDEX(Hours!M:M,MATCH(C277,Hours!$A:$A,0))+F277*INDEX(Hours!B:B,MATCH(C277,Hours!$A:$A,0))+G277*INDEX(Hours!C:C,MATCH(C277,Hours!$A:$A,0))+H277*INDEX(Hours!D:D,MATCH(C277,Hours!$A:$A,0))+I277*INDEX(Hours!E:E,MATCH(C277,Hours!$A:$A,0))+J277*INDEX(Hours!F:F,MATCH(C277,Hours!$A:$A,0))+K277*INDEX(Hours!G:G,MATCH(C277,Hours!$A:$A,0)))</f>
        <v>0</v>
      </c>
      <c r="S277" s="19">
        <f t="shared" si="9"/>
        <v>0</v>
      </c>
    </row>
    <row r="278" spans="1:19" x14ac:dyDescent="0.25">
      <c r="A278" s="15" t="str">
        <f>'Bldgs &amp; Rooms'!$A$9</f>
        <v>Main Bldg.</v>
      </c>
      <c r="B278" s="15">
        <f>'Bldgs &amp; Rooms'!$B$9</f>
        <v>0</v>
      </c>
      <c r="C278" s="14" t="str">
        <f>Hours!$A$19</f>
        <v>Oil Filled Transformer - 5kV-15kV Primary - Any Size (Pad Mounted)</v>
      </c>
      <c r="D278" s="15">
        <f t="shared" si="8"/>
        <v>0</v>
      </c>
      <c r="E278" s="16">
        <f>IF('Components Yr 1'!E278=0,0,'Components Yr 1'!E278)</f>
        <v>0</v>
      </c>
      <c r="F278" s="17">
        <f>IF('Components Yr 1'!F278=0,0,'Components Yr 1'!F278)</f>
        <v>0</v>
      </c>
      <c r="G278" s="17">
        <f>IF('Components Yr 1'!G278=0,0,'Components Yr 1'!G278)</f>
        <v>0</v>
      </c>
      <c r="H278" s="17">
        <f>IF('Components Yr 1'!H278=0,0,'Components Yr 1'!H278)</f>
        <v>0</v>
      </c>
      <c r="I278" s="17">
        <f>IF('Components Yr 1'!I278=0,0,'Components Yr 1'!I278)</f>
        <v>0</v>
      </c>
      <c r="J278" s="17">
        <f>IF('Components Yr 1'!J278=0,0,'Components Yr 1'!J278)</f>
        <v>0</v>
      </c>
      <c r="K278" s="12"/>
      <c r="L278" s="12"/>
      <c r="M278" s="17">
        <f>IF('Components Yr 1'!M278=0,0,'Components Yr 1'!M278)</f>
        <v>0</v>
      </c>
      <c r="N278" s="17">
        <f>IF('Components Yr 1'!N278=0,0,'Components Yr 1'!N278)</f>
        <v>0</v>
      </c>
      <c r="O278" s="12"/>
      <c r="P278" s="17">
        <f>IF('Components Yr 1'!P278=0,0,'Components Yr 1'!P278)</f>
        <v>0</v>
      </c>
      <c r="Q278" s="17"/>
      <c r="R278" s="18">
        <f>IF(SUMPRODUCT((E278:Q278)*1)=0,0,E278*INDEX(Hours!M:M,MATCH(C278,Hours!$A:$A,0))+F278*INDEX(Hours!B:B,MATCH(C278,Hours!$A:$A,0))+G278*INDEX(Hours!C:C,MATCH(C278,Hours!$A:$A,0))+H278*INDEX(Hours!D:D,MATCH(C278,Hours!$A:$A,0))+I278*INDEX(Hours!E:E,MATCH(C278,Hours!$A:$A,0))+J278*INDEX(Hours!F:F,MATCH(C278,Hours!$A:$A,0))+M278*INDEX(Hours!I:I,MATCH(C278,Hours!$A:$A,0))+N278*INDEX(Hours!J:J,MATCH(C278,Hours!$A:$A,0))+P278*INDEX(Hours!L:L,MATCH(C278,Hours!$A:$A,0)))</f>
        <v>0</v>
      </c>
      <c r="S278" s="19">
        <f t="shared" si="9"/>
        <v>0</v>
      </c>
    </row>
    <row r="279" spans="1:19" x14ac:dyDescent="0.25">
      <c r="A279" s="15" t="str">
        <f>'Bldgs &amp; Rooms'!$A$9</f>
        <v>Main Bldg.</v>
      </c>
      <c r="B279" s="15">
        <f>'Bldgs &amp; Rooms'!$B$9</f>
        <v>0</v>
      </c>
      <c r="C279" s="14" t="str">
        <f>Hours!$A$20</f>
        <v>Oil Filled Transformer - &gt; 15kV Primary (Substation Class)</v>
      </c>
      <c r="D279" s="15">
        <f t="shared" si="8"/>
        <v>0</v>
      </c>
      <c r="E279" s="16">
        <f>IF('Components Yr 1'!E279=0,0,'Components Yr 1'!E279)</f>
        <v>0</v>
      </c>
      <c r="F279" s="17">
        <f>IF('Components Yr 1'!F279=0,0,'Components Yr 1'!F279)</f>
        <v>0</v>
      </c>
      <c r="G279" s="17">
        <f>IF('Components Yr 1'!G279=0,0,'Components Yr 1'!G279)</f>
        <v>0</v>
      </c>
      <c r="H279" s="17">
        <f>IF('Components Yr 1'!H279=0,0,'Components Yr 1'!H279)</f>
        <v>0</v>
      </c>
      <c r="I279" s="17">
        <f>IF('Components Yr 1'!I279=0,0,'Components Yr 1'!I279)</f>
        <v>0</v>
      </c>
      <c r="J279" s="17">
        <f>IF('Components Yr 1'!J279=0,0,'Components Yr 1'!J279)</f>
        <v>0</v>
      </c>
      <c r="K279" s="12"/>
      <c r="L279" s="12"/>
      <c r="M279" s="17">
        <f>IF('Components Yr 1'!M279=0,0,'Components Yr 1'!M279)</f>
        <v>0</v>
      </c>
      <c r="N279" s="17">
        <f>IF('Components Yr 1'!N279=0,0,'Components Yr 1'!N279)</f>
        <v>0</v>
      </c>
      <c r="O279" s="12"/>
      <c r="P279" s="17">
        <f>IF('Components Yr 1'!P279=0,0,'Components Yr 1'!P279)</f>
        <v>0</v>
      </c>
      <c r="Q279" s="17"/>
      <c r="R279" s="18">
        <f>IF(SUMPRODUCT((E279:Q279)*1)=0,0,E279*INDEX(Hours!M:M,MATCH(C279,Hours!$A:$A,0))+F279*INDEX(Hours!B:B,MATCH(C279,Hours!$A:$A,0))+G279*INDEX(Hours!C:C,MATCH(C279,Hours!$A:$A,0))+H279*INDEX(Hours!D:D,MATCH(C279,Hours!$A:$A,0))+I279*INDEX(Hours!E:E,MATCH(C279,Hours!$A:$A,0))+J279*INDEX(Hours!F:F,MATCH(C279,Hours!$A:$A,0))+M279*INDEX(Hours!I:I,MATCH(C279,Hours!$A:$A,0))+N279*INDEX(Hours!J:J,MATCH(C279,Hours!$A:$A,0))+P279*INDEX(Hours!L:L,MATCH(C279,Hours!$A:$A,0)))</f>
        <v>0</v>
      </c>
      <c r="S279" s="19">
        <f t="shared" si="9"/>
        <v>0</v>
      </c>
    </row>
    <row r="280" spans="1:19" x14ac:dyDescent="0.25">
      <c r="A280" s="15" t="str">
        <f>'Bldgs &amp; Rooms'!$A$9</f>
        <v>Main Bldg.</v>
      </c>
      <c r="B280" s="15">
        <f>'Bldgs &amp; Rooms'!$B$9</f>
        <v>0</v>
      </c>
      <c r="C280" s="14" t="str">
        <f>Hours!$A$21</f>
        <v>Dry Type Transformer - &lt; 480V Primary - Any Size kVA</v>
      </c>
      <c r="D280" s="15">
        <f t="shared" si="8"/>
        <v>0</v>
      </c>
      <c r="E280" s="16">
        <f>IF('Components Yr 1'!E280=0,0,'Components Yr 1'!E280)</f>
        <v>0</v>
      </c>
      <c r="F280" s="17">
        <f>IF('Components Yr 1'!F280=0,0,'Components Yr 1'!F280)</f>
        <v>0</v>
      </c>
      <c r="G280" s="17">
        <f>IF('Components Yr 1'!G280=0,0,'Components Yr 1'!G280)</f>
        <v>0</v>
      </c>
      <c r="H280" s="17">
        <f>IF('Components Yr 1'!H280=0,0,'Components Yr 1'!H280)</f>
        <v>0</v>
      </c>
      <c r="I280" s="17">
        <f>IF('Components Yr 1'!I280=0,0,'Components Yr 1'!I280)</f>
        <v>0</v>
      </c>
      <c r="J280" s="17">
        <f>IF('Components Yr 1'!J280=0,0,'Components Yr 1'!J280)</f>
        <v>0</v>
      </c>
      <c r="K280" s="12"/>
      <c r="L280" s="12"/>
      <c r="M280" s="17">
        <f>IF('Components Yr 1'!M280=0,0,'Components Yr 1'!M280)</f>
        <v>0</v>
      </c>
      <c r="N280" s="17">
        <f>IF('Components Yr 1'!N280=0,0,'Components Yr 1'!N280)</f>
        <v>0</v>
      </c>
      <c r="O280" s="12"/>
      <c r="P280" s="12"/>
      <c r="Q280" s="17"/>
      <c r="R280" s="18">
        <f>IF(SUMPRODUCT((E280:Q280)*1)=0,0,E280*INDEX(Hours!M:M,MATCH(C280,Hours!$A:$A,0))+F280*INDEX(Hours!B:B,MATCH(C280,Hours!$A:$A,0))+G280*INDEX(Hours!C:C,MATCH(C280,Hours!$A:$A,0))+H280*INDEX(Hours!D:D,MATCH(C280,Hours!$A:$A,0))+I280*INDEX(Hours!E:E,MATCH(C280,Hours!$A:$A,0))+J280*INDEX(Hours!F:F,MATCH(C280,Hours!$A:$A,0))+M280*INDEX(Hours!I:I,MATCH(C280,Hours!$A:$A,0))+N280*INDEX(Hours!J:J,MATCH(C280,Hours!$A:$A,0)))</f>
        <v>0</v>
      </c>
      <c r="S280" s="19">
        <f t="shared" si="9"/>
        <v>0</v>
      </c>
    </row>
    <row r="281" spans="1:19" x14ac:dyDescent="0.25">
      <c r="A281" s="15" t="str">
        <f>'Bldgs &amp; Rooms'!$A$9</f>
        <v>Main Bldg.</v>
      </c>
      <c r="B281" s="15">
        <f>'Bldgs &amp; Rooms'!$B$9</f>
        <v>0</v>
      </c>
      <c r="C281" s="14" t="str">
        <f>Hours!$A$22</f>
        <v>Power Factor Correction Capacitors</v>
      </c>
      <c r="D281" s="15">
        <f t="shared" si="8"/>
        <v>0</v>
      </c>
      <c r="E281" s="16">
        <f>IF('Components Yr 1'!E281=0,0,'Components Yr 1'!E281)</f>
        <v>0</v>
      </c>
      <c r="F281" s="17">
        <f>IF('Components Yr 1'!F281=0,0,'Components Yr 1'!F281)</f>
        <v>0</v>
      </c>
      <c r="G281" s="17">
        <f>IF('Components Yr 1'!G281=0,0,'Components Yr 1'!G281)</f>
        <v>0</v>
      </c>
      <c r="H281" s="17">
        <f>IF('Components Yr 1'!H281=0,0,'Components Yr 1'!H281)</f>
        <v>0</v>
      </c>
      <c r="I281" s="17">
        <f>IF('Components Yr 1'!I281=0,0,'Components Yr 1'!I281)</f>
        <v>0</v>
      </c>
      <c r="J281" s="17">
        <f>IF('Components Yr 1'!J281=0,0,'Components Yr 1'!J281)</f>
        <v>0</v>
      </c>
      <c r="K281" s="12"/>
      <c r="L281" s="12"/>
      <c r="M281" s="12"/>
      <c r="N281" s="12"/>
      <c r="O281" s="12"/>
      <c r="P281" s="12"/>
      <c r="Q281" s="17"/>
      <c r="R281" s="18">
        <f>IF(SUMPRODUCT((E281:Q281)*1)=0,0,E281*INDEX(Hours!M:M,MATCH(C281,Hours!$A:$A,0))+F281*INDEX(Hours!B:B,MATCH(C281,Hours!$A:$A,0))+G281*INDEX(Hours!C:C,MATCH(C281,Hours!$A:$A,0))+H281*INDEX(Hours!D:D,MATCH(C281,Hours!$A:$A,0))+I281*INDEX(Hours!E:E,MATCH(C281,Hours!$A:$A,0))+J281*INDEX(Hours!F:F,MATCH(C281,Hours!$A:$A,0)))</f>
        <v>0</v>
      </c>
      <c r="S281" s="19">
        <f t="shared" si="9"/>
        <v>0</v>
      </c>
    </row>
    <row r="282" spans="1:19" x14ac:dyDescent="0.25">
      <c r="A282" s="15" t="str">
        <f>'Bldgs &amp; Rooms'!$A$9</f>
        <v>Main Bldg.</v>
      </c>
      <c r="B282" s="15">
        <f>'Bldgs &amp; Rooms'!$B$9</f>
        <v>0</v>
      </c>
      <c r="C282" s="14" t="str">
        <f>Hours!$A$23</f>
        <v>Lighting Contactor &gt; 100A</v>
      </c>
      <c r="D282" s="15">
        <f t="shared" si="8"/>
        <v>0</v>
      </c>
      <c r="E282" s="16">
        <f>IF('Components Yr 1'!E282=0,0,'Components Yr 1'!E282)</f>
        <v>0</v>
      </c>
      <c r="F282" s="17">
        <f>IF('Components Yr 1'!F282=0,0,'Components Yr 1'!F282)</f>
        <v>0</v>
      </c>
      <c r="G282" s="17">
        <f>IF('Components Yr 1'!G282=0,0,'Components Yr 1'!G282)</f>
        <v>0</v>
      </c>
      <c r="H282" s="17">
        <f>IF('Components Yr 1'!H282=0,0,'Components Yr 1'!H282)</f>
        <v>0</v>
      </c>
      <c r="I282" s="17">
        <f>IF('Components Yr 1'!I282=0,0,'Components Yr 1'!I282)</f>
        <v>0</v>
      </c>
      <c r="J282" s="17">
        <f>IF('Components Yr 1'!J282=0,0,'Components Yr 1'!J282)</f>
        <v>0</v>
      </c>
      <c r="K282" s="12"/>
      <c r="L282" s="12"/>
      <c r="M282" s="12"/>
      <c r="N282" s="12"/>
      <c r="O282" s="12"/>
      <c r="P282" s="12"/>
      <c r="Q282" s="17"/>
      <c r="R282" s="18">
        <f>IF(SUMPRODUCT((E282:Q282)*1)=0,0,E282*INDEX(Hours!M:M,MATCH(C282,Hours!$A:$A,0))+F282*INDEX(Hours!B:B,MATCH(C282,Hours!$A:$A,0))+G282*INDEX(Hours!C:C,MATCH(C282,Hours!$A:$A,0))+H282*INDEX(Hours!D:D,MATCH(C282,Hours!$A:$A,0))+I282*INDEX(Hours!E:E,MATCH(C282,Hours!$A:$A,0))+J282*INDEX(Hours!F:F,MATCH(C282,Hours!$A:$A,0)))</f>
        <v>0</v>
      </c>
      <c r="S282" s="19">
        <f t="shared" si="9"/>
        <v>0</v>
      </c>
    </row>
    <row r="283" spans="1:19" x14ac:dyDescent="0.25">
      <c r="A283" s="15" t="str">
        <f>'Bldgs &amp; Rooms'!$A$9</f>
        <v>Main Bldg.</v>
      </c>
      <c r="B283" s="15">
        <f>'Bldgs &amp; Rooms'!$B$9</f>
        <v>0</v>
      </c>
      <c r="C283" s="14" t="str">
        <f>Hours!$A$24</f>
        <v>Power Distribution Unit (PDU)</v>
      </c>
      <c r="D283" s="15">
        <f t="shared" si="8"/>
        <v>0</v>
      </c>
      <c r="E283" s="16">
        <f>IF('Components Yr 1'!E283=0,0,'Components Yr 1'!E283)</f>
        <v>0</v>
      </c>
      <c r="F283" s="17">
        <f>IF('Components Yr 1'!F283=0,0,'Components Yr 1'!F283)</f>
        <v>0</v>
      </c>
      <c r="G283" s="17">
        <f>IF('Components Yr 1'!G283=0,0,'Components Yr 1'!G283)</f>
        <v>0</v>
      </c>
      <c r="H283" s="17">
        <f>IF('Components Yr 1'!H283=0,0,'Components Yr 1'!H283)</f>
        <v>0</v>
      </c>
      <c r="I283" s="17">
        <f>IF('Components Yr 1'!I283=0,0,'Components Yr 1'!I283)</f>
        <v>0</v>
      </c>
      <c r="J283" s="17">
        <f>IF('Components Yr 1'!J283=0,0,'Components Yr 1'!J283)</f>
        <v>0</v>
      </c>
      <c r="K283" s="12"/>
      <c r="L283" s="12"/>
      <c r="M283" s="12"/>
      <c r="N283" s="12"/>
      <c r="O283" s="12"/>
      <c r="P283" s="12"/>
      <c r="Q283" s="17"/>
      <c r="R283" s="18">
        <f>IF(SUMPRODUCT((E283:Q283)*1)=0,0,E283*INDEX(Hours!M:M,MATCH(C283,Hours!$A:$A,0))+F283*INDEX(Hours!B:B,MATCH(C283,Hours!$A:$A,0))+G283*INDEX(Hours!C:C,MATCH(C283,Hours!$A:$A,0))+H283*INDEX(Hours!D:D,MATCH(C283,Hours!$A:$A,0))+I283*INDEX(Hours!E:E,MATCH(C283,Hours!$A:$A,0))+J283*INDEX(Hours!F:F,MATCH(C283,Hours!$A:$A,0)))</f>
        <v>0</v>
      </c>
      <c r="S283" s="19">
        <f t="shared" si="9"/>
        <v>0</v>
      </c>
    </row>
    <row r="284" spans="1:19" x14ac:dyDescent="0.25">
      <c r="A284" s="15" t="str">
        <f>'Bldgs &amp; Rooms'!$A$9</f>
        <v>Main Bldg.</v>
      </c>
      <c r="B284" s="15">
        <f>'Bldgs &amp; Rooms'!$B$9</f>
        <v>0</v>
      </c>
      <c r="C284" s="14" t="str">
        <f>Hours!$A$25</f>
        <v>Wire Trough, Gutter, or Large Junction Boxes</v>
      </c>
      <c r="D284" s="15">
        <f t="shared" si="8"/>
        <v>0</v>
      </c>
      <c r="E284" s="16">
        <f>IF('Components Yr 1'!E284=0,0,'Components Yr 1'!E284)</f>
        <v>0</v>
      </c>
      <c r="F284" s="17">
        <f>IF('Components Yr 1'!F284=0,0,'Components Yr 1'!F284)</f>
        <v>0</v>
      </c>
      <c r="G284" s="17">
        <f>IF('Components Yr 1'!G284=0,0,'Components Yr 1'!G284)</f>
        <v>0</v>
      </c>
      <c r="H284" s="17">
        <f>IF('Components Yr 1'!H284=0,0,'Components Yr 1'!H284)</f>
        <v>0</v>
      </c>
      <c r="I284" s="17">
        <f>IF('Components Yr 1'!I284=0,0,'Components Yr 1'!I284)</f>
        <v>0</v>
      </c>
      <c r="J284" s="17">
        <f>IF('Components Yr 1'!J284=0,0,'Components Yr 1'!J284)</f>
        <v>0</v>
      </c>
      <c r="K284" s="12"/>
      <c r="L284" s="12"/>
      <c r="M284" s="12"/>
      <c r="N284" s="12"/>
      <c r="O284" s="12"/>
      <c r="P284" s="12"/>
      <c r="Q284" s="17"/>
      <c r="R284" s="18">
        <f>IF(SUMPRODUCT((E284:Q284)*1)=0,0,E284*INDEX(Hours!M:M,MATCH(C284,Hours!$A:$A,0))+F284*INDEX(Hours!B:B,MATCH(C284,Hours!$A:$A,0))+G284*INDEX(Hours!C:C,MATCH(C284,Hours!$A:$A,0))+H284*INDEX(Hours!D:D,MATCH(C284,Hours!$A:$A,0))+I284*INDEX(Hours!E:E,MATCH(C284,Hours!$A:$A,0))+J284*INDEX(Hours!F:F,MATCH(C284,Hours!$A:$A,0)))</f>
        <v>0</v>
      </c>
      <c r="S284" s="19">
        <f t="shared" si="9"/>
        <v>0</v>
      </c>
    </row>
    <row r="285" spans="1:19" x14ac:dyDescent="0.25">
      <c r="A285" s="15" t="str">
        <f>'Bldgs &amp; Rooms'!$A$9</f>
        <v>Main Bldg.</v>
      </c>
      <c r="B285" s="15">
        <f>'Bldgs &amp; Rooms'!$B$9</f>
        <v>0</v>
      </c>
      <c r="C285" s="14" t="str">
        <f>Hours!$A$26</f>
        <v>Bus Duct - Vertical or Horizontal (Per 10' section)</v>
      </c>
      <c r="D285" s="15">
        <f t="shared" si="8"/>
        <v>0</v>
      </c>
      <c r="E285" s="16">
        <f>IF('Components Yr 1'!E285=0,0,'Components Yr 1'!E285)</f>
        <v>0</v>
      </c>
      <c r="F285" s="17">
        <f>IF('Components Yr 1'!F285=0,0,'Components Yr 1'!F285)</f>
        <v>0</v>
      </c>
      <c r="G285" s="17">
        <f>IF('Components Yr 1'!G285=0,0,'Components Yr 1'!G285)</f>
        <v>0</v>
      </c>
      <c r="H285" s="17">
        <f>IF('Components Yr 1'!H285=0,0,'Components Yr 1'!H285)</f>
        <v>0</v>
      </c>
      <c r="I285" s="17">
        <f>IF('Components Yr 1'!I285=0,0,'Components Yr 1'!I285)</f>
        <v>0</v>
      </c>
      <c r="J285" s="17">
        <f>IF('Components Yr 1'!J285=0,0,'Components Yr 1'!J285)</f>
        <v>0</v>
      </c>
      <c r="K285" s="12"/>
      <c r="L285" s="12"/>
      <c r="M285" s="12"/>
      <c r="N285" s="12"/>
      <c r="O285" s="12"/>
      <c r="P285" s="12"/>
      <c r="Q285" s="17"/>
      <c r="R285" s="18">
        <f>IF(SUMPRODUCT((E285:Q285)*1)=0,0,E285*INDEX(Hours!M:M,MATCH(C285,Hours!$A:$A,0))+F285*INDEX(Hours!B:B,MATCH(C285,Hours!$A:$A,0))+G285*INDEX(Hours!C:C,MATCH(C285,Hours!$A:$A,0))+H285*INDEX(Hours!D:D,MATCH(C285,Hours!$A:$A,0))+I285*INDEX(Hours!E:E,MATCH(C285,Hours!$A:$A,0))+J285*INDEX(Hours!F:F,MATCH(C285,Hours!$A:$A,0)))</f>
        <v>0</v>
      </c>
      <c r="S285" s="19">
        <f t="shared" si="9"/>
        <v>0</v>
      </c>
    </row>
    <row r="286" spans="1:19" x14ac:dyDescent="0.25">
      <c r="A286" s="15" t="str">
        <f>'Bldgs &amp; Rooms'!$A$9</f>
        <v>Main Bldg.</v>
      </c>
      <c r="B286" s="15">
        <f>'Bldgs &amp; Rooms'!$B$9</f>
        <v>0</v>
      </c>
      <c r="C286" s="14" t="str">
        <f>Hours!$A$27</f>
        <v>Automatic Transfer Switch (ATS) &gt; 100A</v>
      </c>
      <c r="D286" s="15">
        <f t="shared" si="8"/>
        <v>0</v>
      </c>
      <c r="E286" s="16">
        <f>IF('Components Yr 1'!E286=0,0,'Components Yr 1'!E286)</f>
        <v>0</v>
      </c>
      <c r="F286" s="17">
        <f>IF('Components Yr 1'!F286=0,0,'Components Yr 1'!F286)</f>
        <v>0</v>
      </c>
      <c r="G286" s="17">
        <f>IF('Components Yr 1'!G286=0,0,'Components Yr 1'!G286)</f>
        <v>0</v>
      </c>
      <c r="H286" s="17">
        <f>IF('Components Yr 1'!H286=0,0,'Components Yr 1'!H286)</f>
        <v>0</v>
      </c>
      <c r="I286" s="17">
        <f>IF('Components Yr 1'!I286=0,0,'Components Yr 1'!I286)</f>
        <v>0</v>
      </c>
      <c r="J286" s="17">
        <f>IF('Components Yr 1'!J286=0,0,'Components Yr 1'!J286)</f>
        <v>0</v>
      </c>
      <c r="K286" s="12"/>
      <c r="L286" s="12"/>
      <c r="M286" s="12"/>
      <c r="N286" s="12"/>
      <c r="O286" s="12"/>
      <c r="P286" s="12"/>
      <c r="Q286" s="17"/>
      <c r="R286" s="18">
        <f>IF(SUMPRODUCT((E286:Q286)*1)=0,0,E286*INDEX(Hours!M:M,MATCH(C286,Hours!$A:$A,0))+F286*INDEX(Hours!B:B,MATCH(C286,Hours!$A:$A,0))+G286*INDEX(Hours!C:C,MATCH(C286,Hours!$A:$A,0))+H286*INDEX(Hours!D:D,MATCH(C286,Hours!$A:$A,0))+I286*INDEX(Hours!E:E,MATCH(C286,Hours!$A:$A,0))+J286*INDEX(Hours!F:F,MATCH(C286,Hours!$A:$A,0)))</f>
        <v>0</v>
      </c>
      <c r="S286" s="19">
        <f t="shared" si="9"/>
        <v>0</v>
      </c>
    </row>
    <row r="287" spans="1:19" x14ac:dyDescent="0.25">
      <c r="A287" s="15" t="str">
        <f>'Bldgs &amp; Rooms'!$A$9</f>
        <v>Main Bldg.</v>
      </c>
      <c r="B287" s="15">
        <f>'Bldgs &amp; Rooms'!$B$9</f>
        <v>0</v>
      </c>
      <c r="C287" s="14" t="str">
        <f>Hours!$A$28</f>
        <v>Manual Transfer Switch (MTS) &gt; 100A</v>
      </c>
      <c r="D287" s="15">
        <f t="shared" si="8"/>
        <v>0</v>
      </c>
      <c r="E287" s="16">
        <f>IF('Components Yr 1'!E287=0,0,'Components Yr 1'!E287)</f>
        <v>0</v>
      </c>
      <c r="F287" s="17">
        <f>IF('Components Yr 1'!F287=0,0,'Components Yr 1'!F287)</f>
        <v>0</v>
      </c>
      <c r="G287" s="17">
        <f>IF('Components Yr 1'!G287=0,0,'Components Yr 1'!G287)</f>
        <v>0</v>
      </c>
      <c r="H287" s="17">
        <f>IF('Components Yr 1'!H287=0,0,'Components Yr 1'!H287)</f>
        <v>0</v>
      </c>
      <c r="I287" s="17">
        <f>IF('Components Yr 1'!I287=0,0,'Components Yr 1'!I287)</f>
        <v>0</v>
      </c>
      <c r="J287" s="17">
        <f>IF('Components Yr 1'!J287=0,0,'Components Yr 1'!J287)</f>
        <v>0</v>
      </c>
      <c r="K287" s="12"/>
      <c r="L287" s="12"/>
      <c r="M287" s="12"/>
      <c r="N287" s="12"/>
      <c r="O287" s="12"/>
      <c r="P287" s="12"/>
      <c r="Q287" s="17"/>
      <c r="R287" s="18">
        <f>IF(SUMPRODUCT((E287:Q287)*1)=0,0,E287*INDEX(Hours!M:M,MATCH(C287,Hours!$A:$A,0))+F287*INDEX(Hours!B:B,MATCH(C287,Hours!$A:$A,0))+G287*INDEX(Hours!C:C,MATCH(C287,Hours!$A:$A,0))+H287*INDEX(Hours!D:D,MATCH(C287,Hours!$A:$A,0))+I287*INDEX(Hours!E:E,MATCH(C287,Hours!$A:$A,0))+J287*INDEX(Hours!F:F,MATCH(C287,Hours!$A:$A,0)))</f>
        <v>0</v>
      </c>
      <c r="S287" s="19">
        <f t="shared" si="9"/>
        <v>0</v>
      </c>
    </row>
    <row r="288" spans="1:19" x14ac:dyDescent="0.25">
      <c r="A288" s="15" t="str">
        <f>'Bldgs &amp; Rooms'!$A$9</f>
        <v>Main Bldg.</v>
      </c>
      <c r="B288" s="15">
        <f>'Bldgs &amp; Rooms'!$B$9</f>
        <v>0</v>
      </c>
      <c r="C288" s="14" t="str">
        <f>Hours!$A$29</f>
        <v>Variable Frequency Drives (VFD) &lt; 50 HP</v>
      </c>
      <c r="D288" s="15">
        <f t="shared" si="8"/>
        <v>0</v>
      </c>
      <c r="E288" s="16">
        <f>IF('Components Yr 1'!E288=0,0,'Components Yr 1'!E288)</f>
        <v>0</v>
      </c>
      <c r="F288" s="17">
        <f>IF('Components Yr 1'!F288=0,0,'Components Yr 1'!F288)</f>
        <v>0</v>
      </c>
      <c r="G288" s="17">
        <f>IF('Components Yr 1'!G288=0,0,'Components Yr 1'!G288)</f>
        <v>0</v>
      </c>
      <c r="H288" s="17">
        <f>IF('Components Yr 1'!H288=0,0,'Components Yr 1'!H288)</f>
        <v>0</v>
      </c>
      <c r="I288" s="17">
        <f>IF('Components Yr 1'!I288=0,0,'Components Yr 1'!I288)</f>
        <v>0</v>
      </c>
      <c r="J288" s="17">
        <f>IF('Components Yr 1'!J288=0,0,'Components Yr 1'!J288)</f>
        <v>0</v>
      </c>
      <c r="K288" s="12"/>
      <c r="L288" s="12"/>
      <c r="M288" s="12"/>
      <c r="N288" s="12"/>
      <c r="O288" s="12"/>
      <c r="P288" s="12"/>
      <c r="Q288" s="17"/>
      <c r="R288" s="18">
        <f>IF(SUMPRODUCT((E288:Q288)*1)=0,0,E288*INDEX(Hours!M:M,MATCH(C288,Hours!$A:$A,0))+F288*INDEX(Hours!B:B,MATCH(C288,Hours!$A:$A,0))+G288*INDEX(Hours!C:C,MATCH(C288,Hours!$A:$A,0))+H288*INDEX(Hours!D:D,MATCH(C288,Hours!$A:$A,0))+I288*INDEX(Hours!E:E,MATCH(C288,Hours!$A:$A,0))+J288*INDEX(Hours!F:F,MATCH(C288,Hours!$A:$A,0)))</f>
        <v>0</v>
      </c>
      <c r="S288" s="19">
        <f t="shared" si="9"/>
        <v>0</v>
      </c>
    </row>
    <row r="289" spans="1:19" x14ac:dyDescent="0.25">
      <c r="A289" s="15" t="str">
        <f>'Bldgs &amp; Rooms'!$A$9</f>
        <v>Main Bldg.</v>
      </c>
      <c r="B289" s="15">
        <f>'Bldgs &amp; Rooms'!$B$9</f>
        <v>0</v>
      </c>
      <c r="C289" s="14" t="str">
        <f>Hours!$A$30</f>
        <v>Variable Frequency Drives (VFD) 51-200 HP</v>
      </c>
      <c r="D289" s="15">
        <f t="shared" si="8"/>
        <v>0</v>
      </c>
      <c r="E289" s="16">
        <f>IF('Components Yr 1'!E289=0,0,'Components Yr 1'!E289)</f>
        <v>0</v>
      </c>
      <c r="F289" s="17">
        <f>IF('Components Yr 1'!F289=0,0,'Components Yr 1'!F289)</f>
        <v>0</v>
      </c>
      <c r="G289" s="17">
        <f>IF('Components Yr 1'!G289=0,0,'Components Yr 1'!G289)</f>
        <v>0</v>
      </c>
      <c r="H289" s="17">
        <f>IF('Components Yr 1'!H289=0,0,'Components Yr 1'!H289)</f>
        <v>0</v>
      </c>
      <c r="I289" s="17">
        <f>IF('Components Yr 1'!I289=0,0,'Components Yr 1'!I289)</f>
        <v>0</v>
      </c>
      <c r="J289" s="17">
        <f>IF('Components Yr 1'!J289=0,0,'Components Yr 1'!J289)</f>
        <v>0</v>
      </c>
      <c r="K289" s="12"/>
      <c r="L289" s="12"/>
      <c r="M289" s="12"/>
      <c r="N289" s="12"/>
      <c r="O289" s="12"/>
      <c r="P289" s="12"/>
      <c r="Q289" s="17"/>
      <c r="R289" s="18">
        <f>IF(SUMPRODUCT((E289:Q289)*1)=0,0,E289*INDEX(Hours!M:M,MATCH(C289,Hours!$A:$A,0))+F289*INDEX(Hours!B:B,MATCH(C289,Hours!$A:$A,0))+G289*INDEX(Hours!C:C,MATCH(C289,Hours!$A:$A,0))+H289*INDEX(Hours!D:D,MATCH(C289,Hours!$A:$A,0))+I289*INDEX(Hours!E:E,MATCH(C289,Hours!$A:$A,0))+J289*INDEX(Hours!F:F,MATCH(C289,Hours!$A:$A,0)))</f>
        <v>0</v>
      </c>
      <c r="S289" s="19">
        <f t="shared" si="9"/>
        <v>0</v>
      </c>
    </row>
    <row r="290" spans="1:19" x14ac:dyDescent="0.25">
      <c r="A290" s="15" t="str">
        <f>'Bldgs &amp; Rooms'!$A$9</f>
        <v>Main Bldg.</v>
      </c>
      <c r="B290" s="15">
        <f>'Bldgs &amp; Rooms'!$B$9</f>
        <v>0</v>
      </c>
      <c r="C290" s="14" t="str">
        <f>Hours!$A$31</f>
        <v>Motors &lt; 50 HP</v>
      </c>
      <c r="D290" s="15">
        <f t="shared" si="8"/>
        <v>0</v>
      </c>
      <c r="E290" s="16">
        <f>IF('Components Yr 1'!E290=0,0,'Components Yr 1'!E290)</f>
        <v>0</v>
      </c>
      <c r="F290" s="17">
        <f>IF('Components Yr 1'!F290=0,0,'Components Yr 1'!F290)</f>
        <v>0</v>
      </c>
      <c r="G290" s="17">
        <f>IF('Components Yr 1'!G290=0,0,'Components Yr 1'!G290)</f>
        <v>0</v>
      </c>
      <c r="H290" s="17">
        <f>IF('Components Yr 1'!H290=0,0,'Components Yr 1'!H290)</f>
        <v>0</v>
      </c>
      <c r="I290" s="17">
        <f>IF('Components Yr 1'!I290=0,0,'Components Yr 1'!I290)</f>
        <v>0</v>
      </c>
      <c r="J290" s="17">
        <f>IF('Components Yr 1'!J290=0,0,'Components Yr 1'!J290)</f>
        <v>0</v>
      </c>
      <c r="K290" s="12"/>
      <c r="L290" s="12"/>
      <c r="M290" s="12"/>
      <c r="N290" s="12"/>
      <c r="O290" s="12"/>
      <c r="P290" s="12"/>
      <c r="Q290" s="17"/>
      <c r="R290" s="18">
        <f>IF(SUMPRODUCT((E290:Q290)*1)=0,0,E290*INDEX(Hours!M:M,MATCH(C290,Hours!$A:$A,0))+F290*INDEX(Hours!B:B,MATCH(C290,Hours!$A:$A,0))+G290*INDEX(Hours!C:C,MATCH(C290,Hours!$A:$A,0))+H290*INDEX(Hours!D:D,MATCH(C290,Hours!$A:$A,0))+I290*INDEX(Hours!E:E,MATCH(C290,Hours!$A:$A,0))+J290*INDEX(Hours!F:F,MATCH(C290,Hours!$A:$A,0)))</f>
        <v>0</v>
      </c>
      <c r="S290" s="19">
        <f t="shared" si="9"/>
        <v>0</v>
      </c>
    </row>
    <row r="291" spans="1:19" x14ac:dyDescent="0.25">
      <c r="A291" s="15" t="str">
        <f>'Bldgs &amp; Rooms'!$A$9</f>
        <v>Main Bldg.</v>
      </c>
      <c r="B291" s="15">
        <f>'Bldgs &amp; Rooms'!$B$9</f>
        <v>0</v>
      </c>
      <c r="C291" s="14" t="str">
        <f>Hours!$A$32</f>
        <v>Motors 51-200 HP</v>
      </c>
      <c r="D291" s="15">
        <f t="shared" si="8"/>
        <v>0</v>
      </c>
      <c r="E291" s="16">
        <f>IF('Components Yr 1'!E291=0,0,'Components Yr 1'!E291)</f>
        <v>0</v>
      </c>
      <c r="F291" s="17">
        <f>IF('Components Yr 1'!F291=0,0,'Components Yr 1'!F291)</f>
        <v>0</v>
      </c>
      <c r="G291" s="17">
        <f>IF('Components Yr 1'!G291=0,0,'Components Yr 1'!G291)</f>
        <v>0</v>
      </c>
      <c r="H291" s="17">
        <f>IF('Components Yr 1'!H291=0,0,'Components Yr 1'!H291)</f>
        <v>0</v>
      </c>
      <c r="I291" s="17">
        <f>IF('Components Yr 1'!I291=0,0,'Components Yr 1'!I291)</f>
        <v>0</v>
      </c>
      <c r="J291" s="17">
        <f>IF('Components Yr 1'!J291=0,0,'Components Yr 1'!J291)</f>
        <v>0</v>
      </c>
      <c r="K291" s="12"/>
      <c r="L291" s="12"/>
      <c r="M291" s="12"/>
      <c r="N291" s="12"/>
      <c r="O291" s="12"/>
      <c r="P291" s="12"/>
      <c r="Q291" s="17"/>
      <c r="R291" s="18">
        <f>IF(SUMPRODUCT((E291:Q291)*1)=0,0,E291*INDEX(Hours!M:M,MATCH(C291,Hours!$A:$A,0))+F291*INDEX(Hours!B:B,MATCH(C291,Hours!$A:$A,0))+G291*INDEX(Hours!C:C,MATCH(C291,Hours!$A:$A,0))+H291*INDEX(Hours!D:D,MATCH(C291,Hours!$A:$A,0))+I291*INDEX(Hours!E:E,MATCH(C291,Hours!$A:$A,0))+J291*INDEX(Hours!F:F,MATCH(C291,Hours!$A:$A,0)))</f>
        <v>0</v>
      </c>
      <c r="S291" s="19">
        <f t="shared" si="9"/>
        <v>0</v>
      </c>
    </row>
    <row r="292" spans="1:19" x14ac:dyDescent="0.25">
      <c r="A292" s="15" t="str">
        <f>'Bldgs &amp; Rooms'!$A$9</f>
        <v>Main Bldg.</v>
      </c>
      <c r="B292" s="15">
        <f>'Bldgs &amp; Rooms'!$B$9</f>
        <v>0</v>
      </c>
      <c r="C292" s="14" t="str">
        <f>Hours!$A$33</f>
        <v>Motors 201-500 HP</v>
      </c>
      <c r="D292" s="15">
        <f t="shared" si="8"/>
        <v>0</v>
      </c>
      <c r="E292" s="16">
        <f>IF('Components Yr 1'!E292=0,0,'Components Yr 1'!E292)</f>
        <v>0</v>
      </c>
      <c r="F292" s="17">
        <f>IF('Components Yr 1'!F292=0,0,'Components Yr 1'!F292)</f>
        <v>0</v>
      </c>
      <c r="G292" s="17">
        <f>IF('Components Yr 1'!G292=0,0,'Components Yr 1'!G292)</f>
        <v>0</v>
      </c>
      <c r="H292" s="17">
        <f>IF('Components Yr 1'!H292=0,0,'Components Yr 1'!H292)</f>
        <v>0</v>
      </c>
      <c r="I292" s="17">
        <f>IF('Components Yr 1'!I292=0,0,'Components Yr 1'!I292)</f>
        <v>0</v>
      </c>
      <c r="J292" s="17">
        <f>IF('Components Yr 1'!J292=0,0,'Components Yr 1'!J292)</f>
        <v>0</v>
      </c>
      <c r="K292" s="12"/>
      <c r="L292" s="12"/>
      <c r="M292" s="12"/>
      <c r="N292" s="12"/>
      <c r="O292" s="12"/>
      <c r="P292" s="12"/>
      <c r="Q292" s="17"/>
      <c r="R292" s="18">
        <f>IF(SUMPRODUCT((E292:Q292)*1)=0,0,E292*INDEX(Hours!M:M,MATCH(C292,Hours!$A:$A,0))+F292*INDEX(Hours!B:B,MATCH(C292,Hours!$A:$A,0))+G292*INDEX(Hours!C:C,MATCH(C292,Hours!$A:$A,0))+H292*INDEX(Hours!D:D,MATCH(C292,Hours!$A:$A,0))+I292*INDEX(Hours!E:E,MATCH(C292,Hours!$A:$A,0))+J292*INDEX(Hours!F:F,MATCH(C292,Hours!$A:$A,0)))</f>
        <v>0</v>
      </c>
      <c r="S292" s="19">
        <f t="shared" si="9"/>
        <v>0</v>
      </c>
    </row>
    <row r="293" spans="1:19" x14ac:dyDescent="0.25">
      <c r="A293" s="15" t="str">
        <f>'Bldgs &amp; Rooms'!$A$9</f>
        <v>Main Bldg.</v>
      </c>
      <c r="B293" s="15">
        <f>'Bldgs &amp; Rooms'!$B$9</f>
        <v>0</v>
      </c>
      <c r="C293" s="14" t="str">
        <f>Hours!$A$34</f>
        <v>Compressed Air Equipment</v>
      </c>
      <c r="D293" s="15">
        <f t="shared" si="8"/>
        <v>0</v>
      </c>
      <c r="E293" s="16">
        <f>IF('Components Yr 1'!E293=0,0,'Components Yr 1'!E293)</f>
        <v>0</v>
      </c>
      <c r="F293" s="17">
        <f>IF('Components Yr 1'!F293=0,0,'Components Yr 1'!F293)</f>
        <v>0</v>
      </c>
      <c r="G293" s="17">
        <f>IF('Components Yr 1'!G293=0,0,'Components Yr 1'!G293)</f>
        <v>0</v>
      </c>
      <c r="H293" s="17">
        <f>IF('Components Yr 1'!H293=0,0,'Components Yr 1'!H293)</f>
        <v>0</v>
      </c>
      <c r="I293" s="17">
        <f>IF('Components Yr 1'!I293=0,0,'Components Yr 1'!I293)</f>
        <v>0</v>
      </c>
      <c r="J293" s="17">
        <f>IF('Components Yr 1'!J293=0,0,'Components Yr 1'!J293)</f>
        <v>0</v>
      </c>
      <c r="K293" s="12"/>
      <c r="L293" s="12"/>
      <c r="M293" s="12"/>
      <c r="N293" s="12"/>
      <c r="O293" s="12"/>
      <c r="P293" s="12"/>
      <c r="Q293" s="17"/>
      <c r="R293" s="18">
        <f>IF(SUMPRODUCT((E293:Q293)*1)=0,0,E293*INDEX(Hours!M:M,MATCH(C293,Hours!$A:$A,0))+F293*INDEX(Hours!B:B,MATCH(C293,Hours!$A:$A,0))+G293*INDEX(Hours!C:C,MATCH(C293,Hours!$A:$A,0))+H293*INDEX(Hours!D:D,MATCH(C293,Hours!$A:$A,0))+I293*INDEX(Hours!E:E,MATCH(C293,Hours!$A:$A,0))+J293*INDEX(Hours!F:F,MATCH(C293,Hours!$A:$A,0)))</f>
        <v>0</v>
      </c>
      <c r="S293" s="19">
        <f t="shared" si="9"/>
        <v>0</v>
      </c>
    </row>
    <row r="294" spans="1:19" x14ac:dyDescent="0.25">
      <c r="A294" s="15" t="str">
        <f>'Bldgs &amp; Rooms'!$A$9</f>
        <v>Main Bldg.</v>
      </c>
      <c r="B294" s="15">
        <f>'Bldgs &amp; Rooms'!$B$9</f>
        <v>0</v>
      </c>
      <c r="C294" s="14" t="str">
        <f>Hours!$A$35</f>
        <v>HVAC Equipment (Large)</v>
      </c>
      <c r="D294" s="15">
        <f t="shared" si="8"/>
        <v>0</v>
      </c>
      <c r="E294" s="16">
        <f>IF('Components Yr 1'!E294=0,0,'Components Yr 1'!E294)</f>
        <v>0</v>
      </c>
      <c r="F294" s="17">
        <f>IF('Components Yr 1'!F294=0,0,'Components Yr 1'!F294)</f>
        <v>0</v>
      </c>
      <c r="G294" s="17">
        <f>IF('Components Yr 1'!G294=0,0,'Components Yr 1'!G294)</f>
        <v>0</v>
      </c>
      <c r="H294" s="17">
        <f>IF('Components Yr 1'!H294=0,0,'Components Yr 1'!H294)</f>
        <v>0</v>
      </c>
      <c r="I294" s="17">
        <f>IF('Components Yr 1'!I294=0,0,'Components Yr 1'!I294)</f>
        <v>0</v>
      </c>
      <c r="J294" s="17">
        <f>IF('Components Yr 1'!J294=0,0,'Components Yr 1'!J294)</f>
        <v>0</v>
      </c>
      <c r="K294" s="12"/>
      <c r="L294" s="12"/>
      <c r="M294" s="12"/>
      <c r="N294" s="12"/>
      <c r="O294" s="12"/>
      <c r="P294" s="12"/>
      <c r="Q294" s="17"/>
      <c r="R294" s="18">
        <f>IF(SUMPRODUCT((E294:Q294)*1)=0,0,E294*INDEX(Hours!M:M,MATCH(C294,Hours!$A:$A,0))+F294*INDEX(Hours!B:B,MATCH(C294,Hours!$A:$A,0))+G294*INDEX(Hours!C:C,MATCH(C294,Hours!$A:$A,0))+H294*INDEX(Hours!D:D,MATCH(C294,Hours!$A:$A,0))+I294*INDEX(Hours!E:E,MATCH(C294,Hours!$A:$A,0))+J294*INDEX(Hours!F:F,MATCH(C294,Hours!$A:$A,0)))</f>
        <v>0</v>
      </c>
      <c r="S294" s="19">
        <f t="shared" si="9"/>
        <v>0</v>
      </c>
    </row>
    <row r="295" spans="1:19" x14ac:dyDescent="0.25">
      <c r="A295" s="15" t="str">
        <f>'Bldgs &amp; Rooms'!$A$9</f>
        <v>Main Bldg.</v>
      </c>
      <c r="B295" s="15">
        <f>'Bldgs &amp; Rooms'!$B$9</f>
        <v>0</v>
      </c>
      <c r="C295" s="14" t="str">
        <f>Hours!$A$36</f>
        <v>HVAC Equipment (Small)</v>
      </c>
      <c r="D295" s="15">
        <f t="shared" si="8"/>
        <v>0</v>
      </c>
      <c r="E295" s="16">
        <f>IF('Components Yr 1'!E295=0,0,'Components Yr 1'!E295)</f>
        <v>0</v>
      </c>
      <c r="F295" s="17">
        <f>IF('Components Yr 1'!F295=0,0,'Components Yr 1'!F295)</f>
        <v>0</v>
      </c>
      <c r="G295" s="17">
        <f>IF('Components Yr 1'!G295=0,0,'Components Yr 1'!G295)</f>
        <v>0</v>
      </c>
      <c r="H295" s="17">
        <f>IF('Components Yr 1'!H295=0,0,'Components Yr 1'!H295)</f>
        <v>0</v>
      </c>
      <c r="I295" s="17">
        <f>IF('Components Yr 1'!I295=0,0,'Components Yr 1'!I295)</f>
        <v>0</v>
      </c>
      <c r="J295" s="17">
        <f>IF('Components Yr 1'!J295=0,0,'Components Yr 1'!J295)</f>
        <v>0</v>
      </c>
      <c r="K295" s="12"/>
      <c r="L295" s="12"/>
      <c r="M295" s="12"/>
      <c r="N295" s="12"/>
      <c r="O295" s="12"/>
      <c r="P295" s="12"/>
      <c r="Q295" s="17"/>
      <c r="R295" s="18">
        <f>IF(SUMPRODUCT((E295:Q295)*1)=0,0,E295*INDEX(Hours!M:M,MATCH(C295,Hours!$A:$A,0))+F295*INDEX(Hours!B:B,MATCH(C295,Hours!$A:$A,0))+G295*INDEX(Hours!C:C,MATCH(C295,Hours!$A:$A,0))+H295*INDEX(Hours!D:D,MATCH(C295,Hours!$A:$A,0))+I295*INDEX(Hours!E:E,MATCH(C295,Hours!$A:$A,0))+J295*INDEX(Hours!F:F,MATCH(C295,Hours!$A:$A,0)))</f>
        <v>0</v>
      </c>
      <c r="S295" s="19">
        <f t="shared" si="9"/>
        <v>0</v>
      </c>
    </row>
    <row r="296" spans="1:19" x14ac:dyDescent="0.25">
      <c r="A296" s="15" t="str">
        <f>'Bldgs &amp; Rooms'!$A$9</f>
        <v>Main Bldg.</v>
      </c>
      <c r="B296" s="15">
        <f>'Bldgs &amp; Rooms'!$B$9</f>
        <v>0</v>
      </c>
      <c r="C296" s="14" t="str">
        <f>Hours!$A$37</f>
        <v>Uninterruptible Power Supply (UPS) &lt; 50kVA</v>
      </c>
      <c r="D296" s="15">
        <f t="shared" si="8"/>
        <v>0</v>
      </c>
      <c r="E296" s="16">
        <f>IF('Components Yr 1'!E296=0,0,'Components Yr 1'!E296)</f>
        <v>0</v>
      </c>
      <c r="F296" s="17">
        <f>IF('Components Yr 1'!F296=0,0,'Components Yr 1'!F296)</f>
        <v>0</v>
      </c>
      <c r="G296" s="17">
        <f>IF('Components Yr 1'!G296=0,0,'Components Yr 1'!G296)</f>
        <v>0</v>
      </c>
      <c r="H296" s="17">
        <f>IF('Components Yr 1'!H296=0,0,'Components Yr 1'!H296)</f>
        <v>0</v>
      </c>
      <c r="I296" s="17">
        <f>IF('Components Yr 1'!I296=0,0,'Components Yr 1'!I296)</f>
        <v>0</v>
      </c>
      <c r="J296" s="17">
        <f>IF('Components Yr 1'!J296=0,0,'Components Yr 1'!J296)</f>
        <v>0</v>
      </c>
      <c r="K296" s="12"/>
      <c r="L296" s="12"/>
      <c r="M296" s="12"/>
      <c r="N296" s="12"/>
      <c r="O296" s="12"/>
      <c r="P296" s="12"/>
      <c r="Q296" s="17"/>
      <c r="R296" s="18">
        <f>IF(SUMPRODUCT((E296:Q296)*1)=0,0,E296*INDEX(Hours!M:M,MATCH(C296,Hours!$A:$A,0))+F296*INDEX(Hours!B:B,MATCH(C296,Hours!$A:$A,0))+G296*INDEX(Hours!C:C,MATCH(C296,Hours!$A:$A,0))+H296*INDEX(Hours!D:D,MATCH(C296,Hours!$A:$A,0))+I296*INDEX(Hours!E:E,MATCH(C296,Hours!$A:$A,0))+J296*INDEX(Hours!F:F,MATCH(C296,Hours!$A:$A,0)))</f>
        <v>0</v>
      </c>
      <c r="S296" s="19">
        <f t="shared" si="9"/>
        <v>0</v>
      </c>
    </row>
    <row r="297" spans="1:19" x14ac:dyDescent="0.25">
      <c r="A297" s="15" t="str">
        <f>'Bldgs &amp; Rooms'!$A$9</f>
        <v>Main Bldg.</v>
      </c>
      <c r="B297" s="15">
        <f>'Bldgs &amp; Rooms'!$B$9</f>
        <v>0</v>
      </c>
      <c r="C297" s="14" t="str">
        <f>Hours!$A$38</f>
        <v>Uninterruptible Power Supply (UPS) &gt; 50kVA</v>
      </c>
      <c r="D297" s="15">
        <f t="shared" si="8"/>
        <v>0</v>
      </c>
      <c r="E297" s="16">
        <f>IF('Components Yr 1'!E297=0,0,'Components Yr 1'!E297)</f>
        <v>0</v>
      </c>
      <c r="F297" s="17">
        <f>IF('Components Yr 1'!F297=0,0,'Components Yr 1'!F297)</f>
        <v>0</v>
      </c>
      <c r="G297" s="17">
        <f>IF('Components Yr 1'!G297=0,0,'Components Yr 1'!G297)</f>
        <v>0</v>
      </c>
      <c r="H297" s="17">
        <f>IF('Components Yr 1'!H297=0,0,'Components Yr 1'!H297)</f>
        <v>0</v>
      </c>
      <c r="I297" s="17">
        <f>IF('Components Yr 1'!I297=0,0,'Components Yr 1'!I297)</f>
        <v>0</v>
      </c>
      <c r="J297" s="17">
        <f>IF('Components Yr 1'!J297=0,0,'Components Yr 1'!J297)</f>
        <v>0</v>
      </c>
      <c r="K297" s="12"/>
      <c r="L297" s="12"/>
      <c r="M297" s="12"/>
      <c r="N297" s="12"/>
      <c r="O297" s="12"/>
      <c r="P297" s="12"/>
      <c r="Q297" s="17"/>
      <c r="R297" s="18">
        <f>IF(SUMPRODUCT((E297:Q297)*1)=0,0,E297*INDEX(Hours!M:M,MATCH(C297,Hours!$A:$A,0))+F297*INDEX(Hours!B:B,MATCH(C297,Hours!$A:$A,0))+G297*INDEX(Hours!C:C,MATCH(C297,Hours!$A:$A,0))+H297*INDEX(Hours!D:D,MATCH(C297,Hours!$A:$A,0))+I297*INDEX(Hours!E:E,MATCH(C297,Hours!$A:$A,0))+J297*INDEX(Hours!F:F,MATCH(C297,Hours!$A:$A,0)))</f>
        <v>0</v>
      </c>
      <c r="S297" s="19">
        <f t="shared" si="9"/>
        <v>0</v>
      </c>
    </row>
    <row r="298" spans="1:19" x14ac:dyDescent="0.25">
      <c r="A298" s="11" t="str">
        <f>'Bldgs &amp; Rooms'!$A$10</f>
        <v>Main Bldg.</v>
      </c>
      <c r="B298" s="11">
        <f>'Bldgs &amp; Rooms'!$B$10</f>
        <v>0</v>
      </c>
      <c r="C298" s="10" t="str">
        <f>Hours!$A$2</f>
        <v>Switchgear - Incoming Main Service (Per Section)</v>
      </c>
      <c r="D298" s="11">
        <f t="shared" si="8"/>
        <v>0</v>
      </c>
      <c r="E298" s="16">
        <f>IF('Components Yr 1'!E298=0,0,'Components Yr 1'!E298)</f>
        <v>0</v>
      </c>
      <c r="F298" s="17">
        <f>IF('Components Yr 1'!F298=0,0,'Components Yr 1'!F298)</f>
        <v>0</v>
      </c>
      <c r="G298" s="17">
        <f>IF('Components Yr 1'!G298=0,0,'Components Yr 1'!G298)</f>
        <v>0</v>
      </c>
      <c r="H298" s="17">
        <f>IF('Components Yr 1'!H298=0,0,'Components Yr 1'!H298)</f>
        <v>0</v>
      </c>
      <c r="I298" s="17">
        <f>IF('Components Yr 1'!I298=0,0,'Components Yr 1'!I298)</f>
        <v>0</v>
      </c>
      <c r="J298" s="17">
        <f>IF('Components Yr 1'!J298=0,0,'Components Yr 1'!J298)</f>
        <v>0</v>
      </c>
      <c r="K298" s="17">
        <f>IF('Components Yr 1'!K298=0,0,'Components Yr 1'!K298)</f>
        <v>0</v>
      </c>
      <c r="L298" s="17">
        <f>IF('Components Yr 1'!L298=0,0,'Components Yr 1'!L298)</f>
        <v>0</v>
      </c>
      <c r="M298" s="12"/>
      <c r="N298" s="12"/>
      <c r="O298" s="17">
        <f>IF('Components Yr 1'!O298=0,0,'Components Yr 1'!O298)</f>
        <v>0</v>
      </c>
      <c r="P298" s="12"/>
      <c r="Q298" s="17"/>
      <c r="R298" s="18">
        <f>IF(SUMPRODUCT((E298:Q298)*1)=0,0,E298*INDEX(Hours!M:M,MATCH(C298,Hours!$A:$A,0))+F298*INDEX(Hours!B:B,MATCH(C298,Hours!$A:$A,0))+G298*INDEX(Hours!C:C,MATCH(C298,Hours!$A:$A,0))+H298*INDEX(Hours!D:D,MATCH(C298,Hours!$A:$A,0))+I298*INDEX(Hours!E:E,MATCH(C298,Hours!$A:$A,0))+J298*INDEX(Hours!F:F,MATCH(C298,Hours!$A:$A,0))+K298*INDEX(Hours!G:G,MATCH(C298,Hours!$A:$A,0))+L298*INDEX(Hours!H:H,MATCH(C298,Hours!$A:$A,0))+O298*INDEX(Hours!K:K,MATCH(C298,Hours!$A:$A,0)))</f>
        <v>0</v>
      </c>
      <c r="S298" s="19">
        <f t="shared" si="9"/>
        <v>0</v>
      </c>
    </row>
    <row r="299" spans="1:19" x14ac:dyDescent="0.25">
      <c r="A299" s="11" t="str">
        <f>'Bldgs &amp; Rooms'!$A$10</f>
        <v>Main Bldg.</v>
      </c>
      <c r="B299" s="11">
        <f>'Bldgs &amp; Rooms'!$B$10</f>
        <v>0</v>
      </c>
      <c r="C299" s="10" t="str">
        <f>Hours!$A$3</f>
        <v xml:space="preserve">  Switchgear Insulated Case Breakers (Bus Mounted)</v>
      </c>
      <c r="D299" s="11">
        <f t="shared" si="8"/>
        <v>0</v>
      </c>
      <c r="E299" s="16">
        <f>IF('Components Yr 1'!E299=0,0,'Components Yr 1'!E299)</f>
        <v>0</v>
      </c>
      <c r="F299" s="17">
        <f>IF('Components Yr 1'!F299=0,0,'Components Yr 1'!F299)</f>
        <v>0</v>
      </c>
      <c r="G299" s="17">
        <f>IF('Components Yr 1'!G299=0,0,'Components Yr 1'!G299)</f>
        <v>0</v>
      </c>
      <c r="H299" s="17">
        <f>IF('Components Yr 1'!H299=0,0,'Components Yr 1'!H299)</f>
        <v>0</v>
      </c>
      <c r="I299" s="17">
        <f>IF('Components Yr 1'!I299=0,0,'Components Yr 1'!I299)</f>
        <v>0</v>
      </c>
      <c r="J299" s="17">
        <f>IF('Components Yr 1'!J299=0,0,'Components Yr 1'!J299)</f>
        <v>0</v>
      </c>
      <c r="K299" s="17">
        <f>IF('Components Yr 1'!K299=0,0,'Components Yr 1'!K299)</f>
        <v>0</v>
      </c>
      <c r="L299" s="12"/>
      <c r="M299" s="12"/>
      <c r="N299" s="12"/>
      <c r="O299" s="12"/>
      <c r="P299" s="12"/>
      <c r="Q299" s="17"/>
      <c r="R299" s="18">
        <f>IF(SUMPRODUCT((E299:Q299)*1)=0,0,E299*INDEX(Hours!M:M,MATCH(C299,Hours!$A:$A,0))+F299*INDEX(Hours!B:B,MATCH(C299,Hours!$A:$A,0))+G299*INDEX(Hours!C:C,MATCH(C299,Hours!$A:$A,0))+H299*INDEX(Hours!D:D,MATCH(C299,Hours!$A:$A,0))+I299*INDEX(Hours!E:E,MATCH(C299,Hours!$A:$A,0))+J299*INDEX(Hours!F:F,MATCH(C299,Hours!$A:$A,0))+K299*INDEX(Hours!G:G,MATCH(C299,Hours!$A:$A,0)))</f>
        <v>0</v>
      </c>
      <c r="S299" s="19">
        <f t="shared" si="9"/>
        <v>0</v>
      </c>
    </row>
    <row r="300" spans="1:19" x14ac:dyDescent="0.25">
      <c r="A300" s="11" t="str">
        <f>'Bldgs &amp; Rooms'!$A$10</f>
        <v>Main Bldg.</v>
      </c>
      <c r="B300" s="11">
        <f>'Bldgs &amp; Rooms'!$B$10</f>
        <v>0</v>
      </c>
      <c r="C300" s="10" t="str">
        <f>Hours!$A$4</f>
        <v xml:space="preserve">  SwitchGear Drawout Breakers</v>
      </c>
      <c r="D300" s="11">
        <f t="shared" si="8"/>
        <v>0</v>
      </c>
      <c r="E300" s="16">
        <f>IF('Components Yr 1'!E300=0,0,'Components Yr 1'!E300)</f>
        <v>0</v>
      </c>
      <c r="F300" s="17">
        <f>IF('Components Yr 1'!F300=0,0,'Components Yr 1'!F300)</f>
        <v>0</v>
      </c>
      <c r="G300" s="17">
        <f>IF('Components Yr 1'!G300=0,0,'Components Yr 1'!G300)</f>
        <v>0</v>
      </c>
      <c r="H300" s="17">
        <f>IF('Components Yr 1'!H300=0,0,'Components Yr 1'!H300)</f>
        <v>0</v>
      </c>
      <c r="I300" s="17">
        <f>IF('Components Yr 1'!I300=0,0,'Components Yr 1'!I300)</f>
        <v>0</v>
      </c>
      <c r="J300" s="17">
        <f>IF('Components Yr 1'!J300=0,0,'Components Yr 1'!J300)</f>
        <v>0</v>
      </c>
      <c r="K300" s="12"/>
      <c r="L300" s="17">
        <f>IF('Components Yr 1'!L300=0,0,'Components Yr 1'!L300)</f>
        <v>0</v>
      </c>
      <c r="M300" s="12"/>
      <c r="N300" s="12"/>
      <c r="O300" s="12"/>
      <c r="P300" s="12"/>
      <c r="Q300" s="17"/>
      <c r="R300" s="18">
        <f>IF(SUMPRODUCT((E300:Q300)*1)=0,0,E300*INDEX(Hours!M:M,MATCH(C300,Hours!$A:$A,0))+F300*INDEX(Hours!B:B,MATCH(C300,Hours!$A:$A,0))+G300*INDEX(Hours!C:C,MATCH(C300,Hours!$A:$A,0))+H300*INDEX(Hours!D:D,MATCH(C300,Hours!$A:$A,0))+I300*INDEX(Hours!E:E,MATCH(C300,Hours!$A:$A,0))+J300*INDEX(Hours!F:F,MATCH(C300,Hours!$A:$A,0))+L300*INDEX(Hours!H:H,MATCH(C300,Hours!$A:$A,0)))</f>
        <v>0</v>
      </c>
      <c r="S300" s="19">
        <f t="shared" si="9"/>
        <v>0</v>
      </c>
    </row>
    <row r="301" spans="1:19" x14ac:dyDescent="0.25">
      <c r="A301" s="11" t="str">
        <f>'Bldgs &amp; Rooms'!$A$10</f>
        <v>Main Bldg.</v>
      </c>
      <c r="B301" s="11">
        <f>'Bldgs &amp; Rooms'!$B$10</f>
        <v>0</v>
      </c>
      <c r="C301" s="10" t="str">
        <f>Hours!$A$5</f>
        <v>Distribution Switchboard Multi Cover (Per Section)</v>
      </c>
      <c r="D301" s="11">
        <f t="shared" si="8"/>
        <v>0</v>
      </c>
      <c r="E301" s="16">
        <f>IF('Components Yr 1'!E301=0,0,'Components Yr 1'!E301)</f>
        <v>0</v>
      </c>
      <c r="F301" s="17">
        <f>IF('Components Yr 1'!F301=0,0,'Components Yr 1'!F301)</f>
        <v>0</v>
      </c>
      <c r="G301" s="17">
        <f>IF('Components Yr 1'!G301=0,0,'Components Yr 1'!G301)</f>
        <v>0</v>
      </c>
      <c r="H301" s="17">
        <f>IF('Components Yr 1'!H301=0,0,'Components Yr 1'!H301)</f>
        <v>0</v>
      </c>
      <c r="I301" s="17">
        <f>IF('Components Yr 1'!I301=0,0,'Components Yr 1'!I301)</f>
        <v>0</v>
      </c>
      <c r="J301" s="17">
        <f>IF('Components Yr 1'!J301=0,0,'Components Yr 1'!J301)</f>
        <v>0</v>
      </c>
      <c r="K301" s="17">
        <f>IF('Components Yr 1'!K301=0,0,'Components Yr 1'!K301)</f>
        <v>0</v>
      </c>
      <c r="L301" s="12"/>
      <c r="M301" s="12"/>
      <c r="N301" s="12"/>
      <c r="O301" s="17">
        <f>IF('Components Yr 1'!O301=0,0,'Components Yr 1'!O301)</f>
        <v>0</v>
      </c>
      <c r="P301" s="12"/>
      <c r="Q301" s="17"/>
      <c r="R301" s="18">
        <f>IF(SUMPRODUCT((E301:Q301)*1)=0,0,E301*INDEX(Hours!M:M,MATCH(C301,Hours!$A:$A,0))+F301*INDEX(Hours!B:B,MATCH(C301,Hours!$A:$A,0))+G301*INDEX(Hours!C:C,MATCH(C301,Hours!$A:$A,0))+H301*INDEX(Hours!D:D,MATCH(C301,Hours!$A:$A,0))+I301*INDEX(Hours!E:E,MATCH(C301,Hours!$A:$A,0))+J301*INDEX(Hours!F:F,MATCH(C301,Hours!$A:$A,0))+K301*INDEX(Hours!G:G,MATCH(C301,Hours!$A:$A,0))+O301*INDEX(Hours!K:K,MATCH(C301,Hours!$A:$A,0)))</f>
        <v>0</v>
      </c>
      <c r="S301" s="19">
        <f t="shared" si="9"/>
        <v>0</v>
      </c>
    </row>
    <row r="302" spans="1:19" x14ac:dyDescent="0.25">
      <c r="A302" s="11" t="str">
        <f>'Bldgs &amp; Rooms'!$A$10</f>
        <v>Main Bldg.</v>
      </c>
      <c r="B302" s="11">
        <f>'Bldgs &amp; Rooms'!$B$10</f>
        <v>0</v>
      </c>
      <c r="C302" s="10" t="str">
        <f>Hours!$A$6</f>
        <v xml:space="preserve">  Switchboard Disconnects</v>
      </c>
      <c r="D302" s="11">
        <f t="shared" si="8"/>
        <v>0</v>
      </c>
      <c r="E302" s="16">
        <f>IF('Components Yr 1'!E302=0,0,'Components Yr 1'!E302)</f>
        <v>0</v>
      </c>
      <c r="F302" s="17">
        <f>IF('Components Yr 1'!F302=0,0,'Components Yr 1'!F302)</f>
        <v>0</v>
      </c>
      <c r="G302" s="17">
        <f>IF('Components Yr 1'!G302=0,0,'Components Yr 1'!G302)</f>
        <v>0</v>
      </c>
      <c r="H302" s="17">
        <f>IF('Components Yr 1'!H302=0,0,'Components Yr 1'!H302)</f>
        <v>0</v>
      </c>
      <c r="I302" s="17">
        <f>IF('Components Yr 1'!I302=0,0,'Components Yr 1'!I302)</f>
        <v>0</v>
      </c>
      <c r="J302" s="17">
        <f>IF('Components Yr 1'!J302=0,0,'Components Yr 1'!J302)</f>
        <v>0</v>
      </c>
      <c r="K302" s="12"/>
      <c r="L302" s="12"/>
      <c r="M302" s="12"/>
      <c r="N302" s="12"/>
      <c r="O302" s="12"/>
      <c r="P302" s="12"/>
      <c r="Q302" s="17"/>
      <c r="R302" s="18">
        <f>IF(SUMPRODUCT((E302:Q302)*1)=0,0,E302*INDEX(Hours!M:M,MATCH(C302,Hours!$A:$A,0))+F302*INDEX(Hours!B:B,MATCH(C302,Hours!$A:$A,0))+G302*INDEX(Hours!C:C,MATCH(C302,Hours!$A:$A,0))+H302*INDEX(Hours!D:D,MATCH(C302,Hours!$A:$A,0))+I302*INDEX(Hours!E:E,MATCH(C302,Hours!$A:$A,0))+J302*INDEX(Hours!F:F,MATCH(C302,Hours!$A:$A,0)))</f>
        <v>0</v>
      </c>
      <c r="S302" s="19">
        <f t="shared" si="9"/>
        <v>0</v>
      </c>
    </row>
    <row r="303" spans="1:19" x14ac:dyDescent="0.25">
      <c r="A303" s="11" t="str">
        <f>'Bldgs &amp; Rooms'!$A$10</f>
        <v>Main Bldg.</v>
      </c>
      <c r="B303" s="11">
        <f>'Bldgs &amp; Rooms'!$B$10</f>
        <v>0</v>
      </c>
      <c r="C303" s="10" t="str">
        <f>Hours!$A$7</f>
        <v xml:space="preserve">  Switchboard Molded Case Breakers</v>
      </c>
      <c r="D303" s="11">
        <f t="shared" si="8"/>
        <v>0</v>
      </c>
      <c r="E303" s="16">
        <f>IF('Components Yr 1'!E303=0,0,'Components Yr 1'!E303)</f>
        <v>0</v>
      </c>
      <c r="F303" s="17">
        <f>IF('Components Yr 1'!F303=0,0,'Components Yr 1'!F303)</f>
        <v>0</v>
      </c>
      <c r="G303" s="17">
        <f>IF('Components Yr 1'!G303=0,0,'Components Yr 1'!G303)</f>
        <v>0</v>
      </c>
      <c r="H303" s="17">
        <f>IF('Components Yr 1'!H303=0,0,'Components Yr 1'!H303)</f>
        <v>0</v>
      </c>
      <c r="I303" s="17">
        <f>IF('Components Yr 1'!I303=0,0,'Components Yr 1'!I303)</f>
        <v>0</v>
      </c>
      <c r="J303" s="17">
        <f>IF('Components Yr 1'!J303=0,0,'Components Yr 1'!J303)</f>
        <v>0</v>
      </c>
      <c r="K303" s="17">
        <f>IF('Components Yr 1'!K303=0,0,'Components Yr 1'!K303)</f>
        <v>0</v>
      </c>
      <c r="L303" s="12"/>
      <c r="M303" s="12"/>
      <c r="N303" s="12"/>
      <c r="O303" s="12"/>
      <c r="P303" s="12"/>
      <c r="Q303" s="17"/>
      <c r="R303" s="18">
        <f>IF(SUMPRODUCT((E303:Q303)*1)=0,0,E303*INDEX(Hours!M:M,MATCH(C303,Hours!$A:$A,0))+F303*INDEX(Hours!B:B,MATCH(C303,Hours!$A:$A,0))+G303*INDEX(Hours!C:C,MATCH(C303,Hours!$A:$A,0))+H303*INDEX(Hours!D:D,MATCH(C303,Hours!$A:$A,0))+I303*INDEX(Hours!E:E,MATCH(C303,Hours!$A:$A,0))+J303*INDEX(Hours!F:F,MATCH(C303,Hours!$A:$A,0))+K303*INDEX(Hours!G:G,MATCH(C303,Hours!$A:$A,0)))</f>
        <v>0</v>
      </c>
      <c r="S303" s="19">
        <f t="shared" si="9"/>
        <v>0</v>
      </c>
    </row>
    <row r="304" spans="1:19" x14ac:dyDescent="0.25">
      <c r="A304" s="11" t="str">
        <f>'Bldgs &amp; Rooms'!$A$10</f>
        <v>Main Bldg.</v>
      </c>
      <c r="B304" s="11">
        <f>'Bldgs &amp; Rooms'!$B$10</f>
        <v>0</v>
      </c>
      <c r="C304" s="10" t="str">
        <f>Hours!$A$8</f>
        <v>Panelboard-Single Cover &gt; 400A (Distribution Panel)</v>
      </c>
      <c r="D304" s="11">
        <f t="shared" si="8"/>
        <v>0</v>
      </c>
      <c r="E304" s="16">
        <f>IF('Components Yr 1'!E304=0,0,'Components Yr 1'!E304)</f>
        <v>0</v>
      </c>
      <c r="F304" s="17">
        <f>IF('Components Yr 1'!F304=0,0,'Components Yr 1'!F304)</f>
        <v>0</v>
      </c>
      <c r="G304" s="17">
        <f>IF('Components Yr 1'!G304=0,0,'Components Yr 1'!G304)</f>
        <v>0</v>
      </c>
      <c r="H304" s="17">
        <f>IF('Components Yr 1'!H304=0,0,'Components Yr 1'!H304)</f>
        <v>0</v>
      </c>
      <c r="I304" s="17">
        <f>IF('Components Yr 1'!I304=0,0,'Components Yr 1'!I304)</f>
        <v>0</v>
      </c>
      <c r="J304" s="17">
        <f>IF('Components Yr 1'!J304=0,0,'Components Yr 1'!J304)</f>
        <v>0</v>
      </c>
      <c r="K304" s="17">
        <f>IF('Components Yr 1'!K304=0,0,'Components Yr 1'!K304)</f>
        <v>0</v>
      </c>
      <c r="L304" s="12"/>
      <c r="M304" s="12"/>
      <c r="N304" s="12"/>
      <c r="O304" s="17">
        <f>IF('Components Yr 1'!O304=0,0,'Components Yr 1'!O304)</f>
        <v>0</v>
      </c>
      <c r="P304" s="12"/>
      <c r="Q304" s="17"/>
      <c r="R304" s="18">
        <f>IF(SUMPRODUCT((E304:Q304)*1)=0,0,E304*INDEX(Hours!M:M,MATCH(C304,Hours!$A:$A,0))+F304*INDEX(Hours!B:B,MATCH(C304,Hours!$A:$A,0))+G304*INDEX(Hours!C:C,MATCH(C304,Hours!$A:$A,0))+H304*INDEX(Hours!D:D,MATCH(C304,Hours!$A:$A,0))+I304*INDEX(Hours!E:E,MATCH(C304,Hours!$A:$A,0))+J304*INDEX(Hours!F:F,MATCH(C304,Hours!$A:$A,0))+K304*INDEX(Hours!G:G,MATCH(C304,Hours!$A:$A,0))+O304*INDEX(Hours!K:K,MATCH(C304,Hours!$A:$A,0)))</f>
        <v>0</v>
      </c>
      <c r="S304" s="19">
        <f t="shared" si="9"/>
        <v>0</v>
      </c>
    </row>
    <row r="305" spans="1:19" x14ac:dyDescent="0.25">
      <c r="A305" s="11" t="str">
        <f>'Bldgs &amp; Rooms'!$A$10</f>
        <v>Main Bldg.</v>
      </c>
      <c r="B305" s="11">
        <f>'Bldgs &amp; Rooms'!$B$10</f>
        <v>0</v>
      </c>
      <c r="C305" s="10" t="str">
        <f>Hours!$A$9</f>
        <v>Panelboard-Single Cover &lt; 400A (Branch Ckt Panel)</v>
      </c>
      <c r="D305" s="11">
        <f t="shared" si="8"/>
        <v>0</v>
      </c>
      <c r="E305" s="16">
        <f>IF('Components Yr 1'!E305=0,0,'Components Yr 1'!E305)</f>
        <v>0</v>
      </c>
      <c r="F305" s="17">
        <f>IF('Components Yr 1'!F305=0,0,'Components Yr 1'!F305)</f>
        <v>0</v>
      </c>
      <c r="G305" s="17">
        <f>IF('Components Yr 1'!G305=0,0,'Components Yr 1'!G305)</f>
        <v>0</v>
      </c>
      <c r="H305" s="17">
        <f>IF('Components Yr 1'!H305=0,0,'Components Yr 1'!H305)</f>
        <v>0</v>
      </c>
      <c r="I305" s="17">
        <f>IF('Components Yr 1'!I305=0,0,'Components Yr 1'!I305)</f>
        <v>0</v>
      </c>
      <c r="J305" s="17">
        <f>IF('Components Yr 1'!J305=0,0,'Components Yr 1'!J305)</f>
        <v>0</v>
      </c>
      <c r="K305" s="12"/>
      <c r="L305" s="12"/>
      <c r="M305" s="12"/>
      <c r="N305" s="12"/>
      <c r="O305" s="17">
        <f>IF('Components Yr 1'!O305=0,0,'Components Yr 1'!O305)</f>
        <v>0</v>
      </c>
      <c r="P305" s="12"/>
      <c r="Q305" s="17"/>
      <c r="R305" s="18">
        <f>IF(SUMPRODUCT((E305:Q305)*1)=0,0,E305*INDEX(Hours!M:M,MATCH(C305,Hours!$A:$A,0))+F305*INDEX(Hours!B:B,MATCH(C305,Hours!$A:$A,0))+G305*INDEX(Hours!C:C,MATCH(C305,Hours!$A:$A,0))+H305*INDEX(Hours!D:D,MATCH(C305,Hours!$A:$A,0))+I305*INDEX(Hours!E:E,MATCH(C305,Hours!$A:$A,0))+J305*INDEX(Hours!F:F,MATCH(C305,Hours!$A:$A,0))+O305*INDEX(Hours!K:K,MATCH(C305,Hours!$A:$A,0)))</f>
        <v>0</v>
      </c>
      <c r="S305" s="19">
        <f t="shared" si="9"/>
        <v>0</v>
      </c>
    </row>
    <row r="306" spans="1:19" x14ac:dyDescent="0.25">
      <c r="A306" s="11" t="str">
        <f>'Bldgs &amp; Rooms'!$A$10</f>
        <v>Main Bldg.</v>
      </c>
      <c r="B306" s="11">
        <f>'Bldgs &amp; Rooms'!$B$10</f>
        <v>0</v>
      </c>
      <c r="C306" s="10" t="str">
        <f>Hours!$A$10</f>
        <v>Motor Control Center (MCC-Per Vertical Section)</v>
      </c>
      <c r="D306" s="11">
        <f t="shared" si="8"/>
        <v>0</v>
      </c>
      <c r="E306" s="16">
        <f>IF('Components Yr 1'!E306=0,0,'Components Yr 1'!E306)</f>
        <v>0</v>
      </c>
      <c r="F306" s="17">
        <f>IF('Components Yr 1'!F306=0,0,'Components Yr 1'!F306)</f>
        <v>0</v>
      </c>
      <c r="G306" s="17">
        <f>IF('Components Yr 1'!G306=0,0,'Components Yr 1'!G306)</f>
        <v>0</v>
      </c>
      <c r="H306" s="17">
        <f>IF('Components Yr 1'!H306=0,0,'Components Yr 1'!H306)</f>
        <v>0</v>
      </c>
      <c r="I306" s="17">
        <f>IF('Components Yr 1'!I306=0,0,'Components Yr 1'!I306)</f>
        <v>0</v>
      </c>
      <c r="J306" s="17">
        <f>IF('Components Yr 1'!J306=0,0,'Components Yr 1'!J306)</f>
        <v>0</v>
      </c>
      <c r="K306" s="12"/>
      <c r="L306" s="12"/>
      <c r="M306" s="12"/>
      <c r="N306" s="12"/>
      <c r="O306" s="17">
        <f>IF('Components Yr 1'!O306=0,0,'Components Yr 1'!O306)</f>
        <v>0</v>
      </c>
      <c r="P306" s="12"/>
      <c r="Q306" s="17"/>
      <c r="R306" s="18">
        <f>IF(SUMPRODUCT((E306:Q306)*1)=0,0,E306*INDEX(Hours!M:M,MATCH(C306,Hours!$A:$A,0))+F306*INDEX(Hours!B:B,MATCH(C306,Hours!$A:$A,0))+G306*INDEX(Hours!C:C,MATCH(C306,Hours!$A:$A,0))+H306*INDEX(Hours!D:D,MATCH(C306,Hours!$A:$A,0))+I306*INDEX(Hours!E:E,MATCH(C306,Hours!$A:$A,0))+J306*INDEX(Hours!F:F,MATCH(C306,Hours!$A:$A,0))+O306*INDEX(Hours!K:K,MATCH(C306,Hours!$A:$A,0)))</f>
        <v>0</v>
      </c>
      <c r="S306" s="19">
        <f t="shared" si="9"/>
        <v>0</v>
      </c>
    </row>
    <row r="307" spans="1:19" x14ac:dyDescent="0.25">
      <c r="A307" s="11" t="str">
        <f>'Bldgs &amp; Rooms'!$A$10</f>
        <v>Main Bldg.</v>
      </c>
      <c r="B307" s="11">
        <f>'Bldgs &amp; Rooms'!$B$10</f>
        <v>0</v>
      </c>
      <c r="C307" s="10" t="str">
        <f>Hours!$A$11</f>
        <v xml:space="preserve">  MCC: Combination Motor Starters</v>
      </c>
      <c r="D307" s="11">
        <f t="shared" si="8"/>
        <v>0</v>
      </c>
      <c r="E307" s="16">
        <f>IF('Components Yr 1'!E307=0,0,'Components Yr 1'!E307)</f>
        <v>0</v>
      </c>
      <c r="F307" s="17">
        <f>IF('Components Yr 1'!F307=0,0,'Components Yr 1'!F307)</f>
        <v>0</v>
      </c>
      <c r="G307" s="17">
        <f>IF('Components Yr 1'!G307=0,0,'Components Yr 1'!G307)</f>
        <v>0</v>
      </c>
      <c r="H307" s="17">
        <f>IF('Components Yr 1'!H307=0,0,'Components Yr 1'!H307)</f>
        <v>0</v>
      </c>
      <c r="I307" s="17">
        <f>IF('Components Yr 1'!I307=0,0,'Components Yr 1'!I307)</f>
        <v>0</v>
      </c>
      <c r="J307" s="17">
        <f>IF('Components Yr 1'!J307=0,0,'Components Yr 1'!J307)</f>
        <v>0</v>
      </c>
      <c r="K307" s="17">
        <f>IF('Components Yr 1'!K307=0,0,'Components Yr 1'!K307)</f>
        <v>0</v>
      </c>
      <c r="L307" s="12"/>
      <c r="M307" s="12"/>
      <c r="N307" s="12"/>
      <c r="O307" s="17">
        <f>IF('Components Yr 1'!O307=0,0,'Components Yr 1'!O307)</f>
        <v>0</v>
      </c>
      <c r="P307" s="12"/>
      <c r="Q307" s="17"/>
      <c r="R307" s="18">
        <f>IF(SUMPRODUCT((E307:Q307)*1)=0,0,E307*INDEX(Hours!M:M,MATCH(C307,Hours!$A:$A,0))+F307*INDEX(Hours!B:B,MATCH(C307,Hours!$A:$A,0))+G307*INDEX(Hours!C:C,MATCH(C307,Hours!$A:$A,0))+H307*INDEX(Hours!D:D,MATCH(C307,Hours!$A:$A,0))+I307*INDEX(Hours!E:E,MATCH(C307,Hours!$A:$A,0))+J307*INDEX(Hours!F:F,MATCH(C307,Hours!$A:$A,0))+K307*INDEX(Hours!G:G,MATCH(C307,Hours!$A:$A,0))+O307*INDEX(Hours!K:K,MATCH(C307,Hours!$A:$A,0)))</f>
        <v>0</v>
      </c>
      <c r="S307" s="19">
        <f t="shared" si="9"/>
        <v>0</v>
      </c>
    </row>
    <row r="308" spans="1:19" x14ac:dyDescent="0.25">
      <c r="A308" s="11" t="str">
        <f>'Bldgs &amp; Rooms'!$A$10</f>
        <v>Main Bldg.</v>
      </c>
      <c r="B308" s="11">
        <f>'Bldgs &amp; Rooms'!$B$10</f>
        <v>0</v>
      </c>
      <c r="C308" s="10" t="str">
        <f>Hours!$A$12</f>
        <v xml:space="preserve">  MCC: Molded Case Breaker</v>
      </c>
      <c r="D308" s="11">
        <f t="shared" si="8"/>
        <v>0</v>
      </c>
      <c r="E308" s="16">
        <f>IF('Components Yr 1'!E308=0,0,'Components Yr 1'!E308)</f>
        <v>0</v>
      </c>
      <c r="F308" s="17">
        <f>IF('Components Yr 1'!F308=0,0,'Components Yr 1'!F308)</f>
        <v>0</v>
      </c>
      <c r="G308" s="17">
        <f>IF('Components Yr 1'!G308=0,0,'Components Yr 1'!G308)</f>
        <v>0</v>
      </c>
      <c r="H308" s="17">
        <f>IF('Components Yr 1'!H308=0,0,'Components Yr 1'!H308)</f>
        <v>0</v>
      </c>
      <c r="I308" s="17">
        <f>IF('Components Yr 1'!I308=0,0,'Components Yr 1'!I308)</f>
        <v>0</v>
      </c>
      <c r="J308" s="17">
        <f>IF('Components Yr 1'!J308=0,0,'Components Yr 1'!J308)</f>
        <v>0</v>
      </c>
      <c r="K308" s="17">
        <f>IF('Components Yr 1'!K308=0,0,'Components Yr 1'!K308)</f>
        <v>0</v>
      </c>
      <c r="L308" s="12"/>
      <c r="M308" s="12"/>
      <c r="N308" s="12"/>
      <c r="O308" s="12"/>
      <c r="P308" s="12"/>
      <c r="Q308" s="17"/>
      <c r="R308" s="18">
        <f>IF(SUMPRODUCT((E308:Q308)*1)=0,0,E308*INDEX(Hours!M:M,MATCH(C308,Hours!$A:$A,0))+F308*INDEX(Hours!B:B,MATCH(C308,Hours!$A:$A,0))+G308*INDEX(Hours!C:C,MATCH(C308,Hours!$A:$A,0))+H308*INDEX(Hours!D:D,MATCH(C308,Hours!$A:$A,0))+I308*INDEX(Hours!E:E,MATCH(C308,Hours!$A:$A,0))+J308*INDEX(Hours!F:F,MATCH(C308,Hours!$A:$A,0))+K308*INDEX(Hours!G:G,MATCH(C308,Hours!$A:$A,0)))</f>
        <v>0</v>
      </c>
      <c r="S308" s="19">
        <f t="shared" si="9"/>
        <v>0</v>
      </c>
    </row>
    <row r="309" spans="1:19" x14ac:dyDescent="0.25">
      <c r="A309" s="11" t="str">
        <f>'Bldgs &amp; Rooms'!$A$10</f>
        <v>Main Bldg.</v>
      </c>
      <c r="B309" s="11">
        <f>'Bldgs &amp; Rooms'!$B$10</f>
        <v>0</v>
      </c>
      <c r="C309" s="10" t="str">
        <f>Hours!$A$13</f>
        <v xml:space="preserve">  MCC: Individual Disconnect Switch</v>
      </c>
      <c r="D309" s="11">
        <f t="shared" si="8"/>
        <v>0</v>
      </c>
      <c r="E309" s="16">
        <f>IF('Components Yr 1'!E309=0,0,'Components Yr 1'!E309)</f>
        <v>0</v>
      </c>
      <c r="F309" s="17">
        <f>IF('Components Yr 1'!F309=0,0,'Components Yr 1'!F309)</f>
        <v>0</v>
      </c>
      <c r="G309" s="17">
        <f>IF('Components Yr 1'!G309=0,0,'Components Yr 1'!G309)</f>
        <v>0</v>
      </c>
      <c r="H309" s="17">
        <f>IF('Components Yr 1'!H309=0,0,'Components Yr 1'!H309)</f>
        <v>0</v>
      </c>
      <c r="I309" s="17">
        <f>IF('Components Yr 1'!I309=0,0,'Components Yr 1'!I309)</f>
        <v>0</v>
      </c>
      <c r="J309" s="17">
        <f>IF('Components Yr 1'!J309=0,0,'Components Yr 1'!J309)</f>
        <v>0</v>
      </c>
      <c r="K309" s="12"/>
      <c r="L309" s="12"/>
      <c r="M309" s="12"/>
      <c r="N309" s="12"/>
      <c r="O309" s="12"/>
      <c r="P309" s="12"/>
      <c r="Q309" s="17"/>
      <c r="R309" s="18">
        <f>IF(SUMPRODUCT((E309:Q309)*1)=0,0,E309*INDEX(Hours!M:M,MATCH(C309,Hours!$A:$A,0))+F309*INDEX(Hours!B:B,MATCH(C309,Hours!$A:$A,0))+G309*INDEX(Hours!C:C,MATCH(C309,Hours!$A:$A,0))+H309*INDEX(Hours!D:D,MATCH(C309,Hours!$A:$A,0))+I309*INDEX(Hours!E:E,MATCH(C309,Hours!$A:$A,0))+J309*INDEX(Hours!F:F,MATCH(C309,Hours!$A:$A,0)))</f>
        <v>0</v>
      </c>
      <c r="S309" s="19">
        <f t="shared" si="9"/>
        <v>0</v>
      </c>
    </row>
    <row r="310" spans="1:19" x14ac:dyDescent="0.25">
      <c r="A310" s="11" t="str">
        <f>'Bldgs &amp; Rooms'!$A$10</f>
        <v>Main Bldg.</v>
      </c>
      <c r="B310" s="11">
        <f>'Bldgs &amp; Rooms'!$B$10</f>
        <v>0</v>
      </c>
      <c r="C310" s="10" t="str">
        <f>Hours!$A$14</f>
        <v>Motor Control Panel (MCP)</v>
      </c>
      <c r="D310" s="11">
        <f t="shared" si="8"/>
        <v>0</v>
      </c>
      <c r="E310" s="16">
        <f>IF('Components Yr 1'!E310=0,0,'Components Yr 1'!E310)</f>
        <v>0</v>
      </c>
      <c r="F310" s="17">
        <f>IF('Components Yr 1'!F310=0,0,'Components Yr 1'!F310)</f>
        <v>0</v>
      </c>
      <c r="G310" s="17">
        <f>IF('Components Yr 1'!G310=0,0,'Components Yr 1'!G310)</f>
        <v>0</v>
      </c>
      <c r="H310" s="17">
        <f>IF('Components Yr 1'!H310=0,0,'Components Yr 1'!H310)</f>
        <v>0</v>
      </c>
      <c r="I310" s="17">
        <f>IF('Components Yr 1'!I310=0,0,'Components Yr 1'!I310)</f>
        <v>0</v>
      </c>
      <c r="J310" s="17">
        <f>IF('Components Yr 1'!J310=0,0,'Components Yr 1'!J310)</f>
        <v>0</v>
      </c>
      <c r="K310" s="12"/>
      <c r="L310" s="12"/>
      <c r="M310" s="12"/>
      <c r="N310" s="12"/>
      <c r="O310" s="17">
        <f>IF('Components Yr 1'!O310=0,0,'Components Yr 1'!O310)</f>
        <v>0</v>
      </c>
      <c r="P310" s="12"/>
      <c r="Q310" s="17"/>
      <c r="R310" s="18">
        <f>IF(SUMPRODUCT((E310:Q310)*1)=0,0,E310*INDEX(Hours!M:M,MATCH(C310,Hours!$A:$A,0))+F310*INDEX(Hours!B:B,MATCH(C310,Hours!$A:$A,0))+G310*INDEX(Hours!C:C,MATCH(C310,Hours!$A:$A,0))+H310*INDEX(Hours!D:D,MATCH(C310,Hours!$A:$A,0))+I310*INDEX(Hours!E:E,MATCH(C310,Hours!$A:$A,0))+J310*INDEX(Hours!F:F,MATCH(C310,Hours!$A:$A,0))+O310*INDEX(Hours!K:K,MATCH(C310,Hours!$A:$A,0)))</f>
        <v>0</v>
      </c>
      <c r="S310" s="19">
        <f t="shared" si="9"/>
        <v>0</v>
      </c>
    </row>
    <row r="311" spans="1:19" x14ac:dyDescent="0.25">
      <c r="A311" s="11" t="str">
        <f>'Bldgs &amp; Rooms'!$A$10</f>
        <v>Main Bldg.</v>
      </c>
      <c r="B311" s="11">
        <f>'Bldgs &amp; Rooms'!$B$10</f>
        <v>0</v>
      </c>
      <c r="C311" s="10" t="str">
        <f>Hours!$A$15</f>
        <v>VFD Motor Control Panel (VFD-MCP)</v>
      </c>
      <c r="D311" s="11">
        <f t="shared" si="8"/>
        <v>0</v>
      </c>
      <c r="E311" s="16">
        <f>IF('Components Yr 1'!E311=0,0,'Components Yr 1'!E311)</f>
        <v>0</v>
      </c>
      <c r="F311" s="17">
        <f>IF('Components Yr 1'!F311=0,0,'Components Yr 1'!F311)</f>
        <v>0</v>
      </c>
      <c r="G311" s="17">
        <f>IF('Components Yr 1'!G311=0,0,'Components Yr 1'!G311)</f>
        <v>0</v>
      </c>
      <c r="H311" s="17">
        <f>IF('Components Yr 1'!H311=0,0,'Components Yr 1'!H311)</f>
        <v>0</v>
      </c>
      <c r="I311" s="17">
        <f>IF('Components Yr 1'!I311=0,0,'Components Yr 1'!I311)</f>
        <v>0</v>
      </c>
      <c r="J311" s="17">
        <f>IF('Components Yr 1'!J311=0,0,'Components Yr 1'!J311)</f>
        <v>0</v>
      </c>
      <c r="K311" s="12"/>
      <c r="L311" s="12"/>
      <c r="M311" s="12"/>
      <c r="N311" s="12"/>
      <c r="O311" s="17">
        <f>IF('Components Yr 1'!O311=0,0,'Components Yr 1'!O311)</f>
        <v>0</v>
      </c>
      <c r="P311" s="12"/>
      <c r="Q311" s="17"/>
      <c r="R311" s="18">
        <f>IF(SUMPRODUCT((E311:Q311)*1)=0,0,E311*INDEX(Hours!M:M,MATCH(C311,Hours!$A:$A,0))+F311*INDEX(Hours!B:B,MATCH(C311,Hours!$A:$A,0))+G311*INDEX(Hours!C:C,MATCH(C311,Hours!$A:$A,0))+H311*INDEX(Hours!D:D,MATCH(C311,Hours!$A:$A,0))+I311*INDEX(Hours!E:E,MATCH(C311,Hours!$A:$A,0))+J311*INDEX(Hours!F:F,MATCH(C311,Hours!$A:$A,0))+O311*INDEX(Hours!K:K,MATCH(C311,Hours!$A:$A,0)))</f>
        <v>0</v>
      </c>
      <c r="S311" s="19">
        <f t="shared" si="9"/>
        <v>0</v>
      </c>
    </row>
    <row r="312" spans="1:19" x14ac:dyDescent="0.25">
      <c r="A312" s="11" t="str">
        <f>'Bldgs &amp; Rooms'!$A$10</f>
        <v>Main Bldg.</v>
      </c>
      <c r="B312" s="11">
        <f>'Bldgs &amp; Rooms'!$B$10</f>
        <v>0</v>
      </c>
      <c r="C312" s="10" t="str">
        <f>Hours!$A$16</f>
        <v>Individual Disconnect Switch &gt; 100A</v>
      </c>
      <c r="D312" s="11">
        <f t="shared" si="8"/>
        <v>0</v>
      </c>
      <c r="E312" s="16">
        <f>IF('Components Yr 1'!E312=0,0,'Components Yr 1'!E312)</f>
        <v>0</v>
      </c>
      <c r="F312" s="17">
        <f>IF('Components Yr 1'!F312=0,0,'Components Yr 1'!F312)</f>
        <v>0</v>
      </c>
      <c r="G312" s="17">
        <f>IF('Components Yr 1'!G312=0,0,'Components Yr 1'!G312)</f>
        <v>0</v>
      </c>
      <c r="H312" s="17">
        <f>IF('Components Yr 1'!H312=0,0,'Components Yr 1'!H312)</f>
        <v>0</v>
      </c>
      <c r="I312" s="17">
        <f>IF('Components Yr 1'!I312=0,0,'Components Yr 1'!I312)</f>
        <v>0</v>
      </c>
      <c r="J312" s="17">
        <f>IF('Components Yr 1'!J312=0,0,'Components Yr 1'!J312)</f>
        <v>0</v>
      </c>
      <c r="K312" s="17">
        <f>IF('Components Yr 1'!K312=0,0,'Components Yr 1'!K312)</f>
        <v>0</v>
      </c>
      <c r="L312" s="12"/>
      <c r="M312" s="12"/>
      <c r="N312" s="12"/>
      <c r="O312" s="12"/>
      <c r="P312" s="12"/>
      <c r="Q312" s="17"/>
      <c r="R312" s="18">
        <f>IF(SUMPRODUCT((E312:Q312)*1)=0,0,E312*INDEX(Hours!M:M,MATCH(C312,Hours!$A:$A,0))+F312*INDEX(Hours!B:B,MATCH(C312,Hours!$A:$A,0))+G312*INDEX(Hours!C:C,MATCH(C312,Hours!$A:$A,0))+H312*INDEX(Hours!D:D,MATCH(C312,Hours!$A:$A,0))+I312*INDEX(Hours!E:E,MATCH(C312,Hours!$A:$A,0))+J312*INDEX(Hours!F:F,MATCH(C312,Hours!$A:$A,0))+K312*INDEX(Hours!G:G,MATCH(C312,Hours!$A:$A,0)))</f>
        <v>0</v>
      </c>
      <c r="S312" s="19">
        <f t="shared" si="9"/>
        <v>0</v>
      </c>
    </row>
    <row r="313" spans="1:19" x14ac:dyDescent="0.25">
      <c r="A313" s="11" t="str">
        <f>'Bldgs &amp; Rooms'!$A$10</f>
        <v>Main Bldg.</v>
      </c>
      <c r="B313" s="11">
        <f>'Bldgs &amp; Rooms'!$B$10</f>
        <v>0</v>
      </c>
      <c r="C313" s="10" t="str">
        <f>Hours!$A$17</f>
        <v>Individual Molded Case Breaker &gt; 100A</v>
      </c>
      <c r="D313" s="11">
        <f t="shared" si="8"/>
        <v>0</v>
      </c>
      <c r="E313" s="16">
        <f>IF('Components Yr 1'!E313=0,0,'Components Yr 1'!E313)</f>
        <v>0</v>
      </c>
      <c r="F313" s="17">
        <f>IF('Components Yr 1'!F313=0,0,'Components Yr 1'!F313)</f>
        <v>0</v>
      </c>
      <c r="G313" s="17">
        <f>IF('Components Yr 1'!G313=0,0,'Components Yr 1'!G313)</f>
        <v>0</v>
      </c>
      <c r="H313" s="17">
        <f>IF('Components Yr 1'!H313=0,0,'Components Yr 1'!H313)</f>
        <v>0</v>
      </c>
      <c r="I313" s="17">
        <f>IF('Components Yr 1'!I313=0,0,'Components Yr 1'!I313)</f>
        <v>0</v>
      </c>
      <c r="J313" s="17">
        <f>IF('Components Yr 1'!J313=0,0,'Components Yr 1'!J313)</f>
        <v>0</v>
      </c>
      <c r="K313" s="17">
        <f>IF('Components Yr 1'!K313=0,0,'Components Yr 1'!K313)</f>
        <v>0</v>
      </c>
      <c r="L313" s="12"/>
      <c r="M313" s="12"/>
      <c r="N313" s="12"/>
      <c r="O313" s="12"/>
      <c r="P313" s="12"/>
      <c r="Q313" s="17"/>
      <c r="R313" s="18">
        <f>IF(SUMPRODUCT((E313:Q313)*1)=0,0,E313*INDEX(Hours!M:M,MATCH(C313,Hours!$A:$A,0))+F313*INDEX(Hours!B:B,MATCH(C313,Hours!$A:$A,0))+G313*INDEX(Hours!C:C,MATCH(C313,Hours!$A:$A,0))+H313*INDEX(Hours!D:D,MATCH(C313,Hours!$A:$A,0))+I313*INDEX(Hours!E:E,MATCH(C313,Hours!$A:$A,0))+J313*INDEX(Hours!F:F,MATCH(C313,Hours!$A:$A,0))+K313*INDEX(Hours!G:G,MATCH(C313,Hours!$A:$A,0)))</f>
        <v>0</v>
      </c>
      <c r="S313" s="19">
        <f t="shared" si="9"/>
        <v>0</v>
      </c>
    </row>
    <row r="314" spans="1:19" x14ac:dyDescent="0.25">
      <c r="A314" s="11" t="str">
        <f>'Bldgs &amp; Rooms'!$A$10</f>
        <v>Main Bldg.</v>
      </c>
      <c r="B314" s="11">
        <f>'Bldgs &amp; Rooms'!$B$10</f>
        <v>0</v>
      </c>
      <c r="C314" s="10" t="str">
        <f>Hours!$A$18</f>
        <v>Individual Combination Motor Starter &gt; 100A</v>
      </c>
      <c r="D314" s="11">
        <f t="shared" si="8"/>
        <v>0</v>
      </c>
      <c r="E314" s="16">
        <f>IF('Components Yr 1'!E314=0,0,'Components Yr 1'!E314)</f>
        <v>0</v>
      </c>
      <c r="F314" s="17">
        <f>IF('Components Yr 1'!F314=0,0,'Components Yr 1'!F314)</f>
        <v>0</v>
      </c>
      <c r="G314" s="17">
        <f>IF('Components Yr 1'!G314=0,0,'Components Yr 1'!G314)</f>
        <v>0</v>
      </c>
      <c r="H314" s="17">
        <f>IF('Components Yr 1'!H314=0,0,'Components Yr 1'!H314)</f>
        <v>0</v>
      </c>
      <c r="I314" s="17">
        <f>IF('Components Yr 1'!I314=0,0,'Components Yr 1'!I314)</f>
        <v>0</v>
      </c>
      <c r="J314" s="17">
        <f>IF('Components Yr 1'!J314=0,0,'Components Yr 1'!J314)</f>
        <v>0</v>
      </c>
      <c r="K314" s="17">
        <f>IF('Components Yr 1'!K314=0,0,'Components Yr 1'!K314)</f>
        <v>0</v>
      </c>
      <c r="L314" s="12"/>
      <c r="M314" s="12"/>
      <c r="N314" s="12"/>
      <c r="O314" s="12"/>
      <c r="P314" s="12"/>
      <c r="Q314" s="17"/>
      <c r="R314" s="18">
        <f>IF(SUMPRODUCT((E314:Q314)*1)=0,0,E314*INDEX(Hours!M:M,MATCH(C314,Hours!$A:$A,0))+F314*INDEX(Hours!B:B,MATCH(C314,Hours!$A:$A,0))+G314*INDEX(Hours!C:C,MATCH(C314,Hours!$A:$A,0))+H314*INDEX(Hours!D:D,MATCH(C314,Hours!$A:$A,0))+I314*INDEX(Hours!E:E,MATCH(C314,Hours!$A:$A,0))+J314*INDEX(Hours!F:F,MATCH(C314,Hours!$A:$A,0))+K314*INDEX(Hours!G:G,MATCH(C314,Hours!$A:$A,0)))</f>
        <v>0</v>
      </c>
      <c r="S314" s="19">
        <f t="shared" si="9"/>
        <v>0</v>
      </c>
    </row>
    <row r="315" spans="1:19" x14ac:dyDescent="0.25">
      <c r="A315" s="11" t="str">
        <f>'Bldgs &amp; Rooms'!$A$10</f>
        <v>Main Bldg.</v>
      </c>
      <c r="B315" s="11">
        <f>'Bldgs &amp; Rooms'!$B$10</f>
        <v>0</v>
      </c>
      <c r="C315" s="10" t="str">
        <f>Hours!$A$19</f>
        <v>Oil Filled Transformer - 5kV-15kV Primary - Any Size (Pad Mounted)</v>
      </c>
      <c r="D315" s="11">
        <f t="shared" si="8"/>
        <v>0</v>
      </c>
      <c r="E315" s="16">
        <f>IF('Components Yr 1'!E315=0,0,'Components Yr 1'!E315)</f>
        <v>0</v>
      </c>
      <c r="F315" s="17">
        <f>IF('Components Yr 1'!F315=0,0,'Components Yr 1'!F315)</f>
        <v>0</v>
      </c>
      <c r="G315" s="17">
        <f>IF('Components Yr 1'!G315=0,0,'Components Yr 1'!G315)</f>
        <v>0</v>
      </c>
      <c r="H315" s="17">
        <f>IF('Components Yr 1'!H315=0,0,'Components Yr 1'!H315)</f>
        <v>0</v>
      </c>
      <c r="I315" s="17">
        <f>IF('Components Yr 1'!I315=0,0,'Components Yr 1'!I315)</f>
        <v>0</v>
      </c>
      <c r="J315" s="17">
        <f>IF('Components Yr 1'!J315=0,0,'Components Yr 1'!J315)</f>
        <v>0</v>
      </c>
      <c r="K315" s="12"/>
      <c r="L315" s="12"/>
      <c r="M315" s="17">
        <f>IF('Components Yr 1'!M315=0,0,'Components Yr 1'!M315)</f>
        <v>0</v>
      </c>
      <c r="N315" s="17">
        <f>IF('Components Yr 1'!N315=0,0,'Components Yr 1'!N315)</f>
        <v>0</v>
      </c>
      <c r="O315" s="12"/>
      <c r="P315" s="17">
        <f>IF('Components Yr 1'!P315=0,0,'Components Yr 1'!P315)</f>
        <v>0</v>
      </c>
      <c r="Q315" s="17"/>
      <c r="R315" s="18">
        <f>IF(SUMPRODUCT((E315:Q315)*1)=0,0,E315*INDEX(Hours!M:M,MATCH(C315,Hours!$A:$A,0))+F315*INDEX(Hours!B:B,MATCH(C315,Hours!$A:$A,0))+G315*INDEX(Hours!C:C,MATCH(C315,Hours!$A:$A,0))+H315*INDEX(Hours!D:D,MATCH(C315,Hours!$A:$A,0))+I315*INDEX(Hours!E:E,MATCH(C315,Hours!$A:$A,0))+J315*INDEX(Hours!F:F,MATCH(C315,Hours!$A:$A,0))+M315*INDEX(Hours!I:I,MATCH(C315,Hours!$A:$A,0))+N315*INDEX(Hours!J:J,MATCH(C315,Hours!$A:$A,0))+P315*INDEX(Hours!L:L,MATCH(C315,Hours!$A:$A,0)))</f>
        <v>0</v>
      </c>
      <c r="S315" s="19">
        <f t="shared" si="9"/>
        <v>0</v>
      </c>
    </row>
    <row r="316" spans="1:19" x14ac:dyDescent="0.25">
      <c r="A316" s="11" t="str">
        <f>'Bldgs &amp; Rooms'!$A$10</f>
        <v>Main Bldg.</v>
      </c>
      <c r="B316" s="11">
        <f>'Bldgs &amp; Rooms'!$B$10</f>
        <v>0</v>
      </c>
      <c r="C316" s="10" t="str">
        <f>Hours!$A$20</f>
        <v>Oil Filled Transformer - &gt; 15kV Primary (Substation Class)</v>
      </c>
      <c r="D316" s="11">
        <f t="shared" si="8"/>
        <v>0</v>
      </c>
      <c r="E316" s="16">
        <f>IF('Components Yr 1'!E316=0,0,'Components Yr 1'!E316)</f>
        <v>0</v>
      </c>
      <c r="F316" s="17">
        <f>IF('Components Yr 1'!F316=0,0,'Components Yr 1'!F316)</f>
        <v>0</v>
      </c>
      <c r="G316" s="17">
        <f>IF('Components Yr 1'!G316=0,0,'Components Yr 1'!G316)</f>
        <v>0</v>
      </c>
      <c r="H316" s="17">
        <f>IF('Components Yr 1'!H316=0,0,'Components Yr 1'!H316)</f>
        <v>0</v>
      </c>
      <c r="I316" s="17">
        <f>IF('Components Yr 1'!I316=0,0,'Components Yr 1'!I316)</f>
        <v>0</v>
      </c>
      <c r="J316" s="17">
        <f>IF('Components Yr 1'!J316=0,0,'Components Yr 1'!J316)</f>
        <v>0</v>
      </c>
      <c r="K316" s="12"/>
      <c r="L316" s="12"/>
      <c r="M316" s="17">
        <f>IF('Components Yr 1'!M316=0,0,'Components Yr 1'!M316)</f>
        <v>0</v>
      </c>
      <c r="N316" s="17">
        <f>IF('Components Yr 1'!N316=0,0,'Components Yr 1'!N316)</f>
        <v>0</v>
      </c>
      <c r="O316" s="12"/>
      <c r="P316" s="17">
        <f>IF('Components Yr 1'!P316=0,0,'Components Yr 1'!P316)</f>
        <v>0</v>
      </c>
      <c r="Q316" s="17"/>
      <c r="R316" s="18">
        <f>IF(SUMPRODUCT((E316:Q316)*1)=0,0,E316*INDEX(Hours!M:M,MATCH(C316,Hours!$A:$A,0))+F316*INDEX(Hours!B:B,MATCH(C316,Hours!$A:$A,0))+G316*INDEX(Hours!C:C,MATCH(C316,Hours!$A:$A,0))+H316*INDEX(Hours!D:D,MATCH(C316,Hours!$A:$A,0))+I316*INDEX(Hours!E:E,MATCH(C316,Hours!$A:$A,0))+J316*INDEX(Hours!F:F,MATCH(C316,Hours!$A:$A,0))+M316*INDEX(Hours!I:I,MATCH(C316,Hours!$A:$A,0))+N316*INDEX(Hours!J:J,MATCH(C316,Hours!$A:$A,0))+P316*INDEX(Hours!L:L,MATCH(C316,Hours!$A:$A,0)))</f>
        <v>0</v>
      </c>
      <c r="S316" s="19">
        <f t="shared" si="9"/>
        <v>0</v>
      </c>
    </row>
    <row r="317" spans="1:19" x14ac:dyDescent="0.25">
      <c r="A317" s="11" t="str">
        <f>'Bldgs &amp; Rooms'!$A$10</f>
        <v>Main Bldg.</v>
      </c>
      <c r="B317" s="11">
        <f>'Bldgs &amp; Rooms'!$B$10</f>
        <v>0</v>
      </c>
      <c r="C317" s="10" t="str">
        <f>Hours!$A$21</f>
        <v>Dry Type Transformer - &lt; 480V Primary - Any Size kVA</v>
      </c>
      <c r="D317" s="11">
        <f t="shared" si="8"/>
        <v>0</v>
      </c>
      <c r="E317" s="16">
        <f>IF('Components Yr 1'!E317=0,0,'Components Yr 1'!E317)</f>
        <v>0</v>
      </c>
      <c r="F317" s="17">
        <f>IF('Components Yr 1'!F317=0,0,'Components Yr 1'!F317)</f>
        <v>0</v>
      </c>
      <c r="G317" s="17">
        <f>IF('Components Yr 1'!G317=0,0,'Components Yr 1'!G317)</f>
        <v>0</v>
      </c>
      <c r="H317" s="17">
        <f>IF('Components Yr 1'!H317=0,0,'Components Yr 1'!H317)</f>
        <v>0</v>
      </c>
      <c r="I317" s="17">
        <f>IF('Components Yr 1'!I317=0,0,'Components Yr 1'!I317)</f>
        <v>0</v>
      </c>
      <c r="J317" s="17">
        <f>IF('Components Yr 1'!J317=0,0,'Components Yr 1'!J317)</f>
        <v>0</v>
      </c>
      <c r="K317" s="12"/>
      <c r="L317" s="12"/>
      <c r="M317" s="17">
        <f>IF('Components Yr 1'!M317=0,0,'Components Yr 1'!M317)</f>
        <v>0</v>
      </c>
      <c r="N317" s="17">
        <f>IF('Components Yr 1'!N317=0,0,'Components Yr 1'!N317)</f>
        <v>0</v>
      </c>
      <c r="O317" s="12"/>
      <c r="P317" s="12"/>
      <c r="Q317" s="17"/>
      <c r="R317" s="18">
        <f>IF(SUMPRODUCT((E317:Q317)*1)=0,0,E317*INDEX(Hours!M:M,MATCH(C317,Hours!$A:$A,0))+F317*INDEX(Hours!B:B,MATCH(C317,Hours!$A:$A,0))+G317*INDEX(Hours!C:C,MATCH(C317,Hours!$A:$A,0))+H317*INDEX(Hours!D:D,MATCH(C317,Hours!$A:$A,0))+I317*INDEX(Hours!E:E,MATCH(C317,Hours!$A:$A,0))+J317*INDEX(Hours!F:F,MATCH(C317,Hours!$A:$A,0))+M317*INDEX(Hours!I:I,MATCH(C317,Hours!$A:$A,0))+N317*INDEX(Hours!J:J,MATCH(C317,Hours!$A:$A,0)))</f>
        <v>0</v>
      </c>
      <c r="S317" s="19">
        <f t="shared" si="9"/>
        <v>0</v>
      </c>
    </row>
    <row r="318" spans="1:19" x14ac:dyDescent="0.25">
      <c r="A318" s="11" t="str">
        <f>'Bldgs &amp; Rooms'!$A$10</f>
        <v>Main Bldg.</v>
      </c>
      <c r="B318" s="11">
        <f>'Bldgs &amp; Rooms'!$B$10</f>
        <v>0</v>
      </c>
      <c r="C318" s="10" t="str">
        <f>Hours!$A$22</f>
        <v>Power Factor Correction Capacitors</v>
      </c>
      <c r="D318" s="11">
        <f t="shared" si="8"/>
        <v>0</v>
      </c>
      <c r="E318" s="16">
        <f>IF('Components Yr 1'!E318=0,0,'Components Yr 1'!E318)</f>
        <v>0</v>
      </c>
      <c r="F318" s="17">
        <f>IF('Components Yr 1'!F318=0,0,'Components Yr 1'!F318)</f>
        <v>0</v>
      </c>
      <c r="G318" s="17">
        <f>IF('Components Yr 1'!G318=0,0,'Components Yr 1'!G318)</f>
        <v>0</v>
      </c>
      <c r="H318" s="17">
        <f>IF('Components Yr 1'!H318=0,0,'Components Yr 1'!H318)</f>
        <v>0</v>
      </c>
      <c r="I318" s="17">
        <f>IF('Components Yr 1'!I318=0,0,'Components Yr 1'!I318)</f>
        <v>0</v>
      </c>
      <c r="J318" s="17">
        <f>IF('Components Yr 1'!J318=0,0,'Components Yr 1'!J318)</f>
        <v>0</v>
      </c>
      <c r="K318" s="12"/>
      <c r="L318" s="12"/>
      <c r="M318" s="12"/>
      <c r="N318" s="12"/>
      <c r="O318" s="12"/>
      <c r="P318" s="12"/>
      <c r="Q318" s="17"/>
      <c r="R318" s="18">
        <f>IF(SUMPRODUCT((E318:Q318)*1)=0,0,E318*INDEX(Hours!M:M,MATCH(C318,Hours!$A:$A,0))+F318*INDEX(Hours!B:B,MATCH(C318,Hours!$A:$A,0))+G318*INDEX(Hours!C:C,MATCH(C318,Hours!$A:$A,0))+H318*INDEX(Hours!D:D,MATCH(C318,Hours!$A:$A,0))+I318*INDEX(Hours!E:E,MATCH(C318,Hours!$A:$A,0))+J318*INDEX(Hours!F:F,MATCH(C318,Hours!$A:$A,0)))</f>
        <v>0</v>
      </c>
      <c r="S318" s="19">
        <f t="shared" si="9"/>
        <v>0</v>
      </c>
    </row>
    <row r="319" spans="1:19" x14ac:dyDescent="0.25">
      <c r="A319" s="11" t="str">
        <f>'Bldgs &amp; Rooms'!$A$10</f>
        <v>Main Bldg.</v>
      </c>
      <c r="B319" s="11">
        <f>'Bldgs &amp; Rooms'!$B$10</f>
        <v>0</v>
      </c>
      <c r="C319" s="10" t="str">
        <f>Hours!$A$23</f>
        <v>Lighting Contactor &gt; 100A</v>
      </c>
      <c r="D319" s="11">
        <f t="shared" si="8"/>
        <v>0</v>
      </c>
      <c r="E319" s="16">
        <f>IF('Components Yr 1'!E319=0,0,'Components Yr 1'!E319)</f>
        <v>0</v>
      </c>
      <c r="F319" s="17">
        <f>IF('Components Yr 1'!F319=0,0,'Components Yr 1'!F319)</f>
        <v>0</v>
      </c>
      <c r="G319" s="17">
        <f>IF('Components Yr 1'!G319=0,0,'Components Yr 1'!G319)</f>
        <v>0</v>
      </c>
      <c r="H319" s="17">
        <f>IF('Components Yr 1'!H319=0,0,'Components Yr 1'!H319)</f>
        <v>0</v>
      </c>
      <c r="I319" s="17">
        <f>IF('Components Yr 1'!I319=0,0,'Components Yr 1'!I319)</f>
        <v>0</v>
      </c>
      <c r="J319" s="17">
        <f>IF('Components Yr 1'!J319=0,0,'Components Yr 1'!J319)</f>
        <v>0</v>
      </c>
      <c r="K319" s="12"/>
      <c r="L319" s="12"/>
      <c r="M319" s="12"/>
      <c r="N319" s="12"/>
      <c r="O319" s="12"/>
      <c r="P319" s="12"/>
      <c r="Q319" s="17"/>
      <c r="R319" s="18">
        <f>IF(SUMPRODUCT((E319:Q319)*1)=0,0,E319*INDEX(Hours!M:M,MATCH(C319,Hours!$A:$A,0))+F319*INDEX(Hours!B:B,MATCH(C319,Hours!$A:$A,0))+G319*INDEX(Hours!C:C,MATCH(C319,Hours!$A:$A,0))+H319*INDEX(Hours!D:D,MATCH(C319,Hours!$A:$A,0))+I319*INDEX(Hours!E:E,MATCH(C319,Hours!$A:$A,0))+J319*INDEX(Hours!F:F,MATCH(C319,Hours!$A:$A,0)))</f>
        <v>0</v>
      </c>
      <c r="S319" s="19">
        <f t="shared" si="9"/>
        <v>0</v>
      </c>
    </row>
    <row r="320" spans="1:19" x14ac:dyDescent="0.25">
      <c r="A320" s="11" t="str">
        <f>'Bldgs &amp; Rooms'!$A$10</f>
        <v>Main Bldg.</v>
      </c>
      <c r="B320" s="11">
        <f>'Bldgs &amp; Rooms'!$B$10</f>
        <v>0</v>
      </c>
      <c r="C320" s="10" t="str">
        <f>Hours!$A$24</f>
        <v>Power Distribution Unit (PDU)</v>
      </c>
      <c r="D320" s="11">
        <f t="shared" si="8"/>
        <v>0</v>
      </c>
      <c r="E320" s="16">
        <f>IF('Components Yr 1'!E320=0,0,'Components Yr 1'!E320)</f>
        <v>0</v>
      </c>
      <c r="F320" s="17">
        <f>IF('Components Yr 1'!F320=0,0,'Components Yr 1'!F320)</f>
        <v>0</v>
      </c>
      <c r="G320" s="17">
        <f>IF('Components Yr 1'!G320=0,0,'Components Yr 1'!G320)</f>
        <v>0</v>
      </c>
      <c r="H320" s="17">
        <f>IF('Components Yr 1'!H320=0,0,'Components Yr 1'!H320)</f>
        <v>0</v>
      </c>
      <c r="I320" s="17">
        <f>IF('Components Yr 1'!I320=0,0,'Components Yr 1'!I320)</f>
        <v>0</v>
      </c>
      <c r="J320" s="17">
        <f>IF('Components Yr 1'!J320=0,0,'Components Yr 1'!J320)</f>
        <v>0</v>
      </c>
      <c r="K320" s="12"/>
      <c r="L320" s="12"/>
      <c r="M320" s="12"/>
      <c r="N320" s="12"/>
      <c r="O320" s="12"/>
      <c r="P320" s="12"/>
      <c r="Q320" s="17"/>
      <c r="R320" s="18">
        <f>IF(SUMPRODUCT((E320:Q320)*1)=0,0,E320*INDEX(Hours!M:M,MATCH(C320,Hours!$A:$A,0))+F320*INDEX(Hours!B:B,MATCH(C320,Hours!$A:$A,0))+G320*INDEX(Hours!C:C,MATCH(C320,Hours!$A:$A,0))+H320*INDEX(Hours!D:D,MATCH(C320,Hours!$A:$A,0))+I320*INDEX(Hours!E:E,MATCH(C320,Hours!$A:$A,0))+J320*INDEX(Hours!F:F,MATCH(C320,Hours!$A:$A,0)))</f>
        <v>0</v>
      </c>
      <c r="S320" s="19">
        <f t="shared" si="9"/>
        <v>0</v>
      </c>
    </row>
    <row r="321" spans="1:19" x14ac:dyDescent="0.25">
      <c r="A321" s="11" t="str">
        <f>'Bldgs &amp; Rooms'!$A$10</f>
        <v>Main Bldg.</v>
      </c>
      <c r="B321" s="11">
        <f>'Bldgs &amp; Rooms'!$B$10</f>
        <v>0</v>
      </c>
      <c r="C321" s="10" t="str">
        <f>Hours!$A$25</f>
        <v>Wire Trough, Gutter, or Large Junction Boxes</v>
      </c>
      <c r="D321" s="11">
        <f t="shared" si="8"/>
        <v>0</v>
      </c>
      <c r="E321" s="16">
        <f>IF('Components Yr 1'!E321=0,0,'Components Yr 1'!E321)</f>
        <v>0</v>
      </c>
      <c r="F321" s="17">
        <f>IF('Components Yr 1'!F321=0,0,'Components Yr 1'!F321)</f>
        <v>0</v>
      </c>
      <c r="G321" s="17">
        <f>IF('Components Yr 1'!G321=0,0,'Components Yr 1'!G321)</f>
        <v>0</v>
      </c>
      <c r="H321" s="17">
        <f>IF('Components Yr 1'!H321=0,0,'Components Yr 1'!H321)</f>
        <v>0</v>
      </c>
      <c r="I321" s="17">
        <f>IF('Components Yr 1'!I321=0,0,'Components Yr 1'!I321)</f>
        <v>0</v>
      </c>
      <c r="J321" s="17">
        <f>IF('Components Yr 1'!J321=0,0,'Components Yr 1'!J321)</f>
        <v>0</v>
      </c>
      <c r="K321" s="12"/>
      <c r="L321" s="12"/>
      <c r="M321" s="12"/>
      <c r="N321" s="12"/>
      <c r="O321" s="12"/>
      <c r="P321" s="12"/>
      <c r="Q321" s="17"/>
      <c r="R321" s="18">
        <f>IF(SUMPRODUCT((E321:Q321)*1)=0,0,E321*INDEX(Hours!M:M,MATCH(C321,Hours!$A:$A,0))+F321*INDEX(Hours!B:B,MATCH(C321,Hours!$A:$A,0))+G321*INDEX(Hours!C:C,MATCH(C321,Hours!$A:$A,0))+H321*INDEX(Hours!D:D,MATCH(C321,Hours!$A:$A,0))+I321*INDEX(Hours!E:E,MATCH(C321,Hours!$A:$A,0))+J321*INDEX(Hours!F:F,MATCH(C321,Hours!$A:$A,0)))</f>
        <v>0</v>
      </c>
      <c r="S321" s="19">
        <f t="shared" si="9"/>
        <v>0</v>
      </c>
    </row>
    <row r="322" spans="1:19" x14ac:dyDescent="0.25">
      <c r="A322" s="11" t="str">
        <f>'Bldgs &amp; Rooms'!$A$10</f>
        <v>Main Bldg.</v>
      </c>
      <c r="B322" s="11">
        <f>'Bldgs &amp; Rooms'!$B$10</f>
        <v>0</v>
      </c>
      <c r="C322" s="10" t="str">
        <f>Hours!$A$26</f>
        <v>Bus Duct - Vertical or Horizontal (Per 10' section)</v>
      </c>
      <c r="D322" s="11">
        <f t="shared" ref="D322:D385" si="10">MAX(E322+F322,G322,H322,I322,J322,K322,L322,M322,N322,O322,P322,Q322)</f>
        <v>0</v>
      </c>
      <c r="E322" s="16">
        <f>IF('Components Yr 1'!E322=0,0,'Components Yr 1'!E322)</f>
        <v>0</v>
      </c>
      <c r="F322" s="17">
        <f>IF('Components Yr 1'!F322=0,0,'Components Yr 1'!F322)</f>
        <v>0</v>
      </c>
      <c r="G322" s="17">
        <f>IF('Components Yr 1'!G322=0,0,'Components Yr 1'!G322)</f>
        <v>0</v>
      </c>
      <c r="H322" s="17">
        <f>IF('Components Yr 1'!H322=0,0,'Components Yr 1'!H322)</f>
        <v>0</v>
      </c>
      <c r="I322" s="17">
        <f>IF('Components Yr 1'!I322=0,0,'Components Yr 1'!I322)</f>
        <v>0</v>
      </c>
      <c r="J322" s="17">
        <f>IF('Components Yr 1'!J322=0,0,'Components Yr 1'!J322)</f>
        <v>0</v>
      </c>
      <c r="K322" s="12"/>
      <c r="L322" s="12"/>
      <c r="M322" s="12"/>
      <c r="N322" s="12"/>
      <c r="O322" s="12"/>
      <c r="P322" s="12"/>
      <c r="Q322" s="17"/>
      <c r="R322" s="18">
        <f>IF(SUMPRODUCT((E322:Q322)*1)=0,0,E322*INDEX(Hours!M:M,MATCH(C322,Hours!$A:$A,0))+F322*INDEX(Hours!B:B,MATCH(C322,Hours!$A:$A,0))+G322*INDEX(Hours!C:C,MATCH(C322,Hours!$A:$A,0))+H322*INDEX(Hours!D:D,MATCH(C322,Hours!$A:$A,0))+I322*INDEX(Hours!E:E,MATCH(C322,Hours!$A:$A,0))+J322*INDEX(Hours!F:F,MATCH(C322,Hours!$A:$A,0)))</f>
        <v>0</v>
      </c>
      <c r="S322" s="19">
        <f t="shared" ref="S322:S385" si="11">MAX(E322+F322,G322,H322,I322,J322,K322,L322,M322,N322,O322,P322,Q322)</f>
        <v>0</v>
      </c>
    </row>
    <row r="323" spans="1:19" x14ac:dyDescent="0.25">
      <c r="A323" s="11" t="str">
        <f>'Bldgs &amp; Rooms'!$A$10</f>
        <v>Main Bldg.</v>
      </c>
      <c r="B323" s="11">
        <f>'Bldgs &amp; Rooms'!$B$10</f>
        <v>0</v>
      </c>
      <c r="C323" s="10" t="str">
        <f>Hours!$A$27</f>
        <v>Automatic Transfer Switch (ATS) &gt; 100A</v>
      </c>
      <c r="D323" s="11">
        <f t="shared" si="10"/>
        <v>0</v>
      </c>
      <c r="E323" s="16">
        <f>IF('Components Yr 1'!E323=0,0,'Components Yr 1'!E323)</f>
        <v>0</v>
      </c>
      <c r="F323" s="17">
        <f>IF('Components Yr 1'!F323=0,0,'Components Yr 1'!F323)</f>
        <v>0</v>
      </c>
      <c r="G323" s="17">
        <f>IF('Components Yr 1'!G323=0,0,'Components Yr 1'!G323)</f>
        <v>0</v>
      </c>
      <c r="H323" s="17">
        <f>IF('Components Yr 1'!H323=0,0,'Components Yr 1'!H323)</f>
        <v>0</v>
      </c>
      <c r="I323" s="17">
        <f>IF('Components Yr 1'!I323=0,0,'Components Yr 1'!I323)</f>
        <v>0</v>
      </c>
      <c r="J323" s="17">
        <f>IF('Components Yr 1'!J323=0,0,'Components Yr 1'!J323)</f>
        <v>0</v>
      </c>
      <c r="K323" s="12"/>
      <c r="L323" s="12"/>
      <c r="M323" s="12"/>
      <c r="N323" s="12"/>
      <c r="O323" s="12"/>
      <c r="P323" s="12"/>
      <c r="Q323" s="17"/>
      <c r="R323" s="18">
        <f>IF(SUMPRODUCT((E323:Q323)*1)=0,0,E323*INDEX(Hours!M:M,MATCH(C323,Hours!$A:$A,0))+F323*INDEX(Hours!B:B,MATCH(C323,Hours!$A:$A,0))+G323*INDEX(Hours!C:C,MATCH(C323,Hours!$A:$A,0))+H323*INDEX(Hours!D:D,MATCH(C323,Hours!$A:$A,0))+I323*INDEX(Hours!E:E,MATCH(C323,Hours!$A:$A,0))+J323*INDEX(Hours!F:F,MATCH(C323,Hours!$A:$A,0)))</f>
        <v>0</v>
      </c>
      <c r="S323" s="19">
        <f t="shared" si="11"/>
        <v>0</v>
      </c>
    </row>
    <row r="324" spans="1:19" x14ac:dyDescent="0.25">
      <c r="A324" s="11" t="str">
        <f>'Bldgs &amp; Rooms'!$A$10</f>
        <v>Main Bldg.</v>
      </c>
      <c r="B324" s="11">
        <f>'Bldgs &amp; Rooms'!$B$10</f>
        <v>0</v>
      </c>
      <c r="C324" s="10" t="str">
        <f>Hours!$A$28</f>
        <v>Manual Transfer Switch (MTS) &gt; 100A</v>
      </c>
      <c r="D324" s="11">
        <f t="shared" si="10"/>
        <v>0</v>
      </c>
      <c r="E324" s="16">
        <f>IF('Components Yr 1'!E324=0,0,'Components Yr 1'!E324)</f>
        <v>0</v>
      </c>
      <c r="F324" s="17">
        <f>IF('Components Yr 1'!F324=0,0,'Components Yr 1'!F324)</f>
        <v>0</v>
      </c>
      <c r="G324" s="17">
        <f>IF('Components Yr 1'!G324=0,0,'Components Yr 1'!G324)</f>
        <v>0</v>
      </c>
      <c r="H324" s="17">
        <f>IF('Components Yr 1'!H324=0,0,'Components Yr 1'!H324)</f>
        <v>0</v>
      </c>
      <c r="I324" s="17">
        <f>IF('Components Yr 1'!I324=0,0,'Components Yr 1'!I324)</f>
        <v>0</v>
      </c>
      <c r="J324" s="17">
        <f>IF('Components Yr 1'!J324=0,0,'Components Yr 1'!J324)</f>
        <v>0</v>
      </c>
      <c r="K324" s="12"/>
      <c r="L324" s="12"/>
      <c r="M324" s="12"/>
      <c r="N324" s="12"/>
      <c r="O324" s="12"/>
      <c r="P324" s="12"/>
      <c r="Q324" s="17"/>
      <c r="R324" s="18">
        <f>IF(SUMPRODUCT((E324:Q324)*1)=0,0,E324*INDEX(Hours!M:M,MATCH(C324,Hours!$A:$A,0))+F324*INDEX(Hours!B:B,MATCH(C324,Hours!$A:$A,0))+G324*INDEX(Hours!C:C,MATCH(C324,Hours!$A:$A,0))+H324*INDEX(Hours!D:D,MATCH(C324,Hours!$A:$A,0))+I324*INDEX(Hours!E:E,MATCH(C324,Hours!$A:$A,0))+J324*INDEX(Hours!F:F,MATCH(C324,Hours!$A:$A,0)))</f>
        <v>0</v>
      </c>
      <c r="S324" s="19">
        <f t="shared" si="11"/>
        <v>0</v>
      </c>
    </row>
    <row r="325" spans="1:19" x14ac:dyDescent="0.25">
      <c r="A325" s="11" t="str">
        <f>'Bldgs &amp; Rooms'!$A$10</f>
        <v>Main Bldg.</v>
      </c>
      <c r="B325" s="11">
        <f>'Bldgs &amp; Rooms'!$B$10</f>
        <v>0</v>
      </c>
      <c r="C325" s="10" t="str">
        <f>Hours!$A$29</f>
        <v>Variable Frequency Drives (VFD) &lt; 50 HP</v>
      </c>
      <c r="D325" s="11">
        <f t="shared" si="10"/>
        <v>0</v>
      </c>
      <c r="E325" s="16">
        <f>IF('Components Yr 1'!E325=0,0,'Components Yr 1'!E325)</f>
        <v>0</v>
      </c>
      <c r="F325" s="17">
        <f>IF('Components Yr 1'!F325=0,0,'Components Yr 1'!F325)</f>
        <v>0</v>
      </c>
      <c r="G325" s="17">
        <f>IF('Components Yr 1'!G325=0,0,'Components Yr 1'!G325)</f>
        <v>0</v>
      </c>
      <c r="H325" s="17">
        <f>IF('Components Yr 1'!H325=0,0,'Components Yr 1'!H325)</f>
        <v>0</v>
      </c>
      <c r="I325" s="17">
        <f>IF('Components Yr 1'!I325=0,0,'Components Yr 1'!I325)</f>
        <v>0</v>
      </c>
      <c r="J325" s="17">
        <f>IF('Components Yr 1'!J325=0,0,'Components Yr 1'!J325)</f>
        <v>0</v>
      </c>
      <c r="K325" s="12"/>
      <c r="L325" s="12"/>
      <c r="M325" s="12"/>
      <c r="N325" s="12"/>
      <c r="O325" s="12"/>
      <c r="P325" s="12"/>
      <c r="Q325" s="17"/>
      <c r="R325" s="18">
        <f>IF(SUMPRODUCT((E325:Q325)*1)=0,0,E325*INDEX(Hours!M:M,MATCH(C325,Hours!$A:$A,0))+F325*INDEX(Hours!B:B,MATCH(C325,Hours!$A:$A,0))+G325*INDEX(Hours!C:C,MATCH(C325,Hours!$A:$A,0))+H325*INDEX(Hours!D:D,MATCH(C325,Hours!$A:$A,0))+I325*INDEX(Hours!E:E,MATCH(C325,Hours!$A:$A,0))+J325*INDEX(Hours!F:F,MATCH(C325,Hours!$A:$A,0)))</f>
        <v>0</v>
      </c>
      <c r="S325" s="19">
        <f t="shared" si="11"/>
        <v>0</v>
      </c>
    </row>
    <row r="326" spans="1:19" x14ac:dyDescent="0.25">
      <c r="A326" s="11" t="str">
        <f>'Bldgs &amp; Rooms'!$A$10</f>
        <v>Main Bldg.</v>
      </c>
      <c r="B326" s="11">
        <f>'Bldgs &amp; Rooms'!$B$10</f>
        <v>0</v>
      </c>
      <c r="C326" s="10" t="str">
        <f>Hours!$A$30</f>
        <v>Variable Frequency Drives (VFD) 51-200 HP</v>
      </c>
      <c r="D326" s="11">
        <f t="shared" si="10"/>
        <v>0</v>
      </c>
      <c r="E326" s="16">
        <f>IF('Components Yr 1'!E326=0,0,'Components Yr 1'!E326)</f>
        <v>0</v>
      </c>
      <c r="F326" s="17">
        <f>IF('Components Yr 1'!F326=0,0,'Components Yr 1'!F326)</f>
        <v>0</v>
      </c>
      <c r="G326" s="17">
        <f>IF('Components Yr 1'!G326=0,0,'Components Yr 1'!G326)</f>
        <v>0</v>
      </c>
      <c r="H326" s="17">
        <f>IF('Components Yr 1'!H326=0,0,'Components Yr 1'!H326)</f>
        <v>0</v>
      </c>
      <c r="I326" s="17">
        <f>IF('Components Yr 1'!I326=0,0,'Components Yr 1'!I326)</f>
        <v>0</v>
      </c>
      <c r="J326" s="17">
        <f>IF('Components Yr 1'!J326=0,0,'Components Yr 1'!J326)</f>
        <v>0</v>
      </c>
      <c r="K326" s="12"/>
      <c r="L326" s="12"/>
      <c r="M326" s="12"/>
      <c r="N326" s="12"/>
      <c r="O326" s="12"/>
      <c r="P326" s="12"/>
      <c r="Q326" s="17"/>
      <c r="R326" s="18">
        <f>IF(SUMPRODUCT((E326:Q326)*1)=0,0,E326*INDEX(Hours!M:M,MATCH(C326,Hours!$A:$A,0))+F326*INDEX(Hours!B:B,MATCH(C326,Hours!$A:$A,0))+G326*INDEX(Hours!C:C,MATCH(C326,Hours!$A:$A,0))+H326*INDEX(Hours!D:D,MATCH(C326,Hours!$A:$A,0))+I326*INDEX(Hours!E:E,MATCH(C326,Hours!$A:$A,0))+J326*INDEX(Hours!F:F,MATCH(C326,Hours!$A:$A,0)))</f>
        <v>0</v>
      </c>
      <c r="S326" s="19">
        <f t="shared" si="11"/>
        <v>0</v>
      </c>
    </row>
    <row r="327" spans="1:19" x14ac:dyDescent="0.25">
      <c r="A327" s="11" t="str">
        <f>'Bldgs &amp; Rooms'!$A$10</f>
        <v>Main Bldg.</v>
      </c>
      <c r="B327" s="11">
        <f>'Bldgs &amp; Rooms'!$B$10</f>
        <v>0</v>
      </c>
      <c r="C327" s="10" t="str">
        <f>Hours!$A$31</f>
        <v>Motors &lt; 50 HP</v>
      </c>
      <c r="D327" s="11">
        <f t="shared" si="10"/>
        <v>0</v>
      </c>
      <c r="E327" s="16">
        <f>IF('Components Yr 1'!E327=0,0,'Components Yr 1'!E327)</f>
        <v>0</v>
      </c>
      <c r="F327" s="17">
        <f>IF('Components Yr 1'!F327=0,0,'Components Yr 1'!F327)</f>
        <v>0</v>
      </c>
      <c r="G327" s="17">
        <f>IF('Components Yr 1'!G327=0,0,'Components Yr 1'!G327)</f>
        <v>0</v>
      </c>
      <c r="H327" s="17">
        <f>IF('Components Yr 1'!H327=0,0,'Components Yr 1'!H327)</f>
        <v>0</v>
      </c>
      <c r="I327" s="17">
        <f>IF('Components Yr 1'!I327=0,0,'Components Yr 1'!I327)</f>
        <v>0</v>
      </c>
      <c r="J327" s="17">
        <f>IF('Components Yr 1'!J327=0,0,'Components Yr 1'!J327)</f>
        <v>0</v>
      </c>
      <c r="K327" s="12"/>
      <c r="L327" s="12"/>
      <c r="M327" s="12"/>
      <c r="N327" s="12"/>
      <c r="O327" s="12"/>
      <c r="P327" s="12"/>
      <c r="Q327" s="17"/>
      <c r="R327" s="18">
        <f>IF(SUMPRODUCT((E327:Q327)*1)=0,0,E327*INDEX(Hours!M:M,MATCH(C327,Hours!$A:$A,0))+F327*INDEX(Hours!B:B,MATCH(C327,Hours!$A:$A,0))+G327*INDEX(Hours!C:C,MATCH(C327,Hours!$A:$A,0))+H327*INDEX(Hours!D:D,MATCH(C327,Hours!$A:$A,0))+I327*INDEX(Hours!E:E,MATCH(C327,Hours!$A:$A,0))+J327*INDEX(Hours!F:F,MATCH(C327,Hours!$A:$A,0)))</f>
        <v>0</v>
      </c>
      <c r="S327" s="19">
        <f t="shared" si="11"/>
        <v>0</v>
      </c>
    </row>
    <row r="328" spans="1:19" x14ac:dyDescent="0.25">
      <c r="A328" s="11" t="str">
        <f>'Bldgs &amp; Rooms'!$A$10</f>
        <v>Main Bldg.</v>
      </c>
      <c r="B328" s="11">
        <f>'Bldgs &amp; Rooms'!$B$10</f>
        <v>0</v>
      </c>
      <c r="C328" s="10" t="str">
        <f>Hours!$A$32</f>
        <v>Motors 51-200 HP</v>
      </c>
      <c r="D328" s="11">
        <f t="shared" si="10"/>
        <v>0</v>
      </c>
      <c r="E328" s="16">
        <f>IF('Components Yr 1'!E328=0,0,'Components Yr 1'!E328)</f>
        <v>0</v>
      </c>
      <c r="F328" s="17">
        <f>IF('Components Yr 1'!F328=0,0,'Components Yr 1'!F328)</f>
        <v>0</v>
      </c>
      <c r="G328" s="17">
        <f>IF('Components Yr 1'!G328=0,0,'Components Yr 1'!G328)</f>
        <v>0</v>
      </c>
      <c r="H328" s="17">
        <f>IF('Components Yr 1'!H328=0,0,'Components Yr 1'!H328)</f>
        <v>0</v>
      </c>
      <c r="I328" s="17">
        <f>IF('Components Yr 1'!I328=0,0,'Components Yr 1'!I328)</f>
        <v>0</v>
      </c>
      <c r="J328" s="17">
        <f>IF('Components Yr 1'!J328=0,0,'Components Yr 1'!J328)</f>
        <v>0</v>
      </c>
      <c r="K328" s="12"/>
      <c r="L328" s="12"/>
      <c r="M328" s="12"/>
      <c r="N328" s="12"/>
      <c r="O328" s="12"/>
      <c r="P328" s="12"/>
      <c r="Q328" s="17"/>
      <c r="R328" s="18">
        <f>IF(SUMPRODUCT((E328:Q328)*1)=0,0,E328*INDEX(Hours!M:M,MATCH(C328,Hours!$A:$A,0))+F328*INDEX(Hours!B:B,MATCH(C328,Hours!$A:$A,0))+G328*INDEX(Hours!C:C,MATCH(C328,Hours!$A:$A,0))+H328*INDEX(Hours!D:D,MATCH(C328,Hours!$A:$A,0))+I328*INDEX(Hours!E:E,MATCH(C328,Hours!$A:$A,0))+J328*INDEX(Hours!F:F,MATCH(C328,Hours!$A:$A,0)))</f>
        <v>0</v>
      </c>
      <c r="S328" s="19">
        <f t="shared" si="11"/>
        <v>0</v>
      </c>
    </row>
    <row r="329" spans="1:19" x14ac:dyDescent="0.25">
      <c r="A329" s="11" t="str">
        <f>'Bldgs &amp; Rooms'!$A$10</f>
        <v>Main Bldg.</v>
      </c>
      <c r="B329" s="11">
        <f>'Bldgs &amp; Rooms'!$B$10</f>
        <v>0</v>
      </c>
      <c r="C329" s="10" t="str">
        <f>Hours!$A$33</f>
        <v>Motors 201-500 HP</v>
      </c>
      <c r="D329" s="11">
        <f t="shared" si="10"/>
        <v>0</v>
      </c>
      <c r="E329" s="16">
        <f>IF('Components Yr 1'!E329=0,0,'Components Yr 1'!E329)</f>
        <v>0</v>
      </c>
      <c r="F329" s="17">
        <f>IF('Components Yr 1'!F329=0,0,'Components Yr 1'!F329)</f>
        <v>0</v>
      </c>
      <c r="G329" s="17">
        <f>IF('Components Yr 1'!G329=0,0,'Components Yr 1'!G329)</f>
        <v>0</v>
      </c>
      <c r="H329" s="17">
        <f>IF('Components Yr 1'!H329=0,0,'Components Yr 1'!H329)</f>
        <v>0</v>
      </c>
      <c r="I329" s="17">
        <f>IF('Components Yr 1'!I329=0,0,'Components Yr 1'!I329)</f>
        <v>0</v>
      </c>
      <c r="J329" s="17">
        <f>IF('Components Yr 1'!J329=0,0,'Components Yr 1'!J329)</f>
        <v>0</v>
      </c>
      <c r="K329" s="12"/>
      <c r="L329" s="12"/>
      <c r="M329" s="12"/>
      <c r="N329" s="12"/>
      <c r="O329" s="12"/>
      <c r="P329" s="12"/>
      <c r="Q329" s="17"/>
      <c r="R329" s="18">
        <f>IF(SUMPRODUCT((E329:Q329)*1)=0,0,E329*INDEX(Hours!M:M,MATCH(C329,Hours!$A:$A,0))+F329*INDEX(Hours!B:B,MATCH(C329,Hours!$A:$A,0))+G329*INDEX(Hours!C:C,MATCH(C329,Hours!$A:$A,0))+H329*INDEX(Hours!D:D,MATCH(C329,Hours!$A:$A,0))+I329*INDEX(Hours!E:E,MATCH(C329,Hours!$A:$A,0))+J329*INDEX(Hours!F:F,MATCH(C329,Hours!$A:$A,0)))</f>
        <v>0</v>
      </c>
      <c r="S329" s="19">
        <f t="shared" si="11"/>
        <v>0</v>
      </c>
    </row>
    <row r="330" spans="1:19" x14ac:dyDescent="0.25">
      <c r="A330" s="11" t="str">
        <f>'Bldgs &amp; Rooms'!$A$10</f>
        <v>Main Bldg.</v>
      </c>
      <c r="B330" s="11">
        <f>'Bldgs &amp; Rooms'!$B$10</f>
        <v>0</v>
      </c>
      <c r="C330" s="10" t="str">
        <f>Hours!$A$34</f>
        <v>Compressed Air Equipment</v>
      </c>
      <c r="D330" s="11">
        <f t="shared" si="10"/>
        <v>0</v>
      </c>
      <c r="E330" s="16">
        <f>IF('Components Yr 1'!E330=0,0,'Components Yr 1'!E330)</f>
        <v>0</v>
      </c>
      <c r="F330" s="17">
        <f>IF('Components Yr 1'!F330=0,0,'Components Yr 1'!F330)</f>
        <v>0</v>
      </c>
      <c r="G330" s="17">
        <f>IF('Components Yr 1'!G330=0,0,'Components Yr 1'!G330)</f>
        <v>0</v>
      </c>
      <c r="H330" s="17">
        <f>IF('Components Yr 1'!H330=0,0,'Components Yr 1'!H330)</f>
        <v>0</v>
      </c>
      <c r="I330" s="17">
        <f>IF('Components Yr 1'!I330=0,0,'Components Yr 1'!I330)</f>
        <v>0</v>
      </c>
      <c r="J330" s="17">
        <f>IF('Components Yr 1'!J330=0,0,'Components Yr 1'!J330)</f>
        <v>0</v>
      </c>
      <c r="K330" s="12"/>
      <c r="L330" s="12"/>
      <c r="M330" s="12"/>
      <c r="N330" s="12"/>
      <c r="O330" s="12"/>
      <c r="P330" s="12"/>
      <c r="Q330" s="17"/>
      <c r="R330" s="18">
        <f>IF(SUMPRODUCT((E330:Q330)*1)=0,0,E330*INDEX(Hours!M:M,MATCH(C330,Hours!$A:$A,0))+F330*INDEX(Hours!B:B,MATCH(C330,Hours!$A:$A,0))+G330*INDEX(Hours!C:C,MATCH(C330,Hours!$A:$A,0))+H330*INDEX(Hours!D:D,MATCH(C330,Hours!$A:$A,0))+I330*INDEX(Hours!E:E,MATCH(C330,Hours!$A:$A,0))+J330*INDEX(Hours!F:F,MATCH(C330,Hours!$A:$A,0)))</f>
        <v>0</v>
      </c>
      <c r="S330" s="19">
        <f t="shared" si="11"/>
        <v>0</v>
      </c>
    </row>
    <row r="331" spans="1:19" x14ac:dyDescent="0.25">
      <c r="A331" s="11" t="str">
        <f>'Bldgs &amp; Rooms'!$A$10</f>
        <v>Main Bldg.</v>
      </c>
      <c r="B331" s="11">
        <f>'Bldgs &amp; Rooms'!$B$10</f>
        <v>0</v>
      </c>
      <c r="C331" s="10" t="str">
        <f>Hours!$A$35</f>
        <v>HVAC Equipment (Large)</v>
      </c>
      <c r="D331" s="11">
        <f t="shared" si="10"/>
        <v>0</v>
      </c>
      <c r="E331" s="16">
        <f>IF('Components Yr 1'!E331=0,0,'Components Yr 1'!E331)</f>
        <v>0</v>
      </c>
      <c r="F331" s="17">
        <f>IF('Components Yr 1'!F331=0,0,'Components Yr 1'!F331)</f>
        <v>0</v>
      </c>
      <c r="G331" s="17">
        <f>IF('Components Yr 1'!G331=0,0,'Components Yr 1'!G331)</f>
        <v>0</v>
      </c>
      <c r="H331" s="17">
        <f>IF('Components Yr 1'!H331=0,0,'Components Yr 1'!H331)</f>
        <v>0</v>
      </c>
      <c r="I331" s="17">
        <f>IF('Components Yr 1'!I331=0,0,'Components Yr 1'!I331)</f>
        <v>0</v>
      </c>
      <c r="J331" s="17">
        <f>IF('Components Yr 1'!J331=0,0,'Components Yr 1'!J331)</f>
        <v>0</v>
      </c>
      <c r="K331" s="12"/>
      <c r="L331" s="12"/>
      <c r="M331" s="12"/>
      <c r="N331" s="12"/>
      <c r="O331" s="12"/>
      <c r="P331" s="12"/>
      <c r="Q331" s="17"/>
      <c r="R331" s="18">
        <f>IF(SUMPRODUCT((E331:Q331)*1)=0,0,E331*INDEX(Hours!M:M,MATCH(C331,Hours!$A:$A,0))+F331*INDEX(Hours!B:B,MATCH(C331,Hours!$A:$A,0))+G331*INDEX(Hours!C:C,MATCH(C331,Hours!$A:$A,0))+H331*INDEX(Hours!D:D,MATCH(C331,Hours!$A:$A,0))+I331*INDEX(Hours!E:E,MATCH(C331,Hours!$A:$A,0))+J331*INDEX(Hours!F:F,MATCH(C331,Hours!$A:$A,0)))</f>
        <v>0</v>
      </c>
      <c r="S331" s="19">
        <f t="shared" si="11"/>
        <v>0</v>
      </c>
    </row>
    <row r="332" spans="1:19" x14ac:dyDescent="0.25">
      <c r="A332" s="11" t="str">
        <f>'Bldgs &amp; Rooms'!$A$10</f>
        <v>Main Bldg.</v>
      </c>
      <c r="B332" s="11">
        <f>'Bldgs &amp; Rooms'!$B$10</f>
        <v>0</v>
      </c>
      <c r="C332" s="10" t="str">
        <f>Hours!$A$36</f>
        <v>HVAC Equipment (Small)</v>
      </c>
      <c r="D332" s="11">
        <f t="shared" si="10"/>
        <v>0</v>
      </c>
      <c r="E332" s="16">
        <f>IF('Components Yr 1'!E332=0,0,'Components Yr 1'!E332)</f>
        <v>0</v>
      </c>
      <c r="F332" s="17">
        <f>IF('Components Yr 1'!F332=0,0,'Components Yr 1'!F332)</f>
        <v>0</v>
      </c>
      <c r="G332" s="17">
        <f>IF('Components Yr 1'!G332=0,0,'Components Yr 1'!G332)</f>
        <v>0</v>
      </c>
      <c r="H332" s="17">
        <f>IF('Components Yr 1'!H332=0,0,'Components Yr 1'!H332)</f>
        <v>0</v>
      </c>
      <c r="I332" s="17">
        <f>IF('Components Yr 1'!I332=0,0,'Components Yr 1'!I332)</f>
        <v>0</v>
      </c>
      <c r="J332" s="17">
        <f>IF('Components Yr 1'!J332=0,0,'Components Yr 1'!J332)</f>
        <v>0</v>
      </c>
      <c r="K332" s="12"/>
      <c r="L332" s="12"/>
      <c r="M332" s="12"/>
      <c r="N332" s="12"/>
      <c r="O332" s="12"/>
      <c r="P332" s="12"/>
      <c r="Q332" s="17"/>
      <c r="R332" s="18">
        <f>IF(SUMPRODUCT((E332:Q332)*1)=0,0,E332*INDEX(Hours!M:M,MATCH(C332,Hours!$A:$A,0))+F332*INDEX(Hours!B:B,MATCH(C332,Hours!$A:$A,0))+G332*INDEX(Hours!C:C,MATCH(C332,Hours!$A:$A,0))+H332*INDEX(Hours!D:D,MATCH(C332,Hours!$A:$A,0))+I332*INDEX(Hours!E:E,MATCH(C332,Hours!$A:$A,0))+J332*INDEX(Hours!F:F,MATCH(C332,Hours!$A:$A,0)))</f>
        <v>0</v>
      </c>
      <c r="S332" s="19">
        <f t="shared" si="11"/>
        <v>0</v>
      </c>
    </row>
    <row r="333" spans="1:19" x14ac:dyDescent="0.25">
      <c r="A333" s="11" t="str">
        <f>'Bldgs &amp; Rooms'!$A$10</f>
        <v>Main Bldg.</v>
      </c>
      <c r="B333" s="11">
        <f>'Bldgs &amp; Rooms'!$B$10</f>
        <v>0</v>
      </c>
      <c r="C333" s="10" t="str">
        <f>Hours!$A$37</f>
        <v>Uninterruptible Power Supply (UPS) &lt; 50kVA</v>
      </c>
      <c r="D333" s="11">
        <f t="shared" si="10"/>
        <v>0</v>
      </c>
      <c r="E333" s="16">
        <f>IF('Components Yr 1'!E333=0,0,'Components Yr 1'!E333)</f>
        <v>0</v>
      </c>
      <c r="F333" s="17">
        <f>IF('Components Yr 1'!F333=0,0,'Components Yr 1'!F333)</f>
        <v>0</v>
      </c>
      <c r="G333" s="17">
        <f>IF('Components Yr 1'!G333=0,0,'Components Yr 1'!G333)</f>
        <v>0</v>
      </c>
      <c r="H333" s="17">
        <f>IF('Components Yr 1'!H333=0,0,'Components Yr 1'!H333)</f>
        <v>0</v>
      </c>
      <c r="I333" s="17">
        <f>IF('Components Yr 1'!I333=0,0,'Components Yr 1'!I333)</f>
        <v>0</v>
      </c>
      <c r="J333" s="17">
        <f>IF('Components Yr 1'!J333=0,0,'Components Yr 1'!J333)</f>
        <v>0</v>
      </c>
      <c r="K333" s="12"/>
      <c r="L333" s="12"/>
      <c r="M333" s="12"/>
      <c r="N333" s="12"/>
      <c r="O333" s="12"/>
      <c r="P333" s="12"/>
      <c r="Q333" s="17"/>
      <c r="R333" s="18">
        <f>IF(SUMPRODUCT((E333:Q333)*1)=0,0,E333*INDEX(Hours!M:M,MATCH(C333,Hours!$A:$A,0))+F333*INDEX(Hours!B:B,MATCH(C333,Hours!$A:$A,0))+G333*INDEX(Hours!C:C,MATCH(C333,Hours!$A:$A,0))+H333*INDEX(Hours!D:D,MATCH(C333,Hours!$A:$A,0))+I333*INDEX(Hours!E:E,MATCH(C333,Hours!$A:$A,0))+J333*INDEX(Hours!F:F,MATCH(C333,Hours!$A:$A,0)))</f>
        <v>0</v>
      </c>
      <c r="S333" s="19">
        <f t="shared" si="11"/>
        <v>0</v>
      </c>
    </row>
    <row r="334" spans="1:19" x14ac:dyDescent="0.25">
      <c r="A334" s="11" t="str">
        <f>'Bldgs &amp; Rooms'!$A$10</f>
        <v>Main Bldg.</v>
      </c>
      <c r="B334" s="11">
        <f>'Bldgs &amp; Rooms'!$B$10</f>
        <v>0</v>
      </c>
      <c r="C334" s="10" t="str">
        <f>Hours!$A$38</f>
        <v>Uninterruptible Power Supply (UPS) &gt; 50kVA</v>
      </c>
      <c r="D334" s="11">
        <f t="shared" si="10"/>
        <v>0</v>
      </c>
      <c r="E334" s="16">
        <f>IF('Components Yr 1'!E334=0,0,'Components Yr 1'!E334)</f>
        <v>0</v>
      </c>
      <c r="F334" s="17">
        <f>IF('Components Yr 1'!F334=0,0,'Components Yr 1'!F334)</f>
        <v>0</v>
      </c>
      <c r="G334" s="17">
        <f>IF('Components Yr 1'!G334=0,0,'Components Yr 1'!G334)</f>
        <v>0</v>
      </c>
      <c r="H334" s="17">
        <f>IF('Components Yr 1'!H334=0,0,'Components Yr 1'!H334)</f>
        <v>0</v>
      </c>
      <c r="I334" s="17">
        <f>IF('Components Yr 1'!I334=0,0,'Components Yr 1'!I334)</f>
        <v>0</v>
      </c>
      <c r="J334" s="17">
        <f>IF('Components Yr 1'!J334=0,0,'Components Yr 1'!J334)</f>
        <v>0</v>
      </c>
      <c r="K334" s="12"/>
      <c r="L334" s="12"/>
      <c r="M334" s="12"/>
      <c r="N334" s="12"/>
      <c r="O334" s="12"/>
      <c r="P334" s="12"/>
      <c r="Q334" s="17"/>
      <c r="R334" s="18">
        <f>IF(SUMPRODUCT((E334:Q334)*1)=0,0,E334*INDEX(Hours!M:M,MATCH(C334,Hours!$A:$A,0))+F334*INDEX(Hours!B:B,MATCH(C334,Hours!$A:$A,0))+G334*INDEX(Hours!C:C,MATCH(C334,Hours!$A:$A,0))+H334*INDEX(Hours!D:D,MATCH(C334,Hours!$A:$A,0))+I334*INDEX(Hours!E:E,MATCH(C334,Hours!$A:$A,0))+J334*INDEX(Hours!F:F,MATCH(C334,Hours!$A:$A,0)))</f>
        <v>0</v>
      </c>
      <c r="S334" s="19">
        <f t="shared" si="11"/>
        <v>0</v>
      </c>
    </row>
    <row r="335" spans="1:19" x14ac:dyDescent="0.25">
      <c r="A335" s="15" t="str">
        <f>'Bldgs &amp; Rooms'!$A$11</f>
        <v>Main Bldg.</v>
      </c>
      <c r="B335" s="15">
        <f>'Bldgs &amp; Rooms'!$B$11</f>
        <v>0</v>
      </c>
      <c r="C335" s="14" t="str">
        <f>Hours!$A$2</f>
        <v>Switchgear - Incoming Main Service (Per Section)</v>
      </c>
      <c r="D335" s="15">
        <f t="shared" si="10"/>
        <v>0</v>
      </c>
      <c r="E335" s="16">
        <f>IF('Components Yr 1'!E335=0,0,'Components Yr 1'!E335)</f>
        <v>0</v>
      </c>
      <c r="F335" s="17">
        <f>IF('Components Yr 1'!F335=0,0,'Components Yr 1'!F335)</f>
        <v>0</v>
      </c>
      <c r="G335" s="17">
        <f>IF('Components Yr 1'!G335=0,0,'Components Yr 1'!G335)</f>
        <v>0</v>
      </c>
      <c r="H335" s="17">
        <f>IF('Components Yr 1'!H335=0,0,'Components Yr 1'!H335)</f>
        <v>0</v>
      </c>
      <c r="I335" s="17">
        <f>IF('Components Yr 1'!I335=0,0,'Components Yr 1'!I335)</f>
        <v>0</v>
      </c>
      <c r="J335" s="17">
        <f>IF('Components Yr 1'!J335=0,0,'Components Yr 1'!J335)</f>
        <v>0</v>
      </c>
      <c r="K335" s="17">
        <f>IF('Components Yr 1'!K335=0,0,'Components Yr 1'!K335)</f>
        <v>0</v>
      </c>
      <c r="L335" s="17">
        <f>IF('Components Yr 1'!L335=0,0,'Components Yr 1'!L335)</f>
        <v>0</v>
      </c>
      <c r="M335" s="12"/>
      <c r="N335" s="12"/>
      <c r="O335" s="17">
        <f>IF('Components Yr 1'!O335=0,0,'Components Yr 1'!O335)</f>
        <v>0</v>
      </c>
      <c r="P335" s="12"/>
      <c r="Q335" s="17"/>
      <c r="R335" s="18">
        <f>IF(SUMPRODUCT((E335:Q335)*1)=0,0,E335*INDEX(Hours!M:M,MATCH(C335,Hours!$A:$A,0))+F335*INDEX(Hours!B:B,MATCH(C335,Hours!$A:$A,0))+G335*INDEX(Hours!C:C,MATCH(C335,Hours!$A:$A,0))+H335*INDEX(Hours!D:D,MATCH(C335,Hours!$A:$A,0))+I335*INDEX(Hours!E:E,MATCH(C335,Hours!$A:$A,0))+J335*INDEX(Hours!F:F,MATCH(C335,Hours!$A:$A,0))+K335*INDEX(Hours!G:G,MATCH(C335,Hours!$A:$A,0))+L335*INDEX(Hours!H:H,MATCH(C335,Hours!$A:$A,0))+O335*INDEX(Hours!K:K,MATCH(C335,Hours!$A:$A,0)))</f>
        <v>0</v>
      </c>
      <c r="S335" s="19">
        <f t="shared" si="11"/>
        <v>0</v>
      </c>
    </row>
    <row r="336" spans="1:19" x14ac:dyDescent="0.25">
      <c r="A336" s="15" t="str">
        <f>'Bldgs &amp; Rooms'!$A$11</f>
        <v>Main Bldg.</v>
      </c>
      <c r="B336" s="15">
        <f>'Bldgs &amp; Rooms'!$B$11</f>
        <v>0</v>
      </c>
      <c r="C336" s="14" t="str">
        <f>Hours!$A$3</f>
        <v xml:space="preserve">  Switchgear Insulated Case Breakers (Bus Mounted)</v>
      </c>
      <c r="D336" s="15">
        <f t="shared" si="10"/>
        <v>0</v>
      </c>
      <c r="E336" s="16">
        <f>IF('Components Yr 1'!E336=0,0,'Components Yr 1'!E336)</f>
        <v>0</v>
      </c>
      <c r="F336" s="17">
        <f>IF('Components Yr 1'!F336=0,0,'Components Yr 1'!F336)</f>
        <v>0</v>
      </c>
      <c r="G336" s="17">
        <f>IF('Components Yr 1'!G336=0,0,'Components Yr 1'!G336)</f>
        <v>0</v>
      </c>
      <c r="H336" s="17">
        <f>IF('Components Yr 1'!H336=0,0,'Components Yr 1'!H336)</f>
        <v>0</v>
      </c>
      <c r="I336" s="17">
        <f>IF('Components Yr 1'!I336=0,0,'Components Yr 1'!I336)</f>
        <v>0</v>
      </c>
      <c r="J336" s="17">
        <f>IF('Components Yr 1'!J336=0,0,'Components Yr 1'!J336)</f>
        <v>0</v>
      </c>
      <c r="K336" s="17">
        <f>IF('Components Yr 1'!K336=0,0,'Components Yr 1'!K336)</f>
        <v>0</v>
      </c>
      <c r="L336" s="12"/>
      <c r="M336" s="12"/>
      <c r="N336" s="12"/>
      <c r="O336" s="12"/>
      <c r="P336" s="12"/>
      <c r="Q336" s="17"/>
      <c r="R336" s="18">
        <f>IF(SUMPRODUCT((E336:Q336)*1)=0,0,E336*INDEX(Hours!M:M,MATCH(C336,Hours!$A:$A,0))+F336*INDEX(Hours!B:B,MATCH(C336,Hours!$A:$A,0))+G336*INDEX(Hours!C:C,MATCH(C336,Hours!$A:$A,0))+H336*INDEX(Hours!D:D,MATCH(C336,Hours!$A:$A,0))+I336*INDEX(Hours!E:E,MATCH(C336,Hours!$A:$A,0))+J336*INDEX(Hours!F:F,MATCH(C336,Hours!$A:$A,0))+K336*INDEX(Hours!G:G,MATCH(C336,Hours!$A:$A,0)))</f>
        <v>0</v>
      </c>
      <c r="S336" s="19">
        <f t="shared" si="11"/>
        <v>0</v>
      </c>
    </row>
    <row r="337" spans="1:19" x14ac:dyDescent="0.25">
      <c r="A337" s="15" t="str">
        <f>'Bldgs &amp; Rooms'!$A$11</f>
        <v>Main Bldg.</v>
      </c>
      <c r="B337" s="15">
        <f>'Bldgs &amp; Rooms'!$B$11</f>
        <v>0</v>
      </c>
      <c r="C337" s="14" t="str">
        <f>Hours!$A$4</f>
        <v xml:space="preserve">  SwitchGear Drawout Breakers</v>
      </c>
      <c r="D337" s="15">
        <f t="shared" si="10"/>
        <v>0</v>
      </c>
      <c r="E337" s="16">
        <f>IF('Components Yr 1'!E337=0,0,'Components Yr 1'!E337)</f>
        <v>0</v>
      </c>
      <c r="F337" s="17">
        <f>IF('Components Yr 1'!F337=0,0,'Components Yr 1'!F337)</f>
        <v>0</v>
      </c>
      <c r="G337" s="17">
        <f>IF('Components Yr 1'!G337=0,0,'Components Yr 1'!G337)</f>
        <v>0</v>
      </c>
      <c r="H337" s="17">
        <f>IF('Components Yr 1'!H337=0,0,'Components Yr 1'!H337)</f>
        <v>0</v>
      </c>
      <c r="I337" s="17">
        <f>IF('Components Yr 1'!I337=0,0,'Components Yr 1'!I337)</f>
        <v>0</v>
      </c>
      <c r="J337" s="17">
        <f>IF('Components Yr 1'!J337=0,0,'Components Yr 1'!J337)</f>
        <v>0</v>
      </c>
      <c r="K337" s="12"/>
      <c r="L337" s="17">
        <f>IF('Components Yr 1'!L337=0,0,'Components Yr 1'!L337)</f>
        <v>0</v>
      </c>
      <c r="M337" s="12"/>
      <c r="N337" s="12"/>
      <c r="O337" s="12"/>
      <c r="P337" s="12"/>
      <c r="Q337" s="17"/>
      <c r="R337" s="18">
        <f>IF(SUMPRODUCT((E337:Q337)*1)=0,0,E337*INDEX(Hours!M:M,MATCH(C337,Hours!$A:$A,0))+F337*INDEX(Hours!B:B,MATCH(C337,Hours!$A:$A,0))+G337*INDEX(Hours!C:C,MATCH(C337,Hours!$A:$A,0))+H337*INDEX(Hours!D:D,MATCH(C337,Hours!$A:$A,0))+I337*INDEX(Hours!E:E,MATCH(C337,Hours!$A:$A,0))+J337*INDEX(Hours!F:F,MATCH(C337,Hours!$A:$A,0))+L337*INDEX(Hours!H:H,MATCH(C337,Hours!$A:$A,0)))</f>
        <v>0</v>
      </c>
      <c r="S337" s="19">
        <f t="shared" si="11"/>
        <v>0</v>
      </c>
    </row>
    <row r="338" spans="1:19" x14ac:dyDescent="0.25">
      <c r="A338" s="15" t="str">
        <f>'Bldgs &amp; Rooms'!$A$11</f>
        <v>Main Bldg.</v>
      </c>
      <c r="B338" s="15">
        <f>'Bldgs &amp; Rooms'!$B$11</f>
        <v>0</v>
      </c>
      <c r="C338" s="14" t="str">
        <f>Hours!$A$5</f>
        <v>Distribution Switchboard Multi Cover (Per Section)</v>
      </c>
      <c r="D338" s="15">
        <f t="shared" si="10"/>
        <v>0</v>
      </c>
      <c r="E338" s="16">
        <f>IF('Components Yr 1'!E338=0,0,'Components Yr 1'!E338)</f>
        <v>0</v>
      </c>
      <c r="F338" s="17">
        <f>IF('Components Yr 1'!F338=0,0,'Components Yr 1'!F338)</f>
        <v>0</v>
      </c>
      <c r="G338" s="17">
        <f>IF('Components Yr 1'!G338=0,0,'Components Yr 1'!G338)</f>
        <v>0</v>
      </c>
      <c r="H338" s="17">
        <f>IF('Components Yr 1'!H338=0,0,'Components Yr 1'!H338)</f>
        <v>0</v>
      </c>
      <c r="I338" s="17">
        <f>IF('Components Yr 1'!I338=0,0,'Components Yr 1'!I338)</f>
        <v>0</v>
      </c>
      <c r="J338" s="17">
        <f>IF('Components Yr 1'!J338=0,0,'Components Yr 1'!J338)</f>
        <v>0</v>
      </c>
      <c r="K338" s="17">
        <f>IF('Components Yr 1'!K338=0,0,'Components Yr 1'!K338)</f>
        <v>0</v>
      </c>
      <c r="L338" s="12"/>
      <c r="M338" s="12"/>
      <c r="N338" s="12"/>
      <c r="O338" s="17">
        <f>IF('Components Yr 1'!O338=0,0,'Components Yr 1'!O338)</f>
        <v>0</v>
      </c>
      <c r="P338" s="12"/>
      <c r="Q338" s="17"/>
      <c r="R338" s="18">
        <f>IF(SUMPRODUCT((E338:Q338)*1)=0,0,E338*INDEX(Hours!M:M,MATCH(C338,Hours!$A:$A,0))+F338*INDEX(Hours!B:B,MATCH(C338,Hours!$A:$A,0))+G338*INDEX(Hours!C:C,MATCH(C338,Hours!$A:$A,0))+H338*INDEX(Hours!D:D,MATCH(C338,Hours!$A:$A,0))+I338*INDEX(Hours!E:E,MATCH(C338,Hours!$A:$A,0))+J338*INDEX(Hours!F:F,MATCH(C338,Hours!$A:$A,0))+K338*INDEX(Hours!G:G,MATCH(C338,Hours!$A:$A,0))+O338*INDEX(Hours!K:K,MATCH(C338,Hours!$A:$A,0)))</f>
        <v>0</v>
      </c>
      <c r="S338" s="19">
        <f t="shared" si="11"/>
        <v>0</v>
      </c>
    </row>
    <row r="339" spans="1:19" x14ac:dyDescent="0.25">
      <c r="A339" s="15" t="str">
        <f>'Bldgs &amp; Rooms'!$A$11</f>
        <v>Main Bldg.</v>
      </c>
      <c r="B339" s="15">
        <f>'Bldgs &amp; Rooms'!$B$11</f>
        <v>0</v>
      </c>
      <c r="C339" s="14" t="str">
        <f>Hours!$A$6</f>
        <v xml:space="preserve">  Switchboard Disconnects</v>
      </c>
      <c r="D339" s="15">
        <f t="shared" si="10"/>
        <v>0</v>
      </c>
      <c r="E339" s="16">
        <f>IF('Components Yr 1'!E339=0,0,'Components Yr 1'!E339)</f>
        <v>0</v>
      </c>
      <c r="F339" s="17">
        <f>IF('Components Yr 1'!F339=0,0,'Components Yr 1'!F339)</f>
        <v>0</v>
      </c>
      <c r="G339" s="17">
        <f>IF('Components Yr 1'!G339=0,0,'Components Yr 1'!G339)</f>
        <v>0</v>
      </c>
      <c r="H339" s="17">
        <f>IF('Components Yr 1'!H339=0,0,'Components Yr 1'!H339)</f>
        <v>0</v>
      </c>
      <c r="I339" s="17">
        <f>IF('Components Yr 1'!I339=0,0,'Components Yr 1'!I339)</f>
        <v>0</v>
      </c>
      <c r="J339" s="17">
        <f>IF('Components Yr 1'!J339=0,0,'Components Yr 1'!J339)</f>
        <v>0</v>
      </c>
      <c r="K339" s="12"/>
      <c r="L339" s="12"/>
      <c r="M339" s="12"/>
      <c r="N339" s="12"/>
      <c r="O339" s="12"/>
      <c r="P339" s="12"/>
      <c r="Q339" s="17"/>
      <c r="R339" s="18">
        <f>IF(SUMPRODUCT((E339:Q339)*1)=0,0,E339*INDEX(Hours!M:M,MATCH(C339,Hours!$A:$A,0))+F339*INDEX(Hours!B:B,MATCH(C339,Hours!$A:$A,0))+G339*INDEX(Hours!C:C,MATCH(C339,Hours!$A:$A,0))+H339*INDEX(Hours!D:D,MATCH(C339,Hours!$A:$A,0))+I339*INDEX(Hours!E:E,MATCH(C339,Hours!$A:$A,0))+J339*INDEX(Hours!F:F,MATCH(C339,Hours!$A:$A,0)))</f>
        <v>0</v>
      </c>
      <c r="S339" s="19">
        <f t="shared" si="11"/>
        <v>0</v>
      </c>
    </row>
    <row r="340" spans="1:19" x14ac:dyDescent="0.25">
      <c r="A340" s="15" t="str">
        <f>'Bldgs &amp; Rooms'!$A$11</f>
        <v>Main Bldg.</v>
      </c>
      <c r="B340" s="15">
        <f>'Bldgs &amp; Rooms'!$B$11</f>
        <v>0</v>
      </c>
      <c r="C340" s="14" t="str">
        <f>Hours!$A$7</f>
        <v xml:space="preserve">  Switchboard Molded Case Breakers</v>
      </c>
      <c r="D340" s="15">
        <f t="shared" si="10"/>
        <v>0</v>
      </c>
      <c r="E340" s="16">
        <f>IF('Components Yr 1'!E340=0,0,'Components Yr 1'!E340)</f>
        <v>0</v>
      </c>
      <c r="F340" s="17">
        <f>IF('Components Yr 1'!F340=0,0,'Components Yr 1'!F340)</f>
        <v>0</v>
      </c>
      <c r="G340" s="17">
        <f>IF('Components Yr 1'!G340=0,0,'Components Yr 1'!G340)</f>
        <v>0</v>
      </c>
      <c r="H340" s="17">
        <f>IF('Components Yr 1'!H340=0,0,'Components Yr 1'!H340)</f>
        <v>0</v>
      </c>
      <c r="I340" s="17">
        <f>IF('Components Yr 1'!I340=0,0,'Components Yr 1'!I340)</f>
        <v>0</v>
      </c>
      <c r="J340" s="17">
        <f>IF('Components Yr 1'!J340=0,0,'Components Yr 1'!J340)</f>
        <v>0</v>
      </c>
      <c r="K340" s="17">
        <f>IF('Components Yr 1'!K340=0,0,'Components Yr 1'!K340)</f>
        <v>0</v>
      </c>
      <c r="L340" s="12"/>
      <c r="M340" s="12"/>
      <c r="N340" s="12"/>
      <c r="O340" s="12"/>
      <c r="P340" s="12"/>
      <c r="Q340" s="17"/>
      <c r="R340" s="18">
        <f>IF(SUMPRODUCT((E340:Q340)*1)=0,0,E340*INDEX(Hours!M:M,MATCH(C340,Hours!$A:$A,0))+F340*INDEX(Hours!B:B,MATCH(C340,Hours!$A:$A,0))+G340*INDEX(Hours!C:C,MATCH(C340,Hours!$A:$A,0))+H340*INDEX(Hours!D:D,MATCH(C340,Hours!$A:$A,0))+I340*INDEX(Hours!E:E,MATCH(C340,Hours!$A:$A,0))+J340*INDEX(Hours!F:F,MATCH(C340,Hours!$A:$A,0))+K340*INDEX(Hours!G:G,MATCH(C340,Hours!$A:$A,0)))</f>
        <v>0</v>
      </c>
      <c r="S340" s="19">
        <f t="shared" si="11"/>
        <v>0</v>
      </c>
    </row>
    <row r="341" spans="1:19" x14ac:dyDescent="0.25">
      <c r="A341" s="15" t="str">
        <f>'Bldgs &amp; Rooms'!$A$11</f>
        <v>Main Bldg.</v>
      </c>
      <c r="B341" s="15">
        <f>'Bldgs &amp; Rooms'!$B$11</f>
        <v>0</v>
      </c>
      <c r="C341" s="14" t="str">
        <f>Hours!$A$8</f>
        <v>Panelboard-Single Cover &gt; 400A (Distribution Panel)</v>
      </c>
      <c r="D341" s="15">
        <f t="shared" si="10"/>
        <v>0</v>
      </c>
      <c r="E341" s="16">
        <f>IF('Components Yr 1'!E341=0,0,'Components Yr 1'!E341)</f>
        <v>0</v>
      </c>
      <c r="F341" s="17">
        <f>IF('Components Yr 1'!F341=0,0,'Components Yr 1'!F341)</f>
        <v>0</v>
      </c>
      <c r="G341" s="17">
        <f>IF('Components Yr 1'!G341=0,0,'Components Yr 1'!G341)</f>
        <v>0</v>
      </c>
      <c r="H341" s="17">
        <f>IF('Components Yr 1'!H341=0,0,'Components Yr 1'!H341)</f>
        <v>0</v>
      </c>
      <c r="I341" s="17">
        <f>IF('Components Yr 1'!I341=0,0,'Components Yr 1'!I341)</f>
        <v>0</v>
      </c>
      <c r="J341" s="17">
        <f>IF('Components Yr 1'!J341=0,0,'Components Yr 1'!J341)</f>
        <v>0</v>
      </c>
      <c r="K341" s="17">
        <f>IF('Components Yr 1'!K341=0,0,'Components Yr 1'!K341)</f>
        <v>0</v>
      </c>
      <c r="L341" s="12"/>
      <c r="M341" s="12"/>
      <c r="N341" s="12"/>
      <c r="O341" s="17">
        <f>IF('Components Yr 1'!O341=0,0,'Components Yr 1'!O341)</f>
        <v>0</v>
      </c>
      <c r="P341" s="12"/>
      <c r="Q341" s="17"/>
      <c r="R341" s="18">
        <f>IF(SUMPRODUCT((E341:Q341)*1)=0,0,E341*INDEX(Hours!M:M,MATCH(C341,Hours!$A:$A,0))+F341*INDEX(Hours!B:B,MATCH(C341,Hours!$A:$A,0))+G341*INDEX(Hours!C:C,MATCH(C341,Hours!$A:$A,0))+H341*INDEX(Hours!D:D,MATCH(C341,Hours!$A:$A,0))+I341*INDEX(Hours!E:E,MATCH(C341,Hours!$A:$A,0))+J341*INDEX(Hours!F:F,MATCH(C341,Hours!$A:$A,0))+K341*INDEX(Hours!G:G,MATCH(C341,Hours!$A:$A,0))+O341*INDEX(Hours!K:K,MATCH(C341,Hours!$A:$A,0)))</f>
        <v>0</v>
      </c>
      <c r="S341" s="19">
        <f t="shared" si="11"/>
        <v>0</v>
      </c>
    </row>
    <row r="342" spans="1:19" x14ac:dyDescent="0.25">
      <c r="A342" s="15" t="str">
        <f>'Bldgs &amp; Rooms'!$A$11</f>
        <v>Main Bldg.</v>
      </c>
      <c r="B342" s="15">
        <f>'Bldgs &amp; Rooms'!$B$11</f>
        <v>0</v>
      </c>
      <c r="C342" s="14" t="str">
        <f>Hours!$A$9</f>
        <v>Panelboard-Single Cover &lt; 400A (Branch Ckt Panel)</v>
      </c>
      <c r="D342" s="15">
        <f t="shared" si="10"/>
        <v>0</v>
      </c>
      <c r="E342" s="16">
        <f>IF('Components Yr 1'!E342=0,0,'Components Yr 1'!E342)</f>
        <v>0</v>
      </c>
      <c r="F342" s="17">
        <f>IF('Components Yr 1'!F342=0,0,'Components Yr 1'!F342)</f>
        <v>0</v>
      </c>
      <c r="G342" s="17">
        <f>IF('Components Yr 1'!G342=0,0,'Components Yr 1'!G342)</f>
        <v>0</v>
      </c>
      <c r="H342" s="17">
        <f>IF('Components Yr 1'!H342=0,0,'Components Yr 1'!H342)</f>
        <v>0</v>
      </c>
      <c r="I342" s="17">
        <f>IF('Components Yr 1'!I342=0,0,'Components Yr 1'!I342)</f>
        <v>0</v>
      </c>
      <c r="J342" s="17">
        <f>IF('Components Yr 1'!J342=0,0,'Components Yr 1'!J342)</f>
        <v>0</v>
      </c>
      <c r="K342" s="12"/>
      <c r="L342" s="12"/>
      <c r="M342" s="12"/>
      <c r="N342" s="12"/>
      <c r="O342" s="17">
        <f>IF('Components Yr 1'!O342=0,0,'Components Yr 1'!O342)</f>
        <v>0</v>
      </c>
      <c r="P342" s="12"/>
      <c r="Q342" s="17"/>
      <c r="R342" s="18">
        <f>IF(SUMPRODUCT((E342:Q342)*1)=0,0,E342*INDEX(Hours!M:M,MATCH(C342,Hours!$A:$A,0))+F342*INDEX(Hours!B:B,MATCH(C342,Hours!$A:$A,0))+G342*INDEX(Hours!C:C,MATCH(C342,Hours!$A:$A,0))+H342*INDEX(Hours!D:D,MATCH(C342,Hours!$A:$A,0))+I342*INDEX(Hours!E:E,MATCH(C342,Hours!$A:$A,0))+J342*INDEX(Hours!F:F,MATCH(C342,Hours!$A:$A,0))+O342*INDEX(Hours!K:K,MATCH(C342,Hours!$A:$A,0)))</f>
        <v>0</v>
      </c>
      <c r="S342" s="19">
        <f t="shared" si="11"/>
        <v>0</v>
      </c>
    </row>
    <row r="343" spans="1:19" x14ac:dyDescent="0.25">
      <c r="A343" s="15" t="str">
        <f>'Bldgs &amp; Rooms'!$A$11</f>
        <v>Main Bldg.</v>
      </c>
      <c r="B343" s="15">
        <f>'Bldgs &amp; Rooms'!$B$11</f>
        <v>0</v>
      </c>
      <c r="C343" s="14" t="str">
        <f>Hours!$A$10</f>
        <v>Motor Control Center (MCC-Per Vertical Section)</v>
      </c>
      <c r="D343" s="15">
        <f t="shared" si="10"/>
        <v>0</v>
      </c>
      <c r="E343" s="16">
        <f>IF('Components Yr 1'!E343=0,0,'Components Yr 1'!E343)</f>
        <v>0</v>
      </c>
      <c r="F343" s="17">
        <f>IF('Components Yr 1'!F343=0,0,'Components Yr 1'!F343)</f>
        <v>0</v>
      </c>
      <c r="G343" s="17">
        <f>IF('Components Yr 1'!G343=0,0,'Components Yr 1'!G343)</f>
        <v>0</v>
      </c>
      <c r="H343" s="17">
        <f>IF('Components Yr 1'!H343=0,0,'Components Yr 1'!H343)</f>
        <v>0</v>
      </c>
      <c r="I343" s="17">
        <f>IF('Components Yr 1'!I343=0,0,'Components Yr 1'!I343)</f>
        <v>0</v>
      </c>
      <c r="J343" s="17">
        <f>IF('Components Yr 1'!J343=0,0,'Components Yr 1'!J343)</f>
        <v>0</v>
      </c>
      <c r="K343" s="12"/>
      <c r="L343" s="12"/>
      <c r="M343" s="12"/>
      <c r="N343" s="12"/>
      <c r="O343" s="17">
        <f>IF('Components Yr 1'!O343=0,0,'Components Yr 1'!O343)</f>
        <v>0</v>
      </c>
      <c r="P343" s="12"/>
      <c r="Q343" s="17"/>
      <c r="R343" s="18">
        <f>IF(SUMPRODUCT((E343:Q343)*1)=0,0,E343*INDEX(Hours!M:M,MATCH(C343,Hours!$A:$A,0))+F343*INDEX(Hours!B:B,MATCH(C343,Hours!$A:$A,0))+G343*INDEX(Hours!C:C,MATCH(C343,Hours!$A:$A,0))+H343*INDEX(Hours!D:D,MATCH(C343,Hours!$A:$A,0))+I343*INDEX(Hours!E:E,MATCH(C343,Hours!$A:$A,0))+J343*INDEX(Hours!F:F,MATCH(C343,Hours!$A:$A,0))+O343*INDEX(Hours!K:K,MATCH(C343,Hours!$A:$A,0)))</f>
        <v>0</v>
      </c>
      <c r="S343" s="19">
        <f t="shared" si="11"/>
        <v>0</v>
      </c>
    </row>
    <row r="344" spans="1:19" x14ac:dyDescent="0.25">
      <c r="A344" s="15" t="str">
        <f>'Bldgs &amp; Rooms'!$A$11</f>
        <v>Main Bldg.</v>
      </c>
      <c r="B344" s="15">
        <f>'Bldgs &amp; Rooms'!$B$11</f>
        <v>0</v>
      </c>
      <c r="C344" s="14" t="str">
        <f>Hours!$A$11</f>
        <v xml:space="preserve">  MCC: Combination Motor Starters</v>
      </c>
      <c r="D344" s="15">
        <f t="shared" si="10"/>
        <v>0</v>
      </c>
      <c r="E344" s="16">
        <f>IF('Components Yr 1'!E344=0,0,'Components Yr 1'!E344)</f>
        <v>0</v>
      </c>
      <c r="F344" s="17">
        <f>IF('Components Yr 1'!F344=0,0,'Components Yr 1'!F344)</f>
        <v>0</v>
      </c>
      <c r="G344" s="17">
        <f>IF('Components Yr 1'!G344=0,0,'Components Yr 1'!G344)</f>
        <v>0</v>
      </c>
      <c r="H344" s="17">
        <f>IF('Components Yr 1'!H344=0,0,'Components Yr 1'!H344)</f>
        <v>0</v>
      </c>
      <c r="I344" s="17">
        <f>IF('Components Yr 1'!I344=0,0,'Components Yr 1'!I344)</f>
        <v>0</v>
      </c>
      <c r="J344" s="17">
        <f>IF('Components Yr 1'!J344=0,0,'Components Yr 1'!J344)</f>
        <v>0</v>
      </c>
      <c r="K344" s="17">
        <f>IF('Components Yr 1'!K344=0,0,'Components Yr 1'!K344)</f>
        <v>0</v>
      </c>
      <c r="L344" s="12"/>
      <c r="M344" s="12"/>
      <c r="N344" s="12"/>
      <c r="O344" s="17">
        <f>IF('Components Yr 1'!O344=0,0,'Components Yr 1'!O344)</f>
        <v>0</v>
      </c>
      <c r="P344" s="12"/>
      <c r="Q344" s="17"/>
      <c r="R344" s="18">
        <f>IF(SUMPRODUCT((E344:Q344)*1)=0,0,E344*INDEX(Hours!M:M,MATCH(C344,Hours!$A:$A,0))+F344*INDEX(Hours!B:B,MATCH(C344,Hours!$A:$A,0))+G344*INDEX(Hours!C:C,MATCH(C344,Hours!$A:$A,0))+H344*INDEX(Hours!D:D,MATCH(C344,Hours!$A:$A,0))+I344*INDEX(Hours!E:E,MATCH(C344,Hours!$A:$A,0))+J344*INDEX(Hours!F:F,MATCH(C344,Hours!$A:$A,0))+K344*INDEX(Hours!G:G,MATCH(C344,Hours!$A:$A,0))+O344*INDEX(Hours!K:K,MATCH(C344,Hours!$A:$A,0)))</f>
        <v>0</v>
      </c>
      <c r="S344" s="19">
        <f t="shared" si="11"/>
        <v>0</v>
      </c>
    </row>
    <row r="345" spans="1:19" x14ac:dyDescent="0.25">
      <c r="A345" s="15" t="str">
        <f>'Bldgs &amp; Rooms'!$A$11</f>
        <v>Main Bldg.</v>
      </c>
      <c r="B345" s="15">
        <f>'Bldgs &amp; Rooms'!$B$11</f>
        <v>0</v>
      </c>
      <c r="C345" s="14" t="str">
        <f>Hours!$A$12</f>
        <v xml:space="preserve">  MCC: Molded Case Breaker</v>
      </c>
      <c r="D345" s="15">
        <f t="shared" si="10"/>
        <v>0</v>
      </c>
      <c r="E345" s="16">
        <f>IF('Components Yr 1'!E345=0,0,'Components Yr 1'!E345)</f>
        <v>0</v>
      </c>
      <c r="F345" s="17">
        <f>IF('Components Yr 1'!F345=0,0,'Components Yr 1'!F345)</f>
        <v>0</v>
      </c>
      <c r="G345" s="17">
        <f>IF('Components Yr 1'!G345=0,0,'Components Yr 1'!G345)</f>
        <v>0</v>
      </c>
      <c r="H345" s="17">
        <f>IF('Components Yr 1'!H345=0,0,'Components Yr 1'!H345)</f>
        <v>0</v>
      </c>
      <c r="I345" s="17">
        <f>IF('Components Yr 1'!I345=0,0,'Components Yr 1'!I345)</f>
        <v>0</v>
      </c>
      <c r="J345" s="17">
        <f>IF('Components Yr 1'!J345=0,0,'Components Yr 1'!J345)</f>
        <v>0</v>
      </c>
      <c r="K345" s="17">
        <f>IF('Components Yr 1'!K345=0,0,'Components Yr 1'!K345)</f>
        <v>0</v>
      </c>
      <c r="L345" s="12"/>
      <c r="M345" s="12"/>
      <c r="N345" s="12"/>
      <c r="O345" s="12"/>
      <c r="P345" s="12"/>
      <c r="Q345" s="17"/>
      <c r="R345" s="18">
        <f>IF(SUMPRODUCT((E345:Q345)*1)=0,0,E345*INDEX(Hours!M:M,MATCH(C345,Hours!$A:$A,0))+F345*INDEX(Hours!B:B,MATCH(C345,Hours!$A:$A,0))+G345*INDEX(Hours!C:C,MATCH(C345,Hours!$A:$A,0))+H345*INDEX(Hours!D:D,MATCH(C345,Hours!$A:$A,0))+I345*INDEX(Hours!E:E,MATCH(C345,Hours!$A:$A,0))+J345*INDEX(Hours!F:F,MATCH(C345,Hours!$A:$A,0))+K345*INDEX(Hours!G:G,MATCH(C345,Hours!$A:$A,0)))</f>
        <v>0</v>
      </c>
      <c r="S345" s="19">
        <f t="shared" si="11"/>
        <v>0</v>
      </c>
    </row>
    <row r="346" spans="1:19" x14ac:dyDescent="0.25">
      <c r="A346" s="15" t="str">
        <f>'Bldgs &amp; Rooms'!$A$11</f>
        <v>Main Bldg.</v>
      </c>
      <c r="B346" s="15">
        <f>'Bldgs &amp; Rooms'!$B$11</f>
        <v>0</v>
      </c>
      <c r="C346" s="14" t="str">
        <f>Hours!$A$13</f>
        <v xml:space="preserve">  MCC: Individual Disconnect Switch</v>
      </c>
      <c r="D346" s="15">
        <f t="shared" si="10"/>
        <v>0</v>
      </c>
      <c r="E346" s="16">
        <f>IF('Components Yr 1'!E346=0,0,'Components Yr 1'!E346)</f>
        <v>0</v>
      </c>
      <c r="F346" s="17">
        <f>IF('Components Yr 1'!F346=0,0,'Components Yr 1'!F346)</f>
        <v>0</v>
      </c>
      <c r="G346" s="17">
        <f>IF('Components Yr 1'!G346=0,0,'Components Yr 1'!G346)</f>
        <v>0</v>
      </c>
      <c r="H346" s="17">
        <f>IF('Components Yr 1'!H346=0,0,'Components Yr 1'!H346)</f>
        <v>0</v>
      </c>
      <c r="I346" s="17">
        <f>IF('Components Yr 1'!I346=0,0,'Components Yr 1'!I346)</f>
        <v>0</v>
      </c>
      <c r="J346" s="17">
        <f>IF('Components Yr 1'!J346=0,0,'Components Yr 1'!J346)</f>
        <v>0</v>
      </c>
      <c r="K346" s="12"/>
      <c r="L346" s="12"/>
      <c r="M346" s="12"/>
      <c r="N346" s="12"/>
      <c r="O346" s="12"/>
      <c r="P346" s="12"/>
      <c r="Q346" s="17"/>
      <c r="R346" s="18">
        <f>IF(SUMPRODUCT((E346:Q346)*1)=0,0,E346*INDEX(Hours!M:M,MATCH(C346,Hours!$A:$A,0))+F346*INDEX(Hours!B:B,MATCH(C346,Hours!$A:$A,0))+G346*INDEX(Hours!C:C,MATCH(C346,Hours!$A:$A,0))+H346*INDEX(Hours!D:D,MATCH(C346,Hours!$A:$A,0))+I346*INDEX(Hours!E:E,MATCH(C346,Hours!$A:$A,0))+J346*INDEX(Hours!F:F,MATCH(C346,Hours!$A:$A,0)))</f>
        <v>0</v>
      </c>
      <c r="S346" s="19">
        <f t="shared" si="11"/>
        <v>0</v>
      </c>
    </row>
    <row r="347" spans="1:19" x14ac:dyDescent="0.25">
      <c r="A347" s="15" t="str">
        <f>'Bldgs &amp; Rooms'!$A$11</f>
        <v>Main Bldg.</v>
      </c>
      <c r="B347" s="15">
        <f>'Bldgs &amp; Rooms'!$B$11</f>
        <v>0</v>
      </c>
      <c r="C347" s="14" t="str">
        <f>Hours!$A$14</f>
        <v>Motor Control Panel (MCP)</v>
      </c>
      <c r="D347" s="15">
        <f t="shared" si="10"/>
        <v>0</v>
      </c>
      <c r="E347" s="16">
        <f>IF('Components Yr 1'!E347=0,0,'Components Yr 1'!E347)</f>
        <v>0</v>
      </c>
      <c r="F347" s="17">
        <f>IF('Components Yr 1'!F347=0,0,'Components Yr 1'!F347)</f>
        <v>0</v>
      </c>
      <c r="G347" s="17">
        <f>IF('Components Yr 1'!G347=0,0,'Components Yr 1'!G347)</f>
        <v>0</v>
      </c>
      <c r="H347" s="17">
        <f>IF('Components Yr 1'!H347=0,0,'Components Yr 1'!H347)</f>
        <v>0</v>
      </c>
      <c r="I347" s="17">
        <f>IF('Components Yr 1'!I347=0,0,'Components Yr 1'!I347)</f>
        <v>0</v>
      </c>
      <c r="J347" s="17">
        <f>IF('Components Yr 1'!J347=0,0,'Components Yr 1'!J347)</f>
        <v>0</v>
      </c>
      <c r="K347" s="12"/>
      <c r="L347" s="12"/>
      <c r="M347" s="12"/>
      <c r="N347" s="12"/>
      <c r="O347" s="17">
        <f>IF('Components Yr 1'!O347=0,0,'Components Yr 1'!O347)</f>
        <v>0</v>
      </c>
      <c r="P347" s="12"/>
      <c r="Q347" s="17"/>
      <c r="R347" s="18">
        <f>IF(SUMPRODUCT((E347:Q347)*1)=0,0,E347*INDEX(Hours!M:M,MATCH(C347,Hours!$A:$A,0))+F347*INDEX(Hours!B:B,MATCH(C347,Hours!$A:$A,0))+G347*INDEX(Hours!C:C,MATCH(C347,Hours!$A:$A,0))+H347*INDEX(Hours!D:D,MATCH(C347,Hours!$A:$A,0))+I347*INDEX(Hours!E:E,MATCH(C347,Hours!$A:$A,0))+J347*INDEX(Hours!F:F,MATCH(C347,Hours!$A:$A,0))+O347*INDEX(Hours!K:K,MATCH(C347,Hours!$A:$A,0)))</f>
        <v>0</v>
      </c>
      <c r="S347" s="19">
        <f t="shared" si="11"/>
        <v>0</v>
      </c>
    </row>
    <row r="348" spans="1:19" x14ac:dyDescent="0.25">
      <c r="A348" s="15" t="str">
        <f>'Bldgs &amp; Rooms'!$A$11</f>
        <v>Main Bldg.</v>
      </c>
      <c r="B348" s="15">
        <f>'Bldgs &amp; Rooms'!$B$11</f>
        <v>0</v>
      </c>
      <c r="C348" s="14" t="str">
        <f>Hours!$A$15</f>
        <v>VFD Motor Control Panel (VFD-MCP)</v>
      </c>
      <c r="D348" s="15">
        <f t="shared" si="10"/>
        <v>0</v>
      </c>
      <c r="E348" s="16">
        <f>IF('Components Yr 1'!E348=0,0,'Components Yr 1'!E348)</f>
        <v>0</v>
      </c>
      <c r="F348" s="17">
        <f>IF('Components Yr 1'!F348=0,0,'Components Yr 1'!F348)</f>
        <v>0</v>
      </c>
      <c r="G348" s="17">
        <f>IF('Components Yr 1'!G348=0,0,'Components Yr 1'!G348)</f>
        <v>0</v>
      </c>
      <c r="H348" s="17">
        <f>IF('Components Yr 1'!H348=0,0,'Components Yr 1'!H348)</f>
        <v>0</v>
      </c>
      <c r="I348" s="17">
        <f>IF('Components Yr 1'!I348=0,0,'Components Yr 1'!I348)</f>
        <v>0</v>
      </c>
      <c r="J348" s="17">
        <f>IF('Components Yr 1'!J348=0,0,'Components Yr 1'!J348)</f>
        <v>0</v>
      </c>
      <c r="K348" s="12"/>
      <c r="L348" s="12"/>
      <c r="M348" s="12"/>
      <c r="N348" s="12"/>
      <c r="O348" s="17">
        <f>IF('Components Yr 1'!O348=0,0,'Components Yr 1'!O348)</f>
        <v>0</v>
      </c>
      <c r="P348" s="12"/>
      <c r="Q348" s="17"/>
      <c r="R348" s="18">
        <f>IF(SUMPRODUCT((E348:Q348)*1)=0,0,E348*INDEX(Hours!M:M,MATCH(C348,Hours!$A:$A,0))+F348*INDEX(Hours!B:B,MATCH(C348,Hours!$A:$A,0))+G348*INDEX(Hours!C:C,MATCH(C348,Hours!$A:$A,0))+H348*INDEX(Hours!D:D,MATCH(C348,Hours!$A:$A,0))+I348*INDEX(Hours!E:E,MATCH(C348,Hours!$A:$A,0))+J348*INDEX(Hours!F:F,MATCH(C348,Hours!$A:$A,0))+O348*INDEX(Hours!K:K,MATCH(C348,Hours!$A:$A,0)))</f>
        <v>0</v>
      </c>
      <c r="S348" s="19">
        <f t="shared" si="11"/>
        <v>0</v>
      </c>
    </row>
    <row r="349" spans="1:19" x14ac:dyDescent="0.25">
      <c r="A349" s="15" t="str">
        <f>'Bldgs &amp; Rooms'!$A$11</f>
        <v>Main Bldg.</v>
      </c>
      <c r="B349" s="15">
        <f>'Bldgs &amp; Rooms'!$B$11</f>
        <v>0</v>
      </c>
      <c r="C349" s="14" t="str">
        <f>Hours!$A$16</f>
        <v>Individual Disconnect Switch &gt; 100A</v>
      </c>
      <c r="D349" s="15">
        <f t="shared" si="10"/>
        <v>0</v>
      </c>
      <c r="E349" s="16">
        <f>IF('Components Yr 1'!E349=0,0,'Components Yr 1'!E349)</f>
        <v>0</v>
      </c>
      <c r="F349" s="17">
        <f>IF('Components Yr 1'!F349=0,0,'Components Yr 1'!F349)</f>
        <v>0</v>
      </c>
      <c r="G349" s="17">
        <f>IF('Components Yr 1'!G349=0,0,'Components Yr 1'!G349)</f>
        <v>0</v>
      </c>
      <c r="H349" s="17">
        <f>IF('Components Yr 1'!H349=0,0,'Components Yr 1'!H349)</f>
        <v>0</v>
      </c>
      <c r="I349" s="17">
        <f>IF('Components Yr 1'!I349=0,0,'Components Yr 1'!I349)</f>
        <v>0</v>
      </c>
      <c r="J349" s="17">
        <f>IF('Components Yr 1'!J349=0,0,'Components Yr 1'!J349)</f>
        <v>0</v>
      </c>
      <c r="K349" s="17">
        <f>IF('Components Yr 1'!K349=0,0,'Components Yr 1'!K349)</f>
        <v>0</v>
      </c>
      <c r="L349" s="12"/>
      <c r="M349" s="12"/>
      <c r="N349" s="12"/>
      <c r="O349" s="12"/>
      <c r="P349" s="12"/>
      <c r="Q349" s="17"/>
      <c r="R349" s="18">
        <f>IF(SUMPRODUCT((E349:Q349)*1)=0,0,E349*INDEX(Hours!M:M,MATCH(C349,Hours!$A:$A,0))+F349*INDEX(Hours!B:B,MATCH(C349,Hours!$A:$A,0))+G349*INDEX(Hours!C:C,MATCH(C349,Hours!$A:$A,0))+H349*INDEX(Hours!D:D,MATCH(C349,Hours!$A:$A,0))+I349*INDEX(Hours!E:E,MATCH(C349,Hours!$A:$A,0))+J349*INDEX(Hours!F:F,MATCH(C349,Hours!$A:$A,0))+K349*INDEX(Hours!G:G,MATCH(C349,Hours!$A:$A,0)))</f>
        <v>0</v>
      </c>
      <c r="S349" s="19">
        <f t="shared" si="11"/>
        <v>0</v>
      </c>
    </row>
    <row r="350" spans="1:19" x14ac:dyDescent="0.25">
      <c r="A350" s="15" t="str">
        <f>'Bldgs &amp; Rooms'!$A$11</f>
        <v>Main Bldg.</v>
      </c>
      <c r="B350" s="15">
        <f>'Bldgs &amp; Rooms'!$B$11</f>
        <v>0</v>
      </c>
      <c r="C350" s="14" t="str">
        <f>Hours!$A$17</f>
        <v>Individual Molded Case Breaker &gt; 100A</v>
      </c>
      <c r="D350" s="15">
        <f t="shared" si="10"/>
        <v>0</v>
      </c>
      <c r="E350" s="16">
        <f>IF('Components Yr 1'!E350=0,0,'Components Yr 1'!E350)</f>
        <v>0</v>
      </c>
      <c r="F350" s="17">
        <f>IF('Components Yr 1'!F350=0,0,'Components Yr 1'!F350)</f>
        <v>0</v>
      </c>
      <c r="G350" s="17">
        <f>IF('Components Yr 1'!G350=0,0,'Components Yr 1'!G350)</f>
        <v>0</v>
      </c>
      <c r="H350" s="17">
        <f>IF('Components Yr 1'!H350=0,0,'Components Yr 1'!H350)</f>
        <v>0</v>
      </c>
      <c r="I350" s="17">
        <f>IF('Components Yr 1'!I350=0,0,'Components Yr 1'!I350)</f>
        <v>0</v>
      </c>
      <c r="J350" s="17">
        <f>IF('Components Yr 1'!J350=0,0,'Components Yr 1'!J350)</f>
        <v>0</v>
      </c>
      <c r="K350" s="17">
        <f>IF('Components Yr 1'!K350=0,0,'Components Yr 1'!K350)</f>
        <v>0</v>
      </c>
      <c r="L350" s="12"/>
      <c r="M350" s="12"/>
      <c r="N350" s="12"/>
      <c r="O350" s="12"/>
      <c r="P350" s="12"/>
      <c r="Q350" s="17"/>
      <c r="R350" s="18">
        <f>IF(SUMPRODUCT((E350:Q350)*1)=0,0,E350*INDEX(Hours!M:M,MATCH(C350,Hours!$A:$A,0))+F350*INDEX(Hours!B:B,MATCH(C350,Hours!$A:$A,0))+G350*INDEX(Hours!C:C,MATCH(C350,Hours!$A:$A,0))+H350*INDEX(Hours!D:D,MATCH(C350,Hours!$A:$A,0))+I350*INDEX(Hours!E:E,MATCH(C350,Hours!$A:$A,0))+J350*INDEX(Hours!F:F,MATCH(C350,Hours!$A:$A,0))+K350*INDEX(Hours!G:G,MATCH(C350,Hours!$A:$A,0)))</f>
        <v>0</v>
      </c>
      <c r="S350" s="19">
        <f t="shared" si="11"/>
        <v>0</v>
      </c>
    </row>
    <row r="351" spans="1:19" x14ac:dyDescent="0.25">
      <c r="A351" s="15" t="str">
        <f>'Bldgs &amp; Rooms'!$A$11</f>
        <v>Main Bldg.</v>
      </c>
      <c r="B351" s="15">
        <f>'Bldgs &amp; Rooms'!$B$11</f>
        <v>0</v>
      </c>
      <c r="C351" s="14" t="str">
        <f>Hours!$A$18</f>
        <v>Individual Combination Motor Starter &gt; 100A</v>
      </c>
      <c r="D351" s="15">
        <f t="shared" si="10"/>
        <v>0</v>
      </c>
      <c r="E351" s="16">
        <f>IF('Components Yr 1'!E351=0,0,'Components Yr 1'!E351)</f>
        <v>0</v>
      </c>
      <c r="F351" s="17">
        <f>IF('Components Yr 1'!F351=0,0,'Components Yr 1'!F351)</f>
        <v>0</v>
      </c>
      <c r="G351" s="17">
        <f>IF('Components Yr 1'!G351=0,0,'Components Yr 1'!G351)</f>
        <v>0</v>
      </c>
      <c r="H351" s="17">
        <f>IF('Components Yr 1'!H351=0,0,'Components Yr 1'!H351)</f>
        <v>0</v>
      </c>
      <c r="I351" s="17">
        <f>IF('Components Yr 1'!I351=0,0,'Components Yr 1'!I351)</f>
        <v>0</v>
      </c>
      <c r="J351" s="17">
        <f>IF('Components Yr 1'!J351=0,0,'Components Yr 1'!J351)</f>
        <v>0</v>
      </c>
      <c r="K351" s="17">
        <f>IF('Components Yr 1'!K351=0,0,'Components Yr 1'!K351)</f>
        <v>0</v>
      </c>
      <c r="L351" s="12"/>
      <c r="M351" s="12"/>
      <c r="N351" s="12"/>
      <c r="O351" s="12"/>
      <c r="P351" s="12"/>
      <c r="Q351" s="17"/>
      <c r="R351" s="18">
        <f>IF(SUMPRODUCT((E351:Q351)*1)=0,0,E351*INDEX(Hours!M:M,MATCH(C351,Hours!$A:$A,0))+F351*INDEX(Hours!B:B,MATCH(C351,Hours!$A:$A,0))+G351*INDEX(Hours!C:C,MATCH(C351,Hours!$A:$A,0))+H351*INDEX(Hours!D:D,MATCH(C351,Hours!$A:$A,0))+I351*INDEX(Hours!E:E,MATCH(C351,Hours!$A:$A,0))+J351*INDEX(Hours!F:F,MATCH(C351,Hours!$A:$A,0))+K351*INDEX(Hours!G:G,MATCH(C351,Hours!$A:$A,0)))</f>
        <v>0</v>
      </c>
      <c r="S351" s="19">
        <f t="shared" si="11"/>
        <v>0</v>
      </c>
    </row>
    <row r="352" spans="1:19" x14ac:dyDescent="0.25">
      <c r="A352" s="15" t="str">
        <f>'Bldgs &amp; Rooms'!$A$11</f>
        <v>Main Bldg.</v>
      </c>
      <c r="B352" s="15">
        <f>'Bldgs &amp; Rooms'!$B$11</f>
        <v>0</v>
      </c>
      <c r="C352" s="14" t="str">
        <f>Hours!$A$19</f>
        <v>Oil Filled Transformer - 5kV-15kV Primary - Any Size (Pad Mounted)</v>
      </c>
      <c r="D352" s="15">
        <f t="shared" si="10"/>
        <v>0</v>
      </c>
      <c r="E352" s="16">
        <f>IF('Components Yr 1'!E352=0,0,'Components Yr 1'!E352)</f>
        <v>0</v>
      </c>
      <c r="F352" s="17">
        <f>IF('Components Yr 1'!F352=0,0,'Components Yr 1'!F352)</f>
        <v>0</v>
      </c>
      <c r="G352" s="17">
        <f>IF('Components Yr 1'!G352=0,0,'Components Yr 1'!G352)</f>
        <v>0</v>
      </c>
      <c r="H352" s="17">
        <f>IF('Components Yr 1'!H352=0,0,'Components Yr 1'!H352)</f>
        <v>0</v>
      </c>
      <c r="I352" s="17">
        <f>IF('Components Yr 1'!I352=0,0,'Components Yr 1'!I352)</f>
        <v>0</v>
      </c>
      <c r="J352" s="17">
        <f>IF('Components Yr 1'!J352=0,0,'Components Yr 1'!J352)</f>
        <v>0</v>
      </c>
      <c r="K352" s="12"/>
      <c r="L352" s="12"/>
      <c r="M352" s="17">
        <f>IF('Components Yr 1'!M352=0,0,'Components Yr 1'!M352)</f>
        <v>0</v>
      </c>
      <c r="N352" s="17">
        <f>IF('Components Yr 1'!N352=0,0,'Components Yr 1'!N352)</f>
        <v>0</v>
      </c>
      <c r="O352" s="12"/>
      <c r="P352" s="17">
        <f>IF('Components Yr 1'!P352=0,0,'Components Yr 1'!P352)</f>
        <v>0</v>
      </c>
      <c r="Q352" s="17"/>
      <c r="R352" s="18">
        <f>IF(SUMPRODUCT((E352:Q352)*1)=0,0,E352*INDEX(Hours!M:M,MATCH(C352,Hours!$A:$A,0))+F352*INDEX(Hours!B:B,MATCH(C352,Hours!$A:$A,0))+G352*INDEX(Hours!C:C,MATCH(C352,Hours!$A:$A,0))+H352*INDEX(Hours!D:D,MATCH(C352,Hours!$A:$A,0))+I352*INDEX(Hours!E:E,MATCH(C352,Hours!$A:$A,0))+J352*INDEX(Hours!F:F,MATCH(C352,Hours!$A:$A,0))+M352*INDEX(Hours!I:I,MATCH(C352,Hours!$A:$A,0))+N352*INDEX(Hours!J:J,MATCH(C352,Hours!$A:$A,0))+P352*INDEX(Hours!L:L,MATCH(C352,Hours!$A:$A,0)))</f>
        <v>0</v>
      </c>
      <c r="S352" s="19">
        <f t="shared" si="11"/>
        <v>0</v>
      </c>
    </row>
    <row r="353" spans="1:19" x14ac:dyDescent="0.25">
      <c r="A353" s="15" t="str">
        <f>'Bldgs &amp; Rooms'!$A$11</f>
        <v>Main Bldg.</v>
      </c>
      <c r="B353" s="15">
        <f>'Bldgs &amp; Rooms'!$B$11</f>
        <v>0</v>
      </c>
      <c r="C353" s="14" t="str">
        <f>Hours!$A$20</f>
        <v>Oil Filled Transformer - &gt; 15kV Primary (Substation Class)</v>
      </c>
      <c r="D353" s="15">
        <f t="shared" si="10"/>
        <v>0</v>
      </c>
      <c r="E353" s="16">
        <f>IF('Components Yr 1'!E353=0,0,'Components Yr 1'!E353)</f>
        <v>0</v>
      </c>
      <c r="F353" s="17">
        <f>IF('Components Yr 1'!F353=0,0,'Components Yr 1'!F353)</f>
        <v>0</v>
      </c>
      <c r="G353" s="17">
        <f>IF('Components Yr 1'!G353=0,0,'Components Yr 1'!G353)</f>
        <v>0</v>
      </c>
      <c r="H353" s="17">
        <f>IF('Components Yr 1'!H353=0,0,'Components Yr 1'!H353)</f>
        <v>0</v>
      </c>
      <c r="I353" s="17">
        <f>IF('Components Yr 1'!I353=0,0,'Components Yr 1'!I353)</f>
        <v>0</v>
      </c>
      <c r="J353" s="17">
        <f>IF('Components Yr 1'!J353=0,0,'Components Yr 1'!J353)</f>
        <v>0</v>
      </c>
      <c r="K353" s="12"/>
      <c r="L353" s="12"/>
      <c r="M353" s="17">
        <f>IF('Components Yr 1'!M353=0,0,'Components Yr 1'!M353)</f>
        <v>0</v>
      </c>
      <c r="N353" s="17">
        <f>IF('Components Yr 1'!N353=0,0,'Components Yr 1'!N353)</f>
        <v>0</v>
      </c>
      <c r="O353" s="12"/>
      <c r="P353" s="17">
        <f>IF('Components Yr 1'!P353=0,0,'Components Yr 1'!P353)</f>
        <v>0</v>
      </c>
      <c r="Q353" s="17"/>
      <c r="R353" s="18">
        <f>IF(SUMPRODUCT((E353:Q353)*1)=0,0,E353*INDEX(Hours!M:M,MATCH(C353,Hours!$A:$A,0))+F353*INDEX(Hours!B:B,MATCH(C353,Hours!$A:$A,0))+G353*INDEX(Hours!C:C,MATCH(C353,Hours!$A:$A,0))+H353*INDEX(Hours!D:D,MATCH(C353,Hours!$A:$A,0))+I353*INDEX(Hours!E:E,MATCH(C353,Hours!$A:$A,0))+J353*INDEX(Hours!F:F,MATCH(C353,Hours!$A:$A,0))+M353*INDEX(Hours!I:I,MATCH(C353,Hours!$A:$A,0))+N353*INDEX(Hours!J:J,MATCH(C353,Hours!$A:$A,0))+P353*INDEX(Hours!L:L,MATCH(C353,Hours!$A:$A,0)))</f>
        <v>0</v>
      </c>
      <c r="S353" s="19">
        <f t="shared" si="11"/>
        <v>0</v>
      </c>
    </row>
    <row r="354" spans="1:19" x14ac:dyDescent="0.25">
      <c r="A354" s="15" t="str">
        <f>'Bldgs &amp; Rooms'!$A$11</f>
        <v>Main Bldg.</v>
      </c>
      <c r="B354" s="15">
        <f>'Bldgs &amp; Rooms'!$B$11</f>
        <v>0</v>
      </c>
      <c r="C354" s="14" t="str">
        <f>Hours!$A$21</f>
        <v>Dry Type Transformer - &lt; 480V Primary - Any Size kVA</v>
      </c>
      <c r="D354" s="15">
        <f t="shared" si="10"/>
        <v>0</v>
      </c>
      <c r="E354" s="16">
        <f>IF('Components Yr 1'!E354=0,0,'Components Yr 1'!E354)</f>
        <v>0</v>
      </c>
      <c r="F354" s="17">
        <f>IF('Components Yr 1'!F354=0,0,'Components Yr 1'!F354)</f>
        <v>0</v>
      </c>
      <c r="G354" s="17">
        <f>IF('Components Yr 1'!G354=0,0,'Components Yr 1'!G354)</f>
        <v>0</v>
      </c>
      <c r="H354" s="17">
        <f>IF('Components Yr 1'!H354=0,0,'Components Yr 1'!H354)</f>
        <v>0</v>
      </c>
      <c r="I354" s="17">
        <f>IF('Components Yr 1'!I354=0,0,'Components Yr 1'!I354)</f>
        <v>0</v>
      </c>
      <c r="J354" s="17">
        <f>IF('Components Yr 1'!J354=0,0,'Components Yr 1'!J354)</f>
        <v>0</v>
      </c>
      <c r="K354" s="12"/>
      <c r="L354" s="12"/>
      <c r="M354" s="17">
        <f>IF('Components Yr 1'!M354=0,0,'Components Yr 1'!M354)</f>
        <v>0</v>
      </c>
      <c r="N354" s="17">
        <f>IF('Components Yr 1'!N354=0,0,'Components Yr 1'!N354)</f>
        <v>0</v>
      </c>
      <c r="O354" s="12"/>
      <c r="P354" s="12"/>
      <c r="Q354" s="17"/>
      <c r="R354" s="18">
        <f>IF(SUMPRODUCT((E354:Q354)*1)=0,0,E354*INDEX(Hours!M:M,MATCH(C354,Hours!$A:$A,0))+F354*INDEX(Hours!B:B,MATCH(C354,Hours!$A:$A,0))+G354*INDEX(Hours!C:C,MATCH(C354,Hours!$A:$A,0))+H354*INDEX(Hours!D:D,MATCH(C354,Hours!$A:$A,0))+I354*INDEX(Hours!E:E,MATCH(C354,Hours!$A:$A,0))+J354*INDEX(Hours!F:F,MATCH(C354,Hours!$A:$A,0))+M354*INDEX(Hours!I:I,MATCH(C354,Hours!$A:$A,0))+N354*INDEX(Hours!J:J,MATCH(C354,Hours!$A:$A,0)))</f>
        <v>0</v>
      </c>
      <c r="S354" s="19">
        <f t="shared" si="11"/>
        <v>0</v>
      </c>
    </row>
    <row r="355" spans="1:19" x14ac:dyDescent="0.25">
      <c r="A355" s="15" t="str">
        <f>'Bldgs &amp; Rooms'!$A$11</f>
        <v>Main Bldg.</v>
      </c>
      <c r="B355" s="15">
        <f>'Bldgs &amp; Rooms'!$B$11</f>
        <v>0</v>
      </c>
      <c r="C355" s="14" t="str">
        <f>Hours!$A$22</f>
        <v>Power Factor Correction Capacitors</v>
      </c>
      <c r="D355" s="15">
        <f t="shared" si="10"/>
        <v>0</v>
      </c>
      <c r="E355" s="16">
        <f>IF('Components Yr 1'!E355=0,0,'Components Yr 1'!E355)</f>
        <v>0</v>
      </c>
      <c r="F355" s="17">
        <f>IF('Components Yr 1'!F355=0,0,'Components Yr 1'!F355)</f>
        <v>0</v>
      </c>
      <c r="G355" s="17">
        <f>IF('Components Yr 1'!G355=0,0,'Components Yr 1'!G355)</f>
        <v>0</v>
      </c>
      <c r="H355" s="17">
        <f>IF('Components Yr 1'!H355=0,0,'Components Yr 1'!H355)</f>
        <v>0</v>
      </c>
      <c r="I355" s="17">
        <f>IF('Components Yr 1'!I355=0,0,'Components Yr 1'!I355)</f>
        <v>0</v>
      </c>
      <c r="J355" s="17">
        <f>IF('Components Yr 1'!J355=0,0,'Components Yr 1'!J355)</f>
        <v>0</v>
      </c>
      <c r="K355" s="12"/>
      <c r="L355" s="12"/>
      <c r="M355" s="12"/>
      <c r="N355" s="12"/>
      <c r="O355" s="12"/>
      <c r="P355" s="12"/>
      <c r="Q355" s="17"/>
      <c r="R355" s="18">
        <f>IF(SUMPRODUCT((E355:Q355)*1)=0,0,E355*INDEX(Hours!M:M,MATCH(C355,Hours!$A:$A,0))+F355*INDEX(Hours!B:B,MATCH(C355,Hours!$A:$A,0))+G355*INDEX(Hours!C:C,MATCH(C355,Hours!$A:$A,0))+H355*INDEX(Hours!D:D,MATCH(C355,Hours!$A:$A,0))+I355*INDEX(Hours!E:E,MATCH(C355,Hours!$A:$A,0))+J355*INDEX(Hours!F:F,MATCH(C355,Hours!$A:$A,0)))</f>
        <v>0</v>
      </c>
      <c r="S355" s="19">
        <f t="shared" si="11"/>
        <v>0</v>
      </c>
    </row>
    <row r="356" spans="1:19" x14ac:dyDescent="0.25">
      <c r="A356" s="15" t="str">
        <f>'Bldgs &amp; Rooms'!$A$11</f>
        <v>Main Bldg.</v>
      </c>
      <c r="B356" s="15">
        <f>'Bldgs &amp; Rooms'!$B$11</f>
        <v>0</v>
      </c>
      <c r="C356" s="14" t="str">
        <f>Hours!$A$23</f>
        <v>Lighting Contactor &gt; 100A</v>
      </c>
      <c r="D356" s="15">
        <f t="shared" si="10"/>
        <v>0</v>
      </c>
      <c r="E356" s="16">
        <f>IF('Components Yr 1'!E356=0,0,'Components Yr 1'!E356)</f>
        <v>0</v>
      </c>
      <c r="F356" s="17">
        <f>IF('Components Yr 1'!F356=0,0,'Components Yr 1'!F356)</f>
        <v>0</v>
      </c>
      <c r="G356" s="17">
        <f>IF('Components Yr 1'!G356=0,0,'Components Yr 1'!G356)</f>
        <v>0</v>
      </c>
      <c r="H356" s="17">
        <f>IF('Components Yr 1'!H356=0,0,'Components Yr 1'!H356)</f>
        <v>0</v>
      </c>
      <c r="I356" s="17">
        <f>IF('Components Yr 1'!I356=0,0,'Components Yr 1'!I356)</f>
        <v>0</v>
      </c>
      <c r="J356" s="17">
        <f>IF('Components Yr 1'!J356=0,0,'Components Yr 1'!J356)</f>
        <v>0</v>
      </c>
      <c r="K356" s="12"/>
      <c r="L356" s="12"/>
      <c r="M356" s="12"/>
      <c r="N356" s="12"/>
      <c r="O356" s="12"/>
      <c r="P356" s="12"/>
      <c r="Q356" s="17"/>
      <c r="R356" s="18">
        <f>IF(SUMPRODUCT((E356:Q356)*1)=0,0,E356*INDEX(Hours!M:M,MATCH(C356,Hours!$A:$A,0))+F356*INDEX(Hours!B:B,MATCH(C356,Hours!$A:$A,0))+G356*INDEX(Hours!C:C,MATCH(C356,Hours!$A:$A,0))+H356*INDEX(Hours!D:D,MATCH(C356,Hours!$A:$A,0))+I356*INDEX(Hours!E:E,MATCH(C356,Hours!$A:$A,0))+J356*INDEX(Hours!F:F,MATCH(C356,Hours!$A:$A,0)))</f>
        <v>0</v>
      </c>
      <c r="S356" s="19">
        <f t="shared" si="11"/>
        <v>0</v>
      </c>
    </row>
    <row r="357" spans="1:19" x14ac:dyDescent="0.25">
      <c r="A357" s="15" t="str">
        <f>'Bldgs &amp; Rooms'!$A$11</f>
        <v>Main Bldg.</v>
      </c>
      <c r="B357" s="15">
        <f>'Bldgs &amp; Rooms'!$B$11</f>
        <v>0</v>
      </c>
      <c r="C357" s="14" t="str">
        <f>Hours!$A$24</f>
        <v>Power Distribution Unit (PDU)</v>
      </c>
      <c r="D357" s="15">
        <f t="shared" si="10"/>
        <v>0</v>
      </c>
      <c r="E357" s="16">
        <f>IF('Components Yr 1'!E357=0,0,'Components Yr 1'!E357)</f>
        <v>0</v>
      </c>
      <c r="F357" s="17">
        <f>IF('Components Yr 1'!F357=0,0,'Components Yr 1'!F357)</f>
        <v>0</v>
      </c>
      <c r="G357" s="17">
        <f>IF('Components Yr 1'!G357=0,0,'Components Yr 1'!G357)</f>
        <v>0</v>
      </c>
      <c r="H357" s="17">
        <f>IF('Components Yr 1'!H357=0,0,'Components Yr 1'!H357)</f>
        <v>0</v>
      </c>
      <c r="I357" s="17">
        <f>IF('Components Yr 1'!I357=0,0,'Components Yr 1'!I357)</f>
        <v>0</v>
      </c>
      <c r="J357" s="17">
        <f>IF('Components Yr 1'!J357=0,0,'Components Yr 1'!J357)</f>
        <v>0</v>
      </c>
      <c r="K357" s="12"/>
      <c r="L357" s="12"/>
      <c r="M357" s="12"/>
      <c r="N357" s="12"/>
      <c r="O357" s="12"/>
      <c r="P357" s="12"/>
      <c r="Q357" s="17"/>
      <c r="R357" s="18">
        <f>IF(SUMPRODUCT((E357:Q357)*1)=0,0,E357*INDEX(Hours!M:M,MATCH(C357,Hours!$A:$A,0))+F357*INDEX(Hours!B:B,MATCH(C357,Hours!$A:$A,0))+G357*INDEX(Hours!C:C,MATCH(C357,Hours!$A:$A,0))+H357*INDEX(Hours!D:D,MATCH(C357,Hours!$A:$A,0))+I357*INDEX(Hours!E:E,MATCH(C357,Hours!$A:$A,0))+J357*INDEX(Hours!F:F,MATCH(C357,Hours!$A:$A,0)))</f>
        <v>0</v>
      </c>
      <c r="S357" s="19">
        <f t="shared" si="11"/>
        <v>0</v>
      </c>
    </row>
    <row r="358" spans="1:19" x14ac:dyDescent="0.25">
      <c r="A358" s="15" t="str">
        <f>'Bldgs &amp; Rooms'!$A$11</f>
        <v>Main Bldg.</v>
      </c>
      <c r="B358" s="15">
        <f>'Bldgs &amp; Rooms'!$B$11</f>
        <v>0</v>
      </c>
      <c r="C358" s="14" t="str">
        <f>Hours!$A$25</f>
        <v>Wire Trough, Gutter, or Large Junction Boxes</v>
      </c>
      <c r="D358" s="15">
        <f t="shared" si="10"/>
        <v>0</v>
      </c>
      <c r="E358" s="16">
        <f>IF('Components Yr 1'!E358=0,0,'Components Yr 1'!E358)</f>
        <v>0</v>
      </c>
      <c r="F358" s="17">
        <f>IF('Components Yr 1'!F358=0,0,'Components Yr 1'!F358)</f>
        <v>0</v>
      </c>
      <c r="G358" s="17">
        <f>IF('Components Yr 1'!G358=0,0,'Components Yr 1'!G358)</f>
        <v>0</v>
      </c>
      <c r="H358" s="17">
        <f>IF('Components Yr 1'!H358=0,0,'Components Yr 1'!H358)</f>
        <v>0</v>
      </c>
      <c r="I358" s="17">
        <f>IF('Components Yr 1'!I358=0,0,'Components Yr 1'!I358)</f>
        <v>0</v>
      </c>
      <c r="J358" s="17">
        <f>IF('Components Yr 1'!J358=0,0,'Components Yr 1'!J358)</f>
        <v>0</v>
      </c>
      <c r="K358" s="12"/>
      <c r="L358" s="12"/>
      <c r="M358" s="12"/>
      <c r="N358" s="12"/>
      <c r="O358" s="12"/>
      <c r="P358" s="12"/>
      <c r="Q358" s="17"/>
      <c r="R358" s="18">
        <f>IF(SUMPRODUCT((E358:Q358)*1)=0,0,E358*INDEX(Hours!M:M,MATCH(C358,Hours!$A:$A,0))+F358*INDEX(Hours!B:B,MATCH(C358,Hours!$A:$A,0))+G358*INDEX(Hours!C:C,MATCH(C358,Hours!$A:$A,0))+H358*INDEX(Hours!D:D,MATCH(C358,Hours!$A:$A,0))+I358*INDEX(Hours!E:E,MATCH(C358,Hours!$A:$A,0))+J358*INDEX(Hours!F:F,MATCH(C358,Hours!$A:$A,0)))</f>
        <v>0</v>
      </c>
      <c r="S358" s="19">
        <f t="shared" si="11"/>
        <v>0</v>
      </c>
    </row>
    <row r="359" spans="1:19" x14ac:dyDescent="0.25">
      <c r="A359" s="15" t="str">
        <f>'Bldgs &amp; Rooms'!$A$11</f>
        <v>Main Bldg.</v>
      </c>
      <c r="B359" s="15">
        <f>'Bldgs &amp; Rooms'!$B$11</f>
        <v>0</v>
      </c>
      <c r="C359" s="14" t="str">
        <f>Hours!$A$26</f>
        <v>Bus Duct - Vertical or Horizontal (Per 10' section)</v>
      </c>
      <c r="D359" s="15">
        <f t="shared" si="10"/>
        <v>0</v>
      </c>
      <c r="E359" s="16">
        <f>IF('Components Yr 1'!E359=0,0,'Components Yr 1'!E359)</f>
        <v>0</v>
      </c>
      <c r="F359" s="17">
        <f>IF('Components Yr 1'!F359=0,0,'Components Yr 1'!F359)</f>
        <v>0</v>
      </c>
      <c r="G359" s="17">
        <f>IF('Components Yr 1'!G359=0,0,'Components Yr 1'!G359)</f>
        <v>0</v>
      </c>
      <c r="H359" s="17">
        <f>IF('Components Yr 1'!H359=0,0,'Components Yr 1'!H359)</f>
        <v>0</v>
      </c>
      <c r="I359" s="17">
        <f>IF('Components Yr 1'!I359=0,0,'Components Yr 1'!I359)</f>
        <v>0</v>
      </c>
      <c r="J359" s="17">
        <f>IF('Components Yr 1'!J359=0,0,'Components Yr 1'!J359)</f>
        <v>0</v>
      </c>
      <c r="K359" s="12"/>
      <c r="L359" s="12"/>
      <c r="M359" s="12"/>
      <c r="N359" s="12"/>
      <c r="O359" s="12"/>
      <c r="P359" s="12"/>
      <c r="Q359" s="17"/>
      <c r="R359" s="18">
        <f>IF(SUMPRODUCT((E359:Q359)*1)=0,0,E359*INDEX(Hours!M:M,MATCH(C359,Hours!$A:$A,0))+F359*INDEX(Hours!B:B,MATCH(C359,Hours!$A:$A,0))+G359*INDEX(Hours!C:C,MATCH(C359,Hours!$A:$A,0))+H359*INDEX(Hours!D:D,MATCH(C359,Hours!$A:$A,0))+I359*INDEX(Hours!E:E,MATCH(C359,Hours!$A:$A,0))+J359*INDEX(Hours!F:F,MATCH(C359,Hours!$A:$A,0)))</f>
        <v>0</v>
      </c>
      <c r="S359" s="19">
        <f t="shared" si="11"/>
        <v>0</v>
      </c>
    </row>
    <row r="360" spans="1:19" x14ac:dyDescent="0.25">
      <c r="A360" s="15" t="str">
        <f>'Bldgs &amp; Rooms'!$A$11</f>
        <v>Main Bldg.</v>
      </c>
      <c r="B360" s="15">
        <f>'Bldgs &amp; Rooms'!$B$11</f>
        <v>0</v>
      </c>
      <c r="C360" s="14" t="str">
        <f>Hours!$A$27</f>
        <v>Automatic Transfer Switch (ATS) &gt; 100A</v>
      </c>
      <c r="D360" s="15">
        <f t="shared" si="10"/>
        <v>0</v>
      </c>
      <c r="E360" s="16">
        <f>IF('Components Yr 1'!E360=0,0,'Components Yr 1'!E360)</f>
        <v>0</v>
      </c>
      <c r="F360" s="17">
        <f>IF('Components Yr 1'!F360=0,0,'Components Yr 1'!F360)</f>
        <v>0</v>
      </c>
      <c r="G360" s="17">
        <f>IF('Components Yr 1'!G360=0,0,'Components Yr 1'!G360)</f>
        <v>0</v>
      </c>
      <c r="H360" s="17">
        <f>IF('Components Yr 1'!H360=0,0,'Components Yr 1'!H360)</f>
        <v>0</v>
      </c>
      <c r="I360" s="17">
        <f>IF('Components Yr 1'!I360=0,0,'Components Yr 1'!I360)</f>
        <v>0</v>
      </c>
      <c r="J360" s="17">
        <f>IF('Components Yr 1'!J360=0,0,'Components Yr 1'!J360)</f>
        <v>0</v>
      </c>
      <c r="K360" s="12"/>
      <c r="L360" s="12"/>
      <c r="M360" s="12"/>
      <c r="N360" s="12"/>
      <c r="O360" s="12"/>
      <c r="P360" s="12"/>
      <c r="Q360" s="17"/>
      <c r="R360" s="18">
        <f>IF(SUMPRODUCT((E360:Q360)*1)=0,0,E360*INDEX(Hours!M:M,MATCH(C360,Hours!$A:$A,0))+F360*INDEX(Hours!B:B,MATCH(C360,Hours!$A:$A,0))+G360*INDEX(Hours!C:C,MATCH(C360,Hours!$A:$A,0))+H360*INDEX(Hours!D:D,MATCH(C360,Hours!$A:$A,0))+I360*INDEX(Hours!E:E,MATCH(C360,Hours!$A:$A,0))+J360*INDEX(Hours!F:F,MATCH(C360,Hours!$A:$A,0)))</f>
        <v>0</v>
      </c>
      <c r="S360" s="19">
        <f t="shared" si="11"/>
        <v>0</v>
      </c>
    </row>
    <row r="361" spans="1:19" x14ac:dyDescent="0.25">
      <c r="A361" s="15" t="str">
        <f>'Bldgs &amp; Rooms'!$A$11</f>
        <v>Main Bldg.</v>
      </c>
      <c r="B361" s="15">
        <f>'Bldgs &amp; Rooms'!$B$11</f>
        <v>0</v>
      </c>
      <c r="C361" s="14" t="str">
        <f>Hours!$A$28</f>
        <v>Manual Transfer Switch (MTS) &gt; 100A</v>
      </c>
      <c r="D361" s="15">
        <f t="shared" si="10"/>
        <v>0</v>
      </c>
      <c r="E361" s="16">
        <f>IF('Components Yr 1'!E361=0,0,'Components Yr 1'!E361)</f>
        <v>0</v>
      </c>
      <c r="F361" s="17">
        <f>IF('Components Yr 1'!F361=0,0,'Components Yr 1'!F361)</f>
        <v>0</v>
      </c>
      <c r="G361" s="17">
        <f>IF('Components Yr 1'!G361=0,0,'Components Yr 1'!G361)</f>
        <v>0</v>
      </c>
      <c r="H361" s="17">
        <f>IF('Components Yr 1'!H361=0,0,'Components Yr 1'!H361)</f>
        <v>0</v>
      </c>
      <c r="I361" s="17">
        <f>IF('Components Yr 1'!I361=0,0,'Components Yr 1'!I361)</f>
        <v>0</v>
      </c>
      <c r="J361" s="17">
        <f>IF('Components Yr 1'!J361=0,0,'Components Yr 1'!J361)</f>
        <v>0</v>
      </c>
      <c r="K361" s="12"/>
      <c r="L361" s="12"/>
      <c r="M361" s="12"/>
      <c r="N361" s="12"/>
      <c r="O361" s="12"/>
      <c r="P361" s="12"/>
      <c r="Q361" s="17"/>
      <c r="R361" s="18">
        <f>IF(SUMPRODUCT((E361:Q361)*1)=0,0,E361*INDEX(Hours!M:M,MATCH(C361,Hours!$A:$A,0))+F361*INDEX(Hours!B:B,MATCH(C361,Hours!$A:$A,0))+G361*INDEX(Hours!C:C,MATCH(C361,Hours!$A:$A,0))+H361*INDEX(Hours!D:D,MATCH(C361,Hours!$A:$A,0))+I361*INDEX(Hours!E:E,MATCH(C361,Hours!$A:$A,0))+J361*INDEX(Hours!F:F,MATCH(C361,Hours!$A:$A,0)))</f>
        <v>0</v>
      </c>
      <c r="S361" s="19">
        <f t="shared" si="11"/>
        <v>0</v>
      </c>
    </row>
    <row r="362" spans="1:19" x14ac:dyDescent="0.25">
      <c r="A362" s="15" t="str">
        <f>'Bldgs &amp; Rooms'!$A$11</f>
        <v>Main Bldg.</v>
      </c>
      <c r="B362" s="15">
        <f>'Bldgs &amp; Rooms'!$B$11</f>
        <v>0</v>
      </c>
      <c r="C362" s="14" t="str">
        <f>Hours!$A$29</f>
        <v>Variable Frequency Drives (VFD) &lt; 50 HP</v>
      </c>
      <c r="D362" s="15">
        <f t="shared" si="10"/>
        <v>0</v>
      </c>
      <c r="E362" s="16">
        <f>IF('Components Yr 1'!E362=0,0,'Components Yr 1'!E362)</f>
        <v>0</v>
      </c>
      <c r="F362" s="17">
        <f>IF('Components Yr 1'!F362=0,0,'Components Yr 1'!F362)</f>
        <v>0</v>
      </c>
      <c r="G362" s="17">
        <f>IF('Components Yr 1'!G362=0,0,'Components Yr 1'!G362)</f>
        <v>0</v>
      </c>
      <c r="H362" s="17">
        <f>IF('Components Yr 1'!H362=0,0,'Components Yr 1'!H362)</f>
        <v>0</v>
      </c>
      <c r="I362" s="17">
        <f>IF('Components Yr 1'!I362=0,0,'Components Yr 1'!I362)</f>
        <v>0</v>
      </c>
      <c r="J362" s="17">
        <f>IF('Components Yr 1'!J362=0,0,'Components Yr 1'!J362)</f>
        <v>0</v>
      </c>
      <c r="K362" s="12"/>
      <c r="L362" s="12"/>
      <c r="M362" s="12"/>
      <c r="N362" s="12"/>
      <c r="O362" s="12"/>
      <c r="P362" s="12"/>
      <c r="Q362" s="17"/>
      <c r="R362" s="18">
        <f>IF(SUMPRODUCT((E362:Q362)*1)=0,0,E362*INDEX(Hours!M:M,MATCH(C362,Hours!$A:$A,0))+F362*INDEX(Hours!B:B,MATCH(C362,Hours!$A:$A,0))+G362*INDEX(Hours!C:C,MATCH(C362,Hours!$A:$A,0))+H362*INDEX(Hours!D:D,MATCH(C362,Hours!$A:$A,0))+I362*INDEX(Hours!E:E,MATCH(C362,Hours!$A:$A,0))+J362*INDEX(Hours!F:F,MATCH(C362,Hours!$A:$A,0)))</f>
        <v>0</v>
      </c>
      <c r="S362" s="19">
        <f t="shared" si="11"/>
        <v>0</v>
      </c>
    </row>
    <row r="363" spans="1:19" x14ac:dyDescent="0.25">
      <c r="A363" s="15" t="str">
        <f>'Bldgs &amp; Rooms'!$A$11</f>
        <v>Main Bldg.</v>
      </c>
      <c r="B363" s="15">
        <f>'Bldgs &amp; Rooms'!$B$11</f>
        <v>0</v>
      </c>
      <c r="C363" s="14" t="str">
        <f>Hours!$A$30</f>
        <v>Variable Frequency Drives (VFD) 51-200 HP</v>
      </c>
      <c r="D363" s="15">
        <f t="shared" si="10"/>
        <v>0</v>
      </c>
      <c r="E363" s="16">
        <f>IF('Components Yr 1'!E363=0,0,'Components Yr 1'!E363)</f>
        <v>0</v>
      </c>
      <c r="F363" s="17">
        <f>IF('Components Yr 1'!F363=0,0,'Components Yr 1'!F363)</f>
        <v>0</v>
      </c>
      <c r="G363" s="17">
        <f>IF('Components Yr 1'!G363=0,0,'Components Yr 1'!G363)</f>
        <v>0</v>
      </c>
      <c r="H363" s="17">
        <f>IF('Components Yr 1'!H363=0,0,'Components Yr 1'!H363)</f>
        <v>0</v>
      </c>
      <c r="I363" s="17">
        <f>IF('Components Yr 1'!I363=0,0,'Components Yr 1'!I363)</f>
        <v>0</v>
      </c>
      <c r="J363" s="17">
        <f>IF('Components Yr 1'!J363=0,0,'Components Yr 1'!J363)</f>
        <v>0</v>
      </c>
      <c r="K363" s="12"/>
      <c r="L363" s="12"/>
      <c r="M363" s="12"/>
      <c r="N363" s="12"/>
      <c r="O363" s="12"/>
      <c r="P363" s="12"/>
      <c r="Q363" s="17"/>
      <c r="R363" s="18">
        <f>IF(SUMPRODUCT((E363:Q363)*1)=0,0,E363*INDEX(Hours!M:M,MATCH(C363,Hours!$A:$A,0))+F363*INDEX(Hours!B:B,MATCH(C363,Hours!$A:$A,0))+G363*INDEX(Hours!C:C,MATCH(C363,Hours!$A:$A,0))+H363*INDEX(Hours!D:D,MATCH(C363,Hours!$A:$A,0))+I363*INDEX(Hours!E:E,MATCH(C363,Hours!$A:$A,0))+J363*INDEX(Hours!F:F,MATCH(C363,Hours!$A:$A,0)))</f>
        <v>0</v>
      </c>
      <c r="S363" s="19">
        <f t="shared" si="11"/>
        <v>0</v>
      </c>
    </row>
    <row r="364" spans="1:19" x14ac:dyDescent="0.25">
      <c r="A364" s="15" t="str">
        <f>'Bldgs &amp; Rooms'!$A$11</f>
        <v>Main Bldg.</v>
      </c>
      <c r="B364" s="15">
        <f>'Bldgs &amp; Rooms'!$B$11</f>
        <v>0</v>
      </c>
      <c r="C364" s="14" t="str">
        <f>Hours!$A$31</f>
        <v>Motors &lt; 50 HP</v>
      </c>
      <c r="D364" s="15">
        <f t="shared" si="10"/>
        <v>0</v>
      </c>
      <c r="E364" s="16">
        <f>IF('Components Yr 1'!E364=0,0,'Components Yr 1'!E364)</f>
        <v>0</v>
      </c>
      <c r="F364" s="17">
        <f>IF('Components Yr 1'!F364=0,0,'Components Yr 1'!F364)</f>
        <v>0</v>
      </c>
      <c r="G364" s="17">
        <f>IF('Components Yr 1'!G364=0,0,'Components Yr 1'!G364)</f>
        <v>0</v>
      </c>
      <c r="H364" s="17">
        <f>IF('Components Yr 1'!H364=0,0,'Components Yr 1'!H364)</f>
        <v>0</v>
      </c>
      <c r="I364" s="17">
        <f>IF('Components Yr 1'!I364=0,0,'Components Yr 1'!I364)</f>
        <v>0</v>
      </c>
      <c r="J364" s="17">
        <f>IF('Components Yr 1'!J364=0,0,'Components Yr 1'!J364)</f>
        <v>0</v>
      </c>
      <c r="K364" s="12"/>
      <c r="L364" s="12"/>
      <c r="M364" s="12"/>
      <c r="N364" s="12"/>
      <c r="O364" s="12"/>
      <c r="P364" s="12"/>
      <c r="Q364" s="17"/>
      <c r="R364" s="18">
        <f>IF(SUMPRODUCT((E364:Q364)*1)=0,0,E364*INDEX(Hours!M:M,MATCH(C364,Hours!$A:$A,0))+F364*INDEX(Hours!B:B,MATCH(C364,Hours!$A:$A,0))+G364*INDEX(Hours!C:C,MATCH(C364,Hours!$A:$A,0))+H364*INDEX(Hours!D:D,MATCH(C364,Hours!$A:$A,0))+I364*INDEX(Hours!E:E,MATCH(C364,Hours!$A:$A,0))+J364*INDEX(Hours!F:F,MATCH(C364,Hours!$A:$A,0)))</f>
        <v>0</v>
      </c>
      <c r="S364" s="19">
        <f t="shared" si="11"/>
        <v>0</v>
      </c>
    </row>
    <row r="365" spans="1:19" x14ac:dyDescent="0.25">
      <c r="A365" s="15" t="str">
        <f>'Bldgs &amp; Rooms'!$A$11</f>
        <v>Main Bldg.</v>
      </c>
      <c r="B365" s="15">
        <f>'Bldgs &amp; Rooms'!$B$11</f>
        <v>0</v>
      </c>
      <c r="C365" s="14" t="str">
        <f>Hours!$A$32</f>
        <v>Motors 51-200 HP</v>
      </c>
      <c r="D365" s="15">
        <f t="shared" si="10"/>
        <v>0</v>
      </c>
      <c r="E365" s="16">
        <f>IF('Components Yr 1'!E365=0,0,'Components Yr 1'!E365)</f>
        <v>0</v>
      </c>
      <c r="F365" s="17">
        <f>IF('Components Yr 1'!F365=0,0,'Components Yr 1'!F365)</f>
        <v>0</v>
      </c>
      <c r="G365" s="17">
        <f>IF('Components Yr 1'!G365=0,0,'Components Yr 1'!G365)</f>
        <v>0</v>
      </c>
      <c r="H365" s="17">
        <f>IF('Components Yr 1'!H365=0,0,'Components Yr 1'!H365)</f>
        <v>0</v>
      </c>
      <c r="I365" s="17">
        <f>IF('Components Yr 1'!I365=0,0,'Components Yr 1'!I365)</f>
        <v>0</v>
      </c>
      <c r="J365" s="17">
        <f>IF('Components Yr 1'!J365=0,0,'Components Yr 1'!J365)</f>
        <v>0</v>
      </c>
      <c r="K365" s="12"/>
      <c r="L365" s="12"/>
      <c r="M365" s="12"/>
      <c r="N365" s="12"/>
      <c r="O365" s="12"/>
      <c r="P365" s="12"/>
      <c r="Q365" s="17"/>
      <c r="R365" s="18">
        <f>IF(SUMPRODUCT((E365:Q365)*1)=0,0,E365*INDEX(Hours!M:M,MATCH(C365,Hours!$A:$A,0))+F365*INDEX(Hours!B:B,MATCH(C365,Hours!$A:$A,0))+G365*INDEX(Hours!C:C,MATCH(C365,Hours!$A:$A,0))+H365*INDEX(Hours!D:D,MATCH(C365,Hours!$A:$A,0))+I365*INDEX(Hours!E:E,MATCH(C365,Hours!$A:$A,0))+J365*INDEX(Hours!F:F,MATCH(C365,Hours!$A:$A,0)))</f>
        <v>0</v>
      </c>
      <c r="S365" s="19">
        <f t="shared" si="11"/>
        <v>0</v>
      </c>
    </row>
    <row r="366" spans="1:19" x14ac:dyDescent="0.25">
      <c r="A366" s="15" t="str">
        <f>'Bldgs &amp; Rooms'!$A$11</f>
        <v>Main Bldg.</v>
      </c>
      <c r="B366" s="15">
        <f>'Bldgs &amp; Rooms'!$B$11</f>
        <v>0</v>
      </c>
      <c r="C366" s="14" t="str">
        <f>Hours!$A$33</f>
        <v>Motors 201-500 HP</v>
      </c>
      <c r="D366" s="15">
        <f t="shared" si="10"/>
        <v>0</v>
      </c>
      <c r="E366" s="16">
        <f>IF('Components Yr 1'!E366=0,0,'Components Yr 1'!E366)</f>
        <v>0</v>
      </c>
      <c r="F366" s="17">
        <f>IF('Components Yr 1'!F366=0,0,'Components Yr 1'!F366)</f>
        <v>0</v>
      </c>
      <c r="G366" s="17">
        <f>IF('Components Yr 1'!G366=0,0,'Components Yr 1'!G366)</f>
        <v>0</v>
      </c>
      <c r="H366" s="17">
        <f>IF('Components Yr 1'!H366=0,0,'Components Yr 1'!H366)</f>
        <v>0</v>
      </c>
      <c r="I366" s="17">
        <f>IF('Components Yr 1'!I366=0,0,'Components Yr 1'!I366)</f>
        <v>0</v>
      </c>
      <c r="J366" s="17">
        <f>IF('Components Yr 1'!J366=0,0,'Components Yr 1'!J366)</f>
        <v>0</v>
      </c>
      <c r="K366" s="12"/>
      <c r="L366" s="12"/>
      <c r="M366" s="12"/>
      <c r="N366" s="12"/>
      <c r="O366" s="12"/>
      <c r="P366" s="12"/>
      <c r="Q366" s="17"/>
      <c r="R366" s="18">
        <f>IF(SUMPRODUCT((E366:Q366)*1)=0,0,E366*INDEX(Hours!M:M,MATCH(C366,Hours!$A:$A,0))+F366*INDEX(Hours!B:B,MATCH(C366,Hours!$A:$A,0))+G366*INDEX(Hours!C:C,MATCH(C366,Hours!$A:$A,0))+H366*INDEX(Hours!D:D,MATCH(C366,Hours!$A:$A,0))+I366*INDEX(Hours!E:E,MATCH(C366,Hours!$A:$A,0))+J366*INDEX(Hours!F:F,MATCH(C366,Hours!$A:$A,0)))</f>
        <v>0</v>
      </c>
      <c r="S366" s="19">
        <f t="shared" si="11"/>
        <v>0</v>
      </c>
    </row>
    <row r="367" spans="1:19" x14ac:dyDescent="0.25">
      <c r="A367" s="15" t="str">
        <f>'Bldgs &amp; Rooms'!$A$11</f>
        <v>Main Bldg.</v>
      </c>
      <c r="B367" s="15">
        <f>'Bldgs &amp; Rooms'!$B$11</f>
        <v>0</v>
      </c>
      <c r="C367" s="14" t="str">
        <f>Hours!$A$34</f>
        <v>Compressed Air Equipment</v>
      </c>
      <c r="D367" s="15">
        <f t="shared" si="10"/>
        <v>0</v>
      </c>
      <c r="E367" s="16">
        <f>IF('Components Yr 1'!E367=0,0,'Components Yr 1'!E367)</f>
        <v>0</v>
      </c>
      <c r="F367" s="17">
        <f>IF('Components Yr 1'!F367=0,0,'Components Yr 1'!F367)</f>
        <v>0</v>
      </c>
      <c r="G367" s="17">
        <f>IF('Components Yr 1'!G367=0,0,'Components Yr 1'!G367)</f>
        <v>0</v>
      </c>
      <c r="H367" s="17">
        <f>IF('Components Yr 1'!H367=0,0,'Components Yr 1'!H367)</f>
        <v>0</v>
      </c>
      <c r="I367" s="17">
        <f>IF('Components Yr 1'!I367=0,0,'Components Yr 1'!I367)</f>
        <v>0</v>
      </c>
      <c r="J367" s="17">
        <f>IF('Components Yr 1'!J367=0,0,'Components Yr 1'!J367)</f>
        <v>0</v>
      </c>
      <c r="K367" s="12"/>
      <c r="L367" s="12"/>
      <c r="M367" s="12"/>
      <c r="N367" s="12"/>
      <c r="O367" s="12"/>
      <c r="P367" s="12"/>
      <c r="Q367" s="17"/>
      <c r="R367" s="18">
        <f>IF(SUMPRODUCT((E367:Q367)*1)=0,0,E367*INDEX(Hours!M:M,MATCH(C367,Hours!$A:$A,0))+F367*INDEX(Hours!B:B,MATCH(C367,Hours!$A:$A,0))+G367*INDEX(Hours!C:C,MATCH(C367,Hours!$A:$A,0))+H367*INDEX(Hours!D:D,MATCH(C367,Hours!$A:$A,0))+I367*INDEX(Hours!E:E,MATCH(C367,Hours!$A:$A,0))+J367*INDEX(Hours!F:F,MATCH(C367,Hours!$A:$A,0)))</f>
        <v>0</v>
      </c>
      <c r="S367" s="19">
        <f t="shared" si="11"/>
        <v>0</v>
      </c>
    </row>
    <row r="368" spans="1:19" x14ac:dyDescent="0.25">
      <c r="A368" s="15" t="str">
        <f>'Bldgs &amp; Rooms'!$A$11</f>
        <v>Main Bldg.</v>
      </c>
      <c r="B368" s="15">
        <f>'Bldgs &amp; Rooms'!$B$11</f>
        <v>0</v>
      </c>
      <c r="C368" s="14" t="str">
        <f>Hours!$A$35</f>
        <v>HVAC Equipment (Large)</v>
      </c>
      <c r="D368" s="15">
        <f t="shared" si="10"/>
        <v>0</v>
      </c>
      <c r="E368" s="16">
        <f>IF('Components Yr 1'!E368=0,0,'Components Yr 1'!E368)</f>
        <v>0</v>
      </c>
      <c r="F368" s="17">
        <f>IF('Components Yr 1'!F368=0,0,'Components Yr 1'!F368)</f>
        <v>0</v>
      </c>
      <c r="G368" s="17">
        <f>IF('Components Yr 1'!G368=0,0,'Components Yr 1'!G368)</f>
        <v>0</v>
      </c>
      <c r="H368" s="17">
        <f>IF('Components Yr 1'!H368=0,0,'Components Yr 1'!H368)</f>
        <v>0</v>
      </c>
      <c r="I368" s="17">
        <f>IF('Components Yr 1'!I368=0,0,'Components Yr 1'!I368)</f>
        <v>0</v>
      </c>
      <c r="J368" s="17">
        <f>IF('Components Yr 1'!J368=0,0,'Components Yr 1'!J368)</f>
        <v>0</v>
      </c>
      <c r="K368" s="12"/>
      <c r="L368" s="12"/>
      <c r="M368" s="12"/>
      <c r="N368" s="12"/>
      <c r="O368" s="12"/>
      <c r="P368" s="12"/>
      <c r="Q368" s="17"/>
      <c r="R368" s="18">
        <f>IF(SUMPRODUCT((E368:Q368)*1)=0,0,E368*INDEX(Hours!M:M,MATCH(C368,Hours!$A:$A,0))+F368*INDEX(Hours!B:B,MATCH(C368,Hours!$A:$A,0))+G368*INDEX(Hours!C:C,MATCH(C368,Hours!$A:$A,0))+H368*INDEX(Hours!D:D,MATCH(C368,Hours!$A:$A,0))+I368*INDEX(Hours!E:E,MATCH(C368,Hours!$A:$A,0))+J368*INDEX(Hours!F:F,MATCH(C368,Hours!$A:$A,0)))</f>
        <v>0</v>
      </c>
      <c r="S368" s="19">
        <f t="shared" si="11"/>
        <v>0</v>
      </c>
    </row>
    <row r="369" spans="1:19" x14ac:dyDescent="0.25">
      <c r="A369" s="15" t="str">
        <f>'Bldgs &amp; Rooms'!$A$11</f>
        <v>Main Bldg.</v>
      </c>
      <c r="B369" s="15">
        <f>'Bldgs &amp; Rooms'!$B$11</f>
        <v>0</v>
      </c>
      <c r="C369" s="14" t="str">
        <f>Hours!$A$36</f>
        <v>HVAC Equipment (Small)</v>
      </c>
      <c r="D369" s="15">
        <f t="shared" si="10"/>
        <v>0</v>
      </c>
      <c r="E369" s="16">
        <f>IF('Components Yr 1'!E369=0,0,'Components Yr 1'!E369)</f>
        <v>0</v>
      </c>
      <c r="F369" s="17">
        <f>IF('Components Yr 1'!F369=0,0,'Components Yr 1'!F369)</f>
        <v>0</v>
      </c>
      <c r="G369" s="17">
        <f>IF('Components Yr 1'!G369=0,0,'Components Yr 1'!G369)</f>
        <v>0</v>
      </c>
      <c r="H369" s="17">
        <f>IF('Components Yr 1'!H369=0,0,'Components Yr 1'!H369)</f>
        <v>0</v>
      </c>
      <c r="I369" s="17">
        <f>IF('Components Yr 1'!I369=0,0,'Components Yr 1'!I369)</f>
        <v>0</v>
      </c>
      <c r="J369" s="17">
        <f>IF('Components Yr 1'!J369=0,0,'Components Yr 1'!J369)</f>
        <v>0</v>
      </c>
      <c r="K369" s="12"/>
      <c r="L369" s="12"/>
      <c r="M369" s="12"/>
      <c r="N369" s="12"/>
      <c r="O369" s="12"/>
      <c r="P369" s="12"/>
      <c r="Q369" s="17"/>
      <c r="R369" s="18">
        <f>IF(SUMPRODUCT((E369:Q369)*1)=0,0,E369*INDEX(Hours!M:M,MATCH(C369,Hours!$A:$A,0))+F369*INDEX(Hours!B:B,MATCH(C369,Hours!$A:$A,0))+G369*INDEX(Hours!C:C,MATCH(C369,Hours!$A:$A,0))+H369*INDEX(Hours!D:D,MATCH(C369,Hours!$A:$A,0))+I369*INDEX(Hours!E:E,MATCH(C369,Hours!$A:$A,0))+J369*INDEX(Hours!F:F,MATCH(C369,Hours!$A:$A,0)))</f>
        <v>0</v>
      </c>
      <c r="S369" s="19">
        <f t="shared" si="11"/>
        <v>0</v>
      </c>
    </row>
    <row r="370" spans="1:19" x14ac:dyDescent="0.25">
      <c r="A370" s="15" t="str">
        <f>'Bldgs &amp; Rooms'!$A$11</f>
        <v>Main Bldg.</v>
      </c>
      <c r="B370" s="15">
        <f>'Bldgs &amp; Rooms'!$B$11</f>
        <v>0</v>
      </c>
      <c r="C370" s="14" t="str">
        <f>Hours!$A$37</f>
        <v>Uninterruptible Power Supply (UPS) &lt; 50kVA</v>
      </c>
      <c r="D370" s="15">
        <f t="shared" si="10"/>
        <v>0</v>
      </c>
      <c r="E370" s="16">
        <f>IF('Components Yr 1'!E370=0,0,'Components Yr 1'!E370)</f>
        <v>0</v>
      </c>
      <c r="F370" s="17">
        <f>IF('Components Yr 1'!F370=0,0,'Components Yr 1'!F370)</f>
        <v>0</v>
      </c>
      <c r="G370" s="17">
        <f>IF('Components Yr 1'!G370=0,0,'Components Yr 1'!G370)</f>
        <v>0</v>
      </c>
      <c r="H370" s="17">
        <f>IF('Components Yr 1'!H370=0,0,'Components Yr 1'!H370)</f>
        <v>0</v>
      </c>
      <c r="I370" s="17">
        <f>IF('Components Yr 1'!I370=0,0,'Components Yr 1'!I370)</f>
        <v>0</v>
      </c>
      <c r="J370" s="17">
        <f>IF('Components Yr 1'!J370=0,0,'Components Yr 1'!J370)</f>
        <v>0</v>
      </c>
      <c r="K370" s="12"/>
      <c r="L370" s="12"/>
      <c r="M370" s="12"/>
      <c r="N370" s="12"/>
      <c r="O370" s="12"/>
      <c r="P370" s="12"/>
      <c r="Q370" s="17"/>
      <c r="R370" s="18">
        <f>IF(SUMPRODUCT((E370:Q370)*1)=0,0,E370*INDEX(Hours!M:M,MATCH(C370,Hours!$A:$A,0))+F370*INDEX(Hours!B:B,MATCH(C370,Hours!$A:$A,0))+G370*INDEX(Hours!C:C,MATCH(C370,Hours!$A:$A,0))+H370*INDEX(Hours!D:D,MATCH(C370,Hours!$A:$A,0))+I370*INDEX(Hours!E:E,MATCH(C370,Hours!$A:$A,0))+J370*INDEX(Hours!F:F,MATCH(C370,Hours!$A:$A,0)))</f>
        <v>0</v>
      </c>
      <c r="S370" s="19">
        <f t="shared" si="11"/>
        <v>0</v>
      </c>
    </row>
    <row r="371" spans="1:19" x14ac:dyDescent="0.25">
      <c r="A371" s="15" t="str">
        <f>'Bldgs &amp; Rooms'!$A$11</f>
        <v>Main Bldg.</v>
      </c>
      <c r="B371" s="15">
        <f>'Bldgs &amp; Rooms'!$B$11</f>
        <v>0</v>
      </c>
      <c r="C371" s="14" t="str">
        <f>Hours!$A$38</f>
        <v>Uninterruptible Power Supply (UPS) &gt; 50kVA</v>
      </c>
      <c r="D371" s="15">
        <f t="shared" si="10"/>
        <v>0</v>
      </c>
      <c r="E371" s="16">
        <f>IF('Components Yr 1'!E371=0,0,'Components Yr 1'!E371)</f>
        <v>0</v>
      </c>
      <c r="F371" s="17">
        <f>IF('Components Yr 1'!F371=0,0,'Components Yr 1'!F371)</f>
        <v>0</v>
      </c>
      <c r="G371" s="17">
        <f>IF('Components Yr 1'!G371=0,0,'Components Yr 1'!G371)</f>
        <v>0</v>
      </c>
      <c r="H371" s="17">
        <f>IF('Components Yr 1'!H371=0,0,'Components Yr 1'!H371)</f>
        <v>0</v>
      </c>
      <c r="I371" s="17">
        <f>IF('Components Yr 1'!I371=0,0,'Components Yr 1'!I371)</f>
        <v>0</v>
      </c>
      <c r="J371" s="17">
        <f>IF('Components Yr 1'!J371=0,0,'Components Yr 1'!J371)</f>
        <v>0</v>
      </c>
      <c r="K371" s="12"/>
      <c r="L371" s="12"/>
      <c r="M371" s="12"/>
      <c r="N371" s="12"/>
      <c r="O371" s="12"/>
      <c r="P371" s="12"/>
      <c r="Q371" s="17"/>
      <c r="R371" s="18">
        <f>IF(SUMPRODUCT((E371:Q371)*1)=0,0,E371*INDEX(Hours!M:M,MATCH(C371,Hours!$A:$A,0))+F371*INDEX(Hours!B:B,MATCH(C371,Hours!$A:$A,0))+G371*INDEX(Hours!C:C,MATCH(C371,Hours!$A:$A,0))+H371*INDEX(Hours!D:D,MATCH(C371,Hours!$A:$A,0))+I371*INDEX(Hours!E:E,MATCH(C371,Hours!$A:$A,0))+J371*INDEX(Hours!F:F,MATCH(C371,Hours!$A:$A,0)))</f>
        <v>0</v>
      </c>
      <c r="S371" s="19">
        <f t="shared" si="11"/>
        <v>0</v>
      </c>
    </row>
    <row r="372" spans="1:19" x14ac:dyDescent="0.25">
      <c r="A372" s="11" t="str">
        <f>'Bldgs &amp; Rooms'!$A$12</f>
        <v>Main Bldg.</v>
      </c>
      <c r="B372" s="11">
        <f>'Bldgs &amp; Rooms'!$B$12</f>
        <v>0</v>
      </c>
      <c r="C372" s="10" t="str">
        <f>Hours!$A$2</f>
        <v>Switchgear - Incoming Main Service (Per Section)</v>
      </c>
      <c r="D372" s="11">
        <f t="shared" si="10"/>
        <v>0</v>
      </c>
      <c r="E372" s="16">
        <f>IF('Components Yr 1'!E372=0,0,'Components Yr 1'!E372)</f>
        <v>0</v>
      </c>
      <c r="F372" s="17">
        <f>IF('Components Yr 1'!F372=0,0,'Components Yr 1'!F372)</f>
        <v>0</v>
      </c>
      <c r="G372" s="17">
        <f>IF('Components Yr 1'!G372=0,0,'Components Yr 1'!G372)</f>
        <v>0</v>
      </c>
      <c r="H372" s="17">
        <f>IF('Components Yr 1'!H372=0,0,'Components Yr 1'!H372)</f>
        <v>0</v>
      </c>
      <c r="I372" s="17">
        <f>IF('Components Yr 1'!I372=0,0,'Components Yr 1'!I372)</f>
        <v>0</v>
      </c>
      <c r="J372" s="17">
        <f>IF('Components Yr 1'!J372=0,0,'Components Yr 1'!J372)</f>
        <v>0</v>
      </c>
      <c r="K372" s="17">
        <f>IF('Components Yr 1'!K372=0,0,'Components Yr 1'!K372)</f>
        <v>0</v>
      </c>
      <c r="L372" s="17">
        <f>IF('Components Yr 1'!L372=0,0,'Components Yr 1'!L372)</f>
        <v>0</v>
      </c>
      <c r="M372" s="12"/>
      <c r="N372" s="12"/>
      <c r="O372" s="17">
        <f>IF('Components Yr 1'!O372=0,0,'Components Yr 1'!O372)</f>
        <v>0</v>
      </c>
      <c r="P372" s="12"/>
      <c r="Q372" s="17"/>
      <c r="R372" s="18">
        <f>IF(SUMPRODUCT((E372:Q372)*1)=0,0,E372*INDEX(Hours!M:M,MATCH(C372,Hours!$A:$A,0))+F372*INDEX(Hours!B:B,MATCH(C372,Hours!$A:$A,0))+G372*INDEX(Hours!C:C,MATCH(C372,Hours!$A:$A,0))+H372*INDEX(Hours!D:D,MATCH(C372,Hours!$A:$A,0))+I372*INDEX(Hours!E:E,MATCH(C372,Hours!$A:$A,0))+J372*INDEX(Hours!F:F,MATCH(C372,Hours!$A:$A,0))+K372*INDEX(Hours!G:G,MATCH(C372,Hours!$A:$A,0))+L372*INDEX(Hours!H:H,MATCH(C372,Hours!$A:$A,0))+O372*INDEX(Hours!K:K,MATCH(C372,Hours!$A:$A,0)))</f>
        <v>0</v>
      </c>
      <c r="S372" s="19">
        <f t="shared" si="11"/>
        <v>0</v>
      </c>
    </row>
    <row r="373" spans="1:19" x14ac:dyDescent="0.25">
      <c r="A373" s="11" t="str">
        <f>'Bldgs &amp; Rooms'!$A$12</f>
        <v>Main Bldg.</v>
      </c>
      <c r="B373" s="11">
        <f>'Bldgs &amp; Rooms'!$B$12</f>
        <v>0</v>
      </c>
      <c r="C373" s="10" t="str">
        <f>Hours!$A$3</f>
        <v xml:space="preserve">  Switchgear Insulated Case Breakers (Bus Mounted)</v>
      </c>
      <c r="D373" s="11">
        <f t="shared" si="10"/>
        <v>0</v>
      </c>
      <c r="E373" s="16">
        <f>IF('Components Yr 1'!E373=0,0,'Components Yr 1'!E373)</f>
        <v>0</v>
      </c>
      <c r="F373" s="17">
        <f>IF('Components Yr 1'!F373=0,0,'Components Yr 1'!F373)</f>
        <v>0</v>
      </c>
      <c r="G373" s="17">
        <f>IF('Components Yr 1'!G373=0,0,'Components Yr 1'!G373)</f>
        <v>0</v>
      </c>
      <c r="H373" s="17">
        <f>IF('Components Yr 1'!H373=0,0,'Components Yr 1'!H373)</f>
        <v>0</v>
      </c>
      <c r="I373" s="17">
        <f>IF('Components Yr 1'!I373=0,0,'Components Yr 1'!I373)</f>
        <v>0</v>
      </c>
      <c r="J373" s="17">
        <f>IF('Components Yr 1'!J373=0,0,'Components Yr 1'!J373)</f>
        <v>0</v>
      </c>
      <c r="K373" s="17">
        <f>IF('Components Yr 1'!K373=0,0,'Components Yr 1'!K373)</f>
        <v>0</v>
      </c>
      <c r="L373" s="12"/>
      <c r="M373" s="12"/>
      <c r="N373" s="12"/>
      <c r="O373" s="12"/>
      <c r="P373" s="12"/>
      <c r="Q373" s="17"/>
      <c r="R373" s="18">
        <f>IF(SUMPRODUCT((E373:Q373)*1)=0,0,E373*INDEX(Hours!M:M,MATCH(C373,Hours!$A:$A,0))+F373*INDEX(Hours!B:B,MATCH(C373,Hours!$A:$A,0))+G373*INDEX(Hours!C:C,MATCH(C373,Hours!$A:$A,0))+H373*INDEX(Hours!D:D,MATCH(C373,Hours!$A:$A,0))+I373*INDEX(Hours!E:E,MATCH(C373,Hours!$A:$A,0))+J373*INDEX(Hours!F:F,MATCH(C373,Hours!$A:$A,0))+K373*INDEX(Hours!G:G,MATCH(C373,Hours!$A:$A,0)))</f>
        <v>0</v>
      </c>
      <c r="S373" s="19">
        <f t="shared" si="11"/>
        <v>0</v>
      </c>
    </row>
    <row r="374" spans="1:19" x14ac:dyDescent="0.25">
      <c r="A374" s="11" t="str">
        <f>'Bldgs &amp; Rooms'!$A$12</f>
        <v>Main Bldg.</v>
      </c>
      <c r="B374" s="11">
        <f>'Bldgs &amp; Rooms'!$B$12</f>
        <v>0</v>
      </c>
      <c r="C374" s="10" t="str">
        <f>Hours!$A$4</f>
        <v xml:space="preserve">  SwitchGear Drawout Breakers</v>
      </c>
      <c r="D374" s="11">
        <f t="shared" si="10"/>
        <v>0</v>
      </c>
      <c r="E374" s="16">
        <f>IF('Components Yr 1'!E374=0,0,'Components Yr 1'!E374)</f>
        <v>0</v>
      </c>
      <c r="F374" s="17">
        <f>IF('Components Yr 1'!F374=0,0,'Components Yr 1'!F374)</f>
        <v>0</v>
      </c>
      <c r="G374" s="17">
        <f>IF('Components Yr 1'!G374=0,0,'Components Yr 1'!G374)</f>
        <v>0</v>
      </c>
      <c r="H374" s="17">
        <f>IF('Components Yr 1'!H374=0,0,'Components Yr 1'!H374)</f>
        <v>0</v>
      </c>
      <c r="I374" s="17">
        <f>IF('Components Yr 1'!I374=0,0,'Components Yr 1'!I374)</f>
        <v>0</v>
      </c>
      <c r="J374" s="17">
        <f>IF('Components Yr 1'!J374=0,0,'Components Yr 1'!J374)</f>
        <v>0</v>
      </c>
      <c r="K374" s="12"/>
      <c r="L374" s="17">
        <f>IF('Components Yr 1'!L374=0,0,'Components Yr 1'!L374)</f>
        <v>0</v>
      </c>
      <c r="M374" s="12"/>
      <c r="N374" s="12"/>
      <c r="O374" s="12"/>
      <c r="P374" s="12"/>
      <c r="Q374" s="17"/>
      <c r="R374" s="18">
        <f>IF(SUMPRODUCT((E374:Q374)*1)=0,0,E374*INDEX(Hours!M:M,MATCH(C374,Hours!$A:$A,0))+F374*INDEX(Hours!B:B,MATCH(C374,Hours!$A:$A,0))+G374*INDEX(Hours!C:C,MATCH(C374,Hours!$A:$A,0))+H374*INDEX(Hours!D:D,MATCH(C374,Hours!$A:$A,0))+I374*INDEX(Hours!E:E,MATCH(C374,Hours!$A:$A,0))+J374*INDEX(Hours!F:F,MATCH(C374,Hours!$A:$A,0))+L374*INDEX(Hours!H:H,MATCH(C374,Hours!$A:$A,0)))</f>
        <v>0</v>
      </c>
      <c r="S374" s="19">
        <f t="shared" si="11"/>
        <v>0</v>
      </c>
    </row>
    <row r="375" spans="1:19" x14ac:dyDescent="0.25">
      <c r="A375" s="11" t="str">
        <f>'Bldgs &amp; Rooms'!$A$12</f>
        <v>Main Bldg.</v>
      </c>
      <c r="B375" s="11">
        <f>'Bldgs &amp; Rooms'!$B$12</f>
        <v>0</v>
      </c>
      <c r="C375" s="10" t="str">
        <f>Hours!$A$5</f>
        <v>Distribution Switchboard Multi Cover (Per Section)</v>
      </c>
      <c r="D375" s="11">
        <f t="shared" si="10"/>
        <v>0</v>
      </c>
      <c r="E375" s="16">
        <f>IF('Components Yr 1'!E375=0,0,'Components Yr 1'!E375)</f>
        <v>0</v>
      </c>
      <c r="F375" s="17">
        <f>IF('Components Yr 1'!F375=0,0,'Components Yr 1'!F375)</f>
        <v>0</v>
      </c>
      <c r="G375" s="17">
        <f>IF('Components Yr 1'!G375=0,0,'Components Yr 1'!G375)</f>
        <v>0</v>
      </c>
      <c r="H375" s="17">
        <f>IF('Components Yr 1'!H375=0,0,'Components Yr 1'!H375)</f>
        <v>0</v>
      </c>
      <c r="I375" s="17">
        <f>IF('Components Yr 1'!I375=0,0,'Components Yr 1'!I375)</f>
        <v>0</v>
      </c>
      <c r="J375" s="17">
        <f>IF('Components Yr 1'!J375=0,0,'Components Yr 1'!J375)</f>
        <v>0</v>
      </c>
      <c r="K375" s="17">
        <f>IF('Components Yr 1'!K375=0,0,'Components Yr 1'!K375)</f>
        <v>0</v>
      </c>
      <c r="L375" s="12"/>
      <c r="M375" s="12"/>
      <c r="N375" s="12"/>
      <c r="O375" s="17">
        <f>IF('Components Yr 1'!O375=0,0,'Components Yr 1'!O375)</f>
        <v>0</v>
      </c>
      <c r="P375" s="12"/>
      <c r="Q375" s="17"/>
      <c r="R375" s="18">
        <f>IF(SUMPRODUCT((E375:Q375)*1)=0,0,E375*INDEX(Hours!M:M,MATCH(C375,Hours!$A:$A,0))+F375*INDEX(Hours!B:B,MATCH(C375,Hours!$A:$A,0))+G375*INDEX(Hours!C:C,MATCH(C375,Hours!$A:$A,0))+H375*INDEX(Hours!D:D,MATCH(C375,Hours!$A:$A,0))+I375*INDEX(Hours!E:E,MATCH(C375,Hours!$A:$A,0))+J375*INDEX(Hours!F:F,MATCH(C375,Hours!$A:$A,0))+K375*INDEX(Hours!G:G,MATCH(C375,Hours!$A:$A,0))+O375*INDEX(Hours!K:K,MATCH(C375,Hours!$A:$A,0)))</f>
        <v>0</v>
      </c>
      <c r="S375" s="19">
        <f t="shared" si="11"/>
        <v>0</v>
      </c>
    </row>
    <row r="376" spans="1:19" x14ac:dyDescent="0.25">
      <c r="A376" s="11" t="str">
        <f>'Bldgs &amp; Rooms'!$A$12</f>
        <v>Main Bldg.</v>
      </c>
      <c r="B376" s="11">
        <f>'Bldgs &amp; Rooms'!$B$12</f>
        <v>0</v>
      </c>
      <c r="C376" s="10" t="str">
        <f>Hours!$A$6</f>
        <v xml:space="preserve">  Switchboard Disconnects</v>
      </c>
      <c r="D376" s="11">
        <f t="shared" si="10"/>
        <v>0</v>
      </c>
      <c r="E376" s="16">
        <f>IF('Components Yr 1'!E376=0,0,'Components Yr 1'!E376)</f>
        <v>0</v>
      </c>
      <c r="F376" s="17">
        <f>IF('Components Yr 1'!F376=0,0,'Components Yr 1'!F376)</f>
        <v>0</v>
      </c>
      <c r="G376" s="17">
        <f>IF('Components Yr 1'!G376=0,0,'Components Yr 1'!G376)</f>
        <v>0</v>
      </c>
      <c r="H376" s="17">
        <f>IF('Components Yr 1'!H376=0,0,'Components Yr 1'!H376)</f>
        <v>0</v>
      </c>
      <c r="I376" s="17">
        <f>IF('Components Yr 1'!I376=0,0,'Components Yr 1'!I376)</f>
        <v>0</v>
      </c>
      <c r="J376" s="17">
        <f>IF('Components Yr 1'!J376=0,0,'Components Yr 1'!J376)</f>
        <v>0</v>
      </c>
      <c r="K376" s="12"/>
      <c r="L376" s="12"/>
      <c r="M376" s="12"/>
      <c r="N376" s="12"/>
      <c r="O376" s="12"/>
      <c r="P376" s="12"/>
      <c r="Q376" s="17"/>
      <c r="R376" s="18">
        <f>IF(SUMPRODUCT((E376:Q376)*1)=0,0,E376*INDEX(Hours!M:M,MATCH(C376,Hours!$A:$A,0))+F376*INDEX(Hours!B:B,MATCH(C376,Hours!$A:$A,0))+G376*INDEX(Hours!C:C,MATCH(C376,Hours!$A:$A,0))+H376*INDEX(Hours!D:D,MATCH(C376,Hours!$A:$A,0))+I376*INDEX(Hours!E:E,MATCH(C376,Hours!$A:$A,0))+J376*INDEX(Hours!F:F,MATCH(C376,Hours!$A:$A,0)))</f>
        <v>0</v>
      </c>
      <c r="S376" s="19">
        <f t="shared" si="11"/>
        <v>0</v>
      </c>
    </row>
    <row r="377" spans="1:19" x14ac:dyDescent="0.25">
      <c r="A377" s="11" t="str">
        <f>'Bldgs &amp; Rooms'!$A$12</f>
        <v>Main Bldg.</v>
      </c>
      <c r="B377" s="11">
        <f>'Bldgs &amp; Rooms'!$B$12</f>
        <v>0</v>
      </c>
      <c r="C377" s="10" t="str">
        <f>Hours!$A$7</f>
        <v xml:space="preserve">  Switchboard Molded Case Breakers</v>
      </c>
      <c r="D377" s="11">
        <f t="shared" si="10"/>
        <v>0</v>
      </c>
      <c r="E377" s="16">
        <f>IF('Components Yr 1'!E377=0,0,'Components Yr 1'!E377)</f>
        <v>0</v>
      </c>
      <c r="F377" s="17">
        <f>IF('Components Yr 1'!F377=0,0,'Components Yr 1'!F377)</f>
        <v>0</v>
      </c>
      <c r="G377" s="17">
        <f>IF('Components Yr 1'!G377=0,0,'Components Yr 1'!G377)</f>
        <v>0</v>
      </c>
      <c r="H377" s="17">
        <f>IF('Components Yr 1'!H377=0,0,'Components Yr 1'!H377)</f>
        <v>0</v>
      </c>
      <c r="I377" s="17">
        <f>IF('Components Yr 1'!I377=0,0,'Components Yr 1'!I377)</f>
        <v>0</v>
      </c>
      <c r="J377" s="17">
        <f>IF('Components Yr 1'!J377=0,0,'Components Yr 1'!J377)</f>
        <v>0</v>
      </c>
      <c r="K377" s="17">
        <f>IF('Components Yr 1'!K377=0,0,'Components Yr 1'!K377)</f>
        <v>0</v>
      </c>
      <c r="L377" s="12"/>
      <c r="M377" s="12"/>
      <c r="N377" s="12"/>
      <c r="O377" s="12"/>
      <c r="P377" s="12"/>
      <c r="Q377" s="17"/>
      <c r="R377" s="18">
        <f>IF(SUMPRODUCT((E377:Q377)*1)=0,0,E377*INDEX(Hours!M:M,MATCH(C377,Hours!$A:$A,0))+F377*INDEX(Hours!B:B,MATCH(C377,Hours!$A:$A,0))+G377*INDEX(Hours!C:C,MATCH(C377,Hours!$A:$A,0))+H377*INDEX(Hours!D:D,MATCH(C377,Hours!$A:$A,0))+I377*INDEX(Hours!E:E,MATCH(C377,Hours!$A:$A,0))+J377*INDEX(Hours!F:F,MATCH(C377,Hours!$A:$A,0))+K377*INDEX(Hours!G:G,MATCH(C377,Hours!$A:$A,0)))</f>
        <v>0</v>
      </c>
      <c r="S377" s="19">
        <f t="shared" si="11"/>
        <v>0</v>
      </c>
    </row>
    <row r="378" spans="1:19" x14ac:dyDescent="0.25">
      <c r="A378" s="11" t="str">
        <f>'Bldgs &amp; Rooms'!$A$12</f>
        <v>Main Bldg.</v>
      </c>
      <c r="B378" s="11">
        <f>'Bldgs &amp; Rooms'!$B$12</f>
        <v>0</v>
      </c>
      <c r="C378" s="10" t="str">
        <f>Hours!$A$8</f>
        <v>Panelboard-Single Cover &gt; 400A (Distribution Panel)</v>
      </c>
      <c r="D378" s="11">
        <f t="shared" si="10"/>
        <v>0</v>
      </c>
      <c r="E378" s="16">
        <f>IF('Components Yr 1'!E378=0,0,'Components Yr 1'!E378)</f>
        <v>0</v>
      </c>
      <c r="F378" s="17">
        <f>IF('Components Yr 1'!F378=0,0,'Components Yr 1'!F378)</f>
        <v>0</v>
      </c>
      <c r="G378" s="17">
        <f>IF('Components Yr 1'!G378=0,0,'Components Yr 1'!G378)</f>
        <v>0</v>
      </c>
      <c r="H378" s="17">
        <f>IF('Components Yr 1'!H378=0,0,'Components Yr 1'!H378)</f>
        <v>0</v>
      </c>
      <c r="I378" s="17">
        <f>IF('Components Yr 1'!I378=0,0,'Components Yr 1'!I378)</f>
        <v>0</v>
      </c>
      <c r="J378" s="17">
        <f>IF('Components Yr 1'!J378=0,0,'Components Yr 1'!J378)</f>
        <v>0</v>
      </c>
      <c r="K378" s="17">
        <f>IF('Components Yr 1'!K378=0,0,'Components Yr 1'!K378)</f>
        <v>0</v>
      </c>
      <c r="L378" s="12"/>
      <c r="M378" s="12"/>
      <c r="N378" s="12"/>
      <c r="O378" s="17">
        <f>IF('Components Yr 1'!O378=0,0,'Components Yr 1'!O378)</f>
        <v>0</v>
      </c>
      <c r="P378" s="12"/>
      <c r="Q378" s="17"/>
      <c r="R378" s="18">
        <f>IF(SUMPRODUCT((E378:Q378)*1)=0,0,E378*INDEX(Hours!M:M,MATCH(C378,Hours!$A:$A,0))+F378*INDEX(Hours!B:B,MATCH(C378,Hours!$A:$A,0))+G378*INDEX(Hours!C:C,MATCH(C378,Hours!$A:$A,0))+H378*INDEX(Hours!D:D,MATCH(C378,Hours!$A:$A,0))+I378*INDEX(Hours!E:E,MATCH(C378,Hours!$A:$A,0))+J378*INDEX(Hours!F:F,MATCH(C378,Hours!$A:$A,0))+K378*INDEX(Hours!G:G,MATCH(C378,Hours!$A:$A,0))+O378*INDEX(Hours!K:K,MATCH(C378,Hours!$A:$A,0)))</f>
        <v>0</v>
      </c>
      <c r="S378" s="19">
        <f t="shared" si="11"/>
        <v>0</v>
      </c>
    </row>
    <row r="379" spans="1:19" x14ac:dyDescent="0.25">
      <c r="A379" s="11" t="str">
        <f>'Bldgs &amp; Rooms'!$A$12</f>
        <v>Main Bldg.</v>
      </c>
      <c r="B379" s="11">
        <f>'Bldgs &amp; Rooms'!$B$12</f>
        <v>0</v>
      </c>
      <c r="C379" s="10" t="str">
        <f>Hours!$A$9</f>
        <v>Panelboard-Single Cover &lt; 400A (Branch Ckt Panel)</v>
      </c>
      <c r="D379" s="11">
        <f t="shared" si="10"/>
        <v>0</v>
      </c>
      <c r="E379" s="16">
        <f>IF('Components Yr 1'!E379=0,0,'Components Yr 1'!E379)</f>
        <v>0</v>
      </c>
      <c r="F379" s="17">
        <f>IF('Components Yr 1'!F379=0,0,'Components Yr 1'!F379)</f>
        <v>0</v>
      </c>
      <c r="G379" s="17">
        <f>IF('Components Yr 1'!G379=0,0,'Components Yr 1'!G379)</f>
        <v>0</v>
      </c>
      <c r="H379" s="17">
        <f>IF('Components Yr 1'!H379=0,0,'Components Yr 1'!H379)</f>
        <v>0</v>
      </c>
      <c r="I379" s="17">
        <f>IF('Components Yr 1'!I379=0,0,'Components Yr 1'!I379)</f>
        <v>0</v>
      </c>
      <c r="J379" s="17">
        <f>IF('Components Yr 1'!J379=0,0,'Components Yr 1'!J379)</f>
        <v>0</v>
      </c>
      <c r="K379" s="12"/>
      <c r="L379" s="12"/>
      <c r="M379" s="12"/>
      <c r="N379" s="12"/>
      <c r="O379" s="17">
        <f>IF('Components Yr 1'!O379=0,0,'Components Yr 1'!O379)</f>
        <v>0</v>
      </c>
      <c r="P379" s="12"/>
      <c r="Q379" s="17"/>
      <c r="R379" s="18">
        <f>IF(SUMPRODUCT((E379:Q379)*1)=0,0,E379*INDEX(Hours!M:M,MATCH(C379,Hours!$A:$A,0))+F379*INDEX(Hours!B:B,MATCH(C379,Hours!$A:$A,0))+G379*INDEX(Hours!C:C,MATCH(C379,Hours!$A:$A,0))+H379*INDEX(Hours!D:D,MATCH(C379,Hours!$A:$A,0))+I379*INDEX(Hours!E:E,MATCH(C379,Hours!$A:$A,0))+J379*INDEX(Hours!F:F,MATCH(C379,Hours!$A:$A,0))+O379*INDEX(Hours!K:K,MATCH(C379,Hours!$A:$A,0)))</f>
        <v>0</v>
      </c>
      <c r="S379" s="19">
        <f t="shared" si="11"/>
        <v>0</v>
      </c>
    </row>
    <row r="380" spans="1:19" x14ac:dyDescent="0.25">
      <c r="A380" s="11" t="str">
        <f>'Bldgs &amp; Rooms'!$A$12</f>
        <v>Main Bldg.</v>
      </c>
      <c r="B380" s="11">
        <f>'Bldgs &amp; Rooms'!$B$12</f>
        <v>0</v>
      </c>
      <c r="C380" s="10" t="str">
        <f>Hours!$A$10</f>
        <v>Motor Control Center (MCC-Per Vertical Section)</v>
      </c>
      <c r="D380" s="11">
        <f t="shared" si="10"/>
        <v>0</v>
      </c>
      <c r="E380" s="16">
        <f>IF('Components Yr 1'!E380=0,0,'Components Yr 1'!E380)</f>
        <v>0</v>
      </c>
      <c r="F380" s="17">
        <f>IF('Components Yr 1'!F380=0,0,'Components Yr 1'!F380)</f>
        <v>0</v>
      </c>
      <c r="G380" s="17">
        <f>IF('Components Yr 1'!G380=0,0,'Components Yr 1'!G380)</f>
        <v>0</v>
      </c>
      <c r="H380" s="17">
        <f>IF('Components Yr 1'!H380=0,0,'Components Yr 1'!H380)</f>
        <v>0</v>
      </c>
      <c r="I380" s="17">
        <f>IF('Components Yr 1'!I380=0,0,'Components Yr 1'!I380)</f>
        <v>0</v>
      </c>
      <c r="J380" s="17">
        <f>IF('Components Yr 1'!J380=0,0,'Components Yr 1'!J380)</f>
        <v>0</v>
      </c>
      <c r="K380" s="12"/>
      <c r="L380" s="12"/>
      <c r="M380" s="12"/>
      <c r="N380" s="12"/>
      <c r="O380" s="17">
        <f>IF('Components Yr 1'!O380=0,0,'Components Yr 1'!O380)</f>
        <v>0</v>
      </c>
      <c r="P380" s="12"/>
      <c r="Q380" s="17"/>
      <c r="R380" s="18">
        <f>IF(SUMPRODUCT((E380:Q380)*1)=0,0,E380*INDEX(Hours!M:M,MATCH(C380,Hours!$A:$A,0))+F380*INDEX(Hours!B:B,MATCH(C380,Hours!$A:$A,0))+G380*INDEX(Hours!C:C,MATCH(C380,Hours!$A:$A,0))+H380*INDEX(Hours!D:D,MATCH(C380,Hours!$A:$A,0))+I380*INDEX(Hours!E:E,MATCH(C380,Hours!$A:$A,0))+J380*INDEX(Hours!F:F,MATCH(C380,Hours!$A:$A,0))+O380*INDEX(Hours!K:K,MATCH(C380,Hours!$A:$A,0)))</f>
        <v>0</v>
      </c>
      <c r="S380" s="19">
        <f t="shared" si="11"/>
        <v>0</v>
      </c>
    </row>
    <row r="381" spans="1:19" x14ac:dyDescent="0.25">
      <c r="A381" s="11" t="str">
        <f>'Bldgs &amp; Rooms'!$A$12</f>
        <v>Main Bldg.</v>
      </c>
      <c r="B381" s="11">
        <f>'Bldgs &amp; Rooms'!$B$12</f>
        <v>0</v>
      </c>
      <c r="C381" s="10" t="str">
        <f>Hours!$A$11</f>
        <v xml:space="preserve">  MCC: Combination Motor Starters</v>
      </c>
      <c r="D381" s="11">
        <f t="shared" si="10"/>
        <v>0</v>
      </c>
      <c r="E381" s="16">
        <f>IF('Components Yr 1'!E381=0,0,'Components Yr 1'!E381)</f>
        <v>0</v>
      </c>
      <c r="F381" s="17">
        <f>IF('Components Yr 1'!F381=0,0,'Components Yr 1'!F381)</f>
        <v>0</v>
      </c>
      <c r="G381" s="17">
        <f>IF('Components Yr 1'!G381=0,0,'Components Yr 1'!G381)</f>
        <v>0</v>
      </c>
      <c r="H381" s="17">
        <f>IF('Components Yr 1'!H381=0,0,'Components Yr 1'!H381)</f>
        <v>0</v>
      </c>
      <c r="I381" s="17">
        <f>IF('Components Yr 1'!I381=0,0,'Components Yr 1'!I381)</f>
        <v>0</v>
      </c>
      <c r="J381" s="17">
        <f>IF('Components Yr 1'!J381=0,0,'Components Yr 1'!J381)</f>
        <v>0</v>
      </c>
      <c r="K381" s="17">
        <f>IF('Components Yr 1'!K381=0,0,'Components Yr 1'!K381)</f>
        <v>0</v>
      </c>
      <c r="L381" s="12"/>
      <c r="M381" s="12"/>
      <c r="N381" s="12"/>
      <c r="O381" s="17">
        <f>IF('Components Yr 1'!O381=0,0,'Components Yr 1'!O381)</f>
        <v>0</v>
      </c>
      <c r="P381" s="12"/>
      <c r="Q381" s="17"/>
      <c r="R381" s="18">
        <f>IF(SUMPRODUCT((E381:Q381)*1)=0,0,E381*INDEX(Hours!M:M,MATCH(C381,Hours!$A:$A,0))+F381*INDEX(Hours!B:B,MATCH(C381,Hours!$A:$A,0))+G381*INDEX(Hours!C:C,MATCH(C381,Hours!$A:$A,0))+H381*INDEX(Hours!D:D,MATCH(C381,Hours!$A:$A,0))+I381*INDEX(Hours!E:E,MATCH(C381,Hours!$A:$A,0))+J381*INDEX(Hours!F:F,MATCH(C381,Hours!$A:$A,0))+K381*INDEX(Hours!G:G,MATCH(C381,Hours!$A:$A,0))+O381*INDEX(Hours!K:K,MATCH(C381,Hours!$A:$A,0)))</f>
        <v>0</v>
      </c>
      <c r="S381" s="19">
        <f t="shared" si="11"/>
        <v>0</v>
      </c>
    </row>
    <row r="382" spans="1:19" x14ac:dyDescent="0.25">
      <c r="A382" s="11" t="str">
        <f>'Bldgs &amp; Rooms'!$A$12</f>
        <v>Main Bldg.</v>
      </c>
      <c r="B382" s="11">
        <f>'Bldgs &amp; Rooms'!$B$12</f>
        <v>0</v>
      </c>
      <c r="C382" s="10" t="str">
        <f>Hours!$A$12</f>
        <v xml:space="preserve">  MCC: Molded Case Breaker</v>
      </c>
      <c r="D382" s="11">
        <f t="shared" si="10"/>
        <v>0</v>
      </c>
      <c r="E382" s="16">
        <f>IF('Components Yr 1'!E382=0,0,'Components Yr 1'!E382)</f>
        <v>0</v>
      </c>
      <c r="F382" s="17">
        <f>IF('Components Yr 1'!F382=0,0,'Components Yr 1'!F382)</f>
        <v>0</v>
      </c>
      <c r="G382" s="17">
        <f>IF('Components Yr 1'!G382=0,0,'Components Yr 1'!G382)</f>
        <v>0</v>
      </c>
      <c r="H382" s="17">
        <f>IF('Components Yr 1'!H382=0,0,'Components Yr 1'!H382)</f>
        <v>0</v>
      </c>
      <c r="I382" s="17">
        <f>IF('Components Yr 1'!I382=0,0,'Components Yr 1'!I382)</f>
        <v>0</v>
      </c>
      <c r="J382" s="17">
        <f>IF('Components Yr 1'!J382=0,0,'Components Yr 1'!J382)</f>
        <v>0</v>
      </c>
      <c r="K382" s="17">
        <f>IF('Components Yr 1'!K382=0,0,'Components Yr 1'!K382)</f>
        <v>0</v>
      </c>
      <c r="L382" s="12"/>
      <c r="M382" s="12"/>
      <c r="N382" s="12"/>
      <c r="O382" s="12"/>
      <c r="P382" s="12"/>
      <c r="Q382" s="17"/>
      <c r="R382" s="18">
        <f>IF(SUMPRODUCT((E382:Q382)*1)=0,0,E382*INDEX(Hours!M:M,MATCH(C382,Hours!$A:$A,0))+F382*INDEX(Hours!B:B,MATCH(C382,Hours!$A:$A,0))+G382*INDEX(Hours!C:C,MATCH(C382,Hours!$A:$A,0))+H382*INDEX(Hours!D:D,MATCH(C382,Hours!$A:$A,0))+I382*INDEX(Hours!E:E,MATCH(C382,Hours!$A:$A,0))+J382*INDEX(Hours!F:F,MATCH(C382,Hours!$A:$A,0))+K382*INDEX(Hours!G:G,MATCH(C382,Hours!$A:$A,0)))</f>
        <v>0</v>
      </c>
      <c r="S382" s="19">
        <f t="shared" si="11"/>
        <v>0</v>
      </c>
    </row>
    <row r="383" spans="1:19" x14ac:dyDescent="0.25">
      <c r="A383" s="11" t="str">
        <f>'Bldgs &amp; Rooms'!$A$12</f>
        <v>Main Bldg.</v>
      </c>
      <c r="B383" s="11">
        <f>'Bldgs &amp; Rooms'!$B$12</f>
        <v>0</v>
      </c>
      <c r="C383" s="10" t="str">
        <f>Hours!$A$13</f>
        <v xml:space="preserve">  MCC: Individual Disconnect Switch</v>
      </c>
      <c r="D383" s="11">
        <f t="shared" si="10"/>
        <v>0</v>
      </c>
      <c r="E383" s="16">
        <f>IF('Components Yr 1'!E383=0,0,'Components Yr 1'!E383)</f>
        <v>0</v>
      </c>
      <c r="F383" s="17">
        <f>IF('Components Yr 1'!F383=0,0,'Components Yr 1'!F383)</f>
        <v>0</v>
      </c>
      <c r="G383" s="17">
        <f>IF('Components Yr 1'!G383=0,0,'Components Yr 1'!G383)</f>
        <v>0</v>
      </c>
      <c r="H383" s="17">
        <f>IF('Components Yr 1'!H383=0,0,'Components Yr 1'!H383)</f>
        <v>0</v>
      </c>
      <c r="I383" s="17">
        <f>IF('Components Yr 1'!I383=0,0,'Components Yr 1'!I383)</f>
        <v>0</v>
      </c>
      <c r="J383" s="17">
        <f>IF('Components Yr 1'!J383=0,0,'Components Yr 1'!J383)</f>
        <v>0</v>
      </c>
      <c r="K383" s="12"/>
      <c r="L383" s="12"/>
      <c r="M383" s="12"/>
      <c r="N383" s="12"/>
      <c r="O383" s="12"/>
      <c r="P383" s="12"/>
      <c r="Q383" s="17"/>
      <c r="R383" s="18">
        <f>IF(SUMPRODUCT((E383:Q383)*1)=0,0,E383*INDEX(Hours!M:M,MATCH(C383,Hours!$A:$A,0))+F383*INDEX(Hours!B:B,MATCH(C383,Hours!$A:$A,0))+G383*INDEX(Hours!C:C,MATCH(C383,Hours!$A:$A,0))+H383*INDEX(Hours!D:D,MATCH(C383,Hours!$A:$A,0))+I383*INDEX(Hours!E:E,MATCH(C383,Hours!$A:$A,0))+J383*INDEX(Hours!F:F,MATCH(C383,Hours!$A:$A,0)))</f>
        <v>0</v>
      </c>
      <c r="S383" s="19">
        <f t="shared" si="11"/>
        <v>0</v>
      </c>
    </row>
    <row r="384" spans="1:19" x14ac:dyDescent="0.25">
      <c r="A384" s="11" t="str">
        <f>'Bldgs &amp; Rooms'!$A$12</f>
        <v>Main Bldg.</v>
      </c>
      <c r="B384" s="11">
        <f>'Bldgs &amp; Rooms'!$B$12</f>
        <v>0</v>
      </c>
      <c r="C384" s="10" t="str">
        <f>Hours!$A$14</f>
        <v>Motor Control Panel (MCP)</v>
      </c>
      <c r="D384" s="11">
        <f t="shared" si="10"/>
        <v>0</v>
      </c>
      <c r="E384" s="16">
        <f>IF('Components Yr 1'!E384=0,0,'Components Yr 1'!E384)</f>
        <v>0</v>
      </c>
      <c r="F384" s="17">
        <f>IF('Components Yr 1'!F384=0,0,'Components Yr 1'!F384)</f>
        <v>0</v>
      </c>
      <c r="G384" s="17">
        <f>IF('Components Yr 1'!G384=0,0,'Components Yr 1'!G384)</f>
        <v>0</v>
      </c>
      <c r="H384" s="17">
        <f>IF('Components Yr 1'!H384=0,0,'Components Yr 1'!H384)</f>
        <v>0</v>
      </c>
      <c r="I384" s="17">
        <f>IF('Components Yr 1'!I384=0,0,'Components Yr 1'!I384)</f>
        <v>0</v>
      </c>
      <c r="J384" s="17">
        <f>IF('Components Yr 1'!J384=0,0,'Components Yr 1'!J384)</f>
        <v>0</v>
      </c>
      <c r="K384" s="12"/>
      <c r="L384" s="12"/>
      <c r="M384" s="12"/>
      <c r="N384" s="12"/>
      <c r="O384" s="17">
        <f>IF('Components Yr 1'!O384=0,0,'Components Yr 1'!O384)</f>
        <v>0</v>
      </c>
      <c r="P384" s="12"/>
      <c r="Q384" s="17"/>
      <c r="R384" s="18">
        <f>IF(SUMPRODUCT((E384:Q384)*1)=0,0,E384*INDEX(Hours!M:M,MATCH(C384,Hours!$A:$A,0))+F384*INDEX(Hours!B:B,MATCH(C384,Hours!$A:$A,0))+G384*INDEX(Hours!C:C,MATCH(C384,Hours!$A:$A,0))+H384*INDEX(Hours!D:D,MATCH(C384,Hours!$A:$A,0))+I384*INDEX(Hours!E:E,MATCH(C384,Hours!$A:$A,0))+J384*INDEX(Hours!F:F,MATCH(C384,Hours!$A:$A,0))+O384*INDEX(Hours!K:K,MATCH(C384,Hours!$A:$A,0)))</f>
        <v>0</v>
      </c>
      <c r="S384" s="19">
        <f t="shared" si="11"/>
        <v>0</v>
      </c>
    </row>
    <row r="385" spans="1:19" x14ac:dyDescent="0.25">
      <c r="A385" s="11" t="str">
        <f>'Bldgs &amp; Rooms'!$A$12</f>
        <v>Main Bldg.</v>
      </c>
      <c r="B385" s="11">
        <f>'Bldgs &amp; Rooms'!$B$12</f>
        <v>0</v>
      </c>
      <c r="C385" s="10" t="str">
        <f>Hours!$A$15</f>
        <v>VFD Motor Control Panel (VFD-MCP)</v>
      </c>
      <c r="D385" s="11">
        <f t="shared" si="10"/>
        <v>0</v>
      </c>
      <c r="E385" s="16">
        <f>IF('Components Yr 1'!E385=0,0,'Components Yr 1'!E385)</f>
        <v>0</v>
      </c>
      <c r="F385" s="17">
        <f>IF('Components Yr 1'!F385=0,0,'Components Yr 1'!F385)</f>
        <v>0</v>
      </c>
      <c r="G385" s="17">
        <f>IF('Components Yr 1'!G385=0,0,'Components Yr 1'!G385)</f>
        <v>0</v>
      </c>
      <c r="H385" s="17">
        <f>IF('Components Yr 1'!H385=0,0,'Components Yr 1'!H385)</f>
        <v>0</v>
      </c>
      <c r="I385" s="17">
        <f>IF('Components Yr 1'!I385=0,0,'Components Yr 1'!I385)</f>
        <v>0</v>
      </c>
      <c r="J385" s="17">
        <f>IF('Components Yr 1'!J385=0,0,'Components Yr 1'!J385)</f>
        <v>0</v>
      </c>
      <c r="K385" s="12"/>
      <c r="L385" s="12"/>
      <c r="M385" s="12"/>
      <c r="N385" s="12"/>
      <c r="O385" s="17">
        <f>IF('Components Yr 1'!O385=0,0,'Components Yr 1'!O385)</f>
        <v>0</v>
      </c>
      <c r="P385" s="12"/>
      <c r="Q385" s="17"/>
      <c r="R385" s="18">
        <f>IF(SUMPRODUCT((E385:Q385)*1)=0,0,E385*INDEX(Hours!M:M,MATCH(C385,Hours!$A:$A,0))+F385*INDEX(Hours!B:B,MATCH(C385,Hours!$A:$A,0))+G385*INDEX(Hours!C:C,MATCH(C385,Hours!$A:$A,0))+H385*INDEX(Hours!D:D,MATCH(C385,Hours!$A:$A,0))+I385*INDEX(Hours!E:E,MATCH(C385,Hours!$A:$A,0))+J385*INDEX(Hours!F:F,MATCH(C385,Hours!$A:$A,0))+O385*INDEX(Hours!K:K,MATCH(C385,Hours!$A:$A,0)))</f>
        <v>0</v>
      </c>
      <c r="S385" s="19">
        <f t="shared" si="11"/>
        <v>0</v>
      </c>
    </row>
    <row r="386" spans="1:19" x14ac:dyDescent="0.25">
      <c r="A386" s="11" t="str">
        <f>'Bldgs &amp; Rooms'!$A$12</f>
        <v>Main Bldg.</v>
      </c>
      <c r="B386" s="11">
        <f>'Bldgs &amp; Rooms'!$B$12</f>
        <v>0</v>
      </c>
      <c r="C386" s="10" t="str">
        <f>Hours!$A$16</f>
        <v>Individual Disconnect Switch &gt; 100A</v>
      </c>
      <c r="D386" s="11">
        <f t="shared" ref="D386:D449" si="12">MAX(E386+F386,G386,H386,I386,J386,K386,L386,M386,N386,O386,P386,Q386)</f>
        <v>0</v>
      </c>
      <c r="E386" s="16">
        <f>IF('Components Yr 1'!E386=0,0,'Components Yr 1'!E386)</f>
        <v>0</v>
      </c>
      <c r="F386" s="17">
        <f>IF('Components Yr 1'!F386=0,0,'Components Yr 1'!F386)</f>
        <v>0</v>
      </c>
      <c r="G386" s="17">
        <f>IF('Components Yr 1'!G386=0,0,'Components Yr 1'!G386)</f>
        <v>0</v>
      </c>
      <c r="H386" s="17">
        <f>IF('Components Yr 1'!H386=0,0,'Components Yr 1'!H386)</f>
        <v>0</v>
      </c>
      <c r="I386" s="17">
        <f>IF('Components Yr 1'!I386=0,0,'Components Yr 1'!I386)</f>
        <v>0</v>
      </c>
      <c r="J386" s="17">
        <f>IF('Components Yr 1'!J386=0,0,'Components Yr 1'!J386)</f>
        <v>0</v>
      </c>
      <c r="K386" s="17">
        <f>IF('Components Yr 1'!K386=0,0,'Components Yr 1'!K386)</f>
        <v>0</v>
      </c>
      <c r="L386" s="12"/>
      <c r="M386" s="12"/>
      <c r="N386" s="12"/>
      <c r="O386" s="12"/>
      <c r="P386" s="12"/>
      <c r="Q386" s="17"/>
      <c r="R386" s="18">
        <f>IF(SUMPRODUCT((E386:Q386)*1)=0,0,E386*INDEX(Hours!M:M,MATCH(C386,Hours!$A:$A,0))+F386*INDEX(Hours!B:B,MATCH(C386,Hours!$A:$A,0))+G386*INDEX(Hours!C:C,MATCH(C386,Hours!$A:$A,0))+H386*INDEX(Hours!D:D,MATCH(C386,Hours!$A:$A,0))+I386*INDEX(Hours!E:E,MATCH(C386,Hours!$A:$A,0))+J386*INDEX(Hours!F:F,MATCH(C386,Hours!$A:$A,0))+K386*INDEX(Hours!G:G,MATCH(C386,Hours!$A:$A,0)))</f>
        <v>0</v>
      </c>
      <c r="S386" s="19">
        <f t="shared" ref="S386:S449" si="13">MAX(E386+F386,G386,H386,I386,J386,K386,L386,M386,N386,O386,P386,Q386)</f>
        <v>0</v>
      </c>
    </row>
    <row r="387" spans="1:19" x14ac:dyDescent="0.25">
      <c r="A387" s="11" t="str">
        <f>'Bldgs &amp; Rooms'!$A$12</f>
        <v>Main Bldg.</v>
      </c>
      <c r="B387" s="11">
        <f>'Bldgs &amp; Rooms'!$B$12</f>
        <v>0</v>
      </c>
      <c r="C387" s="10" t="str">
        <f>Hours!$A$17</f>
        <v>Individual Molded Case Breaker &gt; 100A</v>
      </c>
      <c r="D387" s="11">
        <f t="shared" si="12"/>
        <v>0</v>
      </c>
      <c r="E387" s="16">
        <f>IF('Components Yr 1'!E387=0,0,'Components Yr 1'!E387)</f>
        <v>0</v>
      </c>
      <c r="F387" s="17">
        <f>IF('Components Yr 1'!F387=0,0,'Components Yr 1'!F387)</f>
        <v>0</v>
      </c>
      <c r="G387" s="17">
        <f>IF('Components Yr 1'!G387=0,0,'Components Yr 1'!G387)</f>
        <v>0</v>
      </c>
      <c r="H387" s="17">
        <f>IF('Components Yr 1'!H387=0,0,'Components Yr 1'!H387)</f>
        <v>0</v>
      </c>
      <c r="I387" s="17">
        <f>IF('Components Yr 1'!I387=0,0,'Components Yr 1'!I387)</f>
        <v>0</v>
      </c>
      <c r="J387" s="17">
        <f>IF('Components Yr 1'!J387=0,0,'Components Yr 1'!J387)</f>
        <v>0</v>
      </c>
      <c r="K387" s="17">
        <f>IF('Components Yr 1'!K387=0,0,'Components Yr 1'!K387)</f>
        <v>0</v>
      </c>
      <c r="L387" s="12"/>
      <c r="M387" s="12"/>
      <c r="N387" s="12"/>
      <c r="O387" s="12"/>
      <c r="P387" s="12"/>
      <c r="Q387" s="17"/>
      <c r="R387" s="18">
        <f>IF(SUMPRODUCT((E387:Q387)*1)=0,0,E387*INDEX(Hours!M:M,MATCH(C387,Hours!$A:$A,0))+F387*INDEX(Hours!B:B,MATCH(C387,Hours!$A:$A,0))+G387*INDEX(Hours!C:C,MATCH(C387,Hours!$A:$A,0))+H387*INDEX(Hours!D:D,MATCH(C387,Hours!$A:$A,0))+I387*INDEX(Hours!E:E,MATCH(C387,Hours!$A:$A,0))+J387*INDEX(Hours!F:F,MATCH(C387,Hours!$A:$A,0))+K387*INDEX(Hours!G:G,MATCH(C387,Hours!$A:$A,0)))</f>
        <v>0</v>
      </c>
      <c r="S387" s="19">
        <f t="shared" si="13"/>
        <v>0</v>
      </c>
    </row>
    <row r="388" spans="1:19" x14ac:dyDescent="0.25">
      <c r="A388" s="11" t="str">
        <f>'Bldgs &amp; Rooms'!$A$12</f>
        <v>Main Bldg.</v>
      </c>
      <c r="B388" s="11">
        <f>'Bldgs &amp; Rooms'!$B$12</f>
        <v>0</v>
      </c>
      <c r="C388" s="10" t="str">
        <f>Hours!$A$18</f>
        <v>Individual Combination Motor Starter &gt; 100A</v>
      </c>
      <c r="D388" s="11">
        <f t="shared" si="12"/>
        <v>0</v>
      </c>
      <c r="E388" s="16">
        <f>IF('Components Yr 1'!E388=0,0,'Components Yr 1'!E388)</f>
        <v>0</v>
      </c>
      <c r="F388" s="17">
        <f>IF('Components Yr 1'!F388=0,0,'Components Yr 1'!F388)</f>
        <v>0</v>
      </c>
      <c r="G388" s="17">
        <f>IF('Components Yr 1'!G388=0,0,'Components Yr 1'!G388)</f>
        <v>0</v>
      </c>
      <c r="H388" s="17">
        <f>IF('Components Yr 1'!H388=0,0,'Components Yr 1'!H388)</f>
        <v>0</v>
      </c>
      <c r="I388" s="17">
        <f>IF('Components Yr 1'!I388=0,0,'Components Yr 1'!I388)</f>
        <v>0</v>
      </c>
      <c r="J388" s="17">
        <f>IF('Components Yr 1'!J388=0,0,'Components Yr 1'!J388)</f>
        <v>0</v>
      </c>
      <c r="K388" s="17">
        <f>IF('Components Yr 1'!K388=0,0,'Components Yr 1'!K388)</f>
        <v>0</v>
      </c>
      <c r="L388" s="12"/>
      <c r="M388" s="12"/>
      <c r="N388" s="12"/>
      <c r="O388" s="12"/>
      <c r="P388" s="12"/>
      <c r="Q388" s="17"/>
      <c r="R388" s="18">
        <f>IF(SUMPRODUCT((E388:Q388)*1)=0,0,E388*INDEX(Hours!M:M,MATCH(C388,Hours!$A:$A,0))+F388*INDEX(Hours!B:B,MATCH(C388,Hours!$A:$A,0))+G388*INDEX(Hours!C:C,MATCH(C388,Hours!$A:$A,0))+H388*INDEX(Hours!D:D,MATCH(C388,Hours!$A:$A,0))+I388*INDEX(Hours!E:E,MATCH(C388,Hours!$A:$A,0))+J388*INDEX(Hours!F:F,MATCH(C388,Hours!$A:$A,0))+K388*INDEX(Hours!G:G,MATCH(C388,Hours!$A:$A,0)))</f>
        <v>0</v>
      </c>
      <c r="S388" s="19">
        <f t="shared" si="13"/>
        <v>0</v>
      </c>
    </row>
    <row r="389" spans="1:19" x14ac:dyDescent="0.25">
      <c r="A389" s="11" t="str">
        <f>'Bldgs &amp; Rooms'!$A$12</f>
        <v>Main Bldg.</v>
      </c>
      <c r="B389" s="11">
        <f>'Bldgs &amp; Rooms'!$B$12</f>
        <v>0</v>
      </c>
      <c r="C389" s="10" t="str">
        <f>Hours!$A$19</f>
        <v>Oil Filled Transformer - 5kV-15kV Primary - Any Size (Pad Mounted)</v>
      </c>
      <c r="D389" s="11">
        <f t="shared" si="12"/>
        <v>0</v>
      </c>
      <c r="E389" s="16">
        <f>IF('Components Yr 1'!E389=0,0,'Components Yr 1'!E389)</f>
        <v>0</v>
      </c>
      <c r="F389" s="17">
        <f>IF('Components Yr 1'!F389=0,0,'Components Yr 1'!F389)</f>
        <v>0</v>
      </c>
      <c r="G389" s="17">
        <f>IF('Components Yr 1'!G389=0,0,'Components Yr 1'!G389)</f>
        <v>0</v>
      </c>
      <c r="H389" s="17">
        <f>IF('Components Yr 1'!H389=0,0,'Components Yr 1'!H389)</f>
        <v>0</v>
      </c>
      <c r="I389" s="17">
        <f>IF('Components Yr 1'!I389=0,0,'Components Yr 1'!I389)</f>
        <v>0</v>
      </c>
      <c r="J389" s="17">
        <f>IF('Components Yr 1'!J389=0,0,'Components Yr 1'!J389)</f>
        <v>0</v>
      </c>
      <c r="K389" s="12"/>
      <c r="L389" s="12"/>
      <c r="M389" s="17">
        <f>IF('Components Yr 1'!M389=0,0,'Components Yr 1'!M389)</f>
        <v>0</v>
      </c>
      <c r="N389" s="17">
        <f>IF('Components Yr 1'!N389=0,0,'Components Yr 1'!N389)</f>
        <v>0</v>
      </c>
      <c r="O389" s="12"/>
      <c r="P389" s="17">
        <f>IF('Components Yr 1'!P389=0,0,'Components Yr 1'!P389)</f>
        <v>0</v>
      </c>
      <c r="Q389" s="17"/>
      <c r="R389" s="18">
        <f>IF(SUMPRODUCT((E389:Q389)*1)=0,0,E389*INDEX(Hours!M:M,MATCH(C389,Hours!$A:$A,0))+F389*INDEX(Hours!B:B,MATCH(C389,Hours!$A:$A,0))+G389*INDEX(Hours!C:C,MATCH(C389,Hours!$A:$A,0))+H389*INDEX(Hours!D:D,MATCH(C389,Hours!$A:$A,0))+I389*INDEX(Hours!E:E,MATCH(C389,Hours!$A:$A,0))+J389*INDEX(Hours!F:F,MATCH(C389,Hours!$A:$A,0))+M389*INDEX(Hours!I:I,MATCH(C389,Hours!$A:$A,0))+N389*INDEX(Hours!J:J,MATCH(C389,Hours!$A:$A,0))+P389*INDEX(Hours!L:L,MATCH(C389,Hours!$A:$A,0)))</f>
        <v>0</v>
      </c>
      <c r="S389" s="19">
        <f t="shared" si="13"/>
        <v>0</v>
      </c>
    </row>
    <row r="390" spans="1:19" x14ac:dyDescent="0.25">
      <c r="A390" s="11" t="str">
        <f>'Bldgs &amp; Rooms'!$A$12</f>
        <v>Main Bldg.</v>
      </c>
      <c r="B390" s="11">
        <f>'Bldgs &amp; Rooms'!$B$12</f>
        <v>0</v>
      </c>
      <c r="C390" s="10" t="str">
        <f>Hours!$A$20</f>
        <v>Oil Filled Transformer - &gt; 15kV Primary (Substation Class)</v>
      </c>
      <c r="D390" s="11">
        <f t="shared" si="12"/>
        <v>0</v>
      </c>
      <c r="E390" s="16">
        <f>IF('Components Yr 1'!E390=0,0,'Components Yr 1'!E390)</f>
        <v>0</v>
      </c>
      <c r="F390" s="17">
        <f>IF('Components Yr 1'!F390=0,0,'Components Yr 1'!F390)</f>
        <v>0</v>
      </c>
      <c r="G390" s="17">
        <f>IF('Components Yr 1'!G390=0,0,'Components Yr 1'!G390)</f>
        <v>0</v>
      </c>
      <c r="H390" s="17">
        <f>IF('Components Yr 1'!H390=0,0,'Components Yr 1'!H390)</f>
        <v>0</v>
      </c>
      <c r="I390" s="17">
        <f>IF('Components Yr 1'!I390=0,0,'Components Yr 1'!I390)</f>
        <v>0</v>
      </c>
      <c r="J390" s="17">
        <f>IF('Components Yr 1'!J390=0,0,'Components Yr 1'!J390)</f>
        <v>0</v>
      </c>
      <c r="K390" s="12"/>
      <c r="L390" s="12"/>
      <c r="M390" s="17">
        <f>IF('Components Yr 1'!M390=0,0,'Components Yr 1'!M390)</f>
        <v>0</v>
      </c>
      <c r="N390" s="17">
        <f>IF('Components Yr 1'!N390=0,0,'Components Yr 1'!N390)</f>
        <v>0</v>
      </c>
      <c r="O390" s="12"/>
      <c r="P390" s="17">
        <f>IF('Components Yr 1'!P390=0,0,'Components Yr 1'!P390)</f>
        <v>0</v>
      </c>
      <c r="Q390" s="17"/>
      <c r="R390" s="18">
        <f>IF(SUMPRODUCT((E390:Q390)*1)=0,0,E390*INDEX(Hours!M:M,MATCH(C390,Hours!$A:$A,0))+F390*INDEX(Hours!B:B,MATCH(C390,Hours!$A:$A,0))+G390*INDEX(Hours!C:C,MATCH(C390,Hours!$A:$A,0))+H390*INDEX(Hours!D:D,MATCH(C390,Hours!$A:$A,0))+I390*INDEX(Hours!E:E,MATCH(C390,Hours!$A:$A,0))+J390*INDEX(Hours!F:F,MATCH(C390,Hours!$A:$A,0))+M390*INDEX(Hours!I:I,MATCH(C390,Hours!$A:$A,0))+N390*INDEX(Hours!J:J,MATCH(C390,Hours!$A:$A,0))+P390*INDEX(Hours!L:L,MATCH(C390,Hours!$A:$A,0)))</f>
        <v>0</v>
      </c>
      <c r="S390" s="19">
        <f t="shared" si="13"/>
        <v>0</v>
      </c>
    </row>
    <row r="391" spans="1:19" x14ac:dyDescent="0.25">
      <c r="A391" s="11" t="str">
        <f>'Bldgs &amp; Rooms'!$A$12</f>
        <v>Main Bldg.</v>
      </c>
      <c r="B391" s="11">
        <f>'Bldgs &amp; Rooms'!$B$12</f>
        <v>0</v>
      </c>
      <c r="C391" s="10" t="str">
        <f>Hours!$A$21</f>
        <v>Dry Type Transformer - &lt; 480V Primary - Any Size kVA</v>
      </c>
      <c r="D391" s="11">
        <f t="shared" si="12"/>
        <v>0</v>
      </c>
      <c r="E391" s="16">
        <f>IF('Components Yr 1'!E391=0,0,'Components Yr 1'!E391)</f>
        <v>0</v>
      </c>
      <c r="F391" s="17">
        <f>IF('Components Yr 1'!F391=0,0,'Components Yr 1'!F391)</f>
        <v>0</v>
      </c>
      <c r="G391" s="17">
        <f>IF('Components Yr 1'!G391=0,0,'Components Yr 1'!G391)</f>
        <v>0</v>
      </c>
      <c r="H391" s="17">
        <f>IF('Components Yr 1'!H391=0,0,'Components Yr 1'!H391)</f>
        <v>0</v>
      </c>
      <c r="I391" s="17">
        <f>IF('Components Yr 1'!I391=0,0,'Components Yr 1'!I391)</f>
        <v>0</v>
      </c>
      <c r="J391" s="17">
        <f>IF('Components Yr 1'!J391=0,0,'Components Yr 1'!J391)</f>
        <v>0</v>
      </c>
      <c r="K391" s="12"/>
      <c r="L391" s="12"/>
      <c r="M391" s="17">
        <f>IF('Components Yr 1'!M391=0,0,'Components Yr 1'!M391)</f>
        <v>0</v>
      </c>
      <c r="N391" s="17">
        <f>IF('Components Yr 1'!N391=0,0,'Components Yr 1'!N391)</f>
        <v>0</v>
      </c>
      <c r="O391" s="12"/>
      <c r="P391" s="12"/>
      <c r="Q391" s="17"/>
      <c r="R391" s="18">
        <f>IF(SUMPRODUCT((E391:Q391)*1)=0,0,E391*INDEX(Hours!M:M,MATCH(C391,Hours!$A:$A,0))+F391*INDEX(Hours!B:B,MATCH(C391,Hours!$A:$A,0))+G391*INDEX(Hours!C:C,MATCH(C391,Hours!$A:$A,0))+H391*INDEX(Hours!D:D,MATCH(C391,Hours!$A:$A,0))+I391*INDEX(Hours!E:E,MATCH(C391,Hours!$A:$A,0))+J391*INDEX(Hours!F:F,MATCH(C391,Hours!$A:$A,0))+M391*INDEX(Hours!I:I,MATCH(C391,Hours!$A:$A,0))+N391*INDEX(Hours!J:J,MATCH(C391,Hours!$A:$A,0)))</f>
        <v>0</v>
      </c>
      <c r="S391" s="19">
        <f t="shared" si="13"/>
        <v>0</v>
      </c>
    </row>
    <row r="392" spans="1:19" x14ac:dyDescent="0.25">
      <c r="A392" s="11" t="str">
        <f>'Bldgs &amp; Rooms'!$A$12</f>
        <v>Main Bldg.</v>
      </c>
      <c r="B392" s="11">
        <f>'Bldgs &amp; Rooms'!$B$12</f>
        <v>0</v>
      </c>
      <c r="C392" s="10" t="str">
        <f>Hours!$A$22</f>
        <v>Power Factor Correction Capacitors</v>
      </c>
      <c r="D392" s="11">
        <f t="shared" si="12"/>
        <v>0</v>
      </c>
      <c r="E392" s="16">
        <f>IF('Components Yr 1'!E392=0,0,'Components Yr 1'!E392)</f>
        <v>0</v>
      </c>
      <c r="F392" s="17">
        <f>IF('Components Yr 1'!F392=0,0,'Components Yr 1'!F392)</f>
        <v>0</v>
      </c>
      <c r="G392" s="17">
        <f>IF('Components Yr 1'!G392=0,0,'Components Yr 1'!G392)</f>
        <v>0</v>
      </c>
      <c r="H392" s="17">
        <f>IF('Components Yr 1'!H392=0,0,'Components Yr 1'!H392)</f>
        <v>0</v>
      </c>
      <c r="I392" s="17">
        <f>IF('Components Yr 1'!I392=0,0,'Components Yr 1'!I392)</f>
        <v>0</v>
      </c>
      <c r="J392" s="17">
        <f>IF('Components Yr 1'!J392=0,0,'Components Yr 1'!J392)</f>
        <v>0</v>
      </c>
      <c r="K392" s="12"/>
      <c r="L392" s="12"/>
      <c r="M392" s="12"/>
      <c r="N392" s="12"/>
      <c r="O392" s="12"/>
      <c r="P392" s="12"/>
      <c r="Q392" s="17"/>
      <c r="R392" s="18">
        <f>IF(SUMPRODUCT((E392:Q392)*1)=0,0,E392*INDEX(Hours!M:M,MATCH(C392,Hours!$A:$A,0))+F392*INDEX(Hours!B:B,MATCH(C392,Hours!$A:$A,0))+G392*INDEX(Hours!C:C,MATCH(C392,Hours!$A:$A,0))+H392*INDEX(Hours!D:D,MATCH(C392,Hours!$A:$A,0))+I392*INDEX(Hours!E:E,MATCH(C392,Hours!$A:$A,0))+J392*INDEX(Hours!F:F,MATCH(C392,Hours!$A:$A,0)))</f>
        <v>0</v>
      </c>
      <c r="S392" s="19">
        <f t="shared" si="13"/>
        <v>0</v>
      </c>
    </row>
    <row r="393" spans="1:19" x14ac:dyDescent="0.25">
      <c r="A393" s="11" t="str">
        <f>'Bldgs &amp; Rooms'!$A$12</f>
        <v>Main Bldg.</v>
      </c>
      <c r="B393" s="11">
        <f>'Bldgs &amp; Rooms'!$B$12</f>
        <v>0</v>
      </c>
      <c r="C393" s="10" t="str">
        <f>Hours!$A$23</f>
        <v>Lighting Contactor &gt; 100A</v>
      </c>
      <c r="D393" s="11">
        <f t="shared" si="12"/>
        <v>0</v>
      </c>
      <c r="E393" s="16">
        <f>IF('Components Yr 1'!E393=0,0,'Components Yr 1'!E393)</f>
        <v>0</v>
      </c>
      <c r="F393" s="17">
        <f>IF('Components Yr 1'!F393=0,0,'Components Yr 1'!F393)</f>
        <v>0</v>
      </c>
      <c r="G393" s="17">
        <f>IF('Components Yr 1'!G393=0,0,'Components Yr 1'!G393)</f>
        <v>0</v>
      </c>
      <c r="H393" s="17">
        <f>IF('Components Yr 1'!H393=0,0,'Components Yr 1'!H393)</f>
        <v>0</v>
      </c>
      <c r="I393" s="17">
        <f>IF('Components Yr 1'!I393=0,0,'Components Yr 1'!I393)</f>
        <v>0</v>
      </c>
      <c r="J393" s="17">
        <f>IF('Components Yr 1'!J393=0,0,'Components Yr 1'!J393)</f>
        <v>0</v>
      </c>
      <c r="K393" s="12"/>
      <c r="L393" s="12"/>
      <c r="M393" s="12"/>
      <c r="N393" s="12"/>
      <c r="O393" s="12"/>
      <c r="P393" s="12"/>
      <c r="Q393" s="17"/>
      <c r="R393" s="18">
        <f>IF(SUMPRODUCT((E393:Q393)*1)=0,0,E393*INDEX(Hours!M:M,MATCH(C393,Hours!$A:$A,0))+F393*INDEX(Hours!B:B,MATCH(C393,Hours!$A:$A,0))+G393*INDEX(Hours!C:C,MATCH(C393,Hours!$A:$A,0))+H393*INDEX(Hours!D:D,MATCH(C393,Hours!$A:$A,0))+I393*INDEX(Hours!E:E,MATCH(C393,Hours!$A:$A,0))+J393*INDEX(Hours!F:F,MATCH(C393,Hours!$A:$A,0)))</f>
        <v>0</v>
      </c>
      <c r="S393" s="19">
        <f t="shared" si="13"/>
        <v>0</v>
      </c>
    </row>
    <row r="394" spans="1:19" x14ac:dyDescent="0.25">
      <c r="A394" s="11" t="str">
        <f>'Bldgs &amp; Rooms'!$A$12</f>
        <v>Main Bldg.</v>
      </c>
      <c r="B394" s="11">
        <f>'Bldgs &amp; Rooms'!$B$12</f>
        <v>0</v>
      </c>
      <c r="C394" s="10" t="str">
        <f>Hours!$A$24</f>
        <v>Power Distribution Unit (PDU)</v>
      </c>
      <c r="D394" s="11">
        <f t="shared" si="12"/>
        <v>0</v>
      </c>
      <c r="E394" s="16">
        <f>IF('Components Yr 1'!E394=0,0,'Components Yr 1'!E394)</f>
        <v>0</v>
      </c>
      <c r="F394" s="17">
        <f>IF('Components Yr 1'!F394=0,0,'Components Yr 1'!F394)</f>
        <v>0</v>
      </c>
      <c r="G394" s="17">
        <f>IF('Components Yr 1'!G394=0,0,'Components Yr 1'!G394)</f>
        <v>0</v>
      </c>
      <c r="H394" s="17">
        <f>IF('Components Yr 1'!H394=0,0,'Components Yr 1'!H394)</f>
        <v>0</v>
      </c>
      <c r="I394" s="17">
        <f>IF('Components Yr 1'!I394=0,0,'Components Yr 1'!I394)</f>
        <v>0</v>
      </c>
      <c r="J394" s="17">
        <f>IF('Components Yr 1'!J394=0,0,'Components Yr 1'!J394)</f>
        <v>0</v>
      </c>
      <c r="K394" s="12"/>
      <c r="L394" s="12"/>
      <c r="M394" s="12"/>
      <c r="N394" s="12"/>
      <c r="O394" s="12"/>
      <c r="P394" s="12"/>
      <c r="Q394" s="17"/>
      <c r="R394" s="18">
        <f>IF(SUMPRODUCT((E394:Q394)*1)=0,0,E394*INDEX(Hours!M:M,MATCH(C394,Hours!$A:$A,0))+F394*INDEX(Hours!B:B,MATCH(C394,Hours!$A:$A,0))+G394*INDEX(Hours!C:C,MATCH(C394,Hours!$A:$A,0))+H394*INDEX(Hours!D:D,MATCH(C394,Hours!$A:$A,0))+I394*INDEX(Hours!E:E,MATCH(C394,Hours!$A:$A,0))+J394*INDEX(Hours!F:F,MATCH(C394,Hours!$A:$A,0)))</f>
        <v>0</v>
      </c>
      <c r="S394" s="19">
        <f t="shared" si="13"/>
        <v>0</v>
      </c>
    </row>
    <row r="395" spans="1:19" x14ac:dyDescent="0.25">
      <c r="A395" s="11" t="str">
        <f>'Bldgs &amp; Rooms'!$A$12</f>
        <v>Main Bldg.</v>
      </c>
      <c r="B395" s="11">
        <f>'Bldgs &amp; Rooms'!$B$12</f>
        <v>0</v>
      </c>
      <c r="C395" s="10" t="str">
        <f>Hours!$A$25</f>
        <v>Wire Trough, Gutter, or Large Junction Boxes</v>
      </c>
      <c r="D395" s="11">
        <f t="shared" si="12"/>
        <v>0</v>
      </c>
      <c r="E395" s="16">
        <f>IF('Components Yr 1'!E395=0,0,'Components Yr 1'!E395)</f>
        <v>0</v>
      </c>
      <c r="F395" s="17">
        <f>IF('Components Yr 1'!F395=0,0,'Components Yr 1'!F395)</f>
        <v>0</v>
      </c>
      <c r="G395" s="17">
        <f>IF('Components Yr 1'!G395=0,0,'Components Yr 1'!G395)</f>
        <v>0</v>
      </c>
      <c r="H395" s="17">
        <f>IF('Components Yr 1'!H395=0,0,'Components Yr 1'!H395)</f>
        <v>0</v>
      </c>
      <c r="I395" s="17">
        <f>IF('Components Yr 1'!I395=0,0,'Components Yr 1'!I395)</f>
        <v>0</v>
      </c>
      <c r="J395" s="17">
        <f>IF('Components Yr 1'!J395=0,0,'Components Yr 1'!J395)</f>
        <v>0</v>
      </c>
      <c r="K395" s="12"/>
      <c r="L395" s="12"/>
      <c r="M395" s="12"/>
      <c r="N395" s="12"/>
      <c r="O395" s="12"/>
      <c r="P395" s="12"/>
      <c r="Q395" s="17"/>
      <c r="R395" s="18">
        <f>IF(SUMPRODUCT((E395:Q395)*1)=0,0,E395*INDEX(Hours!M:M,MATCH(C395,Hours!$A:$A,0))+F395*INDEX(Hours!B:B,MATCH(C395,Hours!$A:$A,0))+G395*INDEX(Hours!C:C,MATCH(C395,Hours!$A:$A,0))+H395*INDEX(Hours!D:D,MATCH(C395,Hours!$A:$A,0))+I395*INDEX(Hours!E:E,MATCH(C395,Hours!$A:$A,0))+J395*INDEX(Hours!F:F,MATCH(C395,Hours!$A:$A,0)))</f>
        <v>0</v>
      </c>
      <c r="S395" s="19">
        <f t="shared" si="13"/>
        <v>0</v>
      </c>
    </row>
    <row r="396" spans="1:19" x14ac:dyDescent="0.25">
      <c r="A396" s="11" t="str">
        <f>'Bldgs &amp; Rooms'!$A$12</f>
        <v>Main Bldg.</v>
      </c>
      <c r="B396" s="11">
        <f>'Bldgs &amp; Rooms'!$B$12</f>
        <v>0</v>
      </c>
      <c r="C396" s="10" t="str">
        <f>Hours!$A$26</f>
        <v>Bus Duct - Vertical or Horizontal (Per 10' section)</v>
      </c>
      <c r="D396" s="11">
        <f t="shared" si="12"/>
        <v>0</v>
      </c>
      <c r="E396" s="16">
        <f>IF('Components Yr 1'!E396=0,0,'Components Yr 1'!E396)</f>
        <v>0</v>
      </c>
      <c r="F396" s="17">
        <f>IF('Components Yr 1'!F396=0,0,'Components Yr 1'!F396)</f>
        <v>0</v>
      </c>
      <c r="G396" s="17">
        <f>IF('Components Yr 1'!G396=0,0,'Components Yr 1'!G396)</f>
        <v>0</v>
      </c>
      <c r="H396" s="17">
        <f>IF('Components Yr 1'!H396=0,0,'Components Yr 1'!H396)</f>
        <v>0</v>
      </c>
      <c r="I396" s="17">
        <f>IF('Components Yr 1'!I396=0,0,'Components Yr 1'!I396)</f>
        <v>0</v>
      </c>
      <c r="J396" s="17">
        <f>IF('Components Yr 1'!J396=0,0,'Components Yr 1'!J396)</f>
        <v>0</v>
      </c>
      <c r="K396" s="12"/>
      <c r="L396" s="12"/>
      <c r="M396" s="12"/>
      <c r="N396" s="12"/>
      <c r="O396" s="12"/>
      <c r="P396" s="12"/>
      <c r="Q396" s="17"/>
      <c r="R396" s="18">
        <f>IF(SUMPRODUCT((E396:Q396)*1)=0,0,E396*INDEX(Hours!M:M,MATCH(C396,Hours!$A:$A,0))+F396*INDEX(Hours!B:B,MATCH(C396,Hours!$A:$A,0))+G396*INDEX(Hours!C:C,MATCH(C396,Hours!$A:$A,0))+H396*INDEX(Hours!D:D,MATCH(C396,Hours!$A:$A,0))+I396*INDEX(Hours!E:E,MATCH(C396,Hours!$A:$A,0))+J396*INDEX(Hours!F:F,MATCH(C396,Hours!$A:$A,0)))</f>
        <v>0</v>
      </c>
      <c r="S396" s="19">
        <f t="shared" si="13"/>
        <v>0</v>
      </c>
    </row>
    <row r="397" spans="1:19" x14ac:dyDescent="0.25">
      <c r="A397" s="11" t="str">
        <f>'Bldgs &amp; Rooms'!$A$12</f>
        <v>Main Bldg.</v>
      </c>
      <c r="B397" s="11">
        <f>'Bldgs &amp; Rooms'!$B$12</f>
        <v>0</v>
      </c>
      <c r="C397" s="10" t="str">
        <f>Hours!$A$27</f>
        <v>Automatic Transfer Switch (ATS) &gt; 100A</v>
      </c>
      <c r="D397" s="11">
        <f t="shared" si="12"/>
        <v>0</v>
      </c>
      <c r="E397" s="16">
        <f>IF('Components Yr 1'!E397=0,0,'Components Yr 1'!E397)</f>
        <v>0</v>
      </c>
      <c r="F397" s="17">
        <f>IF('Components Yr 1'!F397=0,0,'Components Yr 1'!F397)</f>
        <v>0</v>
      </c>
      <c r="G397" s="17">
        <f>IF('Components Yr 1'!G397=0,0,'Components Yr 1'!G397)</f>
        <v>0</v>
      </c>
      <c r="H397" s="17">
        <f>IF('Components Yr 1'!H397=0,0,'Components Yr 1'!H397)</f>
        <v>0</v>
      </c>
      <c r="I397" s="17">
        <f>IF('Components Yr 1'!I397=0,0,'Components Yr 1'!I397)</f>
        <v>0</v>
      </c>
      <c r="J397" s="17">
        <f>IF('Components Yr 1'!J397=0,0,'Components Yr 1'!J397)</f>
        <v>0</v>
      </c>
      <c r="K397" s="12"/>
      <c r="L397" s="12"/>
      <c r="M397" s="12"/>
      <c r="N397" s="12"/>
      <c r="O397" s="12"/>
      <c r="P397" s="12"/>
      <c r="Q397" s="17"/>
      <c r="R397" s="18">
        <f>IF(SUMPRODUCT((E397:Q397)*1)=0,0,E397*INDEX(Hours!M:M,MATCH(C397,Hours!$A:$A,0))+F397*INDEX(Hours!B:B,MATCH(C397,Hours!$A:$A,0))+G397*INDEX(Hours!C:C,MATCH(C397,Hours!$A:$A,0))+H397*INDEX(Hours!D:D,MATCH(C397,Hours!$A:$A,0))+I397*INDEX(Hours!E:E,MATCH(C397,Hours!$A:$A,0))+J397*INDEX(Hours!F:F,MATCH(C397,Hours!$A:$A,0)))</f>
        <v>0</v>
      </c>
      <c r="S397" s="19">
        <f t="shared" si="13"/>
        <v>0</v>
      </c>
    </row>
    <row r="398" spans="1:19" x14ac:dyDescent="0.25">
      <c r="A398" s="11" t="str">
        <f>'Bldgs &amp; Rooms'!$A$12</f>
        <v>Main Bldg.</v>
      </c>
      <c r="B398" s="11">
        <f>'Bldgs &amp; Rooms'!$B$12</f>
        <v>0</v>
      </c>
      <c r="C398" s="10" t="str">
        <f>Hours!$A$28</f>
        <v>Manual Transfer Switch (MTS) &gt; 100A</v>
      </c>
      <c r="D398" s="11">
        <f t="shared" si="12"/>
        <v>0</v>
      </c>
      <c r="E398" s="16">
        <f>IF('Components Yr 1'!E398=0,0,'Components Yr 1'!E398)</f>
        <v>0</v>
      </c>
      <c r="F398" s="17">
        <f>IF('Components Yr 1'!F398=0,0,'Components Yr 1'!F398)</f>
        <v>0</v>
      </c>
      <c r="G398" s="17">
        <f>IF('Components Yr 1'!G398=0,0,'Components Yr 1'!G398)</f>
        <v>0</v>
      </c>
      <c r="H398" s="17">
        <f>IF('Components Yr 1'!H398=0,0,'Components Yr 1'!H398)</f>
        <v>0</v>
      </c>
      <c r="I398" s="17">
        <f>IF('Components Yr 1'!I398=0,0,'Components Yr 1'!I398)</f>
        <v>0</v>
      </c>
      <c r="J398" s="17">
        <f>IF('Components Yr 1'!J398=0,0,'Components Yr 1'!J398)</f>
        <v>0</v>
      </c>
      <c r="K398" s="12"/>
      <c r="L398" s="12"/>
      <c r="M398" s="12"/>
      <c r="N398" s="12"/>
      <c r="O398" s="12"/>
      <c r="P398" s="12"/>
      <c r="Q398" s="17"/>
      <c r="R398" s="18">
        <f>IF(SUMPRODUCT((E398:Q398)*1)=0,0,E398*INDEX(Hours!M:M,MATCH(C398,Hours!$A:$A,0))+F398*INDEX(Hours!B:B,MATCH(C398,Hours!$A:$A,0))+G398*INDEX(Hours!C:C,MATCH(C398,Hours!$A:$A,0))+H398*INDEX(Hours!D:D,MATCH(C398,Hours!$A:$A,0))+I398*INDEX(Hours!E:E,MATCH(C398,Hours!$A:$A,0))+J398*INDEX(Hours!F:F,MATCH(C398,Hours!$A:$A,0)))</f>
        <v>0</v>
      </c>
      <c r="S398" s="19">
        <f t="shared" si="13"/>
        <v>0</v>
      </c>
    </row>
    <row r="399" spans="1:19" x14ac:dyDescent="0.25">
      <c r="A399" s="11" t="str">
        <f>'Bldgs &amp; Rooms'!$A$12</f>
        <v>Main Bldg.</v>
      </c>
      <c r="B399" s="11">
        <f>'Bldgs &amp; Rooms'!$B$12</f>
        <v>0</v>
      </c>
      <c r="C399" s="10" t="str">
        <f>Hours!$A$29</f>
        <v>Variable Frequency Drives (VFD) &lt; 50 HP</v>
      </c>
      <c r="D399" s="11">
        <f t="shared" si="12"/>
        <v>0</v>
      </c>
      <c r="E399" s="16">
        <f>IF('Components Yr 1'!E399=0,0,'Components Yr 1'!E399)</f>
        <v>0</v>
      </c>
      <c r="F399" s="17">
        <f>IF('Components Yr 1'!F399=0,0,'Components Yr 1'!F399)</f>
        <v>0</v>
      </c>
      <c r="G399" s="17">
        <f>IF('Components Yr 1'!G399=0,0,'Components Yr 1'!G399)</f>
        <v>0</v>
      </c>
      <c r="H399" s="17">
        <f>IF('Components Yr 1'!H399=0,0,'Components Yr 1'!H399)</f>
        <v>0</v>
      </c>
      <c r="I399" s="17">
        <f>IF('Components Yr 1'!I399=0,0,'Components Yr 1'!I399)</f>
        <v>0</v>
      </c>
      <c r="J399" s="17">
        <f>IF('Components Yr 1'!J399=0,0,'Components Yr 1'!J399)</f>
        <v>0</v>
      </c>
      <c r="K399" s="12"/>
      <c r="L399" s="12"/>
      <c r="M399" s="12"/>
      <c r="N399" s="12"/>
      <c r="O399" s="12"/>
      <c r="P399" s="12"/>
      <c r="Q399" s="17"/>
      <c r="R399" s="18">
        <f>IF(SUMPRODUCT((E399:Q399)*1)=0,0,E399*INDEX(Hours!M:M,MATCH(C399,Hours!$A:$A,0))+F399*INDEX(Hours!B:B,MATCH(C399,Hours!$A:$A,0))+G399*INDEX(Hours!C:C,MATCH(C399,Hours!$A:$A,0))+H399*INDEX(Hours!D:D,MATCH(C399,Hours!$A:$A,0))+I399*INDEX(Hours!E:E,MATCH(C399,Hours!$A:$A,0))+J399*INDEX(Hours!F:F,MATCH(C399,Hours!$A:$A,0)))</f>
        <v>0</v>
      </c>
      <c r="S399" s="19">
        <f t="shared" si="13"/>
        <v>0</v>
      </c>
    </row>
    <row r="400" spans="1:19" x14ac:dyDescent="0.25">
      <c r="A400" s="11" t="str">
        <f>'Bldgs &amp; Rooms'!$A$12</f>
        <v>Main Bldg.</v>
      </c>
      <c r="B400" s="11">
        <f>'Bldgs &amp; Rooms'!$B$12</f>
        <v>0</v>
      </c>
      <c r="C400" s="10" t="str">
        <f>Hours!$A$30</f>
        <v>Variable Frequency Drives (VFD) 51-200 HP</v>
      </c>
      <c r="D400" s="11">
        <f t="shared" si="12"/>
        <v>0</v>
      </c>
      <c r="E400" s="16">
        <f>IF('Components Yr 1'!E400=0,0,'Components Yr 1'!E400)</f>
        <v>0</v>
      </c>
      <c r="F400" s="17">
        <f>IF('Components Yr 1'!F400=0,0,'Components Yr 1'!F400)</f>
        <v>0</v>
      </c>
      <c r="G400" s="17">
        <f>IF('Components Yr 1'!G400=0,0,'Components Yr 1'!G400)</f>
        <v>0</v>
      </c>
      <c r="H400" s="17">
        <f>IF('Components Yr 1'!H400=0,0,'Components Yr 1'!H400)</f>
        <v>0</v>
      </c>
      <c r="I400" s="17">
        <f>IF('Components Yr 1'!I400=0,0,'Components Yr 1'!I400)</f>
        <v>0</v>
      </c>
      <c r="J400" s="17">
        <f>IF('Components Yr 1'!J400=0,0,'Components Yr 1'!J400)</f>
        <v>0</v>
      </c>
      <c r="K400" s="12"/>
      <c r="L400" s="12"/>
      <c r="M400" s="12"/>
      <c r="N400" s="12"/>
      <c r="O400" s="12"/>
      <c r="P400" s="12"/>
      <c r="Q400" s="17"/>
      <c r="R400" s="18">
        <f>IF(SUMPRODUCT((E400:Q400)*1)=0,0,E400*INDEX(Hours!M:M,MATCH(C400,Hours!$A:$A,0))+F400*INDEX(Hours!B:B,MATCH(C400,Hours!$A:$A,0))+G400*INDEX(Hours!C:C,MATCH(C400,Hours!$A:$A,0))+H400*INDEX(Hours!D:D,MATCH(C400,Hours!$A:$A,0))+I400*INDEX(Hours!E:E,MATCH(C400,Hours!$A:$A,0))+J400*INDEX(Hours!F:F,MATCH(C400,Hours!$A:$A,0)))</f>
        <v>0</v>
      </c>
      <c r="S400" s="19">
        <f t="shared" si="13"/>
        <v>0</v>
      </c>
    </row>
    <row r="401" spans="1:19" x14ac:dyDescent="0.25">
      <c r="A401" s="11" t="str">
        <f>'Bldgs &amp; Rooms'!$A$12</f>
        <v>Main Bldg.</v>
      </c>
      <c r="B401" s="11">
        <f>'Bldgs &amp; Rooms'!$B$12</f>
        <v>0</v>
      </c>
      <c r="C401" s="10" t="str">
        <f>Hours!$A$31</f>
        <v>Motors &lt; 50 HP</v>
      </c>
      <c r="D401" s="11">
        <f t="shared" si="12"/>
        <v>0</v>
      </c>
      <c r="E401" s="16">
        <f>IF('Components Yr 1'!E401=0,0,'Components Yr 1'!E401)</f>
        <v>0</v>
      </c>
      <c r="F401" s="17">
        <f>IF('Components Yr 1'!F401=0,0,'Components Yr 1'!F401)</f>
        <v>0</v>
      </c>
      <c r="G401" s="17">
        <f>IF('Components Yr 1'!G401=0,0,'Components Yr 1'!G401)</f>
        <v>0</v>
      </c>
      <c r="H401" s="17">
        <f>IF('Components Yr 1'!H401=0,0,'Components Yr 1'!H401)</f>
        <v>0</v>
      </c>
      <c r="I401" s="17">
        <f>IF('Components Yr 1'!I401=0,0,'Components Yr 1'!I401)</f>
        <v>0</v>
      </c>
      <c r="J401" s="17">
        <f>IF('Components Yr 1'!J401=0,0,'Components Yr 1'!J401)</f>
        <v>0</v>
      </c>
      <c r="K401" s="12"/>
      <c r="L401" s="12"/>
      <c r="M401" s="12"/>
      <c r="N401" s="12"/>
      <c r="O401" s="12"/>
      <c r="P401" s="12"/>
      <c r="Q401" s="17"/>
      <c r="R401" s="18">
        <f>IF(SUMPRODUCT((E401:Q401)*1)=0,0,E401*INDEX(Hours!M:M,MATCH(C401,Hours!$A:$A,0))+F401*INDEX(Hours!B:B,MATCH(C401,Hours!$A:$A,0))+G401*INDEX(Hours!C:C,MATCH(C401,Hours!$A:$A,0))+H401*INDEX(Hours!D:D,MATCH(C401,Hours!$A:$A,0))+I401*INDEX(Hours!E:E,MATCH(C401,Hours!$A:$A,0))+J401*INDEX(Hours!F:F,MATCH(C401,Hours!$A:$A,0)))</f>
        <v>0</v>
      </c>
      <c r="S401" s="19">
        <f t="shared" si="13"/>
        <v>0</v>
      </c>
    </row>
    <row r="402" spans="1:19" x14ac:dyDescent="0.25">
      <c r="A402" s="11" t="str">
        <f>'Bldgs &amp; Rooms'!$A$12</f>
        <v>Main Bldg.</v>
      </c>
      <c r="B402" s="11">
        <f>'Bldgs &amp; Rooms'!$B$12</f>
        <v>0</v>
      </c>
      <c r="C402" s="10" t="str">
        <f>Hours!$A$32</f>
        <v>Motors 51-200 HP</v>
      </c>
      <c r="D402" s="11">
        <f t="shared" si="12"/>
        <v>0</v>
      </c>
      <c r="E402" s="16">
        <f>IF('Components Yr 1'!E402=0,0,'Components Yr 1'!E402)</f>
        <v>0</v>
      </c>
      <c r="F402" s="17">
        <f>IF('Components Yr 1'!F402=0,0,'Components Yr 1'!F402)</f>
        <v>0</v>
      </c>
      <c r="G402" s="17">
        <f>IF('Components Yr 1'!G402=0,0,'Components Yr 1'!G402)</f>
        <v>0</v>
      </c>
      <c r="H402" s="17">
        <f>IF('Components Yr 1'!H402=0,0,'Components Yr 1'!H402)</f>
        <v>0</v>
      </c>
      <c r="I402" s="17">
        <f>IF('Components Yr 1'!I402=0,0,'Components Yr 1'!I402)</f>
        <v>0</v>
      </c>
      <c r="J402" s="17">
        <f>IF('Components Yr 1'!J402=0,0,'Components Yr 1'!J402)</f>
        <v>0</v>
      </c>
      <c r="K402" s="12"/>
      <c r="L402" s="12"/>
      <c r="M402" s="12"/>
      <c r="N402" s="12"/>
      <c r="O402" s="12"/>
      <c r="P402" s="12"/>
      <c r="Q402" s="17"/>
      <c r="R402" s="18">
        <f>IF(SUMPRODUCT((E402:Q402)*1)=0,0,E402*INDEX(Hours!M:M,MATCH(C402,Hours!$A:$A,0))+F402*INDEX(Hours!B:B,MATCH(C402,Hours!$A:$A,0))+G402*INDEX(Hours!C:C,MATCH(C402,Hours!$A:$A,0))+H402*INDEX(Hours!D:D,MATCH(C402,Hours!$A:$A,0))+I402*INDEX(Hours!E:E,MATCH(C402,Hours!$A:$A,0))+J402*INDEX(Hours!F:F,MATCH(C402,Hours!$A:$A,0)))</f>
        <v>0</v>
      </c>
      <c r="S402" s="19">
        <f t="shared" si="13"/>
        <v>0</v>
      </c>
    </row>
    <row r="403" spans="1:19" x14ac:dyDescent="0.25">
      <c r="A403" s="11" t="str">
        <f>'Bldgs &amp; Rooms'!$A$12</f>
        <v>Main Bldg.</v>
      </c>
      <c r="B403" s="11">
        <f>'Bldgs &amp; Rooms'!$B$12</f>
        <v>0</v>
      </c>
      <c r="C403" s="10" t="str">
        <f>Hours!$A$33</f>
        <v>Motors 201-500 HP</v>
      </c>
      <c r="D403" s="11">
        <f t="shared" si="12"/>
        <v>0</v>
      </c>
      <c r="E403" s="16">
        <f>IF('Components Yr 1'!E403=0,0,'Components Yr 1'!E403)</f>
        <v>0</v>
      </c>
      <c r="F403" s="17">
        <f>IF('Components Yr 1'!F403=0,0,'Components Yr 1'!F403)</f>
        <v>0</v>
      </c>
      <c r="G403" s="17">
        <f>IF('Components Yr 1'!G403=0,0,'Components Yr 1'!G403)</f>
        <v>0</v>
      </c>
      <c r="H403" s="17">
        <f>IF('Components Yr 1'!H403=0,0,'Components Yr 1'!H403)</f>
        <v>0</v>
      </c>
      <c r="I403" s="17">
        <f>IF('Components Yr 1'!I403=0,0,'Components Yr 1'!I403)</f>
        <v>0</v>
      </c>
      <c r="J403" s="17">
        <f>IF('Components Yr 1'!J403=0,0,'Components Yr 1'!J403)</f>
        <v>0</v>
      </c>
      <c r="K403" s="12"/>
      <c r="L403" s="12"/>
      <c r="M403" s="12"/>
      <c r="N403" s="12"/>
      <c r="O403" s="12"/>
      <c r="P403" s="12"/>
      <c r="Q403" s="17"/>
      <c r="R403" s="18">
        <f>IF(SUMPRODUCT((E403:Q403)*1)=0,0,E403*INDEX(Hours!M:M,MATCH(C403,Hours!$A:$A,0))+F403*INDEX(Hours!B:B,MATCH(C403,Hours!$A:$A,0))+G403*INDEX(Hours!C:C,MATCH(C403,Hours!$A:$A,0))+H403*INDEX(Hours!D:D,MATCH(C403,Hours!$A:$A,0))+I403*INDEX(Hours!E:E,MATCH(C403,Hours!$A:$A,0))+J403*INDEX(Hours!F:F,MATCH(C403,Hours!$A:$A,0)))</f>
        <v>0</v>
      </c>
      <c r="S403" s="19">
        <f t="shared" si="13"/>
        <v>0</v>
      </c>
    </row>
    <row r="404" spans="1:19" x14ac:dyDescent="0.25">
      <c r="A404" s="11" t="str">
        <f>'Bldgs &amp; Rooms'!$A$12</f>
        <v>Main Bldg.</v>
      </c>
      <c r="B404" s="11">
        <f>'Bldgs &amp; Rooms'!$B$12</f>
        <v>0</v>
      </c>
      <c r="C404" s="10" t="str">
        <f>Hours!$A$34</f>
        <v>Compressed Air Equipment</v>
      </c>
      <c r="D404" s="11">
        <f t="shared" si="12"/>
        <v>0</v>
      </c>
      <c r="E404" s="16">
        <f>IF('Components Yr 1'!E404=0,0,'Components Yr 1'!E404)</f>
        <v>0</v>
      </c>
      <c r="F404" s="17">
        <f>IF('Components Yr 1'!F404=0,0,'Components Yr 1'!F404)</f>
        <v>0</v>
      </c>
      <c r="G404" s="17">
        <f>IF('Components Yr 1'!G404=0,0,'Components Yr 1'!G404)</f>
        <v>0</v>
      </c>
      <c r="H404" s="17">
        <f>IF('Components Yr 1'!H404=0,0,'Components Yr 1'!H404)</f>
        <v>0</v>
      </c>
      <c r="I404" s="17">
        <f>IF('Components Yr 1'!I404=0,0,'Components Yr 1'!I404)</f>
        <v>0</v>
      </c>
      <c r="J404" s="17">
        <f>IF('Components Yr 1'!J404=0,0,'Components Yr 1'!J404)</f>
        <v>0</v>
      </c>
      <c r="K404" s="12"/>
      <c r="L404" s="12"/>
      <c r="M404" s="12"/>
      <c r="N404" s="12"/>
      <c r="O404" s="12"/>
      <c r="P404" s="12"/>
      <c r="Q404" s="17"/>
      <c r="R404" s="18">
        <f>IF(SUMPRODUCT((E404:Q404)*1)=0,0,E404*INDEX(Hours!M:M,MATCH(C404,Hours!$A:$A,0))+F404*INDEX(Hours!B:B,MATCH(C404,Hours!$A:$A,0))+G404*INDEX(Hours!C:C,MATCH(C404,Hours!$A:$A,0))+H404*INDEX(Hours!D:D,MATCH(C404,Hours!$A:$A,0))+I404*INDEX(Hours!E:E,MATCH(C404,Hours!$A:$A,0))+J404*INDEX(Hours!F:F,MATCH(C404,Hours!$A:$A,0)))</f>
        <v>0</v>
      </c>
      <c r="S404" s="19">
        <f t="shared" si="13"/>
        <v>0</v>
      </c>
    </row>
    <row r="405" spans="1:19" x14ac:dyDescent="0.25">
      <c r="A405" s="11" t="str">
        <f>'Bldgs &amp; Rooms'!$A$12</f>
        <v>Main Bldg.</v>
      </c>
      <c r="B405" s="11">
        <f>'Bldgs &amp; Rooms'!$B$12</f>
        <v>0</v>
      </c>
      <c r="C405" s="10" t="str">
        <f>Hours!$A$35</f>
        <v>HVAC Equipment (Large)</v>
      </c>
      <c r="D405" s="11">
        <f t="shared" si="12"/>
        <v>0</v>
      </c>
      <c r="E405" s="16">
        <f>IF('Components Yr 1'!E405=0,0,'Components Yr 1'!E405)</f>
        <v>0</v>
      </c>
      <c r="F405" s="17">
        <f>IF('Components Yr 1'!F405=0,0,'Components Yr 1'!F405)</f>
        <v>0</v>
      </c>
      <c r="G405" s="17">
        <f>IF('Components Yr 1'!G405=0,0,'Components Yr 1'!G405)</f>
        <v>0</v>
      </c>
      <c r="H405" s="17">
        <f>IF('Components Yr 1'!H405=0,0,'Components Yr 1'!H405)</f>
        <v>0</v>
      </c>
      <c r="I405" s="17">
        <f>IF('Components Yr 1'!I405=0,0,'Components Yr 1'!I405)</f>
        <v>0</v>
      </c>
      <c r="J405" s="17">
        <f>IF('Components Yr 1'!J405=0,0,'Components Yr 1'!J405)</f>
        <v>0</v>
      </c>
      <c r="K405" s="12"/>
      <c r="L405" s="12"/>
      <c r="M405" s="12"/>
      <c r="N405" s="12"/>
      <c r="O405" s="12"/>
      <c r="P405" s="12"/>
      <c r="Q405" s="17"/>
      <c r="R405" s="18">
        <f>IF(SUMPRODUCT((E405:Q405)*1)=0,0,E405*INDEX(Hours!M:M,MATCH(C405,Hours!$A:$A,0))+F405*INDEX(Hours!B:B,MATCH(C405,Hours!$A:$A,0))+G405*INDEX(Hours!C:C,MATCH(C405,Hours!$A:$A,0))+H405*INDEX(Hours!D:D,MATCH(C405,Hours!$A:$A,0))+I405*INDEX(Hours!E:E,MATCH(C405,Hours!$A:$A,0))+J405*INDEX(Hours!F:F,MATCH(C405,Hours!$A:$A,0)))</f>
        <v>0</v>
      </c>
      <c r="S405" s="19">
        <f t="shared" si="13"/>
        <v>0</v>
      </c>
    </row>
    <row r="406" spans="1:19" x14ac:dyDescent="0.25">
      <c r="A406" s="11" t="str">
        <f>'Bldgs &amp; Rooms'!$A$12</f>
        <v>Main Bldg.</v>
      </c>
      <c r="B406" s="11">
        <f>'Bldgs &amp; Rooms'!$B$12</f>
        <v>0</v>
      </c>
      <c r="C406" s="10" t="str">
        <f>Hours!$A$36</f>
        <v>HVAC Equipment (Small)</v>
      </c>
      <c r="D406" s="11">
        <f t="shared" si="12"/>
        <v>0</v>
      </c>
      <c r="E406" s="16">
        <f>IF('Components Yr 1'!E406=0,0,'Components Yr 1'!E406)</f>
        <v>0</v>
      </c>
      <c r="F406" s="17">
        <f>IF('Components Yr 1'!F406=0,0,'Components Yr 1'!F406)</f>
        <v>0</v>
      </c>
      <c r="G406" s="17">
        <f>IF('Components Yr 1'!G406=0,0,'Components Yr 1'!G406)</f>
        <v>0</v>
      </c>
      <c r="H406" s="17">
        <f>IF('Components Yr 1'!H406=0,0,'Components Yr 1'!H406)</f>
        <v>0</v>
      </c>
      <c r="I406" s="17">
        <f>IF('Components Yr 1'!I406=0,0,'Components Yr 1'!I406)</f>
        <v>0</v>
      </c>
      <c r="J406" s="17">
        <f>IF('Components Yr 1'!J406=0,0,'Components Yr 1'!J406)</f>
        <v>0</v>
      </c>
      <c r="K406" s="12"/>
      <c r="L406" s="12"/>
      <c r="M406" s="12"/>
      <c r="N406" s="12"/>
      <c r="O406" s="12"/>
      <c r="P406" s="12"/>
      <c r="Q406" s="17"/>
      <c r="R406" s="18">
        <f>IF(SUMPRODUCT((E406:Q406)*1)=0,0,E406*INDEX(Hours!M:M,MATCH(C406,Hours!$A:$A,0))+F406*INDEX(Hours!B:B,MATCH(C406,Hours!$A:$A,0))+G406*INDEX(Hours!C:C,MATCH(C406,Hours!$A:$A,0))+H406*INDEX(Hours!D:D,MATCH(C406,Hours!$A:$A,0))+I406*INDEX(Hours!E:E,MATCH(C406,Hours!$A:$A,0))+J406*INDEX(Hours!F:F,MATCH(C406,Hours!$A:$A,0)))</f>
        <v>0</v>
      </c>
      <c r="S406" s="19">
        <f t="shared" si="13"/>
        <v>0</v>
      </c>
    </row>
    <row r="407" spans="1:19" x14ac:dyDescent="0.25">
      <c r="A407" s="11" t="str">
        <f>'Bldgs &amp; Rooms'!$A$12</f>
        <v>Main Bldg.</v>
      </c>
      <c r="B407" s="11">
        <f>'Bldgs &amp; Rooms'!$B$12</f>
        <v>0</v>
      </c>
      <c r="C407" s="10" t="str">
        <f>Hours!$A$37</f>
        <v>Uninterruptible Power Supply (UPS) &lt; 50kVA</v>
      </c>
      <c r="D407" s="11">
        <f t="shared" si="12"/>
        <v>0</v>
      </c>
      <c r="E407" s="16">
        <f>IF('Components Yr 1'!E407=0,0,'Components Yr 1'!E407)</f>
        <v>0</v>
      </c>
      <c r="F407" s="17">
        <f>IF('Components Yr 1'!F407=0,0,'Components Yr 1'!F407)</f>
        <v>0</v>
      </c>
      <c r="G407" s="17">
        <f>IF('Components Yr 1'!G407=0,0,'Components Yr 1'!G407)</f>
        <v>0</v>
      </c>
      <c r="H407" s="17">
        <f>IF('Components Yr 1'!H407=0,0,'Components Yr 1'!H407)</f>
        <v>0</v>
      </c>
      <c r="I407" s="17">
        <f>IF('Components Yr 1'!I407=0,0,'Components Yr 1'!I407)</f>
        <v>0</v>
      </c>
      <c r="J407" s="17">
        <f>IF('Components Yr 1'!J407=0,0,'Components Yr 1'!J407)</f>
        <v>0</v>
      </c>
      <c r="K407" s="12"/>
      <c r="L407" s="12"/>
      <c r="M407" s="12"/>
      <c r="N407" s="12"/>
      <c r="O407" s="12"/>
      <c r="P407" s="12"/>
      <c r="Q407" s="17"/>
      <c r="R407" s="18">
        <f>IF(SUMPRODUCT((E407:Q407)*1)=0,0,E407*INDEX(Hours!M:M,MATCH(C407,Hours!$A:$A,0))+F407*INDEX(Hours!B:B,MATCH(C407,Hours!$A:$A,0))+G407*INDEX(Hours!C:C,MATCH(C407,Hours!$A:$A,0))+H407*INDEX(Hours!D:D,MATCH(C407,Hours!$A:$A,0))+I407*INDEX(Hours!E:E,MATCH(C407,Hours!$A:$A,0))+J407*INDEX(Hours!F:F,MATCH(C407,Hours!$A:$A,0)))</f>
        <v>0</v>
      </c>
      <c r="S407" s="19">
        <f t="shared" si="13"/>
        <v>0</v>
      </c>
    </row>
    <row r="408" spans="1:19" x14ac:dyDescent="0.25">
      <c r="A408" s="11" t="str">
        <f>'Bldgs &amp; Rooms'!$A$12</f>
        <v>Main Bldg.</v>
      </c>
      <c r="B408" s="11">
        <f>'Bldgs &amp; Rooms'!$B$12</f>
        <v>0</v>
      </c>
      <c r="C408" s="10" t="str">
        <f>Hours!$A$38</f>
        <v>Uninterruptible Power Supply (UPS) &gt; 50kVA</v>
      </c>
      <c r="D408" s="11">
        <f t="shared" si="12"/>
        <v>0</v>
      </c>
      <c r="E408" s="16">
        <f>IF('Components Yr 1'!E408=0,0,'Components Yr 1'!E408)</f>
        <v>0</v>
      </c>
      <c r="F408" s="17">
        <f>IF('Components Yr 1'!F408=0,0,'Components Yr 1'!F408)</f>
        <v>0</v>
      </c>
      <c r="G408" s="17">
        <f>IF('Components Yr 1'!G408=0,0,'Components Yr 1'!G408)</f>
        <v>0</v>
      </c>
      <c r="H408" s="17">
        <f>IF('Components Yr 1'!H408=0,0,'Components Yr 1'!H408)</f>
        <v>0</v>
      </c>
      <c r="I408" s="17">
        <f>IF('Components Yr 1'!I408=0,0,'Components Yr 1'!I408)</f>
        <v>0</v>
      </c>
      <c r="J408" s="17">
        <f>IF('Components Yr 1'!J408=0,0,'Components Yr 1'!J408)</f>
        <v>0</v>
      </c>
      <c r="K408" s="12"/>
      <c r="L408" s="12"/>
      <c r="M408" s="12"/>
      <c r="N408" s="12"/>
      <c r="O408" s="12"/>
      <c r="P408" s="12"/>
      <c r="Q408" s="17"/>
      <c r="R408" s="18">
        <f>IF(SUMPRODUCT((E408:Q408)*1)=0,0,E408*INDEX(Hours!M:M,MATCH(C408,Hours!$A:$A,0))+F408*INDEX(Hours!B:B,MATCH(C408,Hours!$A:$A,0))+G408*INDEX(Hours!C:C,MATCH(C408,Hours!$A:$A,0))+H408*INDEX(Hours!D:D,MATCH(C408,Hours!$A:$A,0))+I408*INDEX(Hours!E:E,MATCH(C408,Hours!$A:$A,0))+J408*INDEX(Hours!F:F,MATCH(C408,Hours!$A:$A,0)))</f>
        <v>0</v>
      </c>
      <c r="S408" s="19">
        <f t="shared" si="13"/>
        <v>0</v>
      </c>
    </row>
    <row r="409" spans="1:19" x14ac:dyDescent="0.25">
      <c r="A409" s="15" t="str">
        <f>'Bldgs &amp; Rooms'!$A$13</f>
        <v>Main Bldg.</v>
      </c>
      <c r="B409" s="15">
        <f>'Bldgs &amp; Rooms'!$B$13</f>
        <v>0</v>
      </c>
      <c r="C409" s="14" t="str">
        <f>Hours!$A$2</f>
        <v>Switchgear - Incoming Main Service (Per Section)</v>
      </c>
      <c r="D409" s="15">
        <f t="shared" si="12"/>
        <v>0</v>
      </c>
      <c r="E409" s="16">
        <f>IF('Components Yr 1'!E409=0,0,'Components Yr 1'!E409)</f>
        <v>0</v>
      </c>
      <c r="F409" s="17">
        <f>IF('Components Yr 1'!F409=0,0,'Components Yr 1'!F409)</f>
        <v>0</v>
      </c>
      <c r="G409" s="17">
        <f>IF('Components Yr 1'!G409=0,0,'Components Yr 1'!G409)</f>
        <v>0</v>
      </c>
      <c r="H409" s="17">
        <f>IF('Components Yr 1'!H409=0,0,'Components Yr 1'!H409)</f>
        <v>0</v>
      </c>
      <c r="I409" s="17">
        <f>IF('Components Yr 1'!I409=0,0,'Components Yr 1'!I409)</f>
        <v>0</v>
      </c>
      <c r="J409" s="17">
        <f>IF('Components Yr 1'!J409=0,0,'Components Yr 1'!J409)</f>
        <v>0</v>
      </c>
      <c r="K409" s="17">
        <f>IF('Components Yr 1'!K409=0,0,'Components Yr 1'!K409)</f>
        <v>0</v>
      </c>
      <c r="L409" s="17">
        <f>IF('Components Yr 1'!L409=0,0,'Components Yr 1'!L409)</f>
        <v>0</v>
      </c>
      <c r="M409" s="12"/>
      <c r="N409" s="12"/>
      <c r="O409" s="17">
        <f>IF('Components Yr 1'!O409=0,0,'Components Yr 1'!O409)</f>
        <v>0</v>
      </c>
      <c r="P409" s="12"/>
      <c r="Q409" s="17"/>
      <c r="R409" s="18">
        <f>IF(SUMPRODUCT((E409:Q409)*1)=0,0,E409*INDEX(Hours!M:M,MATCH(C409,Hours!$A:$A,0))+F409*INDEX(Hours!B:B,MATCH(C409,Hours!$A:$A,0))+G409*INDEX(Hours!C:C,MATCH(C409,Hours!$A:$A,0))+H409*INDEX(Hours!D:D,MATCH(C409,Hours!$A:$A,0))+I409*INDEX(Hours!E:E,MATCH(C409,Hours!$A:$A,0))+J409*INDEX(Hours!F:F,MATCH(C409,Hours!$A:$A,0))+K409*INDEX(Hours!G:G,MATCH(C409,Hours!$A:$A,0))+L409*INDEX(Hours!H:H,MATCH(C409,Hours!$A:$A,0))+O409*INDEX(Hours!K:K,MATCH(C409,Hours!$A:$A,0)))</f>
        <v>0</v>
      </c>
      <c r="S409" s="19">
        <f t="shared" si="13"/>
        <v>0</v>
      </c>
    </row>
    <row r="410" spans="1:19" x14ac:dyDescent="0.25">
      <c r="A410" s="15" t="str">
        <f>'Bldgs &amp; Rooms'!$A$13</f>
        <v>Main Bldg.</v>
      </c>
      <c r="B410" s="15">
        <f>'Bldgs &amp; Rooms'!$B$13</f>
        <v>0</v>
      </c>
      <c r="C410" s="14" t="str">
        <f>Hours!$A$3</f>
        <v xml:space="preserve">  Switchgear Insulated Case Breakers (Bus Mounted)</v>
      </c>
      <c r="D410" s="15">
        <f t="shared" si="12"/>
        <v>0</v>
      </c>
      <c r="E410" s="16">
        <f>IF('Components Yr 1'!E410=0,0,'Components Yr 1'!E410)</f>
        <v>0</v>
      </c>
      <c r="F410" s="17">
        <f>IF('Components Yr 1'!F410=0,0,'Components Yr 1'!F410)</f>
        <v>0</v>
      </c>
      <c r="G410" s="17">
        <f>IF('Components Yr 1'!G410=0,0,'Components Yr 1'!G410)</f>
        <v>0</v>
      </c>
      <c r="H410" s="17">
        <f>IF('Components Yr 1'!H410=0,0,'Components Yr 1'!H410)</f>
        <v>0</v>
      </c>
      <c r="I410" s="17">
        <f>IF('Components Yr 1'!I410=0,0,'Components Yr 1'!I410)</f>
        <v>0</v>
      </c>
      <c r="J410" s="17">
        <f>IF('Components Yr 1'!J410=0,0,'Components Yr 1'!J410)</f>
        <v>0</v>
      </c>
      <c r="K410" s="17">
        <f>IF('Components Yr 1'!K410=0,0,'Components Yr 1'!K410)</f>
        <v>0</v>
      </c>
      <c r="L410" s="12"/>
      <c r="M410" s="12"/>
      <c r="N410" s="12"/>
      <c r="O410" s="12"/>
      <c r="P410" s="12"/>
      <c r="Q410" s="17"/>
      <c r="R410" s="18">
        <f>IF(SUMPRODUCT((E410:Q410)*1)=0,0,E410*INDEX(Hours!M:M,MATCH(C410,Hours!$A:$A,0))+F410*INDEX(Hours!B:B,MATCH(C410,Hours!$A:$A,0))+G410*INDEX(Hours!C:C,MATCH(C410,Hours!$A:$A,0))+H410*INDEX(Hours!D:D,MATCH(C410,Hours!$A:$A,0))+I410*INDEX(Hours!E:E,MATCH(C410,Hours!$A:$A,0))+J410*INDEX(Hours!F:F,MATCH(C410,Hours!$A:$A,0))+K410*INDEX(Hours!G:G,MATCH(C410,Hours!$A:$A,0)))</f>
        <v>0</v>
      </c>
      <c r="S410" s="19">
        <f t="shared" si="13"/>
        <v>0</v>
      </c>
    </row>
    <row r="411" spans="1:19" x14ac:dyDescent="0.25">
      <c r="A411" s="15" t="str">
        <f>'Bldgs &amp; Rooms'!$A$13</f>
        <v>Main Bldg.</v>
      </c>
      <c r="B411" s="15">
        <f>'Bldgs &amp; Rooms'!$B$13</f>
        <v>0</v>
      </c>
      <c r="C411" s="14" t="str">
        <f>Hours!$A$4</f>
        <v xml:space="preserve">  SwitchGear Drawout Breakers</v>
      </c>
      <c r="D411" s="15">
        <f t="shared" si="12"/>
        <v>0</v>
      </c>
      <c r="E411" s="16">
        <f>IF('Components Yr 1'!E411=0,0,'Components Yr 1'!E411)</f>
        <v>0</v>
      </c>
      <c r="F411" s="17">
        <f>IF('Components Yr 1'!F411=0,0,'Components Yr 1'!F411)</f>
        <v>0</v>
      </c>
      <c r="G411" s="17">
        <f>IF('Components Yr 1'!G411=0,0,'Components Yr 1'!G411)</f>
        <v>0</v>
      </c>
      <c r="H411" s="17">
        <f>IF('Components Yr 1'!H411=0,0,'Components Yr 1'!H411)</f>
        <v>0</v>
      </c>
      <c r="I411" s="17">
        <f>IF('Components Yr 1'!I411=0,0,'Components Yr 1'!I411)</f>
        <v>0</v>
      </c>
      <c r="J411" s="17">
        <f>IF('Components Yr 1'!J411=0,0,'Components Yr 1'!J411)</f>
        <v>0</v>
      </c>
      <c r="K411" s="12"/>
      <c r="L411" s="17">
        <f>IF('Components Yr 1'!L411=0,0,'Components Yr 1'!L411)</f>
        <v>0</v>
      </c>
      <c r="M411" s="12"/>
      <c r="N411" s="12"/>
      <c r="O411" s="12"/>
      <c r="P411" s="12"/>
      <c r="Q411" s="17"/>
      <c r="R411" s="18">
        <f>IF(SUMPRODUCT((E411:Q411)*1)=0,0,E411*INDEX(Hours!M:M,MATCH(C411,Hours!$A:$A,0))+F411*INDEX(Hours!B:B,MATCH(C411,Hours!$A:$A,0))+G411*INDEX(Hours!C:C,MATCH(C411,Hours!$A:$A,0))+H411*INDEX(Hours!D:D,MATCH(C411,Hours!$A:$A,0))+I411*INDEX(Hours!E:E,MATCH(C411,Hours!$A:$A,0))+J411*INDEX(Hours!F:F,MATCH(C411,Hours!$A:$A,0))+L411*INDEX(Hours!H:H,MATCH(C411,Hours!$A:$A,0)))</f>
        <v>0</v>
      </c>
      <c r="S411" s="19">
        <f t="shared" si="13"/>
        <v>0</v>
      </c>
    </row>
    <row r="412" spans="1:19" x14ac:dyDescent="0.25">
      <c r="A412" s="15" t="str">
        <f>'Bldgs &amp; Rooms'!$A$13</f>
        <v>Main Bldg.</v>
      </c>
      <c r="B412" s="15">
        <f>'Bldgs &amp; Rooms'!$B$13</f>
        <v>0</v>
      </c>
      <c r="C412" s="14" t="str">
        <f>Hours!$A$5</f>
        <v>Distribution Switchboard Multi Cover (Per Section)</v>
      </c>
      <c r="D412" s="15">
        <f t="shared" si="12"/>
        <v>0</v>
      </c>
      <c r="E412" s="16">
        <f>IF('Components Yr 1'!E412=0,0,'Components Yr 1'!E412)</f>
        <v>0</v>
      </c>
      <c r="F412" s="17">
        <f>IF('Components Yr 1'!F412=0,0,'Components Yr 1'!F412)</f>
        <v>0</v>
      </c>
      <c r="G412" s="17">
        <f>IF('Components Yr 1'!G412=0,0,'Components Yr 1'!G412)</f>
        <v>0</v>
      </c>
      <c r="H412" s="17">
        <f>IF('Components Yr 1'!H412=0,0,'Components Yr 1'!H412)</f>
        <v>0</v>
      </c>
      <c r="I412" s="17">
        <f>IF('Components Yr 1'!I412=0,0,'Components Yr 1'!I412)</f>
        <v>0</v>
      </c>
      <c r="J412" s="17">
        <f>IF('Components Yr 1'!J412=0,0,'Components Yr 1'!J412)</f>
        <v>0</v>
      </c>
      <c r="K412" s="17">
        <f>IF('Components Yr 1'!K412=0,0,'Components Yr 1'!K412)</f>
        <v>0</v>
      </c>
      <c r="L412" s="12"/>
      <c r="M412" s="12"/>
      <c r="N412" s="12"/>
      <c r="O412" s="17">
        <f>IF('Components Yr 1'!O412=0,0,'Components Yr 1'!O412)</f>
        <v>0</v>
      </c>
      <c r="P412" s="12"/>
      <c r="Q412" s="17"/>
      <c r="R412" s="18">
        <f>IF(SUMPRODUCT((E412:Q412)*1)=0,0,E412*INDEX(Hours!M:M,MATCH(C412,Hours!$A:$A,0))+F412*INDEX(Hours!B:B,MATCH(C412,Hours!$A:$A,0))+G412*INDEX(Hours!C:C,MATCH(C412,Hours!$A:$A,0))+H412*INDEX(Hours!D:D,MATCH(C412,Hours!$A:$A,0))+I412*INDEX(Hours!E:E,MATCH(C412,Hours!$A:$A,0))+J412*INDEX(Hours!F:F,MATCH(C412,Hours!$A:$A,0))+K412*INDEX(Hours!G:G,MATCH(C412,Hours!$A:$A,0))+O412*INDEX(Hours!K:K,MATCH(C412,Hours!$A:$A,0)))</f>
        <v>0</v>
      </c>
      <c r="S412" s="19">
        <f t="shared" si="13"/>
        <v>0</v>
      </c>
    </row>
    <row r="413" spans="1:19" x14ac:dyDescent="0.25">
      <c r="A413" s="15" t="str">
        <f>'Bldgs &amp; Rooms'!$A$13</f>
        <v>Main Bldg.</v>
      </c>
      <c r="B413" s="15">
        <f>'Bldgs &amp; Rooms'!$B$13</f>
        <v>0</v>
      </c>
      <c r="C413" s="14" t="str">
        <f>Hours!$A$6</f>
        <v xml:space="preserve">  Switchboard Disconnects</v>
      </c>
      <c r="D413" s="15">
        <f t="shared" si="12"/>
        <v>0</v>
      </c>
      <c r="E413" s="16">
        <f>IF('Components Yr 1'!E413=0,0,'Components Yr 1'!E413)</f>
        <v>0</v>
      </c>
      <c r="F413" s="17">
        <f>IF('Components Yr 1'!F413=0,0,'Components Yr 1'!F413)</f>
        <v>0</v>
      </c>
      <c r="G413" s="17">
        <f>IF('Components Yr 1'!G413=0,0,'Components Yr 1'!G413)</f>
        <v>0</v>
      </c>
      <c r="H413" s="17">
        <f>IF('Components Yr 1'!H413=0,0,'Components Yr 1'!H413)</f>
        <v>0</v>
      </c>
      <c r="I413" s="17">
        <f>IF('Components Yr 1'!I413=0,0,'Components Yr 1'!I413)</f>
        <v>0</v>
      </c>
      <c r="J413" s="17">
        <f>IF('Components Yr 1'!J413=0,0,'Components Yr 1'!J413)</f>
        <v>0</v>
      </c>
      <c r="K413" s="12"/>
      <c r="L413" s="12"/>
      <c r="M413" s="12"/>
      <c r="N413" s="12"/>
      <c r="O413" s="12"/>
      <c r="P413" s="12"/>
      <c r="Q413" s="17"/>
      <c r="R413" s="18">
        <f>IF(SUMPRODUCT((E413:Q413)*1)=0,0,E413*INDEX(Hours!M:M,MATCH(C413,Hours!$A:$A,0))+F413*INDEX(Hours!B:B,MATCH(C413,Hours!$A:$A,0))+G413*INDEX(Hours!C:C,MATCH(C413,Hours!$A:$A,0))+H413*INDEX(Hours!D:D,MATCH(C413,Hours!$A:$A,0))+I413*INDEX(Hours!E:E,MATCH(C413,Hours!$A:$A,0))+J413*INDEX(Hours!F:F,MATCH(C413,Hours!$A:$A,0)))</f>
        <v>0</v>
      </c>
      <c r="S413" s="19">
        <f t="shared" si="13"/>
        <v>0</v>
      </c>
    </row>
    <row r="414" spans="1:19" x14ac:dyDescent="0.25">
      <c r="A414" s="15" t="str">
        <f>'Bldgs &amp; Rooms'!$A$13</f>
        <v>Main Bldg.</v>
      </c>
      <c r="B414" s="15">
        <f>'Bldgs &amp; Rooms'!$B$13</f>
        <v>0</v>
      </c>
      <c r="C414" s="14" t="str">
        <f>Hours!$A$7</f>
        <v xml:space="preserve">  Switchboard Molded Case Breakers</v>
      </c>
      <c r="D414" s="15">
        <f t="shared" si="12"/>
        <v>0</v>
      </c>
      <c r="E414" s="16">
        <f>IF('Components Yr 1'!E414=0,0,'Components Yr 1'!E414)</f>
        <v>0</v>
      </c>
      <c r="F414" s="17">
        <f>IF('Components Yr 1'!F414=0,0,'Components Yr 1'!F414)</f>
        <v>0</v>
      </c>
      <c r="G414" s="17">
        <f>IF('Components Yr 1'!G414=0,0,'Components Yr 1'!G414)</f>
        <v>0</v>
      </c>
      <c r="H414" s="17">
        <f>IF('Components Yr 1'!H414=0,0,'Components Yr 1'!H414)</f>
        <v>0</v>
      </c>
      <c r="I414" s="17">
        <f>IF('Components Yr 1'!I414=0,0,'Components Yr 1'!I414)</f>
        <v>0</v>
      </c>
      <c r="J414" s="17">
        <f>IF('Components Yr 1'!J414=0,0,'Components Yr 1'!J414)</f>
        <v>0</v>
      </c>
      <c r="K414" s="17">
        <f>IF('Components Yr 1'!K414=0,0,'Components Yr 1'!K414)</f>
        <v>0</v>
      </c>
      <c r="L414" s="12"/>
      <c r="M414" s="12"/>
      <c r="N414" s="12"/>
      <c r="O414" s="12"/>
      <c r="P414" s="12"/>
      <c r="Q414" s="17"/>
      <c r="R414" s="18">
        <f>IF(SUMPRODUCT((E414:Q414)*1)=0,0,E414*INDEX(Hours!M:M,MATCH(C414,Hours!$A:$A,0))+F414*INDEX(Hours!B:B,MATCH(C414,Hours!$A:$A,0))+G414*INDEX(Hours!C:C,MATCH(C414,Hours!$A:$A,0))+H414*INDEX(Hours!D:D,MATCH(C414,Hours!$A:$A,0))+I414*INDEX(Hours!E:E,MATCH(C414,Hours!$A:$A,0))+J414*INDEX(Hours!F:F,MATCH(C414,Hours!$A:$A,0))+K414*INDEX(Hours!G:G,MATCH(C414,Hours!$A:$A,0)))</f>
        <v>0</v>
      </c>
      <c r="S414" s="19">
        <f t="shared" si="13"/>
        <v>0</v>
      </c>
    </row>
    <row r="415" spans="1:19" x14ac:dyDescent="0.25">
      <c r="A415" s="15" t="str">
        <f>'Bldgs &amp; Rooms'!$A$13</f>
        <v>Main Bldg.</v>
      </c>
      <c r="B415" s="15">
        <f>'Bldgs &amp; Rooms'!$B$13</f>
        <v>0</v>
      </c>
      <c r="C415" s="14" t="str">
        <f>Hours!$A$8</f>
        <v>Panelboard-Single Cover &gt; 400A (Distribution Panel)</v>
      </c>
      <c r="D415" s="15">
        <f t="shared" si="12"/>
        <v>0</v>
      </c>
      <c r="E415" s="16">
        <f>IF('Components Yr 1'!E415=0,0,'Components Yr 1'!E415)</f>
        <v>0</v>
      </c>
      <c r="F415" s="17">
        <f>IF('Components Yr 1'!F415=0,0,'Components Yr 1'!F415)</f>
        <v>0</v>
      </c>
      <c r="G415" s="17">
        <f>IF('Components Yr 1'!G415=0,0,'Components Yr 1'!G415)</f>
        <v>0</v>
      </c>
      <c r="H415" s="17">
        <f>IF('Components Yr 1'!H415=0,0,'Components Yr 1'!H415)</f>
        <v>0</v>
      </c>
      <c r="I415" s="17">
        <f>IF('Components Yr 1'!I415=0,0,'Components Yr 1'!I415)</f>
        <v>0</v>
      </c>
      <c r="J415" s="17">
        <f>IF('Components Yr 1'!J415=0,0,'Components Yr 1'!J415)</f>
        <v>0</v>
      </c>
      <c r="K415" s="17">
        <f>IF('Components Yr 1'!K415=0,0,'Components Yr 1'!K415)</f>
        <v>0</v>
      </c>
      <c r="L415" s="12"/>
      <c r="M415" s="12"/>
      <c r="N415" s="12"/>
      <c r="O415" s="17">
        <f>IF('Components Yr 1'!O415=0,0,'Components Yr 1'!O415)</f>
        <v>0</v>
      </c>
      <c r="P415" s="12"/>
      <c r="Q415" s="17"/>
      <c r="R415" s="18">
        <f>IF(SUMPRODUCT((E415:Q415)*1)=0,0,E415*INDEX(Hours!M:M,MATCH(C415,Hours!$A:$A,0))+F415*INDEX(Hours!B:B,MATCH(C415,Hours!$A:$A,0))+G415*INDEX(Hours!C:C,MATCH(C415,Hours!$A:$A,0))+H415*INDEX(Hours!D:D,MATCH(C415,Hours!$A:$A,0))+I415*INDEX(Hours!E:E,MATCH(C415,Hours!$A:$A,0))+J415*INDEX(Hours!F:F,MATCH(C415,Hours!$A:$A,0))+K415*INDEX(Hours!G:G,MATCH(C415,Hours!$A:$A,0))+O415*INDEX(Hours!K:K,MATCH(C415,Hours!$A:$A,0)))</f>
        <v>0</v>
      </c>
      <c r="S415" s="19">
        <f t="shared" si="13"/>
        <v>0</v>
      </c>
    </row>
    <row r="416" spans="1:19" x14ac:dyDescent="0.25">
      <c r="A416" s="15" t="str">
        <f>'Bldgs &amp; Rooms'!$A$13</f>
        <v>Main Bldg.</v>
      </c>
      <c r="B416" s="15">
        <f>'Bldgs &amp; Rooms'!$B$13</f>
        <v>0</v>
      </c>
      <c r="C416" s="14" t="str">
        <f>Hours!$A$9</f>
        <v>Panelboard-Single Cover &lt; 400A (Branch Ckt Panel)</v>
      </c>
      <c r="D416" s="15">
        <f t="shared" si="12"/>
        <v>0</v>
      </c>
      <c r="E416" s="16">
        <f>IF('Components Yr 1'!E416=0,0,'Components Yr 1'!E416)</f>
        <v>0</v>
      </c>
      <c r="F416" s="17">
        <f>IF('Components Yr 1'!F416=0,0,'Components Yr 1'!F416)</f>
        <v>0</v>
      </c>
      <c r="G416" s="17">
        <f>IF('Components Yr 1'!G416=0,0,'Components Yr 1'!G416)</f>
        <v>0</v>
      </c>
      <c r="H416" s="17">
        <f>IF('Components Yr 1'!H416=0,0,'Components Yr 1'!H416)</f>
        <v>0</v>
      </c>
      <c r="I416" s="17">
        <f>IF('Components Yr 1'!I416=0,0,'Components Yr 1'!I416)</f>
        <v>0</v>
      </c>
      <c r="J416" s="17">
        <f>IF('Components Yr 1'!J416=0,0,'Components Yr 1'!J416)</f>
        <v>0</v>
      </c>
      <c r="K416" s="12"/>
      <c r="L416" s="12"/>
      <c r="M416" s="12"/>
      <c r="N416" s="12"/>
      <c r="O416" s="17">
        <f>IF('Components Yr 1'!O416=0,0,'Components Yr 1'!O416)</f>
        <v>0</v>
      </c>
      <c r="P416" s="12"/>
      <c r="Q416" s="17"/>
      <c r="R416" s="18">
        <f>IF(SUMPRODUCT((E416:Q416)*1)=0,0,E416*INDEX(Hours!M:M,MATCH(C416,Hours!$A:$A,0))+F416*INDEX(Hours!B:B,MATCH(C416,Hours!$A:$A,0))+G416*INDEX(Hours!C:C,MATCH(C416,Hours!$A:$A,0))+H416*INDEX(Hours!D:D,MATCH(C416,Hours!$A:$A,0))+I416*INDEX(Hours!E:E,MATCH(C416,Hours!$A:$A,0))+J416*INDEX(Hours!F:F,MATCH(C416,Hours!$A:$A,0))+O416*INDEX(Hours!K:K,MATCH(C416,Hours!$A:$A,0)))</f>
        <v>0</v>
      </c>
      <c r="S416" s="19">
        <f t="shared" si="13"/>
        <v>0</v>
      </c>
    </row>
    <row r="417" spans="1:19" x14ac:dyDescent="0.25">
      <c r="A417" s="15" t="str">
        <f>'Bldgs &amp; Rooms'!$A$13</f>
        <v>Main Bldg.</v>
      </c>
      <c r="B417" s="15">
        <f>'Bldgs &amp; Rooms'!$B$13</f>
        <v>0</v>
      </c>
      <c r="C417" s="14" t="str">
        <f>Hours!$A$10</f>
        <v>Motor Control Center (MCC-Per Vertical Section)</v>
      </c>
      <c r="D417" s="15">
        <f t="shared" si="12"/>
        <v>0</v>
      </c>
      <c r="E417" s="16">
        <f>IF('Components Yr 1'!E417=0,0,'Components Yr 1'!E417)</f>
        <v>0</v>
      </c>
      <c r="F417" s="17">
        <f>IF('Components Yr 1'!F417=0,0,'Components Yr 1'!F417)</f>
        <v>0</v>
      </c>
      <c r="G417" s="17">
        <f>IF('Components Yr 1'!G417=0,0,'Components Yr 1'!G417)</f>
        <v>0</v>
      </c>
      <c r="H417" s="17">
        <f>IF('Components Yr 1'!H417=0,0,'Components Yr 1'!H417)</f>
        <v>0</v>
      </c>
      <c r="I417" s="17">
        <f>IF('Components Yr 1'!I417=0,0,'Components Yr 1'!I417)</f>
        <v>0</v>
      </c>
      <c r="J417" s="17">
        <f>IF('Components Yr 1'!J417=0,0,'Components Yr 1'!J417)</f>
        <v>0</v>
      </c>
      <c r="K417" s="12"/>
      <c r="L417" s="12"/>
      <c r="M417" s="12"/>
      <c r="N417" s="12"/>
      <c r="O417" s="17">
        <f>IF('Components Yr 1'!O417=0,0,'Components Yr 1'!O417)</f>
        <v>0</v>
      </c>
      <c r="P417" s="12"/>
      <c r="Q417" s="17"/>
      <c r="R417" s="18">
        <f>IF(SUMPRODUCT((E417:Q417)*1)=0,0,E417*INDEX(Hours!M:M,MATCH(C417,Hours!$A:$A,0))+F417*INDEX(Hours!B:B,MATCH(C417,Hours!$A:$A,0))+G417*INDEX(Hours!C:C,MATCH(C417,Hours!$A:$A,0))+H417*INDEX(Hours!D:D,MATCH(C417,Hours!$A:$A,0))+I417*INDEX(Hours!E:E,MATCH(C417,Hours!$A:$A,0))+J417*INDEX(Hours!F:F,MATCH(C417,Hours!$A:$A,0))+O417*INDEX(Hours!K:K,MATCH(C417,Hours!$A:$A,0)))</f>
        <v>0</v>
      </c>
      <c r="S417" s="19">
        <f t="shared" si="13"/>
        <v>0</v>
      </c>
    </row>
    <row r="418" spans="1:19" x14ac:dyDescent="0.25">
      <c r="A418" s="15" t="str">
        <f>'Bldgs &amp; Rooms'!$A$13</f>
        <v>Main Bldg.</v>
      </c>
      <c r="B418" s="15">
        <f>'Bldgs &amp; Rooms'!$B$13</f>
        <v>0</v>
      </c>
      <c r="C418" s="14" t="str">
        <f>Hours!$A$11</f>
        <v xml:space="preserve">  MCC: Combination Motor Starters</v>
      </c>
      <c r="D418" s="15">
        <f t="shared" si="12"/>
        <v>0</v>
      </c>
      <c r="E418" s="16">
        <f>IF('Components Yr 1'!E418=0,0,'Components Yr 1'!E418)</f>
        <v>0</v>
      </c>
      <c r="F418" s="17">
        <f>IF('Components Yr 1'!F418=0,0,'Components Yr 1'!F418)</f>
        <v>0</v>
      </c>
      <c r="G418" s="17">
        <f>IF('Components Yr 1'!G418=0,0,'Components Yr 1'!G418)</f>
        <v>0</v>
      </c>
      <c r="H418" s="17">
        <f>IF('Components Yr 1'!H418=0,0,'Components Yr 1'!H418)</f>
        <v>0</v>
      </c>
      <c r="I418" s="17">
        <f>IF('Components Yr 1'!I418=0,0,'Components Yr 1'!I418)</f>
        <v>0</v>
      </c>
      <c r="J418" s="17">
        <f>IF('Components Yr 1'!J418=0,0,'Components Yr 1'!J418)</f>
        <v>0</v>
      </c>
      <c r="K418" s="17">
        <f>IF('Components Yr 1'!K418=0,0,'Components Yr 1'!K418)</f>
        <v>0</v>
      </c>
      <c r="L418" s="12"/>
      <c r="M418" s="12"/>
      <c r="N418" s="12"/>
      <c r="O418" s="17">
        <f>IF('Components Yr 1'!O418=0,0,'Components Yr 1'!O418)</f>
        <v>0</v>
      </c>
      <c r="P418" s="12"/>
      <c r="Q418" s="17"/>
      <c r="R418" s="18">
        <f>IF(SUMPRODUCT((E418:Q418)*1)=0,0,E418*INDEX(Hours!M:M,MATCH(C418,Hours!$A:$A,0))+F418*INDEX(Hours!B:B,MATCH(C418,Hours!$A:$A,0))+G418*INDEX(Hours!C:C,MATCH(C418,Hours!$A:$A,0))+H418*INDEX(Hours!D:D,MATCH(C418,Hours!$A:$A,0))+I418*INDEX(Hours!E:E,MATCH(C418,Hours!$A:$A,0))+J418*INDEX(Hours!F:F,MATCH(C418,Hours!$A:$A,0))+K418*INDEX(Hours!G:G,MATCH(C418,Hours!$A:$A,0))+O418*INDEX(Hours!K:K,MATCH(C418,Hours!$A:$A,0)))</f>
        <v>0</v>
      </c>
      <c r="S418" s="19">
        <f t="shared" si="13"/>
        <v>0</v>
      </c>
    </row>
    <row r="419" spans="1:19" x14ac:dyDescent="0.25">
      <c r="A419" s="15" t="str">
        <f>'Bldgs &amp; Rooms'!$A$13</f>
        <v>Main Bldg.</v>
      </c>
      <c r="B419" s="15">
        <f>'Bldgs &amp; Rooms'!$B$13</f>
        <v>0</v>
      </c>
      <c r="C419" s="14" t="str">
        <f>Hours!$A$12</f>
        <v xml:space="preserve">  MCC: Molded Case Breaker</v>
      </c>
      <c r="D419" s="15">
        <f t="shared" si="12"/>
        <v>0</v>
      </c>
      <c r="E419" s="16">
        <f>IF('Components Yr 1'!E419=0,0,'Components Yr 1'!E419)</f>
        <v>0</v>
      </c>
      <c r="F419" s="17">
        <f>IF('Components Yr 1'!F419=0,0,'Components Yr 1'!F419)</f>
        <v>0</v>
      </c>
      <c r="G419" s="17">
        <f>IF('Components Yr 1'!G419=0,0,'Components Yr 1'!G419)</f>
        <v>0</v>
      </c>
      <c r="H419" s="17">
        <f>IF('Components Yr 1'!H419=0,0,'Components Yr 1'!H419)</f>
        <v>0</v>
      </c>
      <c r="I419" s="17">
        <f>IF('Components Yr 1'!I419=0,0,'Components Yr 1'!I419)</f>
        <v>0</v>
      </c>
      <c r="J419" s="17">
        <f>IF('Components Yr 1'!J419=0,0,'Components Yr 1'!J419)</f>
        <v>0</v>
      </c>
      <c r="K419" s="17">
        <f>IF('Components Yr 1'!K419=0,0,'Components Yr 1'!K419)</f>
        <v>0</v>
      </c>
      <c r="L419" s="12"/>
      <c r="M419" s="12"/>
      <c r="N419" s="12"/>
      <c r="O419" s="12"/>
      <c r="P419" s="12"/>
      <c r="Q419" s="17"/>
      <c r="R419" s="18">
        <f>IF(SUMPRODUCT((E419:Q419)*1)=0,0,E419*INDEX(Hours!M:M,MATCH(C419,Hours!$A:$A,0))+F419*INDEX(Hours!B:B,MATCH(C419,Hours!$A:$A,0))+G419*INDEX(Hours!C:C,MATCH(C419,Hours!$A:$A,0))+H419*INDEX(Hours!D:D,MATCH(C419,Hours!$A:$A,0))+I419*INDEX(Hours!E:E,MATCH(C419,Hours!$A:$A,0))+J419*INDEX(Hours!F:F,MATCH(C419,Hours!$A:$A,0))+K419*INDEX(Hours!G:G,MATCH(C419,Hours!$A:$A,0)))</f>
        <v>0</v>
      </c>
      <c r="S419" s="19">
        <f t="shared" si="13"/>
        <v>0</v>
      </c>
    </row>
    <row r="420" spans="1:19" x14ac:dyDescent="0.25">
      <c r="A420" s="15" t="str">
        <f>'Bldgs &amp; Rooms'!$A$13</f>
        <v>Main Bldg.</v>
      </c>
      <c r="B420" s="15">
        <f>'Bldgs &amp; Rooms'!$B$13</f>
        <v>0</v>
      </c>
      <c r="C420" s="14" t="str">
        <f>Hours!$A$13</f>
        <v xml:space="preserve">  MCC: Individual Disconnect Switch</v>
      </c>
      <c r="D420" s="15">
        <f t="shared" si="12"/>
        <v>0</v>
      </c>
      <c r="E420" s="16">
        <f>IF('Components Yr 1'!E420=0,0,'Components Yr 1'!E420)</f>
        <v>0</v>
      </c>
      <c r="F420" s="17">
        <f>IF('Components Yr 1'!F420=0,0,'Components Yr 1'!F420)</f>
        <v>0</v>
      </c>
      <c r="G420" s="17">
        <f>IF('Components Yr 1'!G420=0,0,'Components Yr 1'!G420)</f>
        <v>0</v>
      </c>
      <c r="H420" s="17">
        <f>IF('Components Yr 1'!H420=0,0,'Components Yr 1'!H420)</f>
        <v>0</v>
      </c>
      <c r="I420" s="17">
        <f>IF('Components Yr 1'!I420=0,0,'Components Yr 1'!I420)</f>
        <v>0</v>
      </c>
      <c r="J420" s="17">
        <f>IF('Components Yr 1'!J420=0,0,'Components Yr 1'!J420)</f>
        <v>0</v>
      </c>
      <c r="K420" s="12"/>
      <c r="L420" s="12"/>
      <c r="M420" s="12"/>
      <c r="N420" s="12"/>
      <c r="O420" s="12"/>
      <c r="P420" s="12"/>
      <c r="Q420" s="17"/>
      <c r="R420" s="18">
        <f>IF(SUMPRODUCT((E420:Q420)*1)=0,0,E420*INDEX(Hours!M:M,MATCH(C420,Hours!$A:$A,0))+F420*INDEX(Hours!B:B,MATCH(C420,Hours!$A:$A,0))+G420*INDEX(Hours!C:C,MATCH(C420,Hours!$A:$A,0))+H420*INDEX(Hours!D:D,MATCH(C420,Hours!$A:$A,0))+I420*INDEX(Hours!E:E,MATCH(C420,Hours!$A:$A,0))+J420*INDEX(Hours!F:F,MATCH(C420,Hours!$A:$A,0)))</f>
        <v>0</v>
      </c>
      <c r="S420" s="19">
        <f t="shared" si="13"/>
        <v>0</v>
      </c>
    </row>
    <row r="421" spans="1:19" x14ac:dyDescent="0.25">
      <c r="A421" s="15" t="str">
        <f>'Bldgs &amp; Rooms'!$A$13</f>
        <v>Main Bldg.</v>
      </c>
      <c r="B421" s="15">
        <f>'Bldgs &amp; Rooms'!$B$13</f>
        <v>0</v>
      </c>
      <c r="C421" s="14" t="str">
        <f>Hours!$A$14</f>
        <v>Motor Control Panel (MCP)</v>
      </c>
      <c r="D421" s="15">
        <f t="shared" si="12"/>
        <v>0</v>
      </c>
      <c r="E421" s="16">
        <f>IF('Components Yr 1'!E421=0,0,'Components Yr 1'!E421)</f>
        <v>0</v>
      </c>
      <c r="F421" s="17">
        <f>IF('Components Yr 1'!F421=0,0,'Components Yr 1'!F421)</f>
        <v>0</v>
      </c>
      <c r="G421" s="17">
        <f>IF('Components Yr 1'!G421=0,0,'Components Yr 1'!G421)</f>
        <v>0</v>
      </c>
      <c r="H421" s="17">
        <f>IF('Components Yr 1'!H421=0,0,'Components Yr 1'!H421)</f>
        <v>0</v>
      </c>
      <c r="I421" s="17">
        <f>IF('Components Yr 1'!I421=0,0,'Components Yr 1'!I421)</f>
        <v>0</v>
      </c>
      <c r="J421" s="17">
        <f>IF('Components Yr 1'!J421=0,0,'Components Yr 1'!J421)</f>
        <v>0</v>
      </c>
      <c r="K421" s="12"/>
      <c r="L421" s="12"/>
      <c r="M421" s="12"/>
      <c r="N421" s="12"/>
      <c r="O421" s="17">
        <f>IF('Components Yr 1'!O421=0,0,'Components Yr 1'!O421)</f>
        <v>0</v>
      </c>
      <c r="P421" s="12"/>
      <c r="Q421" s="17"/>
      <c r="R421" s="18">
        <f>IF(SUMPRODUCT((E421:Q421)*1)=0,0,E421*INDEX(Hours!M:M,MATCH(C421,Hours!$A:$A,0))+F421*INDEX(Hours!B:B,MATCH(C421,Hours!$A:$A,0))+G421*INDEX(Hours!C:C,MATCH(C421,Hours!$A:$A,0))+H421*INDEX(Hours!D:D,MATCH(C421,Hours!$A:$A,0))+I421*INDEX(Hours!E:E,MATCH(C421,Hours!$A:$A,0))+J421*INDEX(Hours!F:F,MATCH(C421,Hours!$A:$A,0))+O421*INDEX(Hours!K:K,MATCH(C421,Hours!$A:$A,0)))</f>
        <v>0</v>
      </c>
      <c r="S421" s="19">
        <f t="shared" si="13"/>
        <v>0</v>
      </c>
    </row>
    <row r="422" spans="1:19" x14ac:dyDescent="0.25">
      <c r="A422" s="15" t="str">
        <f>'Bldgs &amp; Rooms'!$A$13</f>
        <v>Main Bldg.</v>
      </c>
      <c r="B422" s="15">
        <f>'Bldgs &amp; Rooms'!$B$13</f>
        <v>0</v>
      </c>
      <c r="C422" s="14" t="str">
        <f>Hours!$A$15</f>
        <v>VFD Motor Control Panel (VFD-MCP)</v>
      </c>
      <c r="D422" s="15">
        <f t="shared" si="12"/>
        <v>0</v>
      </c>
      <c r="E422" s="16">
        <f>IF('Components Yr 1'!E422=0,0,'Components Yr 1'!E422)</f>
        <v>0</v>
      </c>
      <c r="F422" s="17">
        <f>IF('Components Yr 1'!F422=0,0,'Components Yr 1'!F422)</f>
        <v>0</v>
      </c>
      <c r="G422" s="17">
        <f>IF('Components Yr 1'!G422=0,0,'Components Yr 1'!G422)</f>
        <v>0</v>
      </c>
      <c r="H422" s="17">
        <f>IF('Components Yr 1'!H422=0,0,'Components Yr 1'!H422)</f>
        <v>0</v>
      </c>
      <c r="I422" s="17">
        <f>IF('Components Yr 1'!I422=0,0,'Components Yr 1'!I422)</f>
        <v>0</v>
      </c>
      <c r="J422" s="17">
        <f>IF('Components Yr 1'!J422=0,0,'Components Yr 1'!J422)</f>
        <v>0</v>
      </c>
      <c r="K422" s="12"/>
      <c r="L422" s="12"/>
      <c r="M422" s="12"/>
      <c r="N422" s="12"/>
      <c r="O422" s="17">
        <f>IF('Components Yr 1'!O422=0,0,'Components Yr 1'!O422)</f>
        <v>0</v>
      </c>
      <c r="P422" s="12"/>
      <c r="Q422" s="17"/>
      <c r="R422" s="18">
        <f>IF(SUMPRODUCT((E422:Q422)*1)=0,0,E422*INDEX(Hours!M:M,MATCH(C422,Hours!$A:$A,0))+F422*INDEX(Hours!B:B,MATCH(C422,Hours!$A:$A,0))+G422*INDEX(Hours!C:C,MATCH(C422,Hours!$A:$A,0))+H422*INDEX(Hours!D:D,MATCH(C422,Hours!$A:$A,0))+I422*INDEX(Hours!E:E,MATCH(C422,Hours!$A:$A,0))+J422*INDEX(Hours!F:F,MATCH(C422,Hours!$A:$A,0))+O422*INDEX(Hours!K:K,MATCH(C422,Hours!$A:$A,0)))</f>
        <v>0</v>
      </c>
      <c r="S422" s="19">
        <f t="shared" si="13"/>
        <v>0</v>
      </c>
    </row>
    <row r="423" spans="1:19" x14ac:dyDescent="0.25">
      <c r="A423" s="15" t="str">
        <f>'Bldgs &amp; Rooms'!$A$13</f>
        <v>Main Bldg.</v>
      </c>
      <c r="B423" s="15">
        <f>'Bldgs &amp; Rooms'!$B$13</f>
        <v>0</v>
      </c>
      <c r="C423" s="14" t="str">
        <f>Hours!$A$16</f>
        <v>Individual Disconnect Switch &gt; 100A</v>
      </c>
      <c r="D423" s="15">
        <f t="shared" si="12"/>
        <v>0</v>
      </c>
      <c r="E423" s="16">
        <f>IF('Components Yr 1'!E423=0,0,'Components Yr 1'!E423)</f>
        <v>0</v>
      </c>
      <c r="F423" s="17">
        <f>IF('Components Yr 1'!F423=0,0,'Components Yr 1'!F423)</f>
        <v>0</v>
      </c>
      <c r="G423" s="17">
        <f>IF('Components Yr 1'!G423=0,0,'Components Yr 1'!G423)</f>
        <v>0</v>
      </c>
      <c r="H423" s="17">
        <f>IF('Components Yr 1'!H423=0,0,'Components Yr 1'!H423)</f>
        <v>0</v>
      </c>
      <c r="I423" s="17">
        <f>IF('Components Yr 1'!I423=0,0,'Components Yr 1'!I423)</f>
        <v>0</v>
      </c>
      <c r="J423" s="17">
        <f>IF('Components Yr 1'!J423=0,0,'Components Yr 1'!J423)</f>
        <v>0</v>
      </c>
      <c r="K423" s="17">
        <f>IF('Components Yr 1'!K423=0,0,'Components Yr 1'!K423)</f>
        <v>0</v>
      </c>
      <c r="L423" s="12"/>
      <c r="M423" s="12"/>
      <c r="N423" s="12"/>
      <c r="O423" s="12"/>
      <c r="P423" s="12"/>
      <c r="Q423" s="17"/>
      <c r="R423" s="18">
        <f>IF(SUMPRODUCT((E423:Q423)*1)=0,0,E423*INDEX(Hours!M:M,MATCH(C423,Hours!$A:$A,0))+F423*INDEX(Hours!B:B,MATCH(C423,Hours!$A:$A,0))+G423*INDEX(Hours!C:C,MATCH(C423,Hours!$A:$A,0))+H423*INDEX(Hours!D:D,MATCH(C423,Hours!$A:$A,0))+I423*INDEX(Hours!E:E,MATCH(C423,Hours!$A:$A,0))+J423*INDEX(Hours!F:F,MATCH(C423,Hours!$A:$A,0))+K423*INDEX(Hours!G:G,MATCH(C423,Hours!$A:$A,0)))</f>
        <v>0</v>
      </c>
      <c r="S423" s="19">
        <f t="shared" si="13"/>
        <v>0</v>
      </c>
    </row>
    <row r="424" spans="1:19" x14ac:dyDescent="0.25">
      <c r="A424" s="15" t="str">
        <f>'Bldgs &amp; Rooms'!$A$13</f>
        <v>Main Bldg.</v>
      </c>
      <c r="B424" s="15">
        <f>'Bldgs &amp; Rooms'!$B$13</f>
        <v>0</v>
      </c>
      <c r="C424" s="14" t="str">
        <f>Hours!$A$17</f>
        <v>Individual Molded Case Breaker &gt; 100A</v>
      </c>
      <c r="D424" s="15">
        <f t="shared" si="12"/>
        <v>0</v>
      </c>
      <c r="E424" s="16">
        <f>IF('Components Yr 1'!E424=0,0,'Components Yr 1'!E424)</f>
        <v>0</v>
      </c>
      <c r="F424" s="17">
        <f>IF('Components Yr 1'!F424=0,0,'Components Yr 1'!F424)</f>
        <v>0</v>
      </c>
      <c r="G424" s="17">
        <f>IF('Components Yr 1'!G424=0,0,'Components Yr 1'!G424)</f>
        <v>0</v>
      </c>
      <c r="H424" s="17">
        <f>IF('Components Yr 1'!H424=0,0,'Components Yr 1'!H424)</f>
        <v>0</v>
      </c>
      <c r="I424" s="17">
        <f>IF('Components Yr 1'!I424=0,0,'Components Yr 1'!I424)</f>
        <v>0</v>
      </c>
      <c r="J424" s="17">
        <f>IF('Components Yr 1'!J424=0,0,'Components Yr 1'!J424)</f>
        <v>0</v>
      </c>
      <c r="K424" s="17">
        <f>IF('Components Yr 1'!K424=0,0,'Components Yr 1'!K424)</f>
        <v>0</v>
      </c>
      <c r="L424" s="12"/>
      <c r="M424" s="12"/>
      <c r="N424" s="12"/>
      <c r="O424" s="12"/>
      <c r="P424" s="12"/>
      <c r="Q424" s="17"/>
      <c r="R424" s="18">
        <f>IF(SUMPRODUCT((E424:Q424)*1)=0,0,E424*INDEX(Hours!M:M,MATCH(C424,Hours!$A:$A,0))+F424*INDEX(Hours!B:B,MATCH(C424,Hours!$A:$A,0))+G424*INDEX(Hours!C:C,MATCH(C424,Hours!$A:$A,0))+H424*INDEX(Hours!D:D,MATCH(C424,Hours!$A:$A,0))+I424*INDEX(Hours!E:E,MATCH(C424,Hours!$A:$A,0))+J424*INDEX(Hours!F:F,MATCH(C424,Hours!$A:$A,0))+K424*INDEX(Hours!G:G,MATCH(C424,Hours!$A:$A,0)))</f>
        <v>0</v>
      </c>
      <c r="S424" s="19">
        <f t="shared" si="13"/>
        <v>0</v>
      </c>
    </row>
    <row r="425" spans="1:19" x14ac:dyDescent="0.25">
      <c r="A425" s="15" t="str">
        <f>'Bldgs &amp; Rooms'!$A$13</f>
        <v>Main Bldg.</v>
      </c>
      <c r="B425" s="15">
        <f>'Bldgs &amp; Rooms'!$B$13</f>
        <v>0</v>
      </c>
      <c r="C425" s="14" t="str">
        <f>Hours!$A$18</f>
        <v>Individual Combination Motor Starter &gt; 100A</v>
      </c>
      <c r="D425" s="15">
        <f t="shared" si="12"/>
        <v>0</v>
      </c>
      <c r="E425" s="16">
        <f>IF('Components Yr 1'!E425=0,0,'Components Yr 1'!E425)</f>
        <v>0</v>
      </c>
      <c r="F425" s="17">
        <f>IF('Components Yr 1'!F425=0,0,'Components Yr 1'!F425)</f>
        <v>0</v>
      </c>
      <c r="G425" s="17">
        <f>IF('Components Yr 1'!G425=0,0,'Components Yr 1'!G425)</f>
        <v>0</v>
      </c>
      <c r="H425" s="17">
        <f>IF('Components Yr 1'!H425=0,0,'Components Yr 1'!H425)</f>
        <v>0</v>
      </c>
      <c r="I425" s="17">
        <f>IF('Components Yr 1'!I425=0,0,'Components Yr 1'!I425)</f>
        <v>0</v>
      </c>
      <c r="J425" s="17">
        <f>IF('Components Yr 1'!J425=0,0,'Components Yr 1'!J425)</f>
        <v>0</v>
      </c>
      <c r="K425" s="17">
        <f>IF('Components Yr 1'!K425=0,0,'Components Yr 1'!K425)</f>
        <v>0</v>
      </c>
      <c r="L425" s="12"/>
      <c r="M425" s="12"/>
      <c r="N425" s="12"/>
      <c r="O425" s="12"/>
      <c r="P425" s="12"/>
      <c r="Q425" s="17"/>
      <c r="R425" s="18">
        <f>IF(SUMPRODUCT((E425:Q425)*1)=0,0,E425*INDEX(Hours!M:M,MATCH(C425,Hours!$A:$A,0))+F425*INDEX(Hours!B:B,MATCH(C425,Hours!$A:$A,0))+G425*INDEX(Hours!C:C,MATCH(C425,Hours!$A:$A,0))+H425*INDEX(Hours!D:D,MATCH(C425,Hours!$A:$A,0))+I425*INDEX(Hours!E:E,MATCH(C425,Hours!$A:$A,0))+J425*INDEX(Hours!F:F,MATCH(C425,Hours!$A:$A,0))+K425*INDEX(Hours!G:G,MATCH(C425,Hours!$A:$A,0)))</f>
        <v>0</v>
      </c>
      <c r="S425" s="19">
        <f t="shared" si="13"/>
        <v>0</v>
      </c>
    </row>
    <row r="426" spans="1:19" x14ac:dyDescent="0.25">
      <c r="A426" s="15" t="str">
        <f>'Bldgs &amp; Rooms'!$A$13</f>
        <v>Main Bldg.</v>
      </c>
      <c r="B426" s="15">
        <f>'Bldgs &amp; Rooms'!$B$13</f>
        <v>0</v>
      </c>
      <c r="C426" s="14" t="str">
        <f>Hours!$A$19</f>
        <v>Oil Filled Transformer - 5kV-15kV Primary - Any Size (Pad Mounted)</v>
      </c>
      <c r="D426" s="15">
        <f t="shared" si="12"/>
        <v>0</v>
      </c>
      <c r="E426" s="16">
        <f>IF('Components Yr 1'!E426=0,0,'Components Yr 1'!E426)</f>
        <v>0</v>
      </c>
      <c r="F426" s="17">
        <f>IF('Components Yr 1'!F426=0,0,'Components Yr 1'!F426)</f>
        <v>0</v>
      </c>
      <c r="G426" s="17">
        <f>IF('Components Yr 1'!G426=0,0,'Components Yr 1'!G426)</f>
        <v>0</v>
      </c>
      <c r="H426" s="17">
        <f>IF('Components Yr 1'!H426=0,0,'Components Yr 1'!H426)</f>
        <v>0</v>
      </c>
      <c r="I426" s="17">
        <f>IF('Components Yr 1'!I426=0,0,'Components Yr 1'!I426)</f>
        <v>0</v>
      </c>
      <c r="J426" s="17">
        <f>IF('Components Yr 1'!J426=0,0,'Components Yr 1'!J426)</f>
        <v>0</v>
      </c>
      <c r="K426" s="12"/>
      <c r="L426" s="12"/>
      <c r="M426" s="17">
        <f>IF('Components Yr 1'!M426=0,0,'Components Yr 1'!M426)</f>
        <v>0</v>
      </c>
      <c r="N426" s="17">
        <f>IF('Components Yr 1'!N426=0,0,'Components Yr 1'!N426)</f>
        <v>0</v>
      </c>
      <c r="O426" s="12"/>
      <c r="P426" s="17">
        <f>IF('Components Yr 1'!P426=0,0,'Components Yr 1'!P426)</f>
        <v>0</v>
      </c>
      <c r="Q426" s="17"/>
      <c r="R426" s="18">
        <f>IF(SUMPRODUCT((E426:Q426)*1)=0,0,E426*INDEX(Hours!M:M,MATCH(C426,Hours!$A:$A,0))+F426*INDEX(Hours!B:B,MATCH(C426,Hours!$A:$A,0))+G426*INDEX(Hours!C:C,MATCH(C426,Hours!$A:$A,0))+H426*INDEX(Hours!D:D,MATCH(C426,Hours!$A:$A,0))+I426*INDEX(Hours!E:E,MATCH(C426,Hours!$A:$A,0))+J426*INDEX(Hours!F:F,MATCH(C426,Hours!$A:$A,0))+M426*INDEX(Hours!I:I,MATCH(C426,Hours!$A:$A,0))+N426*INDEX(Hours!J:J,MATCH(C426,Hours!$A:$A,0))+P426*INDEX(Hours!L:L,MATCH(C426,Hours!$A:$A,0)))</f>
        <v>0</v>
      </c>
      <c r="S426" s="19">
        <f t="shared" si="13"/>
        <v>0</v>
      </c>
    </row>
    <row r="427" spans="1:19" x14ac:dyDescent="0.25">
      <c r="A427" s="15" t="str">
        <f>'Bldgs &amp; Rooms'!$A$13</f>
        <v>Main Bldg.</v>
      </c>
      <c r="B427" s="15">
        <f>'Bldgs &amp; Rooms'!$B$13</f>
        <v>0</v>
      </c>
      <c r="C427" s="14" t="str">
        <f>Hours!$A$20</f>
        <v>Oil Filled Transformer - &gt; 15kV Primary (Substation Class)</v>
      </c>
      <c r="D427" s="15">
        <f t="shared" si="12"/>
        <v>0</v>
      </c>
      <c r="E427" s="16">
        <f>IF('Components Yr 1'!E427=0,0,'Components Yr 1'!E427)</f>
        <v>0</v>
      </c>
      <c r="F427" s="17">
        <f>IF('Components Yr 1'!F427=0,0,'Components Yr 1'!F427)</f>
        <v>0</v>
      </c>
      <c r="G427" s="17">
        <f>IF('Components Yr 1'!G427=0,0,'Components Yr 1'!G427)</f>
        <v>0</v>
      </c>
      <c r="H427" s="17">
        <f>IF('Components Yr 1'!H427=0,0,'Components Yr 1'!H427)</f>
        <v>0</v>
      </c>
      <c r="I427" s="17">
        <f>IF('Components Yr 1'!I427=0,0,'Components Yr 1'!I427)</f>
        <v>0</v>
      </c>
      <c r="J427" s="17">
        <f>IF('Components Yr 1'!J427=0,0,'Components Yr 1'!J427)</f>
        <v>0</v>
      </c>
      <c r="K427" s="12"/>
      <c r="L427" s="12"/>
      <c r="M427" s="17">
        <f>IF('Components Yr 1'!M427=0,0,'Components Yr 1'!M427)</f>
        <v>0</v>
      </c>
      <c r="N427" s="17">
        <f>IF('Components Yr 1'!N427=0,0,'Components Yr 1'!N427)</f>
        <v>0</v>
      </c>
      <c r="O427" s="12"/>
      <c r="P427" s="17">
        <f>IF('Components Yr 1'!P427=0,0,'Components Yr 1'!P427)</f>
        <v>0</v>
      </c>
      <c r="Q427" s="17"/>
      <c r="R427" s="18">
        <f>IF(SUMPRODUCT((E427:Q427)*1)=0,0,E427*INDEX(Hours!M:M,MATCH(C427,Hours!$A:$A,0))+F427*INDEX(Hours!B:B,MATCH(C427,Hours!$A:$A,0))+G427*INDEX(Hours!C:C,MATCH(C427,Hours!$A:$A,0))+H427*INDEX(Hours!D:D,MATCH(C427,Hours!$A:$A,0))+I427*INDEX(Hours!E:E,MATCH(C427,Hours!$A:$A,0))+J427*INDEX(Hours!F:F,MATCH(C427,Hours!$A:$A,0))+M427*INDEX(Hours!I:I,MATCH(C427,Hours!$A:$A,0))+N427*INDEX(Hours!J:J,MATCH(C427,Hours!$A:$A,0))+P427*INDEX(Hours!L:L,MATCH(C427,Hours!$A:$A,0)))</f>
        <v>0</v>
      </c>
      <c r="S427" s="19">
        <f t="shared" si="13"/>
        <v>0</v>
      </c>
    </row>
    <row r="428" spans="1:19" x14ac:dyDescent="0.25">
      <c r="A428" s="15" t="str">
        <f>'Bldgs &amp; Rooms'!$A$13</f>
        <v>Main Bldg.</v>
      </c>
      <c r="B428" s="15">
        <f>'Bldgs &amp; Rooms'!$B$13</f>
        <v>0</v>
      </c>
      <c r="C428" s="14" t="str">
        <f>Hours!$A$21</f>
        <v>Dry Type Transformer - &lt; 480V Primary - Any Size kVA</v>
      </c>
      <c r="D428" s="15">
        <f t="shared" si="12"/>
        <v>0</v>
      </c>
      <c r="E428" s="16">
        <f>IF('Components Yr 1'!E428=0,0,'Components Yr 1'!E428)</f>
        <v>0</v>
      </c>
      <c r="F428" s="17">
        <f>IF('Components Yr 1'!F428=0,0,'Components Yr 1'!F428)</f>
        <v>0</v>
      </c>
      <c r="G428" s="17">
        <f>IF('Components Yr 1'!G428=0,0,'Components Yr 1'!G428)</f>
        <v>0</v>
      </c>
      <c r="H428" s="17">
        <f>IF('Components Yr 1'!H428=0,0,'Components Yr 1'!H428)</f>
        <v>0</v>
      </c>
      <c r="I428" s="17">
        <f>IF('Components Yr 1'!I428=0,0,'Components Yr 1'!I428)</f>
        <v>0</v>
      </c>
      <c r="J428" s="17">
        <f>IF('Components Yr 1'!J428=0,0,'Components Yr 1'!J428)</f>
        <v>0</v>
      </c>
      <c r="K428" s="12"/>
      <c r="L428" s="12"/>
      <c r="M428" s="17">
        <f>IF('Components Yr 1'!M428=0,0,'Components Yr 1'!M428)</f>
        <v>0</v>
      </c>
      <c r="N428" s="17">
        <f>IF('Components Yr 1'!N428=0,0,'Components Yr 1'!N428)</f>
        <v>0</v>
      </c>
      <c r="O428" s="12"/>
      <c r="P428" s="12"/>
      <c r="Q428" s="17"/>
      <c r="R428" s="18">
        <f>IF(SUMPRODUCT((E428:Q428)*1)=0,0,E428*INDEX(Hours!M:M,MATCH(C428,Hours!$A:$A,0))+F428*INDEX(Hours!B:B,MATCH(C428,Hours!$A:$A,0))+G428*INDEX(Hours!C:C,MATCH(C428,Hours!$A:$A,0))+H428*INDEX(Hours!D:D,MATCH(C428,Hours!$A:$A,0))+I428*INDEX(Hours!E:E,MATCH(C428,Hours!$A:$A,0))+J428*INDEX(Hours!F:F,MATCH(C428,Hours!$A:$A,0))+M428*INDEX(Hours!I:I,MATCH(C428,Hours!$A:$A,0))+N428*INDEX(Hours!J:J,MATCH(C428,Hours!$A:$A,0)))</f>
        <v>0</v>
      </c>
      <c r="S428" s="19">
        <f t="shared" si="13"/>
        <v>0</v>
      </c>
    </row>
    <row r="429" spans="1:19" x14ac:dyDescent="0.25">
      <c r="A429" s="15" t="str">
        <f>'Bldgs &amp; Rooms'!$A$13</f>
        <v>Main Bldg.</v>
      </c>
      <c r="B429" s="15">
        <f>'Bldgs &amp; Rooms'!$B$13</f>
        <v>0</v>
      </c>
      <c r="C429" s="14" t="str">
        <f>Hours!$A$22</f>
        <v>Power Factor Correction Capacitors</v>
      </c>
      <c r="D429" s="15">
        <f t="shared" si="12"/>
        <v>0</v>
      </c>
      <c r="E429" s="16">
        <f>IF('Components Yr 1'!E429=0,0,'Components Yr 1'!E429)</f>
        <v>0</v>
      </c>
      <c r="F429" s="17">
        <f>IF('Components Yr 1'!F429=0,0,'Components Yr 1'!F429)</f>
        <v>0</v>
      </c>
      <c r="G429" s="17">
        <f>IF('Components Yr 1'!G429=0,0,'Components Yr 1'!G429)</f>
        <v>0</v>
      </c>
      <c r="H429" s="17">
        <f>IF('Components Yr 1'!H429=0,0,'Components Yr 1'!H429)</f>
        <v>0</v>
      </c>
      <c r="I429" s="17">
        <f>IF('Components Yr 1'!I429=0,0,'Components Yr 1'!I429)</f>
        <v>0</v>
      </c>
      <c r="J429" s="17">
        <f>IF('Components Yr 1'!J429=0,0,'Components Yr 1'!J429)</f>
        <v>0</v>
      </c>
      <c r="K429" s="12"/>
      <c r="L429" s="12"/>
      <c r="M429" s="12"/>
      <c r="N429" s="12"/>
      <c r="O429" s="12"/>
      <c r="P429" s="12"/>
      <c r="Q429" s="17"/>
      <c r="R429" s="18">
        <f>IF(SUMPRODUCT((E429:Q429)*1)=0,0,E429*INDEX(Hours!M:M,MATCH(C429,Hours!$A:$A,0))+F429*INDEX(Hours!B:B,MATCH(C429,Hours!$A:$A,0))+G429*INDEX(Hours!C:C,MATCH(C429,Hours!$A:$A,0))+H429*INDEX(Hours!D:D,MATCH(C429,Hours!$A:$A,0))+I429*INDEX(Hours!E:E,MATCH(C429,Hours!$A:$A,0))+J429*INDEX(Hours!F:F,MATCH(C429,Hours!$A:$A,0)))</f>
        <v>0</v>
      </c>
      <c r="S429" s="19">
        <f t="shared" si="13"/>
        <v>0</v>
      </c>
    </row>
    <row r="430" spans="1:19" x14ac:dyDescent="0.25">
      <c r="A430" s="15" t="str">
        <f>'Bldgs &amp; Rooms'!$A$13</f>
        <v>Main Bldg.</v>
      </c>
      <c r="B430" s="15">
        <f>'Bldgs &amp; Rooms'!$B$13</f>
        <v>0</v>
      </c>
      <c r="C430" s="14" t="str">
        <f>Hours!$A$23</f>
        <v>Lighting Contactor &gt; 100A</v>
      </c>
      <c r="D430" s="15">
        <f t="shared" si="12"/>
        <v>0</v>
      </c>
      <c r="E430" s="16">
        <f>IF('Components Yr 1'!E430=0,0,'Components Yr 1'!E430)</f>
        <v>0</v>
      </c>
      <c r="F430" s="17">
        <f>IF('Components Yr 1'!F430=0,0,'Components Yr 1'!F430)</f>
        <v>0</v>
      </c>
      <c r="G430" s="17">
        <f>IF('Components Yr 1'!G430=0,0,'Components Yr 1'!G430)</f>
        <v>0</v>
      </c>
      <c r="H430" s="17">
        <f>IF('Components Yr 1'!H430=0,0,'Components Yr 1'!H430)</f>
        <v>0</v>
      </c>
      <c r="I430" s="17">
        <f>IF('Components Yr 1'!I430=0,0,'Components Yr 1'!I430)</f>
        <v>0</v>
      </c>
      <c r="J430" s="17">
        <f>IF('Components Yr 1'!J430=0,0,'Components Yr 1'!J430)</f>
        <v>0</v>
      </c>
      <c r="K430" s="12"/>
      <c r="L430" s="12"/>
      <c r="M430" s="12"/>
      <c r="N430" s="12"/>
      <c r="O430" s="12"/>
      <c r="P430" s="12"/>
      <c r="Q430" s="17"/>
      <c r="R430" s="18">
        <f>IF(SUMPRODUCT((E430:Q430)*1)=0,0,E430*INDEX(Hours!M:M,MATCH(C430,Hours!$A:$A,0))+F430*INDEX(Hours!B:B,MATCH(C430,Hours!$A:$A,0))+G430*INDEX(Hours!C:C,MATCH(C430,Hours!$A:$A,0))+H430*INDEX(Hours!D:D,MATCH(C430,Hours!$A:$A,0))+I430*INDEX(Hours!E:E,MATCH(C430,Hours!$A:$A,0))+J430*INDEX(Hours!F:F,MATCH(C430,Hours!$A:$A,0)))</f>
        <v>0</v>
      </c>
      <c r="S430" s="19">
        <f t="shared" si="13"/>
        <v>0</v>
      </c>
    </row>
    <row r="431" spans="1:19" x14ac:dyDescent="0.25">
      <c r="A431" s="15" t="str">
        <f>'Bldgs &amp; Rooms'!$A$13</f>
        <v>Main Bldg.</v>
      </c>
      <c r="B431" s="15">
        <f>'Bldgs &amp; Rooms'!$B$13</f>
        <v>0</v>
      </c>
      <c r="C431" s="14" t="str">
        <f>Hours!$A$24</f>
        <v>Power Distribution Unit (PDU)</v>
      </c>
      <c r="D431" s="15">
        <f t="shared" si="12"/>
        <v>0</v>
      </c>
      <c r="E431" s="16">
        <f>IF('Components Yr 1'!E431=0,0,'Components Yr 1'!E431)</f>
        <v>0</v>
      </c>
      <c r="F431" s="17">
        <f>IF('Components Yr 1'!F431=0,0,'Components Yr 1'!F431)</f>
        <v>0</v>
      </c>
      <c r="G431" s="17">
        <f>IF('Components Yr 1'!G431=0,0,'Components Yr 1'!G431)</f>
        <v>0</v>
      </c>
      <c r="H431" s="17">
        <f>IF('Components Yr 1'!H431=0,0,'Components Yr 1'!H431)</f>
        <v>0</v>
      </c>
      <c r="I431" s="17">
        <f>IF('Components Yr 1'!I431=0,0,'Components Yr 1'!I431)</f>
        <v>0</v>
      </c>
      <c r="J431" s="17">
        <f>IF('Components Yr 1'!J431=0,0,'Components Yr 1'!J431)</f>
        <v>0</v>
      </c>
      <c r="K431" s="12"/>
      <c r="L431" s="12"/>
      <c r="M431" s="12"/>
      <c r="N431" s="12"/>
      <c r="O431" s="12"/>
      <c r="P431" s="12"/>
      <c r="Q431" s="17"/>
      <c r="R431" s="18">
        <f>IF(SUMPRODUCT((E431:Q431)*1)=0,0,E431*INDEX(Hours!M:M,MATCH(C431,Hours!$A:$A,0))+F431*INDEX(Hours!B:B,MATCH(C431,Hours!$A:$A,0))+G431*INDEX(Hours!C:C,MATCH(C431,Hours!$A:$A,0))+H431*INDEX(Hours!D:D,MATCH(C431,Hours!$A:$A,0))+I431*INDEX(Hours!E:E,MATCH(C431,Hours!$A:$A,0))+J431*INDEX(Hours!F:F,MATCH(C431,Hours!$A:$A,0)))</f>
        <v>0</v>
      </c>
      <c r="S431" s="19">
        <f t="shared" si="13"/>
        <v>0</v>
      </c>
    </row>
    <row r="432" spans="1:19" x14ac:dyDescent="0.25">
      <c r="A432" s="15" t="str">
        <f>'Bldgs &amp; Rooms'!$A$13</f>
        <v>Main Bldg.</v>
      </c>
      <c r="B432" s="15">
        <f>'Bldgs &amp; Rooms'!$B$13</f>
        <v>0</v>
      </c>
      <c r="C432" s="14" t="str">
        <f>Hours!$A$25</f>
        <v>Wire Trough, Gutter, or Large Junction Boxes</v>
      </c>
      <c r="D432" s="15">
        <f t="shared" si="12"/>
        <v>0</v>
      </c>
      <c r="E432" s="16">
        <f>IF('Components Yr 1'!E432=0,0,'Components Yr 1'!E432)</f>
        <v>0</v>
      </c>
      <c r="F432" s="17">
        <f>IF('Components Yr 1'!F432=0,0,'Components Yr 1'!F432)</f>
        <v>0</v>
      </c>
      <c r="G432" s="17">
        <f>IF('Components Yr 1'!G432=0,0,'Components Yr 1'!G432)</f>
        <v>0</v>
      </c>
      <c r="H432" s="17">
        <f>IF('Components Yr 1'!H432=0,0,'Components Yr 1'!H432)</f>
        <v>0</v>
      </c>
      <c r="I432" s="17">
        <f>IF('Components Yr 1'!I432=0,0,'Components Yr 1'!I432)</f>
        <v>0</v>
      </c>
      <c r="J432" s="17">
        <f>IF('Components Yr 1'!J432=0,0,'Components Yr 1'!J432)</f>
        <v>0</v>
      </c>
      <c r="K432" s="12"/>
      <c r="L432" s="12"/>
      <c r="M432" s="12"/>
      <c r="N432" s="12"/>
      <c r="O432" s="12"/>
      <c r="P432" s="12"/>
      <c r="Q432" s="17"/>
      <c r="R432" s="18">
        <f>IF(SUMPRODUCT((E432:Q432)*1)=0,0,E432*INDEX(Hours!M:M,MATCH(C432,Hours!$A:$A,0))+F432*INDEX(Hours!B:B,MATCH(C432,Hours!$A:$A,0))+G432*INDEX(Hours!C:C,MATCH(C432,Hours!$A:$A,0))+H432*INDEX(Hours!D:D,MATCH(C432,Hours!$A:$A,0))+I432*INDEX(Hours!E:E,MATCH(C432,Hours!$A:$A,0))+J432*INDEX(Hours!F:F,MATCH(C432,Hours!$A:$A,0)))</f>
        <v>0</v>
      </c>
      <c r="S432" s="19">
        <f t="shared" si="13"/>
        <v>0</v>
      </c>
    </row>
    <row r="433" spans="1:19" x14ac:dyDescent="0.25">
      <c r="A433" s="15" t="str">
        <f>'Bldgs &amp; Rooms'!$A$13</f>
        <v>Main Bldg.</v>
      </c>
      <c r="B433" s="15">
        <f>'Bldgs &amp; Rooms'!$B$13</f>
        <v>0</v>
      </c>
      <c r="C433" s="14" t="str">
        <f>Hours!$A$26</f>
        <v>Bus Duct - Vertical or Horizontal (Per 10' section)</v>
      </c>
      <c r="D433" s="15">
        <f t="shared" si="12"/>
        <v>0</v>
      </c>
      <c r="E433" s="16">
        <f>IF('Components Yr 1'!E433=0,0,'Components Yr 1'!E433)</f>
        <v>0</v>
      </c>
      <c r="F433" s="17">
        <f>IF('Components Yr 1'!F433=0,0,'Components Yr 1'!F433)</f>
        <v>0</v>
      </c>
      <c r="G433" s="17">
        <f>IF('Components Yr 1'!G433=0,0,'Components Yr 1'!G433)</f>
        <v>0</v>
      </c>
      <c r="H433" s="17">
        <f>IF('Components Yr 1'!H433=0,0,'Components Yr 1'!H433)</f>
        <v>0</v>
      </c>
      <c r="I433" s="17">
        <f>IF('Components Yr 1'!I433=0,0,'Components Yr 1'!I433)</f>
        <v>0</v>
      </c>
      <c r="J433" s="17">
        <f>IF('Components Yr 1'!J433=0,0,'Components Yr 1'!J433)</f>
        <v>0</v>
      </c>
      <c r="K433" s="12"/>
      <c r="L433" s="12"/>
      <c r="M433" s="12"/>
      <c r="N433" s="12"/>
      <c r="O433" s="12"/>
      <c r="P433" s="12"/>
      <c r="Q433" s="17"/>
      <c r="R433" s="18">
        <f>IF(SUMPRODUCT((E433:Q433)*1)=0,0,E433*INDEX(Hours!M:M,MATCH(C433,Hours!$A:$A,0))+F433*INDEX(Hours!B:B,MATCH(C433,Hours!$A:$A,0))+G433*INDEX(Hours!C:C,MATCH(C433,Hours!$A:$A,0))+H433*INDEX(Hours!D:D,MATCH(C433,Hours!$A:$A,0))+I433*INDEX(Hours!E:E,MATCH(C433,Hours!$A:$A,0))+J433*INDEX(Hours!F:F,MATCH(C433,Hours!$A:$A,0)))</f>
        <v>0</v>
      </c>
      <c r="S433" s="19">
        <f t="shared" si="13"/>
        <v>0</v>
      </c>
    </row>
    <row r="434" spans="1:19" x14ac:dyDescent="0.25">
      <c r="A434" s="15" t="str">
        <f>'Bldgs &amp; Rooms'!$A$13</f>
        <v>Main Bldg.</v>
      </c>
      <c r="B434" s="15">
        <f>'Bldgs &amp; Rooms'!$B$13</f>
        <v>0</v>
      </c>
      <c r="C434" s="14" t="str">
        <f>Hours!$A$27</f>
        <v>Automatic Transfer Switch (ATS) &gt; 100A</v>
      </c>
      <c r="D434" s="15">
        <f t="shared" si="12"/>
        <v>0</v>
      </c>
      <c r="E434" s="16">
        <f>IF('Components Yr 1'!E434=0,0,'Components Yr 1'!E434)</f>
        <v>0</v>
      </c>
      <c r="F434" s="17">
        <f>IF('Components Yr 1'!F434=0,0,'Components Yr 1'!F434)</f>
        <v>0</v>
      </c>
      <c r="G434" s="17">
        <f>IF('Components Yr 1'!G434=0,0,'Components Yr 1'!G434)</f>
        <v>0</v>
      </c>
      <c r="H434" s="17">
        <f>IF('Components Yr 1'!H434=0,0,'Components Yr 1'!H434)</f>
        <v>0</v>
      </c>
      <c r="I434" s="17">
        <f>IF('Components Yr 1'!I434=0,0,'Components Yr 1'!I434)</f>
        <v>0</v>
      </c>
      <c r="J434" s="17">
        <f>IF('Components Yr 1'!J434=0,0,'Components Yr 1'!J434)</f>
        <v>0</v>
      </c>
      <c r="K434" s="12"/>
      <c r="L434" s="12"/>
      <c r="M434" s="12"/>
      <c r="N434" s="12"/>
      <c r="O434" s="12"/>
      <c r="P434" s="12"/>
      <c r="Q434" s="17"/>
      <c r="R434" s="18">
        <f>IF(SUMPRODUCT((E434:Q434)*1)=0,0,E434*INDEX(Hours!M:M,MATCH(C434,Hours!$A:$A,0))+F434*INDEX(Hours!B:B,MATCH(C434,Hours!$A:$A,0))+G434*INDEX(Hours!C:C,MATCH(C434,Hours!$A:$A,0))+H434*INDEX(Hours!D:D,MATCH(C434,Hours!$A:$A,0))+I434*INDEX(Hours!E:E,MATCH(C434,Hours!$A:$A,0))+J434*INDEX(Hours!F:F,MATCH(C434,Hours!$A:$A,0)))</f>
        <v>0</v>
      </c>
      <c r="S434" s="19">
        <f t="shared" si="13"/>
        <v>0</v>
      </c>
    </row>
    <row r="435" spans="1:19" x14ac:dyDescent="0.25">
      <c r="A435" s="15" t="str">
        <f>'Bldgs &amp; Rooms'!$A$13</f>
        <v>Main Bldg.</v>
      </c>
      <c r="B435" s="15">
        <f>'Bldgs &amp; Rooms'!$B$13</f>
        <v>0</v>
      </c>
      <c r="C435" s="14" t="str">
        <f>Hours!$A$28</f>
        <v>Manual Transfer Switch (MTS) &gt; 100A</v>
      </c>
      <c r="D435" s="15">
        <f t="shared" si="12"/>
        <v>0</v>
      </c>
      <c r="E435" s="16">
        <f>IF('Components Yr 1'!E435=0,0,'Components Yr 1'!E435)</f>
        <v>0</v>
      </c>
      <c r="F435" s="17">
        <f>IF('Components Yr 1'!F435=0,0,'Components Yr 1'!F435)</f>
        <v>0</v>
      </c>
      <c r="G435" s="17">
        <f>IF('Components Yr 1'!G435=0,0,'Components Yr 1'!G435)</f>
        <v>0</v>
      </c>
      <c r="H435" s="17">
        <f>IF('Components Yr 1'!H435=0,0,'Components Yr 1'!H435)</f>
        <v>0</v>
      </c>
      <c r="I435" s="17">
        <f>IF('Components Yr 1'!I435=0,0,'Components Yr 1'!I435)</f>
        <v>0</v>
      </c>
      <c r="J435" s="17">
        <f>IF('Components Yr 1'!J435=0,0,'Components Yr 1'!J435)</f>
        <v>0</v>
      </c>
      <c r="K435" s="12"/>
      <c r="L435" s="12"/>
      <c r="M435" s="12"/>
      <c r="N435" s="12"/>
      <c r="O435" s="12"/>
      <c r="P435" s="12"/>
      <c r="Q435" s="17"/>
      <c r="R435" s="18">
        <f>IF(SUMPRODUCT((E435:Q435)*1)=0,0,E435*INDEX(Hours!M:M,MATCH(C435,Hours!$A:$A,0))+F435*INDEX(Hours!B:B,MATCH(C435,Hours!$A:$A,0))+G435*INDEX(Hours!C:C,MATCH(C435,Hours!$A:$A,0))+H435*INDEX(Hours!D:D,MATCH(C435,Hours!$A:$A,0))+I435*INDEX(Hours!E:E,MATCH(C435,Hours!$A:$A,0))+J435*INDEX(Hours!F:F,MATCH(C435,Hours!$A:$A,0)))</f>
        <v>0</v>
      </c>
      <c r="S435" s="19">
        <f t="shared" si="13"/>
        <v>0</v>
      </c>
    </row>
    <row r="436" spans="1:19" x14ac:dyDescent="0.25">
      <c r="A436" s="15" t="str">
        <f>'Bldgs &amp; Rooms'!$A$13</f>
        <v>Main Bldg.</v>
      </c>
      <c r="B436" s="15">
        <f>'Bldgs &amp; Rooms'!$B$13</f>
        <v>0</v>
      </c>
      <c r="C436" s="14" t="str">
        <f>Hours!$A$29</f>
        <v>Variable Frequency Drives (VFD) &lt; 50 HP</v>
      </c>
      <c r="D436" s="15">
        <f t="shared" si="12"/>
        <v>0</v>
      </c>
      <c r="E436" s="16">
        <f>IF('Components Yr 1'!E436=0,0,'Components Yr 1'!E436)</f>
        <v>0</v>
      </c>
      <c r="F436" s="17">
        <f>IF('Components Yr 1'!F436=0,0,'Components Yr 1'!F436)</f>
        <v>0</v>
      </c>
      <c r="G436" s="17">
        <f>IF('Components Yr 1'!G436=0,0,'Components Yr 1'!G436)</f>
        <v>0</v>
      </c>
      <c r="H436" s="17">
        <f>IF('Components Yr 1'!H436=0,0,'Components Yr 1'!H436)</f>
        <v>0</v>
      </c>
      <c r="I436" s="17">
        <f>IF('Components Yr 1'!I436=0,0,'Components Yr 1'!I436)</f>
        <v>0</v>
      </c>
      <c r="J436" s="17">
        <f>IF('Components Yr 1'!J436=0,0,'Components Yr 1'!J436)</f>
        <v>0</v>
      </c>
      <c r="K436" s="12"/>
      <c r="L436" s="12"/>
      <c r="M436" s="12"/>
      <c r="N436" s="12"/>
      <c r="O436" s="12"/>
      <c r="P436" s="12"/>
      <c r="Q436" s="17"/>
      <c r="R436" s="18">
        <f>IF(SUMPRODUCT((E436:Q436)*1)=0,0,E436*INDEX(Hours!M:M,MATCH(C436,Hours!$A:$A,0))+F436*INDEX(Hours!B:B,MATCH(C436,Hours!$A:$A,0))+G436*INDEX(Hours!C:C,MATCH(C436,Hours!$A:$A,0))+H436*INDEX(Hours!D:D,MATCH(C436,Hours!$A:$A,0))+I436*INDEX(Hours!E:E,MATCH(C436,Hours!$A:$A,0))+J436*INDEX(Hours!F:F,MATCH(C436,Hours!$A:$A,0)))</f>
        <v>0</v>
      </c>
      <c r="S436" s="19">
        <f t="shared" si="13"/>
        <v>0</v>
      </c>
    </row>
    <row r="437" spans="1:19" x14ac:dyDescent="0.25">
      <c r="A437" s="15" t="str">
        <f>'Bldgs &amp; Rooms'!$A$13</f>
        <v>Main Bldg.</v>
      </c>
      <c r="B437" s="15">
        <f>'Bldgs &amp; Rooms'!$B$13</f>
        <v>0</v>
      </c>
      <c r="C437" s="14" t="str">
        <f>Hours!$A$30</f>
        <v>Variable Frequency Drives (VFD) 51-200 HP</v>
      </c>
      <c r="D437" s="15">
        <f t="shared" si="12"/>
        <v>0</v>
      </c>
      <c r="E437" s="16">
        <f>IF('Components Yr 1'!E437=0,0,'Components Yr 1'!E437)</f>
        <v>0</v>
      </c>
      <c r="F437" s="17">
        <f>IF('Components Yr 1'!F437=0,0,'Components Yr 1'!F437)</f>
        <v>0</v>
      </c>
      <c r="G437" s="17">
        <f>IF('Components Yr 1'!G437=0,0,'Components Yr 1'!G437)</f>
        <v>0</v>
      </c>
      <c r="H437" s="17">
        <f>IF('Components Yr 1'!H437=0,0,'Components Yr 1'!H437)</f>
        <v>0</v>
      </c>
      <c r="I437" s="17">
        <f>IF('Components Yr 1'!I437=0,0,'Components Yr 1'!I437)</f>
        <v>0</v>
      </c>
      <c r="J437" s="17">
        <f>IF('Components Yr 1'!J437=0,0,'Components Yr 1'!J437)</f>
        <v>0</v>
      </c>
      <c r="K437" s="12"/>
      <c r="L437" s="12"/>
      <c r="M437" s="12"/>
      <c r="N437" s="12"/>
      <c r="O437" s="12"/>
      <c r="P437" s="12"/>
      <c r="Q437" s="17"/>
      <c r="R437" s="18">
        <f>IF(SUMPRODUCT((E437:Q437)*1)=0,0,E437*INDEX(Hours!M:M,MATCH(C437,Hours!$A:$A,0))+F437*INDEX(Hours!B:B,MATCH(C437,Hours!$A:$A,0))+G437*INDEX(Hours!C:C,MATCH(C437,Hours!$A:$A,0))+H437*INDEX(Hours!D:D,MATCH(C437,Hours!$A:$A,0))+I437*INDEX(Hours!E:E,MATCH(C437,Hours!$A:$A,0))+J437*INDEX(Hours!F:F,MATCH(C437,Hours!$A:$A,0)))</f>
        <v>0</v>
      </c>
      <c r="S437" s="19">
        <f t="shared" si="13"/>
        <v>0</v>
      </c>
    </row>
    <row r="438" spans="1:19" x14ac:dyDescent="0.25">
      <c r="A438" s="15" t="str">
        <f>'Bldgs &amp; Rooms'!$A$13</f>
        <v>Main Bldg.</v>
      </c>
      <c r="B438" s="15">
        <f>'Bldgs &amp; Rooms'!$B$13</f>
        <v>0</v>
      </c>
      <c r="C438" s="14" t="str">
        <f>Hours!$A$31</f>
        <v>Motors &lt; 50 HP</v>
      </c>
      <c r="D438" s="15">
        <f t="shared" si="12"/>
        <v>0</v>
      </c>
      <c r="E438" s="16">
        <f>IF('Components Yr 1'!E438=0,0,'Components Yr 1'!E438)</f>
        <v>0</v>
      </c>
      <c r="F438" s="17">
        <f>IF('Components Yr 1'!F438=0,0,'Components Yr 1'!F438)</f>
        <v>0</v>
      </c>
      <c r="G438" s="17">
        <f>IF('Components Yr 1'!G438=0,0,'Components Yr 1'!G438)</f>
        <v>0</v>
      </c>
      <c r="H438" s="17">
        <f>IF('Components Yr 1'!H438=0,0,'Components Yr 1'!H438)</f>
        <v>0</v>
      </c>
      <c r="I438" s="17">
        <f>IF('Components Yr 1'!I438=0,0,'Components Yr 1'!I438)</f>
        <v>0</v>
      </c>
      <c r="J438" s="17">
        <f>IF('Components Yr 1'!J438=0,0,'Components Yr 1'!J438)</f>
        <v>0</v>
      </c>
      <c r="K438" s="12"/>
      <c r="L438" s="12"/>
      <c r="M438" s="12"/>
      <c r="N438" s="12"/>
      <c r="O438" s="12"/>
      <c r="P438" s="12"/>
      <c r="Q438" s="17"/>
      <c r="R438" s="18">
        <f>IF(SUMPRODUCT((E438:Q438)*1)=0,0,E438*INDEX(Hours!M:M,MATCH(C438,Hours!$A:$A,0))+F438*INDEX(Hours!B:B,MATCH(C438,Hours!$A:$A,0))+G438*INDEX(Hours!C:C,MATCH(C438,Hours!$A:$A,0))+H438*INDEX(Hours!D:D,MATCH(C438,Hours!$A:$A,0))+I438*INDEX(Hours!E:E,MATCH(C438,Hours!$A:$A,0))+J438*INDEX(Hours!F:F,MATCH(C438,Hours!$A:$A,0)))</f>
        <v>0</v>
      </c>
      <c r="S438" s="19">
        <f t="shared" si="13"/>
        <v>0</v>
      </c>
    </row>
    <row r="439" spans="1:19" x14ac:dyDescent="0.25">
      <c r="A439" s="15" t="str">
        <f>'Bldgs &amp; Rooms'!$A$13</f>
        <v>Main Bldg.</v>
      </c>
      <c r="B439" s="15">
        <f>'Bldgs &amp; Rooms'!$B$13</f>
        <v>0</v>
      </c>
      <c r="C439" s="14" t="str">
        <f>Hours!$A$32</f>
        <v>Motors 51-200 HP</v>
      </c>
      <c r="D439" s="15">
        <f t="shared" si="12"/>
        <v>0</v>
      </c>
      <c r="E439" s="16">
        <f>IF('Components Yr 1'!E439=0,0,'Components Yr 1'!E439)</f>
        <v>0</v>
      </c>
      <c r="F439" s="17">
        <f>IF('Components Yr 1'!F439=0,0,'Components Yr 1'!F439)</f>
        <v>0</v>
      </c>
      <c r="G439" s="17">
        <f>IF('Components Yr 1'!G439=0,0,'Components Yr 1'!G439)</f>
        <v>0</v>
      </c>
      <c r="H439" s="17">
        <f>IF('Components Yr 1'!H439=0,0,'Components Yr 1'!H439)</f>
        <v>0</v>
      </c>
      <c r="I439" s="17">
        <f>IF('Components Yr 1'!I439=0,0,'Components Yr 1'!I439)</f>
        <v>0</v>
      </c>
      <c r="J439" s="17">
        <f>IF('Components Yr 1'!J439=0,0,'Components Yr 1'!J439)</f>
        <v>0</v>
      </c>
      <c r="K439" s="12"/>
      <c r="L439" s="12"/>
      <c r="M439" s="12"/>
      <c r="N439" s="12"/>
      <c r="O439" s="12"/>
      <c r="P439" s="12"/>
      <c r="Q439" s="17"/>
      <c r="R439" s="18">
        <f>IF(SUMPRODUCT((E439:Q439)*1)=0,0,E439*INDEX(Hours!M:M,MATCH(C439,Hours!$A:$A,0))+F439*INDEX(Hours!B:B,MATCH(C439,Hours!$A:$A,0))+G439*INDEX(Hours!C:C,MATCH(C439,Hours!$A:$A,0))+H439*INDEX(Hours!D:D,MATCH(C439,Hours!$A:$A,0))+I439*INDEX(Hours!E:E,MATCH(C439,Hours!$A:$A,0))+J439*INDEX(Hours!F:F,MATCH(C439,Hours!$A:$A,0)))</f>
        <v>0</v>
      </c>
      <c r="S439" s="19">
        <f t="shared" si="13"/>
        <v>0</v>
      </c>
    </row>
    <row r="440" spans="1:19" x14ac:dyDescent="0.25">
      <c r="A440" s="15" t="str">
        <f>'Bldgs &amp; Rooms'!$A$13</f>
        <v>Main Bldg.</v>
      </c>
      <c r="B440" s="15">
        <f>'Bldgs &amp; Rooms'!$B$13</f>
        <v>0</v>
      </c>
      <c r="C440" s="14" t="str">
        <f>Hours!$A$33</f>
        <v>Motors 201-500 HP</v>
      </c>
      <c r="D440" s="15">
        <f t="shared" si="12"/>
        <v>0</v>
      </c>
      <c r="E440" s="16">
        <f>IF('Components Yr 1'!E440=0,0,'Components Yr 1'!E440)</f>
        <v>0</v>
      </c>
      <c r="F440" s="17">
        <f>IF('Components Yr 1'!F440=0,0,'Components Yr 1'!F440)</f>
        <v>0</v>
      </c>
      <c r="G440" s="17">
        <f>IF('Components Yr 1'!G440=0,0,'Components Yr 1'!G440)</f>
        <v>0</v>
      </c>
      <c r="H440" s="17">
        <f>IF('Components Yr 1'!H440=0,0,'Components Yr 1'!H440)</f>
        <v>0</v>
      </c>
      <c r="I440" s="17">
        <f>IF('Components Yr 1'!I440=0,0,'Components Yr 1'!I440)</f>
        <v>0</v>
      </c>
      <c r="J440" s="17">
        <f>IF('Components Yr 1'!J440=0,0,'Components Yr 1'!J440)</f>
        <v>0</v>
      </c>
      <c r="K440" s="12"/>
      <c r="L440" s="12"/>
      <c r="M440" s="12"/>
      <c r="N440" s="12"/>
      <c r="O440" s="12"/>
      <c r="P440" s="12"/>
      <c r="Q440" s="17"/>
      <c r="R440" s="18">
        <f>IF(SUMPRODUCT((E440:Q440)*1)=0,0,E440*INDEX(Hours!M:M,MATCH(C440,Hours!$A:$A,0))+F440*INDEX(Hours!B:B,MATCH(C440,Hours!$A:$A,0))+G440*INDEX(Hours!C:C,MATCH(C440,Hours!$A:$A,0))+H440*INDEX(Hours!D:D,MATCH(C440,Hours!$A:$A,0))+I440*INDEX(Hours!E:E,MATCH(C440,Hours!$A:$A,0))+J440*INDEX(Hours!F:F,MATCH(C440,Hours!$A:$A,0)))</f>
        <v>0</v>
      </c>
      <c r="S440" s="19">
        <f t="shared" si="13"/>
        <v>0</v>
      </c>
    </row>
    <row r="441" spans="1:19" x14ac:dyDescent="0.25">
      <c r="A441" s="15" t="str">
        <f>'Bldgs &amp; Rooms'!$A$13</f>
        <v>Main Bldg.</v>
      </c>
      <c r="B441" s="15">
        <f>'Bldgs &amp; Rooms'!$B$13</f>
        <v>0</v>
      </c>
      <c r="C441" s="14" t="str">
        <f>Hours!$A$34</f>
        <v>Compressed Air Equipment</v>
      </c>
      <c r="D441" s="15">
        <f t="shared" si="12"/>
        <v>0</v>
      </c>
      <c r="E441" s="16">
        <f>IF('Components Yr 1'!E441=0,0,'Components Yr 1'!E441)</f>
        <v>0</v>
      </c>
      <c r="F441" s="17">
        <f>IF('Components Yr 1'!F441=0,0,'Components Yr 1'!F441)</f>
        <v>0</v>
      </c>
      <c r="G441" s="17">
        <f>IF('Components Yr 1'!G441=0,0,'Components Yr 1'!G441)</f>
        <v>0</v>
      </c>
      <c r="H441" s="17">
        <f>IF('Components Yr 1'!H441=0,0,'Components Yr 1'!H441)</f>
        <v>0</v>
      </c>
      <c r="I441" s="17">
        <f>IF('Components Yr 1'!I441=0,0,'Components Yr 1'!I441)</f>
        <v>0</v>
      </c>
      <c r="J441" s="17">
        <f>IF('Components Yr 1'!J441=0,0,'Components Yr 1'!J441)</f>
        <v>0</v>
      </c>
      <c r="K441" s="12"/>
      <c r="L441" s="12"/>
      <c r="M441" s="12"/>
      <c r="N441" s="12"/>
      <c r="O441" s="12"/>
      <c r="P441" s="12"/>
      <c r="Q441" s="17"/>
      <c r="R441" s="18">
        <f>IF(SUMPRODUCT((E441:Q441)*1)=0,0,E441*INDEX(Hours!M:M,MATCH(C441,Hours!$A:$A,0))+F441*INDEX(Hours!B:B,MATCH(C441,Hours!$A:$A,0))+G441*INDEX(Hours!C:C,MATCH(C441,Hours!$A:$A,0))+H441*INDEX(Hours!D:D,MATCH(C441,Hours!$A:$A,0))+I441*INDEX(Hours!E:E,MATCH(C441,Hours!$A:$A,0))+J441*INDEX(Hours!F:F,MATCH(C441,Hours!$A:$A,0)))</f>
        <v>0</v>
      </c>
      <c r="S441" s="19">
        <f t="shared" si="13"/>
        <v>0</v>
      </c>
    </row>
    <row r="442" spans="1:19" x14ac:dyDescent="0.25">
      <c r="A442" s="15" t="str">
        <f>'Bldgs &amp; Rooms'!$A$13</f>
        <v>Main Bldg.</v>
      </c>
      <c r="B442" s="15">
        <f>'Bldgs &amp; Rooms'!$B$13</f>
        <v>0</v>
      </c>
      <c r="C442" s="14" t="str">
        <f>Hours!$A$35</f>
        <v>HVAC Equipment (Large)</v>
      </c>
      <c r="D442" s="15">
        <f t="shared" si="12"/>
        <v>0</v>
      </c>
      <c r="E442" s="16">
        <f>IF('Components Yr 1'!E442=0,0,'Components Yr 1'!E442)</f>
        <v>0</v>
      </c>
      <c r="F442" s="17">
        <f>IF('Components Yr 1'!F442=0,0,'Components Yr 1'!F442)</f>
        <v>0</v>
      </c>
      <c r="G442" s="17">
        <f>IF('Components Yr 1'!G442=0,0,'Components Yr 1'!G442)</f>
        <v>0</v>
      </c>
      <c r="H442" s="17">
        <f>IF('Components Yr 1'!H442=0,0,'Components Yr 1'!H442)</f>
        <v>0</v>
      </c>
      <c r="I442" s="17">
        <f>IF('Components Yr 1'!I442=0,0,'Components Yr 1'!I442)</f>
        <v>0</v>
      </c>
      <c r="J442" s="17">
        <f>IF('Components Yr 1'!J442=0,0,'Components Yr 1'!J442)</f>
        <v>0</v>
      </c>
      <c r="K442" s="12"/>
      <c r="L442" s="12"/>
      <c r="M442" s="12"/>
      <c r="N442" s="12"/>
      <c r="O442" s="12"/>
      <c r="P442" s="12"/>
      <c r="Q442" s="17"/>
      <c r="R442" s="18">
        <f>IF(SUMPRODUCT((E442:Q442)*1)=0,0,E442*INDEX(Hours!M:M,MATCH(C442,Hours!$A:$A,0))+F442*INDEX(Hours!B:B,MATCH(C442,Hours!$A:$A,0))+G442*INDEX(Hours!C:C,MATCH(C442,Hours!$A:$A,0))+H442*INDEX(Hours!D:D,MATCH(C442,Hours!$A:$A,0))+I442*INDEX(Hours!E:E,MATCH(C442,Hours!$A:$A,0))+J442*INDEX(Hours!F:F,MATCH(C442,Hours!$A:$A,0)))</f>
        <v>0</v>
      </c>
      <c r="S442" s="19">
        <f t="shared" si="13"/>
        <v>0</v>
      </c>
    </row>
    <row r="443" spans="1:19" x14ac:dyDescent="0.25">
      <c r="A443" s="15" t="str">
        <f>'Bldgs &amp; Rooms'!$A$13</f>
        <v>Main Bldg.</v>
      </c>
      <c r="B443" s="15">
        <f>'Bldgs &amp; Rooms'!$B$13</f>
        <v>0</v>
      </c>
      <c r="C443" s="14" t="str">
        <f>Hours!$A$36</f>
        <v>HVAC Equipment (Small)</v>
      </c>
      <c r="D443" s="15">
        <f t="shared" si="12"/>
        <v>0</v>
      </c>
      <c r="E443" s="16">
        <f>IF('Components Yr 1'!E443=0,0,'Components Yr 1'!E443)</f>
        <v>0</v>
      </c>
      <c r="F443" s="17">
        <f>IF('Components Yr 1'!F443=0,0,'Components Yr 1'!F443)</f>
        <v>0</v>
      </c>
      <c r="G443" s="17">
        <f>IF('Components Yr 1'!G443=0,0,'Components Yr 1'!G443)</f>
        <v>0</v>
      </c>
      <c r="H443" s="17">
        <f>IF('Components Yr 1'!H443=0,0,'Components Yr 1'!H443)</f>
        <v>0</v>
      </c>
      <c r="I443" s="17">
        <f>IF('Components Yr 1'!I443=0,0,'Components Yr 1'!I443)</f>
        <v>0</v>
      </c>
      <c r="J443" s="17">
        <f>IF('Components Yr 1'!J443=0,0,'Components Yr 1'!J443)</f>
        <v>0</v>
      </c>
      <c r="K443" s="12"/>
      <c r="L443" s="12"/>
      <c r="M443" s="12"/>
      <c r="N443" s="12"/>
      <c r="O443" s="12"/>
      <c r="P443" s="12"/>
      <c r="Q443" s="17"/>
      <c r="R443" s="18">
        <f>IF(SUMPRODUCT((E443:Q443)*1)=0,0,E443*INDEX(Hours!M:M,MATCH(C443,Hours!$A:$A,0))+F443*INDEX(Hours!B:B,MATCH(C443,Hours!$A:$A,0))+G443*INDEX(Hours!C:C,MATCH(C443,Hours!$A:$A,0))+H443*INDEX(Hours!D:D,MATCH(C443,Hours!$A:$A,0))+I443*INDEX(Hours!E:E,MATCH(C443,Hours!$A:$A,0))+J443*INDEX(Hours!F:F,MATCH(C443,Hours!$A:$A,0)))</f>
        <v>0</v>
      </c>
      <c r="S443" s="19">
        <f t="shared" si="13"/>
        <v>0</v>
      </c>
    </row>
    <row r="444" spans="1:19" x14ac:dyDescent="0.25">
      <c r="A444" s="15" t="str">
        <f>'Bldgs &amp; Rooms'!$A$13</f>
        <v>Main Bldg.</v>
      </c>
      <c r="B444" s="15">
        <f>'Bldgs &amp; Rooms'!$B$13</f>
        <v>0</v>
      </c>
      <c r="C444" s="14" t="str">
        <f>Hours!$A$37</f>
        <v>Uninterruptible Power Supply (UPS) &lt; 50kVA</v>
      </c>
      <c r="D444" s="15">
        <f t="shared" si="12"/>
        <v>0</v>
      </c>
      <c r="E444" s="16">
        <f>IF('Components Yr 1'!E444=0,0,'Components Yr 1'!E444)</f>
        <v>0</v>
      </c>
      <c r="F444" s="17">
        <f>IF('Components Yr 1'!F444=0,0,'Components Yr 1'!F444)</f>
        <v>0</v>
      </c>
      <c r="G444" s="17">
        <f>IF('Components Yr 1'!G444=0,0,'Components Yr 1'!G444)</f>
        <v>0</v>
      </c>
      <c r="H444" s="17">
        <f>IF('Components Yr 1'!H444=0,0,'Components Yr 1'!H444)</f>
        <v>0</v>
      </c>
      <c r="I444" s="17">
        <f>IF('Components Yr 1'!I444=0,0,'Components Yr 1'!I444)</f>
        <v>0</v>
      </c>
      <c r="J444" s="17">
        <f>IF('Components Yr 1'!J444=0,0,'Components Yr 1'!J444)</f>
        <v>0</v>
      </c>
      <c r="K444" s="12"/>
      <c r="L444" s="12"/>
      <c r="M444" s="12"/>
      <c r="N444" s="12"/>
      <c r="O444" s="12"/>
      <c r="P444" s="12"/>
      <c r="Q444" s="17"/>
      <c r="R444" s="18">
        <f>IF(SUMPRODUCT((E444:Q444)*1)=0,0,E444*INDEX(Hours!M:M,MATCH(C444,Hours!$A:$A,0))+F444*INDEX(Hours!B:B,MATCH(C444,Hours!$A:$A,0))+G444*INDEX(Hours!C:C,MATCH(C444,Hours!$A:$A,0))+H444*INDEX(Hours!D:D,MATCH(C444,Hours!$A:$A,0))+I444*INDEX(Hours!E:E,MATCH(C444,Hours!$A:$A,0))+J444*INDEX(Hours!F:F,MATCH(C444,Hours!$A:$A,0)))</f>
        <v>0</v>
      </c>
      <c r="S444" s="19">
        <f t="shared" si="13"/>
        <v>0</v>
      </c>
    </row>
    <row r="445" spans="1:19" x14ac:dyDescent="0.25">
      <c r="A445" s="15" t="str">
        <f>'Bldgs &amp; Rooms'!$A$13</f>
        <v>Main Bldg.</v>
      </c>
      <c r="B445" s="15">
        <f>'Bldgs &amp; Rooms'!$B$13</f>
        <v>0</v>
      </c>
      <c r="C445" s="14" t="str">
        <f>Hours!$A$38</f>
        <v>Uninterruptible Power Supply (UPS) &gt; 50kVA</v>
      </c>
      <c r="D445" s="15">
        <f t="shared" si="12"/>
        <v>0</v>
      </c>
      <c r="E445" s="16">
        <f>IF('Components Yr 1'!E445=0,0,'Components Yr 1'!E445)</f>
        <v>0</v>
      </c>
      <c r="F445" s="17">
        <f>IF('Components Yr 1'!F445=0,0,'Components Yr 1'!F445)</f>
        <v>0</v>
      </c>
      <c r="G445" s="17">
        <f>IF('Components Yr 1'!G445=0,0,'Components Yr 1'!G445)</f>
        <v>0</v>
      </c>
      <c r="H445" s="17">
        <f>IF('Components Yr 1'!H445=0,0,'Components Yr 1'!H445)</f>
        <v>0</v>
      </c>
      <c r="I445" s="17">
        <f>IF('Components Yr 1'!I445=0,0,'Components Yr 1'!I445)</f>
        <v>0</v>
      </c>
      <c r="J445" s="17">
        <f>IF('Components Yr 1'!J445=0,0,'Components Yr 1'!J445)</f>
        <v>0</v>
      </c>
      <c r="K445" s="12"/>
      <c r="L445" s="12"/>
      <c r="M445" s="12"/>
      <c r="N445" s="12"/>
      <c r="O445" s="12"/>
      <c r="P445" s="12"/>
      <c r="Q445" s="17"/>
      <c r="R445" s="18">
        <f>IF(SUMPRODUCT((E445:Q445)*1)=0,0,E445*INDEX(Hours!M:M,MATCH(C445,Hours!$A:$A,0))+F445*INDEX(Hours!B:B,MATCH(C445,Hours!$A:$A,0))+G445*INDEX(Hours!C:C,MATCH(C445,Hours!$A:$A,0))+H445*INDEX(Hours!D:D,MATCH(C445,Hours!$A:$A,0))+I445*INDEX(Hours!E:E,MATCH(C445,Hours!$A:$A,0))+J445*INDEX(Hours!F:F,MATCH(C445,Hours!$A:$A,0)))</f>
        <v>0</v>
      </c>
      <c r="S445" s="19">
        <f t="shared" si="13"/>
        <v>0</v>
      </c>
    </row>
    <row r="446" spans="1:19" x14ac:dyDescent="0.25">
      <c r="A446" s="11" t="str">
        <f>'Bldgs &amp; Rooms'!$A$14</f>
        <v>Main Bldg.</v>
      </c>
      <c r="B446" s="11">
        <f>'Bldgs &amp; Rooms'!$B$14</f>
        <v>0</v>
      </c>
      <c r="C446" s="10" t="str">
        <f>Hours!$A$2</f>
        <v>Switchgear - Incoming Main Service (Per Section)</v>
      </c>
      <c r="D446" s="11">
        <f t="shared" si="12"/>
        <v>0</v>
      </c>
      <c r="E446" s="16">
        <f>IF('Components Yr 1'!E446=0,0,'Components Yr 1'!E446)</f>
        <v>0</v>
      </c>
      <c r="F446" s="17">
        <f>IF('Components Yr 1'!F446=0,0,'Components Yr 1'!F446)</f>
        <v>0</v>
      </c>
      <c r="G446" s="17">
        <f>IF('Components Yr 1'!G446=0,0,'Components Yr 1'!G446)</f>
        <v>0</v>
      </c>
      <c r="H446" s="17">
        <f>IF('Components Yr 1'!H446=0,0,'Components Yr 1'!H446)</f>
        <v>0</v>
      </c>
      <c r="I446" s="17">
        <f>IF('Components Yr 1'!I446=0,0,'Components Yr 1'!I446)</f>
        <v>0</v>
      </c>
      <c r="J446" s="17">
        <f>IF('Components Yr 1'!J446=0,0,'Components Yr 1'!J446)</f>
        <v>0</v>
      </c>
      <c r="K446" s="17">
        <f>IF('Components Yr 1'!K446=0,0,'Components Yr 1'!K446)</f>
        <v>0</v>
      </c>
      <c r="L446" s="17">
        <f>IF('Components Yr 1'!L446=0,0,'Components Yr 1'!L446)</f>
        <v>0</v>
      </c>
      <c r="M446" s="12"/>
      <c r="N446" s="12"/>
      <c r="O446" s="17">
        <f>IF('Components Yr 1'!O446=0,0,'Components Yr 1'!O446)</f>
        <v>0</v>
      </c>
      <c r="P446" s="12"/>
      <c r="Q446" s="17"/>
      <c r="R446" s="18">
        <f>IF(SUMPRODUCT((E446:Q446)*1)=0,0,E446*INDEX(Hours!M:M,MATCH(C446,Hours!$A:$A,0))+F446*INDEX(Hours!B:B,MATCH(C446,Hours!$A:$A,0))+G446*INDEX(Hours!C:C,MATCH(C446,Hours!$A:$A,0))+H446*INDEX(Hours!D:D,MATCH(C446,Hours!$A:$A,0))+I446*INDEX(Hours!E:E,MATCH(C446,Hours!$A:$A,0))+J446*INDEX(Hours!F:F,MATCH(C446,Hours!$A:$A,0))+K446*INDEX(Hours!G:G,MATCH(C446,Hours!$A:$A,0))+L446*INDEX(Hours!H:H,MATCH(C446,Hours!$A:$A,0))+O446*INDEX(Hours!K:K,MATCH(C446,Hours!$A:$A,0)))</f>
        <v>0</v>
      </c>
      <c r="S446" s="19">
        <f t="shared" si="13"/>
        <v>0</v>
      </c>
    </row>
    <row r="447" spans="1:19" x14ac:dyDescent="0.25">
      <c r="A447" s="11" t="str">
        <f>'Bldgs &amp; Rooms'!$A$14</f>
        <v>Main Bldg.</v>
      </c>
      <c r="B447" s="11">
        <f>'Bldgs &amp; Rooms'!$B$14</f>
        <v>0</v>
      </c>
      <c r="C447" s="10" t="str">
        <f>Hours!$A$3</f>
        <v xml:space="preserve">  Switchgear Insulated Case Breakers (Bus Mounted)</v>
      </c>
      <c r="D447" s="11">
        <f t="shared" si="12"/>
        <v>0</v>
      </c>
      <c r="E447" s="16">
        <f>IF('Components Yr 1'!E447=0,0,'Components Yr 1'!E447)</f>
        <v>0</v>
      </c>
      <c r="F447" s="17">
        <f>IF('Components Yr 1'!F447=0,0,'Components Yr 1'!F447)</f>
        <v>0</v>
      </c>
      <c r="G447" s="17">
        <f>IF('Components Yr 1'!G447=0,0,'Components Yr 1'!G447)</f>
        <v>0</v>
      </c>
      <c r="H447" s="17">
        <f>IF('Components Yr 1'!H447=0,0,'Components Yr 1'!H447)</f>
        <v>0</v>
      </c>
      <c r="I447" s="17">
        <f>IF('Components Yr 1'!I447=0,0,'Components Yr 1'!I447)</f>
        <v>0</v>
      </c>
      <c r="J447" s="17">
        <f>IF('Components Yr 1'!J447=0,0,'Components Yr 1'!J447)</f>
        <v>0</v>
      </c>
      <c r="K447" s="17">
        <f>IF('Components Yr 1'!K447=0,0,'Components Yr 1'!K447)</f>
        <v>0</v>
      </c>
      <c r="L447" s="12"/>
      <c r="M447" s="12"/>
      <c r="N447" s="12"/>
      <c r="O447" s="12"/>
      <c r="P447" s="12"/>
      <c r="Q447" s="17"/>
      <c r="R447" s="18">
        <f>IF(SUMPRODUCT((E447:Q447)*1)=0,0,E447*INDEX(Hours!M:M,MATCH(C447,Hours!$A:$A,0))+F447*INDEX(Hours!B:B,MATCH(C447,Hours!$A:$A,0))+G447*INDEX(Hours!C:C,MATCH(C447,Hours!$A:$A,0))+H447*INDEX(Hours!D:D,MATCH(C447,Hours!$A:$A,0))+I447*INDEX(Hours!E:E,MATCH(C447,Hours!$A:$A,0))+J447*INDEX(Hours!F:F,MATCH(C447,Hours!$A:$A,0))+K447*INDEX(Hours!G:G,MATCH(C447,Hours!$A:$A,0)))</f>
        <v>0</v>
      </c>
      <c r="S447" s="19">
        <f t="shared" si="13"/>
        <v>0</v>
      </c>
    </row>
    <row r="448" spans="1:19" x14ac:dyDescent="0.25">
      <c r="A448" s="11" t="str">
        <f>'Bldgs &amp; Rooms'!$A$14</f>
        <v>Main Bldg.</v>
      </c>
      <c r="B448" s="11">
        <f>'Bldgs &amp; Rooms'!$B$14</f>
        <v>0</v>
      </c>
      <c r="C448" s="10" t="str">
        <f>Hours!$A$4</f>
        <v xml:space="preserve">  SwitchGear Drawout Breakers</v>
      </c>
      <c r="D448" s="11">
        <f t="shared" si="12"/>
        <v>0</v>
      </c>
      <c r="E448" s="16">
        <f>IF('Components Yr 1'!E448=0,0,'Components Yr 1'!E448)</f>
        <v>0</v>
      </c>
      <c r="F448" s="17">
        <f>IF('Components Yr 1'!F448=0,0,'Components Yr 1'!F448)</f>
        <v>0</v>
      </c>
      <c r="G448" s="17">
        <f>IF('Components Yr 1'!G448=0,0,'Components Yr 1'!G448)</f>
        <v>0</v>
      </c>
      <c r="H448" s="17">
        <f>IF('Components Yr 1'!H448=0,0,'Components Yr 1'!H448)</f>
        <v>0</v>
      </c>
      <c r="I448" s="17">
        <f>IF('Components Yr 1'!I448=0,0,'Components Yr 1'!I448)</f>
        <v>0</v>
      </c>
      <c r="J448" s="17">
        <f>IF('Components Yr 1'!J448=0,0,'Components Yr 1'!J448)</f>
        <v>0</v>
      </c>
      <c r="K448" s="12"/>
      <c r="L448" s="17">
        <f>IF('Components Yr 1'!L448=0,0,'Components Yr 1'!L448)</f>
        <v>0</v>
      </c>
      <c r="M448" s="12"/>
      <c r="N448" s="12"/>
      <c r="O448" s="12"/>
      <c r="P448" s="12"/>
      <c r="Q448" s="17"/>
      <c r="R448" s="18">
        <f>IF(SUMPRODUCT((E448:Q448)*1)=0,0,E448*INDEX(Hours!M:M,MATCH(C448,Hours!$A:$A,0))+F448*INDEX(Hours!B:B,MATCH(C448,Hours!$A:$A,0))+G448*INDEX(Hours!C:C,MATCH(C448,Hours!$A:$A,0))+H448*INDEX(Hours!D:D,MATCH(C448,Hours!$A:$A,0))+I448*INDEX(Hours!E:E,MATCH(C448,Hours!$A:$A,0))+J448*INDEX(Hours!F:F,MATCH(C448,Hours!$A:$A,0))+L448*INDEX(Hours!H:H,MATCH(C448,Hours!$A:$A,0)))</f>
        <v>0</v>
      </c>
      <c r="S448" s="19">
        <f t="shared" si="13"/>
        <v>0</v>
      </c>
    </row>
    <row r="449" spans="1:19" x14ac:dyDescent="0.25">
      <c r="A449" s="11" t="str">
        <f>'Bldgs &amp; Rooms'!$A$14</f>
        <v>Main Bldg.</v>
      </c>
      <c r="B449" s="11">
        <f>'Bldgs &amp; Rooms'!$B$14</f>
        <v>0</v>
      </c>
      <c r="C449" s="10" t="str">
        <f>Hours!$A$5</f>
        <v>Distribution Switchboard Multi Cover (Per Section)</v>
      </c>
      <c r="D449" s="11">
        <f t="shared" si="12"/>
        <v>0</v>
      </c>
      <c r="E449" s="16">
        <f>IF('Components Yr 1'!E449=0,0,'Components Yr 1'!E449)</f>
        <v>0</v>
      </c>
      <c r="F449" s="17">
        <f>IF('Components Yr 1'!F449=0,0,'Components Yr 1'!F449)</f>
        <v>0</v>
      </c>
      <c r="G449" s="17">
        <f>IF('Components Yr 1'!G449=0,0,'Components Yr 1'!G449)</f>
        <v>0</v>
      </c>
      <c r="H449" s="17">
        <f>IF('Components Yr 1'!H449=0,0,'Components Yr 1'!H449)</f>
        <v>0</v>
      </c>
      <c r="I449" s="17">
        <f>IF('Components Yr 1'!I449=0,0,'Components Yr 1'!I449)</f>
        <v>0</v>
      </c>
      <c r="J449" s="17">
        <f>IF('Components Yr 1'!J449=0,0,'Components Yr 1'!J449)</f>
        <v>0</v>
      </c>
      <c r="K449" s="17">
        <f>IF('Components Yr 1'!K449=0,0,'Components Yr 1'!K449)</f>
        <v>0</v>
      </c>
      <c r="L449" s="12"/>
      <c r="M449" s="12"/>
      <c r="N449" s="12"/>
      <c r="O449" s="17">
        <f>IF('Components Yr 1'!O449=0,0,'Components Yr 1'!O449)</f>
        <v>0</v>
      </c>
      <c r="P449" s="12"/>
      <c r="Q449" s="17"/>
      <c r="R449" s="18">
        <f>IF(SUMPRODUCT((E449:Q449)*1)=0,0,E449*INDEX(Hours!M:M,MATCH(C449,Hours!$A:$A,0))+F449*INDEX(Hours!B:B,MATCH(C449,Hours!$A:$A,0))+G449*INDEX(Hours!C:C,MATCH(C449,Hours!$A:$A,0))+H449*INDEX(Hours!D:D,MATCH(C449,Hours!$A:$A,0))+I449*INDEX(Hours!E:E,MATCH(C449,Hours!$A:$A,0))+J449*INDEX(Hours!F:F,MATCH(C449,Hours!$A:$A,0))+K449*INDEX(Hours!G:G,MATCH(C449,Hours!$A:$A,0))+O449*INDEX(Hours!K:K,MATCH(C449,Hours!$A:$A,0)))</f>
        <v>0</v>
      </c>
      <c r="S449" s="19">
        <f t="shared" si="13"/>
        <v>0</v>
      </c>
    </row>
    <row r="450" spans="1:19" x14ac:dyDescent="0.25">
      <c r="A450" s="11" t="str">
        <f>'Bldgs &amp; Rooms'!$A$14</f>
        <v>Main Bldg.</v>
      </c>
      <c r="B450" s="11">
        <f>'Bldgs &amp; Rooms'!$B$14</f>
        <v>0</v>
      </c>
      <c r="C450" s="10" t="str">
        <f>Hours!$A$6</f>
        <v xml:space="preserve">  Switchboard Disconnects</v>
      </c>
      <c r="D450" s="11">
        <f t="shared" ref="D450:D513" si="14">MAX(E450+F450,G450,H450,I450,J450,K450,L450,M450,N450,O450,P450,Q450)</f>
        <v>0</v>
      </c>
      <c r="E450" s="16">
        <f>IF('Components Yr 1'!E450=0,0,'Components Yr 1'!E450)</f>
        <v>0</v>
      </c>
      <c r="F450" s="17">
        <f>IF('Components Yr 1'!F450=0,0,'Components Yr 1'!F450)</f>
        <v>0</v>
      </c>
      <c r="G450" s="17">
        <f>IF('Components Yr 1'!G450=0,0,'Components Yr 1'!G450)</f>
        <v>0</v>
      </c>
      <c r="H450" s="17">
        <f>IF('Components Yr 1'!H450=0,0,'Components Yr 1'!H450)</f>
        <v>0</v>
      </c>
      <c r="I450" s="17">
        <f>IF('Components Yr 1'!I450=0,0,'Components Yr 1'!I450)</f>
        <v>0</v>
      </c>
      <c r="J450" s="17">
        <f>IF('Components Yr 1'!J450=0,0,'Components Yr 1'!J450)</f>
        <v>0</v>
      </c>
      <c r="K450" s="12"/>
      <c r="L450" s="12"/>
      <c r="M450" s="12"/>
      <c r="N450" s="12"/>
      <c r="O450" s="12"/>
      <c r="P450" s="12"/>
      <c r="Q450" s="17"/>
      <c r="R450" s="18">
        <f>IF(SUMPRODUCT((E450:Q450)*1)=0,0,E450*INDEX(Hours!M:M,MATCH(C450,Hours!$A:$A,0))+F450*INDEX(Hours!B:B,MATCH(C450,Hours!$A:$A,0))+G450*INDEX(Hours!C:C,MATCH(C450,Hours!$A:$A,0))+H450*INDEX(Hours!D:D,MATCH(C450,Hours!$A:$A,0))+I450*INDEX(Hours!E:E,MATCH(C450,Hours!$A:$A,0))+J450*INDEX(Hours!F:F,MATCH(C450,Hours!$A:$A,0)))</f>
        <v>0</v>
      </c>
      <c r="S450" s="19">
        <f t="shared" ref="S450:S513" si="15">MAX(E450+F450,G450,H450,I450,J450,K450,L450,M450,N450,O450,P450,Q450)</f>
        <v>0</v>
      </c>
    </row>
    <row r="451" spans="1:19" x14ac:dyDescent="0.25">
      <c r="A451" s="11" t="str">
        <f>'Bldgs &amp; Rooms'!$A$14</f>
        <v>Main Bldg.</v>
      </c>
      <c r="B451" s="11">
        <f>'Bldgs &amp; Rooms'!$B$14</f>
        <v>0</v>
      </c>
      <c r="C451" s="10" t="str">
        <f>Hours!$A$7</f>
        <v xml:space="preserve">  Switchboard Molded Case Breakers</v>
      </c>
      <c r="D451" s="11">
        <f t="shared" si="14"/>
        <v>0</v>
      </c>
      <c r="E451" s="16">
        <f>IF('Components Yr 1'!E451=0,0,'Components Yr 1'!E451)</f>
        <v>0</v>
      </c>
      <c r="F451" s="17">
        <f>IF('Components Yr 1'!F451=0,0,'Components Yr 1'!F451)</f>
        <v>0</v>
      </c>
      <c r="G451" s="17">
        <f>IF('Components Yr 1'!G451=0,0,'Components Yr 1'!G451)</f>
        <v>0</v>
      </c>
      <c r="H451" s="17">
        <f>IF('Components Yr 1'!H451=0,0,'Components Yr 1'!H451)</f>
        <v>0</v>
      </c>
      <c r="I451" s="17">
        <f>IF('Components Yr 1'!I451=0,0,'Components Yr 1'!I451)</f>
        <v>0</v>
      </c>
      <c r="J451" s="17">
        <f>IF('Components Yr 1'!J451=0,0,'Components Yr 1'!J451)</f>
        <v>0</v>
      </c>
      <c r="K451" s="17">
        <f>IF('Components Yr 1'!K451=0,0,'Components Yr 1'!K451)</f>
        <v>0</v>
      </c>
      <c r="L451" s="12"/>
      <c r="M451" s="12"/>
      <c r="N451" s="12"/>
      <c r="O451" s="12"/>
      <c r="P451" s="12"/>
      <c r="Q451" s="17"/>
      <c r="R451" s="18">
        <f>IF(SUMPRODUCT((E451:Q451)*1)=0,0,E451*INDEX(Hours!M:M,MATCH(C451,Hours!$A:$A,0))+F451*INDEX(Hours!B:B,MATCH(C451,Hours!$A:$A,0))+G451*INDEX(Hours!C:C,MATCH(C451,Hours!$A:$A,0))+H451*INDEX(Hours!D:D,MATCH(C451,Hours!$A:$A,0))+I451*INDEX(Hours!E:E,MATCH(C451,Hours!$A:$A,0))+J451*INDEX(Hours!F:F,MATCH(C451,Hours!$A:$A,0))+K451*INDEX(Hours!G:G,MATCH(C451,Hours!$A:$A,0)))</f>
        <v>0</v>
      </c>
      <c r="S451" s="19">
        <f t="shared" si="15"/>
        <v>0</v>
      </c>
    </row>
    <row r="452" spans="1:19" x14ac:dyDescent="0.25">
      <c r="A452" s="11" t="str">
        <f>'Bldgs &amp; Rooms'!$A$14</f>
        <v>Main Bldg.</v>
      </c>
      <c r="B452" s="11">
        <f>'Bldgs &amp; Rooms'!$B$14</f>
        <v>0</v>
      </c>
      <c r="C452" s="10" t="str">
        <f>Hours!$A$8</f>
        <v>Panelboard-Single Cover &gt; 400A (Distribution Panel)</v>
      </c>
      <c r="D452" s="11">
        <f t="shared" si="14"/>
        <v>0</v>
      </c>
      <c r="E452" s="16">
        <f>IF('Components Yr 1'!E452=0,0,'Components Yr 1'!E452)</f>
        <v>0</v>
      </c>
      <c r="F452" s="17">
        <f>IF('Components Yr 1'!F452=0,0,'Components Yr 1'!F452)</f>
        <v>0</v>
      </c>
      <c r="G452" s="17">
        <f>IF('Components Yr 1'!G452=0,0,'Components Yr 1'!G452)</f>
        <v>0</v>
      </c>
      <c r="H452" s="17">
        <f>IF('Components Yr 1'!H452=0,0,'Components Yr 1'!H452)</f>
        <v>0</v>
      </c>
      <c r="I452" s="17">
        <f>IF('Components Yr 1'!I452=0,0,'Components Yr 1'!I452)</f>
        <v>0</v>
      </c>
      <c r="J452" s="17">
        <f>IF('Components Yr 1'!J452=0,0,'Components Yr 1'!J452)</f>
        <v>0</v>
      </c>
      <c r="K452" s="17">
        <f>IF('Components Yr 1'!K452=0,0,'Components Yr 1'!K452)</f>
        <v>0</v>
      </c>
      <c r="L452" s="12"/>
      <c r="M452" s="12"/>
      <c r="N452" s="12"/>
      <c r="O452" s="17">
        <f>IF('Components Yr 1'!O452=0,0,'Components Yr 1'!O452)</f>
        <v>0</v>
      </c>
      <c r="P452" s="12"/>
      <c r="Q452" s="17"/>
      <c r="R452" s="18">
        <f>IF(SUMPRODUCT((E452:Q452)*1)=0,0,E452*INDEX(Hours!M:M,MATCH(C452,Hours!$A:$A,0))+F452*INDEX(Hours!B:B,MATCH(C452,Hours!$A:$A,0))+G452*INDEX(Hours!C:C,MATCH(C452,Hours!$A:$A,0))+H452*INDEX(Hours!D:D,MATCH(C452,Hours!$A:$A,0))+I452*INDEX(Hours!E:E,MATCH(C452,Hours!$A:$A,0))+J452*INDEX(Hours!F:F,MATCH(C452,Hours!$A:$A,0))+K452*INDEX(Hours!G:G,MATCH(C452,Hours!$A:$A,0))+O452*INDEX(Hours!K:K,MATCH(C452,Hours!$A:$A,0)))</f>
        <v>0</v>
      </c>
      <c r="S452" s="19">
        <f t="shared" si="15"/>
        <v>0</v>
      </c>
    </row>
    <row r="453" spans="1:19" x14ac:dyDescent="0.25">
      <c r="A453" s="11" t="str">
        <f>'Bldgs &amp; Rooms'!$A$14</f>
        <v>Main Bldg.</v>
      </c>
      <c r="B453" s="11">
        <f>'Bldgs &amp; Rooms'!$B$14</f>
        <v>0</v>
      </c>
      <c r="C453" s="10" t="str">
        <f>Hours!$A$9</f>
        <v>Panelboard-Single Cover &lt; 400A (Branch Ckt Panel)</v>
      </c>
      <c r="D453" s="11">
        <f t="shared" si="14"/>
        <v>0</v>
      </c>
      <c r="E453" s="16">
        <f>IF('Components Yr 1'!E453=0,0,'Components Yr 1'!E453)</f>
        <v>0</v>
      </c>
      <c r="F453" s="17">
        <f>IF('Components Yr 1'!F453=0,0,'Components Yr 1'!F453)</f>
        <v>0</v>
      </c>
      <c r="G453" s="17">
        <f>IF('Components Yr 1'!G453=0,0,'Components Yr 1'!G453)</f>
        <v>0</v>
      </c>
      <c r="H453" s="17">
        <f>IF('Components Yr 1'!H453=0,0,'Components Yr 1'!H453)</f>
        <v>0</v>
      </c>
      <c r="I453" s="17">
        <f>IF('Components Yr 1'!I453=0,0,'Components Yr 1'!I453)</f>
        <v>0</v>
      </c>
      <c r="J453" s="17">
        <f>IF('Components Yr 1'!J453=0,0,'Components Yr 1'!J453)</f>
        <v>0</v>
      </c>
      <c r="K453" s="12"/>
      <c r="L453" s="12"/>
      <c r="M453" s="12"/>
      <c r="N453" s="12"/>
      <c r="O453" s="17">
        <f>IF('Components Yr 1'!O453=0,0,'Components Yr 1'!O453)</f>
        <v>0</v>
      </c>
      <c r="P453" s="12"/>
      <c r="Q453" s="17"/>
      <c r="R453" s="18">
        <f>IF(SUMPRODUCT((E453:Q453)*1)=0,0,E453*INDEX(Hours!M:M,MATCH(C453,Hours!$A:$A,0))+F453*INDEX(Hours!B:B,MATCH(C453,Hours!$A:$A,0))+G453*INDEX(Hours!C:C,MATCH(C453,Hours!$A:$A,0))+H453*INDEX(Hours!D:D,MATCH(C453,Hours!$A:$A,0))+I453*INDEX(Hours!E:E,MATCH(C453,Hours!$A:$A,0))+J453*INDEX(Hours!F:F,MATCH(C453,Hours!$A:$A,0))+O453*INDEX(Hours!K:K,MATCH(C453,Hours!$A:$A,0)))</f>
        <v>0</v>
      </c>
      <c r="S453" s="19">
        <f t="shared" si="15"/>
        <v>0</v>
      </c>
    </row>
    <row r="454" spans="1:19" x14ac:dyDescent="0.25">
      <c r="A454" s="11" t="str">
        <f>'Bldgs &amp; Rooms'!$A$14</f>
        <v>Main Bldg.</v>
      </c>
      <c r="B454" s="11">
        <f>'Bldgs &amp; Rooms'!$B$14</f>
        <v>0</v>
      </c>
      <c r="C454" s="10" t="str">
        <f>Hours!$A$10</f>
        <v>Motor Control Center (MCC-Per Vertical Section)</v>
      </c>
      <c r="D454" s="11">
        <f t="shared" si="14"/>
        <v>0</v>
      </c>
      <c r="E454" s="16">
        <f>IF('Components Yr 1'!E454=0,0,'Components Yr 1'!E454)</f>
        <v>0</v>
      </c>
      <c r="F454" s="17">
        <f>IF('Components Yr 1'!F454=0,0,'Components Yr 1'!F454)</f>
        <v>0</v>
      </c>
      <c r="G454" s="17">
        <f>IF('Components Yr 1'!G454=0,0,'Components Yr 1'!G454)</f>
        <v>0</v>
      </c>
      <c r="H454" s="17">
        <f>IF('Components Yr 1'!H454=0,0,'Components Yr 1'!H454)</f>
        <v>0</v>
      </c>
      <c r="I454" s="17">
        <f>IF('Components Yr 1'!I454=0,0,'Components Yr 1'!I454)</f>
        <v>0</v>
      </c>
      <c r="J454" s="17">
        <f>IF('Components Yr 1'!J454=0,0,'Components Yr 1'!J454)</f>
        <v>0</v>
      </c>
      <c r="K454" s="12"/>
      <c r="L454" s="12"/>
      <c r="M454" s="12"/>
      <c r="N454" s="12"/>
      <c r="O454" s="17">
        <f>IF('Components Yr 1'!O454=0,0,'Components Yr 1'!O454)</f>
        <v>0</v>
      </c>
      <c r="P454" s="12"/>
      <c r="Q454" s="17"/>
      <c r="R454" s="18">
        <f>IF(SUMPRODUCT((E454:Q454)*1)=0,0,E454*INDEX(Hours!M:M,MATCH(C454,Hours!$A:$A,0))+F454*INDEX(Hours!B:B,MATCH(C454,Hours!$A:$A,0))+G454*INDEX(Hours!C:C,MATCH(C454,Hours!$A:$A,0))+H454*INDEX(Hours!D:D,MATCH(C454,Hours!$A:$A,0))+I454*INDEX(Hours!E:E,MATCH(C454,Hours!$A:$A,0))+J454*INDEX(Hours!F:F,MATCH(C454,Hours!$A:$A,0))+O454*INDEX(Hours!K:K,MATCH(C454,Hours!$A:$A,0)))</f>
        <v>0</v>
      </c>
      <c r="S454" s="19">
        <f t="shared" si="15"/>
        <v>0</v>
      </c>
    </row>
    <row r="455" spans="1:19" x14ac:dyDescent="0.25">
      <c r="A455" s="11" t="str">
        <f>'Bldgs &amp; Rooms'!$A$14</f>
        <v>Main Bldg.</v>
      </c>
      <c r="B455" s="11">
        <f>'Bldgs &amp; Rooms'!$B$14</f>
        <v>0</v>
      </c>
      <c r="C455" s="10" t="str">
        <f>Hours!$A$11</f>
        <v xml:space="preserve">  MCC: Combination Motor Starters</v>
      </c>
      <c r="D455" s="11">
        <f t="shared" si="14"/>
        <v>0</v>
      </c>
      <c r="E455" s="16">
        <f>IF('Components Yr 1'!E455=0,0,'Components Yr 1'!E455)</f>
        <v>0</v>
      </c>
      <c r="F455" s="17">
        <f>IF('Components Yr 1'!F455=0,0,'Components Yr 1'!F455)</f>
        <v>0</v>
      </c>
      <c r="G455" s="17">
        <f>IF('Components Yr 1'!G455=0,0,'Components Yr 1'!G455)</f>
        <v>0</v>
      </c>
      <c r="H455" s="17">
        <f>IF('Components Yr 1'!H455=0,0,'Components Yr 1'!H455)</f>
        <v>0</v>
      </c>
      <c r="I455" s="17">
        <f>IF('Components Yr 1'!I455=0,0,'Components Yr 1'!I455)</f>
        <v>0</v>
      </c>
      <c r="J455" s="17">
        <f>IF('Components Yr 1'!J455=0,0,'Components Yr 1'!J455)</f>
        <v>0</v>
      </c>
      <c r="K455" s="17">
        <f>IF('Components Yr 1'!K455=0,0,'Components Yr 1'!K455)</f>
        <v>0</v>
      </c>
      <c r="L455" s="12"/>
      <c r="M455" s="12"/>
      <c r="N455" s="12"/>
      <c r="O455" s="17">
        <f>IF('Components Yr 1'!O455=0,0,'Components Yr 1'!O455)</f>
        <v>0</v>
      </c>
      <c r="P455" s="12"/>
      <c r="Q455" s="17"/>
      <c r="R455" s="18">
        <f>IF(SUMPRODUCT((E455:Q455)*1)=0,0,E455*INDEX(Hours!M:M,MATCH(C455,Hours!$A:$A,0))+F455*INDEX(Hours!B:B,MATCH(C455,Hours!$A:$A,0))+G455*INDEX(Hours!C:C,MATCH(C455,Hours!$A:$A,0))+H455*INDEX(Hours!D:D,MATCH(C455,Hours!$A:$A,0))+I455*INDEX(Hours!E:E,MATCH(C455,Hours!$A:$A,0))+J455*INDEX(Hours!F:F,MATCH(C455,Hours!$A:$A,0))+K455*INDEX(Hours!G:G,MATCH(C455,Hours!$A:$A,0))+O455*INDEX(Hours!K:K,MATCH(C455,Hours!$A:$A,0)))</f>
        <v>0</v>
      </c>
      <c r="S455" s="19">
        <f t="shared" si="15"/>
        <v>0</v>
      </c>
    </row>
    <row r="456" spans="1:19" x14ac:dyDescent="0.25">
      <c r="A456" s="11" t="str">
        <f>'Bldgs &amp; Rooms'!$A$14</f>
        <v>Main Bldg.</v>
      </c>
      <c r="B456" s="11">
        <f>'Bldgs &amp; Rooms'!$B$14</f>
        <v>0</v>
      </c>
      <c r="C456" s="10" t="str">
        <f>Hours!$A$12</f>
        <v xml:space="preserve">  MCC: Molded Case Breaker</v>
      </c>
      <c r="D456" s="11">
        <f t="shared" si="14"/>
        <v>0</v>
      </c>
      <c r="E456" s="16">
        <f>IF('Components Yr 1'!E456=0,0,'Components Yr 1'!E456)</f>
        <v>0</v>
      </c>
      <c r="F456" s="17">
        <f>IF('Components Yr 1'!F456=0,0,'Components Yr 1'!F456)</f>
        <v>0</v>
      </c>
      <c r="G456" s="17">
        <f>IF('Components Yr 1'!G456=0,0,'Components Yr 1'!G456)</f>
        <v>0</v>
      </c>
      <c r="H456" s="17">
        <f>IF('Components Yr 1'!H456=0,0,'Components Yr 1'!H456)</f>
        <v>0</v>
      </c>
      <c r="I456" s="17">
        <f>IF('Components Yr 1'!I456=0,0,'Components Yr 1'!I456)</f>
        <v>0</v>
      </c>
      <c r="J456" s="17">
        <f>IF('Components Yr 1'!J456=0,0,'Components Yr 1'!J456)</f>
        <v>0</v>
      </c>
      <c r="K456" s="17">
        <f>IF('Components Yr 1'!K456=0,0,'Components Yr 1'!K456)</f>
        <v>0</v>
      </c>
      <c r="L456" s="12"/>
      <c r="M456" s="12"/>
      <c r="N456" s="12"/>
      <c r="O456" s="12"/>
      <c r="P456" s="12"/>
      <c r="Q456" s="17"/>
      <c r="R456" s="18">
        <f>IF(SUMPRODUCT((E456:Q456)*1)=0,0,E456*INDEX(Hours!M:M,MATCH(C456,Hours!$A:$A,0))+F456*INDEX(Hours!B:B,MATCH(C456,Hours!$A:$A,0))+G456*INDEX(Hours!C:C,MATCH(C456,Hours!$A:$A,0))+H456*INDEX(Hours!D:D,MATCH(C456,Hours!$A:$A,0))+I456*INDEX(Hours!E:E,MATCH(C456,Hours!$A:$A,0))+J456*INDEX(Hours!F:F,MATCH(C456,Hours!$A:$A,0))+K456*INDEX(Hours!G:G,MATCH(C456,Hours!$A:$A,0)))</f>
        <v>0</v>
      </c>
      <c r="S456" s="19">
        <f t="shared" si="15"/>
        <v>0</v>
      </c>
    </row>
    <row r="457" spans="1:19" x14ac:dyDescent="0.25">
      <c r="A457" s="11" t="str">
        <f>'Bldgs &amp; Rooms'!$A$14</f>
        <v>Main Bldg.</v>
      </c>
      <c r="B457" s="11">
        <f>'Bldgs &amp; Rooms'!$B$14</f>
        <v>0</v>
      </c>
      <c r="C457" s="10" t="str">
        <f>Hours!$A$13</f>
        <v xml:space="preserve">  MCC: Individual Disconnect Switch</v>
      </c>
      <c r="D457" s="11">
        <f t="shared" si="14"/>
        <v>0</v>
      </c>
      <c r="E457" s="16">
        <f>IF('Components Yr 1'!E457=0,0,'Components Yr 1'!E457)</f>
        <v>0</v>
      </c>
      <c r="F457" s="17">
        <f>IF('Components Yr 1'!F457=0,0,'Components Yr 1'!F457)</f>
        <v>0</v>
      </c>
      <c r="G457" s="17">
        <f>IF('Components Yr 1'!G457=0,0,'Components Yr 1'!G457)</f>
        <v>0</v>
      </c>
      <c r="H457" s="17">
        <f>IF('Components Yr 1'!H457=0,0,'Components Yr 1'!H457)</f>
        <v>0</v>
      </c>
      <c r="I457" s="17">
        <f>IF('Components Yr 1'!I457=0,0,'Components Yr 1'!I457)</f>
        <v>0</v>
      </c>
      <c r="J457" s="17">
        <f>IF('Components Yr 1'!J457=0,0,'Components Yr 1'!J457)</f>
        <v>0</v>
      </c>
      <c r="K457" s="12"/>
      <c r="L457" s="12"/>
      <c r="M457" s="12"/>
      <c r="N457" s="12"/>
      <c r="O457" s="12"/>
      <c r="P457" s="12"/>
      <c r="Q457" s="17"/>
      <c r="R457" s="18">
        <f>IF(SUMPRODUCT((E457:Q457)*1)=0,0,E457*INDEX(Hours!M:M,MATCH(C457,Hours!$A:$A,0))+F457*INDEX(Hours!B:B,MATCH(C457,Hours!$A:$A,0))+G457*INDEX(Hours!C:C,MATCH(C457,Hours!$A:$A,0))+H457*INDEX(Hours!D:D,MATCH(C457,Hours!$A:$A,0))+I457*INDEX(Hours!E:E,MATCH(C457,Hours!$A:$A,0))+J457*INDEX(Hours!F:F,MATCH(C457,Hours!$A:$A,0)))</f>
        <v>0</v>
      </c>
      <c r="S457" s="19">
        <f t="shared" si="15"/>
        <v>0</v>
      </c>
    </row>
    <row r="458" spans="1:19" x14ac:dyDescent="0.25">
      <c r="A458" s="11" t="str">
        <f>'Bldgs &amp; Rooms'!$A$14</f>
        <v>Main Bldg.</v>
      </c>
      <c r="B458" s="11">
        <f>'Bldgs &amp; Rooms'!$B$14</f>
        <v>0</v>
      </c>
      <c r="C458" s="10" t="str">
        <f>Hours!$A$14</f>
        <v>Motor Control Panel (MCP)</v>
      </c>
      <c r="D458" s="11">
        <f t="shared" si="14"/>
        <v>0</v>
      </c>
      <c r="E458" s="16">
        <f>IF('Components Yr 1'!E458=0,0,'Components Yr 1'!E458)</f>
        <v>0</v>
      </c>
      <c r="F458" s="17">
        <f>IF('Components Yr 1'!F458=0,0,'Components Yr 1'!F458)</f>
        <v>0</v>
      </c>
      <c r="G458" s="17">
        <f>IF('Components Yr 1'!G458=0,0,'Components Yr 1'!G458)</f>
        <v>0</v>
      </c>
      <c r="H458" s="17">
        <f>IF('Components Yr 1'!H458=0,0,'Components Yr 1'!H458)</f>
        <v>0</v>
      </c>
      <c r="I458" s="17">
        <f>IF('Components Yr 1'!I458=0,0,'Components Yr 1'!I458)</f>
        <v>0</v>
      </c>
      <c r="J458" s="17">
        <f>IF('Components Yr 1'!J458=0,0,'Components Yr 1'!J458)</f>
        <v>0</v>
      </c>
      <c r="K458" s="12"/>
      <c r="L458" s="12"/>
      <c r="M458" s="12"/>
      <c r="N458" s="12"/>
      <c r="O458" s="17">
        <f>IF('Components Yr 1'!O458=0,0,'Components Yr 1'!O458)</f>
        <v>0</v>
      </c>
      <c r="P458" s="12"/>
      <c r="Q458" s="17"/>
      <c r="R458" s="18">
        <f>IF(SUMPRODUCT((E458:Q458)*1)=0,0,E458*INDEX(Hours!M:M,MATCH(C458,Hours!$A:$A,0))+F458*INDEX(Hours!B:B,MATCH(C458,Hours!$A:$A,0))+G458*INDEX(Hours!C:C,MATCH(C458,Hours!$A:$A,0))+H458*INDEX(Hours!D:D,MATCH(C458,Hours!$A:$A,0))+I458*INDEX(Hours!E:E,MATCH(C458,Hours!$A:$A,0))+J458*INDEX(Hours!F:F,MATCH(C458,Hours!$A:$A,0))+O458*INDEX(Hours!K:K,MATCH(C458,Hours!$A:$A,0)))</f>
        <v>0</v>
      </c>
      <c r="S458" s="19">
        <f t="shared" si="15"/>
        <v>0</v>
      </c>
    </row>
    <row r="459" spans="1:19" x14ac:dyDescent="0.25">
      <c r="A459" s="11" t="str">
        <f>'Bldgs &amp; Rooms'!$A$14</f>
        <v>Main Bldg.</v>
      </c>
      <c r="B459" s="11">
        <f>'Bldgs &amp; Rooms'!$B$14</f>
        <v>0</v>
      </c>
      <c r="C459" s="10" t="str">
        <f>Hours!$A$15</f>
        <v>VFD Motor Control Panel (VFD-MCP)</v>
      </c>
      <c r="D459" s="11">
        <f t="shared" si="14"/>
        <v>0</v>
      </c>
      <c r="E459" s="16">
        <f>IF('Components Yr 1'!E459=0,0,'Components Yr 1'!E459)</f>
        <v>0</v>
      </c>
      <c r="F459" s="17">
        <f>IF('Components Yr 1'!F459=0,0,'Components Yr 1'!F459)</f>
        <v>0</v>
      </c>
      <c r="G459" s="17">
        <f>IF('Components Yr 1'!G459=0,0,'Components Yr 1'!G459)</f>
        <v>0</v>
      </c>
      <c r="H459" s="17">
        <f>IF('Components Yr 1'!H459=0,0,'Components Yr 1'!H459)</f>
        <v>0</v>
      </c>
      <c r="I459" s="17">
        <f>IF('Components Yr 1'!I459=0,0,'Components Yr 1'!I459)</f>
        <v>0</v>
      </c>
      <c r="J459" s="17">
        <f>IF('Components Yr 1'!J459=0,0,'Components Yr 1'!J459)</f>
        <v>0</v>
      </c>
      <c r="K459" s="12"/>
      <c r="L459" s="12"/>
      <c r="M459" s="12"/>
      <c r="N459" s="12"/>
      <c r="O459" s="17">
        <f>IF('Components Yr 1'!O459=0,0,'Components Yr 1'!O459)</f>
        <v>0</v>
      </c>
      <c r="P459" s="12"/>
      <c r="Q459" s="17"/>
      <c r="R459" s="18">
        <f>IF(SUMPRODUCT((E459:Q459)*1)=0,0,E459*INDEX(Hours!M:M,MATCH(C459,Hours!$A:$A,0))+F459*INDEX(Hours!B:B,MATCH(C459,Hours!$A:$A,0))+G459*INDEX(Hours!C:C,MATCH(C459,Hours!$A:$A,0))+H459*INDEX(Hours!D:D,MATCH(C459,Hours!$A:$A,0))+I459*INDEX(Hours!E:E,MATCH(C459,Hours!$A:$A,0))+J459*INDEX(Hours!F:F,MATCH(C459,Hours!$A:$A,0))+O459*INDEX(Hours!K:K,MATCH(C459,Hours!$A:$A,0)))</f>
        <v>0</v>
      </c>
      <c r="S459" s="19">
        <f t="shared" si="15"/>
        <v>0</v>
      </c>
    </row>
    <row r="460" spans="1:19" x14ac:dyDescent="0.25">
      <c r="A460" s="11" t="str">
        <f>'Bldgs &amp; Rooms'!$A$14</f>
        <v>Main Bldg.</v>
      </c>
      <c r="B460" s="11">
        <f>'Bldgs &amp; Rooms'!$B$14</f>
        <v>0</v>
      </c>
      <c r="C460" s="10" t="str">
        <f>Hours!$A$16</f>
        <v>Individual Disconnect Switch &gt; 100A</v>
      </c>
      <c r="D460" s="11">
        <f t="shared" si="14"/>
        <v>0</v>
      </c>
      <c r="E460" s="16">
        <f>IF('Components Yr 1'!E460=0,0,'Components Yr 1'!E460)</f>
        <v>0</v>
      </c>
      <c r="F460" s="17">
        <f>IF('Components Yr 1'!F460=0,0,'Components Yr 1'!F460)</f>
        <v>0</v>
      </c>
      <c r="G460" s="17">
        <f>IF('Components Yr 1'!G460=0,0,'Components Yr 1'!G460)</f>
        <v>0</v>
      </c>
      <c r="H460" s="17">
        <f>IF('Components Yr 1'!H460=0,0,'Components Yr 1'!H460)</f>
        <v>0</v>
      </c>
      <c r="I460" s="17">
        <f>IF('Components Yr 1'!I460=0,0,'Components Yr 1'!I460)</f>
        <v>0</v>
      </c>
      <c r="J460" s="17">
        <f>IF('Components Yr 1'!J460=0,0,'Components Yr 1'!J460)</f>
        <v>0</v>
      </c>
      <c r="K460" s="17">
        <f>IF('Components Yr 1'!K460=0,0,'Components Yr 1'!K460)</f>
        <v>0</v>
      </c>
      <c r="L460" s="12"/>
      <c r="M460" s="12"/>
      <c r="N460" s="12"/>
      <c r="O460" s="12"/>
      <c r="P460" s="12"/>
      <c r="Q460" s="17"/>
      <c r="R460" s="18">
        <f>IF(SUMPRODUCT((E460:Q460)*1)=0,0,E460*INDEX(Hours!M:M,MATCH(C460,Hours!$A:$A,0))+F460*INDEX(Hours!B:B,MATCH(C460,Hours!$A:$A,0))+G460*INDEX(Hours!C:C,MATCH(C460,Hours!$A:$A,0))+H460*INDEX(Hours!D:D,MATCH(C460,Hours!$A:$A,0))+I460*INDEX(Hours!E:E,MATCH(C460,Hours!$A:$A,0))+J460*INDEX(Hours!F:F,MATCH(C460,Hours!$A:$A,0))+K460*INDEX(Hours!G:G,MATCH(C460,Hours!$A:$A,0)))</f>
        <v>0</v>
      </c>
      <c r="S460" s="19">
        <f t="shared" si="15"/>
        <v>0</v>
      </c>
    </row>
    <row r="461" spans="1:19" x14ac:dyDescent="0.25">
      <c r="A461" s="11" t="str">
        <f>'Bldgs &amp; Rooms'!$A$14</f>
        <v>Main Bldg.</v>
      </c>
      <c r="B461" s="11">
        <f>'Bldgs &amp; Rooms'!$B$14</f>
        <v>0</v>
      </c>
      <c r="C461" s="10" t="str">
        <f>Hours!$A$17</f>
        <v>Individual Molded Case Breaker &gt; 100A</v>
      </c>
      <c r="D461" s="11">
        <f t="shared" si="14"/>
        <v>0</v>
      </c>
      <c r="E461" s="16">
        <f>IF('Components Yr 1'!E461=0,0,'Components Yr 1'!E461)</f>
        <v>0</v>
      </c>
      <c r="F461" s="17">
        <f>IF('Components Yr 1'!F461=0,0,'Components Yr 1'!F461)</f>
        <v>0</v>
      </c>
      <c r="G461" s="17">
        <f>IF('Components Yr 1'!G461=0,0,'Components Yr 1'!G461)</f>
        <v>0</v>
      </c>
      <c r="H461" s="17">
        <f>IF('Components Yr 1'!H461=0,0,'Components Yr 1'!H461)</f>
        <v>0</v>
      </c>
      <c r="I461" s="17">
        <f>IF('Components Yr 1'!I461=0,0,'Components Yr 1'!I461)</f>
        <v>0</v>
      </c>
      <c r="J461" s="17">
        <f>IF('Components Yr 1'!J461=0,0,'Components Yr 1'!J461)</f>
        <v>0</v>
      </c>
      <c r="K461" s="17">
        <f>IF('Components Yr 1'!K461=0,0,'Components Yr 1'!K461)</f>
        <v>0</v>
      </c>
      <c r="L461" s="12"/>
      <c r="M461" s="12"/>
      <c r="N461" s="12"/>
      <c r="O461" s="12"/>
      <c r="P461" s="12"/>
      <c r="Q461" s="17"/>
      <c r="R461" s="18">
        <f>IF(SUMPRODUCT((E461:Q461)*1)=0,0,E461*INDEX(Hours!M:M,MATCH(C461,Hours!$A:$A,0))+F461*INDEX(Hours!B:B,MATCH(C461,Hours!$A:$A,0))+G461*INDEX(Hours!C:C,MATCH(C461,Hours!$A:$A,0))+H461*INDEX(Hours!D:D,MATCH(C461,Hours!$A:$A,0))+I461*INDEX(Hours!E:E,MATCH(C461,Hours!$A:$A,0))+J461*INDEX(Hours!F:F,MATCH(C461,Hours!$A:$A,0))+K461*INDEX(Hours!G:G,MATCH(C461,Hours!$A:$A,0)))</f>
        <v>0</v>
      </c>
      <c r="S461" s="19">
        <f t="shared" si="15"/>
        <v>0</v>
      </c>
    </row>
    <row r="462" spans="1:19" x14ac:dyDescent="0.25">
      <c r="A462" s="11" t="str">
        <f>'Bldgs &amp; Rooms'!$A$14</f>
        <v>Main Bldg.</v>
      </c>
      <c r="B462" s="11">
        <f>'Bldgs &amp; Rooms'!$B$14</f>
        <v>0</v>
      </c>
      <c r="C462" s="10" t="str">
        <f>Hours!$A$18</f>
        <v>Individual Combination Motor Starter &gt; 100A</v>
      </c>
      <c r="D462" s="11">
        <f t="shared" si="14"/>
        <v>0</v>
      </c>
      <c r="E462" s="16">
        <f>IF('Components Yr 1'!E462=0,0,'Components Yr 1'!E462)</f>
        <v>0</v>
      </c>
      <c r="F462" s="17">
        <f>IF('Components Yr 1'!F462=0,0,'Components Yr 1'!F462)</f>
        <v>0</v>
      </c>
      <c r="G462" s="17">
        <f>IF('Components Yr 1'!G462=0,0,'Components Yr 1'!G462)</f>
        <v>0</v>
      </c>
      <c r="H462" s="17">
        <f>IF('Components Yr 1'!H462=0,0,'Components Yr 1'!H462)</f>
        <v>0</v>
      </c>
      <c r="I462" s="17">
        <f>IF('Components Yr 1'!I462=0,0,'Components Yr 1'!I462)</f>
        <v>0</v>
      </c>
      <c r="J462" s="17">
        <f>IF('Components Yr 1'!J462=0,0,'Components Yr 1'!J462)</f>
        <v>0</v>
      </c>
      <c r="K462" s="17">
        <f>IF('Components Yr 1'!K462=0,0,'Components Yr 1'!K462)</f>
        <v>0</v>
      </c>
      <c r="L462" s="12"/>
      <c r="M462" s="12"/>
      <c r="N462" s="12"/>
      <c r="O462" s="12"/>
      <c r="P462" s="12"/>
      <c r="Q462" s="17"/>
      <c r="R462" s="18">
        <f>IF(SUMPRODUCT((E462:Q462)*1)=0,0,E462*INDEX(Hours!M:M,MATCH(C462,Hours!$A:$A,0))+F462*INDEX(Hours!B:B,MATCH(C462,Hours!$A:$A,0))+G462*INDEX(Hours!C:C,MATCH(C462,Hours!$A:$A,0))+H462*INDEX(Hours!D:D,MATCH(C462,Hours!$A:$A,0))+I462*INDEX(Hours!E:E,MATCH(C462,Hours!$A:$A,0))+J462*INDEX(Hours!F:F,MATCH(C462,Hours!$A:$A,0))+K462*INDEX(Hours!G:G,MATCH(C462,Hours!$A:$A,0)))</f>
        <v>0</v>
      </c>
      <c r="S462" s="19">
        <f t="shared" si="15"/>
        <v>0</v>
      </c>
    </row>
    <row r="463" spans="1:19" x14ac:dyDescent="0.25">
      <c r="A463" s="11" t="str">
        <f>'Bldgs &amp; Rooms'!$A$14</f>
        <v>Main Bldg.</v>
      </c>
      <c r="B463" s="11">
        <f>'Bldgs &amp; Rooms'!$B$14</f>
        <v>0</v>
      </c>
      <c r="C463" s="10" t="str">
        <f>Hours!$A$19</f>
        <v>Oil Filled Transformer - 5kV-15kV Primary - Any Size (Pad Mounted)</v>
      </c>
      <c r="D463" s="11">
        <f t="shared" si="14"/>
        <v>0</v>
      </c>
      <c r="E463" s="16">
        <f>IF('Components Yr 1'!E463=0,0,'Components Yr 1'!E463)</f>
        <v>0</v>
      </c>
      <c r="F463" s="17">
        <f>IF('Components Yr 1'!F463=0,0,'Components Yr 1'!F463)</f>
        <v>0</v>
      </c>
      <c r="G463" s="17">
        <f>IF('Components Yr 1'!G463=0,0,'Components Yr 1'!G463)</f>
        <v>0</v>
      </c>
      <c r="H463" s="17">
        <f>IF('Components Yr 1'!H463=0,0,'Components Yr 1'!H463)</f>
        <v>0</v>
      </c>
      <c r="I463" s="17">
        <f>IF('Components Yr 1'!I463=0,0,'Components Yr 1'!I463)</f>
        <v>0</v>
      </c>
      <c r="J463" s="17">
        <f>IF('Components Yr 1'!J463=0,0,'Components Yr 1'!J463)</f>
        <v>0</v>
      </c>
      <c r="K463" s="12"/>
      <c r="L463" s="12"/>
      <c r="M463" s="17">
        <f>IF('Components Yr 1'!M463=0,0,'Components Yr 1'!M463)</f>
        <v>0</v>
      </c>
      <c r="N463" s="17">
        <f>IF('Components Yr 1'!N463=0,0,'Components Yr 1'!N463)</f>
        <v>0</v>
      </c>
      <c r="O463" s="12"/>
      <c r="P463" s="17">
        <f>IF('Components Yr 1'!P463=0,0,'Components Yr 1'!P463)</f>
        <v>0</v>
      </c>
      <c r="Q463" s="17"/>
      <c r="R463" s="18">
        <f>IF(SUMPRODUCT((E463:Q463)*1)=0,0,E463*INDEX(Hours!M:M,MATCH(C463,Hours!$A:$A,0))+F463*INDEX(Hours!B:B,MATCH(C463,Hours!$A:$A,0))+G463*INDEX(Hours!C:C,MATCH(C463,Hours!$A:$A,0))+H463*INDEX(Hours!D:D,MATCH(C463,Hours!$A:$A,0))+I463*INDEX(Hours!E:E,MATCH(C463,Hours!$A:$A,0))+J463*INDEX(Hours!F:F,MATCH(C463,Hours!$A:$A,0))+M463*INDEX(Hours!I:I,MATCH(C463,Hours!$A:$A,0))+N463*INDEX(Hours!J:J,MATCH(C463,Hours!$A:$A,0))+P463*INDEX(Hours!L:L,MATCH(C463,Hours!$A:$A,0)))</f>
        <v>0</v>
      </c>
      <c r="S463" s="19">
        <f t="shared" si="15"/>
        <v>0</v>
      </c>
    </row>
    <row r="464" spans="1:19" x14ac:dyDescent="0.25">
      <c r="A464" s="11" t="str">
        <f>'Bldgs &amp; Rooms'!$A$14</f>
        <v>Main Bldg.</v>
      </c>
      <c r="B464" s="11">
        <f>'Bldgs &amp; Rooms'!$B$14</f>
        <v>0</v>
      </c>
      <c r="C464" s="10" t="str">
        <f>Hours!$A$20</f>
        <v>Oil Filled Transformer - &gt; 15kV Primary (Substation Class)</v>
      </c>
      <c r="D464" s="11">
        <f t="shared" si="14"/>
        <v>0</v>
      </c>
      <c r="E464" s="16">
        <f>IF('Components Yr 1'!E464=0,0,'Components Yr 1'!E464)</f>
        <v>0</v>
      </c>
      <c r="F464" s="17">
        <f>IF('Components Yr 1'!F464=0,0,'Components Yr 1'!F464)</f>
        <v>0</v>
      </c>
      <c r="G464" s="17">
        <f>IF('Components Yr 1'!G464=0,0,'Components Yr 1'!G464)</f>
        <v>0</v>
      </c>
      <c r="H464" s="17">
        <f>IF('Components Yr 1'!H464=0,0,'Components Yr 1'!H464)</f>
        <v>0</v>
      </c>
      <c r="I464" s="17">
        <f>IF('Components Yr 1'!I464=0,0,'Components Yr 1'!I464)</f>
        <v>0</v>
      </c>
      <c r="J464" s="17">
        <f>IF('Components Yr 1'!J464=0,0,'Components Yr 1'!J464)</f>
        <v>0</v>
      </c>
      <c r="K464" s="12"/>
      <c r="L464" s="12"/>
      <c r="M464" s="17">
        <f>IF('Components Yr 1'!M464=0,0,'Components Yr 1'!M464)</f>
        <v>0</v>
      </c>
      <c r="N464" s="17">
        <f>IF('Components Yr 1'!N464=0,0,'Components Yr 1'!N464)</f>
        <v>0</v>
      </c>
      <c r="O464" s="12"/>
      <c r="P464" s="17">
        <f>IF('Components Yr 1'!P464=0,0,'Components Yr 1'!P464)</f>
        <v>0</v>
      </c>
      <c r="Q464" s="17"/>
      <c r="R464" s="18">
        <f>IF(SUMPRODUCT((E464:Q464)*1)=0,0,E464*INDEX(Hours!M:M,MATCH(C464,Hours!$A:$A,0))+F464*INDEX(Hours!B:B,MATCH(C464,Hours!$A:$A,0))+G464*INDEX(Hours!C:C,MATCH(C464,Hours!$A:$A,0))+H464*INDEX(Hours!D:D,MATCH(C464,Hours!$A:$A,0))+I464*INDEX(Hours!E:E,MATCH(C464,Hours!$A:$A,0))+J464*INDEX(Hours!F:F,MATCH(C464,Hours!$A:$A,0))+M464*INDEX(Hours!I:I,MATCH(C464,Hours!$A:$A,0))+N464*INDEX(Hours!J:J,MATCH(C464,Hours!$A:$A,0))+P464*INDEX(Hours!L:L,MATCH(C464,Hours!$A:$A,0)))</f>
        <v>0</v>
      </c>
      <c r="S464" s="19">
        <f t="shared" si="15"/>
        <v>0</v>
      </c>
    </row>
    <row r="465" spans="1:19" x14ac:dyDescent="0.25">
      <c r="A465" s="11" t="str">
        <f>'Bldgs &amp; Rooms'!$A$14</f>
        <v>Main Bldg.</v>
      </c>
      <c r="B465" s="11">
        <f>'Bldgs &amp; Rooms'!$B$14</f>
        <v>0</v>
      </c>
      <c r="C465" s="10" t="str">
        <f>Hours!$A$21</f>
        <v>Dry Type Transformer - &lt; 480V Primary - Any Size kVA</v>
      </c>
      <c r="D465" s="11">
        <f t="shared" si="14"/>
        <v>0</v>
      </c>
      <c r="E465" s="16">
        <f>IF('Components Yr 1'!E465=0,0,'Components Yr 1'!E465)</f>
        <v>0</v>
      </c>
      <c r="F465" s="17">
        <f>IF('Components Yr 1'!F465=0,0,'Components Yr 1'!F465)</f>
        <v>0</v>
      </c>
      <c r="G465" s="17">
        <f>IF('Components Yr 1'!G465=0,0,'Components Yr 1'!G465)</f>
        <v>0</v>
      </c>
      <c r="H465" s="17">
        <f>IF('Components Yr 1'!H465=0,0,'Components Yr 1'!H465)</f>
        <v>0</v>
      </c>
      <c r="I465" s="17">
        <f>IF('Components Yr 1'!I465=0,0,'Components Yr 1'!I465)</f>
        <v>0</v>
      </c>
      <c r="J465" s="17">
        <f>IF('Components Yr 1'!J465=0,0,'Components Yr 1'!J465)</f>
        <v>0</v>
      </c>
      <c r="K465" s="12"/>
      <c r="L465" s="12"/>
      <c r="M465" s="17">
        <f>IF('Components Yr 1'!M465=0,0,'Components Yr 1'!M465)</f>
        <v>0</v>
      </c>
      <c r="N465" s="17">
        <f>IF('Components Yr 1'!N465=0,0,'Components Yr 1'!N465)</f>
        <v>0</v>
      </c>
      <c r="O465" s="12"/>
      <c r="P465" s="12"/>
      <c r="Q465" s="17"/>
      <c r="R465" s="18">
        <f>IF(SUMPRODUCT((E465:Q465)*1)=0,0,E465*INDEX(Hours!M:M,MATCH(C465,Hours!$A:$A,0))+F465*INDEX(Hours!B:B,MATCH(C465,Hours!$A:$A,0))+G465*INDEX(Hours!C:C,MATCH(C465,Hours!$A:$A,0))+H465*INDEX(Hours!D:D,MATCH(C465,Hours!$A:$A,0))+I465*INDEX(Hours!E:E,MATCH(C465,Hours!$A:$A,0))+J465*INDEX(Hours!F:F,MATCH(C465,Hours!$A:$A,0))+M465*INDEX(Hours!I:I,MATCH(C465,Hours!$A:$A,0))+N465*INDEX(Hours!J:J,MATCH(C465,Hours!$A:$A,0)))</f>
        <v>0</v>
      </c>
      <c r="S465" s="19">
        <f t="shared" si="15"/>
        <v>0</v>
      </c>
    </row>
    <row r="466" spans="1:19" x14ac:dyDescent="0.25">
      <c r="A466" s="11" t="str">
        <f>'Bldgs &amp; Rooms'!$A$14</f>
        <v>Main Bldg.</v>
      </c>
      <c r="B466" s="11">
        <f>'Bldgs &amp; Rooms'!$B$14</f>
        <v>0</v>
      </c>
      <c r="C466" s="10" t="str">
        <f>Hours!$A$22</f>
        <v>Power Factor Correction Capacitors</v>
      </c>
      <c r="D466" s="11">
        <f t="shared" si="14"/>
        <v>0</v>
      </c>
      <c r="E466" s="16">
        <f>IF('Components Yr 1'!E466=0,0,'Components Yr 1'!E466)</f>
        <v>0</v>
      </c>
      <c r="F466" s="17">
        <f>IF('Components Yr 1'!F466=0,0,'Components Yr 1'!F466)</f>
        <v>0</v>
      </c>
      <c r="G466" s="17">
        <f>IF('Components Yr 1'!G466=0,0,'Components Yr 1'!G466)</f>
        <v>0</v>
      </c>
      <c r="H466" s="17">
        <f>IF('Components Yr 1'!H466=0,0,'Components Yr 1'!H466)</f>
        <v>0</v>
      </c>
      <c r="I466" s="17">
        <f>IF('Components Yr 1'!I466=0,0,'Components Yr 1'!I466)</f>
        <v>0</v>
      </c>
      <c r="J466" s="17">
        <f>IF('Components Yr 1'!J466=0,0,'Components Yr 1'!J466)</f>
        <v>0</v>
      </c>
      <c r="K466" s="12"/>
      <c r="L466" s="12"/>
      <c r="M466" s="12"/>
      <c r="N466" s="12"/>
      <c r="O466" s="12"/>
      <c r="P466" s="12"/>
      <c r="Q466" s="17"/>
      <c r="R466" s="18">
        <f>IF(SUMPRODUCT((E466:Q466)*1)=0,0,E466*INDEX(Hours!M:M,MATCH(C466,Hours!$A:$A,0))+F466*INDEX(Hours!B:B,MATCH(C466,Hours!$A:$A,0))+G466*INDEX(Hours!C:C,MATCH(C466,Hours!$A:$A,0))+H466*INDEX(Hours!D:D,MATCH(C466,Hours!$A:$A,0))+I466*INDEX(Hours!E:E,MATCH(C466,Hours!$A:$A,0))+J466*INDEX(Hours!F:F,MATCH(C466,Hours!$A:$A,0)))</f>
        <v>0</v>
      </c>
      <c r="S466" s="19">
        <f t="shared" si="15"/>
        <v>0</v>
      </c>
    </row>
    <row r="467" spans="1:19" x14ac:dyDescent="0.25">
      <c r="A467" s="11" t="str">
        <f>'Bldgs &amp; Rooms'!$A$14</f>
        <v>Main Bldg.</v>
      </c>
      <c r="B467" s="11">
        <f>'Bldgs &amp; Rooms'!$B$14</f>
        <v>0</v>
      </c>
      <c r="C467" s="10" t="str">
        <f>Hours!$A$23</f>
        <v>Lighting Contactor &gt; 100A</v>
      </c>
      <c r="D467" s="11">
        <f t="shared" si="14"/>
        <v>0</v>
      </c>
      <c r="E467" s="16">
        <f>IF('Components Yr 1'!E467=0,0,'Components Yr 1'!E467)</f>
        <v>0</v>
      </c>
      <c r="F467" s="17">
        <f>IF('Components Yr 1'!F467=0,0,'Components Yr 1'!F467)</f>
        <v>0</v>
      </c>
      <c r="G467" s="17">
        <f>IF('Components Yr 1'!G467=0,0,'Components Yr 1'!G467)</f>
        <v>0</v>
      </c>
      <c r="H467" s="17">
        <f>IF('Components Yr 1'!H467=0,0,'Components Yr 1'!H467)</f>
        <v>0</v>
      </c>
      <c r="I467" s="17">
        <f>IF('Components Yr 1'!I467=0,0,'Components Yr 1'!I467)</f>
        <v>0</v>
      </c>
      <c r="J467" s="17">
        <f>IF('Components Yr 1'!J467=0,0,'Components Yr 1'!J467)</f>
        <v>0</v>
      </c>
      <c r="K467" s="12"/>
      <c r="L467" s="12"/>
      <c r="M467" s="12"/>
      <c r="N467" s="12"/>
      <c r="O467" s="12"/>
      <c r="P467" s="12"/>
      <c r="Q467" s="17"/>
      <c r="R467" s="18">
        <f>IF(SUMPRODUCT((E467:Q467)*1)=0,0,E467*INDEX(Hours!M:M,MATCH(C467,Hours!$A:$A,0))+F467*INDEX(Hours!B:B,MATCH(C467,Hours!$A:$A,0))+G467*INDEX(Hours!C:C,MATCH(C467,Hours!$A:$A,0))+H467*INDEX(Hours!D:D,MATCH(C467,Hours!$A:$A,0))+I467*INDEX(Hours!E:E,MATCH(C467,Hours!$A:$A,0))+J467*INDEX(Hours!F:F,MATCH(C467,Hours!$A:$A,0)))</f>
        <v>0</v>
      </c>
      <c r="S467" s="19">
        <f t="shared" si="15"/>
        <v>0</v>
      </c>
    </row>
    <row r="468" spans="1:19" x14ac:dyDescent="0.25">
      <c r="A468" s="11" t="str">
        <f>'Bldgs &amp; Rooms'!$A$14</f>
        <v>Main Bldg.</v>
      </c>
      <c r="B468" s="11">
        <f>'Bldgs &amp; Rooms'!$B$14</f>
        <v>0</v>
      </c>
      <c r="C468" s="10" t="str">
        <f>Hours!$A$24</f>
        <v>Power Distribution Unit (PDU)</v>
      </c>
      <c r="D468" s="11">
        <f t="shared" si="14"/>
        <v>0</v>
      </c>
      <c r="E468" s="16">
        <f>IF('Components Yr 1'!E468=0,0,'Components Yr 1'!E468)</f>
        <v>0</v>
      </c>
      <c r="F468" s="17">
        <f>IF('Components Yr 1'!F468=0,0,'Components Yr 1'!F468)</f>
        <v>0</v>
      </c>
      <c r="G468" s="17">
        <f>IF('Components Yr 1'!G468=0,0,'Components Yr 1'!G468)</f>
        <v>0</v>
      </c>
      <c r="H468" s="17">
        <f>IF('Components Yr 1'!H468=0,0,'Components Yr 1'!H468)</f>
        <v>0</v>
      </c>
      <c r="I468" s="17">
        <f>IF('Components Yr 1'!I468=0,0,'Components Yr 1'!I468)</f>
        <v>0</v>
      </c>
      <c r="J468" s="17">
        <f>IF('Components Yr 1'!J468=0,0,'Components Yr 1'!J468)</f>
        <v>0</v>
      </c>
      <c r="K468" s="12"/>
      <c r="L468" s="12"/>
      <c r="M468" s="12"/>
      <c r="N468" s="12"/>
      <c r="O468" s="12"/>
      <c r="P468" s="12"/>
      <c r="Q468" s="17"/>
      <c r="R468" s="18">
        <f>IF(SUMPRODUCT((E468:Q468)*1)=0,0,E468*INDEX(Hours!M:M,MATCH(C468,Hours!$A:$A,0))+F468*INDEX(Hours!B:B,MATCH(C468,Hours!$A:$A,0))+G468*INDEX(Hours!C:C,MATCH(C468,Hours!$A:$A,0))+H468*INDEX(Hours!D:D,MATCH(C468,Hours!$A:$A,0))+I468*INDEX(Hours!E:E,MATCH(C468,Hours!$A:$A,0))+J468*INDEX(Hours!F:F,MATCH(C468,Hours!$A:$A,0)))</f>
        <v>0</v>
      </c>
      <c r="S468" s="19">
        <f t="shared" si="15"/>
        <v>0</v>
      </c>
    </row>
    <row r="469" spans="1:19" x14ac:dyDescent="0.25">
      <c r="A469" s="11" t="str">
        <f>'Bldgs &amp; Rooms'!$A$14</f>
        <v>Main Bldg.</v>
      </c>
      <c r="B469" s="11">
        <f>'Bldgs &amp; Rooms'!$B$14</f>
        <v>0</v>
      </c>
      <c r="C469" s="10" t="str">
        <f>Hours!$A$25</f>
        <v>Wire Trough, Gutter, or Large Junction Boxes</v>
      </c>
      <c r="D469" s="11">
        <f t="shared" si="14"/>
        <v>0</v>
      </c>
      <c r="E469" s="16">
        <f>IF('Components Yr 1'!E469=0,0,'Components Yr 1'!E469)</f>
        <v>0</v>
      </c>
      <c r="F469" s="17">
        <f>IF('Components Yr 1'!F469=0,0,'Components Yr 1'!F469)</f>
        <v>0</v>
      </c>
      <c r="G469" s="17">
        <f>IF('Components Yr 1'!G469=0,0,'Components Yr 1'!G469)</f>
        <v>0</v>
      </c>
      <c r="H469" s="17">
        <f>IF('Components Yr 1'!H469=0,0,'Components Yr 1'!H469)</f>
        <v>0</v>
      </c>
      <c r="I469" s="17">
        <f>IF('Components Yr 1'!I469=0,0,'Components Yr 1'!I469)</f>
        <v>0</v>
      </c>
      <c r="J469" s="17">
        <f>IF('Components Yr 1'!J469=0,0,'Components Yr 1'!J469)</f>
        <v>0</v>
      </c>
      <c r="K469" s="12"/>
      <c r="L469" s="12"/>
      <c r="M469" s="12"/>
      <c r="N469" s="12"/>
      <c r="O469" s="12"/>
      <c r="P469" s="12"/>
      <c r="Q469" s="17"/>
      <c r="R469" s="18">
        <f>IF(SUMPRODUCT((E469:Q469)*1)=0,0,E469*INDEX(Hours!M:M,MATCH(C469,Hours!$A:$A,0))+F469*INDEX(Hours!B:B,MATCH(C469,Hours!$A:$A,0))+G469*INDEX(Hours!C:C,MATCH(C469,Hours!$A:$A,0))+H469*INDEX(Hours!D:D,MATCH(C469,Hours!$A:$A,0))+I469*INDEX(Hours!E:E,MATCH(C469,Hours!$A:$A,0))+J469*INDEX(Hours!F:F,MATCH(C469,Hours!$A:$A,0)))</f>
        <v>0</v>
      </c>
      <c r="S469" s="19">
        <f t="shared" si="15"/>
        <v>0</v>
      </c>
    </row>
    <row r="470" spans="1:19" x14ac:dyDescent="0.25">
      <c r="A470" s="11" t="str">
        <f>'Bldgs &amp; Rooms'!$A$14</f>
        <v>Main Bldg.</v>
      </c>
      <c r="B470" s="11">
        <f>'Bldgs &amp; Rooms'!$B$14</f>
        <v>0</v>
      </c>
      <c r="C470" s="10" t="str">
        <f>Hours!$A$26</f>
        <v>Bus Duct - Vertical or Horizontal (Per 10' section)</v>
      </c>
      <c r="D470" s="11">
        <f t="shared" si="14"/>
        <v>0</v>
      </c>
      <c r="E470" s="16">
        <f>IF('Components Yr 1'!E470=0,0,'Components Yr 1'!E470)</f>
        <v>0</v>
      </c>
      <c r="F470" s="17">
        <f>IF('Components Yr 1'!F470=0,0,'Components Yr 1'!F470)</f>
        <v>0</v>
      </c>
      <c r="G470" s="17">
        <f>IF('Components Yr 1'!G470=0,0,'Components Yr 1'!G470)</f>
        <v>0</v>
      </c>
      <c r="H470" s="17">
        <f>IF('Components Yr 1'!H470=0,0,'Components Yr 1'!H470)</f>
        <v>0</v>
      </c>
      <c r="I470" s="17">
        <f>IF('Components Yr 1'!I470=0,0,'Components Yr 1'!I470)</f>
        <v>0</v>
      </c>
      <c r="J470" s="17">
        <f>IF('Components Yr 1'!J470=0,0,'Components Yr 1'!J470)</f>
        <v>0</v>
      </c>
      <c r="K470" s="12"/>
      <c r="L470" s="12"/>
      <c r="M470" s="12"/>
      <c r="N470" s="12"/>
      <c r="O470" s="12"/>
      <c r="P470" s="12"/>
      <c r="Q470" s="17"/>
      <c r="R470" s="18">
        <f>IF(SUMPRODUCT((E470:Q470)*1)=0,0,E470*INDEX(Hours!M:M,MATCH(C470,Hours!$A:$A,0))+F470*INDEX(Hours!B:B,MATCH(C470,Hours!$A:$A,0))+G470*INDEX(Hours!C:C,MATCH(C470,Hours!$A:$A,0))+H470*INDEX(Hours!D:D,MATCH(C470,Hours!$A:$A,0))+I470*INDEX(Hours!E:E,MATCH(C470,Hours!$A:$A,0))+J470*INDEX(Hours!F:F,MATCH(C470,Hours!$A:$A,0)))</f>
        <v>0</v>
      </c>
      <c r="S470" s="19">
        <f t="shared" si="15"/>
        <v>0</v>
      </c>
    </row>
    <row r="471" spans="1:19" x14ac:dyDescent="0.25">
      <c r="A471" s="11" t="str">
        <f>'Bldgs &amp; Rooms'!$A$14</f>
        <v>Main Bldg.</v>
      </c>
      <c r="B471" s="11">
        <f>'Bldgs &amp; Rooms'!$B$14</f>
        <v>0</v>
      </c>
      <c r="C471" s="10" t="str">
        <f>Hours!$A$27</f>
        <v>Automatic Transfer Switch (ATS) &gt; 100A</v>
      </c>
      <c r="D471" s="11">
        <f t="shared" si="14"/>
        <v>0</v>
      </c>
      <c r="E471" s="16">
        <f>IF('Components Yr 1'!E471=0,0,'Components Yr 1'!E471)</f>
        <v>0</v>
      </c>
      <c r="F471" s="17">
        <f>IF('Components Yr 1'!F471=0,0,'Components Yr 1'!F471)</f>
        <v>0</v>
      </c>
      <c r="G471" s="17">
        <f>IF('Components Yr 1'!G471=0,0,'Components Yr 1'!G471)</f>
        <v>0</v>
      </c>
      <c r="H471" s="17">
        <f>IF('Components Yr 1'!H471=0,0,'Components Yr 1'!H471)</f>
        <v>0</v>
      </c>
      <c r="I471" s="17">
        <f>IF('Components Yr 1'!I471=0,0,'Components Yr 1'!I471)</f>
        <v>0</v>
      </c>
      <c r="J471" s="17">
        <f>IF('Components Yr 1'!J471=0,0,'Components Yr 1'!J471)</f>
        <v>0</v>
      </c>
      <c r="K471" s="12"/>
      <c r="L471" s="12"/>
      <c r="M471" s="12"/>
      <c r="N471" s="12"/>
      <c r="O471" s="12"/>
      <c r="P471" s="12"/>
      <c r="Q471" s="17"/>
      <c r="R471" s="18">
        <f>IF(SUMPRODUCT((E471:Q471)*1)=0,0,E471*INDEX(Hours!M:M,MATCH(C471,Hours!$A:$A,0))+F471*INDEX(Hours!B:B,MATCH(C471,Hours!$A:$A,0))+G471*INDEX(Hours!C:C,MATCH(C471,Hours!$A:$A,0))+H471*INDEX(Hours!D:D,MATCH(C471,Hours!$A:$A,0))+I471*INDEX(Hours!E:E,MATCH(C471,Hours!$A:$A,0))+J471*INDEX(Hours!F:F,MATCH(C471,Hours!$A:$A,0)))</f>
        <v>0</v>
      </c>
      <c r="S471" s="19">
        <f t="shared" si="15"/>
        <v>0</v>
      </c>
    </row>
    <row r="472" spans="1:19" x14ac:dyDescent="0.25">
      <c r="A472" s="11" t="str">
        <f>'Bldgs &amp; Rooms'!$A$14</f>
        <v>Main Bldg.</v>
      </c>
      <c r="B472" s="11">
        <f>'Bldgs &amp; Rooms'!$B$14</f>
        <v>0</v>
      </c>
      <c r="C472" s="10" t="str">
        <f>Hours!$A$28</f>
        <v>Manual Transfer Switch (MTS) &gt; 100A</v>
      </c>
      <c r="D472" s="11">
        <f t="shared" si="14"/>
        <v>0</v>
      </c>
      <c r="E472" s="16">
        <f>IF('Components Yr 1'!E472=0,0,'Components Yr 1'!E472)</f>
        <v>0</v>
      </c>
      <c r="F472" s="17">
        <f>IF('Components Yr 1'!F472=0,0,'Components Yr 1'!F472)</f>
        <v>0</v>
      </c>
      <c r="G472" s="17">
        <f>IF('Components Yr 1'!G472=0,0,'Components Yr 1'!G472)</f>
        <v>0</v>
      </c>
      <c r="H472" s="17">
        <f>IF('Components Yr 1'!H472=0,0,'Components Yr 1'!H472)</f>
        <v>0</v>
      </c>
      <c r="I472" s="17">
        <f>IF('Components Yr 1'!I472=0,0,'Components Yr 1'!I472)</f>
        <v>0</v>
      </c>
      <c r="J472" s="17">
        <f>IF('Components Yr 1'!J472=0,0,'Components Yr 1'!J472)</f>
        <v>0</v>
      </c>
      <c r="K472" s="12"/>
      <c r="L472" s="12"/>
      <c r="M472" s="12"/>
      <c r="N472" s="12"/>
      <c r="O472" s="12"/>
      <c r="P472" s="12"/>
      <c r="Q472" s="17"/>
      <c r="R472" s="18">
        <f>IF(SUMPRODUCT((E472:Q472)*1)=0,0,E472*INDEX(Hours!M:M,MATCH(C472,Hours!$A:$A,0))+F472*INDEX(Hours!B:B,MATCH(C472,Hours!$A:$A,0))+G472*INDEX(Hours!C:C,MATCH(C472,Hours!$A:$A,0))+H472*INDEX(Hours!D:D,MATCH(C472,Hours!$A:$A,0))+I472*INDEX(Hours!E:E,MATCH(C472,Hours!$A:$A,0))+J472*INDEX(Hours!F:F,MATCH(C472,Hours!$A:$A,0)))</f>
        <v>0</v>
      </c>
      <c r="S472" s="19">
        <f t="shared" si="15"/>
        <v>0</v>
      </c>
    </row>
    <row r="473" spans="1:19" x14ac:dyDescent="0.25">
      <c r="A473" s="11" t="str">
        <f>'Bldgs &amp; Rooms'!$A$14</f>
        <v>Main Bldg.</v>
      </c>
      <c r="B473" s="11">
        <f>'Bldgs &amp; Rooms'!$B$14</f>
        <v>0</v>
      </c>
      <c r="C473" s="10" t="str">
        <f>Hours!$A$29</f>
        <v>Variable Frequency Drives (VFD) &lt; 50 HP</v>
      </c>
      <c r="D473" s="11">
        <f t="shared" si="14"/>
        <v>0</v>
      </c>
      <c r="E473" s="16">
        <f>IF('Components Yr 1'!E473=0,0,'Components Yr 1'!E473)</f>
        <v>0</v>
      </c>
      <c r="F473" s="17">
        <f>IF('Components Yr 1'!F473=0,0,'Components Yr 1'!F473)</f>
        <v>0</v>
      </c>
      <c r="G473" s="17">
        <f>IF('Components Yr 1'!G473=0,0,'Components Yr 1'!G473)</f>
        <v>0</v>
      </c>
      <c r="H473" s="17">
        <f>IF('Components Yr 1'!H473=0,0,'Components Yr 1'!H473)</f>
        <v>0</v>
      </c>
      <c r="I473" s="17">
        <f>IF('Components Yr 1'!I473=0,0,'Components Yr 1'!I473)</f>
        <v>0</v>
      </c>
      <c r="J473" s="17">
        <f>IF('Components Yr 1'!J473=0,0,'Components Yr 1'!J473)</f>
        <v>0</v>
      </c>
      <c r="K473" s="12"/>
      <c r="L473" s="12"/>
      <c r="M473" s="12"/>
      <c r="N473" s="12"/>
      <c r="O473" s="12"/>
      <c r="P473" s="12"/>
      <c r="Q473" s="17"/>
      <c r="R473" s="18">
        <f>IF(SUMPRODUCT((E473:Q473)*1)=0,0,E473*INDEX(Hours!M:M,MATCH(C473,Hours!$A:$A,0))+F473*INDEX(Hours!B:B,MATCH(C473,Hours!$A:$A,0))+G473*INDEX(Hours!C:C,MATCH(C473,Hours!$A:$A,0))+H473*INDEX(Hours!D:D,MATCH(C473,Hours!$A:$A,0))+I473*INDEX(Hours!E:E,MATCH(C473,Hours!$A:$A,0))+J473*INDEX(Hours!F:F,MATCH(C473,Hours!$A:$A,0)))</f>
        <v>0</v>
      </c>
      <c r="S473" s="19">
        <f t="shared" si="15"/>
        <v>0</v>
      </c>
    </row>
    <row r="474" spans="1:19" x14ac:dyDescent="0.25">
      <c r="A474" s="11" t="str">
        <f>'Bldgs &amp; Rooms'!$A$14</f>
        <v>Main Bldg.</v>
      </c>
      <c r="B474" s="11">
        <f>'Bldgs &amp; Rooms'!$B$14</f>
        <v>0</v>
      </c>
      <c r="C474" s="10" t="str">
        <f>Hours!$A$30</f>
        <v>Variable Frequency Drives (VFD) 51-200 HP</v>
      </c>
      <c r="D474" s="11">
        <f t="shared" si="14"/>
        <v>0</v>
      </c>
      <c r="E474" s="16">
        <f>IF('Components Yr 1'!E474=0,0,'Components Yr 1'!E474)</f>
        <v>0</v>
      </c>
      <c r="F474" s="17">
        <f>IF('Components Yr 1'!F474=0,0,'Components Yr 1'!F474)</f>
        <v>0</v>
      </c>
      <c r="G474" s="17">
        <f>IF('Components Yr 1'!G474=0,0,'Components Yr 1'!G474)</f>
        <v>0</v>
      </c>
      <c r="H474" s="17">
        <f>IF('Components Yr 1'!H474=0,0,'Components Yr 1'!H474)</f>
        <v>0</v>
      </c>
      <c r="I474" s="17">
        <f>IF('Components Yr 1'!I474=0,0,'Components Yr 1'!I474)</f>
        <v>0</v>
      </c>
      <c r="J474" s="17">
        <f>IF('Components Yr 1'!J474=0,0,'Components Yr 1'!J474)</f>
        <v>0</v>
      </c>
      <c r="K474" s="12"/>
      <c r="L474" s="12"/>
      <c r="M474" s="12"/>
      <c r="N474" s="12"/>
      <c r="O474" s="12"/>
      <c r="P474" s="12"/>
      <c r="Q474" s="17"/>
      <c r="R474" s="18">
        <f>IF(SUMPRODUCT((E474:Q474)*1)=0,0,E474*INDEX(Hours!M:M,MATCH(C474,Hours!$A:$A,0))+F474*INDEX(Hours!B:B,MATCH(C474,Hours!$A:$A,0))+G474*INDEX(Hours!C:C,MATCH(C474,Hours!$A:$A,0))+H474*INDEX(Hours!D:D,MATCH(C474,Hours!$A:$A,0))+I474*INDEX(Hours!E:E,MATCH(C474,Hours!$A:$A,0))+J474*INDEX(Hours!F:F,MATCH(C474,Hours!$A:$A,0)))</f>
        <v>0</v>
      </c>
      <c r="S474" s="19">
        <f t="shared" si="15"/>
        <v>0</v>
      </c>
    </row>
    <row r="475" spans="1:19" x14ac:dyDescent="0.25">
      <c r="A475" s="11" t="str">
        <f>'Bldgs &amp; Rooms'!$A$14</f>
        <v>Main Bldg.</v>
      </c>
      <c r="B475" s="11">
        <f>'Bldgs &amp; Rooms'!$B$14</f>
        <v>0</v>
      </c>
      <c r="C475" s="10" t="str">
        <f>Hours!$A$31</f>
        <v>Motors &lt; 50 HP</v>
      </c>
      <c r="D475" s="11">
        <f t="shared" si="14"/>
        <v>0</v>
      </c>
      <c r="E475" s="16">
        <f>IF('Components Yr 1'!E475=0,0,'Components Yr 1'!E475)</f>
        <v>0</v>
      </c>
      <c r="F475" s="17">
        <f>IF('Components Yr 1'!F475=0,0,'Components Yr 1'!F475)</f>
        <v>0</v>
      </c>
      <c r="G475" s="17">
        <f>IF('Components Yr 1'!G475=0,0,'Components Yr 1'!G475)</f>
        <v>0</v>
      </c>
      <c r="H475" s="17">
        <f>IF('Components Yr 1'!H475=0,0,'Components Yr 1'!H475)</f>
        <v>0</v>
      </c>
      <c r="I475" s="17">
        <f>IF('Components Yr 1'!I475=0,0,'Components Yr 1'!I475)</f>
        <v>0</v>
      </c>
      <c r="J475" s="17">
        <f>IF('Components Yr 1'!J475=0,0,'Components Yr 1'!J475)</f>
        <v>0</v>
      </c>
      <c r="K475" s="12"/>
      <c r="L475" s="12"/>
      <c r="M475" s="12"/>
      <c r="N475" s="12"/>
      <c r="O475" s="12"/>
      <c r="P475" s="12"/>
      <c r="Q475" s="17"/>
      <c r="R475" s="18">
        <f>IF(SUMPRODUCT((E475:Q475)*1)=0,0,E475*INDEX(Hours!M:M,MATCH(C475,Hours!$A:$A,0))+F475*INDEX(Hours!B:B,MATCH(C475,Hours!$A:$A,0))+G475*INDEX(Hours!C:C,MATCH(C475,Hours!$A:$A,0))+H475*INDEX(Hours!D:D,MATCH(C475,Hours!$A:$A,0))+I475*INDEX(Hours!E:E,MATCH(C475,Hours!$A:$A,0))+J475*INDEX(Hours!F:F,MATCH(C475,Hours!$A:$A,0)))</f>
        <v>0</v>
      </c>
      <c r="S475" s="19">
        <f t="shared" si="15"/>
        <v>0</v>
      </c>
    </row>
    <row r="476" spans="1:19" x14ac:dyDescent="0.25">
      <c r="A476" s="11" t="str">
        <f>'Bldgs &amp; Rooms'!$A$14</f>
        <v>Main Bldg.</v>
      </c>
      <c r="B476" s="11">
        <f>'Bldgs &amp; Rooms'!$B$14</f>
        <v>0</v>
      </c>
      <c r="C476" s="10" t="str">
        <f>Hours!$A$32</f>
        <v>Motors 51-200 HP</v>
      </c>
      <c r="D476" s="11">
        <f t="shared" si="14"/>
        <v>0</v>
      </c>
      <c r="E476" s="16">
        <f>IF('Components Yr 1'!E476=0,0,'Components Yr 1'!E476)</f>
        <v>0</v>
      </c>
      <c r="F476" s="17">
        <f>IF('Components Yr 1'!F476=0,0,'Components Yr 1'!F476)</f>
        <v>0</v>
      </c>
      <c r="G476" s="17">
        <f>IF('Components Yr 1'!G476=0,0,'Components Yr 1'!G476)</f>
        <v>0</v>
      </c>
      <c r="H476" s="17">
        <f>IF('Components Yr 1'!H476=0,0,'Components Yr 1'!H476)</f>
        <v>0</v>
      </c>
      <c r="I476" s="17">
        <f>IF('Components Yr 1'!I476=0,0,'Components Yr 1'!I476)</f>
        <v>0</v>
      </c>
      <c r="J476" s="17">
        <f>IF('Components Yr 1'!J476=0,0,'Components Yr 1'!J476)</f>
        <v>0</v>
      </c>
      <c r="K476" s="12"/>
      <c r="L476" s="12"/>
      <c r="M476" s="12"/>
      <c r="N476" s="12"/>
      <c r="O476" s="12"/>
      <c r="P476" s="12"/>
      <c r="Q476" s="17"/>
      <c r="R476" s="18">
        <f>IF(SUMPRODUCT((E476:Q476)*1)=0,0,E476*INDEX(Hours!M:M,MATCH(C476,Hours!$A:$A,0))+F476*INDEX(Hours!B:B,MATCH(C476,Hours!$A:$A,0))+G476*INDEX(Hours!C:C,MATCH(C476,Hours!$A:$A,0))+H476*INDEX(Hours!D:D,MATCH(C476,Hours!$A:$A,0))+I476*INDEX(Hours!E:E,MATCH(C476,Hours!$A:$A,0))+J476*INDEX(Hours!F:F,MATCH(C476,Hours!$A:$A,0)))</f>
        <v>0</v>
      </c>
      <c r="S476" s="19">
        <f t="shared" si="15"/>
        <v>0</v>
      </c>
    </row>
    <row r="477" spans="1:19" x14ac:dyDescent="0.25">
      <c r="A477" s="11" t="str">
        <f>'Bldgs &amp; Rooms'!$A$14</f>
        <v>Main Bldg.</v>
      </c>
      <c r="B477" s="11">
        <f>'Bldgs &amp; Rooms'!$B$14</f>
        <v>0</v>
      </c>
      <c r="C477" s="10" t="str">
        <f>Hours!$A$33</f>
        <v>Motors 201-500 HP</v>
      </c>
      <c r="D477" s="11">
        <f t="shared" si="14"/>
        <v>0</v>
      </c>
      <c r="E477" s="16">
        <f>IF('Components Yr 1'!E477=0,0,'Components Yr 1'!E477)</f>
        <v>0</v>
      </c>
      <c r="F477" s="17">
        <f>IF('Components Yr 1'!F477=0,0,'Components Yr 1'!F477)</f>
        <v>0</v>
      </c>
      <c r="G477" s="17">
        <f>IF('Components Yr 1'!G477=0,0,'Components Yr 1'!G477)</f>
        <v>0</v>
      </c>
      <c r="H477" s="17">
        <f>IF('Components Yr 1'!H477=0,0,'Components Yr 1'!H477)</f>
        <v>0</v>
      </c>
      <c r="I477" s="17">
        <f>IF('Components Yr 1'!I477=0,0,'Components Yr 1'!I477)</f>
        <v>0</v>
      </c>
      <c r="J477" s="17">
        <f>IF('Components Yr 1'!J477=0,0,'Components Yr 1'!J477)</f>
        <v>0</v>
      </c>
      <c r="K477" s="12"/>
      <c r="L477" s="12"/>
      <c r="M477" s="12"/>
      <c r="N477" s="12"/>
      <c r="O477" s="12"/>
      <c r="P477" s="12"/>
      <c r="Q477" s="17"/>
      <c r="R477" s="18">
        <f>IF(SUMPRODUCT((E477:Q477)*1)=0,0,E477*INDEX(Hours!M:M,MATCH(C477,Hours!$A:$A,0))+F477*INDEX(Hours!B:B,MATCH(C477,Hours!$A:$A,0))+G477*INDEX(Hours!C:C,MATCH(C477,Hours!$A:$A,0))+H477*INDEX(Hours!D:D,MATCH(C477,Hours!$A:$A,0))+I477*INDEX(Hours!E:E,MATCH(C477,Hours!$A:$A,0))+J477*INDEX(Hours!F:F,MATCH(C477,Hours!$A:$A,0)))</f>
        <v>0</v>
      </c>
      <c r="S477" s="19">
        <f t="shared" si="15"/>
        <v>0</v>
      </c>
    </row>
    <row r="478" spans="1:19" x14ac:dyDescent="0.25">
      <c r="A478" s="11" t="str">
        <f>'Bldgs &amp; Rooms'!$A$14</f>
        <v>Main Bldg.</v>
      </c>
      <c r="B478" s="11">
        <f>'Bldgs &amp; Rooms'!$B$14</f>
        <v>0</v>
      </c>
      <c r="C478" s="10" t="str">
        <f>Hours!$A$34</f>
        <v>Compressed Air Equipment</v>
      </c>
      <c r="D478" s="11">
        <f t="shared" si="14"/>
        <v>0</v>
      </c>
      <c r="E478" s="16">
        <f>IF('Components Yr 1'!E478=0,0,'Components Yr 1'!E478)</f>
        <v>0</v>
      </c>
      <c r="F478" s="17">
        <f>IF('Components Yr 1'!F478=0,0,'Components Yr 1'!F478)</f>
        <v>0</v>
      </c>
      <c r="G478" s="17">
        <f>IF('Components Yr 1'!G478=0,0,'Components Yr 1'!G478)</f>
        <v>0</v>
      </c>
      <c r="H478" s="17">
        <f>IF('Components Yr 1'!H478=0,0,'Components Yr 1'!H478)</f>
        <v>0</v>
      </c>
      <c r="I478" s="17">
        <f>IF('Components Yr 1'!I478=0,0,'Components Yr 1'!I478)</f>
        <v>0</v>
      </c>
      <c r="J478" s="17">
        <f>IF('Components Yr 1'!J478=0,0,'Components Yr 1'!J478)</f>
        <v>0</v>
      </c>
      <c r="K478" s="12"/>
      <c r="L478" s="12"/>
      <c r="M478" s="12"/>
      <c r="N478" s="12"/>
      <c r="O478" s="12"/>
      <c r="P478" s="12"/>
      <c r="Q478" s="17"/>
      <c r="R478" s="18">
        <f>IF(SUMPRODUCT((E478:Q478)*1)=0,0,E478*INDEX(Hours!M:M,MATCH(C478,Hours!$A:$A,0))+F478*INDEX(Hours!B:B,MATCH(C478,Hours!$A:$A,0))+G478*INDEX(Hours!C:C,MATCH(C478,Hours!$A:$A,0))+H478*INDEX(Hours!D:D,MATCH(C478,Hours!$A:$A,0))+I478*INDEX(Hours!E:E,MATCH(C478,Hours!$A:$A,0))+J478*INDEX(Hours!F:F,MATCH(C478,Hours!$A:$A,0)))</f>
        <v>0</v>
      </c>
      <c r="S478" s="19">
        <f t="shared" si="15"/>
        <v>0</v>
      </c>
    </row>
    <row r="479" spans="1:19" x14ac:dyDescent="0.25">
      <c r="A479" s="11" t="str">
        <f>'Bldgs &amp; Rooms'!$A$14</f>
        <v>Main Bldg.</v>
      </c>
      <c r="B479" s="11">
        <f>'Bldgs &amp; Rooms'!$B$14</f>
        <v>0</v>
      </c>
      <c r="C479" s="10" t="str">
        <f>Hours!$A$35</f>
        <v>HVAC Equipment (Large)</v>
      </c>
      <c r="D479" s="11">
        <f t="shared" si="14"/>
        <v>0</v>
      </c>
      <c r="E479" s="16">
        <f>IF('Components Yr 1'!E479=0,0,'Components Yr 1'!E479)</f>
        <v>0</v>
      </c>
      <c r="F479" s="17">
        <f>IF('Components Yr 1'!F479=0,0,'Components Yr 1'!F479)</f>
        <v>0</v>
      </c>
      <c r="G479" s="17">
        <f>IF('Components Yr 1'!G479=0,0,'Components Yr 1'!G479)</f>
        <v>0</v>
      </c>
      <c r="H479" s="17">
        <f>IF('Components Yr 1'!H479=0,0,'Components Yr 1'!H479)</f>
        <v>0</v>
      </c>
      <c r="I479" s="17">
        <f>IF('Components Yr 1'!I479=0,0,'Components Yr 1'!I479)</f>
        <v>0</v>
      </c>
      <c r="J479" s="17">
        <f>IF('Components Yr 1'!J479=0,0,'Components Yr 1'!J479)</f>
        <v>0</v>
      </c>
      <c r="K479" s="12"/>
      <c r="L479" s="12"/>
      <c r="M479" s="12"/>
      <c r="N479" s="12"/>
      <c r="O479" s="12"/>
      <c r="P479" s="12"/>
      <c r="Q479" s="17"/>
      <c r="R479" s="18">
        <f>IF(SUMPRODUCT((E479:Q479)*1)=0,0,E479*INDEX(Hours!M:M,MATCH(C479,Hours!$A:$A,0))+F479*INDEX(Hours!B:B,MATCH(C479,Hours!$A:$A,0))+G479*INDEX(Hours!C:C,MATCH(C479,Hours!$A:$A,0))+H479*INDEX(Hours!D:D,MATCH(C479,Hours!$A:$A,0))+I479*INDEX(Hours!E:E,MATCH(C479,Hours!$A:$A,0))+J479*INDEX(Hours!F:F,MATCH(C479,Hours!$A:$A,0)))</f>
        <v>0</v>
      </c>
      <c r="S479" s="19">
        <f t="shared" si="15"/>
        <v>0</v>
      </c>
    </row>
    <row r="480" spans="1:19" x14ac:dyDescent="0.25">
      <c r="A480" s="11" t="str">
        <f>'Bldgs &amp; Rooms'!$A$14</f>
        <v>Main Bldg.</v>
      </c>
      <c r="B480" s="11">
        <f>'Bldgs &amp; Rooms'!$B$14</f>
        <v>0</v>
      </c>
      <c r="C480" s="10" t="str">
        <f>Hours!$A$36</f>
        <v>HVAC Equipment (Small)</v>
      </c>
      <c r="D480" s="11">
        <f t="shared" si="14"/>
        <v>0</v>
      </c>
      <c r="E480" s="16">
        <f>IF('Components Yr 1'!E480=0,0,'Components Yr 1'!E480)</f>
        <v>0</v>
      </c>
      <c r="F480" s="17">
        <f>IF('Components Yr 1'!F480=0,0,'Components Yr 1'!F480)</f>
        <v>0</v>
      </c>
      <c r="G480" s="17">
        <f>IF('Components Yr 1'!G480=0,0,'Components Yr 1'!G480)</f>
        <v>0</v>
      </c>
      <c r="H480" s="17">
        <f>IF('Components Yr 1'!H480=0,0,'Components Yr 1'!H480)</f>
        <v>0</v>
      </c>
      <c r="I480" s="17">
        <f>IF('Components Yr 1'!I480=0,0,'Components Yr 1'!I480)</f>
        <v>0</v>
      </c>
      <c r="J480" s="17">
        <f>IF('Components Yr 1'!J480=0,0,'Components Yr 1'!J480)</f>
        <v>0</v>
      </c>
      <c r="K480" s="12"/>
      <c r="L480" s="12"/>
      <c r="M480" s="12"/>
      <c r="N480" s="12"/>
      <c r="O480" s="12"/>
      <c r="P480" s="12"/>
      <c r="Q480" s="17"/>
      <c r="R480" s="18">
        <f>IF(SUMPRODUCT((E480:Q480)*1)=0,0,E480*INDEX(Hours!M:M,MATCH(C480,Hours!$A:$A,0))+F480*INDEX(Hours!B:B,MATCH(C480,Hours!$A:$A,0))+G480*INDEX(Hours!C:C,MATCH(C480,Hours!$A:$A,0))+H480*INDEX(Hours!D:D,MATCH(C480,Hours!$A:$A,0))+I480*INDEX(Hours!E:E,MATCH(C480,Hours!$A:$A,0))+J480*INDEX(Hours!F:F,MATCH(C480,Hours!$A:$A,0)))</f>
        <v>0</v>
      </c>
      <c r="S480" s="19">
        <f t="shared" si="15"/>
        <v>0</v>
      </c>
    </row>
    <row r="481" spans="1:19" x14ac:dyDescent="0.25">
      <c r="A481" s="11" t="str">
        <f>'Bldgs &amp; Rooms'!$A$14</f>
        <v>Main Bldg.</v>
      </c>
      <c r="B481" s="11">
        <f>'Bldgs &amp; Rooms'!$B$14</f>
        <v>0</v>
      </c>
      <c r="C481" s="10" t="str">
        <f>Hours!$A$37</f>
        <v>Uninterruptible Power Supply (UPS) &lt; 50kVA</v>
      </c>
      <c r="D481" s="11">
        <f t="shared" si="14"/>
        <v>0</v>
      </c>
      <c r="E481" s="16">
        <f>IF('Components Yr 1'!E481=0,0,'Components Yr 1'!E481)</f>
        <v>0</v>
      </c>
      <c r="F481" s="17">
        <f>IF('Components Yr 1'!F481=0,0,'Components Yr 1'!F481)</f>
        <v>0</v>
      </c>
      <c r="G481" s="17">
        <f>IF('Components Yr 1'!G481=0,0,'Components Yr 1'!G481)</f>
        <v>0</v>
      </c>
      <c r="H481" s="17">
        <f>IF('Components Yr 1'!H481=0,0,'Components Yr 1'!H481)</f>
        <v>0</v>
      </c>
      <c r="I481" s="17">
        <f>IF('Components Yr 1'!I481=0,0,'Components Yr 1'!I481)</f>
        <v>0</v>
      </c>
      <c r="J481" s="17">
        <f>IF('Components Yr 1'!J481=0,0,'Components Yr 1'!J481)</f>
        <v>0</v>
      </c>
      <c r="K481" s="12"/>
      <c r="L481" s="12"/>
      <c r="M481" s="12"/>
      <c r="N481" s="12"/>
      <c r="O481" s="12"/>
      <c r="P481" s="12"/>
      <c r="Q481" s="17"/>
      <c r="R481" s="18">
        <f>IF(SUMPRODUCT((E481:Q481)*1)=0,0,E481*INDEX(Hours!M:M,MATCH(C481,Hours!$A:$A,0))+F481*INDEX(Hours!B:B,MATCH(C481,Hours!$A:$A,0))+G481*INDEX(Hours!C:C,MATCH(C481,Hours!$A:$A,0))+H481*INDEX(Hours!D:D,MATCH(C481,Hours!$A:$A,0))+I481*INDEX(Hours!E:E,MATCH(C481,Hours!$A:$A,0))+J481*INDEX(Hours!F:F,MATCH(C481,Hours!$A:$A,0)))</f>
        <v>0</v>
      </c>
      <c r="S481" s="19">
        <f t="shared" si="15"/>
        <v>0</v>
      </c>
    </row>
    <row r="482" spans="1:19" x14ac:dyDescent="0.25">
      <c r="A482" s="11" t="str">
        <f>'Bldgs &amp; Rooms'!$A$14</f>
        <v>Main Bldg.</v>
      </c>
      <c r="B482" s="11">
        <f>'Bldgs &amp; Rooms'!$B$14</f>
        <v>0</v>
      </c>
      <c r="C482" s="10" t="str">
        <f>Hours!$A$38</f>
        <v>Uninterruptible Power Supply (UPS) &gt; 50kVA</v>
      </c>
      <c r="D482" s="11">
        <f t="shared" si="14"/>
        <v>0</v>
      </c>
      <c r="E482" s="16">
        <f>IF('Components Yr 1'!E482=0,0,'Components Yr 1'!E482)</f>
        <v>0</v>
      </c>
      <c r="F482" s="17">
        <f>IF('Components Yr 1'!F482=0,0,'Components Yr 1'!F482)</f>
        <v>0</v>
      </c>
      <c r="G482" s="17">
        <f>IF('Components Yr 1'!G482=0,0,'Components Yr 1'!G482)</f>
        <v>0</v>
      </c>
      <c r="H482" s="17">
        <f>IF('Components Yr 1'!H482=0,0,'Components Yr 1'!H482)</f>
        <v>0</v>
      </c>
      <c r="I482" s="17">
        <f>IF('Components Yr 1'!I482=0,0,'Components Yr 1'!I482)</f>
        <v>0</v>
      </c>
      <c r="J482" s="17">
        <f>IF('Components Yr 1'!J482=0,0,'Components Yr 1'!J482)</f>
        <v>0</v>
      </c>
      <c r="K482" s="12"/>
      <c r="L482" s="12"/>
      <c r="M482" s="12"/>
      <c r="N482" s="12"/>
      <c r="O482" s="12"/>
      <c r="P482" s="12"/>
      <c r="Q482" s="17"/>
      <c r="R482" s="18">
        <f>IF(SUMPRODUCT((E482:Q482)*1)=0,0,E482*INDEX(Hours!M:M,MATCH(C482,Hours!$A:$A,0))+F482*INDEX(Hours!B:B,MATCH(C482,Hours!$A:$A,0))+G482*INDEX(Hours!C:C,MATCH(C482,Hours!$A:$A,0))+H482*INDEX(Hours!D:D,MATCH(C482,Hours!$A:$A,0))+I482*INDEX(Hours!E:E,MATCH(C482,Hours!$A:$A,0))+J482*INDEX(Hours!F:F,MATCH(C482,Hours!$A:$A,0)))</f>
        <v>0</v>
      </c>
      <c r="S482" s="19">
        <f t="shared" si="15"/>
        <v>0</v>
      </c>
    </row>
    <row r="483" spans="1:19" x14ac:dyDescent="0.25">
      <c r="A483" s="15" t="str">
        <f>'Bldgs &amp; Rooms'!$A$15</f>
        <v>Main Bldg.</v>
      </c>
      <c r="B483" s="15">
        <f>'Bldgs &amp; Rooms'!$B$15</f>
        <v>0</v>
      </c>
      <c r="C483" s="14" t="str">
        <f>Hours!$A$2</f>
        <v>Switchgear - Incoming Main Service (Per Section)</v>
      </c>
      <c r="D483" s="15">
        <f t="shared" si="14"/>
        <v>0</v>
      </c>
      <c r="E483" s="16">
        <f>IF('Components Yr 1'!E483=0,0,'Components Yr 1'!E483)</f>
        <v>0</v>
      </c>
      <c r="F483" s="17">
        <f>IF('Components Yr 1'!F483=0,0,'Components Yr 1'!F483)</f>
        <v>0</v>
      </c>
      <c r="G483" s="17">
        <f>IF('Components Yr 1'!G483=0,0,'Components Yr 1'!G483)</f>
        <v>0</v>
      </c>
      <c r="H483" s="17">
        <f>IF('Components Yr 1'!H483=0,0,'Components Yr 1'!H483)</f>
        <v>0</v>
      </c>
      <c r="I483" s="17">
        <f>IF('Components Yr 1'!I483=0,0,'Components Yr 1'!I483)</f>
        <v>0</v>
      </c>
      <c r="J483" s="17">
        <f>IF('Components Yr 1'!J483=0,0,'Components Yr 1'!J483)</f>
        <v>0</v>
      </c>
      <c r="K483" s="17">
        <f>IF('Components Yr 1'!K483=0,0,'Components Yr 1'!K483)</f>
        <v>0</v>
      </c>
      <c r="L483" s="17">
        <f>IF('Components Yr 1'!L483=0,0,'Components Yr 1'!L483)</f>
        <v>0</v>
      </c>
      <c r="M483" s="12"/>
      <c r="N483" s="12"/>
      <c r="O483" s="17">
        <f>IF('Components Yr 1'!O483=0,0,'Components Yr 1'!O483)</f>
        <v>0</v>
      </c>
      <c r="P483" s="12"/>
      <c r="Q483" s="17"/>
      <c r="R483" s="18">
        <f>IF(SUMPRODUCT((E483:Q483)*1)=0,0,E483*INDEX(Hours!M:M,MATCH(C483,Hours!$A:$A,0))+F483*INDEX(Hours!B:B,MATCH(C483,Hours!$A:$A,0))+G483*INDEX(Hours!C:C,MATCH(C483,Hours!$A:$A,0))+H483*INDEX(Hours!D:D,MATCH(C483,Hours!$A:$A,0))+I483*INDEX(Hours!E:E,MATCH(C483,Hours!$A:$A,0))+J483*INDEX(Hours!F:F,MATCH(C483,Hours!$A:$A,0))+K483*INDEX(Hours!G:G,MATCH(C483,Hours!$A:$A,0))+L483*INDEX(Hours!H:H,MATCH(C483,Hours!$A:$A,0))+O483*INDEX(Hours!K:K,MATCH(C483,Hours!$A:$A,0)))</f>
        <v>0</v>
      </c>
      <c r="S483" s="19">
        <f t="shared" si="15"/>
        <v>0</v>
      </c>
    </row>
    <row r="484" spans="1:19" x14ac:dyDescent="0.25">
      <c r="A484" s="15" t="str">
        <f>'Bldgs &amp; Rooms'!$A$15</f>
        <v>Main Bldg.</v>
      </c>
      <c r="B484" s="15">
        <f>'Bldgs &amp; Rooms'!$B$15</f>
        <v>0</v>
      </c>
      <c r="C484" s="14" t="str">
        <f>Hours!$A$3</f>
        <v xml:space="preserve">  Switchgear Insulated Case Breakers (Bus Mounted)</v>
      </c>
      <c r="D484" s="15">
        <f t="shared" si="14"/>
        <v>0</v>
      </c>
      <c r="E484" s="16">
        <f>IF('Components Yr 1'!E484=0,0,'Components Yr 1'!E484)</f>
        <v>0</v>
      </c>
      <c r="F484" s="17">
        <f>IF('Components Yr 1'!F484=0,0,'Components Yr 1'!F484)</f>
        <v>0</v>
      </c>
      <c r="G484" s="17">
        <f>IF('Components Yr 1'!G484=0,0,'Components Yr 1'!G484)</f>
        <v>0</v>
      </c>
      <c r="H484" s="17">
        <f>IF('Components Yr 1'!H484=0,0,'Components Yr 1'!H484)</f>
        <v>0</v>
      </c>
      <c r="I484" s="17">
        <f>IF('Components Yr 1'!I484=0,0,'Components Yr 1'!I484)</f>
        <v>0</v>
      </c>
      <c r="J484" s="17">
        <f>IF('Components Yr 1'!J484=0,0,'Components Yr 1'!J484)</f>
        <v>0</v>
      </c>
      <c r="K484" s="17">
        <f>IF('Components Yr 1'!K484=0,0,'Components Yr 1'!K484)</f>
        <v>0</v>
      </c>
      <c r="L484" s="12"/>
      <c r="M484" s="12"/>
      <c r="N484" s="12"/>
      <c r="O484" s="12"/>
      <c r="P484" s="12"/>
      <c r="Q484" s="17"/>
      <c r="R484" s="18">
        <f>IF(SUMPRODUCT((E484:Q484)*1)=0,0,E484*INDEX(Hours!M:M,MATCH(C484,Hours!$A:$A,0))+F484*INDEX(Hours!B:B,MATCH(C484,Hours!$A:$A,0))+G484*INDEX(Hours!C:C,MATCH(C484,Hours!$A:$A,0))+H484*INDEX(Hours!D:D,MATCH(C484,Hours!$A:$A,0))+I484*INDEX(Hours!E:E,MATCH(C484,Hours!$A:$A,0))+J484*INDEX(Hours!F:F,MATCH(C484,Hours!$A:$A,0))+K484*INDEX(Hours!G:G,MATCH(C484,Hours!$A:$A,0)))</f>
        <v>0</v>
      </c>
      <c r="S484" s="19">
        <f t="shared" si="15"/>
        <v>0</v>
      </c>
    </row>
    <row r="485" spans="1:19" x14ac:dyDescent="0.25">
      <c r="A485" s="15" t="str">
        <f>'Bldgs &amp; Rooms'!$A$15</f>
        <v>Main Bldg.</v>
      </c>
      <c r="B485" s="15">
        <f>'Bldgs &amp; Rooms'!$B$15</f>
        <v>0</v>
      </c>
      <c r="C485" s="14" t="str">
        <f>Hours!$A$4</f>
        <v xml:space="preserve">  SwitchGear Drawout Breakers</v>
      </c>
      <c r="D485" s="15">
        <f t="shared" si="14"/>
        <v>0</v>
      </c>
      <c r="E485" s="16">
        <f>IF('Components Yr 1'!E485=0,0,'Components Yr 1'!E485)</f>
        <v>0</v>
      </c>
      <c r="F485" s="17">
        <f>IF('Components Yr 1'!F485=0,0,'Components Yr 1'!F485)</f>
        <v>0</v>
      </c>
      <c r="G485" s="17">
        <f>IF('Components Yr 1'!G485=0,0,'Components Yr 1'!G485)</f>
        <v>0</v>
      </c>
      <c r="H485" s="17">
        <f>IF('Components Yr 1'!H485=0,0,'Components Yr 1'!H485)</f>
        <v>0</v>
      </c>
      <c r="I485" s="17">
        <f>IF('Components Yr 1'!I485=0,0,'Components Yr 1'!I485)</f>
        <v>0</v>
      </c>
      <c r="J485" s="17">
        <f>IF('Components Yr 1'!J485=0,0,'Components Yr 1'!J485)</f>
        <v>0</v>
      </c>
      <c r="K485" s="12"/>
      <c r="L485" s="17">
        <f>IF('Components Yr 1'!L485=0,0,'Components Yr 1'!L485)</f>
        <v>0</v>
      </c>
      <c r="M485" s="12"/>
      <c r="N485" s="12"/>
      <c r="O485" s="12"/>
      <c r="P485" s="12"/>
      <c r="Q485" s="17"/>
      <c r="R485" s="18">
        <f>IF(SUMPRODUCT((E485:Q485)*1)=0,0,E485*INDEX(Hours!M:M,MATCH(C485,Hours!$A:$A,0))+F485*INDEX(Hours!B:B,MATCH(C485,Hours!$A:$A,0))+G485*INDEX(Hours!C:C,MATCH(C485,Hours!$A:$A,0))+H485*INDEX(Hours!D:D,MATCH(C485,Hours!$A:$A,0))+I485*INDEX(Hours!E:E,MATCH(C485,Hours!$A:$A,0))+J485*INDEX(Hours!F:F,MATCH(C485,Hours!$A:$A,0))+L485*INDEX(Hours!H:H,MATCH(C485,Hours!$A:$A,0)))</f>
        <v>0</v>
      </c>
      <c r="S485" s="19">
        <f t="shared" si="15"/>
        <v>0</v>
      </c>
    </row>
    <row r="486" spans="1:19" x14ac:dyDescent="0.25">
      <c r="A486" s="15" t="str">
        <f>'Bldgs &amp; Rooms'!$A$15</f>
        <v>Main Bldg.</v>
      </c>
      <c r="B486" s="15">
        <f>'Bldgs &amp; Rooms'!$B$15</f>
        <v>0</v>
      </c>
      <c r="C486" s="14" t="str">
        <f>Hours!$A$5</f>
        <v>Distribution Switchboard Multi Cover (Per Section)</v>
      </c>
      <c r="D486" s="15">
        <f t="shared" si="14"/>
        <v>0</v>
      </c>
      <c r="E486" s="16">
        <f>IF('Components Yr 1'!E486=0,0,'Components Yr 1'!E486)</f>
        <v>0</v>
      </c>
      <c r="F486" s="17">
        <f>IF('Components Yr 1'!F486=0,0,'Components Yr 1'!F486)</f>
        <v>0</v>
      </c>
      <c r="G486" s="17">
        <f>IF('Components Yr 1'!G486=0,0,'Components Yr 1'!G486)</f>
        <v>0</v>
      </c>
      <c r="H486" s="17">
        <f>IF('Components Yr 1'!H486=0,0,'Components Yr 1'!H486)</f>
        <v>0</v>
      </c>
      <c r="I486" s="17">
        <f>IF('Components Yr 1'!I486=0,0,'Components Yr 1'!I486)</f>
        <v>0</v>
      </c>
      <c r="J486" s="17">
        <f>IF('Components Yr 1'!J486=0,0,'Components Yr 1'!J486)</f>
        <v>0</v>
      </c>
      <c r="K486" s="17">
        <f>IF('Components Yr 1'!K486=0,0,'Components Yr 1'!K486)</f>
        <v>0</v>
      </c>
      <c r="L486" s="12"/>
      <c r="M486" s="12"/>
      <c r="N486" s="12"/>
      <c r="O486" s="17">
        <f>IF('Components Yr 1'!O486=0,0,'Components Yr 1'!O486)</f>
        <v>0</v>
      </c>
      <c r="P486" s="12"/>
      <c r="Q486" s="17"/>
      <c r="R486" s="18">
        <f>IF(SUMPRODUCT((E486:Q486)*1)=0,0,E486*INDEX(Hours!M:M,MATCH(C486,Hours!$A:$A,0))+F486*INDEX(Hours!B:B,MATCH(C486,Hours!$A:$A,0))+G486*INDEX(Hours!C:C,MATCH(C486,Hours!$A:$A,0))+H486*INDEX(Hours!D:D,MATCH(C486,Hours!$A:$A,0))+I486*INDEX(Hours!E:E,MATCH(C486,Hours!$A:$A,0))+J486*INDEX(Hours!F:F,MATCH(C486,Hours!$A:$A,0))+K486*INDEX(Hours!G:G,MATCH(C486,Hours!$A:$A,0))+O486*INDEX(Hours!K:K,MATCH(C486,Hours!$A:$A,0)))</f>
        <v>0</v>
      </c>
      <c r="S486" s="19">
        <f t="shared" si="15"/>
        <v>0</v>
      </c>
    </row>
    <row r="487" spans="1:19" x14ac:dyDescent="0.25">
      <c r="A487" s="15" t="str">
        <f>'Bldgs &amp; Rooms'!$A$15</f>
        <v>Main Bldg.</v>
      </c>
      <c r="B487" s="15">
        <f>'Bldgs &amp; Rooms'!$B$15</f>
        <v>0</v>
      </c>
      <c r="C487" s="14" t="str">
        <f>Hours!$A$6</f>
        <v xml:space="preserve">  Switchboard Disconnects</v>
      </c>
      <c r="D487" s="15">
        <f t="shared" si="14"/>
        <v>0</v>
      </c>
      <c r="E487" s="16">
        <f>IF('Components Yr 1'!E487=0,0,'Components Yr 1'!E487)</f>
        <v>0</v>
      </c>
      <c r="F487" s="17">
        <f>IF('Components Yr 1'!F487=0,0,'Components Yr 1'!F487)</f>
        <v>0</v>
      </c>
      <c r="G487" s="17">
        <f>IF('Components Yr 1'!G487=0,0,'Components Yr 1'!G487)</f>
        <v>0</v>
      </c>
      <c r="H487" s="17">
        <f>IF('Components Yr 1'!H487=0,0,'Components Yr 1'!H487)</f>
        <v>0</v>
      </c>
      <c r="I487" s="17">
        <f>IF('Components Yr 1'!I487=0,0,'Components Yr 1'!I487)</f>
        <v>0</v>
      </c>
      <c r="J487" s="17">
        <f>IF('Components Yr 1'!J487=0,0,'Components Yr 1'!J487)</f>
        <v>0</v>
      </c>
      <c r="K487" s="12"/>
      <c r="L487" s="12"/>
      <c r="M487" s="12"/>
      <c r="N487" s="12"/>
      <c r="O487" s="12"/>
      <c r="P487" s="12"/>
      <c r="Q487" s="17"/>
      <c r="R487" s="18">
        <f>IF(SUMPRODUCT((E487:Q487)*1)=0,0,E487*INDEX(Hours!M:M,MATCH(C487,Hours!$A:$A,0))+F487*INDEX(Hours!B:B,MATCH(C487,Hours!$A:$A,0))+G487*INDEX(Hours!C:C,MATCH(C487,Hours!$A:$A,0))+H487*INDEX(Hours!D:D,MATCH(C487,Hours!$A:$A,0))+I487*INDEX(Hours!E:E,MATCH(C487,Hours!$A:$A,0))+J487*INDEX(Hours!F:F,MATCH(C487,Hours!$A:$A,0)))</f>
        <v>0</v>
      </c>
      <c r="S487" s="19">
        <f t="shared" si="15"/>
        <v>0</v>
      </c>
    </row>
    <row r="488" spans="1:19" x14ac:dyDescent="0.25">
      <c r="A488" s="15" t="str">
        <f>'Bldgs &amp; Rooms'!$A$15</f>
        <v>Main Bldg.</v>
      </c>
      <c r="B488" s="15">
        <f>'Bldgs &amp; Rooms'!$B$15</f>
        <v>0</v>
      </c>
      <c r="C488" s="14" t="str">
        <f>Hours!$A$7</f>
        <v xml:space="preserve">  Switchboard Molded Case Breakers</v>
      </c>
      <c r="D488" s="15">
        <f t="shared" si="14"/>
        <v>0</v>
      </c>
      <c r="E488" s="16">
        <f>IF('Components Yr 1'!E488=0,0,'Components Yr 1'!E488)</f>
        <v>0</v>
      </c>
      <c r="F488" s="17">
        <f>IF('Components Yr 1'!F488=0,0,'Components Yr 1'!F488)</f>
        <v>0</v>
      </c>
      <c r="G488" s="17">
        <f>IF('Components Yr 1'!G488=0,0,'Components Yr 1'!G488)</f>
        <v>0</v>
      </c>
      <c r="H488" s="17">
        <f>IF('Components Yr 1'!H488=0,0,'Components Yr 1'!H488)</f>
        <v>0</v>
      </c>
      <c r="I488" s="17">
        <f>IF('Components Yr 1'!I488=0,0,'Components Yr 1'!I488)</f>
        <v>0</v>
      </c>
      <c r="J488" s="17">
        <f>IF('Components Yr 1'!J488=0,0,'Components Yr 1'!J488)</f>
        <v>0</v>
      </c>
      <c r="K488" s="17">
        <f>IF('Components Yr 1'!K488=0,0,'Components Yr 1'!K488)</f>
        <v>0</v>
      </c>
      <c r="L488" s="12"/>
      <c r="M488" s="12"/>
      <c r="N488" s="12"/>
      <c r="O488" s="12"/>
      <c r="P488" s="12"/>
      <c r="Q488" s="17"/>
      <c r="R488" s="18">
        <f>IF(SUMPRODUCT((E488:Q488)*1)=0,0,E488*INDEX(Hours!M:M,MATCH(C488,Hours!$A:$A,0))+F488*INDEX(Hours!B:B,MATCH(C488,Hours!$A:$A,0))+G488*INDEX(Hours!C:C,MATCH(C488,Hours!$A:$A,0))+H488*INDEX(Hours!D:D,MATCH(C488,Hours!$A:$A,0))+I488*INDEX(Hours!E:E,MATCH(C488,Hours!$A:$A,0))+J488*INDEX(Hours!F:F,MATCH(C488,Hours!$A:$A,0))+K488*INDEX(Hours!G:G,MATCH(C488,Hours!$A:$A,0)))</f>
        <v>0</v>
      </c>
      <c r="S488" s="19">
        <f t="shared" si="15"/>
        <v>0</v>
      </c>
    </row>
    <row r="489" spans="1:19" x14ac:dyDescent="0.25">
      <c r="A489" s="15" t="str">
        <f>'Bldgs &amp; Rooms'!$A$15</f>
        <v>Main Bldg.</v>
      </c>
      <c r="B489" s="15">
        <f>'Bldgs &amp; Rooms'!$B$15</f>
        <v>0</v>
      </c>
      <c r="C489" s="14" t="str">
        <f>Hours!$A$8</f>
        <v>Panelboard-Single Cover &gt; 400A (Distribution Panel)</v>
      </c>
      <c r="D489" s="15">
        <f t="shared" si="14"/>
        <v>0</v>
      </c>
      <c r="E489" s="16">
        <f>IF('Components Yr 1'!E489=0,0,'Components Yr 1'!E489)</f>
        <v>0</v>
      </c>
      <c r="F489" s="17">
        <f>IF('Components Yr 1'!F489=0,0,'Components Yr 1'!F489)</f>
        <v>0</v>
      </c>
      <c r="G489" s="17">
        <f>IF('Components Yr 1'!G489=0,0,'Components Yr 1'!G489)</f>
        <v>0</v>
      </c>
      <c r="H489" s="17">
        <f>IF('Components Yr 1'!H489=0,0,'Components Yr 1'!H489)</f>
        <v>0</v>
      </c>
      <c r="I489" s="17">
        <f>IF('Components Yr 1'!I489=0,0,'Components Yr 1'!I489)</f>
        <v>0</v>
      </c>
      <c r="J489" s="17">
        <f>IF('Components Yr 1'!J489=0,0,'Components Yr 1'!J489)</f>
        <v>0</v>
      </c>
      <c r="K489" s="17">
        <f>IF('Components Yr 1'!K489=0,0,'Components Yr 1'!K489)</f>
        <v>0</v>
      </c>
      <c r="L489" s="12"/>
      <c r="M489" s="12"/>
      <c r="N489" s="12"/>
      <c r="O489" s="17">
        <f>IF('Components Yr 1'!O489=0,0,'Components Yr 1'!O489)</f>
        <v>0</v>
      </c>
      <c r="P489" s="12"/>
      <c r="Q489" s="17"/>
      <c r="R489" s="18">
        <f>IF(SUMPRODUCT((E489:Q489)*1)=0,0,E489*INDEX(Hours!M:M,MATCH(C489,Hours!$A:$A,0))+F489*INDEX(Hours!B:B,MATCH(C489,Hours!$A:$A,0))+G489*INDEX(Hours!C:C,MATCH(C489,Hours!$A:$A,0))+H489*INDEX(Hours!D:D,MATCH(C489,Hours!$A:$A,0))+I489*INDEX(Hours!E:E,MATCH(C489,Hours!$A:$A,0))+J489*INDEX(Hours!F:F,MATCH(C489,Hours!$A:$A,0))+K489*INDEX(Hours!G:G,MATCH(C489,Hours!$A:$A,0))+O489*INDEX(Hours!K:K,MATCH(C489,Hours!$A:$A,0)))</f>
        <v>0</v>
      </c>
      <c r="S489" s="19">
        <f t="shared" si="15"/>
        <v>0</v>
      </c>
    </row>
    <row r="490" spans="1:19" x14ac:dyDescent="0.25">
      <c r="A490" s="15" t="str">
        <f>'Bldgs &amp; Rooms'!$A$15</f>
        <v>Main Bldg.</v>
      </c>
      <c r="B490" s="15">
        <f>'Bldgs &amp; Rooms'!$B$15</f>
        <v>0</v>
      </c>
      <c r="C490" s="14" t="str">
        <f>Hours!$A$9</f>
        <v>Panelboard-Single Cover &lt; 400A (Branch Ckt Panel)</v>
      </c>
      <c r="D490" s="15">
        <f t="shared" si="14"/>
        <v>0</v>
      </c>
      <c r="E490" s="16">
        <f>IF('Components Yr 1'!E490=0,0,'Components Yr 1'!E490)</f>
        <v>0</v>
      </c>
      <c r="F490" s="17">
        <f>IF('Components Yr 1'!F490=0,0,'Components Yr 1'!F490)</f>
        <v>0</v>
      </c>
      <c r="G490" s="17">
        <f>IF('Components Yr 1'!G490=0,0,'Components Yr 1'!G490)</f>
        <v>0</v>
      </c>
      <c r="H490" s="17">
        <f>IF('Components Yr 1'!H490=0,0,'Components Yr 1'!H490)</f>
        <v>0</v>
      </c>
      <c r="I490" s="17">
        <f>IF('Components Yr 1'!I490=0,0,'Components Yr 1'!I490)</f>
        <v>0</v>
      </c>
      <c r="J490" s="17">
        <f>IF('Components Yr 1'!J490=0,0,'Components Yr 1'!J490)</f>
        <v>0</v>
      </c>
      <c r="K490" s="12"/>
      <c r="L490" s="12"/>
      <c r="M490" s="12"/>
      <c r="N490" s="12"/>
      <c r="O490" s="17">
        <f>IF('Components Yr 1'!O490=0,0,'Components Yr 1'!O490)</f>
        <v>0</v>
      </c>
      <c r="P490" s="12"/>
      <c r="Q490" s="17"/>
      <c r="R490" s="18">
        <f>IF(SUMPRODUCT((E490:Q490)*1)=0,0,E490*INDEX(Hours!M:M,MATCH(C490,Hours!$A:$A,0))+F490*INDEX(Hours!B:B,MATCH(C490,Hours!$A:$A,0))+G490*INDEX(Hours!C:C,MATCH(C490,Hours!$A:$A,0))+H490*INDEX(Hours!D:D,MATCH(C490,Hours!$A:$A,0))+I490*INDEX(Hours!E:E,MATCH(C490,Hours!$A:$A,0))+J490*INDEX(Hours!F:F,MATCH(C490,Hours!$A:$A,0))+O490*INDEX(Hours!K:K,MATCH(C490,Hours!$A:$A,0)))</f>
        <v>0</v>
      </c>
      <c r="S490" s="19">
        <f t="shared" si="15"/>
        <v>0</v>
      </c>
    </row>
    <row r="491" spans="1:19" x14ac:dyDescent="0.25">
      <c r="A491" s="15" t="str">
        <f>'Bldgs &amp; Rooms'!$A$15</f>
        <v>Main Bldg.</v>
      </c>
      <c r="B491" s="15">
        <f>'Bldgs &amp; Rooms'!$B$15</f>
        <v>0</v>
      </c>
      <c r="C491" s="14" t="str">
        <f>Hours!$A$10</f>
        <v>Motor Control Center (MCC-Per Vertical Section)</v>
      </c>
      <c r="D491" s="15">
        <f t="shared" si="14"/>
        <v>0</v>
      </c>
      <c r="E491" s="16">
        <f>IF('Components Yr 1'!E491=0,0,'Components Yr 1'!E491)</f>
        <v>0</v>
      </c>
      <c r="F491" s="17">
        <f>IF('Components Yr 1'!F491=0,0,'Components Yr 1'!F491)</f>
        <v>0</v>
      </c>
      <c r="G491" s="17">
        <f>IF('Components Yr 1'!G491=0,0,'Components Yr 1'!G491)</f>
        <v>0</v>
      </c>
      <c r="H491" s="17">
        <f>IF('Components Yr 1'!H491=0,0,'Components Yr 1'!H491)</f>
        <v>0</v>
      </c>
      <c r="I491" s="17">
        <f>IF('Components Yr 1'!I491=0,0,'Components Yr 1'!I491)</f>
        <v>0</v>
      </c>
      <c r="J491" s="17">
        <f>IF('Components Yr 1'!J491=0,0,'Components Yr 1'!J491)</f>
        <v>0</v>
      </c>
      <c r="K491" s="12"/>
      <c r="L491" s="12"/>
      <c r="M491" s="12"/>
      <c r="N491" s="12"/>
      <c r="O491" s="17">
        <f>IF('Components Yr 1'!O491=0,0,'Components Yr 1'!O491)</f>
        <v>0</v>
      </c>
      <c r="P491" s="12"/>
      <c r="Q491" s="17"/>
      <c r="R491" s="18">
        <f>IF(SUMPRODUCT((E491:Q491)*1)=0,0,E491*INDEX(Hours!M:M,MATCH(C491,Hours!$A:$A,0))+F491*INDEX(Hours!B:B,MATCH(C491,Hours!$A:$A,0))+G491*INDEX(Hours!C:C,MATCH(C491,Hours!$A:$A,0))+H491*INDEX(Hours!D:D,MATCH(C491,Hours!$A:$A,0))+I491*INDEX(Hours!E:E,MATCH(C491,Hours!$A:$A,0))+J491*INDEX(Hours!F:F,MATCH(C491,Hours!$A:$A,0))+O491*INDEX(Hours!K:K,MATCH(C491,Hours!$A:$A,0)))</f>
        <v>0</v>
      </c>
      <c r="S491" s="19">
        <f t="shared" si="15"/>
        <v>0</v>
      </c>
    </row>
    <row r="492" spans="1:19" x14ac:dyDescent="0.25">
      <c r="A492" s="15" t="str">
        <f>'Bldgs &amp; Rooms'!$A$15</f>
        <v>Main Bldg.</v>
      </c>
      <c r="B492" s="15">
        <f>'Bldgs &amp; Rooms'!$B$15</f>
        <v>0</v>
      </c>
      <c r="C492" s="14" t="str">
        <f>Hours!$A$11</f>
        <v xml:space="preserve">  MCC: Combination Motor Starters</v>
      </c>
      <c r="D492" s="15">
        <f t="shared" si="14"/>
        <v>0</v>
      </c>
      <c r="E492" s="16">
        <f>IF('Components Yr 1'!E492=0,0,'Components Yr 1'!E492)</f>
        <v>0</v>
      </c>
      <c r="F492" s="17">
        <f>IF('Components Yr 1'!F492=0,0,'Components Yr 1'!F492)</f>
        <v>0</v>
      </c>
      <c r="G492" s="17">
        <f>IF('Components Yr 1'!G492=0,0,'Components Yr 1'!G492)</f>
        <v>0</v>
      </c>
      <c r="H492" s="17">
        <f>IF('Components Yr 1'!H492=0,0,'Components Yr 1'!H492)</f>
        <v>0</v>
      </c>
      <c r="I492" s="17">
        <f>IF('Components Yr 1'!I492=0,0,'Components Yr 1'!I492)</f>
        <v>0</v>
      </c>
      <c r="J492" s="17">
        <f>IF('Components Yr 1'!J492=0,0,'Components Yr 1'!J492)</f>
        <v>0</v>
      </c>
      <c r="K492" s="17">
        <f>IF('Components Yr 1'!K492=0,0,'Components Yr 1'!K492)</f>
        <v>0</v>
      </c>
      <c r="L492" s="12"/>
      <c r="M492" s="12"/>
      <c r="N492" s="12"/>
      <c r="O492" s="17">
        <f>IF('Components Yr 1'!O492=0,0,'Components Yr 1'!O492)</f>
        <v>0</v>
      </c>
      <c r="P492" s="12"/>
      <c r="Q492" s="17"/>
      <c r="R492" s="18">
        <f>IF(SUMPRODUCT((E492:Q492)*1)=0,0,E492*INDEX(Hours!M:M,MATCH(C492,Hours!$A:$A,0))+F492*INDEX(Hours!B:B,MATCH(C492,Hours!$A:$A,0))+G492*INDEX(Hours!C:C,MATCH(C492,Hours!$A:$A,0))+H492*INDEX(Hours!D:D,MATCH(C492,Hours!$A:$A,0))+I492*INDEX(Hours!E:E,MATCH(C492,Hours!$A:$A,0))+J492*INDEX(Hours!F:F,MATCH(C492,Hours!$A:$A,0))+K492*INDEX(Hours!G:G,MATCH(C492,Hours!$A:$A,0))+O492*INDEX(Hours!K:K,MATCH(C492,Hours!$A:$A,0)))</f>
        <v>0</v>
      </c>
      <c r="S492" s="19">
        <f t="shared" si="15"/>
        <v>0</v>
      </c>
    </row>
    <row r="493" spans="1:19" x14ac:dyDescent="0.25">
      <c r="A493" s="15" t="str">
        <f>'Bldgs &amp; Rooms'!$A$15</f>
        <v>Main Bldg.</v>
      </c>
      <c r="B493" s="15">
        <f>'Bldgs &amp; Rooms'!$B$15</f>
        <v>0</v>
      </c>
      <c r="C493" s="14" t="str">
        <f>Hours!$A$12</f>
        <v xml:space="preserve">  MCC: Molded Case Breaker</v>
      </c>
      <c r="D493" s="15">
        <f t="shared" si="14"/>
        <v>0</v>
      </c>
      <c r="E493" s="16">
        <f>IF('Components Yr 1'!E493=0,0,'Components Yr 1'!E493)</f>
        <v>0</v>
      </c>
      <c r="F493" s="17">
        <f>IF('Components Yr 1'!F493=0,0,'Components Yr 1'!F493)</f>
        <v>0</v>
      </c>
      <c r="G493" s="17">
        <f>IF('Components Yr 1'!G493=0,0,'Components Yr 1'!G493)</f>
        <v>0</v>
      </c>
      <c r="H493" s="17">
        <f>IF('Components Yr 1'!H493=0,0,'Components Yr 1'!H493)</f>
        <v>0</v>
      </c>
      <c r="I493" s="17">
        <f>IF('Components Yr 1'!I493=0,0,'Components Yr 1'!I493)</f>
        <v>0</v>
      </c>
      <c r="J493" s="17">
        <f>IF('Components Yr 1'!J493=0,0,'Components Yr 1'!J493)</f>
        <v>0</v>
      </c>
      <c r="K493" s="17">
        <f>IF('Components Yr 1'!K493=0,0,'Components Yr 1'!K493)</f>
        <v>0</v>
      </c>
      <c r="L493" s="12"/>
      <c r="M493" s="12"/>
      <c r="N493" s="12"/>
      <c r="O493" s="12"/>
      <c r="P493" s="12"/>
      <c r="Q493" s="17"/>
      <c r="R493" s="18">
        <f>IF(SUMPRODUCT((E493:Q493)*1)=0,0,E493*INDEX(Hours!M:M,MATCH(C493,Hours!$A:$A,0))+F493*INDEX(Hours!B:B,MATCH(C493,Hours!$A:$A,0))+G493*INDEX(Hours!C:C,MATCH(C493,Hours!$A:$A,0))+H493*INDEX(Hours!D:D,MATCH(C493,Hours!$A:$A,0))+I493*INDEX(Hours!E:E,MATCH(C493,Hours!$A:$A,0))+J493*INDEX(Hours!F:F,MATCH(C493,Hours!$A:$A,0))+K493*INDEX(Hours!G:G,MATCH(C493,Hours!$A:$A,0)))</f>
        <v>0</v>
      </c>
      <c r="S493" s="19">
        <f t="shared" si="15"/>
        <v>0</v>
      </c>
    </row>
    <row r="494" spans="1:19" x14ac:dyDescent="0.25">
      <c r="A494" s="15" t="str">
        <f>'Bldgs &amp; Rooms'!$A$15</f>
        <v>Main Bldg.</v>
      </c>
      <c r="B494" s="15">
        <f>'Bldgs &amp; Rooms'!$B$15</f>
        <v>0</v>
      </c>
      <c r="C494" s="14" t="str">
        <f>Hours!$A$13</f>
        <v xml:space="preserve">  MCC: Individual Disconnect Switch</v>
      </c>
      <c r="D494" s="15">
        <f t="shared" si="14"/>
        <v>0</v>
      </c>
      <c r="E494" s="16">
        <f>IF('Components Yr 1'!E494=0,0,'Components Yr 1'!E494)</f>
        <v>0</v>
      </c>
      <c r="F494" s="17">
        <f>IF('Components Yr 1'!F494=0,0,'Components Yr 1'!F494)</f>
        <v>0</v>
      </c>
      <c r="G494" s="17">
        <f>IF('Components Yr 1'!G494=0,0,'Components Yr 1'!G494)</f>
        <v>0</v>
      </c>
      <c r="H494" s="17">
        <f>IF('Components Yr 1'!H494=0,0,'Components Yr 1'!H494)</f>
        <v>0</v>
      </c>
      <c r="I494" s="17">
        <f>IF('Components Yr 1'!I494=0,0,'Components Yr 1'!I494)</f>
        <v>0</v>
      </c>
      <c r="J494" s="17">
        <f>IF('Components Yr 1'!J494=0,0,'Components Yr 1'!J494)</f>
        <v>0</v>
      </c>
      <c r="K494" s="12"/>
      <c r="L494" s="12"/>
      <c r="M494" s="12"/>
      <c r="N494" s="12"/>
      <c r="O494" s="12"/>
      <c r="P494" s="12"/>
      <c r="Q494" s="17"/>
      <c r="R494" s="18">
        <f>IF(SUMPRODUCT((E494:Q494)*1)=0,0,E494*INDEX(Hours!M:M,MATCH(C494,Hours!$A:$A,0))+F494*INDEX(Hours!B:B,MATCH(C494,Hours!$A:$A,0))+G494*INDEX(Hours!C:C,MATCH(C494,Hours!$A:$A,0))+H494*INDEX(Hours!D:D,MATCH(C494,Hours!$A:$A,0))+I494*INDEX(Hours!E:E,MATCH(C494,Hours!$A:$A,0))+J494*INDEX(Hours!F:F,MATCH(C494,Hours!$A:$A,0)))</f>
        <v>0</v>
      </c>
      <c r="S494" s="19">
        <f t="shared" si="15"/>
        <v>0</v>
      </c>
    </row>
    <row r="495" spans="1:19" x14ac:dyDescent="0.25">
      <c r="A495" s="15" t="str">
        <f>'Bldgs &amp; Rooms'!$A$15</f>
        <v>Main Bldg.</v>
      </c>
      <c r="B495" s="15">
        <f>'Bldgs &amp; Rooms'!$B$15</f>
        <v>0</v>
      </c>
      <c r="C495" s="14" t="str">
        <f>Hours!$A$14</f>
        <v>Motor Control Panel (MCP)</v>
      </c>
      <c r="D495" s="15">
        <f t="shared" si="14"/>
        <v>0</v>
      </c>
      <c r="E495" s="16">
        <f>IF('Components Yr 1'!E495=0,0,'Components Yr 1'!E495)</f>
        <v>0</v>
      </c>
      <c r="F495" s="17">
        <f>IF('Components Yr 1'!F495=0,0,'Components Yr 1'!F495)</f>
        <v>0</v>
      </c>
      <c r="G495" s="17">
        <f>IF('Components Yr 1'!G495=0,0,'Components Yr 1'!G495)</f>
        <v>0</v>
      </c>
      <c r="H495" s="17">
        <f>IF('Components Yr 1'!H495=0,0,'Components Yr 1'!H495)</f>
        <v>0</v>
      </c>
      <c r="I495" s="17">
        <f>IF('Components Yr 1'!I495=0,0,'Components Yr 1'!I495)</f>
        <v>0</v>
      </c>
      <c r="J495" s="17">
        <f>IF('Components Yr 1'!J495=0,0,'Components Yr 1'!J495)</f>
        <v>0</v>
      </c>
      <c r="K495" s="12"/>
      <c r="L495" s="12"/>
      <c r="M495" s="12"/>
      <c r="N495" s="12"/>
      <c r="O495" s="17">
        <f>IF('Components Yr 1'!O495=0,0,'Components Yr 1'!O495)</f>
        <v>0</v>
      </c>
      <c r="P495" s="12"/>
      <c r="Q495" s="17"/>
      <c r="R495" s="18">
        <f>IF(SUMPRODUCT((E495:Q495)*1)=0,0,E495*INDEX(Hours!M:M,MATCH(C495,Hours!$A:$A,0))+F495*INDEX(Hours!B:B,MATCH(C495,Hours!$A:$A,0))+G495*INDEX(Hours!C:C,MATCH(C495,Hours!$A:$A,0))+H495*INDEX(Hours!D:D,MATCH(C495,Hours!$A:$A,0))+I495*INDEX(Hours!E:E,MATCH(C495,Hours!$A:$A,0))+J495*INDEX(Hours!F:F,MATCH(C495,Hours!$A:$A,0))+O495*INDEX(Hours!K:K,MATCH(C495,Hours!$A:$A,0)))</f>
        <v>0</v>
      </c>
      <c r="S495" s="19">
        <f t="shared" si="15"/>
        <v>0</v>
      </c>
    </row>
    <row r="496" spans="1:19" x14ac:dyDescent="0.25">
      <c r="A496" s="15" t="str">
        <f>'Bldgs &amp; Rooms'!$A$15</f>
        <v>Main Bldg.</v>
      </c>
      <c r="B496" s="15">
        <f>'Bldgs &amp; Rooms'!$B$15</f>
        <v>0</v>
      </c>
      <c r="C496" s="14" t="str">
        <f>Hours!$A$15</f>
        <v>VFD Motor Control Panel (VFD-MCP)</v>
      </c>
      <c r="D496" s="15">
        <f t="shared" si="14"/>
        <v>0</v>
      </c>
      <c r="E496" s="16">
        <f>IF('Components Yr 1'!E496=0,0,'Components Yr 1'!E496)</f>
        <v>0</v>
      </c>
      <c r="F496" s="17">
        <f>IF('Components Yr 1'!F496=0,0,'Components Yr 1'!F496)</f>
        <v>0</v>
      </c>
      <c r="G496" s="17">
        <f>IF('Components Yr 1'!G496=0,0,'Components Yr 1'!G496)</f>
        <v>0</v>
      </c>
      <c r="H496" s="17">
        <f>IF('Components Yr 1'!H496=0,0,'Components Yr 1'!H496)</f>
        <v>0</v>
      </c>
      <c r="I496" s="17">
        <f>IF('Components Yr 1'!I496=0,0,'Components Yr 1'!I496)</f>
        <v>0</v>
      </c>
      <c r="J496" s="17">
        <f>IF('Components Yr 1'!J496=0,0,'Components Yr 1'!J496)</f>
        <v>0</v>
      </c>
      <c r="K496" s="12"/>
      <c r="L496" s="12"/>
      <c r="M496" s="12"/>
      <c r="N496" s="12"/>
      <c r="O496" s="17">
        <f>IF('Components Yr 1'!O496=0,0,'Components Yr 1'!O496)</f>
        <v>0</v>
      </c>
      <c r="P496" s="12"/>
      <c r="Q496" s="17"/>
      <c r="R496" s="18">
        <f>IF(SUMPRODUCT((E496:Q496)*1)=0,0,E496*INDEX(Hours!M:M,MATCH(C496,Hours!$A:$A,0))+F496*INDEX(Hours!B:B,MATCH(C496,Hours!$A:$A,0))+G496*INDEX(Hours!C:C,MATCH(C496,Hours!$A:$A,0))+H496*INDEX(Hours!D:D,MATCH(C496,Hours!$A:$A,0))+I496*INDEX(Hours!E:E,MATCH(C496,Hours!$A:$A,0))+J496*INDEX(Hours!F:F,MATCH(C496,Hours!$A:$A,0))+O496*INDEX(Hours!K:K,MATCH(C496,Hours!$A:$A,0)))</f>
        <v>0</v>
      </c>
      <c r="S496" s="19">
        <f t="shared" si="15"/>
        <v>0</v>
      </c>
    </row>
    <row r="497" spans="1:19" x14ac:dyDescent="0.25">
      <c r="A497" s="15" t="str">
        <f>'Bldgs &amp; Rooms'!$A$15</f>
        <v>Main Bldg.</v>
      </c>
      <c r="B497" s="15">
        <f>'Bldgs &amp; Rooms'!$B$15</f>
        <v>0</v>
      </c>
      <c r="C497" s="14" t="str">
        <f>Hours!$A$16</f>
        <v>Individual Disconnect Switch &gt; 100A</v>
      </c>
      <c r="D497" s="15">
        <f t="shared" si="14"/>
        <v>0</v>
      </c>
      <c r="E497" s="16">
        <f>IF('Components Yr 1'!E497=0,0,'Components Yr 1'!E497)</f>
        <v>0</v>
      </c>
      <c r="F497" s="17">
        <f>IF('Components Yr 1'!F497=0,0,'Components Yr 1'!F497)</f>
        <v>0</v>
      </c>
      <c r="G497" s="17">
        <f>IF('Components Yr 1'!G497=0,0,'Components Yr 1'!G497)</f>
        <v>0</v>
      </c>
      <c r="H497" s="17">
        <f>IF('Components Yr 1'!H497=0,0,'Components Yr 1'!H497)</f>
        <v>0</v>
      </c>
      <c r="I497" s="17">
        <f>IF('Components Yr 1'!I497=0,0,'Components Yr 1'!I497)</f>
        <v>0</v>
      </c>
      <c r="J497" s="17">
        <f>IF('Components Yr 1'!J497=0,0,'Components Yr 1'!J497)</f>
        <v>0</v>
      </c>
      <c r="K497" s="17">
        <f>IF('Components Yr 1'!K497=0,0,'Components Yr 1'!K497)</f>
        <v>0</v>
      </c>
      <c r="L497" s="12"/>
      <c r="M497" s="12"/>
      <c r="N497" s="12"/>
      <c r="O497" s="12"/>
      <c r="P497" s="12"/>
      <c r="Q497" s="17"/>
      <c r="R497" s="18">
        <f>IF(SUMPRODUCT((E497:Q497)*1)=0,0,E497*INDEX(Hours!M:M,MATCH(C497,Hours!$A:$A,0))+F497*INDEX(Hours!B:B,MATCH(C497,Hours!$A:$A,0))+G497*INDEX(Hours!C:C,MATCH(C497,Hours!$A:$A,0))+H497*INDEX(Hours!D:D,MATCH(C497,Hours!$A:$A,0))+I497*INDEX(Hours!E:E,MATCH(C497,Hours!$A:$A,0))+J497*INDEX(Hours!F:F,MATCH(C497,Hours!$A:$A,0))+K497*INDEX(Hours!G:G,MATCH(C497,Hours!$A:$A,0)))</f>
        <v>0</v>
      </c>
      <c r="S497" s="19">
        <f t="shared" si="15"/>
        <v>0</v>
      </c>
    </row>
    <row r="498" spans="1:19" x14ac:dyDescent="0.25">
      <c r="A498" s="15" t="str">
        <f>'Bldgs &amp; Rooms'!$A$15</f>
        <v>Main Bldg.</v>
      </c>
      <c r="B498" s="15">
        <f>'Bldgs &amp; Rooms'!$B$15</f>
        <v>0</v>
      </c>
      <c r="C498" s="14" t="str">
        <f>Hours!$A$17</f>
        <v>Individual Molded Case Breaker &gt; 100A</v>
      </c>
      <c r="D498" s="15">
        <f t="shared" si="14"/>
        <v>0</v>
      </c>
      <c r="E498" s="16">
        <f>IF('Components Yr 1'!E498=0,0,'Components Yr 1'!E498)</f>
        <v>0</v>
      </c>
      <c r="F498" s="17">
        <f>IF('Components Yr 1'!F498=0,0,'Components Yr 1'!F498)</f>
        <v>0</v>
      </c>
      <c r="G498" s="17">
        <f>IF('Components Yr 1'!G498=0,0,'Components Yr 1'!G498)</f>
        <v>0</v>
      </c>
      <c r="H498" s="17">
        <f>IF('Components Yr 1'!H498=0,0,'Components Yr 1'!H498)</f>
        <v>0</v>
      </c>
      <c r="I498" s="17">
        <f>IF('Components Yr 1'!I498=0,0,'Components Yr 1'!I498)</f>
        <v>0</v>
      </c>
      <c r="J498" s="17">
        <f>IF('Components Yr 1'!J498=0,0,'Components Yr 1'!J498)</f>
        <v>0</v>
      </c>
      <c r="K498" s="17">
        <f>IF('Components Yr 1'!K498=0,0,'Components Yr 1'!K498)</f>
        <v>0</v>
      </c>
      <c r="L498" s="12"/>
      <c r="M498" s="12"/>
      <c r="N498" s="12"/>
      <c r="O498" s="12"/>
      <c r="P498" s="12"/>
      <c r="Q498" s="17"/>
      <c r="R498" s="18">
        <f>IF(SUMPRODUCT((E498:Q498)*1)=0,0,E498*INDEX(Hours!M:M,MATCH(C498,Hours!$A:$A,0))+F498*INDEX(Hours!B:B,MATCH(C498,Hours!$A:$A,0))+G498*INDEX(Hours!C:C,MATCH(C498,Hours!$A:$A,0))+H498*INDEX(Hours!D:D,MATCH(C498,Hours!$A:$A,0))+I498*INDEX(Hours!E:E,MATCH(C498,Hours!$A:$A,0))+J498*INDEX(Hours!F:F,MATCH(C498,Hours!$A:$A,0))+K498*INDEX(Hours!G:G,MATCH(C498,Hours!$A:$A,0)))</f>
        <v>0</v>
      </c>
      <c r="S498" s="19">
        <f t="shared" si="15"/>
        <v>0</v>
      </c>
    </row>
    <row r="499" spans="1:19" x14ac:dyDescent="0.25">
      <c r="A499" s="15" t="str">
        <f>'Bldgs &amp; Rooms'!$A$15</f>
        <v>Main Bldg.</v>
      </c>
      <c r="B499" s="15">
        <f>'Bldgs &amp; Rooms'!$B$15</f>
        <v>0</v>
      </c>
      <c r="C499" s="14" t="str">
        <f>Hours!$A$18</f>
        <v>Individual Combination Motor Starter &gt; 100A</v>
      </c>
      <c r="D499" s="15">
        <f t="shared" si="14"/>
        <v>0</v>
      </c>
      <c r="E499" s="16">
        <f>IF('Components Yr 1'!E499=0,0,'Components Yr 1'!E499)</f>
        <v>0</v>
      </c>
      <c r="F499" s="17">
        <f>IF('Components Yr 1'!F499=0,0,'Components Yr 1'!F499)</f>
        <v>0</v>
      </c>
      <c r="G499" s="17">
        <f>IF('Components Yr 1'!G499=0,0,'Components Yr 1'!G499)</f>
        <v>0</v>
      </c>
      <c r="H499" s="17">
        <f>IF('Components Yr 1'!H499=0,0,'Components Yr 1'!H499)</f>
        <v>0</v>
      </c>
      <c r="I499" s="17">
        <f>IF('Components Yr 1'!I499=0,0,'Components Yr 1'!I499)</f>
        <v>0</v>
      </c>
      <c r="J499" s="17">
        <f>IF('Components Yr 1'!J499=0,0,'Components Yr 1'!J499)</f>
        <v>0</v>
      </c>
      <c r="K499" s="17">
        <f>IF('Components Yr 1'!K499=0,0,'Components Yr 1'!K499)</f>
        <v>0</v>
      </c>
      <c r="L499" s="12"/>
      <c r="M499" s="12"/>
      <c r="N499" s="12"/>
      <c r="O499" s="12"/>
      <c r="P499" s="12"/>
      <c r="Q499" s="17"/>
      <c r="R499" s="18">
        <f>IF(SUMPRODUCT((E499:Q499)*1)=0,0,E499*INDEX(Hours!M:M,MATCH(C499,Hours!$A:$A,0))+F499*INDEX(Hours!B:B,MATCH(C499,Hours!$A:$A,0))+G499*INDEX(Hours!C:C,MATCH(C499,Hours!$A:$A,0))+H499*INDEX(Hours!D:D,MATCH(C499,Hours!$A:$A,0))+I499*INDEX(Hours!E:E,MATCH(C499,Hours!$A:$A,0))+J499*INDEX(Hours!F:F,MATCH(C499,Hours!$A:$A,0))+K499*INDEX(Hours!G:G,MATCH(C499,Hours!$A:$A,0)))</f>
        <v>0</v>
      </c>
      <c r="S499" s="19">
        <f t="shared" si="15"/>
        <v>0</v>
      </c>
    </row>
    <row r="500" spans="1:19" x14ac:dyDescent="0.25">
      <c r="A500" s="15" t="str">
        <f>'Bldgs &amp; Rooms'!$A$15</f>
        <v>Main Bldg.</v>
      </c>
      <c r="B500" s="15">
        <f>'Bldgs &amp; Rooms'!$B$15</f>
        <v>0</v>
      </c>
      <c r="C500" s="14" t="str">
        <f>Hours!$A$19</f>
        <v>Oil Filled Transformer - 5kV-15kV Primary - Any Size (Pad Mounted)</v>
      </c>
      <c r="D500" s="15">
        <f t="shared" si="14"/>
        <v>0</v>
      </c>
      <c r="E500" s="16">
        <f>IF('Components Yr 1'!E500=0,0,'Components Yr 1'!E500)</f>
        <v>0</v>
      </c>
      <c r="F500" s="17">
        <f>IF('Components Yr 1'!F500=0,0,'Components Yr 1'!F500)</f>
        <v>0</v>
      </c>
      <c r="G500" s="17">
        <f>IF('Components Yr 1'!G500=0,0,'Components Yr 1'!G500)</f>
        <v>0</v>
      </c>
      <c r="H500" s="17">
        <f>IF('Components Yr 1'!H500=0,0,'Components Yr 1'!H500)</f>
        <v>0</v>
      </c>
      <c r="I500" s="17">
        <f>IF('Components Yr 1'!I500=0,0,'Components Yr 1'!I500)</f>
        <v>0</v>
      </c>
      <c r="J500" s="17">
        <f>IF('Components Yr 1'!J500=0,0,'Components Yr 1'!J500)</f>
        <v>0</v>
      </c>
      <c r="K500" s="12"/>
      <c r="L500" s="12"/>
      <c r="M500" s="17">
        <f>IF('Components Yr 1'!M500=0,0,'Components Yr 1'!M500)</f>
        <v>0</v>
      </c>
      <c r="N500" s="17">
        <f>IF('Components Yr 1'!N500=0,0,'Components Yr 1'!N500)</f>
        <v>0</v>
      </c>
      <c r="O500" s="12"/>
      <c r="P500" s="17">
        <f>IF('Components Yr 1'!P500=0,0,'Components Yr 1'!P500)</f>
        <v>0</v>
      </c>
      <c r="Q500" s="17"/>
      <c r="R500" s="18">
        <f>IF(SUMPRODUCT((E500:Q500)*1)=0,0,E500*INDEX(Hours!M:M,MATCH(C500,Hours!$A:$A,0))+F500*INDEX(Hours!B:B,MATCH(C500,Hours!$A:$A,0))+G500*INDEX(Hours!C:C,MATCH(C500,Hours!$A:$A,0))+H500*INDEX(Hours!D:D,MATCH(C500,Hours!$A:$A,0))+I500*INDEX(Hours!E:E,MATCH(C500,Hours!$A:$A,0))+J500*INDEX(Hours!F:F,MATCH(C500,Hours!$A:$A,0))+M500*INDEX(Hours!I:I,MATCH(C500,Hours!$A:$A,0))+N500*INDEX(Hours!J:J,MATCH(C500,Hours!$A:$A,0))+P500*INDEX(Hours!L:L,MATCH(C500,Hours!$A:$A,0)))</f>
        <v>0</v>
      </c>
      <c r="S500" s="19">
        <f t="shared" si="15"/>
        <v>0</v>
      </c>
    </row>
    <row r="501" spans="1:19" x14ac:dyDescent="0.25">
      <c r="A501" s="15" t="str">
        <f>'Bldgs &amp; Rooms'!$A$15</f>
        <v>Main Bldg.</v>
      </c>
      <c r="B501" s="15">
        <f>'Bldgs &amp; Rooms'!$B$15</f>
        <v>0</v>
      </c>
      <c r="C501" s="14" t="str">
        <f>Hours!$A$20</f>
        <v>Oil Filled Transformer - &gt; 15kV Primary (Substation Class)</v>
      </c>
      <c r="D501" s="15">
        <f t="shared" si="14"/>
        <v>0</v>
      </c>
      <c r="E501" s="16">
        <f>IF('Components Yr 1'!E501=0,0,'Components Yr 1'!E501)</f>
        <v>0</v>
      </c>
      <c r="F501" s="17">
        <f>IF('Components Yr 1'!F501=0,0,'Components Yr 1'!F501)</f>
        <v>0</v>
      </c>
      <c r="G501" s="17">
        <f>IF('Components Yr 1'!G501=0,0,'Components Yr 1'!G501)</f>
        <v>0</v>
      </c>
      <c r="H501" s="17">
        <f>IF('Components Yr 1'!H501=0,0,'Components Yr 1'!H501)</f>
        <v>0</v>
      </c>
      <c r="I501" s="17">
        <f>IF('Components Yr 1'!I501=0,0,'Components Yr 1'!I501)</f>
        <v>0</v>
      </c>
      <c r="J501" s="17">
        <f>IF('Components Yr 1'!J501=0,0,'Components Yr 1'!J501)</f>
        <v>0</v>
      </c>
      <c r="K501" s="12"/>
      <c r="L501" s="12"/>
      <c r="M501" s="17">
        <f>IF('Components Yr 1'!M501=0,0,'Components Yr 1'!M501)</f>
        <v>0</v>
      </c>
      <c r="N501" s="17">
        <f>IF('Components Yr 1'!N501=0,0,'Components Yr 1'!N501)</f>
        <v>0</v>
      </c>
      <c r="O501" s="12"/>
      <c r="P501" s="17">
        <f>IF('Components Yr 1'!P501=0,0,'Components Yr 1'!P501)</f>
        <v>0</v>
      </c>
      <c r="Q501" s="17"/>
      <c r="R501" s="18">
        <f>IF(SUMPRODUCT((E501:Q501)*1)=0,0,E501*INDEX(Hours!M:M,MATCH(C501,Hours!$A:$A,0))+F501*INDEX(Hours!B:B,MATCH(C501,Hours!$A:$A,0))+G501*INDEX(Hours!C:C,MATCH(C501,Hours!$A:$A,0))+H501*INDEX(Hours!D:D,MATCH(C501,Hours!$A:$A,0))+I501*INDEX(Hours!E:E,MATCH(C501,Hours!$A:$A,0))+J501*INDEX(Hours!F:F,MATCH(C501,Hours!$A:$A,0))+M501*INDEX(Hours!I:I,MATCH(C501,Hours!$A:$A,0))+N501*INDEX(Hours!J:J,MATCH(C501,Hours!$A:$A,0))+P501*INDEX(Hours!L:L,MATCH(C501,Hours!$A:$A,0)))</f>
        <v>0</v>
      </c>
      <c r="S501" s="19">
        <f t="shared" si="15"/>
        <v>0</v>
      </c>
    </row>
    <row r="502" spans="1:19" x14ac:dyDescent="0.25">
      <c r="A502" s="15" t="str">
        <f>'Bldgs &amp; Rooms'!$A$15</f>
        <v>Main Bldg.</v>
      </c>
      <c r="B502" s="15">
        <f>'Bldgs &amp; Rooms'!$B$15</f>
        <v>0</v>
      </c>
      <c r="C502" s="14" t="str">
        <f>Hours!$A$21</f>
        <v>Dry Type Transformer - &lt; 480V Primary - Any Size kVA</v>
      </c>
      <c r="D502" s="15">
        <f t="shared" si="14"/>
        <v>0</v>
      </c>
      <c r="E502" s="16">
        <f>IF('Components Yr 1'!E502=0,0,'Components Yr 1'!E502)</f>
        <v>0</v>
      </c>
      <c r="F502" s="17">
        <f>IF('Components Yr 1'!F502=0,0,'Components Yr 1'!F502)</f>
        <v>0</v>
      </c>
      <c r="G502" s="17">
        <f>IF('Components Yr 1'!G502=0,0,'Components Yr 1'!G502)</f>
        <v>0</v>
      </c>
      <c r="H502" s="17">
        <f>IF('Components Yr 1'!H502=0,0,'Components Yr 1'!H502)</f>
        <v>0</v>
      </c>
      <c r="I502" s="17">
        <f>IF('Components Yr 1'!I502=0,0,'Components Yr 1'!I502)</f>
        <v>0</v>
      </c>
      <c r="J502" s="17">
        <f>IF('Components Yr 1'!J502=0,0,'Components Yr 1'!J502)</f>
        <v>0</v>
      </c>
      <c r="K502" s="12"/>
      <c r="L502" s="12"/>
      <c r="M502" s="17">
        <f>IF('Components Yr 1'!M502=0,0,'Components Yr 1'!M502)</f>
        <v>0</v>
      </c>
      <c r="N502" s="17">
        <f>IF('Components Yr 1'!N502=0,0,'Components Yr 1'!N502)</f>
        <v>0</v>
      </c>
      <c r="O502" s="12"/>
      <c r="P502" s="12"/>
      <c r="Q502" s="17"/>
      <c r="R502" s="18">
        <f>IF(SUMPRODUCT((E502:Q502)*1)=0,0,E502*INDEX(Hours!M:M,MATCH(C502,Hours!$A:$A,0))+F502*INDEX(Hours!B:B,MATCH(C502,Hours!$A:$A,0))+G502*INDEX(Hours!C:C,MATCH(C502,Hours!$A:$A,0))+H502*INDEX(Hours!D:D,MATCH(C502,Hours!$A:$A,0))+I502*INDEX(Hours!E:E,MATCH(C502,Hours!$A:$A,0))+J502*INDEX(Hours!F:F,MATCH(C502,Hours!$A:$A,0))+M502*INDEX(Hours!I:I,MATCH(C502,Hours!$A:$A,0))+N502*INDEX(Hours!J:J,MATCH(C502,Hours!$A:$A,0)))</f>
        <v>0</v>
      </c>
      <c r="S502" s="19">
        <f t="shared" si="15"/>
        <v>0</v>
      </c>
    </row>
    <row r="503" spans="1:19" x14ac:dyDescent="0.25">
      <c r="A503" s="15" t="str">
        <f>'Bldgs &amp; Rooms'!$A$15</f>
        <v>Main Bldg.</v>
      </c>
      <c r="B503" s="15">
        <f>'Bldgs &amp; Rooms'!$B$15</f>
        <v>0</v>
      </c>
      <c r="C503" s="14" t="str">
        <f>Hours!$A$22</f>
        <v>Power Factor Correction Capacitors</v>
      </c>
      <c r="D503" s="15">
        <f t="shared" si="14"/>
        <v>0</v>
      </c>
      <c r="E503" s="16">
        <f>IF('Components Yr 1'!E503=0,0,'Components Yr 1'!E503)</f>
        <v>0</v>
      </c>
      <c r="F503" s="17">
        <f>IF('Components Yr 1'!F503=0,0,'Components Yr 1'!F503)</f>
        <v>0</v>
      </c>
      <c r="G503" s="17">
        <f>IF('Components Yr 1'!G503=0,0,'Components Yr 1'!G503)</f>
        <v>0</v>
      </c>
      <c r="H503" s="17">
        <f>IF('Components Yr 1'!H503=0,0,'Components Yr 1'!H503)</f>
        <v>0</v>
      </c>
      <c r="I503" s="17">
        <f>IF('Components Yr 1'!I503=0,0,'Components Yr 1'!I503)</f>
        <v>0</v>
      </c>
      <c r="J503" s="17">
        <f>IF('Components Yr 1'!J503=0,0,'Components Yr 1'!J503)</f>
        <v>0</v>
      </c>
      <c r="K503" s="12"/>
      <c r="L503" s="12"/>
      <c r="M503" s="12"/>
      <c r="N503" s="12"/>
      <c r="O503" s="12"/>
      <c r="P503" s="12"/>
      <c r="Q503" s="17"/>
      <c r="R503" s="18">
        <f>IF(SUMPRODUCT((E503:Q503)*1)=0,0,E503*INDEX(Hours!M:M,MATCH(C503,Hours!$A:$A,0))+F503*INDEX(Hours!B:B,MATCH(C503,Hours!$A:$A,0))+G503*INDEX(Hours!C:C,MATCH(C503,Hours!$A:$A,0))+H503*INDEX(Hours!D:D,MATCH(C503,Hours!$A:$A,0))+I503*INDEX(Hours!E:E,MATCH(C503,Hours!$A:$A,0))+J503*INDEX(Hours!F:F,MATCH(C503,Hours!$A:$A,0)))</f>
        <v>0</v>
      </c>
      <c r="S503" s="19">
        <f t="shared" si="15"/>
        <v>0</v>
      </c>
    </row>
    <row r="504" spans="1:19" x14ac:dyDescent="0.25">
      <c r="A504" s="15" t="str">
        <f>'Bldgs &amp; Rooms'!$A$15</f>
        <v>Main Bldg.</v>
      </c>
      <c r="B504" s="15">
        <f>'Bldgs &amp; Rooms'!$B$15</f>
        <v>0</v>
      </c>
      <c r="C504" s="14" t="str">
        <f>Hours!$A$23</f>
        <v>Lighting Contactor &gt; 100A</v>
      </c>
      <c r="D504" s="15">
        <f t="shared" si="14"/>
        <v>0</v>
      </c>
      <c r="E504" s="16">
        <f>IF('Components Yr 1'!E504=0,0,'Components Yr 1'!E504)</f>
        <v>0</v>
      </c>
      <c r="F504" s="17">
        <f>IF('Components Yr 1'!F504=0,0,'Components Yr 1'!F504)</f>
        <v>0</v>
      </c>
      <c r="G504" s="17">
        <f>IF('Components Yr 1'!G504=0,0,'Components Yr 1'!G504)</f>
        <v>0</v>
      </c>
      <c r="H504" s="17">
        <f>IF('Components Yr 1'!H504=0,0,'Components Yr 1'!H504)</f>
        <v>0</v>
      </c>
      <c r="I504" s="17">
        <f>IF('Components Yr 1'!I504=0,0,'Components Yr 1'!I504)</f>
        <v>0</v>
      </c>
      <c r="J504" s="17">
        <f>IF('Components Yr 1'!J504=0,0,'Components Yr 1'!J504)</f>
        <v>0</v>
      </c>
      <c r="K504" s="12"/>
      <c r="L504" s="12"/>
      <c r="M504" s="12"/>
      <c r="N504" s="12"/>
      <c r="O504" s="12"/>
      <c r="P504" s="12"/>
      <c r="Q504" s="17"/>
      <c r="R504" s="18">
        <f>IF(SUMPRODUCT((E504:Q504)*1)=0,0,E504*INDEX(Hours!M:M,MATCH(C504,Hours!$A:$A,0))+F504*INDEX(Hours!B:B,MATCH(C504,Hours!$A:$A,0))+G504*INDEX(Hours!C:C,MATCH(C504,Hours!$A:$A,0))+H504*INDEX(Hours!D:D,MATCH(C504,Hours!$A:$A,0))+I504*INDEX(Hours!E:E,MATCH(C504,Hours!$A:$A,0))+J504*INDEX(Hours!F:F,MATCH(C504,Hours!$A:$A,0)))</f>
        <v>0</v>
      </c>
      <c r="S504" s="19">
        <f t="shared" si="15"/>
        <v>0</v>
      </c>
    </row>
    <row r="505" spans="1:19" x14ac:dyDescent="0.25">
      <c r="A505" s="15" t="str">
        <f>'Bldgs &amp; Rooms'!$A$15</f>
        <v>Main Bldg.</v>
      </c>
      <c r="B505" s="15">
        <f>'Bldgs &amp; Rooms'!$B$15</f>
        <v>0</v>
      </c>
      <c r="C505" s="14" t="str">
        <f>Hours!$A$24</f>
        <v>Power Distribution Unit (PDU)</v>
      </c>
      <c r="D505" s="15">
        <f t="shared" si="14"/>
        <v>0</v>
      </c>
      <c r="E505" s="16">
        <f>IF('Components Yr 1'!E505=0,0,'Components Yr 1'!E505)</f>
        <v>0</v>
      </c>
      <c r="F505" s="17">
        <f>IF('Components Yr 1'!F505=0,0,'Components Yr 1'!F505)</f>
        <v>0</v>
      </c>
      <c r="G505" s="17">
        <f>IF('Components Yr 1'!G505=0,0,'Components Yr 1'!G505)</f>
        <v>0</v>
      </c>
      <c r="H505" s="17">
        <f>IF('Components Yr 1'!H505=0,0,'Components Yr 1'!H505)</f>
        <v>0</v>
      </c>
      <c r="I505" s="17">
        <f>IF('Components Yr 1'!I505=0,0,'Components Yr 1'!I505)</f>
        <v>0</v>
      </c>
      <c r="J505" s="17">
        <f>IF('Components Yr 1'!J505=0,0,'Components Yr 1'!J505)</f>
        <v>0</v>
      </c>
      <c r="K505" s="12"/>
      <c r="L505" s="12"/>
      <c r="M505" s="12"/>
      <c r="N505" s="12"/>
      <c r="O505" s="12"/>
      <c r="P505" s="12"/>
      <c r="Q505" s="17"/>
      <c r="R505" s="18">
        <f>IF(SUMPRODUCT((E505:Q505)*1)=0,0,E505*INDEX(Hours!M:M,MATCH(C505,Hours!$A:$A,0))+F505*INDEX(Hours!B:B,MATCH(C505,Hours!$A:$A,0))+G505*INDEX(Hours!C:C,MATCH(C505,Hours!$A:$A,0))+H505*INDEX(Hours!D:D,MATCH(C505,Hours!$A:$A,0))+I505*INDEX(Hours!E:E,MATCH(C505,Hours!$A:$A,0))+J505*INDEX(Hours!F:F,MATCH(C505,Hours!$A:$A,0)))</f>
        <v>0</v>
      </c>
      <c r="S505" s="19">
        <f t="shared" si="15"/>
        <v>0</v>
      </c>
    </row>
    <row r="506" spans="1:19" x14ac:dyDescent="0.25">
      <c r="A506" s="15" t="str">
        <f>'Bldgs &amp; Rooms'!$A$15</f>
        <v>Main Bldg.</v>
      </c>
      <c r="B506" s="15">
        <f>'Bldgs &amp; Rooms'!$B$15</f>
        <v>0</v>
      </c>
      <c r="C506" s="14" t="str">
        <f>Hours!$A$25</f>
        <v>Wire Trough, Gutter, or Large Junction Boxes</v>
      </c>
      <c r="D506" s="15">
        <f t="shared" si="14"/>
        <v>0</v>
      </c>
      <c r="E506" s="16">
        <f>IF('Components Yr 1'!E506=0,0,'Components Yr 1'!E506)</f>
        <v>0</v>
      </c>
      <c r="F506" s="17">
        <f>IF('Components Yr 1'!F506=0,0,'Components Yr 1'!F506)</f>
        <v>0</v>
      </c>
      <c r="G506" s="17">
        <f>IF('Components Yr 1'!G506=0,0,'Components Yr 1'!G506)</f>
        <v>0</v>
      </c>
      <c r="H506" s="17">
        <f>IF('Components Yr 1'!H506=0,0,'Components Yr 1'!H506)</f>
        <v>0</v>
      </c>
      <c r="I506" s="17">
        <f>IF('Components Yr 1'!I506=0,0,'Components Yr 1'!I506)</f>
        <v>0</v>
      </c>
      <c r="J506" s="17">
        <f>IF('Components Yr 1'!J506=0,0,'Components Yr 1'!J506)</f>
        <v>0</v>
      </c>
      <c r="K506" s="12"/>
      <c r="L506" s="12"/>
      <c r="M506" s="12"/>
      <c r="N506" s="12"/>
      <c r="O506" s="12"/>
      <c r="P506" s="12"/>
      <c r="Q506" s="17"/>
      <c r="R506" s="18">
        <f>IF(SUMPRODUCT((E506:Q506)*1)=0,0,E506*INDEX(Hours!M:M,MATCH(C506,Hours!$A:$A,0))+F506*INDEX(Hours!B:B,MATCH(C506,Hours!$A:$A,0))+G506*INDEX(Hours!C:C,MATCH(C506,Hours!$A:$A,0))+H506*INDEX(Hours!D:D,MATCH(C506,Hours!$A:$A,0))+I506*INDEX(Hours!E:E,MATCH(C506,Hours!$A:$A,0))+J506*INDEX(Hours!F:F,MATCH(C506,Hours!$A:$A,0)))</f>
        <v>0</v>
      </c>
      <c r="S506" s="19">
        <f t="shared" si="15"/>
        <v>0</v>
      </c>
    </row>
    <row r="507" spans="1:19" x14ac:dyDescent="0.25">
      <c r="A507" s="15" t="str">
        <f>'Bldgs &amp; Rooms'!$A$15</f>
        <v>Main Bldg.</v>
      </c>
      <c r="B507" s="15">
        <f>'Bldgs &amp; Rooms'!$B$15</f>
        <v>0</v>
      </c>
      <c r="C507" s="14" t="str">
        <f>Hours!$A$26</f>
        <v>Bus Duct - Vertical or Horizontal (Per 10' section)</v>
      </c>
      <c r="D507" s="15">
        <f t="shared" si="14"/>
        <v>0</v>
      </c>
      <c r="E507" s="16">
        <f>IF('Components Yr 1'!E507=0,0,'Components Yr 1'!E507)</f>
        <v>0</v>
      </c>
      <c r="F507" s="17">
        <f>IF('Components Yr 1'!F507=0,0,'Components Yr 1'!F507)</f>
        <v>0</v>
      </c>
      <c r="G507" s="17">
        <f>IF('Components Yr 1'!G507=0,0,'Components Yr 1'!G507)</f>
        <v>0</v>
      </c>
      <c r="H507" s="17">
        <f>IF('Components Yr 1'!H507=0,0,'Components Yr 1'!H507)</f>
        <v>0</v>
      </c>
      <c r="I507" s="17">
        <f>IF('Components Yr 1'!I507=0,0,'Components Yr 1'!I507)</f>
        <v>0</v>
      </c>
      <c r="J507" s="17">
        <f>IF('Components Yr 1'!J507=0,0,'Components Yr 1'!J507)</f>
        <v>0</v>
      </c>
      <c r="K507" s="12"/>
      <c r="L507" s="12"/>
      <c r="M507" s="12"/>
      <c r="N507" s="12"/>
      <c r="O507" s="12"/>
      <c r="P507" s="12"/>
      <c r="Q507" s="17"/>
      <c r="R507" s="18">
        <f>IF(SUMPRODUCT((E507:Q507)*1)=0,0,E507*INDEX(Hours!M:M,MATCH(C507,Hours!$A:$A,0))+F507*INDEX(Hours!B:B,MATCH(C507,Hours!$A:$A,0))+G507*INDEX(Hours!C:C,MATCH(C507,Hours!$A:$A,0))+H507*INDEX(Hours!D:D,MATCH(C507,Hours!$A:$A,0))+I507*INDEX(Hours!E:E,MATCH(C507,Hours!$A:$A,0))+J507*INDEX(Hours!F:F,MATCH(C507,Hours!$A:$A,0)))</f>
        <v>0</v>
      </c>
      <c r="S507" s="19">
        <f t="shared" si="15"/>
        <v>0</v>
      </c>
    </row>
    <row r="508" spans="1:19" x14ac:dyDescent="0.25">
      <c r="A508" s="15" t="str">
        <f>'Bldgs &amp; Rooms'!$A$15</f>
        <v>Main Bldg.</v>
      </c>
      <c r="B508" s="15">
        <f>'Bldgs &amp; Rooms'!$B$15</f>
        <v>0</v>
      </c>
      <c r="C508" s="14" t="str">
        <f>Hours!$A$27</f>
        <v>Automatic Transfer Switch (ATS) &gt; 100A</v>
      </c>
      <c r="D508" s="15">
        <f t="shared" si="14"/>
        <v>0</v>
      </c>
      <c r="E508" s="16">
        <f>IF('Components Yr 1'!E508=0,0,'Components Yr 1'!E508)</f>
        <v>0</v>
      </c>
      <c r="F508" s="17">
        <f>IF('Components Yr 1'!F508=0,0,'Components Yr 1'!F508)</f>
        <v>0</v>
      </c>
      <c r="G508" s="17">
        <f>IF('Components Yr 1'!G508=0,0,'Components Yr 1'!G508)</f>
        <v>0</v>
      </c>
      <c r="H508" s="17">
        <f>IF('Components Yr 1'!H508=0,0,'Components Yr 1'!H508)</f>
        <v>0</v>
      </c>
      <c r="I508" s="17">
        <f>IF('Components Yr 1'!I508=0,0,'Components Yr 1'!I508)</f>
        <v>0</v>
      </c>
      <c r="J508" s="17">
        <f>IF('Components Yr 1'!J508=0,0,'Components Yr 1'!J508)</f>
        <v>0</v>
      </c>
      <c r="K508" s="12"/>
      <c r="L508" s="12"/>
      <c r="M508" s="12"/>
      <c r="N508" s="12"/>
      <c r="O508" s="12"/>
      <c r="P508" s="12"/>
      <c r="Q508" s="17"/>
      <c r="R508" s="18">
        <f>IF(SUMPRODUCT((E508:Q508)*1)=0,0,E508*INDEX(Hours!M:M,MATCH(C508,Hours!$A:$A,0))+F508*INDEX(Hours!B:B,MATCH(C508,Hours!$A:$A,0))+G508*INDEX(Hours!C:C,MATCH(C508,Hours!$A:$A,0))+H508*INDEX(Hours!D:D,MATCH(C508,Hours!$A:$A,0))+I508*INDEX(Hours!E:E,MATCH(C508,Hours!$A:$A,0))+J508*INDEX(Hours!F:F,MATCH(C508,Hours!$A:$A,0)))</f>
        <v>0</v>
      </c>
      <c r="S508" s="19">
        <f t="shared" si="15"/>
        <v>0</v>
      </c>
    </row>
    <row r="509" spans="1:19" x14ac:dyDescent="0.25">
      <c r="A509" s="15" t="str">
        <f>'Bldgs &amp; Rooms'!$A$15</f>
        <v>Main Bldg.</v>
      </c>
      <c r="B509" s="15">
        <f>'Bldgs &amp; Rooms'!$B$15</f>
        <v>0</v>
      </c>
      <c r="C509" s="14" t="str">
        <f>Hours!$A$28</f>
        <v>Manual Transfer Switch (MTS) &gt; 100A</v>
      </c>
      <c r="D509" s="15">
        <f t="shared" si="14"/>
        <v>0</v>
      </c>
      <c r="E509" s="16">
        <f>IF('Components Yr 1'!E509=0,0,'Components Yr 1'!E509)</f>
        <v>0</v>
      </c>
      <c r="F509" s="17">
        <f>IF('Components Yr 1'!F509=0,0,'Components Yr 1'!F509)</f>
        <v>0</v>
      </c>
      <c r="G509" s="17">
        <f>IF('Components Yr 1'!G509=0,0,'Components Yr 1'!G509)</f>
        <v>0</v>
      </c>
      <c r="H509" s="17">
        <f>IF('Components Yr 1'!H509=0,0,'Components Yr 1'!H509)</f>
        <v>0</v>
      </c>
      <c r="I509" s="17">
        <f>IF('Components Yr 1'!I509=0,0,'Components Yr 1'!I509)</f>
        <v>0</v>
      </c>
      <c r="J509" s="17">
        <f>IF('Components Yr 1'!J509=0,0,'Components Yr 1'!J509)</f>
        <v>0</v>
      </c>
      <c r="K509" s="12"/>
      <c r="L509" s="12"/>
      <c r="M509" s="12"/>
      <c r="N509" s="12"/>
      <c r="O509" s="12"/>
      <c r="P509" s="12"/>
      <c r="Q509" s="17"/>
      <c r="R509" s="18">
        <f>IF(SUMPRODUCT((E509:Q509)*1)=0,0,E509*INDEX(Hours!M:M,MATCH(C509,Hours!$A:$A,0))+F509*INDEX(Hours!B:B,MATCH(C509,Hours!$A:$A,0))+G509*INDEX(Hours!C:C,MATCH(C509,Hours!$A:$A,0))+H509*INDEX(Hours!D:D,MATCH(C509,Hours!$A:$A,0))+I509*INDEX(Hours!E:E,MATCH(C509,Hours!$A:$A,0))+J509*INDEX(Hours!F:F,MATCH(C509,Hours!$A:$A,0)))</f>
        <v>0</v>
      </c>
      <c r="S509" s="19">
        <f t="shared" si="15"/>
        <v>0</v>
      </c>
    </row>
    <row r="510" spans="1:19" x14ac:dyDescent="0.25">
      <c r="A510" s="15" t="str">
        <f>'Bldgs &amp; Rooms'!$A$15</f>
        <v>Main Bldg.</v>
      </c>
      <c r="B510" s="15">
        <f>'Bldgs &amp; Rooms'!$B$15</f>
        <v>0</v>
      </c>
      <c r="C510" s="14" t="str">
        <f>Hours!$A$29</f>
        <v>Variable Frequency Drives (VFD) &lt; 50 HP</v>
      </c>
      <c r="D510" s="15">
        <f t="shared" si="14"/>
        <v>0</v>
      </c>
      <c r="E510" s="16">
        <f>IF('Components Yr 1'!E510=0,0,'Components Yr 1'!E510)</f>
        <v>0</v>
      </c>
      <c r="F510" s="17">
        <f>IF('Components Yr 1'!F510=0,0,'Components Yr 1'!F510)</f>
        <v>0</v>
      </c>
      <c r="G510" s="17">
        <f>IF('Components Yr 1'!G510=0,0,'Components Yr 1'!G510)</f>
        <v>0</v>
      </c>
      <c r="H510" s="17">
        <f>IF('Components Yr 1'!H510=0,0,'Components Yr 1'!H510)</f>
        <v>0</v>
      </c>
      <c r="I510" s="17">
        <f>IF('Components Yr 1'!I510=0,0,'Components Yr 1'!I510)</f>
        <v>0</v>
      </c>
      <c r="J510" s="17">
        <f>IF('Components Yr 1'!J510=0,0,'Components Yr 1'!J510)</f>
        <v>0</v>
      </c>
      <c r="K510" s="12"/>
      <c r="L510" s="12"/>
      <c r="M510" s="12"/>
      <c r="N510" s="12"/>
      <c r="O510" s="12"/>
      <c r="P510" s="12"/>
      <c r="Q510" s="17"/>
      <c r="R510" s="18">
        <f>IF(SUMPRODUCT((E510:Q510)*1)=0,0,E510*INDEX(Hours!M:M,MATCH(C510,Hours!$A:$A,0))+F510*INDEX(Hours!B:B,MATCH(C510,Hours!$A:$A,0))+G510*INDEX(Hours!C:C,MATCH(C510,Hours!$A:$A,0))+H510*INDEX(Hours!D:D,MATCH(C510,Hours!$A:$A,0))+I510*INDEX(Hours!E:E,MATCH(C510,Hours!$A:$A,0))+J510*INDEX(Hours!F:F,MATCH(C510,Hours!$A:$A,0)))</f>
        <v>0</v>
      </c>
      <c r="S510" s="19">
        <f t="shared" si="15"/>
        <v>0</v>
      </c>
    </row>
    <row r="511" spans="1:19" x14ac:dyDescent="0.25">
      <c r="A511" s="15" t="str">
        <f>'Bldgs &amp; Rooms'!$A$15</f>
        <v>Main Bldg.</v>
      </c>
      <c r="B511" s="15">
        <f>'Bldgs &amp; Rooms'!$B$15</f>
        <v>0</v>
      </c>
      <c r="C511" s="14" t="str">
        <f>Hours!$A$30</f>
        <v>Variable Frequency Drives (VFD) 51-200 HP</v>
      </c>
      <c r="D511" s="15">
        <f t="shared" si="14"/>
        <v>0</v>
      </c>
      <c r="E511" s="16">
        <f>IF('Components Yr 1'!E511=0,0,'Components Yr 1'!E511)</f>
        <v>0</v>
      </c>
      <c r="F511" s="17">
        <f>IF('Components Yr 1'!F511=0,0,'Components Yr 1'!F511)</f>
        <v>0</v>
      </c>
      <c r="G511" s="17">
        <f>IF('Components Yr 1'!G511=0,0,'Components Yr 1'!G511)</f>
        <v>0</v>
      </c>
      <c r="H511" s="17">
        <f>IF('Components Yr 1'!H511=0,0,'Components Yr 1'!H511)</f>
        <v>0</v>
      </c>
      <c r="I511" s="17">
        <f>IF('Components Yr 1'!I511=0,0,'Components Yr 1'!I511)</f>
        <v>0</v>
      </c>
      <c r="J511" s="17">
        <f>IF('Components Yr 1'!J511=0,0,'Components Yr 1'!J511)</f>
        <v>0</v>
      </c>
      <c r="K511" s="12"/>
      <c r="L511" s="12"/>
      <c r="M511" s="12"/>
      <c r="N511" s="12"/>
      <c r="O511" s="12"/>
      <c r="P511" s="12"/>
      <c r="Q511" s="17"/>
      <c r="R511" s="18">
        <f>IF(SUMPRODUCT((E511:Q511)*1)=0,0,E511*INDEX(Hours!M:M,MATCH(C511,Hours!$A:$A,0))+F511*INDEX(Hours!B:B,MATCH(C511,Hours!$A:$A,0))+G511*INDEX(Hours!C:C,MATCH(C511,Hours!$A:$A,0))+H511*INDEX(Hours!D:D,MATCH(C511,Hours!$A:$A,0))+I511*INDEX(Hours!E:E,MATCH(C511,Hours!$A:$A,0))+J511*INDEX(Hours!F:F,MATCH(C511,Hours!$A:$A,0)))</f>
        <v>0</v>
      </c>
      <c r="S511" s="19">
        <f t="shared" si="15"/>
        <v>0</v>
      </c>
    </row>
    <row r="512" spans="1:19" x14ac:dyDescent="0.25">
      <c r="A512" s="15" t="str">
        <f>'Bldgs &amp; Rooms'!$A$15</f>
        <v>Main Bldg.</v>
      </c>
      <c r="B512" s="15">
        <f>'Bldgs &amp; Rooms'!$B$15</f>
        <v>0</v>
      </c>
      <c r="C512" s="14" t="str">
        <f>Hours!$A$31</f>
        <v>Motors &lt; 50 HP</v>
      </c>
      <c r="D512" s="15">
        <f t="shared" si="14"/>
        <v>0</v>
      </c>
      <c r="E512" s="16">
        <f>IF('Components Yr 1'!E512=0,0,'Components Yr 1'!E512)</f>
        <v>0</v>
      </c>
      <c r="F512" s="17">
        <f>IF('Components Yr 1'!F512=0,0,'Components Yr 1'!F512)</f>
        <v>0</v>
      </c>
      <c r="G512" s="17">
        <f>IF('Components Yr 1'!G512=0,0,'Components Yr 1'!G512)</f>
        <v>0</v>
      </c>
      <c r="H512" s="17">
        <f>IF('Components Yr 1'!H512=0,0,'Components Yr 1'!H512)</f>
        <v>0</v>
      </c>
      <c r="I512" s="17">
        <f>IF('Components Yr 1'!I512=0,0,'Components Yr 1'!I512)</f>
        <v>0</v>
      </c>
      <c r="J512" s="17">
        <f>IF('Components Yr 1'!J512=0,0,'Components Yr 1'!J512)</f>
        <v>0</v>
      </c>
      <c r="K512" s="12"/>
      <c r="L512" s="12"/>
      <c r="M512" s="12"/>
      <c r="N512" s="12"/>
      <c r="O512" s="12"/>
      <c r="P512" s="12"/>
      <c r="Q512" s="17"/>
      <c r="R512" s="18">
        <f>IF(SUMPRODUCT((E512:Q512)*1)=0,0,E512*INDEX(Hours!M:M,MATCH(C512,Hours!$A:$A,0))+F512*INDEX(Hours!B:B,MATCH(C512,Hours!$A:$A,0))+G512*INDEX(Hours!C:C,MATCH(C512,Hours!$A:$A,0))+H512*INDEX(Hours!D:D,MATCH(C512,Hours!$A:$A,0))+I512*INDEX(Hours!E:E,MATCH(C512,Hours!$A:$A,0))+J512*INDEX(Hours!F:F,MATCH(C512,Hours!$A:$A,0)))</f>
        <v>0</v>
      </c>
      <c r="S512" s="19">
        <f t="shared" si="15"/>
        <v>0</v>
      </c>
    </row>
    <row r="513" spans="1:19" x14ac:dyDescent="0.25">
      <c r="A513" s="15" t="str">
        <f>'Bldgs &amp; Rooms'!$A$15</f>
        <v>Main Bldg.</v>
      </c>
      <c r="B513" s="15">
        <f>'Bldgs &amp; Rooms'!$B$15</f>
        <v>0</v>
      </c>
      <c r="C513" s="14" t="str">
        <f>Hours!$A$32</f>
        <v>Motors 51-200 HP</v>
      </c>
      <c r="D513" s="15">
        <f t="shared" si="14"/>
        <v>0</v>
      </c>
      <c r="E513" s="16">
        <f>IF('Components Yr 1'!E513=0,0,'Components Yr 1'!E513)</f>
        <v>0</v>
      </c>
      <c r="F513" s="17">
        <f>IF('Components Yr 1'!F513=0,0,'Components Yr 1'!F513)</f>
        <v>0</v>
      </c>
      <c r="G513" s="17">
        <f>IF('Components Yr 1'!G513=0,0,'Components Yr 1'!G513)</f>
        <v>0</v>
      </c>
      <c r="H513" s="17">
        <f>IF('Components Yr 1'!H513=0,0,'Components Yr 1'!H513)</f>
        <v>0</v>
      </c>
      <c r="I513" s="17">
        <f>IF('Components Yr 1'!I513=0,0,'Components Yr 1'!I513)</f>
        <v>0</v>
      </c>
      <c r="J513" s="17">
        <f>IF('Components Yr 1'!J513=0,0,'Components Yr 1'!J513)</f>
        <v>0</v>
      </c>
      <c r="K513" s="12"/>
      <c r="L513" s="12"/>
      <c r="M513" s="12"/>
      <c r="N513" s="12"/>
      <c r="O513" s="12"/>
      <c r="P513" s="12"/>
      <c r="Q513" s="17"/>
      <c r="R513" s="18">
        <f>IF(SUMPRODUCT((E513:Q513)*1)=0,0,E513*INDEX(Hours!M:M,MATCH(C513,Hours!$A:$A,0))+F513*INDEX(Hours!B:B,MATCH(C513,Hours!$A:$A,0))+G513*INDEX(Hours!C:C,MATCH(C513,Hours!$A:$A,0))+H513*INDEX(Hours!D:D,MATCH(C513,Hours!$A:$A,0))+I513*INDEX(Hours!E:E,MATCH(C513,Hours!$A:$A,0))+J513*INDEX(Hours!F:F,MATCH(C513,Hours!$A:$A,0)))</f>
        <v>0</v>
      </c>
      <c r="S513" s="19">
        <f t="shared" si="15"/>
        <v>0</v>
      </c>
    </row>
    <row r="514" spans="1:19" x14ac:dyDescent="0.25">
      <c r="A514" s="15" t="str">
        <f>'Bldgs &amp; Rooms'!$A$15</f>
        <v>Main Bldg.</v>
      </c>
      <c r="B514" s="15">
        <f>'Bldgs &amp; Rooms'!$B$15</f>
        <v>0</v>
      </c>
      <c r="C514" s="14" t="str">
        <f>Hours!$A$33</f>
        <v>Motors 201-500 HP</v>
      </c>
      <c r="D514" s="15">
        <f t="shared" ref="D514:D577" si="16">MAX(E514+F514,G514,H514,I514,J514,K514,L514,M514,N514,O514,P514,Q514)</f>
        <v>0</v>
      </c>
      <c r="E514" s="16">
        <f>IF('Components Yr 1'!E514=0,0,'Components Yr 1'!E514)</f>
        <v>0</v>
      </c>
      <c r="F514" s="17">
        <f>IF('Components Yr 1'!F514=0,0,'Components Yr 1'!F514)</f>
        <v>0</v>
      </c>
      <c r="G514" s="17">
        <f>IF('Components Yr 1'!G514=0,0,'Components Yr 1'!G514)</f>
        <v>0</v>
      </c>
      <c r="H514" s="17">
        <f>IF('Components Yr 1'!H514=0,0,'Components Yr 1'!H514)</f>
        <v>0</v>
      </c>
      <c r="I514" s="17">
        <f>IF('Components Yr 1'!I514=0,0,'Components Yr 1'!I514)</f>
        <v>0</v>
      </c>
      <c r="J514" s="17">
        <f>IF('Components Yr 1'!J514=0,0,'Components Yr 1'!J514)</f>
        <v>0</v>
      </c>
      <c r="K514" s="12"/>
      <c r="L514" s="12"/>
      <c r="M514" s="12"/>
      <c r="N514" s="12"/>
      <c r="O514" s="12"/>
      <c r="P514" s="12"/>
      <c r="Q514" s="17"/>
      <c r="R514" s="18">
        <f>IF(SUMPRODUCT((E514:Q514)*1)=0,0,E514*INDEX(Hours!M:M,MATCH(C514,Hours!$A:$A,0))+F514*INDEX(Hours!B:B,MATCH(C514,Hours!$A:$A,0))+G514*INDEX(Hours!C:C,MATCH(C514,Hours!$A:$A,0))+H514*INDEX(Hours!D:D,MATCH(C514,Hours!$A:$A,0))+I514*INDEX(Hours!E:E,MATCH(C514,Hours!$A:$A,0))+J514*INDEX(Hours!F:F,MATCH(C514,Hours!$A:$A,0)))</f>
        <v>0</v>
      </c>
      <c r="S514" s="19">
        <f t="shared" ref="S514:S577" si="17">MAX(E514+F514,G514,H514,I514,J514,K514,L514,M514,N514,O514,P514,Q514)</f>
        <v>0</v>
      </c>
    </row>
    <row r="515" spans="1:19" x14ac:dyDescent="0.25">
      <c r="A515" s="15" t="str">
        <f>'Bldgs &amp; Rooms'!$A$15</f>
        <v>Main Bldg.</v>
      </c>
      <c r="B515" s="15">
        <f>'Bldgs &amp; Rooms'!$B$15</f>
        <v>0</v>
      </c>
      <c r="C515" s="14" t="str">
        <f>Hours!$A$34</f>
        <v>Compressed Air Equipment</v>
      </c>
      <c r="D515" s="15">
        <f t="shared" si="16"/>
        <v>0</v>
      </c>
      <c r="E515" s="16">
        <f>IF('Components Yr 1'!E515=0,0,'Components Yr 1'!E515)</f>
        <v>0</v>
      </c>
      <c r="F515" s="17">
        <f>IF('Components Yr 1'!F515=0,0,'Components Yr 1'!F515)</f>
        <v>0</v>
      </c>
      <c r="G515" s="17">
        <f>IF('Components Yr 1'!G515=0,0,'Components Yr 1'!G515)</f>
        <v>0</v>
      </c>
      <c r="H515" s="17">
        <f>IF('Components Yr 1'!H515=0,0,'Components Yr 1'!H515)</f>
        <v>0</v>
      </c>
      <c r="I515" s="17">
        <f>IF('Components Yr 1'!I515=0,0,'Components Yr 1'!I515)</f>
        <v>0</v>
      </c>
      <c r="J515" s="17">
        <f>IF('Components Yr 1'!J515=0,0,'Components Yr 1'!J515)</f>
        <v>0</v>
      </c>
      <c r="K515" s="12"/>
      <c r="L515" s="12"/>
      <c r="M515" s="12"/>
      <c r="N515" s="12"/>
      <c r="O515" s="12"/>
      <c r="P515" s="12"/>
      <c r="Q515" s="17"/>
      <c r="R515" s="18">
        <f>IF(SUMPRODUCT((E515:Q515)*1)=0,0,E515*INDEX(Hours!M:M,MATCH(C515,Hours!$A:$A,0))+F515*INDEX(Hours!B:B,MATCH(C515,Hours!$A:$A,0))+G515*INDEX(Hours!C:C,MATCH(C515,Hours!$A:$A,0))+H515*INDEX(Hours!D:D,MATCH(C515,Hours!$A:$A,0))+I515*INDEX(Hours!E:E,MATCH(C515,Hours!$A:$A,0))+J515*INDEX(Hours!F:F,MATCH(C515,Hours!$A:$A,0)))</f>
        <v>0</v>
      </c>
      <c r="S515" s="19">
        <f t="shared" si="17"/>
        <v>0</v>
      </c>
    </row>
    <row r="516" spans="1:19" x14ac:dyDescent="0.25">
      <c r="A516" s="15" t="str">
        <f>'Bldgs &amp; Rooms'!$A$15</f>
        <v>Main Bldg.</v>
      </c>
      <c r="B516" s="15">
        <f>'Bldgs &amp; Rooms'!$B$15</f>
        <v>0</v>
      </c>
      <c r="C516" s="14" t="str">
        <f>Hours!$A$35</f>
        <v>HVAC Equipment (Large)</v>
      </c>
      <c r="D516" s="15">
        <f t="shared" si="16"/>
        <v>0</v>
      </c>
      <c r="E516" s="16">
        <f>IF('Components Yr 1'!E516=0,0,'Components Yr 1'!E516)</f>
        <v>0</v>
      </c>
      <c r="F516" s="17">
        <f>IF('Components Yr 1'!F516=0,0,'Components Yr 1'!F516)</f>
        <v>0</v>
      </c>
      <c r="G516" s="17">
        <f>IF('Components Yr 1'!G516=0,0,'Components Yr 1'!G516)</f>
        <v>0</v>
      </c>
      <c r="H516" s="17">
        <f>IF('Components Yr 1'!H516=0,0,'Components Yr 1'!H516)</f>
        <v>0</v>
      </c>
      <c r="I516" s="17">
        <f>IF('Components Yr 1'!I516=0,0,'Components Yr 1'!I516)</f>
        <v>0</v>
      </c>
      <c r="J516" s="17">
        <f>IF('Components Yr 1'!J516=0,0,'Components Yr 1'!J516)</f>
        <v>0</v>
      </c>
      <c r="K516" s="12"/>
      <c r="L516" s="12"/>
      <c r="M516" s="12"/>
      <c r="N516" s="12"/>
      <c r="O516" s="12"/>
      <c r="P516" s="12"/>
      <c r="Q516" s="17"/>
      <c r="R516" s="18">
        <f>IF(SUMPRODUCT((E516:Q516)*1)=0,0,E516*INDEX(Hours!M:M,MATCH(C516,Hours!$A:$A,0))+F516*INDEX(Hours!B:B,MATCH(C516,Hours!$A:$A,0))+G516*INDEX(Hours!C:C,MATCH(C516,Hours!$A:$A,0))+H516*INDEX(Hours!D:D,MATCH(C516,Hours!$A:$A,0))+I516*INDEX(Hours!E:E,MATCH(C516,Hours!$A:$A,0))+J516*INDEX(Hours!F:F,MATCH(C516,Hours!$A:$A,0)))</f>
        <v>0</v>
      </c>
      <c r="S516" s="19">
        <f t="shared" si="17"/>
        <v>0</v>
      </c>
    </row>
    <row r="517" spans="1:19" x14ac:dyDescent="0.25">
      <c r="A517" s="15" t="str">
        <f>'Bldgs &amp; Rooms'!$A$15</f>
        <v>Main Bldg.</v>
      </c>
      <c r="B517" s="15">
        <f>'Bldgs &amp; Rooms'!$B$15</f>
        <v>0</v>
      </c>
      <c r="C517" s="14" t="str">
        <f>Hours!$A$36</f>
        <v>HVAC Equipment (Small)</v>
      </c>
      <c r="D517" s="15">
        <f t="shared" si="16"/>
        <v>0</v>
      </c>
      <c r="E517" s="16">
        <f>IF('Components Yr 1'!E517=0,0,'Components Yr 1'!E517)</f>
        <v>0</v>
      </c>
      <c r="F517" s="17">
        <f>IF('Components Yr 1'!F517=0,0,'Components Yr 1'!F517)</f>
        <v>0</v>
      </c>
      <c r="G517" s="17">
        <f>IF('Components Yr 1'!G517=0,0,'Components Yr 1'!G517)</f>
        <v>0</v>
      </c>
      <c r="H517" s="17">
        <f>IF('Components Yr 1'!H517=0,0,'Components Yr 1'!H517)</f>
        <v>0</v>
      </c>
      <c r="I517" s="17">
        <f>IF('Components Yr 1'!I517=0,0,'Components Yr 1'!I517)</f>
        <v>0</v>
      </c>
      <c r="J517" s="17">
        <f>IF('Components Yr 1'!J517=0,0,'Components Yr 1'!J517)</f>
        <v>0</v>
      </c>
      <c r="K517" s="12"/>
      <c r="L517" s="12"/>
      <c r="M517" s="12"/>
      <c r="N517" s="12"/>
      <c r="O517" s="12"/>
      <c r="P517" s="12"/>
      <c r="Q517" s="17"/>
      <c r="R517" s="18">
        <f>IF(SUMPRODUCT((E517:Q517)*1)=0,0,E517*INDEX(Hours!M:M,MATCH(C517,Hours!$A:$A,0))+F517*INDEX(Hours!B:B,MATCH(C517,Hours!$A:$A,0))+G517*INDEX(Hours!C:C,MATCH(C517,Hours!$A:$A,0))+H517*INDEX(Hours!D:D,MATCH(C517,Hours!$A:$A,0))+I517*INDEX(Hours!E:E,MATCH(C517,Hours!$A:$A,0))+J517*INDEX(Hours!F:F,MATCH(C517,Hours!$A:$A,0)))</f>
        <v>0</v>
      </c>
      <c r="S517" s="19">
        <f t="shared" si="17"/>
        <v>0</v>
      </c>
    </row>
    <row r="518" spans="1:19" x14ac:dyDescent="0.25">
      <c r="A518" s="15" t="str">
        <f>'Bldgs &amp; Rooms'!$A$15</f>
        <v>Main Bldg.</v>
      </c>
      <c r="B518" s="15">
        <f>'Bldgs &amp; Rooms'!$B$15</f>
        <v>0</v>
      </c>
      <c r="C518" s="14" t="str">
        <f>Hours!$A$37</f>
        <v>Uninterruptible Power Supply (UPS) &lt; 50kVA</v>
      </c>
      <c r="D518" s="15">
        <f t="shared" si="16"/>
        <v>0</v>
      </c>
      <c r="E518" s="16">
        <f>IF('Components Yr 1'!E518=0,0,'Components Yr 1'!E518)</f>
        <v>0</v>
      </c>
      <c r="F518" s="17">
        <f>IF('Components Yr 1'!F518=0,0,'Components Yr 1'!F518)</f>
        <v>0</v>
      </c>
      <c r="G518" s="17">
        <f>IF('Components Yr 1'!G518=0,0,'Components Yr 1'!G518)</f>
        <v>0</v>
      </c>
      <c r="H518" s="17">
        <f>IF('Components Yr 1'!H518=0,0,'Components Yr 1'!H518)</f>
        <v>0</v>
      </c>
      <c r="I518" s="17">
        <f>IF('Components Yr 1'!I518=0,0,'Components Yr 1'!I518)</f>
        <v>0</v>
      </c>
      <c r="J518" s="17">
        <f>IF('Components Yr 1'!J518=0,0,'Components Yr 1'!J518)</f>
        <v>0</v>
      </c>
      <c r="K518" s="12"/>
      <c r="L518" s="12"/>
      <c r="M518" s="12"/>
      <c r="N518" s="12"/>
      <c r="O518" s="12"/>
      <c r="P518" s="12"/>
      <c r="Q518" s="17"/>
      <c r="R518" s="18">
        <f>IF(SUMPRODUCT((E518:Q518)*1)=0,0,E518*INDEX(Hours!M:M,MATCH(C518,Hours!$A:$A,0))+F518*INDEX(Hours!B:B,MATCH(C518,Hours!$A:$A,0))+G518*INDEX(Hours!C:C,MATCH(C518,Hours!$A:$A,0))+H518*INDEX(Hours!D:D,MATCH(C518,Hours!$A:$A,0))+I518*INDEX(Hours!E:E,MATCH(C518,Hours!$A:$A,0))+J518*INDEX(Hours!F:F,MATCH(C518,Hours!$A:$A,0)))</f>
        <v>0</v>
      </c>
      <c r="S518" s="19">
        <f t="shared" si="17"/>
        <v>0</v>
      </c>
    </row>
    <row r="519" spans="1:19" x14ac:dyDescent="0.25">
      <c r="A519" s="15" t="str">
        <f>'Bldgs &amp; Rooms'!$A$15</f>
        <v>Main Bldg.</v>
      </c>
      <c r="B519" s="15">
        <f>'Bldgs &amp; Rooms'!$B$15</f>
        <v>0</v>
      </c>
      <c r="C519" s="14" t="str">
        <f>Hours!$A$38</f>
        <v>Uninterruptible Power Supply (UPS) &gt; 50kVA</v>
      </c>
      <c r="D519" s="15">
        <f t="shared" si="16"/>
        <v>0</v>
      </c>
      <c r="E519" s="16">
        <f>IF('Components Yr 1'!E519=0,0,'Components Yr 1'!E519)</f>
        <v>0</v>
      </c>
      <c r="F519" s="17">
        <f>IF('Components Yr 1'!F519=0,0,'Components Yr 1'!F519)</f>
        <v>0</v>
      </c>
      <c r="G519" s="17">
        <f>IF('Components Yr 1'!G519=0,0,'Components Yr 1'!G519)</f>
        <v>0</v>
      </c>
      <c r="H519" s="17">
        <f>IF('Components Yr 1'!H519=0,0,'Components Yr 1'!H519)</f>
        <v>0</v>
      </c>
      <c r="I519" s="17">
        <f>IF('Components Yr 1'!I519=0,0,'Components Yr 1'!I519)</f>
        <v>0</v>
      </c>
      <c r="J519" s="17">
        <f>IF('Components Yr 1'!J519=0,0,'Components Yr 1'!J519)</f>
        <v>0</v>
      </c>
      <c r="K519" s="12"/>
      <c r="L519" s="12"/>
      <c r="M519" s="12"/>
      <c r="N519" s="12"/>
      <c r="O519" s="12"/>
      <c r="P519" s="12"/>
      <c r="Q519" s="17"/>
      <c r="R519" s="18">
        <f>IF(SUMPRODUCT((E519:Q519)*1)=0,0,E519*INDEX(Hours!M:M,MATCH(C519,Hours!$A:$A,0))+F519*INDEX(Hours!B:B,MATCH(C519,Hours!$A:$A,0))+G519*INDEX(Hours!C:C,MATCH(C519,Hours!$A:$A,0))+H519*INDEX(Hours!D:D,MATCH(C519,Hours!$A:$A,0))+I519*INDEX(Hours!E:E,MATCH(C519,Hours!$A:$A,0))+J519*INDEX(Hours!F:F,MATCH(C519,Hours!$A:$A,0)))</f>
        <v>0</v>
      </c>
      <c r="S519" s="19">
        <f t="shared" si="17"/>
        <v>0</v>
      </c>
    </row>
    <row r="520" spans="1:19" x14ac:dyDescent="0.25">
      <c r="A520" s="11" t="str">
        <f>'Bldgs &amp; Rooms'!$A$16</f>
        <v>Main Bldg.</v>
      </c>
      <c r="B520" s="11">
        <f>'Bldgs &amp; Rooms'!$B$16</f>
        <v>0</v>
      </c>
      <c r="C520" s="10" t="str">
        <f>Hours!$A$2</f>
        <v>Switchgear - Incoming Main Service (Per Section)</v>
      </c>
      <c r="D520" s="11">
        <f t="shared" si="16"/>
        <v>0</v>
      </c>
      <c r="E520" s="16">
        <f>IF('Components Yr 1'!E520=0,0,'Components Yr 1'!E520)</f>
        <v>0</v>
      </c>
      <c r="F520" s="17">
        <f>IF('Components Yr 1'!F520=0,0,'Components Yr 1'!F520)</f>
        <v>0</v>
      </c>
      <c r="G520" s="17">
        <f>IF('Components Yr 1'!G520=0,0,'Components Yr 1'!G520)</f>
        <v>0</v>
      </c>
      <c r="H520" s="17">
        <f>IF('Components Yr 1'!H520=0,0,'Components Yr 1'!H520)</f>
        <v>0</v>
      </c>
      <c r="I520" s="17">
        <f>IF('Components Yr 1'!I520=0,0,'Components Yr 1'!I520)</f>
        <v>0</v>
      </c>
      <c r="J520" s="17">
        <f>IF('Components Yr 1'!J520=0,0,'Components Yr 1'!J520)</f>
        <v>0</v>
      </c>
      <c r="K520" s="17">
        <f>IF('Components Yr 1'!K520=0,0,'Components Yr 1'!K520)</f>
        <v>0</v>
      </c>
      <c r="L520" s="17">
        <f>IF('Components Yr 1'!L520=0,0,'Components Yr 1'!L520)</f>
        <v>0</v>
      </c>
      <c r="M520" s="12"/>
      <c r="N520" s="12"/>
      <c r="O520" s="17">
        <f>IF('Components Yr 1'!O520=0,0,'Components Yr 1'!O520)</f>
        <v>0</v>
      </c>
      <c r="P520" s="12"/>
      <c r="Q520" s="17"/>
      <c r="R520" s="18">
        <f>IF(SUMPRODUCT((E520:Q520)*1)=0,0,E520*INDEX(Hours!M:M,MATCH(C520,Hours!$A:$A,0))+F520*INDEX(Hours!B:B,MATCH(C520,Hours!$A:$A,0))+G520*INDEX(Hours!C:C,MATCH(C520,Hours!$A:$A,0))+H520*INDEX(Hours!D:D,MATCH(C520,Hours!$A:$A,0))+I520*INDEX(Hours!E:E,MATCH(C520,Hours!$A:$A,0))+J520*INDEX(Hours!F:F,MATCH(C520,Hours!$A:$A,0))+K520*INDEX(Hours!G:G,MATCH(C520,Hours!$A:$A,0))+L520*INDEX(Hours!H:H,MATCH(C520,Hours!$A:$A,0))+O520*INDEX(Hours!K:K,MATCH(C520,Hours!$A:$A,0)))</f>
        <v>0</v>
      </c>
      <c r="S520" s="19">
        <f t="shared" si="17"/>
        <v>0</v>
      </c>
    </row>
    <row r="521" spans="1:19" x14ac:dyDescent="0.25">
      <c r="A521" s="11" t="str">
        <f>'Bldgs &amp; Rooms'!$A$16</f>
        <v>Main Bldg.</v>
      </c>
      <c r="B521" s="11">
        <f>'Bldgs &amp; Rooms'!$B$16</f>
        <v>0</v>
      </c>
      <c r="C521" s="10" t="str">
        <f>Hours!$A$3</f>
        <v xml:space="preserve">  Switchgear Insulated Case Breakers (Bus Mounted)</v>
      </c>
      <c r="D521" s="11">
        <f t="shared" si="16"/>
        <v>0</v>
      </c>
      <c r="E521" s="16">
        <f>IF('Components Yr 1'!E521=0,0,'Components Yr 1'!E521)</f>
        <v>0</v>
      </c>
      <c r="F521" s="17">
        <f>IF('Components Yr 1'!F521=0,0,'Components Yr 1'!F521)</f>
        <v>0</v>
      </c>
      <c r="G521" s="17">
        <f>IF('Components Yr 1'!G521=0,0,'Components Yr 1'!G521)</f>
        <v>0</v>
      </c>
      <c r="H521" s="17">
        <f>IF('Components Yr 1'!H521=0,0,'Components Yr 1'!H521)</f>
        <v>0</v>
      </c>
      <c r="I521" s="17">
        <f>IF('Components Yr 1'!I521=0,0,'Components Yr 1'!I521)</f>
        <v>0</v>
      </c>
      <c r="J521" s="17">
        <f>IF('Components Yr 1'!J521=0,0,'Components Yr 1'!J521)</f>
        <v>0</v>
      </c>
      <c r="K521" s="17">
        <f>IF('Components Yr 1'!K521=0,0,'Components Yr 1'!K521)</f>
        <v>0</v>
      </c>
      <c r="L521" s="12"/>
      <c r="M521" s="12"/>
      <c r="N521" s="12"/>
      <c r="O521" s="12"/>
      <c r="P521" s="12"/>
      <c r="Q521" s="17"/>
      <c r="R521" s="18">
        <f>IF(SUMPRODUCT((E521:Q521)*1)=0,0,E521*INDEX(Hours!M:M,MATCH(C521,Hours!$A:$A,0))+F521*INDEX(Hours!B:B,MATCH(C521,Hours!$A:$A,0))+G521*INDEX(Hours!C:C,MATCH(C521,Hours!$A:$A,0))+H521*INDEX(Hours!D:D,MATCH(C521,Hours!$A:$A,0))+I521*INDEX(Hours!E:E,MATCH(C521,Hours!$A:$A,0))+J521*INDEX(Hours!F:F,MATCH(C521,Hours!$A:$A,0))+K521*INDEX(Hours!G:G,MATCH(C521,Hours!$A:$A,0)))</f>
        <v>0</v>
      </c>
      <c r="S521" s="19">
        <f t="shared" si="17"/>
        <v>0</v>
      </c>
    </row>
    <row r="522" spans="1:19" x14ac:dyDescent="0.25">
      <c r="A522" s="11" t="str">
        <f>'Bldgs &amp; Rooms'!$A$16</f>
        <v>Main Bldg.</v>
      </c>
      <c r="B522" s="11">
        <f>'Bldgs &amp; Rooms'!$B$16</f>
        <v>0</v>
      </c>
      <c r="C522" s="10" t="str">
        <f>Hours!$A$4</f>
        <v xml:space="preserve">  SwitchGear Drawout Breakers</v>
      </c>
      <c r="D522" s="11">
        <f t="shared" si="16"/>
        <v>0</v>
      </c>
      <c r="E522" s="16">
        <f>IF('Components Yr 1'!E522=0,0,'Components Yr 1'!E522)</f>
        <v>0</v>
      </c>
      <c r="F522" s="17">
        <f>IF('Components Yr 1'!F522=0,0,'Components Yr 1'!F522)</f>
        <v>0</v>
      </c>
      <c r="G522" s="17">
        <f>IF('Components Yr 1'!G522=0,0,'Components Yr 1'!G522)</f>
        <v>0</v>
      </c>
      <c r="H522" s="17">
        <f>IF('Components Yr 1'!H522=0,0,'Components Yr 1'!H522)</f>
        <v>0</v>
      </c>
      <c r="I522" s="17">
        <f>IF('Components Yr 1'!I522=0,0,'Components Yr 1'!I522)</f>
        <v>0</v>
      </c>
      <c r="J522" s="17">
        <f>IF('Components Yr 1'!J522=0,0,'Components Yr 1'!J522)</f>
        <v>0</v>
      </c>
      <c r="K522" s="12"/>
      <c r="L522" s="17">
        <f>IF('Components Yr 1'!L522=0,0,'Components Yr 1'!L522)</f>
        <v>0</v>
      </c>
      <c r="M522" s="12"/>
      <c r="N522" s="12"/>
      <c r="O522" s="12"/>
      <c r="P522" s="12"/>
      <c r="Q522" s="17"/>
      <c r="R522" s="18">
        <f>IF(SUMPRODUCT((E522:Q522)*1)=0,0,E522*INDEX(Hours!M:M,MATCH(C522,Hours!$A:$A,0))+F522*INDEX(Hours!B:B,MATCH(C522,Hours!$A:$A,0))+G522*INDEX(Hours!C:C,MATCH(C522,Hours!$A:$A,0))+H522*INDEX(Hours!D:D,MATCH(C522,Hours!$A:$A,0))+I522*INDEX(Hours!E:E,MATCH(C522,Hours!$A:$A,0))+J522*INDEX(Hours!F:F,MATCH(C522,Hours!$A:$A,0))+L522*INDEX(Hours!H:H,MATCH(C522,Hours!$A:$A,0)))</f>
        <v>0</v>
      </c>
      <c r="S522" s="19">
        <f t="shared" si="17"/>
        <v>0</v>
      </c>
    </row>
    <row r="523" spans="1:19" x14ac:dyDescent="0.25">
      <c r="A523" s="11" t="str">
        <f>'Bldgs &amp; Rooms'!$A$16</f>
        <v>Main Bldg.</v>
      </c>
      <c r="B523" s="11">
        <f>'Bldgs &amp; Rooms'!$B$16</f>
        <v>0</v>
      </c>
      <c r="C523" s="10" t="str">
        <f>Hours!$A$5</f>
        <v>Distribution Switchboard Multi Cover (Per Section)</v>
      </c>
      <c r="D523" s="11">
        <f t="shared" si="16"/>
        <v>0</v>
      </c>
      <c r="E523" s="16">
        <f>IF('Components Yr 1'!E523=0,0,'Components Yr 1'!E523)</f>
        <v>0</v>
      </c>
      <c r="F523" s="17">
        <f>IF('Components Yr 1'!F523=0,0,'Components Yr 1'!F523)</f>
        <v>0</v>
      </c>
      <c r="G523" s="17">
        <f>IF('Components Yr 1'!G523=0,0,'Components Yr 1'!G523)</f>
        <v>0</v>
      </c>
      <c r="H523" s="17">
        <f>IF('Components Yr 1'!H523=0,0,'Components Yr 1'!H523)</f>
        <v>0</v>
      </c>
      <c r="I523" s="17">
        <f>IF('Components Yr 1'!I523=0,0,'Components Yr 1'!I523)</f>
        <v>0</v>
      </c>
      <c r="J523" s="17">
        <f>IF('Components Yr 1'!J523=0,0,'Components Yr 1'!J523)</f>
        <v>0</v>
      </c>
      <c r="K523" s="17">
        <f>IF('Components Yr 1'!K523=0,0,'Components Yr 1'!K523)</f>
        <v>0</v>
      </c>
      <c r="L523" s="12"/>
      <c r="M523" s="12"/>
      <c r="N523" s="12"/>
      <c r="O523" s="17">
        <f>IF('Components Yr 1'!O523=0,0,'Components Yr 1'!O523)</f>
        <v>0</v>
      </c>
      <c r="P523" s="12"/>
      <c r="Q523" s="17"/>
      <c r="R523" s="18">
        <f>IF(SUMPRODUCT((E523:Q523)*1)=0,0,E523*INDEX(Hours!M:M,MATCH(C523,Hours!$A:$A,0))+F523*INDEX(Hours!B:B,MATCH(C523,Hours!$A:$A,0))+G523*INDEX(Hours!C:C,MATCH(C523,Hours!$A:$A,0))+H523*INDEX(Hours!D:D,MATCH(C523,Hours!$A:$A,0))+I523*INDEX(Hours!E:E,MATCH(C523,Hours!$A:$A,0))+J523*INDEX(Hours!F:F,MATCH(C523,Hours!$A:$A,0))+K523*INDEX(Hours!G:G,MATCH(C523,Hours!$A:$A,0))+O523*INDEX(Hours!K:K,MATCH(C523,Hours!$A:$A,0)))</f>
        <v>0</v>
      </c>
      <c r="S523" s="19">
        <f t="shared" si="17"/>
        <v>0</v>
      </c>
    </row>
    <row r="524" spans="1:19" x14ac:dyDescent="0.25">
      <c r="A524" s="11" t="str">
        <f>'Bldgs &amp; Rooms'!$A$16</f>
        <v>Main Bldg.</v>
      </c>
      <c r="B524" s="11">
        <f>'Bldgs &amp; Rooms'!$B$16</f>
        <v>0</v>
      </c>
      <c r="C524" s="10" t="str">
        <f>Hours!$A$6</f>
        <v xml:space="preserve">  Switchboard Disconnects</v>
      </c>
      <c r="D524" s="11">
        <f t="shared" si="16"/>
        <v>0</v>
      </c>
      <c r="E524" s="16">
        <f>IF('Components Yr 1'!E524=0,0,'Components Yr 1'!E524)</f>
        <v>0</v>
      </c>
      <c r="F524" s="17">
        <f>IF('Components Yr 1'!F524=0,0,'Components Yr 1'!F524)</f>
        <v>0</v>
      </c>
      <c r="G524" s="17">
        <f>IF('Components Yr 1'!G524=0,0,'Components Yr 1'!G524)</f>
        <v>0</v>
      </c>
      <c r="H524" s="17">
        <f>IF('Components Yr 1'!H524=0,0,'Components Yr 1'!H524)</f>
        <v>0</v>
      </c>
      <c r="I524" s="17">
        <f>IF('Components Yr 1'!I524=0,0,'Components Yr 1'!I524)</f>
        <v>0</v>
      </c>
      <c r="J524" s="17">
        <f>IF('Components Yr 1'!J524=0,0,'Components Yr 1'!J524)</f>
        <v>0</v>
      </c>
      <c r="K524" s="12"/>
      <c r="L524" s="12"/>
      <c r="M524" s="12"/>
      <c r="N524" s="12"/>
      <c r="O524" s="12"/>
      <c r="P524" s="12"/>
      <c r="Q524" s="17"/>
      <c r="R524" s="18">
        <f>IF(SUMPRODUCT((E524:Q524)*1)=0,0,E524*INDEX(Hours!M:M,MATCH(C524,Hours!$A:$A,0))+F524*INDEX(Hours!B:B,MATCH(C524,Hours!$A:$A,0))+G524*INDEX(Hours!C:C,MATCH(C524,Hours!$A:$A,0))+H524*INDEX(Hours!D:D,MATCH(C524,Hours!$A:$A,0))+I524*INDEX(Hours!E:E,MATCH(C524,Hours!$A:$A,0))+J524*INDEX(Hours!F:F,MATCH(C524,Hours!$A:$A,0)))</f>
        <v>0</v>
      </c>
      <c r="S524" s="19">
        <f t="shared" si="17"/>
        <v>0</v>
      </c>
    </row>
    <row r="525" spans="1:19" x14ac:dyDescent="0.25">
      <c r="A525" s="11" t="str">
        <f>'Bldgs &amp; Rooms'!$A$16</f>
        <v>Main Bldg.</v>
      </c>
      <c r="B525" s="11">
        <f>'Bldgs &amp; Rooms'!$B$16</f>
        <v>0</v>
      </c>
      <c r="C525" s="10" t="str">
        <f>Hours!$A$7</f>
        <v xml:space="preserve">  Switchboard Molded Case Breakers</v>
      </c>
      <c r="D525" s="11">
        <f t="shared" si="16"/>
        <v>0</v>
      </c>
      <c r="E525" s="16">
        <f>IF('Components Yr 1'!E525=0,0,'Components Yr 1'!E525)</f>
        <v>0</v>
      </c>
      <c r="F525" s="17">
        <f>IF('Components Yr 1'!F525=0,0,'Components Yr 1'!F525)</f>
        <v>0</v>
      </c>
      <c r="G525" s="17">
        <f>IF('Components Yr 1'!G525=0,0,'Components Yr 1'!G525)</f>
        <v>0</v>
      </c>
      <c r="H525" s="17">
        <f>IF('Components Yr 1'!H525=0,0,'Components Yr 1'!H525)</f>
        <v>0</v>
      </c>
      <c r="I525" s="17">
        <f>IF('Components Yr 1'!I525=0,0,'Components Yr 1'!I525)</f>
        <v>0</v>
      </c>
      <c r="J525" s="17">
        <f>IF('Components Yr 1'!J525=0,0,'Components Yr 1'!J525)</f>
        <v>0</v>
      </c>
      <c r="K525" s="17">
        <f>IF('Components Yr 1'!K525=0,0,'Components Yr 1'!K525)</f>
        <v>0</v>
      </c>
      <c r="L525" s="12"/>
      <c r="M525" s="12"/>
      <c r="N525" s="12"/>
      <c r="O525" s="12"/>
      <c r="P525" s="12"/>
      <c r="Q525" s="17"/>
      <c r="R525" s="18">
        <f>IF(SUMPRODUCT((E525:Q525)*1)=0,0,E525*INDEX(Hours!M:M,MATCH(C525,Hours!$A:$A,0))+F525*INDEX(Hours!B:B,MATCH(C525,Hours!$A:$A,0))+G525*INDEX(Hours!C:C,MATCH(C525,Hours!$A:$A,0))+H525*INDEX(Hours!D:D,MATCH(C525,Hours!$A:$A,0))+I525*INDEX(Hours!E:E,MATCH(C525,Hours!$A:$A,0))+J525*INDEX(Hours!F:F,MATCH(C525,Hours!$A:$A,0))+K525*INDEX(Hours!G:G,MATCH(C525,Hours!$A:$A,0)))</f>
        <v>0</v>
      </c>
      <c r="S525" s="19">
        <f t="shared" si="17"/>
        <v>0</v>
      </c>
    </row>
    <row r="526" spans="1:19" x14ac:dyDescent="0.25">
      <c r="A526" s="11" t="str">
        <f>'Bldgs &amp; Rooms'!$A$16</f>
        <v>Main Bldg.</v>
      </c>
      <c r="B526" s="11">
        <f>'Bldgs &amp; Rooms'!$B$16</f>
        <v>0</v>
      </c>
      <c r="C526" s="10" t="str">
        <f>Hours!$A$8</f>
        <v>Panelboard-Single Cover &gt; 400A (Distribution Panel)</v>
      </c>
      <c r="D526" s="11">
        <f t="shared" si="16"/>
        <v>0</v>
      </c>
      <c r="E526" s="16">
        <f>IF('Components Yr 1'!E526=0,0,'Components Yr 1'!E526)</f>
        <v>0</v>
      </c>
      <c r="F526" s="17">
        <f>IF('Components Yr 1'!F526=0,0,'Components Yr 1'!F526)</f>
        <v>0</v>
      </c>
      <c r="G526" s="17">
        <f>IF('Components Yr 1'!G526=0,0,'Components Yr 1'!G526)</f>
        <v>0</v>
      </c>
      <c r="H526" s="17">
        <f>IF('Components Yr 1'!H526=0,0,'Components Yr 1'!H526)</f>
        <v>0</v>
      </c>
      <c r="I526" s="17">
        <f>IF('Components Yr 1'!I526=0,0,'Components Yr 1'!I526)</f>
        <v>0</v>
      </c>
      <c r="J526" s="17">
        <f>IF('Components Yr 1'!J526=0,0,'Components Yr 1'!J526)</f>
        <v>0</v>
      </c>
      <c r="K526" s="17">
        <f>IF('Components Yr 1'!K526=0,0,'Components Yr 1'!K526)</f>
        <v>0</v>
      </c>
      <c r="L526" s="12"/>
      <c r="M526" s="12"/>
      <c r="N526" s="12"/>
      <c r="O526" s="17">
        <f>IF('Components Yr 1'!O526=0,0,'Components Yr 1'!O526)</f>
        <v>0</v>
      </c>
      <c r="P526" s="12"/>
      <c r="Q526" s="17"/>
      <c r="R526" s="18">
        <f>IF(SUMPRODUCT((E526:Q526)*1)=0,0,E526*INDEX(Hours!M:M,MATCH(C526,Hours!$A:$A,0))+F526*INDEX(Hours!B:B,MATCH(C526,Hours!$A:$A,0))+G526*INDEX(Hours!C:C,MATCH(C526,Hours!$A:$A,0))+H526*INDEX(Hours!D:D,MATCH(C526,Hours!$A:$A,0))+I526*INDEX(Hours!E:E,MATCH(C526,Hours!$A:$A,0))+J526*INDEX(Hours!F:F,MATCH(C526,Hours!$A:$A,0))+K526*INDEX(Hours!G:G,MATCH(C526,Hours!$A:$A,0))+O526*INDEX(Hours!K:K,MATCH(C526,Hours!$A:$A,0)))</f>
        <v>0</v>
      </c>
      <c r="S526" s="19">
        <f t="shared" si="17"/>
        <v>0</v>
      </c>
    </row>
    <row r="527" spans="1:19" x14ac:dyDescent="0.25">
      <c r="A527" s="11" t="str">
        <f>'Bldgs &amp; Rooms'!$A$16</f>
        <v>Main Bldg.</v>
      </c>
      <c r="B527" s="11">
        <f>'Bldgs &amp; Rooms'!$B$16</f>
        <v>0</v>
      </c>
      <c r="C527" s="10" t="str">
        <f>Hours!$A$9</f>
        <v>Panelboard-Single Cover &lt; 400A (Branch Ckt Panel)</v>
      </c>
      <c r="D527" s="11">
        <f t="shared" si="16"/>
        <v>0</v>
      </c>
      <c r="E527" s="16">
        <f>IF('Components Yr 1'!E527=0,0,'Components Yr 1'!E527)</f>
        <v>0</v>
      </c>
      <c r="F527" s="17">
        <f>IF('Components Yr 1'!F527=0,0,'Components Yr 1'!F527)</f>
        <v>0</v>
      </c>
      <c r="G527" s="17">
        <f>IF('Components Yr 1'!G527=0,0,'Components Yr 1'!G527)</f>
        <v>0</v>
      </c>
      <c r="H527" s="17">
        <f>IF('Components Yr 1'!H527=0,0,'Components Yr 1'!H527)</f>
        <v>0</v>
      </c>
      <c r="I527" s="17">
        <f>IF('Components Yr 1'!I527=0,0,'Components Yr 1'!I527)</f>
        <v>0</v>
      </c>
      <c r="J527" s="17">
        <f>IF('Components Yr 1'!J527=0,0,'Components Yr 1'!J527)</f>
        <v>0</v>
      </c>
      <c r="K527" s="12"/>
      <c r="L527" s="12"/>
      <c r="M527" s="12"/>
      <c r="N527" s="12"/>
      <c r="O527" s="17">
        <f>IF('Components Yr 1'!O527=0,0,'Components Yr 1'!O527)</f>
        <v>0</v>
      </c>
      <c r="P527" s="12"/>
      <c r="Q527" s="17"/>
      <c r="R527" s="18">
        <f>IF(SUMPRODUCT((E527:Q527)*1)=0,0,E527*INDEX(Hours!M:M,MATCH(C527,Hours!$A:$A,0))+F527*INDEX(Hours!B:B,MATCH(C527,Hours!$A:$A,0))+G527*INDEX(Hours!C:C,MATCH(C527,Hours!$A:$A,0))+H527*INDEX(Hours!D:D,MATCH(C527,Hours!$A:$A,0))+I527*INDEX(Hours!E:E,MATCH(C527,Hours!$A:$A,0))+J527*INDEX(Hours!F:F,MATCH(C527,Hours!$A:$A,0))+O527*INDEX(Hours!K:K,MATCH(C527,Hours!$A:$A,0)))</f>
        <v>0</v>
      </c>
      <c r="S527" s="19">
        <f t="shared" si="17"/>
        <v>0</v>
      </c>
    </row>
    <row r="528" spans="1:19" x14ac:dyDescent="0.25">
      <c r="A528" s="11" t="str">
        <f>'Bldgs &amp; Rooms'!$A$16</f>
        <v>Main Bldg.</v>
      </c>
      <c r="B528" s="11">
        <f>'Bldgs &amp; Rooms'!$B$16</f>
        <v>0</v>
      </c>
      <c r="C528" s="10" t="str">
        <f>Hours!$A$10</f>
        <v>Motor Control Center (MCC-Per Vertical Section)</v>
      </c>
      <c r="D528" s="11">
        <f t="shared" si="16"/>
        <v>0</v>
      </c>
      <c r="E528" s="16">
        <f>IF('Components Yr 1'!E528=0,0,'Components Yr 1'!E528)</f>
        <v>0</v>
      </c>
      <c r="F528" s="17">
        <f>IF('Components Yr 1'!F528=0,0,'Components Yr 1'!F528)</f>
        <v>0</v>
      </c>
      <c r="G528" s="17">
        <f>IF('Components Yr 1'!G528=0,0,'Components Yr 1'!G528)</f>
        <v>0</v>
      </c>
      <c r="H528" s="17">
        <f>IF('Components Yr 1'!H528=0,0,'Components Yr 1'!H528)</f>
        <v>0</v>
      </c>
      <c r="I528" s="17">
        <f>IF('Components Yr 1'!I528=0,0,'Components Yr 1'!I528)</f>
        <v>0</v>
      </c>
      <c r="J528" s="17">
        <f>IF('Components Yr 1'!J528=0,0,'Components Yr 1'!J528)</f>
        <v>0</v>
      </c>
      <c r="K528" s="12"/>
      <c r="L528" s="12"/>
      <c r="M528" s="12"/>
      <c r="N528" s="12"/>
      <c r="O528" s="17">
        <f>IF('Components Yr 1'!O528=0,0,'Components Yr 1'!O528)</f>
        <v>0</v>
      </c>
      <c r="P528" s="12"/>
      <c r="Q528" s="17"/>
      <c r="R528" s="18">
        <f>IF(SUMPRODUCT((E528:Q528)*1)=0,0,E528*INDEX(Hours!M:M,MATCH(C528,Hours!$A:$A,0))+F528*INDEX(Hours!B:B,MATCH(C528,Hours!$A:$A,0))+G528*INDEX(Hours!C:C,MATCH(C528,Hours!$A:$A,0))+H528*INDEX(Hours!D:D,MATCH(C528,Hours!$A:$A,0))+I528*INDEX(Hours!E:E,MATCH(C528,Hours!$A:$A,0))+J528*INDEX(Hours!F:F,MATCH(C528,Hours!$A:$A,0))+O528*INDEX(Hours!K:K,MATCH(C528,Hours!$A:$A,0)))</f>
        <v>0</v>
      </c>
      <c r="S528" s="19">
        <f t="shared" si="17"/>
        <v>0</v>
      </c>
    </row>
    <row r="529" spans="1:19" x14ac:dyDescent="0.25">
      <c r="A529" s="11" t="str">
        <f>'Bldgs &amp; Rooms'!$A$16</f>
        <v>Main Bldg.</v>
      </c>
      <c r="B529" s="11">
        <f>'Bldgs &amp; Rooms'!$B$16</f>
        <v>0</v>
      </c>
      <c r="C529" s="10" t="str">
        <f>Hours!$A$11</f>
        <v xml:space="preserve">  MCC: Combination Motor Starters</v>
      </c>
      <c r="D529" s="11">
        <f t="shared" si="16"/>
        <v>0</v>
      </c>
      <c r="E529" s="16">
        <f>IF('Components Yr 1'!E529=0,0,'Components Yr 1'!E529)</f>
        <v>0</v>
      </c>
      <c r="F529" s="17">
        <f>IF('Components Yr 1'!F529=0,0,'Components Yr 1'!F529)</f>
        <v>0</v>
      </c>
      <c r="G529" s="17">
        <f>IF('Components Yr 1'!G529=0,0,'Components Yr 1'!G529)</f>
        <v>0</v>
      </c>
      <c r="H529" s="17">
        <f>IF('Components Yr 1'!H529=0,0,'Components Yr 1'!H529)</f>
        <v>0</v>
      </c>
      <c r="I529" s="17">
        <f>IF('Components Yr 1'!I529=0,0,'Components Yr 1'!I529)</f>
        <v>0</v>
      </c>
      <c r="J529" s="17">
        <f>IF('Components Yr 1'!J529=0,0,'Components Yr 1'!J529)</f>
        <v>0</v>
      </c>
      <c r="K529" s="17">
        <f>IF('Components Yr 1'!K529=0,0,'Components Yr 1'!K529)</f>
        <v>0</v>
      </c>
      <c r="L529" s="12"/>
      <c r="M529" s="12"/>
      <c r="N529" s="12"/>
      <c r="O529" s="17">
        <f>IF('Components Yr 1'!O529=0,0,'Components Yr 1'!O529)</f>
        <v>0</v>
      </c>
      <c r="P529" s="12"/>
      <c r="Q529" s="17"/>
      <c r="R529" s="18">
        <f>IF(SUMPRODUCT((E529:Q529)*1)=0,0,E529*INDEX(Hours!M:M,MATCH(C529,Hours!$A:$A,0))+F529*INDEX(Hours!B:B,MATCH(C529,Hours!$A:$A,0))+G529*INDEX(Hours!C:C,MATCH(C529,Hours!$A:$A,0))+H529*INDEX(Hours!D:D,MATCH(C529,Hours!$A:$A,0))+I529*INDEX(Hours!E:E,MATCH(C529,Hours!$A:$A,0))+J529*INDEX(Hours!F:F,MATCH(C529,Hours!$A:$A,0))+K529*INDEX(Hours!G:G,MATCH(C529,Hours!$A:$A,0))+O529*INDEX(Hours!K:K,MATCH(C529,Hours!$A:$A,0)))</f>
        <v>0</v>
      </c>
      <c r="S529" s="19">
        <f t="shared" si="17"/>
        <v>0</v>
      </c>
    </row>
    <row r="530" spans="1:19" x14ac:dyDescent="0.25">
      <c r="A530" s="11" t="str">
        <f>'Bldgs &amp; Rooms'!$A$16</f>
        <v>Main Bldg.</v>
      </c>
      <c r="B530" s="11">
        <f>'Bldgs &amp; Rooms'!$B$16</f>
        <v>0</v>
      </c>
      <c r="C530" s="10" t="str">
        <f>Hours!$A$12</f>
        <v xml:space="preserve">  MCC: Molded Case Breaker</v>
      </c>
      <c r="D530" s="11">
        <f t="shared" si="16"/>
        <v>0</v>
      </c>
      <c r="E530" s="16">
        <f>IF('Components Yr 1'!E530=0,0,'Components Yr 1'!E530)</f>
        <v>0</v>
      </c>
      <c r="F530" s="17">
        <f>IF('Components Yr 1'!F530=0,0,'Components Yr 1'!F530)</f>
        <v>0</v>
      </c>
      <c r="G530" s="17">
        <f>IF('Components Yr 1'!G530=0,0,'Components Yr 1'!G530)</f>
        <v>0</v>
      </c>
      <c r="H530" s="17">
        <f>IF('Components Yr 1'!H530=0,0,'Components Yr 1'!H530)</f>
        <v>0</v>
      </c>
      <c r="I530" s="17">
        <f>IF('Components Yr 1'!I530=0,0,'Components Yr 1'!I530)</f>
        <v>0</v>
      </c>
      <c r="J530" s="17">
        <f>IF('Components Yr 1'!J530=0,0,'Components Yr 1'!J530)</f>
        <v>0</v>
      </c>
      <c r="K530" s="17">
        <f>IF('Components Yr 1'!K530=0,0,'Components Yr 1'!K530)</f>
        <v>0</v>
      </c>
      <c r="L530" s="12"/>
      <c r="M530" s="12"/>
      <c r="N530" s="12"/>
      <c r="O530" s="12"/>
      <c r="P530" s="12"/>
      <c r="Q530" s="17"/>
      <c r="R530" s="18">
        <f>IF(SUMPRODUCT((E530:Q530)*1)=0,0,E530*INDEX(Hours!M:M,MATCH(C530,Hours!$A:$A,0))+F530*INDEX(Hours!B:B,MATCH(C530,Hours!$A:$A,0))+G530*INDEX(Hours!C:C,MATCH(C530,Hours!$A:$A,0))+H530*INDEX(Hours!D:D,MATCH(C530,Hours!$A:$A,0))+I530*INDEX(Hours!E:E,MATCH(C530,Hours!$A:$A,0))+J530*INDEX(Hours!F:F,MATCH(C530,Hours!$A:$A,0))+K530*INDEX(Hours!G:G,MATCH(C530,Hours!$A:$A,0)))</f>
        <v>0</v>
      </c>
      <c r="S530" s="19">
        <f t="shared" si="17"/>
        <v>0</v>
      </c>
    </row>
    <row r="531" spans="1:19" x14ac:dyDescent="0.25">
      <c r="A531" s="11" t="str">
        <f>'Bldgs &amp; Rooms'!$A$16</f>
        <v>Main Bldg.</v>
      </c>
      <c r="B531" s="11">
        <f>'Bldgs &amp; Rooms'!$B$16</f>
        <v>0</v>
      </c>
      <c r="C531" s="10" t="str">
        <f>Hours!$A$13</f>
        <v xml:space="preserve">  MCC: Individual Disconnect Switch</v>
      </c>
      <c r="D531" s="11">
        <f t="shared" si="16"/>
        <v>0</v>
      </c>
      <c r="E531" s="16">
        <f>IF('Components Yr 1'!E531=0,0,'Components Yr 1'!E531)</f>
        <v>0</v>
      </c>
      <c r="F531" s="17">
        <f>IF('Components Yr 1'!F531=0,0,'Components Yr 1'!F531)</f>
        <v>0</v>
      </c>
      <c r="G531" s="17">
        <f>IF('Components Yr 1'!G531=0,0,'Components Yr 1'!G531)</f>
        <v>0</v>
      </c>
      <c r="H531" s="17">
        <f>IF('Components Yr 1'!H531=0,0,'Components Yr 1'!H531)</f>
        <v>0</v>
      </c>
      <c r="I531" s="17">
        <f>IF('Components Yr 1'!I531=0,0,'Components Yr 1'!I531)</f>
        <v>0</v>
      </c>
      <c r="J531" s="17">
        <f>IF('Components Yr 1'!J531=0,0,'Components Yr 1'!J531)</f>
        <v>0</v>
      </c>
      <c r="K531" s="12"/>
      <c r="L531" s="12"/>
      <c r="M531" s="12"/>
      <c r="N531" s="12"/>
      <c r="O531" s="12"/>
      <c r="P531" s="12"/>
      <c r="Q531" s="17"/>
      <c r="R531" s="18">
        <f>IF(SUMPRODUCT((E531:Q531)*1)=0,0,E531*INDEX(Hours!M:M,MATCH(C531,Hours!$A:$A,0))+F531*INDEX(Hours!B:B,MATCH(C531,Hours!$A:$A,0))+G531*INDEX(Hours!C:C,MATCH(C531,Hours!$A:$A,0))+H531*INDEX(Hours!D:D,MATCH(C531,Hours!$A:$A,0))+I531*INDEX(Hours!E:E,MATCH(C531,Hours!$A:$A,0))+J531*INDEX(Hours!F:F,MATCH(C531,Hours!$A:$A,0)))</f>
        <v>0</v>
      </c>
      <c r="S531" s="19">
        <f t="shared" si="17"/>
        <v>0</v>
      </c>
    </row>
    <row r="532" spans="1:19" x14ac:dyDescent="0.25">
      <c r="A532" s="11" t="str">
        <f>'Bldgs &amp; Rooms'!$A$16</f>
        <v>Main Bldg.</v>
      </c>
      <c r="B532" s="11">
        <f>'Bldgs &amp; Rooms'!$B$16</f>
        <v>0</v>
      </c>
      <c r="C532" s="10" t="str">
        <f>Hours!$A$14</f>
        <v>Motor Control Panel (MCP)</v>
      </c>
      <c r="D532" s="11">
        <f t="shared" si="16"/>
        <v>0</v>
      </c>
      <c r="E532" s="16">
        <f>IF('Components Yr 1'!E532=0,0,'Components Yr 1'!E532)</f>
        <v>0</v>
      </c>
      <c r="F532" s="17">
        <f>IF('Components Yr 1'!F532=0,0,'Components Yr 1'!F532)</f>
        <v>0</v>
      </c>
      <c r="G532" s="17">
        <f>IF('Components Yr 1'!G532=0,0,'Components Yr 1'!G532)</f>
        <v>0</v>
      </c>
      <c r="H532" s="17">
        <f>IF('Components Yr 1'!H532=0,0,'Components Yr 1'!H532)</f>
        <v>0</v>
      </c>
      <c r="I532" s="17">
        <f>IF('Components Yr 1'!I532=0,0,'Components Yr 1'!I532)</f>
        <v>0</v>
      </c>
      <c r="J532" s="17">
        <f>IF('Components Yr 1'!J532=0,0,'Components Yr 1'!J532)</f>
        <v>0</v>
      </c>
      <c r="K532" s="12"/>
      <c r="L532" s="12"/>
      <c r="M532" s="12"/>
      <c r="N532" s="12"/>
      <c r="O532" s="17">
        <f>IF('Components Yr 1'!O532=0,0,'Components Yr 1'!O532)</f>
        <v>0</v>
      </c>
      <c r="P532" s="12"/>
      <c r="Q532" s="17"/>
      <c r="R532" s="18">
        <f>IF(SUMPRODUCT((E532:Q532)*1)=0,0,E532*INDEX(Hours!M:M,MATCH(C532,Hours!$A:$A,0))+F532*INDEX(Hours!B:B,MATCH(C532,Hours!$A:$A,0))+G532*INDEX(Hours!C:C,MATCH(C532,Hours!$A:$A,0))+H532*INDEX(Hours!D:D,MATCH(C532,Hours!$A:$A,0))+I532*INDEX(Hours!E:E,MATCH(C532,Hours!$A:$A,0))+J532*INDEX(Hours!F:F,MATCH(C532,Hours!$A:$A,0))+O532*INDEX(Hours!K:K,MATCH(C532,Hours!$A:$A,0)))</f>
        <v>0</v>
      </c>
      <c r="S532" s="19">
        <f t="shared" si="17"/>
        <v>0</v>
      </c>
    </row>
    <row r="533" spans="1:19" x14ac:dyDescent="0.25">
      <c r="A533" s="11" t="str">
        <f>'Bldgs &amp; Rooms'!$A$16</f>
        <v>Main Bldg.</v>
      </c>
      <c r="B533" s="11">
        <f>'Bldgs &amp; Rooms'!$B$16</f>
        <v>0</v>
      </c>
      <c r="C533" s="10" t="str">
        <f>Hours!$A$15</f>
        <v>VFD Motor Control Panel (VFD-MCP)</v>
      </c>
      <c r="D533" s="11">
        <f t="shared" si="16"/>
        <v>0</v>
      </c>
      <c r="E533" s="16">
        <f>IF('Components Yr 1'!E533=0,0,'Components Yr 1'!E533)</f>
        <v>0</v>
      </c>
      <c r="F533" s="17">
        <f>IF('Components Yr 1'!F533=0,0,'Components Yr 1'!F533)</f>
        <v>0</v>
      </c>
      <c r="G533" s="17">
        <f>IF('Components Yr 1'!G533=0,0,'Components Yr 1'!G533)</f>
        <v>0</v>
      </c>
      <c r="H533" s="17">
        <f>IF('Components Yr 1'!H533=0,0,'Components Yr 1'!H533)</f>
        <v>0</v>
      </c>
      <c r="I533" s="17">
        <f>IF('Components Yr 1'!I533=0,0,'Components Yr 1'!I533)</f>
        <v>0</v>
      </c>
      <c r="J533" s="17">
        <f>IF('Components Yr 1'!J533=0,0,'Components Yr 1'!J533)</f>
        <v>0</v>
      </c>
      <c r="K533" s="12"/>
      <c r="L533" s="12"/>
      <c r="M533" s="12"/>
      <c r="N533" s="12"/>
      <c r="O533" s="17">
        <f>IF('Components Yr 1'!O533=0,0,'Components Yr 1'!O533)</f>
        <v>0</v>
      </c>
      <c r="P533" s="12"/>
      <c r="Q533" s="17"/>
      <c r="R533" s="18">
        <f>IF(SUMPRODUCT((E533:Q533)*1)=0,0,E533*INDEX(Hours!M:M,MATCH(C533,Hours!$A:$A,0))+F533*INDEX(Hours!B:B,MATCH(C533,Hours!$A:$A,0))+G533*INDEX(Hours!C:C,MATCH(C533,Hours!$A:$A,0))+H533*INDEX(Hours!D:D,MATCH(C533,Hours!$A:$A,0))+I533*INDEX(Hours!E:E,MATCH(C533,Hours!$A:$A,0))+J533*INDEX(Hours!F:F,MATCH(C533,Hours!$A:$A,0))+O533*INDEX(Hours!K:K,MATCH(C533,Hours!$A:$A,0)))</f>
        <v>0</v>
      </c>
      <c r="S533" s="19">
        <f t="shared" si="17"/>
        <v>0</v>
      </c>
    </row>
    <row r="534" spans="1:19" x14ac:dyDescent="0.25">
      <c r="A534" s="11" t="str">
        <f>'Bldgs &amp; Rooms'!$A$16</f>
        <v>Main Bldg.</v>
      </c>
      <c r="B534" s="11">
        <f>'Bldgs &amp; Rooms'!$B$16</f>
        <v>0</v>
      </c>
      <c r="C534" s="10" t="str">
        <f>Hours!$A$16</f>
        <v>Individual Disconnect Switch &gt; 100A</v>
      </c>
      <c r="D534" s="11">
        <f t="shared" si="16"/>
        <v>0</v>
      </c>
      <c r="E534" s="16">
        <f>IF('Components Yr 1'!E534=0,0,'Components Yr 1'!E534)</f>
        <v>0</v>
      </c>
      <c r="F534" s="17">
        <f>IF('Components Yr 1'!F534=0,0,'Components Yr 1'!F534)</f>
        <v>0</v>
      </c>
      <c r="G534" s="17">
        <f>IF('Components Yr 1'!G534=0,0,'Components Yr 1'!G534)</f>
        <v>0</v>
      </c>
      <c r="H534" s="17">
        <f>IF('Components Yr 1'!H534=0,0,'Components Yr 1'!H534)</f>
        <v>0</v>
      </c>
      <c r="I534" s="17">
        <f>IF('Components Yr 1'!I534=0,0,'Components Yr 1'!I534)</f>
        <v>0</v>
      </c>
      <c r="J534" s="17">
        <f>IF('Components Yr 1'!J534=0,0,'Components Yr 1'!J534)</f>
        <v>0</v>
      </c>
      <c r="K534" s="17">
        <f>IF('Components Yr 1'!K534=0,0,'Components Yr 1'!K534)</f>
        <v>0</v>
      </c>
      <c r="L534" s="12"/>
      <c r="M534" s="12"/>
      <c r="N534" s="12"/>
      <c r="O534" s="12"/>
      <c r="P534" s="12"/>
      <c r="Q534" s="17"/>
      <c r="R534" s="18">
        <f>IF(SUMPRODUCT((E534:Q534)*1)=0,0,E534*INDEX(Hours!M:M,MATCH(C534,Hours!$A:$A,0))+F534*INDEX(Hours!B:B,MATCH(C534,Hours!$A:$A,0))+G534*INDEX(Hours!C:C,MATCH(C534,Hours!$A:$A,0))+H534*INDEX(Hours!D:D,MATCH(C534,Hours!$A:$A,0))+I534*INDEX(Hours!E:E,MATCH(C534,Hours!$A:$A,0))+J534*INDEX(Hours!F:F,MATCH(C534,Hours!$A:$A,0))+K534*INDEX(Hours!G:G,MATCH(C534,Hours!$A:$A,0)))</f>
        <v>0</v>
      </c>
      <c r="S534" s="19">
        <f t="shared" si="17"/>
        <v>0</v>
      </c>
    </row>
    <row r="535" spans="1:19" x14ac:dyDescent="0.25">
      <c r="A535" s="11" t="str">
        <f>'Bldgs &amp; Rooms'!$A$16</f>
        <v>Main Bldg.</v>
      </c>
      <c r="B535" s="11">
        <f>'Bldgs &amp; Rooms'!$B$16</f>
        <v>0</v>
      </c>
      <c r="C535" s="10" t="str">
        <f>Hours!$A$17</f>
        <v>Individual Molded Case Breaker &gt; 100A</v>
      </c>
      <c r="D535" s="11">
        <f t="shared" si="16"/>
        <v>0</v>
      </c>
      <c r="E535" s="16">
        <f>IF('Components Yr 1'!E535=0,0,'Components Yr 1'!E535)</f>
        <v>0</v>
      </c>
      <c r="F535" s="17">
        <f>IF('Components Yr 1'!F535=0,0,'Components Yr 1'!F535)</f>
        <v>0</v>
      </c>
      <c r="G535" s="17">
        <f>IF('Components Yr 1'!G535=0,0,'Components Yr 1'!G535)</f>
        <v>0</v>
      </c>
      <c r="H535" s="17">
        <f>IF('Components Yr 1'!H535=0,0,'Components Yr 1'!H535)</f>
        <v>0</v>
      </c>
      <c r="I535" s="17">
        <f>IF('Components Yr 1'!I535=0,0,'Components Yr 1'!I535)</f>
        <v>0</v>
      </c>
      <c r="J535" s="17">
        <f>IF('Components Yr 1'!J535=0,0,'Components Yr 1'!J535)</f>
        <v>0</v>
      </c>
      <c r="K535" s="17">
        <f>IF('Components Yr 1'!K535=0,0,'Components Yr 1'!K535)</f>
        <v>0</v>
      </c>
      <c r="L535" s="12"/>
      <c r="M535" s="12"/>
      <c r="N535" s="12"/>
      <c r="O535" s="12"/>
      <c r="P535" s="12"/>
      <c r="Q535" s="17"/>
      <c r="R535" s="18">
        <f>IF(SUMPRODUCT((E535:Q535)*1)=0,0,E535*INDEX(Hours!M:M,MATCH(C535,Hours!$A:$A,0))+F535*INDEX(Hours!B:B,MATCH(C535,Hours!$A:$A,0))+G535*INDEX(Hours!C:C,MATCH(C535,Hours!$A:$A,0))+H535*INDEX(Hours!D:D,MATCH(C535,Hours!$A:$A,0))+I535*INDEX(Hours!E:E,MATCH(C535,Hours!$A:$A,0))+J535*INDEX(Hours!F:F,MATCH(C535,Hours!$A:$A,0))+K535*INDEX(Hours!G:G,MATCH(C535,Hours!$A:$A,0)))</f>
        <v>0</v>
      </c>
      <c r="S535" s="19">
        <f t="shared" si="17"/>
        <v>0</v>
      </c>
    </row>
    <row r="536" spans="1:19" x14ac:dyDescent="0.25">
      <c r="A536" s="11" t="str">
        <f>'Bldgs &amp; Rooms'!$A$16</f>
        <v>Main Bldg.</v>
      </c>
      <c r="B536" s="11">
        <f>'Bldgs &amp; Rooms'!$B$16</f>
        <v>0</v>
      </c>
      <c r="C536" s="10" t="str">
        <f>Hours!$A$18</f>
        <v>Individual Combination Motor Starter &gt; 100A</v>
      </c>
      <c r="D536" s="11">
        <f t="shared" si="16"/>
        <v>0</v>
      </c>
      <c r="E536" s="16">
        <f>IF('Components Yr 1'!E536=0,0,'Components Yr 1'!E536)</f>
        <v>0</v>
      </c>
      <c r="F536" s="17">
        <f>IF('Components Yr 1'!F536=0,0,'Components Yr 1'!F536)</f>
        <v>0</v>
      </c>
      <c r="G536" s="17">
        <f>IF('Components Yr 1'!G536=0,0,'Components Yr 1'!G536)</f>
        <v>0</v>
      </c>
      <c r="H536" s="17">
        <f>IF('Components Yr 1'!H536=0,0,'Components Yr 1'!H536)</f>
        <v>0</v>
      </c>
      <c r="I536" s="17">
        <f>IF('Components Yr 1'!I536=0,0,'Components Yr 1'!I536)</f>
        <v>0</v>
      </c>
      <c r="J536" s="17">
        <f>IF('Components Yr 1'!J536=0,0,'Components Yr 1'!J536)</f>
        <v>0</v>
      </c>
      <c r="K536" s="17">
        <f>IF('Components Yr 1'!K536=0,0,'Components Yr 1'!K536)</f>
        <v>0</v>
      </c>
      <c r="L536" s="12"/>
      <c r="M536" s="12"/>
      <c r="N536" s="12"/>
      <c r="O536" s="12"/>
      <c r="P536" s="12"/>
      <c r="Q536" s="17"/>
      <c r="R536" s="18">
        <f>IF(SUMPRODUCT((E536:Q536)*1)=0,0,E536*INDEX(Hours!M:M,MATCH(C536,Hours!$A:$A,0))+F536*INDEX(Hours!B:B,MATCH(C536,Hours!$A:$A,0))+G536*INDEX(Hours!C:C,MATCH(C536,Hours!$A:$A,0))+H536*INDEX(Hours!D:D,MATCH(C536,Hours!$A:$A,0))+I536*INDEX(Hours!E:E,MATCH(C536,Hours!$A:$A,0))+J536*INDEX(Hours!F:F,MATCH(C536,Hours!$A:$A,0))+K536*INDEX(Hours!G:G,MATCH(C536,Hours!$A:$A,0)))</f>
        <v>0</v>
      </c>
      <c r="S536" s="19">
        <f t="shared" si="17"/>
        <v>0</v>
      </c>
    </row>
    <row r="537" spans="1:19" x14ac:dyDescent="0.25">
      <c r="A537" s="11" t="str">
        <f>'Bldgs &amp; Rooms'!$A$16</f>
        <v>Main Bldg.</v>
      </c>
      <c r="B537" s="11">
        <f>'Bldgs &amp; Rooms'!$B$16</f>
        <v>0</v>
      </c>
      <c r="C537" s="10" t="str">
        <f>Hours!$A$19</f>
        <v>Oil Filled Transformer - 5kV-15kV Primary - Any Size (Pad Mounted)</v>
      </c>
      <c r="D537" s="11">
        <f t="shared" si="16"/>
        <v>0</v>
      </c>
      <c r="E537" s="16">
        <f>IF('Components Yr 1'!E537=0,0,'Components Yr 1'!E537)</f>
        <v>0</v>
      </c>
      <c r="F537" s="17">
        <f>IF('Components Yr 1'!F537=0,0,'Components Yr 1'!F537)</f>
        <v>0</v>
      </c>
      <c r="G537" s="17">
        <f>IF('Components Yr 1'!G537=0,0,'Components Yr 1'!G537)</f>
        <v>0</v>
      </c>
      <c r="H537" s="17">
        <f>IF('Components Yr 1'!H537=0,0,'Components Yr 1'!H537)</f>
        <v>0</v>
      </c>
      <c r="I537" s="17">
        <f>IF('Components Yr 1'!I537=0,0,'Components Yr 1'!I537)</f>
        <v>0</v>
      </c>
      <c r="J537" s="17">
        <f>IF('Components Yr 1'!J537=0,0,'Components Yr 1'!J537)</f>
        <v>0</v>
      </c>
      <c r="K537" s="12"/>
      <c r="L537" s="12"/>
      <c r="M537" s="17">
        <f>IF('Components Yr 1'!M537=0,0,'Components Yr 1'!M537)</f>
        <v>0</v>
      </c>
      <c r="N537" s="17">
        <f>IF('Components Yr 1'!N537=0,0,'Components Yr 1'!N537)</f>
        <v>0</v>
      </c>
      <c r="O537" s="12"/>
      <c r="P537" s="17">
        <f>IF('Components Yr 1'!P537=0,0,'Components Yr 1'!P537)</f>
        <v>0</v>
      </c>
      <c r="Q537" s="17"/>
      <c r="R537" s="18">
        <f>IF(SUMPRODUCT((E537:Q537)*1)=0,0,E537*INDEX(Hours!M:M,MATCH(C537,Hours!$A:$A,0))+F537*INDEX(Hours!B:B,MATCH(C537,Hours!$A:$A,0))+G537*INDEX(Hours!C:C,MATCH(C537,Hours!$A:$A,0))+H537*INDEX(Hours!D:D,MATCH(C537,Hours!$A:$A,0))+I537*INDEX(Hours!E:E,MATCH(C537,Hours!$A:$A,0))+J537*INDEX(Hours!F:F,MATCH(C537,Hours!$A:$A,0))+M537*INDEX(Hours!I:I,MATCH(C537,Hours!$A:$A,0))+N537*INDEX(Hours!J:J,MATCH(C537,Hours!$A:$A,0))+P537*INDEX(Hours!L:L,MATCH(C537,Hours!$A:$A,0)))</f>
        <v>0</v>
      </c>
      <c r="S537" s="19">
        <f t="shared" si="17"/>
        <v>0</v>
      </c>
    </row>
    <row r="538" spans="1:19" x14ac:dyDescent="0.25">
      <c r="A538" s="11" t="str">
        <f>'Bldgs &amp; Rooms'!$A$16</f>
        <v>Main Bldg.</v>
      </c>
      <c r="B538" s="11">
        <f>'Bldgs &amp; Rooms'!$B$16</f>
        <v>0</v>
      </c>
      <c r="C538" s="10" t="str">
        <f>Hours!$A$20</f>
        <v>Oil Filled Transformer - &gt; 15kV Primary (Substation Class)</v>
      </c>
      <c r="D538" s="11">
        <f t="shared" si="16"/>
        <v>0</v>
      </c>
      <c r="E538" s="16">
        <f>IF('Components Yr 1'!E538=0,0,'Components Yr 1'!E538)</f>
        <v>0</v>
      </c>
      <c r="F538" s="17">
        <f>IF('Components Yr 1'!F538=0,0,'Components Yr 1'!F538)</f>
        <v>0</v>
      </c>
      <c r="G538" s="17">
        <f>IF('Components Yr 1'!G538=0,0,'Components Yr 1'!G538)</f>
        <v>0</v>
      </c>
      <c r="H538" s="17">
        <f>IF('Components Yr 1'!H538=0,0,'Components Yr 1'!H538)</f>
        <v>0</v>
      </c>
      <c r="I538" s="17">
        <f>IF('Components Yr 1'!I538=0,0,'Components Yr 1'!I538)</f>
        <v>0</v>
      </c>
      <c r="J538" s="17">
        <f>IF('Components Yr 1'!J538=0,0,'Components Yr 1'!J538)</f>
        <v>0</v>
      </c>
      <c r="K538" s="12"/>
      <c r="L538" s="12"/>
      <c r="M538" s="17">
        <f>IF('Components Yr 1'!M538=0,0,'Components Yr 1'!M538)</f>
        <v>0</v>
      </c>
      <c r="N538" s="17">
        <f>IF('Components Yr 1'!N538=0,0,'Components Yr 1'!N538)</f>
        <v>0</v>
      </c>
      <c r="O538" s="12"/>
      <c r="P538" s="17">
        <f>IF('Components Yr 1'!P538=0,0,'Components Yr 1'!P538)</f>
        <v>0</v>
      </c>
      <c r="Q538" s="17"/>
      <c r="R538" s="18">
        <f>IF(SUMPRODUCT((E538:Q538)*1)=0,0,E538*INDEX(Hours!M:M,MATCH(C538,Hours!$A:$A,0))+F538*INDEX(Hours!B:B,MATCH(C538,Hours!$A:$A,0))+G538*INDEX(Hours!C:C,MATCH(C538,Hours!$A:$A,0))+H538*INDEX(Hours!D:D,MATCH(C538,Hours!$A:$A,0))+I538*INDEX(Hours!E:E,MATCH(C538,Hours!$A:$A,0))+J538*INDEX(Hours!F:F,MATCH(C538,Hours!$A:$A,0))+M538*INDEX(Hours!I:I,MATCH(C538,Hours!$A:$A,0))+N538*INDEX(Hours!J:J,MATCH(C538,Hours!$A:$A,0))+P538*INDEX(Hours!L:L,MATCH(C538,Hours!$A:$A,0)))</f>
        <v>0</v>
      </c>
      <c r="S538" s="19">
        <f t="shared" si="17"/>
        <v>0</v>
      </c>
    </row>
    <row r="539" spans="1:19" x14ac:dyDescent="0.25">
      <c r="A539" s="11" t="str">
        <f>'Bldgs &amp; Rooms'!$A$16</f>
        <v>Main Bldg.</v>
      </c>
      <c r="B539" s="11">
        <f>'Bldgs &amp; Rooms'!$B$16</f>
        <v>0</v>
      </c>
      <c r="C539" s="10" t="str">
        <f>Hours!$A$21</f>
        <v>Dry Type Transformer - &lt; 480V Primary - Any Size kVA</v>
      </c>
      <c r="D539" s="11">
        <f t="shared" si="16"/>
        <v>0</v>
      </c>
      <c r="E539" s="16">
        <f>IF('Components Yr 1'!E539=0,0,'Components Yr 1'!E539)</f>
        <v>0</v>
      </c>
      <c r="F539" s="17">
        <f>IF('Components Yr 1'!F539=0,0,'Components Yr 1'!F539)</f>
        <v>0</v>
      </c>
      <c r="G539" s="17">
        <f>IF('Components Yr 1'!G539=0,0,'Components Yr 1'!G539)</f>
        <v>0</v>
      </c>
      <c r="H539" s="17">
        <f>IF('Components Yr 1'!H539=0,0,'Components Yr 1'!H539)</f>
        <v>0</v>
      </c>
      <c r="I539" s="17">
        <f>IF('Components Yr 1'!I539=0,0,'Components Yr 1'!I539)</f>
        <v>0</v>
      </c>
      <c r="J539" s="17">
        <f>IF('Components Yr 1'!J539=0,0,'Components Yr 1'!J539)</f>
        <v>0</v>
      </c>
      <c r="K539" s="12"/>
      <c r="L539" s="12"/>
      <c r="M539" s="17">
        <f>IF('Components Yr 1'!M539=0,0,'Components Yr 1'!M539)</f>
        <v>0</v>
      </c>
      <c r="N539" s="17">
        <f>IF('Components Yr 1'!N539=0,0,'Components Yr 1'!N539)</f>
        <v>0</v>
      </c>
      <c r="O539" s="12"/>
      <c r="P539" s="12"/>
      <c r="Q539" s="17"/>
      <c r="R539" s="18">
        <f>IF(SUMPRODUCT((E539:Q539)*1)=0,0,E539*INDEX(Hours!M:M,MATCH(C539,Hours!$A:$A,0))+F539*INDEX(Hours!B:B,MATCH(C539,Hours!$A:$A,0))+G539*INDEX(Hours!C:C,MATCH(C539,Hours!$A:$A,0))+H539*INDEX(Hours!D:D,MATCH(C539,Hours!$A:$A,0))+I539*INDEX(Hours!E:E,MATCH(C539,Hours!$A:$A,0))+J539*INDEX(Hours!F:F,MATCH(C539,Hours!$A:$A,0))+M539*INDEX(Hours!I:I,MATCH(C539,Hours!$A:$A,0))+N539*INDEX(Hours!J:J,MATCH(C539,Hours!$A:$A,0)))</f>
        <v>0</v>
      </c>
      <c r="S539" s="19">
        <f t="shared" si="17"/>
        <v>0</v>
      </c>
    </row>
    <row r="540" spans="1:19" x14ac:dyDescent="0.25">
      <c r="A540" s="11" t="str">
        <f>'Bldgs &amp; Rooms'!$A$16</f>
        <v>Main Bldg.</v>
      </c>
      <c r="B540" s="11">
        <f>'Bldgs &amp; Rooms'!$B$16</f>
        <v>0</v>
      </c>
      <c r="C540" s="10" t="str">
        <f>Hours!$A$22</f>
        <v>Power Factor Correction Capacitors</v>
      </c>
      <c r="D540" s="11">
        <f t="shared" si="16"/>
        <v>0</v>
      </c>
      <c r="E540" s="16">
        <f>IF('Components Yr 1'!E540=0,0,'Components Yr 1'!E540)</f>
        <v>0</v>
      </c>
      <c r="F540" s="17">
        <f>IF('Components Yr 1'!F540=0,0,'Components Yr 1'!F540)</f>
        <v>0</v>
      </c>
      <c r="G540" s="17">
        <f>IF('Components Yr 1'!G540=0,0,'Components Yr 1'!G540)</f>
        <v>0</v>
      </c>
      <c r="H540" s="17">
        <f>IF('Components Yr 1'!H540=0,0,'Components Yr 1'!H540)</f>
        <v>0</v>
      </c>
      <c r="I540" s="17">
        <f>IF('Components Yr 1'!I540=0,0,'Components Yr 1'!I540)</f>
        <v>0</v>
      </c>
      <c r="J540" s="17">
        <f>IF('Components Yr 1'!J540=0,0,'Components Yr 1'!J540)</f>
        <v>0</v>
      </c>
      <c r="K540" s="12"/>
      <c r="L540" s="12"/>
      <c r="M540" s="12"/>
      <c r="N540" s="12"/>
      <c r="O540" s="12"/>
      <c r="P540" s="12"/>
      <c r="Q540" s="17"/>
      <c r="R540" s="18">
        <f>IF(SUMPRODUCT((E540:Q540)*1)=0,0,E540*INDEX(Hours!M:M,MATCH(C540,Hours!$A:$A,0))+F540*INDEX(Hours!B:B,MATCH(C540,Hours!$A:$A,0))+G540*INDEX(Hours!C:C,MATCH(C540,Hours!$A:$A,0))+H540*INDEX(Hours!D:D,MATCH(C540,Hours!$A:$A,0))+I540*INDEX(Hours!E:E,MATCH(C540,Hours!$A:$A,0))+J540*INDEX(Hours!F:F,MATCH(C540,Hours!$A:$A,0)))</f>
        <v>0</v>
      </c>
      <c r="S540" s="19">
        <f t="shared" si="17"/>
        <v>0</v>
      </c>
    </row>
    <row r="541" spans="1:19" x14ac:dyDescent="0.25">
      <c r="A541" s="11" t="str">
        <f>'Bldgs &amp; Rooms'!$A$16</f>
        <v>Main Bldg.</v>
      </c>
      <c r="B541" s="11">
        <f>'Bldgs &amp; Rooms'!$B$16</f>
        <v>0</v>
      </c>
      <c r="C541" s="10" t="str">
        <f>Hours!$A$23</f>
        <v>Lighting Contactor &gt; 100A</v>
      </c>
      <c r="D541" s="11">
        <f t="shared" si="16"/>
        <v>0</v>
      </c>
      <c r="E541" s="16">
        <f>IF('Components Yr 1'!E541=0,0,'Components Yr 1'!E541)</f>
        <v>0</v>
      </c>
      <c r="F541" s="17">
        <f>IF('Components Yr 1'!F541=0,0,'Components Yr 1'!F541)</f>
        <v>0</v>
      </c>
      <c r="G541" s="17">
        <f>IF('Components Yr 1'!G541=0,0,'Components Yr 1'!G541)</f>
        <v>0</v>
      </c>
      <c r="H541" s="17">
        <f>IF('Components Yr 1'!H541=0,0,'Components Yr 1'!H541)</f>
        <v>0</v>
      </c>
      <c r="I541" s="17">
        <f>IF('Components Yr 1'!I541=0,0,'Components Yr 1'!I541)</f>
        <v>0</v>
      </c>
      <c r="J541" s="17">
        <f>IF('Components Yr 1'!J541=0,0,'Components Yr 1'!J541)</f>
        <v>0</v>
      </c>
      <c r="K541" s="12"/>
      <c r="L541" s="12"/>
      <c r="M541" s="12"/>
      <c r="N541" s="12"/>
      <c r="O541" s="12"/>
      <c r="P541" s="12"/>
      <c r="Q541" s="17"/>
      <c r="R541" s="18">
        <f>IF(SUMPRODUCT((E541:Q541)*1)=0,0,E541*INDEX(Hours!M:M,MATCH(C541,Hours!$A:$A,0))+F541*INDEX(Hours!B:B,MATCH(C541,Hours!$A:$A,0))+G541*INDEX(Hours!C:C,MATCH(C541,Hours!$A:$A,0))+H541*INDEX(Hours!D:D,MATCH(C541,Hours!$A:$A,0))+I541*INDEX(Hours!E:E,MATCH(C541,Hours!$A:$A,0))+J541*INDEX(Hours!F:F,MATCH(C541,Hours!$A:$A,0)))</f>
        <v>0</v>
      </c>
      <c r="S541" s="19">
        <f t="shared" si="17"/>
        <v>0</v>
      </c>
    </row>
    <row r="542" spans="1:19" x14ac:dyDescent="0.25">
      <c r="A542" s="11" t="str">
        <f>'Bldgs &amp; Rooms'!$A$16</f>
        <v>Main Bldg.</v>
      </c>
      <c r="B542" s="11">
        <f>'Bldgs &amp; Rooms'!$B$16</f>
        <v>0</v>
      </c>
      <c r="C542" s="10" t="str">
        <f>Hours!$A$24</f>
        <v>Power Distribution Unit (PDU)</v>
      </c>
      <c r="D542" s="11">
        <f t="shared" si="16"/>
        <v>0</v>
      </c>
      <c r="E542" s="16">
        <f>IF('Components Yr 1'!E542=0,0,'Components Yr 1'!E542)</f>
        <v>0</v>
      </c>
      <c r="F542" s="17">
        <f>IF('Components Yr 1'!F542=0,0,'Components Yr 1'!F542)</f>
        <v>0</v>
      </c>
      <c r="G542" s="17">
        <f>IF('Components Yr 1'!G542=0,0,'Components Yr 1'!G542)</f>
        <v>0</v>
      </c>
      <c r="H542" s="17">
        <f>IF('Components Yr 1'!H542=0,0,'Components Yr 1'!H542)</f>
        <v>0</v>
      </c>
      <c r="I542" s="17">
        <f>IF('Components Yr 1'!I542=0,0,'Components Yr 1'!I542)</f>
        <v>0</v>
      </c>
      <c r="J542" s="17">
        <f>IF('Components Yr 1'!J542=0,0,'Components Yr 1'!J542)</f>
        <v>0</v>
      </c>
      <c r="K542" s="12"/>
      <c r="L542" s="12"/>
      <c r="M542" s="12"/>
      <c r="N542" s="12"/>
      <c r="O542" s="12"/>
      <c r="P542" s="12"/>
      <c r="Q542" s="17"/>
      <c r="R542" s="18">
        <f>IF(SUMPRODUCT((E542:Q542)*1)=0,0,E542*INDEX(Hours!M:M,MATCH(C542,Hours!$A:$A,0))+F542*INDEX(Hours!B:B,MATCH(C542,Hours!$A:$A,0))+G542*INDEX(Hours!C:C,MATCH(C542,Hours!$A:$A,0))+H542*INDEX(Hours!D:D,MATCH(C542,Hours!$A:$A,0))+I542*INDEX(Hours!E:E,MATCH(C542,Hours!$A:$A,0))+J542*INDEX(Hours!F:F,MATCH(C542,Hours!$A:$A,0)))</f>
        <v>0</v>
      </c>
      <c r="S542" s="19">
        <f t="shared" si="17"/>
        <v>0</v>
      </c>
    </row>
    <row r="543" spans="1:19" x14ac:dyDescent="0.25">
      <c r="A543" s="11" t="str">
        <f>'Bldgs &amp; Rooms'!$A$16</f>
        <v>Main Bldg.</v>
      </c>
      <c r="B543" s="11">
        <f>'Bldgs &amp; Rooms'!$B$16</f>
        <v>0</v>
      </c>
      <c r="C543" s="10" t="str">
        <f>Hours!$A$25</f>
        <v>Wire Trough, Gutter, or Large Junction Boxes</v>
      </c>
      <c r="D543" s="11">
        <f t="shared" si="16"/>
        <v>0</v>
      </c>
      <c r="E543" s="16">
        <f>IF('Components Yr 1'!E543=0,0,'Components Yr 1'!E543)</f>
        <v>0</v>
      </c>
      <c r="F543" s="17">
        <f>IF('Components Yr 1'!F543=0,0,'Components Yr 1'!F543)</f>
        <v>0</v>
      </c>
      <c r="G543" s="17">
        <f>IF('Components Yr 1'!G543=0,0,'Components Yr 1'!G543)</f>
        <v>0</v>
      </c>
      <c r="H543" s="17">
        <f>IF('Components Yr 1'!H543=0,0,'Components Yr 1'!H543)</f>
        <v>0</v>
      </c>
      <c r="I543" s="17">
        <f>IF('Components Yr 1'!I543=0,0,'Components Yr 1'!I543)</f>
        <v>0</v>
      </c>
      <c r="J543" s="17">
        <f>IF('Components Yr 1'!J543=0,0,'Components Yr 1'!J543)</f>
        <v>0</v>
      </c>
      <c r="K543" s="12"/>
      <c r="L543" s="12"/>
      <c r="M543" s="12"/>
      <c r="N543" s="12"/>
      <c r="O543" s="12"/>
      <c r="P543" s="12"/>
      <c r="Q543" s="17"/>
      <c r="R543" s="18">
        <f>IF(SUMPRODUCT((E543:Q543)*1)=0,0,E543*INDEX(Hours!M:M,MATCH(C543,Hours!$A:$A,0))+F543*INDEX(Hours!B:B,MATCH(C543,Hours!$A:$A,0))+G543*INDEX(Hours!C:C,MATCH(C543,Hours!$A:$A,0))+H543*INDEX(Hours!D:D,MATCH(C543,Hours!$A:$A,0))+I543*INDEX(Hours!E:E,MATCH(C543,Hours!$A:$A,0))+J543*INDEX(Hours!F:F,MATCH(C543,Hours!$A:$A,0)))</f>
        <v>0</v>
      </c>
      <c r="S543" s="19">
        <f t="shared" si="17"/>
        <v>0</v>
      </c>
    </row>
    <row r="544" spans="1:19" x14ac:dyDescent="0.25">
      <c r="A544" s="11" t="str">
        <f>'Bldgs &amp; Rooms'!$A$16</f>
        <v>Main Bldg.</v>
      </c>
      <c r="B544" s="11">
        <f>'Bldgs &amp; Rooms'!$B$16</f>
        <v>0</v>
      </c>
      <c r="C544" s="10" t="str">
        <f>Hours!$A$26</f>
        <v>Bus Duct - Vertical or Horizontal (Per 10' section)</v>
      </c>
      <c r="D544" s="11">
        <f t="shared" si="16"/>
        <v>0</v>
      </c>
      <c r="E544" s="16">
        <f>IF('Components Yr 1'!E544=0,0,'Components Yr 1'!E544)</f>
        <v>0</v>
      </c>
      <c r="F544" s="17">
        <f>IF('Components Yr 1'!F544=0,0,'Components Yr 1'!F544)</f>
        <v>0</v>
      </c>
      <c r="G544" s="17">
        <f>IF('Components Yr 1'!G544=0,0,'Components Yr 1'!G544)</f>
        <v>0</v>
      </c>
      <c r="H544" s="17">
        <f>IF('Components Yr 1'!H544=0,0,'Components Yr 1'!H544)</f>
        <v>0</v>
      </c>
      <c r="I544" s="17">
        <f>IF('Components Yr 1'!I544=0,0,'Components Yr 1'!I544)</f>
        <v>0</v>
      </c>
      <c r="J544" s="17">
        <f>IF('Components Yr 1'!J544=0,0,'Components Yr 1'!J544)</f>
        <v>0</v>
      </c>
      <c r="K544" s="12"/>
      <c r="L544" s="12"/>
      <c r="M544" s="12"/>
      <c r="N544" s="12"/>
      <c r="O544" s="12"/>
      <c r="P544" s="12"/>
      <c r="Q544" s="17"/>
      <c r="R544" s="18">
        <f>IF(SUMPRODUCT((E544:Q544)*1)=0,0,E544*INDEX(Hours!M:M,MATCH(C544,Hours!$A:$A,0))+F544*INDEX(Hours!B:B,MATCH(C544,Hours!$A:$A,0))+G544*INDEX(Hours!C:C,MATCH(C544,Hours!$A:$A,0))+H544*INDEX(Hours!D:D,MATCH(C544,Hours!$A:$A,0))+I544*INDEX(Hours!E:E,MATCH(C544,Hours!$A:$A,0))+J544*INDEX(Hours!F:F,MATCH(C544,Hours!$A:$A,0)))</f>
        <v>0</v>
      </c>
      <c r="S544" s="19">
        <f t="shared" si="17"/>
        <v>0</v>
      </c>
    </row>
    <row r="545" spans="1:19" x14ac:dyDescent="0.25">
      <c r="A545" s="11" t="str">
        <f>'Bldgs &amp; Rooms'!$A$16</f>
        <v>Main Bldg.</v>
      </c>
      <c r="B545" s="11">
        <f>'Bldgs &amp; Rooms'!$B$16</f>
        <v>0</v>
      </c>
      <c r="C545" s="10" t="str">
        <f>Hours!$A$27</f>
        <v>Automatic Transfer Switch (ATS) &gt; 100A</v>
      </c>
      <c r="D545" s="11">
        <f t="shared" si="16"/>
        <v>0</v>
      </c>
      <c r="E545" s="16">
        <f>IF('Components Yr 1'!E545=0,0,'Components Yr 1'!E545)</f>
        <v>0</v>
      </c>
      <c r="F545" s="17">
        <f>IF('Components Yr 1'!F545=0,0,'Components Yr 1'!F545)</f>
        <v>0</v>
      </c>
      <c r="G545" s="17">
        <f>IF('Components Yr 1'!G545=0,0,'Components Yr 1'!G545)</f>
        <v>0</v>
      </c>
      <c r="H545" s="17">
        <f>IF('Components Yr 1'!H545=0,0,'Components Yr 1'!H545)</f>
        <v>0</v>
      </c>
      <c r="I545" s="17">
        <f>IF('Components Yr 1'!I545=0,0,'Components Yr 1'!I545)</f>
        <v>0</v>
      </c>
      <c r="J545" s="17">
        <f>IF('Components Yr 1'!J545=0,0,'Components Yr 1'!J545)</f>
        <v>0</v>
      </c>
      <c r="K545" s="12"/>
      <c r="L545" s="12"/>
      <c r="M545" s="12"/>
      <c r="N545" s="12"/>
      <c r="O545" s="12"/>
      <c r="P545" s="12"/>
      <c r="Q545" s="17"/>
      <c r="R545" s="18">
        <f>IF(SUMPRODUCT((E545:Q545)*1)=0,0,E545*INDEX(Hours!M:M,MATCH(C545,Hours!$A:$A,0))+F545*INDEX(Hours!B:B,MATCH(C545,Hours!$A:$A,0))+G545*INDEX(Hours!C:C,MATCH(C545,Hours!$A:$A,0))+H545*INDEX(Hours!D:D,MATCH(C545,Hours!$A:$A,0))+I545*INDEX(Hours!E:E,MATCH(C545,Hours!$A:$A,0))+J545*INDEX(Hours!F:F,MATCH(C545,Hours!$A:$A,0)))</f>
        <v>0</v>
      </c>
      <c r="S545" s="19">
        <f t="shared" si="17"/>
        <v>0</v>
      </c>
    </row>
    <row r="546" spans="1:19" x14ac:dyDescent="0.25">
      <c r="A546" s="11" t="str">
        <f>'Bldgs &amp; Rooms'!$A$16</f>
        <v>Main Bldg.</v>
      </c>
      <c r="B546" s="11">
        <f>'Bldgs &amp; Rooms'!$B$16</f>
        <v>0</v>
      </c>
      <c r="C546" s="10" t="str">
        <f>Hours!$A$28</f>
        <v>Manual Transfer Switch (MTS) &gt; 100A</v>
      </c>
      <c r="D546" s="11">
        <f t="shared" si="16"/>
        <v>0</v>
      </c>
      <c r="E546" s="16">
        <f>IF('Components Yr 1'!E546=0,0,'Components Yr 1'!E546)</f>
        <v>0</v>
      </c>
      <c r="F546" s="17">
        <f>IF('Components Yr 1'!F546=0,0,'Components Yr 1'!F546)</f>
        <v>0</v>
      </c>
      <c r="G546" s="17">
        <f>IF('Components Yr 1'!G546=0,0,'Components Yr 1'!G546)</f>
        <v>0</v>
      </c>
      <c r="H546" s="17">
        <f>IF('Components Yr 1'!H546=0,0,'Components Yr 1'!H546)</f>
        <v>0</v>
      </c>
      <c r="I546" s="17">
        <f>IF('Components Yr 1'!I546=0,0,'Components Yr 1'!I546)</f>
        <v>0</v>
      </c>
      <c r="J546" s="17">
        <f>IF('Components Yr 1'!J546=0,0,'Components Yr 1'!J546)</f>
        <v>0</v>
      </c>
      <c r="K546" s="12"/>
      <c r="L546" s="12"/>
      <c r="M546" s="12"/>
      <c r="N546" s="12"/>
      <c r="O546" s="12"/>
      <c r="P546" s="12"/>
      <c r="Q546" s="17"/>
      <c r="R546" s="18">
        <f>IF(SUMPRODUCT((E546:Q546)*1)=0,0,E546*INDEX(Hours!M:M,MATCH(C546,Hours!$A:$A,0))+F546*INDEX(Hours!B:B,MATCH(C546,Hours!$A:$A,0))+G546*INDEX(Hours!C:C,MATCH(C546,Hours!$A:$A,0))+H546*INDEX(Hours!D:D,MATCH(C546,Hours!$A:$A,0))+I546*INDEX(Hours!E:E,MATCH(C546,Hours!$A:$A,0))+J546*INDEX(Hours!F:F,MATCH(C546,Hours!$A:$A,0)))</f>
        <v>0</v>
      </c>
      <c r="S546" s="19">
        <f t="shared" si="17"/>
        <v>0</v>
      </c>
    </row>
    <row r="547" spans="1:19" x14ac:dyDescent="0.25">
      <c r="A547" s="11" t="str">
        <f>'Bldgs &amp; Rooms'!$A$16</f>
        <v>Main Bldg.</v>
      </c>
      <c r="B547" s="11">
        <f>'Bldgs &amp; Rooms'!$B$16</f>
        <v>0</v>
      </c>
      <c r="C547" s="10" t="str">
        <f>Hours!$A$29</f>
        <v>Variable Frequency Drives (VFD) &lt; 50 HP</v>
      </c>
      <c r="D547" s="11">
        <f t="shared" si="16"/>
        <v>0</v>
      </c>
      <c r="E547" s="16">
        <f>IF('Components Yr 1'!E547=0,0,'Components Yr 1'!E547)</f>
        <v>0</v>
      </c>
      <c r="F547" s="17">
        <f>IF('Components Yr 1'!F547=0,0,'Components Yr 1'!F547)</f>
        <v>0</v>
      </c>
      <c r="G547" s="17">
        <f>IF('Components Yr 1'!G547=0,0,'Components Yr 1'!G547)</f>
        <v>0</v>
      </c>
      <c r="H547" s="17">
        <f>IF('Components Yr 1'!H547=0,0,'Components Yr 1'!H547)</f>
        <v>0</v>
      </c>
      <c r="I547" s="17">
        <f>IF('Components Yr 1'!I547=0,0,'Components Yr 1'!I547)</f>
        <v>0</v>
      </c>
      <c r="J547" s="17">
        <f>IF('Components Yr 1'!J547=0,0,'Components Yr 1'!J547)</f>
        <v>0</v>
      </c>
      <c r="K547" s="12"/>
      <c r="L547" s="12"/>
      <c r="M547" s="12"/>
      <c r="N547" s="12"/>
      <c r="O547" s="12"/>
      <c r="P547" s="12"/>
      <c r="Q547" s="17"/>
      <c r="R547" s="18">
        <f>IF(SUMPRODUCT((E547:Q547)*1)=0,0,E547*INDEX(Hours!M:M,MATCH(C547,Hours!$A:$A,0))+F547*INDEX(Hours!B:B,MATCH(C547,Hours!$A:$A,0))+G547*INDEX(Hours!C:C,MATCH(C547,Hours!$A:$A,0))+H547*INDEX(Hours!D:D,MATCH(C547,Hours!$A:$A,0))+I547*INDEX(Hours!E:E,MATCH(C547,Hours!$A:$A,0))+J547*INDEX(Hours!F:F,MATCH(C547,Hours!$A:$A,0)))</f>
        <v>0</v>
      </c>
      <c r="S547" s="19">
        <f t="shared" si="17"/>
        <v>0</v>
      </c>
    </row>
    <row r="548" spans="1:19" x14ac:dyDescent="0.25">
      <c r="A548" s="11" t="str">
        <f>'Bldgs &amp; Rooms'!$A$16</f>
        <v>Main Bldg.</v>
      </c>
      <c r="B548" s="11">
        <f>'Bldgs &amp; Rooms'!$B$16</f>
        <v>0</v>
      </c>
      <c r="C548" s="10" t="str">
        <f>Hours!$A$30</f>
        <v>Variable Frequency Drives (VFD) 51-200 HP</v>
      </c>
      <c r="D548" s="11">
        <f t="shared" si="16"/>
        <v>0</v>
      </c>
      <c r="E548" s="16">
        <f>IF('Components Yr 1'!E548=0,0,'Components Yr 1'!E548)</f>
        <v>0</v>
      </c>
      <c r="F548" s="17">
        <f>IF('Components Yr 1'!F548=0,0,'Components Yr 1'!F548)</f>
        <v>0</v>
      </c>
      <c r="G548" s="17">
        <f>IF('Components Yr 1'!G548=0,0,'Components Yr 1'!G548)</f>
        <v>0</v>
      </c>
      <c r="H548" s="17">
        <f>IF('Components Yr 1'!H548=0,0,'Components Yr 1'!H548)</f>
        <v>0</v>
      </c>
      <c r="I548" s="17">
        <f>IF('Components Yr 1'!I548=0,0,'Components Yr 1'!I548)</f>
        <v>0</v>
      </c>
      <c r="J548" s="17">
        <f>IF('Components Yr 1'!J548=0,0,'Components Yr 1'!J548)</f>
        <v>0</v>
      </c>
      <c r="K548" s="12"/>
      <c r="L548" s="12"/>
      <c r="M548" s="12"/>
      <c r="N548" s="12"/>
      <c r="O548" s="12"/>
      <c r="P548" s="12"/>
      <c r="Q548" s="17"/>
      <c r="R548" s="18">
        <f>IF(SUMPRODUCT((E548:Q548)*1)=0,0,E548*INDEX(Hours!M:M,MATCH(C548,Hours!$A:$A,0))+F548*INDEX(Hours!B:B,MATCH(C548,Hours!$A:$A,0))+G548*INDEX(Hours!C:C,MATCH(C548,Hours!$A:$A,0))+H548*INDEX(Hours!D:D,MATCH(C548,Hours!$A:$A,0))+I548*INDEX(Hours!E:E,MATCH(C548,Hours!$A:$A,0))+J548*INDEX(Hours!F:F,MATCH(C548,Hours!$A:$A,0)))</f>
        <v>0</v>
      </c>
      <c r="S548" s="19">
        <f t="shared" si="17"/>
        <v>0</v>
      </c>
    </row>
    <row r="549" spans="1:19" x14ac:dyDescent="0.25">
      <c r="A549" s="11" t="str">
        <f>'Bldgs &amp; Rooms'!$A$16</f>
        <v>Main Bldg.</v>
      </c>
      <c r="B549" s="11">
        <f>'Bldgs &amp; Rooms'!$B$16</f>
        <v>0</v>
      </c>
      <c r="C549" s="10" t="str">
        <f>Hours!$A$31</f>
        <v>Motors &lt; 50 HP</v>
      </c>
      <c r="D549" s="11">
        <f t="shared" si="16"/>
        <v>0</v>
      </c>
      <c r="E549" s="16">
        <f>IF('Components Yr 1'!E549=0,0,'Components Yr 1'!E549)</f>
        <v>0</v>
      </c>
      <c r="F549" s="17">
        <f>IF('Components Yr 1'!F549=0,0,'Components Yr 1'!F549)</f>
        <v>0</v>
      </c>
      <c r="G549" s="17">
        <f>IF('Components Yr 1'!G549=0,0,'Components Yr 1'!G549)</f>
        <v>0</v>
      </c>
      <c r="H549" s="17">
        <f>IF('Components Yr 1'!H549=0,0,'Components Yr 1'!H549)</f>
        <v>0</v>
      </c>
      <c r="I549" s="17">
        <f>IF('Components Yr 1'!I549=0,0,'Components Yr 1'!I549)</f>
        <v>0</v>
      </c>
      <c r="J549" s="17">
        <f>IF('Components Yr 1'!J549=0,0,'Components Yr 1'!J549)</f>
        <v>0</v>
      </c>
      <c r="K549" s="12"/>
      <c r="L549" s="12"/>
      <c r="M549" s="12"/>
      <c r="N549" s="12"/>
      <c r="O549" s="12"/>
      <c r="P549" s="12"/>
      <c r="Q549" s="17"/>
      <c r="R549" s="18">
        <f>IF(SUMPRODUCT((E549:Q549)*1)=0,0,E549*INDEX(Hours!M:M,MATCH(C549,Hours!$A:$A,0))+F549*INDEX(Hours!B:B,MATCH(C549,Hours!$A:$A,0))+G549*INDEX(Hours!C:C,MATCH(C549,Hours!$A:$A,0))+H549*INDEX(Hours!D:D,MATCH(C549,Hours!$A:$A,0))+I549*INDEX(Hours!E:E,MATCH(C549,Hours!$A:$A,0))+J549*INDEX(Hours!F:F,MATCH(C549,Hours!$A:$A,0)))</f>
        <v>0</v>
      </c>
      <c r="S549" s="19">
        <f t="shared" si="17"/>
        <v>0</v>
      </c>
    </row>
    <row r="550" spans="1:19" x14ac:dyDescent="0.25">
      <c r="A550" s="11" t="str">
        <f>'Bldgs &amp; Rooms'!$A$16</f>
        <v>Main Bldg.</v>
      </c>
      <c r="B550" s="11">
        <f>'Bldgs &amp; Rooms'!$B$16</f>
        <v>0</v>
      </c>
      <c r="C550" s="10" t="str">
        <f>Hours!$A$32</f>
        <v>Motors 51-200 HP</v>
      </c>
      <c r="D550" s="11">
        <f t="shared" si="16"/>
        <v>0</v>
      </c>
      <c r="E550" s="16">
        <f>IF('Components Yr 1'!E550=0,0,'Components Yr 1'!E550)</f>
        <v>0</v>
      </c>
      <c r="F550" s="17">
        <f>IF('Components Yr 1'!F550=0,0,'Components Yr 1'!F550)</f>
        <v>0</v>
      </c>
      <c r="G550" s="17">
        <f>IF('Components Yr 1'!G550=0,0,'Components Yr 1'!G550)</f>
        <v>0</v>
      </c>
      <c r="H550" s="17">
        <f>IF('Components Yr 1'!H550=0,0,'Components Yr 1'!H550)</f>
        <v>0</v>
      </c>
      <c r="I550" s="17">
        <f>IF('Components Yr 1'!I550=0,0,'Components Yr 1'!I550)</f>
        <v>0</v>
      </c>
      <c r="J550" s="17">
        <f>IF('Components Yr 1'!J550=0,0,'Components Yr 1'!J550)</f>
        <v>0</v>
      </c>
      <c r="K550" s="12"/>
      <c r="L550" s="12"/>
      <c r="M550" s="12"/>
      <c r="N550" s="12"/>
      <c r="O550" s="12"/>
      <c r="P550" s="12"/>
      <c r="Q550" s="17"/>
      <c r="R550" s="18">
        <f>IF(SUMPRODUCT((E550:Q550)*1)=0,0,E550*INDEX(Hours!M:M,MATCH(C550,Hours!$A:$A,0))+F550*INDEX(Hours!B:B,MATCH(C550,Hours!$A:$A,0))+G550*INDEX(Hours!C:C,MATCH(C550,Hours!$A:$A,0))+H550*INDEX(Hours!D:D,MATCH(C550,Hours!$A:$A,0))+I550*INDEX(Hours!E:E,MATCH(C550,Hours!$A:$A,0))+J550*INDEX(Hours!F:F,MATCH(C550,Hours!$A:$A,0)))</f>
        <v>0</v>
      </c>
      <c r="S550" s="19">
        <f t="shared" si="17"/>
        <v>0</v>
      </c>
    </row>
    <row r="551" spans="1:19" x14ac:dyDescent="0.25">
      <c r="A551" s="11" t="str">
        <f>'Bldgs &amp; Rooms'!$A$16</f>
        <v>Main Bldg.</v>
      </c>
      <c r="B551" s="11">
        <f>'Bldgs &amp; Rooms'!$B$16</f>
        <v>0</v>
      </c>
      <c r="C551" s="10" t="str">
        <f>Hours!$A$33</f>
        <v>Motors 201-500 HP</v>
      </c>
      <c r="D551" s="11">
        <f t="shared" si="16"/>
        <v>0</v>
      </c>
      <c r="E551" s="16">
        <f>IF('Components Yr 1'!E551=0,0,'Components Yr 1'!E551)</f>
        <v>0</v>
      </c>
      <c r="F551" s="17">
        <f>IF('Components Yr 1'!F551=0,0,'Components Yr 1'!F551)</f>
        <v>0</v>
      </c>
      <c r="G551" s="17">
        <f>IF('Components Yr 1'!G551=0,0,'Components Yr 1'!G551)</f>
        <v>0</v>
      </c>
      <c r="H551" s="17">
        <f>IF('Components Yr 1'!H551=0,0,'Components Yr 1'!H551)</f>
        <v>0</v>
      </c>
      <c r="I551" s="17">
        <f>IF('Components Yr 1'!I551=0,0,'Components Yr 1'!I551)</f>
        <v>0</v>
      </c>
      <c r="J551" s="17">
        <f>IF('Components Yr 1'!J551=0,0,'Components Yr 1'!J551)</f>
        <v>0</v>
      </c>
      <c r="K551" s="12"/>
      <c r="L551" s="12"/>
      <c r="M551" s="12"/>
      <c r="N551" s="12"/>
      <c r="O551" s="12"/>
      <c r="P551" s="12"/>
      <c r="Q551" s="17"/>
      <c r="R551" s="18">
        <f>IF(SUMPRODUCT((E551:Q551)*1)=0,0,E551*INDEX(Hours!M:M,MATCH(C551,Hours!$A:$A,0))+F551*INDEX(Hours!B:B,MATCH(C551,Hours!$A:$A,0))+G551*INDEX(Hours!C:C,MATCH(C551,Hours!$A:$A,0))+H551*INDEX(Hours!D:D,MATCH(C551,Hours!$A:$A,0))+I551*INDEX(Hours!E:E,MATCH(C551,Hours!$A:$A,0))+J551*INDEX(Hours!F:F,MATCH(C551,Hours!$A:$A,0)))</f>
        <v>0</v>
      </c>
      <c r="S551" s="19">
        <f t="shared" si="17"/>
        <v>0</v>
      </c>
    </row>
    <row r="552" spans="1:19" x14ac:dyDescent="0.25">
      <c r="A552" s="11" t="str">
        <f>'Bldgs &amp; Rooms'!$A$16</f>
        <v>Main Bldg.</v>
      </c>
      <c r="B552" s="11">
        <f>'Bldgs &amp; Rooms'!$B$16</f>
        <v>0</v>
      </c>
      <c r="C552" s="10" t="str">
        <f>Hours!$A$34</f>
        <v>Compressed Air Equipment</v>
      </c>
      <c r="D552" s="11">
        <f t="shared" si="16"/>
        <v>0</v>
      </c>
      <c r="E552" s="16">
        <f>IF('Components Yr 1'!E552=0,0,'Components Yr 1'!E552)</f>
        <v>0</v>
      </c>
      <c r="F552" s="17">
        <f>IF('Components Yr 1'!F552=0,0,'Components Yr 1'!F552)</f>
        <v>0</v>
      </c>
      <c r="G552" s="17">
        <f>IF('Components Yr 1'!G552=0,0,'Components Yr 1'!G552)</f>
        <v>0</v>
      </c>
      <c r="H552" s="17">
        <f>IF('Components Yr 1'!H552=0,0,'Components Yr 1'!H552)</f>
        <v>0</v>
      </c>
      <c r="I552" s="17">
        <f>IF('Components Yr 1'!I552=0,0,'Components Yr 1'!I552)</f>
        <v>0</v>
      </c>
      <c r="J552" s="17">
        <f>IF('Components Yr 1'!J552=0,0,'Components Yr 1'!J552)</f>
        <v>0</v>
      </c>
      <c r="K552" s="12"/>
      <c r="L552" s="12"/>
      <c r="M552" s="12"/>
      <c r="N552" s="12"/>
      <c r="O552" s="12"/>
      <c r="P552" s="12"/>
      <c r="Q552" s="17"/>
      <c r="R552" s="18">
        <f>IF(SUMPRODUCT((E552:Q552)*1)=0,0,E552*INDEX(Hours!M:M,MATCH(C552,Hours!$A:$A,0))+F552*INDEX(Hours!B:B,MATCH(C552,Hours!$A:$A,0))+G552*INDEX(Hours!C:C,MATCH(C552,Hours!$A:$A,0))+H552*INDEX(Hours!D:D,MATCH(C552,Hours!$A:$A,0))+I552*INDEX(Hours!E:E,MATCH(C552,Hours!$A:$A,0))+J552*INDEX(Hours!F:F,MATCH(C552,Hours!$A:$A,0)))</f>
        <v>0</v>
      </c>
      <c r="S552" s="19">
        <f t="shared" si="17"/>
        <v>0</v>
      </c>
    </row>
    <row r="553" spans="1:19" x14ac:dyDescent="0.25">
      <c r="A553" s="11" t="str">
        <f>'Bldgs &amp; Rooms'!$A$16</f>
        <v>Main Bldg.</v>
      </c>
      <c r="B553" s="11">
        <f>'Bldgs &amp; Rooms'!$B$16</f>
        <v>0</v>
      </c>
      <c r="C553" s="10" t="str">
        <f>Hours!$A$35</f>
        <v>HVAC Equipment (Large)</v>
      </c>
      <c r="D553" s="11">
        <f t="shared" si="16"/>
        <v>0</v>
      </c>
      <c r="E553" s="16">
        <f>IF('Components Yr 1'!E553=0,0,'Components Yr 1'!E553)</f>
        <v>0</v>
      </c>
      <c r="F553" s="17">
        <f>IF('Components Yr 1'!F553=0,0,'Components Yr 1'!F553)</f>
        <v>0</v>
      </c>
      <c r="G553" s="17">
        <f>IF('Components Yr 1'!G553=0,0,'Components Yr 1'!G553)</f>
        <v>0</v>
      </c>
      <c r="H553" s="17">
        <f>IF('Components Yr 1'!H553=0,0,'Components Yr 1'!H553)</f>
        <v>0</v>
      </c>
      <c r="I553" s="17">
        <f>IF('Components Yr 1'!I553=0,0,'Components Yr 1'!I553)</f>
        <v>0</v>
      </c>
      <c r="J553" s="17">
        <f>IF('Components Yr 1'!J553=0,0,'Components Yr 1'!J553)</f>
        <v>0</v>
      </c>
      <c r="K553" s="12"/>
      <c r="L553" s="12"/>
      <c r="M553" s="12"/>
      <c r="N553" s="12"/>
      <c r="O553" s="12"/>
      <c r="P553" s="12"/>
      <c r="Q553" s="17"/>
      <c r="R553" s="18">
        <f>IF(SUMPRODUCT((E553:Q553)*1)=0,0,E553*INDEX(Hours!M:M,MATCH(C553,Hours!$A:$A,0))+F553*INDEX(Hours!B:B,MATCH(C553,Hours!$A:$A,0))+G553*INDEX(Hours!C:C,MATCH(C553,Hours!$A:$A,0))+H553*INDEX(Hours!D:D,MATCH(C553,Hours!$A:$A,0))+I553*INDEX(Hours!E:E,MATCH(C553,Hours!$A:$A,0))+J553*INDEX(Hours!F:F,MATCH(C553,Hours!$A:$A,0)))</f>
        <v>0</v>
      </c>
      <c r="S553" s="19">
        <f t="shared" si="17"/>
        <v>0</v>
      </c>
    </row>
    <row r="554" spans="1:19" x14ac:dyDescent="0.25">
      <c r="A554" s="11" t="str">
        <f>'Bldgs &amp; Rooms'!$A$16</f>
        <v>Main Bldg.</v>
      </c>
      <c r="B554" s="11">
        <f>'Bldgs &amp; Rooms'!$B$16</f>
        <v>0</v>
      </c>
      <c r="C554" s="10" t="str">
        <f>Hours!$A$36</f>
        <v>HVAC Equipment (Small)</v>
      </c>
      <c r="D554" s="11">
        <f t="shared" si="16"/>
        <v>0</v>
      </c>
      <c r="E554" s="16">
        <f>IF('Components Yr 1'!E554=0,0,'Components Yr 1'!E554)</f>
        <v>0</v>
      </c>
      <c r="F554" s="17">
        <f>IF('Components Yr 1'!F554=0,0,'Components Yr 1'!F554)</f>
        <v>0</v>
      </c>
      <c r="G554" s="17">
        <f>IF('Components Yr 1'!G554=0,0,'Components Yr 1'!G554)</f>
        <v>0</v>
      </c>
      <c r="H554" s="17">
        <f>IF('Components Yr 1'!H554=0,0,'Components Yr 1'!H554)</f>
        <v>0</v>
      </c>
      <c r="I554" s="17">
        <f>IF('Components Yr 1'!I554=0,0,'Components Yr 1'!I554)</f>
        <v>0</v>
      </c>
      <c r="J554" s="17">
        <f>IF('Components Yr 1'!J554=0,0,'Components Yr 1'!J554)</f>
        <v>0</v>
      </c>
      <c r="K554" s="12"/>
      <c r="L554" s="12"/>
      <c r="M554" s="12"/>
      <c r="N554" s="12"/>
      <c r="O554" s="12"/>
      <c r="P554" s="12"/>
      <c r="Q554" s="17"/>
      <c r="R554" s="18">
        <f>IF(SUMPRODUCT((E554:Q554)*1)=0,0,E554*INDEX(Hours!M:M,MATCH(C554,Hours!$A:$A,0))+F554*INDEX(Hours!B:B,MATCH(C554,Hours!$A:$A,0))+G554*INDEX(Hours!C:C,MATCH(C554,Hours!$A:$A,0))+H554*INDEX(Hours!D:D,MATCH(C554,Hours!$A:$A,0))+I554*INDEX(Hours!E:E,MATCH(C554,Hours!$A:$A,0))+J554*INDEX(Hours!F:F,MATCH(C554,Hours!$A:$A,0)))</f>
        <v>0</v>
      </c>
      <c r="S554" s="19">
        <f t="shared" si="17"/>
        <v>0</v>
      </c>
    </row>
    <row r="555" spans="1:19" x14ac:dyDescent="0.25">
      <c r="A555" s="11" t="str">
        <f>'Bldgs &amp; Rooms'!$A$16</f>
        <v>Main Bldg.</v>
      </c>
      <c r="B555" s="11">
        <f>'Bldgs &amp; Rooms'!$B$16</f>
        <v>0</v>
      </c>
      <c r="C555" s="10" t="str">
        <f>Hours!$A$37</f>
        <v>Uninterruptible Power Supply (UPS) &lt; 50kVA</v>
      </c>
      <c r="D555" s="11">
        <f t="shared" si="16"/>
        <v>0</v>
      </c>
      <c r="E555" s="16">
        <f>IF('Components Yr 1'!E555=0,0,'Components Yr 1'!E555)</f>
        <v>0</v>
      </c>
      <c r="F555" s="17">
        <f>IF('Components Yr 1'!F555=0,0,'Components Yr 1'!F555)</f>
        <v>0</v>
      </c>
      <c r="G555" s="17">
        <f>IF('Components Yr 1'!G555=0,0,'Components Yr 1'!G555)</f>
        <v>0</v>
      </c>
      <c r="H555" s="17">
        <f>IF('Components Yr 1'!H555=0,0,'Components Yr 1'!H555)</f>
        <v>0</v>
      </c>
      <c r="I555" s="17">
        <f>IF('Components Yr 1'!I555=0,0,'Components Yr 1'!I555)</f>
        <v>0</v>
      </c>
      <c r="J555" s="17">
        <f>IF('Components Yr 1'!J555=0,0,'Components Yr 1'!J555)</f>
        <v>0</v>
      </c>
      <c r="K555" s="12"/>
      <c r="L555" s="12"/>
      <c r="M555" s="12"/>
      <c r="N555" s="12"/>
      <c r="O555" s="12"/>
      <c r="P555" s="12"/>
      <c r="Q555" s="17"/>
      <c r="R555" s="18">
        <f>IF(SUMPRODUCT((E555:Q555)*1)=0,0,E555*INDEX(Hours!M:M,MATCH(C555,Hours!$A:$A,0))+F555*INDEX(Hours!B:B,MATCH(C555,Hours!$A:$A,0))+G555*INDEX(Hours!C:C,MATCH(C555,Hours!$A:$A,0))+H555*INDEX(Hours!D:D,MATCH(C555,Hours!$A:$A,0))+I555*INDEX(Hours!E:E,MATCH(C555,Hours!$A:$A,0))+J555*INDEX(Hours!F:F,MATCH(C555,Hours!$A:$A,0)))</f>
        <v>0</v>
      </c>
      <c r="S555" s="19">
        <f t="shared" si="17"/>
        <v>0</v>
      </c>
    </row>
    <row r="556" spans="1:19" x14ac:dyDescent="0.25">
      <c r="A556" s="11" t="str">
        <f>'Bldgs &amp; Rooms'!$A$16</f>
        <v>Main Bldg.</v>
      </c>
      <c r="B556" s="11">
        <f>'Bldgs &amp; Rooms'!$B$16</f>
        <v>0</v>
      </c>
      <c r="C556" s="10" t="str">
        <f>Hours!$A$38</f>
        <v>Uninterruptible Power Supply (UPS) &gt; 50kVA</v>
      </c>
      <c r="D556" s="11">
        <f t="shared" si="16"/>
        <v>0</v>
      </c>
      <c r="E556" s="16">
        <f>IF('Components Yr 1'!E556=0,0,'Components Yr 1'!E556)</f>
        <v>0</v>
      </c>
      <c r="F556" s="17">
        <f>IF('Components Yr 1'!F556=0,0,'Components Yr 1'!F556)</f>
        <v>0</v>
      </c>
      <c r="G556" s="17">
        <f>IF('Components Yr 1'!G556=0,0,'Components Yr 1'!G556)</f>
        <v>0</v>
      </c>
      <c r="H556" s="17">
        <f>IF('Components Yr 1'!H556=0,0,'Components Yr 1'!H556)</f>
        <v>0</v>
      </c>
      <c r="I556" s="17">
        <f>IF('Components Yr 1'!I556=0,0,'Components Yr 1'!I556)</f>
        <v>0</v>
      </c>
      <c r="J556" s="17">
        <f>IF('Components Yr 1'!J556=0,0,'Components Yr 1'!J556)</f>
        <v>0</v>
      </c>
      <c r="K556" s="12"/>
      <c r="L556" s="12"/>
      <c r="M556" s="12"/>
      <c r="N556" s="12"/>
      <c r="O556" s="12"/>
      <c r="P556" s="12"/>
      <c r="Q556" s="17"/>
      <c r="R556" s="18">
        <f>IF(SUMPRODUCT((E556:Q556)*1)=0,0,E556*INDEX(Hours!M:M,MATCH(C556,Hours!$A:$A,0))+F556*INDEX(Hours!B:B,MATCH(C556,Hours!$A:$A,0))+G556*INDEX(Hours!C:C,MATCH(C556,Hours!$A:$A,0))+H556*INDEX(Hours!D:D,MATCH(C556,Hours!$A:$A,0))+I556*INDEX(Hours!E:E,MATCH(C556,Hours!$A:$A,0))+J556*INDEX(Hours!F:F,MATCH(C556,Hours!$A:$A,0)))</f>
        <v>0</v>
      </c>
      <c r="S556" s="19">
        <f t="shared" si="17"/>
        <v>0</v>
      </c>
    </row>
    <row r="557" spans="1:19" x14ac:dyDescent="0.25">
      <c r="A557" s="15" t="str">
        <f>'Bldgs &amp; Rooms'!$A$17</f>
        <v>Main Bldg.</v>
      </c>
      <c r="B557" s="15">
        <f>'Bldgs &amp; Rooms'!$B$17</f>
        <v>0</v>
      </c>
      <c r="C557" s="14" t="str">
        <f>Hours!$A$2</f>
        <v>Switchgear - Incoming Main Service (Per Section)</v>
      </c>
      <c r="D557" s="15">
        <f t="shared" si="16"/>
        <v>0</v>
      </c>
      <c r="E557" s="16">
        <f>IF('Components Yr 1'!E557=0,0,'Components Yr 1'!E557)</f>
        <v>0</v>
      </c>
      <c r="F557" s="17">
        <f>IF('Components Yr 1'!F557=0,0,'Components Yr 1'!F557)</f>
        <v>0</v>
      </c>
      <c r="G557" s="17">
        <f>IF('Components Yr 1'!G557=0,0,'Components Yr 1'!G557)</f>
        <v>0</v>
      </c>
      <c r="H557" s="17">
        <f>IF('Components Yr 1'!H557=0,0,'Components Yr 1'!H557)</f>
        <v>0</v>
      </c>
      <c r="I557" s="17">
        <f>IF('Components Yr 1'!I557=0,0,'Components Yr 1'!I557)</f>
        <v>0</v>
      </c>
      <c r="J557" s="17">
        <f>IF('Components Yr 1'!J557=0,0,'Components Yr 1'!J557)</f>
        <v>0</v>
      </c>
      <c r="K557" s="17">
        <f>IF('Components Yr 1'!K557=0,0,'Components Yr 1'!K557)</f>
        <v>0</v>
      </c>
      <c r="L557" s="17">
        <f>IF('Components Yr 1'!L557=0,0,'Components Yr 1'!L557)</f>
        <v>0</v>
      </c>
      <c r="M557" s="12"/>
      <c r="N557" s="12"/>
      <c r="O557" s="17">
        <f>IF('Components Yr 1'!O557=0,0,'Components Yr 1'!O557)</f>
        <v>0</v>
      </c>
      <c r="P557" s="12"/>
      <c r="Q557" s="17"/>
      <c r="R557" s="18">
        <f>IF(SUMPRODUCT((E557:Q557)*1)=0,0,E557*INDEX(Hours!M:M,MATCH(C557,Hours!$A:$A,0))+F557*INDEX(Hours!B:B,MATCH(C557,Hours!$A:$A,0))+G557*INDEX(Hours!C:C,MATCH(C557,Hours!$A:$A,0))+H557*INDEX(Hours!D:D,MATCH(C557,Hours!$A:$A,0))+I557*INDEX(Hours!E:E,MATCH(C557,Hours!$A:$A,0))+J557*INDEX(Hours!F:F,MATCH(C557,Hours!$A:$A,0))+K557*INDEX(Hours!G:G,MATCH(C557,Hours!$A:$A,0))+L557*INDEX(Hours!H:H,MATCH(C557,Hours!$A:$A,0))+O557*INDEX(Hours!K:K,MATCH(C557,Hours!$A:$A,0)))</f>
        <v>0</v>
      </c>
      <c r="S557" s="19">
        <f t="shared" si="17"/>
        <v>0</v>
      </c>
    </row>
    <row r="558" spans="1:19" x14ac:dyDescent="0.25">
      <c r="A558" s="15" t="str">
        <f>'Bldgs &amp; Rooms'!$A$17</f>
        <v>Main Bldg.</v>
      </c>
      <c r="B558" s="15">
        <f>'Bldgs &amp; Rooms'!$B$17</f>
        <v>0</v>
      </c>
      <c r="C558" s="14" t="str">
        <f>Hours!$A$3</f>
        <v xml:space="preserve">  Switchgear Insulated Case Breakers (Bus Mounted)</v>
      </c>
      <c r="D558" s="15">
        <f t="shared" si="16"/>
        <v>0</v>
      </c>
      <c r="E558" s="16">
        <f>IF('Components Yr 1'!E558=0,0,'Components Yr 1'!E558)</f>
        <v>0</v>
      </c>
      <c r="F558" s="17">
        <f>IF('Components Yr 1'!F558=0,0,'Components Yr 1'!F558)</f>
        <v>0</v>
      </c>
      <c r="G558" s="17">
        <f>IF('Components Yr 1'!G558=0,0,'Components Yr 1'!G558)</f>
        <v>0</v>
      </c>
      <c r="H558" s="17">
        <f>IF('Components Yr 1'!H558=0,0,'Components Yr 1'!H558)</f>
        <v>0</v>
      </c>
      <c r="I558" s="17">
        <f>IF('Components Yr 1'!I558=0,0,'Components Yr 1'!I558)</f>
        <v>0</v>
      </c>
      <c r="J558" s="17">
        <f>IF('Components Yr 1'!J558=0,0,'Components Yr 1'!J558)</f>
        <v>0</v>
      </c>
      <c r="K558" s="17">
        <f>IF('Components Yr 1'!K558=0,0,'Components Yr 1'!K558)</f>
        <v>0</v>
      </c>
      <c r="L558" s="12"/>
      <c r="M558" s="12"/>
      <c r="N558" s="12"/>
      <c r="O558" s="12"/>
      <c r="P558" s="12"/>
      <c r="Q558" s="17"/>
      <c r="R558" s="18">
        <f>IF(SUMPRODUCT((E558:Q558)*1)=0,0,E558*INDEX(Hours!M:M,MATCH(C558,Hours!$A:$A,0))+F558*INDEX(Hours!B:B,MATCH(C558,Hours!$A:$A,0))+G558*INDEX(Hours!C:C,MATCH(C558,Hours!$A:$A,0))+H558*INDEX(Hours!D:D,MATCH(C558,Hours!$A:$A,0))+I558*INDEX(Hours!E:E,MATCH(C558,Hours!$A:$A,0))+J558*INDEX(Hours!F:F,MATCH(C558,Hours!$A:$A,0))+K558*INDEX(Hours!G:G,MATCH(C558,Hours!$A:$A,0)))</f>
        <v>0</v>
      </c>
      <c r="S558" s="19">
        <f t="shared" si="17"/>
        <v>0</v>
      </c>
    </row>
    <row r="559" spans="1:19" x14ac:dyDescent="0.25">
      <c r="A559" s="15" t="str">
        <f>'Bldgs &amp; Rooms'!$A$17</f>
        <v>Main Bldg.</v>
      </c>
      <c r="B559" s="15">
        <f>'Bldgs &amp; Rooms'!$B$17</f>
        <v>0</v>
      </c>
      <c r="C559" s="14" t="str">
        <f>Hours!$A$4</f>
        <v xml:space="preserve">  SwitchGear Drawout Breakers</v>
      </c>
      <c r="D559" s="15">
        <f t="shared" si="16"/>
        <v>0</v>
      </c>
      <c r="E559" s="16">
        <f>IF('Components Yr 1'!E559=0,0,'Components Yr 1'!E559)</f>
        <v>0</v>
      </c>
      <c r="F559" s="17">
        <f>IF('Components Yr 1'!F559=0,0,'Components Yr 1'!F559)</f>
        <v>0</v>
      </c>
      <c r="G559" s="17">
        <f>IF('Components Yr 1'!G559=0,0,'Components Yr 1'!G559)</f>
        <v>0</v>
      </c>
      <c r="H559" s="17">
        <f>IF('Components Yr 1'!H559=0,0,'Components Yr 1'!H559)</f>
        <v>0</v>
      </c>
      <c r="I559" s="17">
        <f>IF('Components Yr 1'!I559=0,0,'Components Yr 1'!I559)</f>
        <v>0</v>
      </c>
      <c r="J559" s="17">
        <f>IF('Components Yr 1'!J559=0,0,'Components Yr 1'!J559)</f>
        <v>0</v>
      </c>
      <c r="K559" s="12"/>
      <c r="L559" s="17">
        <f>IF('Components Yr 1'!L559=0,0,'Components Yr 1'!L559)</f>
        <v>0</v>
      </c>
      <c r="M559" s="12"/>
      <c r="N559" s="12"/>
      <c r="O559" s="12"/>
      <c r="P559" s="12"/>
      <c r="Q559" s="17"/>
      <c r="R559" s="18">
        <f>IF(SUMPRODUCT((E559:Q559)*1)=0,0,E559*INDEX(Hours!M:M,MATCH(C559,Hours!$A:$A,0))+F559*INDEX(Hours!B:B,MATCH(C559,Hours!$A:$A,0))+G559*INDEX(Hours!C:C,MATCH(C559,Hours!$A:$A,0))+H559*INDEX(Hours!D:D,MATCH(C559,Hours!$A:$A,0))+I559*INDEX(Hours!E:E,MATCH(C559,Hours!$A:$A,0))+J559*INDEX(Hours!F:F,MATCH(C559,Hours!$A:$A,0))+L559*INDEX(Hours!H:H,MATCH(C559,Hours!$A:$A,0)))</f>
        <v>0</v>
      </c>
      <c r="S559" s="19">
        <f t="shared" si="17"/>
        <v>0</v>
      </c>
    </row>
    <row r="560" spans="1:19" x14ac:dyDescent="0.25">
      <c r="A560" s="15" t="str">
        <f>'Bldgs &amp; Rooms'!$A$17</f>
        <v>Main Bldg.</v>
      </c>
      <c r="B560" s="15">
        <f>'Bldgs &amp; Rooms'!$B$17</f>
        <v>0</v>
      </c>
      <c r="C560" s="14" t="str">
        <f>Hours!$A$5</f>
        <v>Distribution Switchboard Multi Cover (Per Section)</v>
      </c>
      <c r="D560" s="15">
        <f t="shared" si="16"/>
        <v>0</v>
      </c>
      <c r="E560" s="16">
        <f>IF('Components Yr 1'!E560=0,0,'Components Yr 1'!E560)</f>
        <v>0</v>
      </c>
      <c r="F560" s="17">
        <f>IF('Components Yr 1'!F560=0,0,'Components Yr 1'!F560)</f>
        <v>0</v>
      </c>
      <c r="G560" s="17">
        <f>IF('Components Yr 1'!G560=0,0,'Components Yr 1'!G560)</f>
        <v>0</v>
      </c>
      <c r="H560" s="17">
        <f>IF('Components Yr 1'!H560=0,0,'Components Yr 1'!H560)</f>
        <v>0</v>
      </c>
      <c r="I560" s="17">
        <f>IF('Components Yr 1'!I560=0,0,'Components Yr 1'!I560)</f>
        <v>0</v>
      </c>
      <c r="J560" s="17">
        <f>IF('Components Yr 1'!J560=0,0,'Components Yr 1'!J560)</f>
        <v>0</v>
      </c>
      <c r="K560" s="17">
        <f>IF('Components Yr 1'!K560=0,0,'Components Yr 1'!K560)</f>
        <v>0</v>
      </c>
      <c r="L560" s="12"/>
      <c r="M560" s="12"/>
      <c r="N560" s="12"/>
      <c r="O560" s="17">
        <f>IF('Components Yr 1'!O560=0,0,'Components Yr 1'!O560)</f>
        <v>0</v>
      </c>
      <c r="P560" s="12"/>
      <c r="Q560" s="17"/>
      <c r="R560" s="18">
        <f>IF(SUMPRODUCT((E560:Q560)*1)=0,0,E560*INDEX(Hours!M:M,MATCH(C560,Hours!$A:$A,0))+F560*INDEX(Hours!B:B,MATCH(C560,Hours!$A:$A,0))+G560*INDEX(Hours!C:C,MATCH(C560,Hours!$A:$A,0))+H560*INDEX(Hours!D:D,MATCH(C560,Hours!$A:$A,0))+I560*INDEX(Hours!E:E,MATCH(C560,Hours!$A:$A,0))+J560*INDEX(Hours!F:F,MATCH(C560,Hours!$A:$A,0))+K560*INDEX(Hours!G:G,MATCH(C560,Hours!$A:$A,0))+O560*INDEX(Hours!K:K,MATCH(C560,Hours!$A:$A,0)))</f>
        <v>0</v>
      </c>
      <c r="S560" s="19">
        <f t="shared" si="17"/>
        <v>0</v>
      </c>
    </row>
    <row r="561" spans="1:19" x14ac:dyDescent="0.25">
      <c r="A561" s="15" t="str">
        <f>'Bldgs &amp; Rooms'!$A$17</f>
        <v>Main Bldg.</v>
      </c>
      <c r="B561" s="15">
        <f>'Bldgs &amp; Rooms'!$B$17</f>
        <v>0</v>
      </c>
      <c r="C561" s="14" t="str">
        <f>Hours!$A$6</f>
        <v xml:space="preserve">  Switchboard Disconnects</v>
      </c>
      <c r="D561" s="15">
        <f t="shared" si="16"/>
        <v>0</v>
      </c>
      <c r="E561" s="16">
        <f>IF('Components Yr 1'!E561=0,0,'Components Yr 1'!E561)</f>
        <v>0</v>
      </c>
      <c r="F561" s="17">
        <f>IF('Components Yr 1'!F561=0,0,'Components Yr 1'!F561)</f>
        <v>0</v>
      </c>
      <c r="G561" s="17">
        <f>IF('Components Yr 1'!G561=0,0,'Components Yr 1'!G561)</f>
        <v>0</v>
      </c>
      <c r="H561" s="17">
        <f>IF('Components Yr 1'!H561=0,0,'Components Yr 1'!H561)</f>
        <v>0</v>
      </c>
      <c r="I561" s="17">
        <f>IF('Components Yr 1'!I561=0,0,'Components Yr 1'!I561)</f>
        <v>0</v>
      </c>
      <c r="J561" s="17">
        <f>IF('Components Yr 1'!J561=0,0,'Components Yr 1'!J561)</f>
        <v>0</v>
      </c>
      <c r="K561" s="12"/>
      <c r="L561" s="12"/>
      <c r="M561" s="12"/>
      <c r="N561" s="12"/>
      <c r="O561" s="12"/>
      <c r="P561" s="12"/>
      <c r="Q561" s="17"/>
      <c r="R561" s="18">
        <f>IF(SUMPRODUCT((E561:Q561)*1)=0,0,E561*INDEX(Hours!M:M,MATCH(C561,Hours!$A:$A,0))+F561*INDEX(Hours!B:B,MATCH(C561,Hours!$A:$A,0))+G561*INDEX(Hours!C:C,MATCH(C561,Hours!$A:$A,0))+H561*INDEX(Hours!D:D,MATCH(C561,Hours!$A:$A,0))+I561*INDEX(Hours!E:E,MATCH(C561,Hours!$A:$A,0))+J561*INDEX(Hours!F:F,MATCH(C561,Hours!$A:$A,0)))</f>
        <v>0</v>
      </c>
      <c r="S561" s="19">
        <f t="shared" si="17"/>
        <v>0</v>
      </c>
    </row>
    <row r="562" spans="1:19" x14ac:dyDescent="0.25">
      <c r="A562" s="15" t="str">
        <f>'Bldgs &amp; Rooms'!$A$17</f>
        <v>Main Bldg.</v>
      </c>
      <c r="B562" s="15">
        <f>'Bldgs &amp; Rooms'!$B$17</f>
        <v>0</v>
      </c>
      <c r="C562" s="14" t="str">
        <f>Hours!$A$7</f>
        <v xml:space="preserve">  Switchboard Molded Case Breakers</v>
      </c>
      <c r="D562" s="15">
        <f t="shared" si="16"/>
        <v>0</v>
      </c>
      <c r="E562" s="16">
        <f>IF('Components Yr 1'!E562=0,0,'Components Yr 1'!E562)</f>
        <v>0</v>
      </c>
      <c r="F562" s="17">
        <f>IF('Components Yr 1'!F562=0,0,'Components Yr 1'!F562)</f>
        <v>0</v>
      </c>
      <c r="G562" s="17">
        <f>IF('Components Yr 1'!G562=0,0,'Components Yr 1'!G562)</f>
        <v>0</v>
      </c>
      <c r="H562" s="17">
        <f>IF('Components Yr 1'!H562=0,0,'Components Yr 1'!H562)</f>
        <v>0</v>
      </c>
      <c r="I562" s="17">
        <f>IF('Components Yr 1'!I562=0,0,'Components Yr 1'!I562)</f>
        <v>0</v>
      </c>
      <c r="J562" s="17">
        <f>IF('Components Yr 1'!J562=0,0,'Components Yr 1'!J562)</f>
        <v>0</v>
      </c>
      <c r="K562" s="17">
        <f>IF('Components Yr 1'!K562=0,0,'Components Yr 1'!K562)</f>
        <v>0</v>
      </c>
      <c r="L562" s="12"/>
      <c r="M562" s="12"/>
      <c r="N562" s="12"/>
      <c r="O562" s="12"/>
      <c r="P562" s="12"/>
      <c r="Q562" s="17"/>
      <c r="R562" s="18">
        <f>IF(SUMPRODUCT((E562:Q562)*1)=0,0,E562*INDEX(Hours!M:M,MATCH(C562,Hours!$A:$A,0))+F562*INDEX(Hours!B:B,MATCH(C562,Hours!$A:$A,0))+G562*INDEX(Hours!C:C,MATCH(C562,Hours!$A:$A,0))+H562*INDEX(Hours!D:D,MATCH(C562,Hours!$A:$A,0))+I562*INDEX(Hours!E:E,MATCH(C562,Hours!$A:$A,0))+J562*INDEX(Hours!F:F,MATCH(C562,Hours!$A:$A,0))+K562*INDEX(Hours!G:G,MATCH(C562,Hours!$A:$A,0)))</f>
        <v>0</v>
      </c>
      <c r="S562" s="19">
        <f t="shared" si="17"/>
        <v>0</v>
      </c>
    </row>
    <row r="563" spans="1:19" x14ac:dyDescent="0.25">
      <c r="A563" s="15" t="str">
        <f>'Bldgs &amp; Rooms'!$A$17</f>
        <v>Main Bldg.</v>
      </c>
      <c r="B563" s="15">
        <f>'Bldgs &amp; Rooms'!$B$17</f>
        <v>0</v>
      </c>
      <c r="C563" s="14" t="str">
        <f>Hours!$A$8</f>
        <v>Panelboard-Single Cover &gt; 400A (Distribution Panel)</v>
      </c>
      <c r="D563" s="15">
        <f t="shared" si="16"/>
        <v>0</v>
      </c>
      <c r="E563" s="16">
        <f>IF('Components Yr 1'!E563=0,0,'Components Yr 1'!E563)</f>
        <v>0</v>
      </c>
      <c r="F563" s="17">
        <f>IF('Components Yr 1'!F563=0,0,'Components Yr 1'!F563)</f>
        <v>0</v>
      </c>
      <c r="G563" s="17">
        <f>IF('Components Yr 1'!G563=0,0,'Components Yr 1'!G563)</f>
        <v>0</v>
      </c>
      <c r="H563" s="17">
        <f>IF('Components Yr 1'!H563=0,0,'Components Yr 1'!H563)</f>
        <v>0</v>
      </c>
      <c r="I563" s="17">
        <f>IF('Components Yr 1'!I563=0,0,'Components Yr 1'!I563)</f>
        <v>0</v>
      </c>
      <c r="J563" s="17">
        <f>IF('Components Yr 1'!J563=0,0,'Components Yr 1'!J563)</f>
        <v>0</v>
      </c>
      <c r="K563" s="17">
        <f>IF('Components Yr 1'!K563=0,0,'Components Yr 1'!K563)</f>
        <v>0</v>
      </c>
      <c r="L563" s="12"/>
      <c r="M563" s="12"/>
      <c r="N563" s="12"/>
      <c r="O563" s="17">
        <f>IF('Components Yr 1'!O563=0,0,'Components Yr 1'!O563)</f>
        <v>0</v>
      </c>
      <c r="P563" s="12"/>
      <c r="Q563" s="17"/>
      <c r="R563" s="18">
        <f>IF(SUMPRODUCT((E563:Q563)*1)=0,0,E563*INDEX(Hours!M:M,MATCH(C563,Hours!$A:$A,0))+F563*INDEX(Hours!B:B,MATCH(C563,Hours!$A:$A,0))+G563*INDEX(Hours!C:C,MATCH(C563,Hours!$A:$A,0))+H563*INDEX(Hours!D:D,MATCH(C563,Hours!$A:$A,0))+I563*INDEX(Hours!E:E,MATCH(C563,Hours!$A:$A,0))+J563*INDEX(Hours!F:F,MATCH(C563,Hours!$A:$A,0))+K563*INDEX(Hours!G:G,MATCH(C563,Hours!$A:$A,0))+O563*INDEX(Hours!K:K,MATCH(C563,Hours!$A:$A,0)))</f>
        <v>0</v>
      </c>
      <c r="S563" s="19">
        <f t="shared" si="17"/>
        <v>0</v>
      </c>
    </row>
    <row r="564" spans="1:19" x14ac:dyDescent="0.25">
      <c r="A564" s="15" t="str">
        <f>'Bldgs &amp; Rooms'!$A$17</f>
        <v>Main Bldg.</v>
      </c>
      <c r="B564" s="15">
        <f>'Bldgs &amp; Rooms'!$B$17</f>
        <v>0</v>
      </c>
      <c r="C564" s="14" t="str">
        <f>Hours!$A$9</f>
        <v>Panelboard-Single Cover &lt; 400A (Branch Ckt Panel)</v>
      </c>
      <c r="D564" s="15">
        <f t="shared" si="16"/>
        <v>0</v>
      </c>
      <c r="E564" s="16">
        <f>IF('Components Yr 1'!E564=0,0,'Components Yr 1'!E564)</f>
        <v>0</v>
      </c>
      <c r="F564" s="17">
        <f>IF('Components Yr 1'!F564=0,0,'Components Yr 1'!F564)</f>
        <v>0</v>
      </c>
      <c r="G564" s="17">
        <f>IF('Components Yr 1'!G564=0,0,'Components Yr 1'!G564)</f>
        <v>0</v>
      </c>
      <c r="H564" s="17">
        <f>IF('Components Yr 1'!H564=0,0,'Components Yr 1'!H564)</f>
        <v>0</v>
      </c>
      <c r="I564" s="17">
        <f>IF('Components Yr 1'!I564=0,0,'Components Yr 1'!I564)</f>
        <v>0</v>
      </c>
      <c r="J564" s="17">
        <f>IF('Components Yr 1'!J564=0,0,'Components Yr 1'!J564)</f>
        <v>0</v>
      </c>
      <c r="K564" s="12"/>
      <c r="L564" s="12"/>
      <c r="M564" s="12"/>
      <c r="N564" s="12"/>
      <c r="O564" s="17">
        <f>IF('Components Yr 1'!O564=0,0,'Components Yr 1'!O564)</f>
        <v>0</v>
      </c>
      <c r="P564" s="12"/>
      <c r="Q564" s="17"/>
      <c r="R564" s="18">
        <f>IF(SUMPRODUCT((E564:Q564)*1)=0,0,E564*INDEX(Hours!M:M,MATCH(C564,Hours!$A:$A,0))+F564*INDEX(Hours!B:B,MATCH(C564,Hours!$A:$A,0))+G564*INDEX(Hours!C:C,MATCH(C564,Hours!$A:$A,0))+H564*INDEX(Hours!D:D,MATCH(C564,Hours!$A:$A,0))+I564*INDEX(Hours!E:E,MATCH(C564,Hours!$A:$A,0))+J564*INDEX(Hours!F:F,MATCH(C564,Hours!$A:$A,0))+O564*INDEX(Hours!K:K,MATCH(C564,Hours!$A:$A,0)))</f>
        <v>0</v>
      </c>
      <c r="S564" s="19">
        <f t="shared" si="17"/>
        <v>0</v>
      </c>
    </row>
    <row r="565" spans="1:19" x14ac:dyDescent="0.25">
      <c r="A565" s="15" t="str">
        <f>'Bldgs &amp; Rooms'!$A$17</f>
        <v>Main Bldg.</v>
      </c>
      <c r="B565" s="15">
        <f>'Bldgs &amp; Rooms'!$B$17</f>
        <v>0</v>
      </c>
      <c r="C565" s="14" t="str">
        <f>Hours!$A$10</f>
        <v>Motor Control Center (MCC-Per Vertical Section)</v>
      </c>
      <c r="D565" s="15">
        <f t="shared" si="16"/>
        <v>0</v>
      </c>
      <c r="E565" s="16">
        <f>IF('Components Yr 1'!E565=0,0,'Components Yr 1'!E565)</f>
        <v>0</v>
      </c>
      <c r="F565" s="17">
        <f>IF('Components Yr 1'!F565=0,0,'Components Yr 1'!F565)</f>
        <v>0</v>
      </c>
      <c r="G565" s="17">
        <f>IF('Components Yr 1'!G565=0,0,'Components Yr 1'!G565)</f>
        <v>0</v>
      </c>
      <c r="H565" s="17">
        <f>IF('Components Yr 1'!H565=0,0,'Components Yr 1'!H565)</f>
        <v>0</v>
      </c>
      <c r="I565" s="17">
        <f>IF('Components Yr 1'!I565=0,0,'Components Yr 1'!I565)</f>
        <v>0</v>
      </c>
      <c r="J565" s="17">
        <f>IF('Components Yr 1'!J565=0,0,'Components Yr 1'!J565)</f>
        <v>0</v>
      </c>
      <c r="K565" s="12"/>
      <c r="L565" s="12"/>
      <c r="M565" s="12"/>
      <c r="N565" s="12"/>
      <c r="O565" s="17">
        <f>IF('Components Yr 1'!O565=0,0,'Components Yr 1'!O565)</f>
        <v>0</v>
      </c>
      <c r="P565" s="12"/>
      <c r="Q565" s="17"/>
      <c r="R565" s="18">
        <f>IF(SUMPRODUCT((E565:Q565)*1)=0,0,E565*INDEX(Hours!M:M,MATCH(C565,Hours!$A:$A,0))+F565*INDEX(Hours!B:B,MATCH(C565,Hours!$A:$A,0))+G565*INDEX(Hours!C:C,MATCH(C565,Hours!$A:$A,0))+H565*INDEX(Hours!D:D,MATCH(C565,Hours!$A:$A,0))+I565*INDEX(Hours!E:E,MATCH(C565,Hours!$A:$A,0))+J565*INDEX(Hours!F:F,MATCH(C565,Hours!$A:$A,0))+O565*INDEX(Hours!K:K,MATCH(C565,Hours!$A:$A,0)))</f>
        <v>0</v>
      </c>
      <c r="S565" s="19">
        <f t="shared" si="17"/>
        <v>0</v>
      </c>
    </row>
    <row r="566" spans="1:19" x14ac:dyDescent="0.25">
      <c r="A566" s="15" t="str">
        <f>'Bldgs &amp; Rooms'!$A$17</f>
        <v>Main Bldg.</v>
      </c>
      <c r="B566" s="15">
        <f>'Bldgs &amp; Rooms'!$B$17</f>
        <v>0</v>
      </c>
      <c r="C566" s="14" t="str">
        <f>Hours!$A$11</f>
        <v xml:space="preserve">  MCC: Combination Motor Starters</v>
      </c>
      <c r="D566" s="15">
        <f t="shared" si="16"/>
        <v>0</v>
      </c>
      <c r="E566" s="16">
        <f>IF('Components Yr 1'!E566=0,0,'Components Yr 1'!E566)</f>
        <v>0</v>
      </c>
      <c r="F566" s="17">
        <f>IF('Components Yr 1'!F566=0,0,'Components Yr 1'!F566)</f>
        <v>0</v>
      </c>
      <c r="G566" s="17">
        <f>IF('Components Yr 1'!G566=0,0,'Components Yr 1'!G566)</f>
        <v>0</v>
      </c>
      <c r="H566" s="17">
        <f>IF('Components Yr 1'!H566=0,0,'Components Yr 1'!H566)</f>
        <v>0</v>
      </c>
      <c r="I566" s="17">
        <f>IF('Components Yr 1'!I566=0,0,'Components Yr 1'!I566)</f>
        <v>0</v>
      </c>
      <c r="J566" s="17">
        <f>IF('Components Yr 1'!J566=0,0,'Components Yr 1'!J566)</f>
        <v>0</v>
      </c>
      <c r="K566" s="17">
        <f>IF('Components Yr 1'!K566=0,0,'Components Yr 1'!K566)</f>
        <v>0</v>
      </c>
      <c r="L566" s="12"/>
      <c r="M566" s="12"/>
      <c r="N566" s="12"/>
      <c r="O566" s="17">
        <f>IF('Components Yr 1'!O566=0,0,'Components Yr 1'!O566)</f>
        <v>0</v>
      </c>
      <c r="P566" s="12"/>
      <c r="Q566" s="17"/>
      <c r="R566" s="18">
        <f>IF(SUMPRODUCT((E566:Q566)*1)=0,0,E566*INDEX(Hours!M:M,MATCH(C566,Hours!$A:$A,0))+F566*INDEX(Hours!B:B,MATCH(C566,Hours!$A:$A,0))+G566*INDEX(Hours!C:C,MATCH(C566,Hours!$A:$A,0))+H566*INDEX(Hours!D:D,MATCH(C566,Hours!$A:$A,0))+I566*INDEX(Hours!E:E,MATCH(C566,Hours!$A:$A,0))+J566*INDEX(Hours!F:F,MATCH(C566,Hours!$A:$A,0))+K566*INDEX(Hours!G:G,MATCH(C566,Hours!$A:$A,0))+O566*INDEX(Hours!K:K,MATCH(C566,Hours!$A:$A,0)))</f>
        <v>0</v>
      </c>
      <c r="S566" s="19">
        <f t="shared" si="17"/>
        <v>0</v>
      </c>
    </row>
    <row r="567" spans="1:19" x14ac:dyDescent="0.25">
      <c r="A567" s="15" t="str">
        <f>'Bldgs &amp; Rooms'!$A$17</f>
        <v>Main Bldg.</v>
      </c>
      <c r="B567" s="15">
        <f>'Bldgs &amp; Rooms'!$B$17</f>
        <v>0</v>
      </c>
      <c r="C567" s="14" t="str">
        <f>Hours!$A$12</f>
        <v xml:space="preserve">  MCC: Molded Case Breaker</v>
      </c>
      <c r="D567" s="15">
        <f t="shared" si="16"/>
        <v>0</v>
      </c>
      <c r="E567" s="16">
        <f>IF('Components Yr 1'!E567=0,0,'Components Yr 1'!E567)</f>
        <v>0</v>
      </c>
      <c r="F567" s="17">
        <f>IF('Components Yr 1'!F567=0,0,'Components Yr 1'!F567)</f>
        <v>0</v>
      </c>
      <c r="G567" s="17">
        <f>IF('Components Yr 1'!G567=0,0,'Components Yr 1'!G567)</f>
        <v>0</v>
      </c>
      <c r="H567" s="17">
        <f>IF('Components Yr 1'!H567=0,0,'Components Yr 1'!H567)</f>
        <v>0</v>
      </c>
      <c r="I567" s="17">
        <f>IF('Components Yr 1'!I567=0,0,'Components Yr 1'!I567)</f>
        <v>0</v>
      </c>
      <c r="J567" s="17">
        <f>IF('Components Yr 1'!J567=0,0,'Components Yr 1'!J567)</f>
        <v>0</v>
      </c>
      <c r="K567" s="17">
        <f>IF('Components Yr 1'!K567=0,0,'Components Yr 1'!K567)</f>
        <v>0</v>
      </c>
      <c r="L567" s="12"/>
      <c r="M567" s="12"/>
      <c r="N567" s="12"/>
      <c r="O567" s="12"/>
      <c r="P567" s="12"/>
      <c r="Q567" s="17"/>
      <c r="R567" s="18">
        <f>IF(SUMPRODUCT((E567:Q567)*1)=0,0,E567*INDEX(Hours!M:M,MATCH(C567,Hours!$A:$A,0))+F567*INDEX(Hours!B:B,MATCH(C567,Hours!$A:$A,0))+G567*INDEX(Hours!C:C,MATCH(C567,Hours!$A:$A,0))+H567*INDEX(Hours!D:D,MATCH(C567,Hours!$A:$A,0))+I567*INDEX(Hours!E:E,MATCH(C567,Hours!$A:$A,0))+J567*INDEX(Hours!F:F,MATCH(C567,Hours!$A:$A,0))+K567*INDEX(Hours!G:G,MATCH(C567,Hours!$A:$A,0)))</f>
        <v>0</v>
      </c>
      <c r="S567" s="19">
        <f t="shared" si="17"/>
        <v>0</v>
      </c>
    </row>
    <row r="568" spans="1:19" x14ac:dyDescent="0.25">
      <c r="A568" s="15" t="str">
        <f>'Bldgs &amp; Rooms'!$A$17</f>
        <v>Main Bldg.</v>
      </c>
      <c r="B568" s="15">
        <f>'Bldgs &amp; Rooms'!$B$17</f>
        <v>0</v>
      </c>
      <c r="C568" s="14" t="str">
        <f>Hours!$A$13</f>
        <v xml:space="preserve">  MCC: Individual Disconnect Switch</v>
      </c>
      <c r="D568" s="15">
        <f t="shared" si="16"/>
        <v>0</v>
      </c>
      <c r="E568" s="16">
        <f>IF('Components Yr 1'!E568=0,0,'Components Yr 1'!E568)</f>
        <v>0</v>
      </c>
      <c r="F568" s="17">
        <f>IF('Components Yr 1'!F568=0,0,'Components Yr 1'!F568)</f>
        <v>0</v>
      </c>
      <c r="G568" s="17">
        <f>IF('Components Yr 1'!G568=0,0,'Components Yr 1'!G568)</f>
        <v>0</v>
      </c>
      <c r="H568" s="17">
        <f>IF('Components Yr 1'!H568=0,0,'Components Yr 1'!H568)</f>
        <v>0</v>
      </c>
      <c r="I568" s="17">
        <f>IF('Components Yr 1'!I568=0,0,'Components Yr 1'!I568)</f>
        <v>0</v>
      </c>
      <c r="J568" s="17">
        <f>IF('Components Yr 1'!J568=0,0,'Components Yr 1'!J568)</f>
        <v>0</v>
      </c>
      <c r="K568" s="12"/>
      <c r="L568" s="12"/>
      <c r="M568" s="12"/>
      <c r="N568" s="12"/>
      <c r="O568" s="12"/>
      <c r="P568" s="12"/>
      <c r="Q568" s="17"/>
      <c r="R568" s="18">
        <f>IF(SUMPRODUCT((E568:Q568)*1)=0,0,E568*INDEX(Hours!M:M,MATCH(C568,Hours!$A:$A,0))+F568*INDEX(Hours!B:B,MATCH(C568,Hours!$A:$A,0))+G568*INDEX(Hours!C:C,MATCH(C568,Hours!$A:$A,0))+H568*INDEX(Hours!D:D,MATCH(C568,Hours!$A:$A,0))+I568*INDEX(Hours!E:E,MATCH(C568,Hours!$A:$A,0))+J568*INDEX(Hours!F:F,MATCH(C568,Hours!$A:$A,0)))</f>
        <v>0</v>
      </c>
      <c r="S568" s="19">
        <f t="shared" si="17"/>
        <v>0</v>
      </c>
    </row>
    <row r="569" spans="1:19" x14ac:dyDescent="0.25">
      <c r="A569" s="15" t="str">
        <f>'Bldgs &amp; Rooms'!$A$17</f>
        <v>Main Bldg.</v>
      </c>
      <c r="B569" s="15">
        <f>'Bldgs &amp; Rooms'!$B$17</f>
        <v>0</v>
      </c>
      <c r="C569" s="14" t="str">
        <f>Hours!$A$14</f>
        <v>Motor Control Panel (MCP)</v>
      </c>
      <c r="D569" s="15">
        <f t="shared" si="16"/>
        <v>0</v>
      </c>
      <c r="E569" s="16">
        <f>IF('Components Yr 1'!E569=0,0,'Components Yr 1'!E569)</f>
        <v>0</v>
      </c>
      <c r="F569" s="17">
        <f>IF('Components Yr 1'!F569=0,0,'Components Yr 1'!F569)</f>
        <v>0</v>
      </c>
      <c r="G569" s="17">
        <f>IF('Components Yr 1'!G569=0,0,'Components Yr 1'!G569)</f>
        <v>0</v>
      </c>
      <c r="H569" s="17">
        <f>IF('Components Yr 1'!H569=0,0,'Components Yr 1'!H569)</f>
        <v>0</v>
      </c>
      <c r="I569" s="17">
        <f>IF('Components Yr 1'!I569=0,0,'Components Yr 1'!I569)</f>
        <v>0</v>
      </c>
      <c r="J569" s="17">
        <f>IF('Components Yr 1'!J569=0,0,'Components Yr 1'!J569)</f>
        <v>0</v>
      </c>
      <c r="K569" s="12"/>
      <c r="L569" s="12"/>
      <c r="M569" s="12"/>
      <c r="N569" s="12"/>
      <c r="O569" s="17">
        <f>IF('Components Yr 1'!O569=0,0,'Components Yr 1'!O569)</f>
        <v>0</v>
      </c>
      <c r="P569" s="12"/>
      <c r="Q569" s="17"/>
      <c r="R569" s="18">
        <f>IF(SUMPRODUCT((E569:Q569)*1)=0,0,E569*INDEX(Hours!M:M,MATCH(C569,Hours!$A:$A,0))+F569*INDEX(Hours!B:B,MATCH(C569,Hours!$A:$A,0))+G569*INDEX(Hours!C:C,MATCH(C569,Hours!$A:$A,0))+H569*INDEX(Hours!D:D,MATCH(C569,Hours!$A:$A,0))+I569*INDEX(Hours!E:E,MATCH(C569,Hours!$A:$A,0))+J569*INDEX(Hours!F:F,MATCH(C569,Hours!$A:$A,0))+O569*INDEX(Hours!K:K,MATCH(C569,Hours!$A:$A,0)))</f>
        <v>0</v>
      </c>
      <c r="S569" s="19">
        <f t="shared" si="17"/>
        <v>0</v>
      </c>
    </row>
    <row r="570" spans="1:19" x14ac:dyDescent="0.25">
      <c r="A570" s="15" t="str">
        <f>'Bldgs &amp; Rooms'!$A$17</f>
        <v>Main Bldg.</v>
      </c>
      <c r="B570" s="15">
        <f>'Bldgs &amp; Rooms'!$B$17</f>
        <v>0</v>
      </c>
      <c r="C570" s="14" t="str">
        <f>Hours!$A$15</f>
        <v>VFD Motor Control Panel (VFD-MCP)</v>
      </c>
      <c r="D570" s="15">
        <f t="shared" si="16"/>
        <v>0</v>
      </c>
      <c r="E570" s="16">
        <f>IF('Components Yr 1'!E570=0,0,'Components Yr 1'!E570)</f>
        <v>0</v>
      </c>
      <c r="F570" s="17">
        <f>IF('Components Yr 1'!F570=0,0,'Components Yr 1'!F570)</f>
        <v>0</v>
      </c>
      <c r="G570" s="17">
        <f>IF('Components Yr 1'!G570=0,0,'Components Yr 1'!G570)</f>
        <v>0</v>
      </c>
      <c r="H570" s="17">
        <f>IF('Components Yr 1'!H570=0,0,'Components Yr 1'!H570)</f>
        <v>0</v>
      </c>
      <c r="I570" s="17">
        <f>IF('Components Yr 1'!I570=0,0,'Components Yr 1'!I570)</f>
        <v>0</v>
      </c>
      <c r="J570" s="17">
        <f>IF('Components Yr 1'!J570=0,0,'Components Yr 1'!J570)</f>
        <v>0</v>
      </c>
      <c r="K570" s="12"/>
      <c r="L570" s="12"/>
      <c r="M570" s="12"/>
      <c r="N570" s="12"/>
      <c r="O570" s="17">
        <f>IF('Components Yr 1'!O570=0,0,'Components Yr 1'!O570)</f>
        <v>0</v>
      </c>
      <c r="P570" s="12"/>
      <c r="Q570" s="17"/>
      <c r="R570" s="18">
        <f>IF(SUMPRODUCT((E570:Q570)*1)=0,0,E570*INDEX(Hours!M:M,MATCH(C570,Hours!$A:$A,0))+F570*INDEX(Hours!B:B,MATCH(C570,Hours!$A:$A,0))+G570*INDEX(Hours!C:C,MATCH(C570,Hours!$A:$A,0))+H570*INDEX(Hours!D:D,MATCH(C570,Hours!$A:$A,0))+I570*INDEX(Hours!E:E,MATCH(C570,Hours!$A:$A,0))+J570*INDEX(Hours!F:F,MATCH(C570,Hours!$A:$A,0))+O570*INDEX(Hours!K:K,MATCH(C570,Hours!$A:$A,0)))</f>
        <v>0</v>
      </c>
      <c r="S570" s="19">
        <f t="shared" si="17"/>
        <v>0</v>
      </c>
    </row>
    <row r="571" spans="1:19" x14ac:dyDescent="0.25">
      <c r="A571" s="15" t="str">
        <f>'Bldgs &amp; Rooms'!$A$17</f>
        <v>Main Bldg.</v>
      </c>
      <c r="B571" s="15">
        <f>'Bldgs &amp; Rooms'!$B$17</f>
        <v>0</v>
      </c>
      <c r="C571" s="14" t="str">
        <f>Hours!$A$16</f>
        <v>Individual Disconnect Switch &gt; 100A</v>
      </c>
      <c r="D571" s="15">
        <f t="shared" si="16"/>
        <v>0</v>
      </c>
      <c r="E571" s="16">
        <f>IF('Components Yr 1'!E571=0,0,'Components Yr 1'!E571)</f>
        <v>0</v>
      </c>
      <c r="F571" s="17">
        <f>IF('Components Yr 1'!F571=0,0,'Components Yr 1'!F571)</f>
        <v>0</v>
      </c>
      <c r="G571" s="17">
        <f>IF('Components Yr 1'!G571=0,0,'Components Yr 1'!G571)</f>
        <v>0</v>
      </c>
      <c r="H571" s="17">
        <f>IF('Components Yr 1'!H571=0,0,'Components Yr 1'!H571)</f>
        <v>0</v>
      </c>
      <c r="I571" s="17">
        <f>IF('Components Yr 1'!I571=0,0,'Components Yr 1'!I571)</f>
        <v>0</v>
      </c>
      <c r="J571" s="17">
        <f>IF('Components Yr 1'!J571=0,0,'Components Yr 1'!J571)</f>
        <v>0</v>
      </c>
      <c r="K571" s="17">
        <f>IF('Components Yr 1'!K571=0,0,'Components Yr 1'!K571)</f>
        <v>0</v>
      </c>
      <c r="L571" s="12"/>
      <c r="M571" s="12"/>
      <c r="N571" s="12"/>
      <c r="O571" s="12"/>
      <c r="P571" s="12"/>
      <c r="Q571" s="17"/>
      <c r="R571" s="18">
        <f>IF(SUMPRODUCT((E571:Q571)*1)=0,0,E571*INDEX(Hours!M:M,MATCH(C571,Hours!$A:$A,0))+F571*INDEX(Hours!B:B,MATCH(C571,Hours!$A:$A,0))+G571*INDEX(Hours!C:C,MATCH(C571,Hours!$A:$A,0))+H571*INDEX(Hours!D:D,MATCH(C571,Hours!$A:$A,0))+I571*INDEX(Hours!E:E,MATCH(C571,Hours!$A:$A,0))+J571*INDEX(Hours!F:F,MATCH(C571,Hours!$A:$A,0))+K571*INDEX(Hours!G:G,MATCH(C571,Hours!$A:$A,0)))</f>
        <v>0</v>
      </c>
      <c r="S571" s="19">
        <f t="shared" si="17"/>
        <v>0</v>
      </c>
    </row>
    <row r="572" spans="1:19" x14ac:dyDescent="0.25">
      <c r="A572" s="15" t="str">
        <f>'Bldgs &amp; Rooms'!$A$17</f>
        <v>Main Bldg.</v>
      </c>
      <c r="B572" s="15">
        <f>'Bldgs &amp; Rooms'!$B$17</f>
        <v>0</v>
      </c>
      <c r="C572" s="14" t="str">
        <f>Hours!$A$17</f>
        <v>Individual Molded Case Breaker &gt; 100A</v>
      </c>
      <c r="D572" s="15">
        <f t="shared" si="16"/>
        <v>0</v>
      </c>
      <c r="E572" s="16">
        <f>IF('Components Yr 1'!E572=0,0,'Components Yr 1'!E572)</f>
        <v>0</v>
      </c>
      <c r="F572" s="17">
        <f>IF('Components Yr 1'!F572=0,0,'Components Yr 1'!F572)</f>
        <v>0</v>
      </c>
      <c r="G572" s="17">
        <f>IF('Components Yr 1'!G572=0,0,'Components Yr 1'!G572)</f>
        <v>0</v>
      </c>
      <c r="H572" s="17">
        <f>IF('Components Yr 1'!H572=0,0,'Components Yr 1'!H572)</f>
        <v>0</v>
      </c>
      <c r="I572" s="17">
        <f>IF('Components Yr 1'!I572=0,0,'Components Yr 1'!I572)</f>
        <v>0</v>
      </c>
      <c r="J572" s="17">
        <f>IF('Components Yr 1'!J572=0,0,'Components Yr 1'!J572)</f>
        <v>0</v>
      </c>
      <c r="K572" s="17">
        <f>IF('Components Yr 1'!K572=0,0,'Components Yr 1'!K572)</f>
        <v>0</v>
      </c>
      <c r="L572" s="12"/>
      <c r="M572" s="12"/>
      <c r="N572" s="12"/>
      <c r="O572" s="12"/>
      <c r="P572" s="12"/>
      <c r="Q572" s="17"/>
      <c r="R572" s="18">
        <f>IF(SUMPRODUCT((E572:Q572)*1)=0,0,E572*INDEX(Hours!M:M,MATCH(C572,Hours!$A:$A,0))+F572*INDEX(Hours!B:B,MATCH(C572,Hours!$A:$A,0))+G572*INDEX(Hours!C:C,MATCH(C572,Hours!$A:$A,0))+H572*INDEX(Hours!D:D,MATCH(C572,Hours!$A:$A,0))+I572*INDEX(Hours!E:E,MATCH(C572,Hours!$A:$A,0))+J572*INDEX(Hours!F:F,MATCH(C572,Hours!$A:$A,0))+K572*INDEX(Hours!G:G,MATCH(C572,Hours!$A:$A,0)))</f>
        <v>0</v>
      </c>
      <c r="S572" s="19">
        <f t="shared" si="17"/>
        <v>0</v>
      </c>
    </row>
    <row r="573" spans="1:19" x14ac:dyDescent="0.25">
      <c r="A573" s="15" t="str">
        <f>'Bldgs &amp; Rooms'!$A$17</f>
        <v>Main Bldg.</v>
      </c>
      <c r="B573" s="15">
        <f>'Bldgs &amp; Rooms'!$B$17</f>
        <v>0</v>
      </c>
      <c r="C573" s="14" t="str">
        <f>Hours!$A$18</f>
        <v>Individual Combination Motor Starter &gt; 100A</v>
      </c>
      <c r="D573" s="15">
        <f t="shared" si="16"/>
        <v>0</v>
      </c>
      <c r="E573" s="16">
        <f>IF('Components Yr 1'!E573=0,0,'Components Yr 1'!E573)</f>
        <v>0</v>
      </c>
      <c r="F573" s="17">
        <f>IF('Components Yr 1'!F573=0,0,'Components Yr 1'!F573)</f>
        <v>0</v>
      </c>
      <c r="G573" s="17">
        <f>IF('Components Yr 1'!G573=0,0,'Components Yr 1'!G573)</f>
        <v>0</v>
      </c>
      <c r="H573" s="17">
        <f>IF('Components Yr 1'!H573=0,0,'Components Yr 1'!H573)</f>
        <v>0</v>
      </c>
      <c r="I573" s="17">
        <f>IF('Components Yr 1'!I573=0,0,'Components Yr 1'!I573)</f>
        <v>0</v>
      </c>
      <c r="J573" s="17">
        <f>IF('Components Yr 1'!J573=0,0,'Components Yr 1'!J573)</f>
        <v>0</v>
      </c>
      <c r="K573" s="17">
        <f>IF('Components Yr 1'!K573=0,0,'Components Yr 1'!K573)</f>
        <v>0</v>
      </c>
      <c r="L573" s="12"/>
      <c r="M573" s="12"/>
      <c r="N573" s="12"/>
      <c r="O573" s="12"/>
      <c r="P573" s="12"/>
      <c r="Q573" s="17"/>
      <c r="R573" s="18">
        <f>IF(SUMPRODUCT((E573:Q573)*1)=0,0,E573*INDEX(Hours!M:M,MATCH(C573,Hours!$A:$A,0))+F573*INDEX(Hours!B:B,MATCH(C573,Hours!$A:$A,0))+G573*INDEX(Hours!C:C,MATCH(C573,Hours!$A:$A,0))+H573*INDEX(Hours!D:D,MATCH(C573,Hours!$A:$A,0))+I573*INDEX(Hours!E:E,MATCH(C573,Hours!$A:$A,0))+J573*INDEX(Hours!F:F,MATCH(C573,Hours!$A:$A,0))+K573*INDEX(Hours!G:G,MATCH(C573,Hours!$A:$A,0)))</f>
        <v>0</v>
      </c>
      <c r="S573" s="19">
        <f t="shared" si="17"/>
        <v>0</v>
      </c>
    </row>
    <row r="574" spans="1:19" x14ac:dyDescent="0.25">
      <c r="A574" s="15" t="str">
        <f>'Bldgs &amp; Rooms'!$A$17</f>
        <v>Main Bldg.</v>
      </c>
      <c r="B574" s="15">
        <f>'Bldgs &amp; Rooms'!$B$17</f>
        <v>0</v>
      </c>
      <c r="C574" s="14" t="str">
        <f>Hours!$A$19</f>
        <v>Oil Filled Transformer - 5kV-15kV Primary - Any Size (Pad Mounted)</v>
      </c>
      <c r="D574" s="15">
        <f t="shared" si="16"/>
        <v>0</v>
      </c>
      <c r="E574" s="16">
        <f>IF('Components Yr 1'!E574=0,0,'Components Yr 1'!E574)</f>
        <v>0</v>
      </c>
      <c r="F574" s="17">
        <f>IF('Components Yr 1'!F574=0,0,'Components Yr 1'!F574)</f>
        <v>0</v>
      </c>
      <c r="G574" s="17">
        <f>IF('Components Yr 1'!G574=0,0,'Components Yr 1'!G574)</f>
        <v>0</v>
      </c>
      <c r="H574" s="17">
        <f>IF('Components Yr 1'!H574=0,0,'Components Yr 1'!H574)</f>
        <v>0</v>
      </c>
      <c r="I574" s="17">
        <f>IF('Components Yr 1'!I574=0,0,'Components Yr 1'!I574)</f>
        <v>0</v>
      </c>
      <c r="J574" s="17">
        <f>IF('Components Yr 1'!J574=0,0,'Components Yr 1'!J574)</f>
        <v>0</v>
      </c>
      <c r="K574" s="12"/>
      <c r="L574" s="12"/>
      <c r="M574" s="17">
        <f>IF('Components Yr 1'!M574=0,0,'Components Yr 1'!M574)</f>
        <v>0</v>
      </c>
      <c r="N574" s="17">
        <f>IF('Components Yr 1'!N574=0,0,'Components Yr 1'!N574)</f>
        <v>0</v>
      </c>
      <c r="O574" s="12"/>
      <c r="P574" s="17">
        <f>IF('Components Yr 1'!P574=0,0,'Components Yr 1'!P574)</f>
        <v>0</v>
      </c>
      <c r="Q574" s="17"/>
      <c r="R574" s="18">
        <f>IF(SUMPRODUCT((E574:Q574)*1)=0,0,E574*INDEX(Hours!M:M,MATCH(C574,Hours!$A:$A,0))+F574*INDEX(Hours!B:B,MATCH(C574,Hours!$A:$A,0))+G574*INDEX(Hours!C:C,MATCH(C574,Hours!$A:$A,0))+H574*INDEX(Hours!D:D,MATCH(C574,Hours!$A:$A,0))+I574*INDEX(Hours!E:E,MATCH(C574,Hours!$A:$A,0))+J574*INDEX(Hours!F:F,MATCH(C574,Hours!$A:$A,0))+M574*INDEX(Hours!I:I,MATCH(C574,Hours!$A:$A,0))+N574*INDEX(Hours!J:J,MATCH(C574,Hours!$A:$A,0))+P574*INDEX(Hours!L:L,MATCH(C574,Hours!$A:$A,0)))</f>
        <v>0</v>
      </c>
      <c r="S574" s="19">
        <f t="shared" si="17"/>
        <v>0</v>
      </c>
    </row>
    <row r="575" spans="1:19" x14ac:dyDescent="0.25">
      <c r="A575" s="15" t="str">
        <f>'Bldgs &amp; Rooms'!$A$17</f>
        <v>Main Bldg.</v>
      </c>
      <c r="B575" s="15">
        <f>'Bldgs &amp; Rooms'!$B$17</f>
        <v>0</v>
      </c>
      <c r="C575" s="14" t="str">
        <f>Hours!$A$20</f>
        <v>Oil Filled Transformer - &gt; 15kV Primary (Substation Class)</v>
      </c>
      <c r="D575" s="15">
        <f t="shared" si="16"/>
        <v>0</v>
      </c>
      <c r="E575" s="16">
        <f>IF('Components Yr 1'!E575=0,0,'Components Yr 1'!E575)</f>
        <v>0</v>
      </c>
      <c r="F575" s="17">
        <f>IF('Components Yr 1'!F575=0,0,'Components Yr 1'!F575)</f>
        <v>0</v>
      </c>
      <c r="G575" s="17">
        <f>IF('Components Yr 1'!G575=0,0,'Components Yr 1'!G575)</f>
        <v>0</v>
      </c>
      <c r="H575" s="17">
        <f>IF('Components Yr 1'!H575=0,0,'Components Yr 1'!H575)</f>
        <v>0</v>
      </c>
      <c r="I575" s="17">
        <f>IF('Components Yr 1'!I575=0,0,'Components Yr 1'!I575)</f>
        <v>0</v>
      </c>
      <c r="J575" s="17">
        <f>IF('Components Yr 1'!J575=0,0,'Components Yr 1'!J575)</f>
        <v>0</v>
      </c>
      <c r="K575" s="12"/>
      <c r="L575" s="12"/>
      <c r="M575" s="17">
        <f>IF('Components Yr 1'!M575=0,0,'Components Yr 1'!M575)</f>
        <v>0</v>
      </c>
      <c r="N575" s="17">
        <f>IF('Components Yr 1'!N575=0,0,'Components Yr 1'!N575)</f>
        <v>0</v>
      </c>
      <c r="O575" s="12"/>
      <c r="P575" s="17">
        <f>IF('Components Yr 1'!P575=0,0,'Components Yr 1'!P575)</f>
        <v>0</v>
      </c>
      <c r="Q575" s="17"/>
      <c r="R575" s="18">
        <f>IF(SUMPRODUCT((E575:Q575)*1)=0,0,E575*INDEX(Hours!M:M,MATCH(C575,Hours!$A:$A,0))+F575*INDEX(Hours!B:B,MATCH(C575,Hours!$A:$A,0))+G575*INDEX(Hours!C:C,MATCH(C575,Hours!$A:$A,0))+H575*INDEX(Hours!D:D,MATCH(C575,Hours!$A:$A,0))+I575*INDEX(Hours!E:E,MATCH(C575,Hours!$A:$A,0))+J575*INDEX(Hours!F:F,MATCH(C575,Hours!$A:$A,0))+M575*INDEX(Hours!I:I,MATCH(C575,Hours!$A:$A,0))+N575*INDEX(Hours!J:J,MATCH(C575,Hours!$A:$A,0))+P575*INDEX(Hours!L:L,MATCH(C575,Hours!$A:$A,0)))</f>
        <v>0</v>
      </c>
      <c r="S575" s="19">
        <f t="shared" si="17"/>
        <v>0</v>
      </c>
    </row>
    <row r="576" spans="1:19" x14ac:dyDescent="0.25">
      <c r="A576" s="15" t="str">
        <f>'Bldgs &amp; Rooms'!$A$17</f>
        <v>Main Bldg.</v>
      </c>
      <c r="B576" s="15">
        <f>'Bldgs &amp; Rooms'!$B$17</f>
        <v>0</v>
      </c>
      <c r="C576" s="14" t="str">
        <f>Hours!$A$21</f>
        <v>Dry Type Transformer - &lt; 480V Primary - Any Size kVA</v>
      </c>
      <c r="D576" s="15">
        <f t="shared" si="16"/>
        <v>0</v>
      </c>
      <c r="E576" s="16">
        <f>IF('Components Yr 1'!E576=0,0,'Components Yr 1'!E576)</f>
        <v>0</v>
      </c>
      <c r="F576" s="17">
        <f>IF('Components Yr 1'!F576=0,0,'Components Yr 1'!F576)</f>
        <v>0</v>
      </c>
      <c r="G576" s="17">
        <f>IF('Components Yr 1'!G576=0,0,'Components Yr 1'!G576)</f>
        <v>0</v>
      </c>
      <c r="H576" s="17">
        <f>IF('Components Yr 1'!H576=0,0,'Components Yr 1'!H576)</f>
        <v>0</v>
      </c>
      <c r="I576" s="17">
        <f>IF('Components Yr 1'!I576=0,0,'Components Yr 1'!I576)</f>
        <v>0</v>
      </c>
      <c r="J576" s="17">
        <f>IF('Components Yr 1'!J576=0,0,'Components Yr 1'!J576)</f>
        <v>0</v>
      </c>
      <c r="K576" s="12"/>
      <c r="L576" s="12"/>
      <c r="M576" s="17">
        <f>IF('Components Yr 1'!M576=0,0,'Components Yr 1'!M576)</f>
        <v>0</v>
      </c>
      <c r="N576" s="17">
        <f>IF('Components Yr 1'!N576=0,0,'Components Yr 1'!N576)</f>
        <v>0</v>
      </c>
      <c r="O576" s="12"/>
      <c r="P576" s="12"/>
      <c r="Q576" s="17"/>
      <c r="R576" s="18">
        <f>IF(SUMPRODUCT((E576:Q576)*1)=0,0,E576*INDEX(Hours!M:M,MATCH(C576,Hours!$A:$A,0))+F576*INDEX(Hours!B:B,MATCH(C576,Hours!$A:$A,0))+G576*INDEX(Hours!C:C,MATCH(C576,Hours!$A:$A,0))+H576*INDEX(Hours!D:D,MATCH(C576,Hours!$A:$A,0))+I576*INDEX(Hours!E:E,MATCH(C576,Hours!$A:$A,0))+J576*INDEX(Hours!F:F,MATCH(C576,Hours!$A:$A,0))+M576*INDEX(Hours!I:I,MATCH(C576,Hours!$A:$A,0))+N576*INDEX(Hours!J:J,MATCH(C576,Hours!$A:$A,0)))</f>
        <v>0</v>
      </c>
      <c r="S576" s="19">
        <f t="shared" si="17"/>
        <v>0</v>
      </c>
    </row>
    <row r="577" spans="1:19" x14ac:dyDescent="0.25">
      <c r="A577" s="15" t="str">
        <f>'Bldgs &amp; Rooms'!$A$17</f>
        <v>Main Bldg.</v>
      </c>
      <c r="B577" s="15">
        <f>'Bldgs &amp; Rooms'!$B$17</f>
        <v>0</v>
      </c>
      <c r="C577" s="14" t="str">
        <f>Hours!$A$22</f>
        <v>Power Factor Correction Capacitors</v>
      </c>
      <c r="D577" s="15">
        <f t="shared" si="16"/>
        <v>0</v>
      </c>
      <c r="E577" s="16">
        <f>IF('Components Yr 1'!E577=0,0,'Components Yr 1'!E577)</f>
        <v>0</v>
      </c>
      <c r="F577" s="17">
        <f>IF('Components Yr 1'!F577=0,0,'Components Yr 1'!F577)</f>
        <v>0</v>
      </c>
      <c r="G577" s="17">
        <f>IF('Components Yr 1'!G577=0,0,'Components Yr 1'!G577)</f>
        <v>0</v>
      </c>
      <c r="H577" s="17">
        <f>IF('Components Yr 1'!H577=0,0,'Components Yr 1'!H577)</f>
        <v>0</v>
      </c>
      <c r="I577" s="17">
        <f>IF('Components Yr 1'!I577=0,0,'Components Yr 1'!I577)</f>
        <v>0</v>
      </c>
      <c r="J577" s="17">
        <f>IF('Components Yr 1'!J577=0,0,'Components Yr 1'!J577)</f>
        <v>0</v>
      </c>
      <c r="K577" s="12"/>
      <c r="L577" s="12"/>
      <c r="M577" s="12"/>
      <c r="N577" s="12"/>
      <c r="O577" s="12"/>
      <c r="P577" s="12"/>
      <c r="Q577" s="17"/>
      <c r="R577" s="18">
        <f>IF(SUMPRODUCT((E577:Q577)*1)=0,0,E577*INDEX(Hours!M:M,MATCH(C577,Hours!$A:$A,0))+F577*INDEX(Hours!B:B,MATCH(C577,Hours!$A:$A,0))+G577*INDEX(Hours!C:C,MATCH(C577,Hours!$A:$A,0))+H577*INDEX(Hours!D:D,MATCH(C577,Hours!$A:$A,0))+I577*INDEX(Hours!E:E,MATCH(C577,Hours!$A:$A,0))+J577*INDEX(Hours!F:F,MATCH(C577,Hours!$A:$A,0)))</f>
        <v>0</v>
      </c>
      <c r="S577" s="19">
        <f t="shared" si="17"/>
        <v>0</v>
      </c>
    </row>
    <row r="578" spans="1:19" x14ac:dyDescent="0.25">
      <c r="A578" s="15" t="str">
        <f>'Bldgs &amp; Rooms'!$A$17</f>
        <v>Main Bldg.</v>
      </c>
      <c r="B578" s="15">
        <f>'Bldgs &amp; Rooms'!$B$17</f>
        <v>0</v>
      </c>
      <c r="C578" s="14" t="str">
        <f>Hours!$A$23</f>
        <v>Lighting Contactor &gt; 100A</v>
      </c>
      <c r="D578" s="15">
        <f t="shared" ref="D578:D641" si="18">MAX(E578+F578,G578,H578,I578,J578,K578,L578,M578,N578,O578,P578,Q578)</f>
        <v>0</v>
      </c>
      <c r="E578" s="16">
        <f>IF('Components Yr 1'!E578=0,0,'Components Yr 1'!E578)</f>
        <v>0</v>
      </c>
      <c r="F578" s="17">
        <f>IF('Components Yr 1'!F578=0,0,'Components Yr 1'!F578)</f>
        <v>0</v>
      </c>
      <c r="G578" s="17">
        <f>IF('Components Yr 1'!G578=0,0,'Components Yr 1'!G578)</f>
        <v>0</v>
      </c>
      <c r="H578" s="17">
        <f>IF('Components Yr 1'!H578=0,0,'Components Yr 1'!H578)</f>
        <v>0</v>
      </c>
      <c r="I578" s="17">
        <f>IF('Components Yr 1'!I578=0,0,'Components Yr 1'!I578)</f>
        <v>0</v>
      </c>
      <c r="J578" s="17">
        <f>IF('Components Yr 1'!J578=0,0,'Components Yr 1'!J578)</f>
        <v>0</v>
      </c>
      <c r="K578" s="12"/>
      <c r="L578" s="12"/>
      <c r="M578" s="12"/>
      <c r="N578" s="12"/>
      <c r="O578" s="12"/>
      <c r="P578" s="12"/>
      <c r="Q578" s="17"/>
      <c r="R578" s="18">
        <f>IF(SUMPRODUCT((E578:Q578)*1)=0,0,E578*INDEX(Hours!M:M,MATCH(C578,Hours!$A:$A,0))+F578*INDEX(Hours!B:B,MATCH(C578,Hours!$A:$A,0))+G578*INDEX(Hours!C:C,MATCH(C578,Hours!$A:$A,0))+H578*INDEX(Hours!D:D,MATCH(C578,Hours!$A:$A,0))+I578*INDEX(Hours!E:E,MATCH(C578,Hours!$A:$A,0))+J578*INDEX(Hours!F:F,MATCH(C578,Hours!$A:$A,0)))</f>
        <v>0</v>
      </c>
      <c r="S578" s="19">
        <f t="shared" ref="S578:S641" si="19">MAX(E578+F578,G578,H578,I578,J578,K578,L578,M578,N578,O578,P578,Q578)</f>
        <v>0</v>
      </c>
    </row>
    <row r="579" spans="1:19" x14ac:dyDescent="0.25">
      <c r="A579" s="15" t="str">
        <f>'Bldgs &amp; Rooms'!$A$17</f>
        <v>Main Bldg.</v>
      </c>
      <c r="B579" s="15">
        <f>'Bldgs &amp; Rooms'!$B$17</f>
        <v>0</v>
      </c>
      <c r="C579" s="14" t="str">
        <f>Hours!$A$24</f>
        <v>Power Distribution Unit (PDU)</v>
      </c>
      <c r="D579" s="15">
        <f t="shared" si="18"/>
        <v>0</v>
      </c>
      <c r="E579" s="16">
        <f>IF('Components Yr 1'!E579=0,0,'Components Yr 1'!E579)</f>
        <v>0</v>
      </c>
      <c r="F579" s="17">
        <f>IF('Components Yr 1'!F579=0,0,'Components Yr 1'!F579)</f>
        <v>0</v>
      </c>
      <c r="G579" s="17">
        <f>IF('Components Yr 1'!G579=0,0,'Components Yr 1'!G579)</f>
        <v>0</v>
      </c>
      <c r="H579" s="17">
        <f>IF('Components Yr 1'!H579=0,0,'Components Yr 1'!H579)</f>
        <v>0</v>
      </c>
      <c r="I579" s="17">
        <f>IF('Components Yr 1'!I579=0,0,'Components Yr 1'!I579)</f>
        <v>0</v>
      </c>
      <c r="J579" s="17">
        <f>IF('Components Yr 1'!J579=0,0,'Components Yr 1'!J579)</f>
        <v>0</v>
      </c>
      <c r="K579" s="12"/>
      <c r="L579" s="12"/>
      <c r="M579" s="12"/>
      <c r="N579" s="12"/>
      <c r="O579" s="12"/>
      <c r="P579" s="12"/>
      <c r="Q579" s="17"/>
      <c r="R579" s="18">
        <f>IF(SUMPRODUCT((E579:Q579)*1)=0,0,E579*INDEX(Hours!M:M,MATCH(C579,Hours!$A:$A,0))+F579*INDEX(Hours!B:B,MATCH(C579,Hours!$A:$A,0))+G579*INDEX(Hours!C:C,MATCH(C579,Hours!$A:$A,0))+H579*INDEX(Hours!D:D,MATCH(C579,Hours!$A:$A,0))+I579*INDEX(Hours!E:E,MATCH(C579,Hours!$A:$A,0))+J579*INDEX(Hours!F:F,MATCH(C579,Hours!$A:$A,0)))</f>
        <v>0</v>
      </c>
      <c r="S579" s="19">
        <f t="shared" si="19"/>
        <v>0</v>
      </c>
    </row>
    <row r="580" spans="1:19" x14ac:dyDescent="0.25">
      <c r="A580" s="15" t="str">
        <f>'Bldgs &amp; Rooms'!$A$17</f>
        <v>Main Bldg.</v>
      </c>
      <c r="B580" s="15">
        <f>'Bldgs &amp; Rooms'!$B$17</f>
        <v>0</v>
      </c>
      <c r="C580" s="14" t="str">
        <f>Hours!$A$25</f>
        <v>Wire Trough, Gutter, or Large Junction Boxes</v>
      </c>
      <c r="D580" s="15">
        <f t="shared" si="18"/>
        <v>0</v>
      </c>
      <c r="E580" s="16">
        <f>IF('Components Yr 1'!E580=0,0,'Components Yr 1'!E580)</f>
        <v>0</v>
      </c>
      <c r="F580" s="17">
        <f>IF('Components Yr 1'!F580=0,0,'Components Yr 1'!F580)</f>
        <v>0</v>
      </c>
      <c r="G580" s="17">
        <f>IF('Components Yr 1'!G580=0,0,'Components Yr 1'!G580)</f>
        <v>0</v>
      </c>
      <c r="H580" s="17">
        <f>IF('Components Yr 1'!H580=0,0,'Components Yr 1'!H580)</f>
        <v>0</v>
      </c>
      <c r="I580" s="17">
        <f>IF('Components Yr 1'!I580=0,0,'Components Yr 1'!I580)</f>
        <v>0</v>
      </c>
      <c r="J580" s="17">
        <f>IF('Components Yr 1'!J580=0,0,'Components Yr 1'!J580)</f>
        <v>0</v>
      </c>
      <c r="K580" s="12"/>
      <c r="L580" s="12"/>
      <c r="M580" s="12"/>
      <c r="N580" s="12"/>
      <c r="O580" s="12"/>
      <c r="P580" s="12"/>
      <c r="Q580" s="17"/>
      <c r="R580" s="18">
        <f>IF(SUMPRODUCT((E580:Q580)*1)=0,0,E580*INDEX(Hours!M:M,MATCH(C580,Hours!$A:$A,0))+F580*INDEX(Hours!B:B,MATCH(C580,Hours!$A:$A,0))+G580*INDEX(Hours!C:C,MATCH(C580,Hours!$A:$A,0))+H580*INDEX(Hours!D:D,MATCH(C580,Hours!$A:$A,0))+I580*INDEX(Hours!E:E,MATCH(C580,Hours!$A:$A,0))+J580*INDEX(Hours!F:F,MATCH(C580,Hours!$A:$A,0)))</f>
        <v>0</v>
      </c>
      <c r="S580" s="19">
        <f t="shared" si="19"/>
        <v>0</v>
      </c>
    </row>
    <row r="581" spans="1:19" x14ac:dyDescent="0.25">
      <c r="A581" s="15" t="str">
        <f>'Bldgs &amp; Rooms'!$A$17</f>
        <v>Main Bldg.</v>
      </c>
      <c r="B581" s="15">
        <f>'Bldgs &amp; Rooms'!$B$17</f>
        <v>0</v>
      </c>
      <c r="C581" s="14" t="str">
        <f>Hours!$A$26</f>
        <v>Bus Duct - Vertical or Horizontal (Per 10' section)</v>
      </c>
      <c r="D581" s="15">
        <f t="shared" si="18"/>
        <v>0</v>
      </c>
      <c r="E581" s="16">
        <f>IF('Components Yr 1'!E581=0,0,'Components Yr 1'!E581)</f>
        <v>0</v>
      </c>
      <c r="F581" s="17">
        <f>IF('Components Yr 1'!F581=0,0,'Components Yr 1'!F581)</f>
        <v>0</v>
      </c>
      <c r="G581" s="17">
        <f>IF('Components Yr 1'!G581=0,0,'Components Yr 1'!G581)</f>
        <v>0</v>
      </c>
      <c r="H581" s="17">
        <f>IF('Components Yr 1'!H581=0,0,'Components Yr 1'!H581)</f>
        <v>0</v>
      </c>
      <c r="I581" s="17">
        <f>IF('Components Yr 1'!I581=0,0,'Components Yr 1'!I581)</f>
        <v>0</v>
      </c>
      <c r="J581" s="17">
        <f>IF('Components Yr 1'!J581=0,0,'Components Yr 1'!J581)</f>
        <v>0</v>
      </c>
      <c r="K581" s="12"/>
      <c r="L581" s="12"/>
      <c r="M581" s="12"/>
      <c r="N581" s="12"/>
      <c r="O581" s="12"/>
      <c r="P581" s="12"/>
      <c r="Q581" s="17"/>
      <c r="R581" s="18">
        <f>IF(SUMPRODUCT((E581:Q581)*1)=0,0,E581*INDEX(Hours!M:M,MATCH(C581,Hours!$A:$A,0))+F581*INDEX(Hours!B:B,MATCH(C581,Hours!$A:$A,0))+G581*INDEX(Hours!C:C,MATCH(C581,Hours!$A:$A,0))+H581*INDEX(Hours!D:D,MATCH(C581,Hours!$A:$A,0))+I581*INDEX(Hours!E:E,MATCH(C581,Hours!$A:$A,0))+J581*INDEX(Hours!F:F,MATCH(C581,Hours!$A:$A,0)))</f>
        <v>0</v>
      </c>
      <c r="S581" s="19">
        <f t="shared" si="19"/>
        <v>0</v>
      </c>
    </row>
    <row r="582" spans="1:19" x14ac:dyDescent="0.25">
      <c r="A582" s="15" t="str">
        <f>'Bldgs &amp; Rooms'!$A$17</f>
        <v>Main Bldg.</v>
      </c>
      <c r="B582" s="15">
        <f>'Bldgs &amp; Rooms'!$B$17</f>
        <v>0</v>
      </c>
      <c r="C582" s="14" t="str">
        <f>Hours!$A$27</f>
        <v>Automatic Transfer Switch (ATS) &gt; 100A</v>
      </c>
      <c r="D582" s="15">
        <f t="shared" si="18"/>
        <v>0</v>
      </c>
      <c r="E582" s="16">
        <f>IF('Components Yr 1'!E582=0,0,'Components Yr 1'!E582)</f>
        <v>0</v>
      </c>
      <c r="F582" s="17">
        <f>IF('Components Yr 1'!F582=0,0,'Components Yr 1'!F582)</f>
        <v>0</v>
      </c>
      <c r="G582" s="17">
        <f>IF('Components Yr 1'!G582=0,0,'Components Yr 1'!G582)</f>
        <v>0</v>
      </c>
      <c r="H582" s="17">
        <f>IF('Components Yr 1'!H582=0,0,'Components Yr 1'!H582)</f>
        <v>0</v>
      </c>
      <c r="I582" s="17">
        <f>IF('Components Yr 1'!I582=0,0,'Components Yr 1'!I582)</f>
        <v>0</v>
      </c>
      <c r="J582" s="17">
        <f>IF('Components Yr 1'!J582=0,0,'Components Yr 1'!J582)</f>
        <v>0</v>
      </c>
      <c r="K582" s="12"/>
      <c r="L582" s="12"/>
      <c r="M582" s="12"/>
      <c r="N582" s="12"/>
      <c r="O582" s="12"/>
      <c r="P582" s="12"/>
      <c r="Q582" s="17"/>
      <c r="R582" s="18">
        <f>IF(SUMPRODUCT((E582:Q582)*1)=0,0,E582*INDEX(Hours!M:M,MATCH(C582,Hours!$A:$A,0))+F582*INDEX(Hours!B:B,MATCH(C582,Hours!$A:$A,0))+G582*INDEX(Hours!C:C,MATCH(C582,Hours!$A:$A,0))+H582*INDEX(Hours!D:D,MATCH(C582,Hours!$A:$A,0))+I582*INDEX(Hours!E:E,MATCH(C582,Hours!$A:$A,0))+J582*INDEX(Hours!F:F,MATCH(C582,Hours!$A:$A,0)))</f>
        <v>0</v>
      </c>
      <c r="S582" s="19">
        <f t="shared" si="19"/>
        <v>0</v>
      </c>
    </row>
    <row r="583" spans="1:19" x14ac:dyDescent="0.25">
      <c r="A583" s="15" t="str">
        <f>'Bldgs &amp; Rooms'!$A$17</f>
        <v>Main Bldg.</v>
      </c>
      <c r="B583" s="15">
        <f>'Bldgs &amp; Rooms'!$B$17</f>
        <v>0</v>
      </c>
      <c r="C583" s="14" t="str">
        <f>Hours!$A$28</f>
        <v>Manual Transfer Switch (MTS) &gt; 100A</v>
      </c>
      <c r="D583" s="15">
        <f t="shared" si="18"/>
        <v>0</v>
      </c>
      <c r="E583" s="16">
        <f>IF('Components Yr 1'!E583=0,0,'Components Yr 1'!E583)</f>
        <v>0</v>
      </c>
      <c r="F583" s="17">
        <f>IF('Components Yr 1'!F583=0,0,'Components Yr 1'!F583)</f>
        <v>0</v>
      </c>
      <c r="G583" s="17">
        <f>IF('Components Yr 1'!G583=0,0,'Components Yr 1'!G583)</f>
        <v>0</v>
      </c>
      <c r="H583" s="17">
        <f>IF('Components Yr 1'!H583=0,0,'Components Yr 1'!H583)</f>
        <v>0</v>
      </c>
      <c r="I583" s="17">
        <f>IF('Components Yr 1'!I583=0,0,'Components Yr 1'!I583)</f>
        <v>0</v>
      </c>
      <c r="J583" s="17">
        <f>IF('Components Yr 1'!J583=0,0,'Components Yr 1'!J583)</f>
        <v>0</v>
      </c>
      <c r="K583" s="12"/>
      <c r="L583" s="12"/>
      <c r="M583" s="12"/>
      <c r="N583" s="12"/>
      <c r="O583" s="12"/>
      <c r="P583" s="12"/>
      <c r="Q583" s="17"/>
      <c r="R583" s="18">
        <f>IF(SUMPRODUCT((E583:Q583)*1)=0,0,E583*INDEX(Hours!M:M,MATCH(C583,Hours!$A:$A,0))+F583*INDEX(Hours!B:B,MATCH(C583,Hours!$A:$A,0))+G583*INDEX(Hours!C:C,MATCH(C583,Hours!$A:$A,0))+H583*INDEX(Hours!D:D,MATCH(C583,Hours!$A:$A,0))+I583*INDEX(Hours!E:E,MATCH(C583,Hours!$A:$A,0))+J583*INDEX(Hours!F:F,MATCH(C583,Hours!$A:$A,0)))</f>
        <v>0</v>
      </c>
      <c r="S583" s="19">
        <f t="shared" si="19"/>
        <v>0</v>
      </c>
    </row>
    <row r="584" spans="1:19" x14ac:dyDescent="0.25">
      <c r="A584" s="15" t="str">
        <f>'Bldgs &amp; Rooms'!$A$17</f>
        <v>Main Bldg.</v>
      </c>
      <c r="B584" s="15">
        <f>'Bldgs &amp; Rooms'!$B$17</f>
        <v>0</v>
      </c>
      <c r="C584" s="14" t="str">
        <f>Hours!$A$29</f>
        <v>Variable Frequency Drives (VFD) &lt; 50 HP</v>
      </c>
      <c r="D584" s="15">
        <f t="shared" si="18"/>
        <v>0</v>
      </c>
      <c r="E584" s="16">
        <f>IF('Components Yr 1'!E584=0,0,'Components Yr 1'!E584)</f>
        <v>0</v>
      </c>
      <c r="F584" s="17">
        <f>IF('Components Yr 1'!F584=0,0,'Components Yr 1'!F584)</f>
        <v>0</v>
      </c>
      <c r="G584" s="17">
        <f>IF('Components Yr 1'!G584=0,0,'Components Yr 1'!G584)</f>
        <v>0</v>
      </c>
      <c r="H584" s="17">
        <f>IF('Components Yr 1'!H584=0,0,'Components Yr 1'!H584)</f>
        <v>0</v>
      </c>
      <c r="I584" s="17">
        <f>IF('Components Yr 1'!I584=0,0,'Components Yr 1'!I584)</f>
        <v>0</v>
      </c>
      <c r="J584" s="17">
        <f>IF('Components Yr 1'!J584=0,0,'Components Yr 1'!J584)</f>
        <v>0</v>
      </c>
      <c r="K584" s="12"/>
      <c r="L584" s="12"/>
      <c r="M584" s="12"/>
      <c r="N584" s="12"/>
      <c r="O584" s="12"/>
      <c r="P584" s="12"/>
      <c r="Q584" s="17"/>
      <c r="R584" s="18">
        <f>IF(SUMPRODUCT((E584:Q584)*1)=0,0,E584*INDEX(Hours!M:M,MATCH(C584,Hours!$A:$A,0))+F584*INDEX(Hours!B:B,MATCH(C584,Hours!$A:$A,0))+G584*INDEX(Hours!C:C,MATCH(C584,Hours!$A:$A,0))+H584*INDEX(Hours!D:D,MATCH(C584,Hours!$A:$A,0))+I584*INDEX(Hours!E:E,MATCH(C584,Hours!$A:$A,0))+J584*INDEX(Hours!F:F,MATCH(C584,Hours!$A:$A,0)))</f>
        <v>0</v>
      </c>
      <c r="S584" s="19">
        <f t="shared" si="19"/>
        <v>0</v>
      </c>
    </row>
    <row r="585" spans="1:19" x14ac:dyDescent="0.25">
      <c r="A585" s="15" t="str">
        <f>'Bldgs &amp; Rooms'!$A$17</f>
        <v>Main Bldg.</v>
      </c>
      <c r="B585" s="15">
        <f>'Bldgs &amp; Rooms'!$B$17</f>
        <v>0</v>
      </c>
      <c r="C585" s="14" t="str">
        <f>Hours!$A$30</f>
        <v>Variable Frequency Drives (VFD) 51-200 HP</v>
      </c>
      <c r="D585" s="15">
        <f t="shared" si="18"/>
        <v>0</v>
      </c>
      <c r="E585" s="16">
        <f>IF('Components Yr 1'!E585=0,0,'Components Yr 1'!E585)</f>
        <v>0</v>
      </c>
      <c r="F585" s="17">
        <f>IF('Components Yr 1'!F585=0,0,'Components Yr 1'!F585)</f>
        <v>0</v>
      </c>
      <c r="G585" s="17">
        <f>IF('Components Yr 1'!G585=0,0,'Components Yr 1'!G585)</f>
        <v>0</v>
      </c>
      <c r="H585" s="17">
        <f>IF('Components Yr 1'!H585=0,0,'Components Yr 1'!H585)</f>
        <v>0</v>
      </c>
      <c r="I585" s="17">
        <f>IF('Components Yr 1'!I585=0,0,'Components Yr 1'!I585)</f>
        <v>0</v>
      </c>
      <c r="J585" s="17">
        <f>IF('Components Yr 1'!J585=0,0,'Components Yr 1'!J585)</f>
        <v>0</v>
      </c>
      <c r="K585" s="12"/>
      <c r="L585" s="12"/>
      <c r="M585" s="12"/>
      <c r="N585" s="12"/>
      <c r="O585" s="12"/>
      <c r="P585" s="12"/>
      <c r="Q585" s="17"/>
      <c r="R585" s="18">
        <f>IF(SUMPRODUCT((E585:Q585)*1)=0,0,E585*INDEX(Hours!M:M,MATCH(C585,Hours!$A:$A,0))+F585*INDEX(Hours!B:B,MATCH(C585,Hours!$A:$A,0))+G585*INDEX(Hours!C:C,MATCH(C585,Hours!$A:$A,0))+H585*INDEX(Hours!D:D,MATCH(C585,Hours!$A:$A,0))+I585*INDEX(Hours!E:E,MATCH(C585,Hours!$A:$A,0))+J585*INDEX(Hours!F:F,MATCH(C585,Hours!$A:$A,0)))</f>
        <v>0</v>
      </c>
      <c r="S585" s="19">
        <f t="shared" si="19"/>
        <v>0</v>
      </c>
    </row>
    <row r="586" spans="1:19" x14ac:dyDescent="0.25">
      <c r="A586" s="15" t="str">
        <f>'Bldgs &amp; Rooms'!$A$17</f>
        <v>Main Bldg.</v>
      </c>
      <c r="B586" s="15">
        <f>'Bldgs &amp; Rooms'!$B$17</f>
        <v>0</v>
      </c>
      <c r="C586" s="14" t="str">
        <f>Hours!$A$31</f>
        <v>Motors &lt; 50 HP</v>
      </c>
      <c r="D586" s="15">
        <f t="shared" si="18"/>
        <v>0</v>
      </c>
      <c r="E586" s="16">
        <f>IF('Components Yr 1'!E586=0,0,'Components Yr 1'!E586)</f>
        <v>0</v>
      </c>
      <c r="F586" s="17">
        <f>IF('Components Yr 1'!F586=0,0,'Components Yr 1'!F586)</f>
        <v>0</v>
      </c>
      <c r="G586" s="17">
        <f>IF('Components Yr 1'!G586=0,0,'Components Yr 1'!G586)</f>
        <v>0</v>
      </c>
      <c r="H586" s="17">
        <f>IF('Components Yr 1'!H586=0,0,'Components Yr 1'!H586)</f>
        <v>0</v>
      </c>
      <c r="I586" s="17">
        <f>IF('Components Yr 1'!I586=0,0,'Components Yr 1'!I586)</f>
        <v>0</v>
      </c>
      <c r="J586" s="17">
        <f>IF('Components Yr 1'!J586=0,0,'Components Yr 1'!J586)</f>
        <v>0</v>
      </c>
      <c r="K586" s="12"/>
      <c r="L586" s="12"/>
      <c r="M586" s="12"/>
      <c r="N586" s="12"/>
      <c r="O586" s="12"/>
      <c r="P586" s="12"/>
      <c r="Q586" s="17"/>
      <c r="R586" s="18">
        <f>IF(SUMPRODUCT((E586:Q586)*1)=0,0,E586*INDEX(Hours!M:M,MATCH(C586,Hours!$A:$A,0))+F586*INDEX(Hours!B:B,MATCH(C586,Hours!$A:$A,0))+G586*INDEX(Hours!C:C,MATCH(C586,Hours!$A:$A,0))+H586*INDEX(Hours!D:D,MATCH(C586,Hours!$A:$A,0))+I586*INDEX(Hours!E:E,MATCH(C586,Hours!$A:$A,0))+J586*INDEX(Hours!F:F,MATCH(C586,Hours!$A:$A,0)))</f>
        <v>0</v>
      </c>
      <c r="S586" s="19">
        <f t="shared" si="19"/>
        <v>0</v>
      </c>
    </row>
    <row r="587" spans="1:19" x14ac:dyDescent="0.25">
      <c r="A587" s="15" t="str">
        <f>'Bldgs &amp; Rooms'!$A$17</f>
        <v>Main Bldg.</v>
      </c>
      <c r="B587" s="15">
        <f>'Bldgs &amp; Rooms'!$B$17</f>
        <v>0</v>
      </c>
      <c r="C587" s="14" t="str">
        <f>Hours!$A$32</f>
        <v>Motors 51-200 HP</v>
      </c>
      <c r="D587" s="15">
        <f t="shared" si="18"/>
        <v>0</v>
      </c>
      <c r="E587" s="16">
        <f>IF('Components Yr 1'!E587=0,0,'Components Yr 1'!E587)</f>
        <v>0</v>
      </c>
      <c r="F587" s="17">
        <f>IF('Components Yr 1'!F587=0,0,'Components Yr 1'!F587)</f>
        <v>0</v>
      </c>
      <c r="G587" s="17">
        <f>IF('Components Yr 1'!G587=0,0,'Components Yr 1'!G587)</f>
        <v>0</v>
      </c>
      <c r="H587" s="17">
        <f>IF('Components Yr 1'!H587=0,0,'Components Yr 1'!H587)</f>
        <v>0</v>
      </c>
      <c r="I587" s="17">
        <f>IF('Components Yr 1'!I587=0,0,'Components Yr 1'!I587)</f>
        <v>0</v>
      </c>
      <c r="J587" s="17">
        <f>IF('Components Yr 1'!J587=0,0,'Components Yr 1'!J587)</f>
        <v>0</v>
      </c>
      <c r="K587" s="12"/>
      <c r="L587" s="12"/>
      <c r="M587" s="12"/>
      <c r="N587" s="12"/>
      <c r="O587" s="12"/>
      <c r="P587" s="12"/>
      <c r="Q587" s="17"/>
      <c r="R587" s="18">
        <f>IF(SUMPRODUCT((E587:Q587)*1)=0,0,E587*INDEX(Hours!M:M,MATCH(C587,Hours!$A:$A,0))+F587*INDEX(Hours!B:B,MATCH(C587,Hours!$A:$A,0))+G587*INDEX(Hours!C:C,MATCH(C587,Hours!$A:$A,0))+H587*INDEX(Hours!D:D,MATCH(C587,Hours!$A:$A,0))+I587*INDEX(Hours!E:E,MATCH(C587,Hours!$A:$A,0))+J587*INDEX(Hours!F:F,MATCH(C587,Hours!$A:$A,0)))</f>
        <v>0</v>
      </c>
      <c r="S587" s="19">
        <f t="shared" si="19"/>
        <v>0</v>
      </c>
    </row>
    <row r="588" spans="1:19" x14ac:dyDescent="0.25">
      <c r="A588" s="15" t="str">
        <f>'Bldgs &amp; Rooms'!$A$17</f>
        <v>Main Bldg.</v>
      </c>
      <c r="B588" s="15">
        <f>'Bldgs &amp; Rooms'!$B$17</f>
        <v>0</v>
      </c>
      <c r="C588" s="14" t="str">
        <f>Hours!$A$33</f>
        <v>Motors 201-500 HP</v>
      </c>
      <c r="D588" s="15">
        <f t="shared" si="18"/>
        <v>0</v>
      </c>
      <c r="E588" s="16">
        <f>IF('Components Yr 1'!E588=0,0,'Components Yr 1'!E588)</f>
        <v>0</v>
      </c>
      <c r="F588" s="17">
        <f>IF('Components Yr 1'!F588=0,0,'Components Yr 1'!F588)</f>
        <v>0</v>
      </c>
      <c r="G588" s="17">
        <f>IF('Components Yr 1'!G588=0,0,'Components Yr 1'!G588)</f>
        <v>0</v>
      </c>
      <c r="H588" s="17">
        <f>IF('Components Yr 1'!H588=0,0,'Components Yr 1'!H588)</f>
        <v>0</v>
      </c>
      <c r="I588" s="17">
        <f>IF('Components Yr 1'!I588=0,0,'Components Yr 1'!I588)</f>
        <v>0</v>
      </c>
      <c r="J588" s="17">
        <f>IF('Components Yr 1'!J588=0,0,'Components Yr 1'!J588)</f>
        <v>0</v>
      </c>
      <c r="K588" s="12"/>
      <c r="L588" s="12"/>
      <c r="M588" s="12"/>
      <c r="N588" s="12"/>
      <c r="O588" s="12"/>
      <c r="P588" s="12"/>
      <c r="Q588" s="17"/>
      <c r="R588" s="18">
        <f>IF(SUMPRODUCT((E588:Q588)*1)=0,0,E588*INDEX(Hours!M:M,MATCH(C588,Hours!$A:$A,0))+F588*INDEX(Hours!B:B,MATCH(C588,Hours!$A:$A,0))+G588*INDEX(Hours!C:C,MATCH(C588,Hours!$A:$A,0))+H588*INDEX(Hours!D:D,MATCH(C588,Hours!$A:$A,0))+I588*INDEX(Hours!E:E,MATCH(C588,Hours!$A:$A,0))+J588*INDEX(Hours!F:F,MATCH(C588,Hours!$A:$A,0)))</f>
        <v>0</v>
      </c>
      <c r="S588" s="19">
        <f t="shared" si="19"/>
        <v>0</v>
      </c>
    </row>
    <row r="589" spans="1:19" x14ac:dyDescent="0.25">
      <c r="A589" s="15" t="str">
        <f>'Bldgs &amp; Rooms'!$A$17</f>
        <v>Main Bldg.</v>
      </c>
      <c r="B589" s="15">
        <f>'Bldgs &amp; Rooms'!$B$17</f>
        <v>0</v>
      </c>
      <c r="C589" s="14" t="str">
        <f>Hours!$A$34</f>
        <v>Compressed Air Equipment</v>
      </c>
      <c r="D589" s="15">
        <f t="shared" si="18"/>
        <v>0</v>
      </c>
      <c r="E589" s="16">
        <f>IF('Components Yr 1'!E589=0,0,'Components Yr 1'!E589)</f>
        <v>0</v>
      </c>
      <c r="F589" s="17">
        <f>IF('Components Yr 1'!F589=0,0,'Components Yr 1'!F589)</f>
        <v>0</v>
      </c>
      <c r="G589" s="17">
        <f>IF('Components Yr 1'!G589=0,0,'Components Yr 1'!G589)</f>
        <v>0</v>
      </c>
      <c r="H589" s="17">
        <f>IF('Components Yr 1'!H589=0,0,'Components Yr 1'!H589)</f>
        <v>0</v>
      </c>
      <c r="I589" s="17">
        <f>IF('Components Yr 1'!I589=0,0,'Components Yr 1'!I589)</f>
        <v>0</v>
      </c>
      <c r="J589" s="17">
        <f>IF('Components Yr 1'!J589=0,0,'Components Yr 1'!J589)</f>
        <v>0</v>
      </c>
      <c r="K589" s="12"/>
      <c r="L589" s="12"/>
      <c r="M589" s="12"/>
      <c r="N589" s="12"/>
      <c r="O589" s="12"/>
      <c r="P589" s="12"/>
      <c r="Q589" s="17"/>
      <c r="R589" s="18">
        <f>IF(SUMPRODUCT((E589:Q589)*1)=0,0,E589*INDEX(Hours!M:M,MATCH(C589,Hours!$A:$A,0))+F589*INDEX(Hours!B:B,MATCH(C589,Hours!$A:$A,0))+G589*INDEX(Hours!C:C,MATCH(C589,Hours!$A:$A,0))+H589*INDEX(Hours!D:D,MATCH(C589,Hours!$A:$A,0))+I589*INDEX(Hours!E:E,MATCH(C589,Hours!$A:$A,0))+J589*INDEX(Hours!F:F,MATCH(C589,Hours!$A:$A,0)))</f>
        <v>0</v>
      </c>
      <c r="S589" s="19">
        <f t="shared" si="19"/>
        <v>0</v>
      </c>
    </row>
    <row r="590" spans="1:19" x14ac:dyDescent="0.25">
      <c r="A590" s="15" t="str">
        <f>'Bldgs &amp; Rooms'!$A$17</f>
        <v>Main Bldg.</v>
      </c>
      <c r="B590" s="15">
        <f>'Bldgs &amp; Rooms'!$B$17</f>
        <v>0</v>
      </c>
      <c r="C590" s="14" t="str">
        <f>Hours!$A$35</f>
        <v>HVAC Equipment (Large)</v>
      </c>
      <c r="D590" s="15">
        <f t="shared" si="18"/>
        <v>0</v>
      </c>
      <c r="E590" s="16">
        <f>IF('Components Yr 1'!E590=0,0,'Components Yr 1'!E590)</f>
        <v>0</v>
      </c>
      <c r="F590" s="17">
        <f>IF('Components Yr 1'!F590=0,0,'Components Yr 1'!F590)</f>
        <v>0</v>
      </c>
      <c r="G590" s="17">
        <f>IF('Components Yr 1'!G590=0,0,'Components Yr 1'!G590)</f>
        <v>0</v>
      </c>
      <c r="H590" s="17">
        <f>IF('Components Yr 1'!H590=0,0,'Components Yr 1'!H590)</f>
        <v>0</v>
      </c>
      <c r="I590" s="17">
        <f>IF('Components Yr 1'!I590=0,0,'Components Yr 1'!I590)</f>
        <v>0</v>
      </c>
      <c r="J590" s="17">
        <f>IF('Components Yr 1'!J590=0,0,'Components Yr 1'!J590)</f>
        <v>0</v>
      </c>
      <c r="K590" s="12"/>
      <c r="L590" s="12"/>
      <c r="M590" s="12"/>
      <c r="N590" s="12"/>
      <c r="O590" s="12"/>
      <c r="P590" s="12"/>
      <c r="Q590" s="17"/>
      <c r="R590" s="18">
        <f>IF(SUMPRODUCT((E590:Q590)*1)=0,0,E590*INDEX(Hours!M:M,MATCH(C590,Hours!$A:$A,0))+F590*INDEX(Hours!B:B,MATCH(C590,Hours!$A:$A,0))+G590*INDEX(Hours!C:C,MATCH(C590,Hours!$A:$A,0))+H590*INDEX(Hours!D:D,MATCH(C590,Hours!$A:$A,0))+I590*INDEX(Hours!E:E,MATCH(C590,Hours!$A:$A,0))+J590*INDEX(Hours!F:F,MATCH(C590,Hours!$A:$A,0)))</f>
        <v>0</v>
      </c>
      <c r="S590" s="19">
        <f t="shared" si="19"/>
        <v>0</v>
      </c>
    </row>
    <row r="591" spans="1:19" x14ac:dyDescent="0.25">
      <c r="A591" s="15" t="str">
        <f>'Bldgs &amp; Rooms'!$A$17</f>
        <v>Main Bldg.</v>
      </c>
      <c r="B591" s="15">
        <f>'Bldgs &amp; Rooms'!$B$17</f>
        <v>0</v>
      </c>
      <c r="C591" s="14" t="str">
        <f>Hours!$A$36</f>
        <v>HVAC Equipment (Small)</v>
      </c>
      <c r="D591" s="15">
        <f t="shared" si="18"/>
        <v>0</v>
      </c>
      <c r="E591" s="16">
        <f>IF('Components Yr 1'!E591=0,0,'Components Yr 1'!E591)</f>
        <v>0</v>
      </c>
      <c r="F591" s="17">
        <f>IF('Components Yr 1'!F591=0,0,'Components Yr 1'!F591)</f>
        <v>0</v>
      </c>
      <c r="G591" s="17">
        <f>IF('Components Yr 1'!G591=0,0,'Components Yr 1'!G591)</f>
        <v>0</v>
      </c>
      <c r="H591" s="17">
        <f>IF('Components Yr 1'!H591=0,0,'Components Yr 1'!H591)</f>
        <v>0</v>
      </c>
      <c r="I591" s="17">
        <f>IF('Components Yr 1'!I591=0,0,'Components Yr 1'!I591)</f>
        <v>0</v>
      </c>
      <c r="J591" s="17">
        <f>IF('Components Yr 1'!J591=0,0,'Components Yr 1'!J591)</f>
        <v>0</v>
      </c>
      <c r="K591" s="12"/>
      <c r="L591" s="12"/>
      <c r="M591" s="12"/>
      <c r="N591" s="12"/>
      <c r="O591" s="12"/>
      <c r="P591" s="12"/>
      <c r="Q591" s="17"/>
      <c r="R591" s="18">
        <f>IF(SUMPRODUCT((E591:Q591)*1)=0,0,E591*INDEX(Hours!M:M,MATCH(C591,Hours!$A:$A,0))+F591*INDEX(Hours!B:B,MATCH(C591,Hours!$A:$A,0))+G591*INDEX(Hours!C:C,MATCH(C591,Hours!$A:$A,0))+H591*INDEX(Hours!D:D,MATCH(C591,Hours!$A:$A,0))+I591*INDEX(Hours!E:E,MATCH(C591,Hours!$A:$A,0))+J591*INDEX(Hours!F:F,MATCH(C591,Hours!$A:$A,0)))</f>
        <v>0</v>
      </c>
      <c r="S591" s="19">
        <f t="shared" si="19"/>
        <v>0</v>
      </c>
    </row>
    <row r="592" spans="1:19" x14ac:dyDescent="0.25">
      <c r="A592" s="15" t="str">
        <f>'Bldgs &amp; Rooms'!$A$17</f>
        <v>Main Bldg.</v>
      </c>
      <c r="B592" s="15">
        <f>'Bldgs &amp; Rooms'!$B$17</f>
        <v>0</v>
      </c>
      <c r="C592" s="14" t="str">
        <f>Hours!$A$37</f>
        <v>Uninterruptible Power Supply (UPS) &lt; 50kVA</v>
      </c>
      <c r="D592" s="15">
        <f t="shared" si="18"/>
        <v>0</v>
      </c>
      <c r="E592" s="16">
        <f>IF('Components Yr 1'!E592=0,0,'Components Yr 1'!E592)</f>
        <v>0</v>
      </c>
      <c r="F592" s="17">
        <f>IF('Components Yr 1'!F592=0,0,'Components Yr 1'!F592)</f>
        <v>0</v>
      </c>
      <c r="G592" s="17">
        <f>IF('Components Yr 1'!G592=0,0,'Components Yr 1'!G592)</f>
        <v>0</v>
      </c>
      <c r="H592" s="17">
        <f>IF('Components Yr 1'!H592=0,0,'Components Yr 1'!H592)</f>
        <v>0</v>
      </c>
      <c r="I592" s="17">
        <f>IF('Components Yr 1'!I592=0,0,'Components Yr 1'!I592)</f>
        <v>0</v>
      </c>
      <c r="J592" s="17">
        <f>IF('Components Yr 1'!J592=0,0,'Components Yr 1'!J592)</f>
        <v>0</v>
      </c>
      <c r="K592" s="12"/>
      <c r="L592" s="12"/>
      <c r="M592" s="12"/>
      <c r="N592" s="12"/>
      <c r="O592" s="12"/>
      <c r="P592" s="12"/>
      <c r="Q592" s="17"/>
      <c r="R592" s="18">
        <f>IF(SUMPRODUCT((E592:Q592)*1)=0,0,E592*INDEX(Hours!M:M,MATCH(C592,Hours!$A:$A,0))+F592*INDEX(Hours!B:B,MATCH(C592,Hours!$A:$A,0))+G592*INDEX(Hours!C:C,MATCH(C592,Hours!$A:$A,0))+H592*INDEX(Hours!D:D,MATCH(C592,Hours!$A:$A,0))+I592*INDEX(Hours!E:E,MATCH(C592,Hours!$A:$A,0))+J592*INDEX(Hours!F:F,MATCH(C592,Hours!$A:$A,0)))</f>
        <v>0</v>
      </c>
      <c r="S592" s="19">
        <f t="shared" si="19"/>
        <v>0</v>
      </c>
    </row>
    <row r="593" spans="1:19" x14ac:dyDescent="0.25">
      <c r="A593" s="15" t="str">
        <f>'Bldgs &amp; Rooms'!$A$17</f>
        <v>Main Bldg.</v>
      </c>
      <c r="B593" s="15">
        <f>'Bldgs &amp; Rooms'!$B$17</f>
        <v>0</v>
      </c>
      <c r="C593" s="14" t="str">
        <f>Hours!$A$38</f>
        <v>Uninterruptible Power Supply (UPS) &gt; 50kVA</v>
      </c>
      <c r="D593" s="15">
        <f t="shared" si="18"/>
        <v>0</v>
      </c>
      <c r="E593" s="16">
        <f>IF('Components Yr 1'!E593=0,0,'Components Yr 1'!E593)</f>
        <v>0</v>
      </c>
      <c r="F593" s="17">
        <f>IF('Components Yr 1'!F593=0,0,'Components Yr 1'!F593)</f>
        <v>0</v>
      </c>
      <c r="G593" s="17">
        <f>IF('Components Yr 1'!G593=0,0,'Components Yr 1'!G593)</f>
        <v>0</v>
      </c>
      <c r="H593" s="17">
        <f>IF('Components Yr 1'!H593=0,0,'Components Yr 1'!H593)</f>
        <v>0</v>
      </c>
      <c r="I593" s="17">
        <f>IF('Components Yr 1'!I593=0,0,'Components Yr 1'!I593)</f>
        <v>0</v>
      </c>
      <c r="J593" s="17">
        <f>IF('Components Yr 1'!J593=0,0,'Components Yr 1'!J593)</f>
        <v>0</v>
      </c>
      <c r="K593" s="12"/>
      <c r="L593" s="12"/>
      <c r="M593" s="12"/>
      <c r="N593" s="12"/>
      <c r="O593" s="12"/>
      <c r="P593" s="12"/>
      <c r="Q593" s="17"/>
      <c r="R593" s="18">
        <f>IF(SUMPRODUCT((E593:Q593)*1)=0,0,E593*INDEX(Hours!M:M,MATCH(C593,Hours!$A:$A,0))+F593*INDEX(Hours!B:B,MATCH(C593,Hours!$A:$A,0))+G593*INDEX(Hours!C:C,MATCH(C593,Hours!$A:$A,0))+H593*INDEX(Hours!D:D,MATCH(C593,Hours!$A:$A,0))+I593*INDEX(Hours!E:E,MATCH(C593,Hours!$A:$A,0))+J593*INDEX(Hours!F:F,MATCH(C593,Hours!$A:$A,0)))</f>
        <v>0</v>
      </c>
      <c r="S593" s="19">
        <f t="shared" si="19"/>
        <v>0</v>
      </c>
    </row>
    <row r="594" spans="1:19" x14ac:dyDescent="0.25">
      <c r="A594" s="11" t="str">
        <f>'Bldgs &amp; Rooms'!$A$18</f>
        <v>Main Bldg.</v>
      </c>
      <c r="B594" s="11">
        <f>'Bldgs &amp; Rooms'!$B$18</f>
        <v>0</v>
      </c>
      <c r="C594" s="10" t="str">
        <f>Hours!$A$2</f>
        <v>Switchgear - Incoming Main Service (Per Section)</v>
      </c>
      <c r="D594" s="11">
        <f t="shared" si="18"/>
        <v>0</v>
      </c>
      <c r="E594" s="16">
        <f>IF('Components Yr 1'!E594=0,0,'Components Yr 1'!E594)</f>
        <v>0</v>
      </c>
      <c r="F594" s="17">
        <f>IF('Components Yr 1'!F594=0,0,'Components Yr 1'!F594)</f>
        <v>0</v>
      </c>
      <c r="G594" s="17">
        <f>IF('Components Yr 1'!G594=0,0,'Components Yr 1'!G594)</f>
        <v>0</v>
      </c>
      <c r="H594" s="17">
        <f>IF('Components Yr 1'!H594=0,0,'Components Yr 1'!H594)</f>
        <v>0</v>
      </c>
      <c r="I594" s="17">
        <f>IF('Components Yr 1'!I594=0,0,'Components Yr 1'!I594)</f>
        <v>0</v>
      </c>
      <c r="J594" s="17">
        <f>IF('Components Yr 1'!J594=0,0,'Components Yr 1'!J594)</f>
        <v>0</v>
      </c>
      <c r="K594" s="17">
        <f>IF('Components Yr 1'!K594=0,0,'Components Yr 1'!K594)</f>
        <v>0</v>
      </c>
      <c r="L594" s="17">
        <f>IF('Components Yr 1'!L594=0,0,'Components Yr 1'!L594)</f>
        <v>0</v>
      </c>
      <c r="M594" s="12"/>
      <c r="N594" s="12"/>
      <c r="O594" s="17">
        <f>IF('Components Yr 1'!O594=0,0,'Components Yr 1'!O594)</f>
        <v>0</v>
      </c>
      <c r="P594" s="12"/>
      <c r="Q594" s="17"/>
      <c r="R594" s="18">
        <f>IF(SUMPRODUCT((E594:Q594)*1)=0,0,E594*INDEX(Hours!M:M,MATCH(C594,Hours!$A:$A,0))+F594*INDEX(Hours!B:B,MATCH(C594,Hours!$A:$A,0))+G594*INDEX(Hours!C:C,MATCH(C594,Hours!$A:$A,0))+H594*INDEX(Hours!D:D,MATCH(C594,Hours!$A:$A,0))+I594*INDEX(Hours!E:E,MATCH(C594,Hours!$A:$A,0))+J594*INDEX(Hours!F:F,MATCH(C594,Hours!$A:$A,0))+K594*INDEX(Hours!G:G,MATCH(C594,Hours!$A:$A,0))+L594*INDEX(Hours!H:H,MATCH(C594,Hours!$A:$A,0))+O594*INDEX(Hours!K:K,MATCH(C594,Hours!$A:$A,0)))</f>
        <v>0</v>
      </c>
      <c r="S594" s="19">
        <f t="shared" si="19"/>
        <v>0</v>
      </c>
    </row>
    <row r="595" spans="1:19" x14ac:dyDescent="0.25">
      <c r="A595" s="11" t="str">
        <f>'Bldgs &amp; Rooms'!$A$18</f>
        <v>Main Bldg.</v>
      </c>
      <c r="B595" s="11">
        <f>'Bldgs &amp; Rooms'!$B$18</f>
        <v>0</v>
      </c>
      <c r="C595" s="10" t="str">
        <f>Hours!$A$3</f>
        <v xml:space="preserve">  Switchgear Insulated Case Breakers (Bus Mounted)</v>
      </c>
      <c r="D595" s="11">
        <f t="shared" si="18"/>
        <v>0</v>
      </c>
      <c r="E595" s="16">
        <f>IF('Components Yr 1'!E595=0,0,'Components Yr 1'!E595)</f>
        <v>0</v>
      </c>
      <c r="F595" s="17">
        <f>IF('Components Yr 1'!F595=0,0,'Components Yr 1'!F595)</f>
        <v>0</v>
      </c>
      <c r="G595" s="17">
        <f>IF('Components Yr 1'!G595=0,0,'Components Yr 1'!G595)</f>
        <v>0</v>
      </c>
      <c r="H595" s="17">
        <f>IF('Components Yr 1'!H595=0,0,'Components Yr 1'!H595)</f>
        <v>0</v>
      </c>
      <c r="I595" s="17">
        <f>IF('Components Yr 1'!I595=0,0,'Components Yr 1'!I595)</f>
        <v>0</v>
      </c>
      <c r="J595" s="17">
        <f>IF('Components Yr 1'!J595=0,0,'Components Yr 1'!J595)</f>
        <v>0</v>
      </c>
      <c r="K595" s="17">
        <f>IF('Components Yr 1'!K595=0,0,'Components Yr 1'!K595)</f>
        <v>0</v>
      </c>
      <c r="L595" s="12"/>
      <c r="M595" s="12"/>
      <c r="N595" s="12"/>
      <c r="O595" s="12"/>
      <c r="P595" s="12"/>
      <c r="Q595" s="17"/>
      <c r="R595" s="18">
        <f>IF(SUMPRODUCT((E595:Q595)*1)=0,0,E595*INDEX(Hours!M:M,MATCH(C595,Hours!$A:$A,0))+F595*INDEX(Hours!B:B,MATCH(C595,Hours!$A:$A,0))+G595*INDEX(Hours!C:C,MATCH(C595,Hours!$A:$A,0))+H595*INDEX(Hours!D:D,MATCH(C595,Hours!$A:$A,0))+I595*INDEX(Hours!E:E,MATCH(C595,Hours!$A:$A,0))+J595*INDEX(Hours!F:F,MATCH(C595,Hours!$A:$A,0))+K595*INDEX(Hours!G:G,MATCH(C595,Hours!$A:$A,0)))</f>
        <v>0</v>
      </c>
      <c r="S595" s="19">
        <f t="shared" si="19"/>
        <v>0</v>
      </c>
    </row>
    <row r="596" spans="1:19" x14ac:dyDescent="0.25">
      <c r="A596" s="11" t="str">
        <f>'Bldgs &amp; Rooms'!$A$18</f>
        <v>Main Bldg.</v>
      </c>
      <c r="B596" s="11">
        <f>'Bldgs &amp; Rooms'!$B$18</f>
        <v>0</v>
      </c>
      <c r="C596" s="10" t="str">
        <f>Hours!$A$4</f>
        <v xml:space="preserve">  SwitchGear Drawout Breakers</v>
      </c>
      <c r="D596" s="11">
        <f t="shared" si="18"/>
        <v>0</v>
      </c>
      <c r="E596" s="16">
        <f>IF('Components Yr 1'!E596=0,0,'Components Yr 1'!E596)</f>
        <v>0</v>
      </c>
      <c r="F596" s="17">
        <f>IF('Components Yr 1'!F596=0,0,'Components Yr 1'!F596)</f>
        <v>0</v>
      </c>
      <c r="G596" s="17">
        <f>IF('Components Yr 1'!G596=0,0,'Components Yr 1'!G596)</f>
        <v>0</v>
      </c>
      <c r="H596" s="17">
        <f>IF('Components Yr 1'!H596=0,0,'Components Yr 1'!H596)</f>
        <v>0</v>
      </c>
      <c r="I596" s="17">
        <f>IF('Components Yr 1'!I596=0,0,'Components Yr 1'!I596)</f>
        <v>0</v>
      </c>
      <c r="J596" s="17">
        <f>IF('Components Yr 1'!J596=0,0,'Components Yr 1'!J596)</f>
        <v>0</v>
      </c>
      <c r="K596" s="12"/>
      <c r="L596" s="17">
        <f>IF('Components Yr 1'!L596=0,0,'Components Yr 1'!L596)</f>
        <v>0</v>
      </c>
      <c r="M596" s="12"/>
      <c r="N596" s="12"/>
      <c r="O596" s="12"/>
      <c r="P596" s="12"/>
      <c r="Q596" s="17"/>
      <c r="R596" s="18">
        <f>IF(SUMPRODUCT((E596:Q596)*1)=0,0,E596*INDEX(Hours!M:M,MATCH(C596,Hours!$A:$A,0))+F596*INDEX(Hours!B:B,MATCH(C596,Hours!$A:$A,0))+G596*INDEX(Hours!C:C,MATCH(C596,Hours!$A:$A,0))+H596*INDEX(Hours!D:D,MATCH(C596,Hours!$A:$A,0))+I596*INDEX(Hours!E:E,MATCH(C596,Hours!$A:$A,0))+J596*INDEX(Hours!F:F,MATCH(C596,Hours!$A:$A,0))+L596*INDEX(Hours!H:H,MATCH(C596,Hours!$A:$A,0)))</f>
        <v>0</v>
      </c>
      <c r="S596" s="19">
        <f t="shared" si="19"/>
        <v>0</v>
      </c>
    </row>
    <row r="597" spans="1:19" x14ac:dyDescent="0.25">
      <c r="A597" s="11" t="str">
        <f>'Bldgs &amp; Rooms'!$A$18</f>
        <v>Main Bldg.</v>
      </c>
      <c r="B597" s="11">
        <f>'Bldgs &amp; Rooms'!$B$18</f>
        <v>0</v>
      </c>
      <c r="C597" s="10" t="str">
        <f>Hours!$A$5</f>
        <v>Distribution Switchboard Multi Cover (Per Section)</v>
      </c>
      <c r="D597" s="11">
        <f t="shared" si="18"/>
        <v>0</v>
      </c>
      <c r="E597" s="16">
        <f>IF('Components Yr 1'!E597=0,0,'Components Yr 1'!E597)</f>
        <v>0</v>
      </c>
      <c r="F597" s="17">
        <f>IF('Components Yr 1'!F597=0,0,'Components Yr 1'!F597)</f>
        <v>0</v>
      </c>
      <c r="G597" s="17">
        <f>IF('Components Yr 1'!G597=0,0,'Components Yr 1'!G597)</f>
        <v>0</v>
      </c>
      <c r="H597" s="17">
        <f>IF('Components Yr 1'!H597=0,0,'Components Yr 1'!H597)</f>
        <v>0</v>
      </c>
      <c r="I597" s="17">
        <f>IF('Components Yr 1'!I597=0,0,'Components Yr 1'!I597)</f>
        <v>0</v>
      </c>
      <c r="J597" s="17">
        <f>IF('Components Yr 1'!J597=0,0,'Components Yr 1'!J597)</f>
        <v>0</v>
      </c>
      <c r="K597" s="17">
        <f>IF('Components Yr 1'!K597=0,0,'Components Yr 1'!K597)</f>
        <v>0</v>
      </c>
      <c r="L597" s="12"/>
      <c r="M597" s="12"/>
      <c r="N597" s="12"/>
      <c r="O597" s="17">
        <f>IF('Components Yr 1'!O597=0,0,'Components Yr 1'!O597)</f>
        <v>0</v>
      </c>
      <c r="P597" s="12"/>
      <c r="Q597" s="17"/>
      <c r="R597" s="18">
        <f>IF(SUMPRODUCT((E597:Q597)*1)=0,0,E597*INDEX(Hours!M:M,MATCH(C597,Hours!$A:$A,0))+F597*INDEX(Hours!B:B,MATCH(C597,Hours!$A:$A,0))+G597*INDEX(Hours!C:C,MATCH(C597,Hours!$A:$A,0))+H597*INDEX(Hours!D:D,MATCH(C597,Hours!$A:$A,0))+I597*INDEX(Hours!E:E,MATCH(C597,Hours!$A:$A,0))+J597*INDEX(Hours!F:F,MATCH(C597,Hours!$A:$A,0))+K597*INDEX(Hours!G:G,MATCH(C597,Hours!$A:$A,0))+O597*INDEX(Hours!K:K,MATCH(C597,Hours!$A:$A,0)))</f>
        <v>0</v>
      </c>
      <c r="S597" s="19">
        <f t="shared" si="19"/>
        <v>0</v>
      </c>
    </row>
    <row r="598" spans="1:19" x14ac:dyDescent="0.25">
      <c r="A598" s="11" t="str">
        <f>'Bldgs &amp; Rooms'!$A$18</f>
        <v>Main Bldg.</v>
      </c>
      <c r="B598" s="11">
        <f>'Bldgs &amp; Rooms'!$B$18</f>
        <v>0</v>
      </c>
      <c r="C598" s="10" t="str">
        <f>Hours!$A$6</f>
        <v xml:space="preserve">  Switchboard Disconnects</v>
      </c>
      <c r="D598" s="11">
        <f t="shared" si="18"/>
        <v>0</v>
      </c>
      <c r="E598" s="16">
        <f>IF('Components Yr 1'!E598=0,0,'Components Yr 1'!E598)</f>
        <v>0</v>
      </c>
      <c r="F598" s="17">
        <f>IF('Components Yr 1'!F598=0,0,'Components Yr 1'!F598)</f>
        <v>0</v>
      </c>
      <c r="G598" s="17">
        <f>IF('Components Yr 1'!G598=0,0,'Components Yr 1'!G598)</f>
        <v>0</v>
      </c>
      <c r="H598" s="17">
        <f>IF('Components Yr 1'!H598=0,0,'Components Yr 1'!H598)</f>
        <v>0</v>
      </c>
      <c r="I598" s="17">
        <f>IF('Components Yr 1'!I598=0,0,'Components Yr 1'!I598)</f>
        <v>0</v>
      </c>
      <c r="J598" s="17">
        <f>IF('Components Yr 1'!J598=0,0,'Components Yr 1'!J598)</f>
        <v>0</v>
      </c>
      <c r="K598" s="12"/>
      <c r="L598" s="12"/>
      <c r="M598" s="12"/>
      <c r="N598" s="12"/>
      <c r="O598" s="12"/>
      <c r="P598" s="12"/>
      <c r="Q598" s="17"/>
      <c r="R598" s="18">
        <f>IF(SUMPRODUCT((E598:Q598)*1)=0,0,E598*INDEX(Hours!M:M,MATCH(C598,Hours!$A:$A,0))+F598*INDEX(Hours!B:B,MATCH(C598,Hours!$A:$A,0))+G598*INDEX(Hours!C:C,MATCH(C598,Hours!$A:$A,0))+H598*INDEX(Hours!D:D,MATCH(C598,Hours!$A:$A,0))+I598*INDEX(Hours!E:E,MATCH(C598,Hours!$A:$A,0))+J598*INDEX(Hours!F:F,MATCH(C598,Hours!$A:$A,0)))</f>
        <v>0</v>
      </c>
      <c r="S598" s="19">
        <f t="shared" si="19"/>
        <v>0</v>
      </c>
    </row>
    <row r="599" spans="1:19" x14ac:dyDescent="0.25">
      <c r="A599" s="11" t="str">
        <f>'Bldgs &amp; Rooms'!$A$18</f>
        <v>Main Bldg.</v>
      </c>
      <c r="B599" s="11">
        <f>'Bldgs &amp; Rooms'!$B$18</f>
        <v>0</v>
      </c>
      <c r="C599" s="10" t="str">
        <f>Hours!$A$7</f>
        <v xml:space="preserve">  Switchboard Molded Case Breakers</v>
      </c>
      <c r="D599" s="11">
        <f t="shared" si="18"/>
        <v>0</v>
      </c>
      <c r="E599" s="16">
        <f>IF('Components Yr 1'!E599=0,0,'Components Yr 1'!E599)</f>
        <v>0</v>
      </c>
      <c r="F599" s="17">
        <f>IF('Components Yr 1'!F599=0,0,'Components Yr 1'!F599)</f>
        <v>0</v>
      </c>
      <c r="G599" s="17">
        <f>IF('Components Yr 1'!G599=0,0,'Components Yr 1'!G599)</f>
        <v>0</v>
      </c>
      <c r="H599" s="17">
        <f>IF('Components Yr 1'!H599=0,0,'Components Yr 1'!H599)</f>
        <v>0</v>
      </c>
      <c r="I599" s="17">
        <f>IF('Components Yr 1'!I599=0,0,'Components Yr 1'!I599)</f>
        <v>0</v>
      </c>
      <c r="J599" s="17">
        <f>IF('Components Yr 1'!J599=0,0,'Components Yr 1'!J599)</f>
        <v>0</v>
      </c>
      <c r="K599" s="17">
        <f>IF('Components Yr 1'!K599=0,0,'Components Yr 1'!K599)</f>
        <v>0</v>
      </c>
      <c r="L599" s="12"/>
      <c r="M599" s="12"/>
      <c r="N599" s="12"/>
      <c r="O599" s="12"/>
      <c r="P599" s="12"/>
      <c r="Q599" s="17"/>
      <c r="R599" s="18">
        <f>IF(SUMPRODUCT((E599:Q599)*1)=0,0,E599*INDEX(Hours!M:M,MATCH(C599,Hours!$A:$A,0))+F599*INDEX(Hours!B:B,MATCH(C599,Hours!$A:$A,0))+G599*INDEX(Hours!C:C,MATCH(C599,Hours!$A:$A,0))+H599*INDEX(Hours!D:D,MATCH(C599,Hours!$A:$A,0))+I599*INDEX(Hours!E:E,MATCH(C599,Hours!$A:$A,0))+J599*INDEX(Hours!F:F,MATCH(C599,Hours!$A:$A,0))+K599*INDEX(Hours!G:G,MATCH(C599,Hours!$A:$A,0)))</f>
        <v>0</v>
      </c>
      <c r="S599" s="19">
        <f t="shared" si="19"/>
        <v>0</v>
      </c>
    </row>
    <row r="600" spans="1:19" x14ac:dyDescent="0.25">
      <c r="A600" s="11" t="str">
        <f>'Bldgs &amp; Rooms'!$A$18</f>
        <v>Main Bldg.</v>
      </c>
      <c r="B600" s="11">
        <f>'Bldgs &amp; Rooms'!$B$18</f>
        <v>0</v>
      </c>
      <c r="C600" s="10" t="str">
        <f>Hours!$A$8</f>
        <v>Panelboard-Single Cover &gt; 400A (Distribution Panel)</v>
      </c>
      <c r="D600" s="11">
        <f t="shared" si="18"/>
        <v>0</v>
      </c>
      <c r="E600" s="16">
        <f>IF('Components Yr 1'!E600=0,0,'Components Yr 1'!E600)</f>
        <v>0</v>
      </c>
      <c r="F600" s="17">
        <f>IF('Components Yr 1'!F600=0,0,'Components Yr 1'!F600)</f>
        <v>0</v>
      </c>
      <c r="G600" s="17">
        <f>IF('Components Yr 1'!G600=0,0,'Components Yr 1'!G600)</f>
        <v>0</v>
      </c>
      <c r="H600" s="17">
        <f>IF('Components Yr 1'!H600=0,0,'Components Yr 1'!H600)</f>
        <v>0</v>
      </c>
      <c r="I600" s="17">
        <f>IF('Components Yr 1'!I600=0,0,'Components Yr 1'!I600)</f>
        <v>0</v>
      </c>
      <c r="J600" s="17">
        <f>IF('Components Yr 1'!J600=0,0,'Components Yr 1'!J600)</f>
        <v>0</v>
      </c>
      <c r="K600" s="17">
        <f>IF('Components Yr 1'!K600=0,0,'Components Yr 1'!K600)</f>
        <v>0</v>
      </c>
      <c r="L600" s="12"/>
      <c r="M600" s="12"/>
      <c r="N600" s="12"/>
      <c r="O600" s="17">
        <f>IF('Components Yr 1'!O600=0,0,'Components Yr 1'!O600)</f>
        <v>0</v>
      </c>
      <c r="P600" s="12"/>
      <c r="Q600" s="17"/>
      <c r="R600" s="18">
        <f>IF(SUMPRODUCT((E600:Q600)*1)=0,0,E600*INDEX(Hours!M:M,MATCH(C600,Hours!$A:$A,0))+F600*INDEX(Hours!B:B,MATCH(C600,Hours!$A:$A,0))+G600*INDEX(Hours!C:C,MATCH(C600,Hours!$A:$A,0))+H600*INDEX(Hours!D:D,MATCH(C600,Hours!$A:$A,0))+I600*INDEX(Hours!E:E,MATCH(C600,Hours!$A:$A,0))+J600*INDEX(Hours!F:F,MATCH(C600,Hours!$A:$A,0))+K600*INDEX(Hours!G:G,MATCH(C600,Hours!$A:$A,0))+O600*INDEX(Hours!K:K,MATCH(C600,Hours!$A:$A,0)))</f>
        <v>0</v>
      </c>
      <c r="S600" s="19">
        <f t="shared" si="19"/>
        <v>0</v>
      </c>
    </row>
    <row r="601" spans="1:19" x14ac:dyDescent="0.25">
      <c r="A601" s="11" t="str">
        <f>'Bldgs &amp; Rooms'!$A$18</f>
        <v>Main Bldg.</v>
      </c>
      <c r="B601" s="11">
        <f>'Bldgs &amp; Rooms'!$B$18</f>
        <v>0</v>
      </c>
      <c r="C601" s="10" t="str">
        <f>Hours!$A$9</f>
        <v>Panelboard-Single Cover &lt; 400A (Branch Ckt Panel)</v>
      </c>
      <c r="D601" s="11">
        <f t="shared" si="18"/>
        <v>0</v>
      </c>
      <c r="E601" s="16">
        <f>IF('Components Yr 1'!E601=0,0,'Components Yr 1'!E601)</f>
        <v>0</v>
      </c>
      <c r="F601" s="17">
        <f>IF('Components Yr 1'!F601=0,0,'Components Yr 1'!F601)</f>
        <v>0</v>
      </c>
      <c r="G601" s="17">
        <f>IF('Components Yr 1'!G601=0,0,'Components Yr 1'!G601)</f>
        <v>0</v>
      </c>
      <c r="H601" s="17">
        <f>IF('Components Yr 1'!H601=0,0,'Components Yr 1'!H601)</f>
        <v>0</v>
      </c>
      <c r="I601" s="17">
        <f>IF('Components Yr 1'!I601=0,0,'Components Yr 1'!I601)</f>
        <v>0</v>
      </c>
      <c r="J601" s="17">
        <f>IF('Components Yr 1'!J601=0,0,'Components Yr 1'!J601)</f>
        <v>0</v>
      </c>
      <c r="K601" s="12"/>
      <c r="L601" s="12"/>
      <c r="M601" s="12"/>
      <c r="N601" s="12"/>
      <c r="O601" s="17">
        <f>IF('Components Yr 1'!O601=0,0,'Components Yr 1'!O601)</f>
        <v>0</v>
      </c>
      <c r="P601" s="12"/>
      <c r="Q601" s="17"/>
      <c r="R601" s="18">
        <f>IF(SUMPRODUCT((E601:Q601)*1)=0,0,E601*INDEX(Hours!M:M,MATCH(C601,Hours!$A:$A,0))+F601*INDEX(Hours!B:B,MATCH(C601,Hours!$A:$A,0))+G601*INDEX(Hours!C:C,MATCH(C601,Hours!$A:$A,0))+H601*INDEX(Hours!D:D,MATCH(C601,Hours!$A:$A,0))+I601*INDEX(Hours!E:E,MATCH(C601,Hours!$A:$A,0))+J601*INDEX(Hours!F:F,MATCH(C601,Hours!$A:$A,0))+O601*INDEX(Hours!K:K,MATCH(C601,Hours!$A:$A,0)))</f>
        <v>0</v>
      </c>
      <c r="S601" s="19">
        <f t="shared" si="19"/>
        <v>0</v>
      </c>
    </row>
    <row r="602" spans="1:19" x14ac:dyDescent="0.25">
      <c r="A602" s="11" t="str">
        <f>'Bldgs &amp; Rooms'!$A$18</f>
        <v>Main Bldg.</v>
      </c>
      <c r="B602" s="11">
        <f>'Bldgs &amp; Rooms'!$B$18</f>
        <v>0</v>
      </c>
      <c r="C602" s="10" t="str">
        <f>Hours!$A$10</f>
        <v>Motor Control Center (MCC-Per Vertical Section)</v>
      </c>
      <c r="D602" s="11">
        <f t="shared" si="18"/>
        <v>0</v>
      </c>
      <c r="E602" s="16">
        <f>IF('Components Yr 1'!E602=0,0,'Components Yr 1'!E602)</f>
        <v>0</v>
      </c>
      <c r="F602" s="17">
        <f>IF('Components Yr 1'!F602=0,0,'Components Yr 1'!F602)</f>
        <v>0</v>
      </c>
      <c r="G602" s="17">
        <f>IF('Components Yr 1'!G602=0,0,'Components Yr 1'!G602)</f>
        <v>0</v>
      </c>
      <c r="H602" s="17">
        <f>IF('Components Yr 1'!H602=0,0,'Components Yr 1'!H602)</f>
        <v>0</v>
      </c>
      <c r="I602" s="17">
        <f>IF('Components Yr 1'!I602=0,0,'Components Yr 1'!I602)</f>
        <v>0</v>
      </c>
      <c r="J602" s="17">
        <f>IF('Components Yr 1'!J602=0,0,'Components Yr 1'!J602)</f>
        <v>0</v>
      </c>
      <c r="K602" s="12"/>
      <c r="L602" s="12"/>
      <c r="M602" s="12"/>
      <c r="N602" s="12"/>
      <c r="O602" s="17">
        <f>IF('Components Yr 1'!O602=0,0,'Components Yr 1'!O602)</f>
        <v>0</v>
      </c>
      <c r="P602" s="12"/>
      <c r="Q602" s="17"/>
      <c r="R602" s="18">
        <f>IF(SUMPRODUCT((E602:Q602)*1)=0,0,E602*INDEX(Hours!M:M,MATCH(C602,Hours!$A:$A,0))+F602*INDEX(Hours!B:B,MATCH(C602,Hours!$A:$A,0))+G602*INDEX(Hours!C:C,MATCH(C602,Hours!$A:$A,0))+H602*INDEX(Hours!D:D,MATCH(C602,Hours!$A:$A,0))+I602*INDEX(Hours!E:E,MATCH(C602,Hours!$A:$A,0))+J602*INDEX(Hours!F:F,MATCH(C602,Hours!$A:$A,0))+O602*INDEX(Hours!K:K,MATCH(C602,Hours!$A:$A,0)))</f>
        <v>0</v>
      </c>
      <c r="S602" s="19">
        <f t="shared" si="19"/>
        <v>0</v>
      </c>
    </row>
    <row r="603" spans="1:19" x14ac:dyDescent="0.25">
      <c r="A603" s="11" t="str">
        <f>'Bldgs &amp; Rooms'!$A$18</f>
        <v>Main Bldg.</v>
      </c>
      <c r="B603" s="11">
        <f>'Bldgs &amp; Rooms'!$B$18</f>
        <v>0</v>
      </c>
      <c r="C603" s="10" t="str">
        <f>Hours!$A$11</f>
        <v xml:space="preserve">  MCC: Combination Motor Starters</v>
      </c>
      <c r="D603" s="11">
        <f t="shared" si="18"/>
        <v>0</v>
      </c>
      <c r="E603" s="16">
        <f>IF('Components Yr 1'!E603=0,0,'Components Yr 1'!E603)</f>
        <v>0</v>
      </c>
      <c r="F603" s="17">
        <f>IF('Components Yr 1'!F603=0,0,'Components Yr 1'!F603)</f>
        <v>0</v>
      </c>
      <c r="G603" s="17">
        <f>IF('Components Yr 1'!G603=0,0,'Components Yr 1'!G603)</f>
        <v>0</v>
      </c>
      <c r="H603" s="17">
        <f>IF('Components Yr 1'!H603=0,0,'Components Yr 1'!H603)</f>
        <v>0</v>
      </c>
      <c r="I603" s="17">
        <f>IF('Components Yr 1'!I603=0,0,'Components Yr 1'!I603)</f>
        <v>0</v>
      </c>
      <c r="J603" s="17">
        <f>IF('Components Yr 1'!J603=0,0,'Components Yr 1'!J603)</f>
        <v>0</v>
      </c>
      <c r="K603" s="17">
        <f>IF('Components Yr 1'!K603=0,0,'Components Yr 1'!K603)</f>
        <v>0</v>
      </c>
      <c r="L603" s="12"/>
      <c r="M603" s="12"/>
      <c r="N603" s="12"/>
      <c r="O603" s="17">
        <f>IF('Components Yr 1'!O603=0,0,'Components Yr 1'!O603)</f>
        <v>0</v>
      </c>
      <c r="P603" s="12"/>
      <c r="Q603" s="17"/>
      <c r="R603" s="18">
        <f>IF(SUMPRODUCT((E603:Q603)*1)=0,0,E603*INDEX(Hours!M:M,MATCH(C603,Hours!$A:$A,0))+F603*INDEX(Hours!B:B,MATCH(C603,Hours!$A:$A,0))+G603*INDEX(Hours!C:C,MATCH(C603,Hours!$A:$A,0))+H603*INDEX(Hours!D:D,MATCH(C603,Hours!$A:$A,0))+I603*INDEX(Hours!E:E,MATCH(C603,Hours!$A:$A,0))+J603*INDEX(Hours!F:F,MATCH(C603,Hours!$A:$A,0))+K603*INDEX(Hours!G:G,MATCH(C603,Hours!$A:$A,0))+O603*INDEX(Hours!K:K,MATCH(C603,Hours!$A:$A,0)))</f>
        <v>0</v>
      </c>
      <c r="S603" s="19">
        <f t="shared" si="19"/>
        <v>0</v>
      </c>
    </row>
    <row r="604" spans="1:19" x14ac:dyDescent="0.25">
      <c r="A604" s="11" t="str">
        <f>'Bldgs &amp; Rooms'!$A$18</f>
        <v>Main Bldg.</v>
      </c>
      <c r="B604" s="11">
        <f>'Bldgs &amp; Rooms'!$B$18</f>
        <v>0</v>
      </c>
      <c r="C604" s="10" t="str">
        <f>Hours!$A$12</f>
        <v xml:space="preserve">  MCC: Molded Case Breaker</v>
      </c>
      <c r="D604" s="11">
        <f t="shared" si="18"/>
        <v>0</v>
      </c>
      <c r="E604" s="16">
        <f>IF('Components Yr 1'!E604=0,0,'Components Yr 1'!E604)</f>
        <v>0</v>
      </c>
      <c r="F604" s="17">
        <f>IF('Components Yr 1'!F604=0,0,'Components Yr 1'!F604)</f>
        <v>0</v>
      </c>
      <c r="G604" s="17">
        <f>IF('Components Yr 1'!G604=0,0,'Components Yr 1'!G604)</f>
        <v>0</v>
      </c>
      <c r="H604" s="17">
        <f>IF('Components Yr 1'!H604=0,0,'Components Yr 1'!H604)</f>
        <v>0</v>
      </c>
      <c r="I604" s="17">
        <f>IF('Components Yr 1'!I604=0,0,'Components Yr 1'!I604)</f>
        <v>0</v>
      </c>
      <c r="J604" s="17">
        <f>IF('Components Yr 1'!J604=0,0,'Components Yr 1'!J604)</f>
        <v>0</v>
      </c>
      <c r="K604" s="17">
        <f>IF('Components Yr 1'!K604=0,0,'Components Yr 1'!K604)</f>
        <v>0</v>
      </c>
      <c r="L604" s="12"/>
      <c r="M604" s="12"/>
      <c r="N604" s="12"/>
      <c r="O604" s="12"/>
      <c r="P604" s="12"/>
      <c r="Q604" s="17"/>
      <c r="R604" s="18">
        <f>IF(SUMPRODUCT((E604:Q604)*1)=0,0,E604*INDEX(Hours!M:M,MATCH(C604,Hours!$A:$A,0))+F604*INDEX(Hours!B:B,MATCH(C604,Hours!$A:$A,0))+G604*INDEX(Hours!C:C,MATCH(C604,Hours!$A:$A,0))+H604*INDEX(Hours!D:D,MATCH(C604,Hours!$A:$A,0))+I604*INDEX(Hours!E:E,MATCH(C604,Hours!$A:$A,0))+J604*INDEX(Hours!F:F,MATCH(C604,Hours!$A:$A,0))+K604*INDEX(Hours!G:G,MATCH(C604,Hours!$A:$A,0)))</f>
        <v>0</v>
      </c>
      <c r="S604" s="19">
        <f t="shared" si="19"/>
        <v>0</v>
      </c>
    </row>
    <row r="605" spans="1:19" x14ac:dyDescent="0.25">
      <c r="A605" s="11" t="str">
        <f>'Bldgs &amp; Rooms'!$A$18</f>
        <v>Main Bldg.</v>
      </c>
      <c r="B605" s="11">
        <f>'Bldgs &amp; Rooms'!$B$18</f>
        <v>0</v>
      </c>
      <c r="C605" s="10" t="str">
        <f>Hours!$A$13</f>
        <v xml:space="preserve">  MCC: Individual Disconnect Switch</v>
      </c>
      <c r="D605" s="11">
        <f t="shared" si="18"/>
        <v>0</v>
      </c>
      <c r="E605" s="16">
        <f>IF('Components Yr 1'!E605=0,0,'Components Yr 1'!E605)</f>
        <v>0</v>
      </c>
      <c r="F605" s="17">
        <f>IF('Components Yr 1'!F605=0,0,'Components Yr 1'!F605)</f>
        <v>0</v>
      </c>
      <c r="G605" s="17">
        <f>IF('Components Yr 1'!G605=0,0,'Components Yr 1'!G605)</f>
        <v>0</v>
      </c>
      <c r="H605" s="17">
        <f>IF('Components Yr 1'!H605=0,0,'Components Yr 1'!H605)</f>
        <v>0</v>
      </c>
      <c r="I605" s="17">
        <f>IF('Components Yr 1'!I605=0,0,'Components Yr 1'!I605)</f>
        <v>0</v>
      </c>
      <c r="J605" s="17">
        <f>IF('Components Yr 1'!J605=0,0,'Components Yr 1'!J605)</f>
        <v>0</v>
      </c>
      <c r="K605" s="12"/>
      <c r="L605" s="12"/>
      <c r="M605" s="12"/>
      <c r="N605" s="12"/>
      <c r="O605" s="12"/>
      <c r="P605" s="12"/>
      <c r="Q605" s="17"/>
      <c r="R605" s="18">
        <f>IF(SUMPRODUCT((E605:Q605)*1)=0,0,E605*INDEX(Hours!M:M,MATCH(C605,Hours!$A:$A,0))+F605*INDEX(Hours!B:B,MATCH(C605,Hours!$A:$A,0))+G605*INDEX(Hours!C:C,MATCH(C605,Hours!$A:$A,0))+H605*INDEX(Hours!D:D,MATCH(C605,Hours!$A:$A,0))+I605*INDEX(Hours!E:E,MATCH(C605,Hours!$A:$A,0))+J605*INDEX(Hours!F:F,MATCH(C605,Hours!$A:$A,0)))</f>
        <v>0</v>
      </c>
      <c r="S605" s="19">
        <f t="shared" si="19"/>
        <v>0</v>
      </c>
    </row>
    <row r="606" spans="1:19" x14ac:dyDescent="0.25">
      <c r="A606" s="11" t="str">
        <f>'Bldgs &amp; Rooms'!$A$18</f>
        <v>Main Bldg.</v>
      </c>
      <c r="B606" s="11">
        <f>'Bldgs &amp; Rooms'!$B$18</f>
        <v>0</v>
      </c>
      <c r="C606" s="10" t="str">
        <f>Hours!$A$14</f>
        <v>Motor Control Panel (MCP)</v>
      </c>
      <c r="D606" s="11">
        <f t="shared" si="18"/>
        <v>0</v>
      </c>
      <c r="E606" s="16">
        <f>IF('Components Yr 1'!E606=0,0,'Components Yr 1'!E606)</f>
        <v>0</v>
      </c>
      <c r="F606" s="17">
        <f>IF('Components Yr 1'!F606=0,0,'Components Yr 1'!F606)</f>
        <v>0</v>
      </c>
      <c r="G606" s="17">
        <f>IF('Components Yr 1'!G606=0,0,'Components Yr 1'!G606)</f>
        <v>0</v>
      </c>
      <c r="H606" s="17">
        <f>IF('Components Yr 1'!H606=0,0,'Components Yr 1'!H606)</f>
        <v>0</v>
      </c>
      <c r="I606" s="17">
        <f>IF('Components Yr 1'!I606=0,0,'Components Yr 1'!I606)</f>
        <v>0</v>
      </c>
      <c r="J606" s="17">
        <f>IF('Components Yr 1'!J606=0,0,'Components Yr 1'!J606)</f>
        <v>0</v>
      </c>
      <c r="K606" s="12"/>
      <c r="L606" s="12"/>
      <c r="M606" s="12"/>
      <c r="N606" s="12"/>
      <c r="O606" s="17">
        <f>IF('Components Yr 1'!O606=0,0,'Components Yr 1'!O606)</f>
        <v>0</v>
      </c>
      <c r="P606" s="12"/>
      <c r="Q606" s="17"/>
      <c r="R606" s="18">
        <f>IF(SUMPRODUCT((E606:Q606)*1)=0,0,E606*INDEX(Hours!M:M,MATCH(C606,Hours!$A:$A,0))+F606*INDEX(Hours!B:B,MATCH(C606,Hours!$A:$A,0))+G606*INDEX(Hours!C:C,MATCH(C606,Hours!$A:$A,0))+H606*INDEX(Hours!D:D,MATCH(C606,Hours!$A:$A,0))+I606*INDEX(Hours!E:E,MATCH(C606,Hours!$A:$A,0))+J606*INDEX(Hours!F:F,MATCH(C606,Hours!$A:$A,0))+O606*INDEX(Hours!K:K,MATCH(C606,Hours!$A:$A,0)))</f>
        <v>0</v>
      </c>
      <c r="S606" s="19">
        <f t="shared" si="19"/>
        <v>0</v>
      </c>
    </row>
    <row r="607" spans="1:19" x14ac:dyDescent="0.25">
      <c r="A607" s="11" t="str">
        <f>'Bldgs &amp; Rooms'!$A$18</f>
        <v>Main Bldg.</v>
      </c>
      <c r="B607" s="11">
        <f>'Bldgs &amp; Rooms'!$B$18</f>
        <v>0</v>
      </c>
      <c r="C607" s="10" t="str">
        <f>Hours!$A$15</f>
        <v>VFD Motor Control Panel (VFD-MCP)</v>
      </c>
      <c r="D607" s="11">
        <f t="shared" si="18"/>
        <v>0</v>
      </c>
      <c r="E607" s="16">
        <f>IF('Components Yr 1'!E607=0,0,'Components Yr 1'!E607)</f>
        <v>0</v>
      </c>
      <c r="F607" s="17">
        <f>IF('Components Yr 1'!F607=0,0,'Components Yr 1'!F607)</f>
        <v>0</v>
      </c>
      <c r="G607" s="17">
        <f>IF('Components Yr 1'!G607=0,0,'Components Yr 1'!G607)</f>
        <v>0</v>
      </c>
      <c r="H607" s="17">
        <f>IF('Components Yr 1'!H607=0,0,'Components Yr 1'!H607)</f>
        <v>0</v>
      </c>
      <c r="I607" s="17">
        <f>IF('Components Yr 1'!I607=0,0,'Components Yr 1'!I607)</f>
        <v>0</v>
      </c>
      <c r="J607" s="17">
        <f>IF('Components Yr 1'!J607=0,0,'Components Yr 1'!J607)</f>
        <v>0</v>
      </c>
      <c r="K607" s="12"/>
      <c r="L607" s="12"/>
      <c r="M607" s="12"/>
      <c r="N607" s="12"/>
      <c r="O607" s="17">
        <f>IF('Components Yr 1'!O607=0,0,'Components Yr 1'!O607)</f>
        <v>0</v>
      </c>
      <c r="P607" s="12"/>
      <c r="Q607" s="17"/>
      <c r="R607" s="18">
        <f>IF(SUMPRODUCT((E607:Q607)*1)=0,0,E607*INDEX(Hours!M:M,MATCH(C607,Hours!$A:$A,0))+F607*INDEX(Hours!B:B,MATCH(C607,Hours!$A:$A,0))+G607*INDEX(Hours!C:C,MATCH(C607,Hours!$A:$A,0))+H607*INDEX(Hours!D:D,MATCH(C607,Hours!$A:$A,0))+I607*INDEX(Hours!E:E,MATCH(C607,Hours!$A:$A,0))+J607*INDEX(Hours!F:F,MATCH(C607,Hours!$A:$A,0))+O607*INDEX(Hours!K:K,MATCH(C607,Hours!$A:$A,0)))</f>
        <v>0</v>
      </c>
      <c r="S607" s="19">
        <f t="shared" si="19"/>
        <v>0</v>
      </c>
    </row>
    <row r="608" spans="1:19" x14ac:dyDescent="0.25">
      <c r="A608" s="11" t="str">
        <f>'Bldgs &amp; Rooms'!$A$18</f>
        <v>Main Bldg.</v>
      </c>
      <c r="B608" s="11">
        <f>'Bldgs &amp; Rooms'!$B$18</f>
        <v>0</v>
      </c>
      <c r="C608" s="10" t="str">
        <f>Hours!$A$16</f>
        <v>Individual Disconnect Switch &gt; 100A</v>
      </c>
      <c r="D608" s="11">
        <f t="shared" si="18"/>
        <v>0</v>
      </c>
      <c r="E608" s="16">
        <f>IF('Components Yr 1'!E608=0,0,'Components Yr 1'!E608)</f>
        <v>0</v>
      </c>
      <c r="F608" s="17">
        <f>IF('Components Yr 1'!F608=0,0,'Components Yr 1'!F608)</f>
        <v>0</v>
      </c>
      <c r="G608" s="17">
        <f>IF('Components Yr 1'!G608=0,0,'Components Yr 1'!G608)</f>
        <v>0</v>
      </c>
      <c r="H608" s="17">
        <f>IF('Components Yr 1'!H608=0,0,'Components Yr 1'!H608)</f>
        <v>0</v>
      </c>
      <c r="I608" s="17">
        <f>IF('Components Yr 1'!I608=0,0,'Components Yr 1'!I608)</f>
        <v>0</v>
      </c>
      <c r="J608" s="17">
        <f>IF('Components Yr 1'!J608=0,0,'Components Yr 1'!J608)</f>
        <v>0</v>
      </c>
      <c r="K608" s="17">
        <f>IF('Components Yr 1'!K608=0,0,'Components Yr 1'!K608)</f>
        <v>0</v>
      </c>
      <c r="L608" s="12"/>
      <c r="M608" s="12"/>
      <c r="N608" s="12"/>
      <c r="O608" s="12"/>
      <c r="P608" s="12"/>
      <c r="Q608" s="17"/>
      <c r="R608" s="18">
        <f>IF(SUMPRODUCT((E608:Q608)*1)=0,0,E608*INDEX(Hours!M:M,MATCH(C608,Hours!$A:$A,0))+F608*INDEX(Hours!B:B,MATCH(C608,Hours!$A:$A,0))+G608*INDEX(Hours!C:C,MATCH(C608,Hours!$A:$A,0))+H608*INDEX(Hours!D:D,MATCH(C608,Hours!$A:$A,0))+I608*INDEX(Hours!E:E,MATCH(C608,Hours!$A:$A,0))+J608*INDEX(Hours!F:F,MATCH(C608,Hours!$A:$A,0))+K608*INDEX(Hours!G:G,MATCH(C608,Hours!$A:$A,0)))</f>
        <v>0</v>
      </c>
      <c r="S608" s="19">
        <f t="shared" si="19"/>
        <v>0</v>
      </c>
    </row>
    <row r="609" spans="1:19" x14ac:dyDescent="0.25">
      <c r="A609" s="11" t="str">
        <f>'Bldgs &amp; Rooms'!$A$18</f>
        <v>Main Bldg.</v>
      </c>
      <c r="B609" s="11">
        <f>'Bldgs &amp; Rooms'!$B$18</f>
        <v>0</v>
      </c>
      <c r="C609" s="10" t="str">
        <f>Hours!$A$17</f>
        <v>Individual Molded Case Breaker &gt; 100A</v>
      </c>
      <c r="D609" s="11">
        <f t="shared" si="18"/>
        <v>0</v>
      </c>
      <c r="E609" s="16">
        <f>IF('Components Yr 1'!E609=0,0,'Components Yr 1'!E609)</f>
        <v>0</v>
      </c>
      <c r="F609" s="17">
        <f>IF('Components Yr 1'!F609=0,0,'Components Yr 1'!F609)</f>
        <v>0</v>
      </c>
      <c r="G609" s="17">
        <f>IF('Components Yr 1'!G609=0,0,'Components Yr 1'!G609)</f>
        <v>0</v>
      </c>
      <c r="H609" s="17">
        <f>IF('Components Yr 1'!H609=0,0,'Components Yr 1'!H609)</f>
        <v>0</v>
      </c>
      <c r="I609" s="17">
        <f>IF('Components Yr 1'!I609=0,0,'Components Yr 1'!I609)</f>
        <v>0</v>
      </c>
      <c r="J609" s="17">
        <f>IF('Components Yr 1'!J609=0,0,'Components Yr 1'!J609)</f>
        <v>0</v>
      </c>
      <c r="K609" s="17">
        <f>IF('Components Yr 1'!K609=0,0,'Components Yr 1'!K609)</f>
        <v>0</v>
      </c>
      <c r="L609" s="12"/>
      <c r="M609" s="12"/>
      <c r="N609" s="12"/>
      <c r="O609" s="12"/>
      <c r="P609" s="12"/>
      <c r="Q609" s="17"/>
      <c r="R609" s="18">
        <f>IF(SUMPRODUCT((E609:Q609)*1)=0,0,E609*INDEX(Hours!M:M,MATCH(C609,Hours!$A:$A,0))+F609*INDEX(Hours!B:B,MATCH(C609,Hours!$A:$A,0))+G609*INDEX(Hours!C:C,MATCH(C609,Hours!$A:$A,0))+H609*INDEX(Hours!D:D,MATCH(C609,Hours!$A:$A,0))+I609*INDEX(Hours!E:E,MATCH(C609,Hours!$A:$A,0))+J609*INDEX(Hours!F:F,MATCH(C609,Hours!$A:$A,0))+K609*INDEX(Hours!G:G,MATCH(C609,Hours!$A:$A,0)))</f>
        <v>0</v>
      </c>
      <c r="S609" s="19">
        <f t="shared" si="19"/>
        <v>0</v>
      </c>
    </row>
    <row r="610" spans="1:19" x14ac:dyDescent="0.25">
      <c r="A610" s="11" t="str">
        <f>'Bldgs &amp; Rooms'!$A$18</f>
        <v>Main Bldg.</v>
      </c>
      <c r="B610" s="11">
        <f>'Bldgs &amp; Rooms'!$B$18</f>
        <v>0</v>
      </c>
      <c r="C610" s="10" t="str">
        <f>Hours!$A$18</f>
        <v>Individual Combination Motor Starter &gt; 100A</v>
      </c>
      <c r="D610" s="11">
        <f t="shared" si="18"/>
        <v>0</v>
      </c>
      <c r="E610" s="16">
        <f>IF('Components Yr 1'!E610=0,0,'Components Yr 1'!E610)</f>
        <v>0</v>
      </c>
      <c r="F610" s="17">
        <f>IF('Components Yr 1'!F610=0,0,'Components Yr 1'!F610)</f>
        <v>0</v>
      </c>
      <c r="G610" s="17">
        <f>IF('Components Yr 1'!G610=0,0,'Components Yr 1'!G610)</f>
        <v>0</v>
      </c>
      <c r="H610" s="17">
        <f>IF('Components Yr 1'!H610=0,0,'Components Yr 1'!H610)</f>
        <v>0</v>
      </c>
      <c r="I610" s="17">
        <f>IF('Components Yr 1'!I610=0,0,'Components Yr 1'!I610)</f>
        <v>0</v>
      </c>
      <c r="J610" s="17">
        <f>IF('Components Yr 1'!J610=0,0,'Components Yr 1'!J610)</f>
        <v>0</v>
      </c>
      <c r="K610" s="17">
        <f>IF('Components Yr 1'!K610=0,0,'Components Yr 1'!K610)</f>
        <v>0</v>
      </c>
      <c r="L610" s="12"/>
      <c r="M610" s="12"/>
      <c r="N610" s="12"/>
      <c r="O610" s="12"/>
      <c r="P610" s="12"/>
      <c r="Q610" s="17"/>
      <c r="R610" s="18">
        <f>IF(SUMPRODUCT((E610:Q610)*1)=0,0,E610*INDEX(Hours!M:M,MATCH(C610,Hours!$A:$A,0))+F610*INDEX(Hours!B:B,MATCH(C610,Hours!$A:$A,0))+G610*INDEX(Hours!C:C,MATCH(C610,Hours!$A:$A,0))+H610*INDEX(Hours!D:D,MATCH(C610,Hours!$A:$A,0))+I610*INDEX(Hours!E:E,MATCH(C610,Hours!$A:$A,0))+J610*INDEX(Hours!F:F,MATCH(C610,Hours!$A:$A,0))+K610*INDEX(Hours!G:G,MATCH(C610,Hours!$A:$A,0)))</f>
        <v>0</v>
      </c>
      <c r="S610" s="19">
        <f t="shared" si="19"/>
        <v>0</v>
      </c>
    </row>
    <row r="611" spans="1:19" x14ac:dyDescent="0.25">
      <c r="A611" s="11" t="str">
        <f>'Bldgs &amp; Rooms'!$A$18</f>
        <v>Main Bldg.</v>
      </c>
      <c r="B611" s="11">
        <f>'Bldgs &amp; Rooms'!$B$18</f>
        <v>0</v>
      </c>
      <c r="C611" s="10" t="str">
        <f>Hours!$A$19</f>
        <v>Oil Filled Transformer - 5kV-15kV Primary - Any Size (Pad Mounted)</v>
      </c>
      <c r="D611" s="11">
        <f t="shared" si="18"/>
        <v>0</v>
      </c>
      <c r="E611" s="16">
        <f>IF('Components Yr 1'!E611=0,0,'Components Yr 1'!E611)</f>
        <v>0</v>
      </c>
      <c r="F611" s="17">
        <f>IF('Components Yr 1'!F611=0,0,'Components Yr 1'!F611)</f>
        <v>0</v>
      </c>
      <c r="G611" s="17">
        <f>IF('Components Yr 1'!G611=0,0,'Components Yr 1'!G611)</f>
        <v>0</v>
      </c>
      <c r="H611" s="17">
        <f>IF('Components Yr 1'!H611=0,0,'Components Yr 1'!H611)</f>
        <v>0</v>
      </c>
      <c r="I611" s="17">
        <f>IF('Components Yr 1'!I611=0,0,'Components Yr 1'!I611)</f>
        <v>0</v>
      </c>
      <c r="J611" s="17">
        <f>IF('Components Yr 1'!J611=0,0,'Components Yr 1'!J611)</f>
        <v>0</v>
      </c>
      <c r="K611" s="12"/>
      <c r="L611" s="12"/>
      <c r="M611" s="17">
        <f>IF('Components Yr 1'!M611=0,0,'Components Yr 1'!M611)</f>
        <v>0</v>
      </c>
      <c r="N611" s="17">
        <f>IF('Components Yr 1'!N611=0,0,'Components Yr 1'!N611)</f>
        <v>0</v>
      </c>
      <c r="O611" s="12"/>
      <c r="P611" s="17">
        <f>IF('Components Yr 1'!P611=0,0,'Components Yr 1'!P611)</f>
        <v>0</v>
      </c>
      <c r="Q611" s="17"/>
      <c r="R611" s="18">
        <f>IF(SUMPRODUCT((E611:Q611)*1)=0,0,E611*INDEX(Hours!M:M,MATCH(C611,Hours!$A:$A,0))+F611*INDEX(Hours!B:B,MATCH(C611,Hours!$A:$A,0))+G611*INDEX(Hours!C:C,MATCH(C611,Hours!$A:$A,0))+H611*INDEX(Hours!D:D,MATCH(C611,Hours!$A:$A,0))+I611*INDEX(Hours!E:E,MATCH(C611,Hours!$A:$A,0))+J611*INDEX(Hours!F:F,MATCH(C611,Hours!$A:$A,0))+M611*INDEX(Hours!I:I,MATCH(C611,Hours!$A:$A,0))+N611*INDEX(Hours!J:J,MATCH(C611,Hours!$A:$A,0))+P611*INDEX(Hours!L:L,MATCH(C611,Hours!$A:$A,0)))</f>
        <v>0</v>
      </c>
      <c r="S611" s="19">
        <f t="shared" si="19"/>
        <v>0</v>
      </c>
    </row>
    <row r="612" spans="1:19" x14ac:dyDescent="0.25">
      <c r="A612" s="11" t="str">
        <f>'Bldgs &amp; Rooms'!$A$18</f>
        <v>Main Bldg.</v>
      </c>
      <c r="B612" s="11">
        <f>'Bldgs &amp; Rooms'!$B$18</f>
        <v>0</v>
      </c>
      <c r="C612" s="10" t="str">
        <f>Hours!$A$20</f>
        <v>Oil Filled Transformer - &gt; 15kV Primary (Substation Class)</v>
      </c>
      <c r="D612" s="11">
        <f t="shared" si="18"/>
        <v>0</v>
      </c>
      <c r="E612" s="16">
        <f>IF('Components Yr 1'!E612=0,0,'Components Yr 1'!E612)</f>
        <v>0</v>
      </c>
      <c r="F612" s="17">
        <f>IF('Components Yr 1'!F612=0,0,'Components Yr 1'!F612)</f>
        <v>0</v>
      </c>
      <c r="G612" s="17">
        <f>IF('Components Yr 1'!G612=0,0,'Components Yr 1'!G612)</f>
        <v>0</v>
      </c>
      <c r="H612" s="17">
        <f>IF('Components Yr 1'!H612=0,0,'Components Yr 1'!H612)</f>
        <v>0</v>
      </c>
      <c r="I612" s="17">
        <f>IF('Components Yr 1'!I612=0,0,'Components Yr 1'!I612)</f>
        <v>0</v>
      </c>
      <c r="J612" s="17">
        <f>IF('Components Yr 1'!J612=0,0,'Components Yr 1'!J612)</f>
        <v>0</v>
      </c>
      <c r="K612" s="12"/>
      <c r="L612" s="12"/>
      <c r="M612" s="17">
        <f>IF('Components Yr 1'!M612=0,0,'Components Yr 1'!M612)</f>
        <v>0</v>
      </c>
      <c r="N612" s="17">
        <f>IF('Components Yr 1'!N612=0,0,'Components Yr 1'!N612)</f>
        <v>0</v>
      </c>
      <c r="O612" s="12"/>
      <c r="P612" s="17">
        <f>IF('Components Yr 1'!P612=0,0,'Components Yr 1'!P612)</f>
        <v>0</v>
      </c>
      <c r="Q612" s="17"/>
      <c r="R612" s="18">
        <f>IF(SUMPRODUCT((E612:Q612)*1)=0,0,E612*INDEX(Hours!M:M,MATCH(C612,Hours!$A:$A,0))+F612*INDEX(Hours!B:B,MATCH(C612,Hours!$A:$A,0))+G612*INDEX(Hours!C:C,MATCH(C612,Hours!$A:$A,0))+H612*INDEX(Hours!D:D,MATCH(C612,Hours!$A:$A,0))+I612*INDEX(Hours!E:E,MATCH(C612,Hours!$A:$A,0))+J612*INDEX(Hours!F:F,MATCH(C612,Hours!$A:$A,0))+M612*INDEX(Hours!I:I,MATCH(C612,Hours!$A:$A,0))+N612*INDEX(Hours!J:J,MATCH(C612,Hours!$A:$A,0))+P612*INDEX(Hours!L:L,MATCH(C612,Hours!$A:$A,0)))</f>
        <v>0</v>
      </c>
      <c r="S612" s="19">
        <f t="shared" si="19"/>
        <v>0</v>
      </c>
    </row>
    <row r="613" spans="1:19" x14ac:dyDescent="0.25">
      <c r="A613" s="11" t="str">
        <f>'Bldgs &amp; Rooms'!$A$18</f>
        <v>Main Bldg.</v>
      </c>
      <c r="B613" s="11">
        <f>'Bldgs &amp; Rooms'!$B$18</f>
        <v>0</v>
      </c>
      <c r="C613" s="10" t="str">
        <f>Hours!$A$21</f>
        <v>Dry Type Transformer - &lt; 480V Primary - Any Size kVA</v>
      </c>
      <c r="D613" s="11">
        <f t="shared" si="18"/>
        <v>0</v>
      </c>
      <c r="E613" s="16">
        <f>IF('Components Yr 1'!E613=0,0,'Components Yr 1'!E613)</f>
        <v>0</v>
      </c>
      <c r="F613" s="17">
        <f>IF('Components Yr 1'!F613=0,0,'Components Yr 1'!F613)</f>
        <v>0</v>
      </c>
      <c r="G613" s="17">
        <f>IF('Components Yr 1'!G613=0,0,'Components Yr 1'!G613)</f>
        <v>0</v>
      </c>
      <c r="H613" s="17">
        <f>IF('Components Yr 1'!H613=0,0,'Components Yr 1'!H613)</f>
        <v>0</v>
      </c>
      <c r="I613" s="17">
        <f>IF('Components Yr 1'!I613=0,0,'Components Yr 1'!I613)</f>
        <v>0</v>
      </c>
      <c r="J613" s="17">
        <f>IF('Components Yr 1'!J613=0,0,'Components Yr 1'!J613)</f>
        <v>0</v>
      </c>
      <c r="K613" s="12"/>
      <c r="L613" s="12"/>
      <c r="M613" s="17">
        <f>IF('Components Yr 1'!M613=0,0,'Components Yr 1'!M613)</f>
        <v>0</v>
      </c>
      <c r="N613" s="17">
        <f>IF('Components Yr 1'!N613=0,0,'Components Yr 1'!N613)</f>
        <v>0</v>
      </c>
      <c r="O613" s="12"/>
      <c r="P613" s="12"/>
      <c r="Q613" s="17"/>
      <c r="R613" s="18">
        <f>IF(SUMPRODUCT((E613:Q613)*1)=0,0,E613*INDEX(Hours!M:M,MATCH(C613,Hours!$A:$A,0))+F613*INDEX(Hours!B:B,MATCH(C613,Hours!$A:$A,0))+G613*INDEX(Hours!C:C,MATCH(C613,Hours!$A:$A,0))+H613*INDEX(Hours!D:D,MATCH(C613,Hours!$A:$A,0))+I613*INDEX(Hours!E:E,MATCH(C613,Hours!$A:$A,0))+J613*INDEX(Hours!F:F,MATCH(C613,Hours!$A:$A,0))+M613*INDEX(Hours!I:I,MATCH(C613,Hours!$A:$A,0))+N613*INDEX(Hours!J:J,MATCH(C613,Hours!$A:$A,0)))</f>
        <v>0</v>
      </c>
      <c r="S613" s="19">
        <f t="shared" si="19"/>
        <v>0</v>
      </c>
    </row>
    <row r="614" spans="1:19" x14ac:dyDescent="0.25">
      <c r="A614" s="11" t="str">
        <f>'Bldgs &amp; Rooms'!$A$18</f>
        <v>Main Bldg.</v>
      </c>
      <c r="B614" s="11">
        <f>'Bldgs &amp; Rooms'!$B$18</f>
        <v>0</v>
      </c>
      <c r="C614" s="10" t="str">
        <f>Hours!$A$22</f>
        <v>Power Factor Correction Capacitors</v>
      </c>
      <c r="D614" s="11">
        <f t="shared" si="18"/>
        <v>0</v>
      </c>
      <c r="E614" s="16">
        <f>IF('Components Yr 1'!E614=0,0,'Components Yr 1'!E614)</f>
        <v>0</v>
      </c>
      <c r="F614" s="17">
        <f>IF('Components Yr 1'!F614=0,0,'Components Yr 1'!F614)</f>
        <v>0</v>
      </c>
      <c r="G614" s="17">
        <f>IF('Components Yr 1'!G614=0,0,'Components Yr 1'!G614)</f>
        <v>0</v>
      </c>
      <c r="H614" s="17">
        <f>IF('Components Yr 1'!H614=0,0,'Components Yr 1'!H614)</f>
        <v>0</v>
      </c>
      <c r="I614" s="17">
        <f>IF('Components Yr 1'!I614=0,0,'Components Yr 1'!I614)</f>
        <v>0</v>
      </c>
      <c r="J614" s="17">
        <f>IF('Components Yr 1'!J614=0,0,'Components Yr 1'!J614)</f>
        <v>0</v>
      </c>
      <c r="K614" s="12"/>
      <c r="L614" s="12"/>
      <c r="M614" s="12"/>
      <c r="N614" s="12"/>
      <c r="O614" s="12"/>
      <c r="P614" s="12"/>
      <c r="Q614" s="17"/>
      <c r="R614" s="18">
        <f>IF(SUMPRODUCT((E614:Q614)*1)=0,0,E614*INDEX(Hours!M:M,MATCH(C614,Hours!$A:$A,0))+F614*INDEX(Hours!B:B,MATCH(C614,Hours!$A:$A,0))+G614*INDEX(Hours!C:C,MATCH(C614,Hours!$A:$A,0))+H614*INDEX(Hours!D:D,MATCH(C614,Hours!$A:$A,0))+I614*INDEX(Hours!E:E,MATCH(C614,Hours!$A:$A,0))+J614*INDEX(Hours!F:F,MATCH(C614,Hours!$A:$A,0)))</f>
        <v>0</v>
      </c>
      <c r="S614" s="19">
        <f t="shared" si="19"/>
        <v>0</v>
      </c>
    </row>
    <row r="615" spans="1:19" x14ac:dyDescent="0.25">
      <c r="A615" s="11" t="str">
        <f>'Bldgs &amp; Rooms'!$A$18</f>
        <v>Main Bldg.</v>
      </c>
      <c r="B615" s="11">
        <f>'Bldgs &amp; Rooms'!$B$18</f>
        <v>0</v>
      </c>
      <c r="C615" s="10" t="str">
        <f>Hours!$A$23</f>
        <v>Lighting Contactor &gt; 100A</v>
      </c>
      <c r="D615" s="11">
        <f t="shared" si="18"/>
        <v>0</v>
      </c>
      <c r="E615" s="16">
        <f>IF('Components Yr 1'!E615=0,0,'Components Yr 1'!E615)</f>
        <v>0</v>
      </c>
      <c r="F615" s="17">
        <f>IF('Components Yr 1'!F615=0,0,'Components Yr 1'!F615)</f>
        <v>0</v>
      </c>
      <c r="G615" s="17">
        <f>IF('Components Yr 1'!G615=0,0,'Components Yr 1'!G615)</f>
        <v>0</v>
      </c>
      <c r="H615" s="17">
        <f>IF('Components Yr 1'!H615=0,0,'Components Yr 1'!H615)</f>
        <v>0</v>
      </c>
      <c r="I615" s="17">
        <f>IF('Components Yr 1'!I615=0,0,'Components Yr 1'!I615)</f>
        <v>0</v>
      </c>
      <c r="J615" s="17">
        <f>IF('Components Yr 1'!J615=0,0,'Components Yr 1'!J615)</f>
        <v>0</v>
      </c>
      <c r="K615" s="12"/>
      <c r="L615" s="12"/>
      <c r="M615" s="12"/>
      <c r="N615" s="12"/>
      <c r="O615" s="12"/>
      <c r="P615" s="12"/>
      <c r="Q615" s="17"/>
      <c r="R615" s="18">
        <f>IF(SUMPRODUCT((E615:Q615)*1)=0,0,E615*INDEX(Hours!M:M,MATCH(C615,Hours!$A:$A,0))+F615*INDEX(Hours!B:B,MATCH(C615,Hours!$A:$A,0))+G615*INDEX(Hours!C:C,MATCH(C615,Hours!$A:$A,0))+H615*INDEX(Hours!D:D,MATCH(C615,Hours!$A:$A,0))+I615*INDEX(Hours!E:E,MATCH(C615,Hours!$A:$A,0))+J615*INDEX(Hours!F:F,MATCH(C615,Hours!$A:$A,0)))</f>
        <v>0</v>
      </c>
      <c r="S615" s="19">
        <f t="shared" si="19"/>
        <v>0</v>
      </c>
    </row>
    <row r="616" spans="1:19" x14ac:dyDescent="0.25">
      <c r="A616" s="11" t="str">
        <f>'Bldgs &amp; Rooms'!$A$18</f>
        <v>Main Bldg.</v>
      </c>
      <c r="B616" s="11">
        <f>'Bldgs &amp; Rooms'!$B$18</f>
        <v>0</v>
      </c>
      <c r="C616" s="10" t="str">
        <f>Hours!$A$24</f>
        <v>Power Distribution Unit (PDU)</v>
      </c>
      <c r="D616" s="11">
        <f t="shared" si="18"/>
        <v>0</v>
      </c>
      <c r="E616" s="16">
        <f>IF('Components Yr 1'!E616=0,0,'Components Yr 1'!E616)</f>
        <v>0</v>
      </c>
      <c r="F616" s="17">
        <f>IF('Components Yr 1'!F616=0,0,'Components Yr 1'!F616)</f>
        <v>0</v>
      </c>
      <c r="G616" s="17">
        <f>IF('Components Yr 1'!G616=0,0,'Components Yr 1'!G616)</f>
        <v>0</v>
      </c>
      <c r="H616" s="17">
        <f>IF('Components Yr 1'!H616=0,0,'Components Yr 1'!H616)</f>
        <v>0</v>
      </c>
      <c r="I616" s="17">
        <f>IF('Components Yr 1'!I616=0,0,'Components Yr 1'!I616)</f>
        <v>0</v>
      </c>
      <c r="J616" s="17">
        <f>IF('Components Yr 1'!J616=0,0,'Components Yr 1'!J616)</f>
        <v>0</v>
      </c>
      <c r="K616" s="12"/>
      <c r="L616" s="12"/>
      <c r="M616" s="12"/>
      <c r="N616" s="12"/>
      <c r="O616" s="12"/>
      <c r="P616" s="12"/>
      <c r="Q616" s="17"/>
      <c r="R616" s="18">
        <f>IF(SUMPRODUCT((E616:Q616)*1)=0,0,E616*INDEX(Hours!M:M,MATCH(C616,Hours!$A:$A,0))+F616*INDEX(Hours!B:B,MATCH(C616,Hours!$A:$A,0))+G616*INDEX(Hours!C:C,MATCH(C616,Hours!$A:$A,0))+H616*INDEX(Hours!D:D,MATCH(C616,Hours!$A:$A,0))+I616*INDEX(Hours!E:E,MATCH(C616,Hours!$A:$A,0))+J616*INDEX(Hours!F:F,MATCH(C616,Hours!$A:$A,0)))</f>
        <v>0</v>
      </c>
      <c r="S616" s="19">
        <f t="shared" si="19"/>
        <v>0</v>
      </c>
    </row>
    <row r="617" spans="1:19" x14ac:dyDescent="0.25">
      <c r="A617" s="11" t="str">
        <f>'Bldgs &amp; Rooms'!$A$18</f>
        <v>Main Bldg.</v>
      </c>
      <c r="B617" s="11">
        <f>'Bldgs &amp; Rooms'!$B$18</f>
        <v>0</v>
      </c>
      <c r="C617" s="10" t="str">
        <f>Hours!$A$25</f>
        <v>Wire Trough, Gutter, or Large Junction Boxes</v>
      </c>
      <c r="D617" s="11">
        <f t="shared" si="18"/>
        <v>0</v>
      </c>
      <c r="E617" s="16">
        <f>IF('Components Yr 1'!E617=0,0,'Components Yr 1'!E617)</f>
        <v>0</v>
      </c>
      <c r="F617" s="17">
        <f>IF('Components Yr 1'!F617=0,0,'Components Yr 1'!F617)</f>
        <v>0</v>
      </c>
      <c r="G617" s="17">
        <f>IF('Components Yr 1'!G617=0,0,'Components Yr 1'!G617)</f>
        <v>0</v>
      </c>
      <c r="H617" s="17">
        <f>IF('Components Yr 1'!H617=0,0,'Components Yr 1'!H617)</f>
        <v>0</v>
      </c>
      <c r="I617" s="17">
        <f>IF('Components Yr 1'!I617=0,0,'Components Yr 1'!I617)</f>
        <v>0</v>
      </c>
      <c r="J617" s="17">
        <f>IF('Components Yr 1'!J617=0,0,'Components Yr 1'!J617)</f>
        <v>0</v>
      </c>
      <c r="K617" s="12"/>
      <c r="L617" s="12"/>
      <c r="M617" s="12"/>
      <c r="N617" s="12"/>
      <c r="O617" s="12"/>
      <c r="P617" s="12"/>
      <c r="Q617" s="17"/>
      <c r="R617" s="18">
        <f>IF(SUMPRODUCT((E617:Q617)*1)=0,0,E617*INDEX(Hours!M:M,MATCH(C617,Hours!$A:$A,0))+F617*INDEX(Hours!B:B,MATCH(C617,Hours!$A:$A,0))+G617*INDEX(Hours!C:C,MATCH(C617,Hours!$A:$A,0))+H617*INDEX(Hours!D:D,MATCH(C617,Hours!$A:$A,0))+I617*INDEX(Hours!E:E,MATCH(C617,Hours!$A:$A,0))+J617*INDEX(Hours!F:F,MATCH(C617,Hours!$A:$A,0)))</f>
        <v>0</v>
      </c>
      <c r="S617" s="19">
        <f t="shared" si="19"/>
        <v>0</v>
      </c>
    </row>
    <row r="618" spans="1:19" x14ac:dyDescent="0.25">
      <c r="A618" s="11" t="str">
        <f>'Bldgs &amp; Rooms'!$A$18</f>
        <v>Main Bldg.</v>
      </c>
      <c r="B618" s="11">
        <f>'Bldgs &amp; Rooms'!$B$18</f>
        <v>0</v>
      </c>
      <c r="C618" s="10" t="str">
        <f>Hours!$A$26</f>
        <v>Bus Duct - Vertical or Horizontal (Per 10' section)</v>
      </c>
      <c r="D618" s="11">
        <f t="shared" si="18"/>
        <v>0</v>
      </c>
      <c r="E618" s="16">
        <f>IF('Components Yr 1'!E618=0,0,'Components Yr 1'!E618)</f>
        <v>0</v>
      </c>
      <c r="F618" s="17">
        <f>IF('Components Yr 1'!F618=0,0,'Components Yr 1'!F618)</f>
        <v>0</v>
      </c>
      <c r="G618" s="17">
        <f>IF('Components Yr 1'!G618=0,0,'Components Yr 1'!G618)</f>
        <v>0</v>
      </c>
      <c r="H618" s="17">
        <f>IF('Components Yr 1'!H618=0,0,'Components Yr 1'!H618)</f>
        <v>0</v>
      </c>
      <c r="I618" s="17">
        <f>IF('Components Yr 1'!I618=0,0,'Components Yr 1'!I618)</f>
        <v>0</v>
      </c>
      <c r="J618" s="17">
        <f>IF('Components Yr 1'!J618=0,0,'Components Yr 1'!J618)</f>
        <v>0</v>
      </c>
      <c r="K618" s="12"/>
      <c r="L618" s="12"/>
      <c r="M618" s="12"/>
      <c r="N618" s="12"/>
      <c r="O618" s="12"/>
      <c r="P618" s="12"/>
      <c r="Q618" s="17"/>
      <c r="R618" s="18">
        <f>IF(SUMPRODUCT((E618:Q618)*1)=0,0,E618*INDEX(Hours!M:M,MATCH(C618,Hours!$A:$A,0))+F618*INDEX(Hours!B:B,MATCH(C618,Hours!$A:$A,0))+G618*INDEX(Hours!C:C,MATCH(C618,Hours!$A:$A,0))+H618*INDEX(Hours!D:D,MATCH(C618,Hours!$A:$A,0))+I618*INDEX(Hours!E:E,MATCH(C618,Hours!$A:$A,0))+J618*INDEX(Hours!F:F,MATCH(C618,Hours!$A:$A,0)))</f>
        <v>0</v>
      </c>
      <c r="S618" s="19">
        <f t="shared" si="19"/>
        <v>0</v>
      </c>
    </row>
    <row r="619" spans="1:19" x14ac:dyDescent="0.25">
      <c r="A619" s="11" t="str">
        <f>'Bldgs &amp; Rooms'!$A$18</f>
        <v>Main Bldg.</v>
      </c>
      <c r="B619" s="11">
        <f>'Bldgs &amp; Rooms'!$B$18</f>
        <v>0</v>
      </c>
      <c r="C619" s="10" t="str">
        <f>Hours!$A$27</f>
        <v>Automatic Transfer Switch (ATS) &gt; 100A</v>
      </c>
      <c r="D619" s="11">
        <f t="shared" si="18"/>
        <v>0</v>
      </c>
      <c r="E619" s="16">
        <f>IF('Components Yr 1'!E619=0,0,'Components Yr 1'!E619)</f>
        <v>0</v>
      </c>
      <c r="F619" s="17">
        <f>IF('Components Yr 1'!F619=0,0,'Components Yr 1'!F619)</f>
        <v>0</v>
      </c>
      <c r="G619" s="17">
        <f>IF('Components Yr 1'!G619=0,0,'Components Yr 1'!G619)</f>
        <v>0</v>
      </c>
      <c r="H619" s="17">
        <f>IF('Components Yr 1'!H619=0,0,'Components Yr 1'!H619)</f>
        <v>0</v>
      </c>
      <c r="I619" s="17">
        <f>IF('Components Yr 1'!I619=0,0,'Components Yr 1'!I619)</f>
        <v>0</v>
      </c>
      <c r="J619" s="17">
        <f>IF('Components Yr 1'!J619=0,0,'Components Yr 1'!J619)</f>
        <v>0</v>
      </c>
      <c r="K619" s="12"/>
      <c r="L619" s="12"/>
      <c r="M619" s="12"/>
      <c r="N619" s="12"/>
      <c r="O619" s="12"/>
      <c r="P619" s="12"/>
      <c r="Q619" s="17"/>
      <c r="R619" s="18">
        <f>IF(SUMPRODUCT((E619:Q619)*1)=0,0,E619*INDEX(Hours!M:M,MATCH(C619,Hours!$A:$A,0))+F619*INDEX(Hours!B:B,MATCH(C619,Hours!$A:$A,0))+G619*INDEX(Hours!C:C,MATCH(C619,Hours!$A:$A,0))+H619*INDEX(Hours!D:D,MATCH(C619,Hours!$A:$A,0))+I619*INDEX(Hours!E:E,MATCH(C619,Hours!$A:$A,0))+J619*INDEX(Hours!F:F,MATCH(C619,Hours!$A:$A,0)))</f>
        <v>0</v>
      </c>
      <c r="S619" s="19">
        <f t="shared" si="19"/>
        <v>0</v>
      </c>
    </row>
    <row r="620" spans="1:19" x14ac:dyDescent="0.25">
      <c r="A620" s="11" t="str">
        <f>'Bldgs &amp; Rooms'!$A$18</f>
        <v>Main Bldg.</v>
      </c>
      <c r="B620" s="11">
        <f>'Bldgs &amp; Rooms'!$B$18</f>
        <v>0</v>
      </c>
      <c r="C620" s="10" t="str">
        <f>Hours!$A$28</f>
        <v>Manual Transfer Switch (MTS) &gt; 100A</v>
      </c>
      <c r="D620" s="11">
        <f t="shared" si="18"/>
        <v>0</v>
      </c>
      <c r="E620" s="16">
        <f>IF('Components Yr 1'!E620=0,0,'Components Yr 1'!E620)</f>
        <v>0</v>
      </c>
      <c r="F620" s="17">
        <f>IF('Components Yr 1'!F620=0,0,'Components Yr 1'!F620)</f>
        <v>0</v>
      </c>
      <c r="G620" s="17">
        <f>IF('Components Yr 1'!G620=0,0,'Components Yr 1'!G620)</f>
        <v>0</v>
      </c>
      <c r="H620" s="17">
        <f>IF('Components Yr 1'!H620=0,0,'Components Yr 1'!H620)</f>
        <v>0</v>
      </c>
      <c r="I620" s="17">
        <f>IF('Components Yr 1'!I620=0,0,'Components Yr 1'!I620)</f>
        <v>0</v>
      </c>
      <c r="J620" s="17">
        <f>IF('Components Yr 1'!J620=0,0,'Components Yr 1'!J620)</f>
        <v>0</v>
      </c>
      <c r="K620" s="12"/>
      <c r="L620" s="12"/>
      <c r="M620" s="12"/>
      <c r="N620" s="12"/>
      <c r="O620" s="12"/>
      <c r="P620" s="12"/>
      <c r="Q620" s="17"/>
      <c r="R620" s="18">
        <f>IF(SUMPRODUCT((E620:Q620)*1)=0,0,E620*INDEX(Hours!M:M,MATCH(C620,Hours!$A:$A,0))+F620*INDEX(Hours!B:B,MATCH(C620,Hours!$A:$A,0))+G620*INDEX(Hours!C:C,MATCH(C620,Hours!$A:$A,0))+H620*INDEX(Hours!D:D,MATCH(C620,Hours!$A:$A,0))+I620*INDEX(Hours!E:E,MATCH(C620,Hours!$A:$A,0))+J620*INDEX(Hours!F:F,MATCH(C620,Hours!$A:$A,0)))</f>
        <v>0</v>
      </c>
      <c r="S620" s="19">
        <f t="shared" si="19"/>
        <v>0</v>
      </c>
    </row>
    <row r="621" spans="1:19" x14ac:dyDescent="0.25">
      <c r="A621" s="11" t="str">
        <f>'Bldgs &amp; Rooms'!$A$18</f>
        <v>Main Bldg.</v>
      </c>
      <c r="B621" s="11">
        <f>'Bldgs &amp; Rooms'!$B$18</f>
        <v>0</v>
      </c>
      <c r="C621" s="10" t="str">
        <f>Hours!$A$29</f>
        <v>Variable Frequency Drives (VFD) &lt; 50 HP</v>
      </c>
      <c r="D621" s="11">
        <f t="shared" si="18"/>
        <v>0</v>
      </c>
      <c r="E621" s="16">
        <f>IF('Components Yr 1'!E621=0,0,'Components Yr 1'!E621)</f>
        <v>0</v>
      </c>
      <c r="F621" s="17">
        <f>IF('Components Yr 1'!F621=0,0,'Components Yr 1'!F621)</f>
        <v>0</v>
      </c>
      <c r="G621" s="17">
        <f>IF('Components Yr 1'!G621=0,0,'Components Yr 1'!G621)</f>
        <v>0</v>
      </c>
      <c r="H621" s="17">
        <f>IF('Components Yr 1'!H621=0,0,'Components Yr 1'!H621)</f>
        <v>0</v>
      </c>
      <c r="I621" s="17">
        <f>IF('Components Yr 1'!I621=0,0,'Components Yr 1'!I621)</f>
        <v>0</v>
      </c>
      <c r="J621" s="17">
        <f>IF('Components Yr 1'!J621=0,0,'Components Yr 1'!J621)</f>
        <v>0</v>
      </c>
      <c r="K621" s="12"/>
      <c r="L621" s="12"/>
      <c r="M621" s="12"/>
      <c r="N621" s="12"/>
      <c r="O621" s="12"/>
      <c r="P621" s="12"/>
      <c r="Q621" s="17"/>
      <c r="R621" s="18">
        <f>IF(SUMPRODUCT((E621:Q621)*1)=0,0,E621*INDEX(Hours!M:M,MATCH(C621,Hours!$A:$A,0))+F621*INDEX(Hours!B:B,MATCH(C621,Hours!$A:$A,0))+G621*INDEX(Hours!C:C,MATCH(C621,Hours!$A:$A,0))+H621*INDEX(Hours!D:D,MATCH(C621,Hours!$A:$A,0))+I621*INDEX(Hours!E:E,MATCH(C621,Hours!$A:$A,0))+J621*INDEX(Hours!F:F,MATCH(C621,Hours!$A:$A,0)))</f>
        <v>0</v>
      </c>
      <c r="S621" s="19">
        <f t="shared" si="19"/>
        <v>0</v>
      </c>
    </row>
    <row r="622" spans="1:19" x14ac:dyDescent="0.25">
      <c r="A622" s="11" t="str">
        <f>'Bldgs &amp; Rooms'!$A$18</f>
        <v>Main Bldg.</v>
      </c>
      <c r="B622" s="11">
        <f>'Bldgs &amp; Rooms'!$B$18</f>
        <v>0</v>
      </c>
      <c r="C622" s="10" t="str">
        <f>Hours!$A$30</f>
        <v>Variable Frequency Drives (VFD) 51-200 HP</v>
      </c>
      <c r="D622" s="11">
        <f t="shared" si="18"/>
        <v>0</v>
      </c>
      <c r="E622" s="16">
        <f>IF('Components Yr 1'!E622=0,0,'Components Yr 1'!E622)</f>
        <v>0</v>
      </c>
      <c r="F622" s="17">
        <f>IF('Components Yr 1'!F622=0,0,'Components Yr 1'!F622)</f>
        <v>0</v>
      </c>
      <c r="G622" s="17">
        <f>IF('Components Yr 1'!G622=0,0,'Components Yr 1'!G622)</f>
        <v>0</v>
      </c>
      <c r="H622" s="17">
        <f>IF('Components Yr 1'!H622=0,0,'Components Yr 1'!H622)</f>
        <v>0</v>
      </c>
      <c r="I622" s="17">
        <f>IF('Components Yr 1'!I622=0,0,'Components Yr 1'!I622)</f>
        <v>0</v>
      </c>
      <c r="J622" s="17">
        <f>IF('Components Yr 1'!J622=0,0,'Components Yr 1'!J622)</f>
        <v>0</v>
      </c>
      <c r="K622" s="12"/>
      <c r="L622" s="12"/>
      <c r="M622" s="12"/>
      <c r="N622" s="12"/>
      <c r="O622" s="12"/>
      <c r="P622" s="12"/>
      <c r="Q622" s="17"/>
      <c r="R622" s="18">
        <f>IF(SUMPRODUCT((E622:Q622)*1)=0,0,E622*INDEX(Hours!M:M,MATCH(C622,Hours!$A:$A,0))+F622*INDEX(Hours!B:B,MATCH(C622,Hours!$A:$A,0))+G622*INDEX(Hours!C:C,MATCH(C622,Hours!$A:$A,0))+H622*INDEX(Hours!D:D,MATCH(C622,Hours!$A:$A,0))+I622*INDEX(Hours!E:E,MATCH(C622,Hours!$A:$A,0))+J622*INDEX(Hours!F:F,MATCH(C622,Hours!$A:$A,0)))</f>
        <v>0</v>
      </c>
      <c r="S622" s="19">
        <f t="shared" si="19"/>
        <v>0</v>
      </c>
    </row>
    <row r="623" spans="1:19" x14ac:dyDescent="0.25">
      <c r="A623" s="11" t="str">
        <f>'Bldgs &amp; Rooms'!$A$18</f>
        <v>Main Bldg.</v>
      </c>
      <c r="B623" s="11">
        <f>'Bldgs &amp; Rooms'!$B$18</f>
        <v>0</v>
      </c>
      <c r="C623" s="10" t="str">
        <f>Hours!$A$31</f>
        <v>Motors &lt; 50 HP</v>
      </c>
      <c r="D623" s="11">
        <f t="shared" si="18"/>
        <v>0</v>
      </c>
      <c r="E623" s="16">
        <f>IF('Components Yr 1'!E623=0,0,'Components Yr 1'!E623)</f>
        <v>0</v>
      </c>
      <c r="F623" s="17">
        <f>IF('Components Yr 1'!F623=0,0,'Components Yr 1'!F623)</f>
        <v>0</v>
      </c>
      <c r="G623" s="17">
        <f>IF('Components Yr 1'!G623=0,0,'Components Yr 1'!G623)</f>
        <v>0</v>
      </c>
      <c r="H623" s="17">
        <f>IF('Components Yr 1'!H623=0,0,'Components Yr 1'!H623)</f>
        <v>0</v>
      </c>
      <c r="I623" s="17">
        <f>IF('Components Yr 1'!I623=0,0,'Components Yr 1'!I623)</f>
        <v>0</v>
      </c>
      <c r="J623" s="17">
        <f>IF('Components Yr 1'!J623=0,0,'Components Yr 1'!J623)</f>
        <v>0</v>
      </c>
      <c r="K623" s="12"/>
      <c r="L623" s="12"/>
      <c r="M623" s="12"/>
      <c r="N623" s="12"/>
      <c r="O623" s="12"/>
      <c r="P623" s="12"/>
      <c r="Q623" s="17"/>
      <c r="R623" s="18">
        <f>IF(SUMPRODUCT((E623:Q623)*1)=0,0,E623*INDEX(Hours!M:M,MATCH(C623,Hours!$A:$A,0))+F623*INDEX(Hours!B:B,MATCH(C623,Hours!$A:$A,0))+G623*INDEX(Hours!C:C,MATCH(C623,Hours!$A:$A,0))+H623*INDEX(Hours!D:D,MATCH(C623,Hours!$A:$A,0))+I623*INDEX(Hours!E:E,MATCH(C623,Hours!$A:$A,0))+J623*INDEX(Hours!F:F,MATCH(C623,Hours!$A:$A,0)))</f>
        <v>0</v>
      </c>
      <c r="S623" s="19">
        <f t="shared" si="19"/>
        <v>0</v>
      </c>
    </row>
    <row r="624" spans="1:19" x14ac:dyDescent="0.25">
      <c r="A624" s="11" t="str">
        <f>'Bldgs &amp; Rooms'!$A$18</f>
        <v>Main Bldg.</v>
      </c>
      <c r="B624" s="11">
        <f>'Bldgs &amp; Rooms'!$B$18</f>
        <v>0</v>
      </c>
      <c r="C624" s="10" t="str">
        <f>Hours!$A$32</f>
        <v>Motors 51-200 HP</v>
      </c>
      <c r="D624" s="11">
        <f t="shared" si="18"/>
        <v>0</v>
      </c>
      <c r="E624" s="16">
        <f>IF('Components Yr 1'!E624=0,0,'Components Yr 1'!E624)</f>
        <v>0</v>
      </c>
      <c r="F624" s="17">
        <f>IF('Components Yr 1'!F624=0,0,'Components Yr 1'!F624)</f>
        <v>0</v>
      </c>
      <c r="G624" s="17">
        <f>IF('Components Yr 1'!G624=0,0,'Components Yr 1'!G624)</f>
        <v>0</v>
      </c>
      <c r="H624" s="17">
        <f>IF('Components Yr 1'!H624=0,0,'Components Yr 1'!H624)</f>
        <v>0</v>
      </c>
      <c r="I624" s="17">
        <f>IF('Components Yr 1'!I624=0,0,'Components Yr 1'!I624)</f>
        <v>0</v>
      </c>
      <c r="J624" s="17">
        <f>IF('Components Yr 1'!J624=0,0,'Components Yr 1'!J624)</f>
        <v>0</v>
      </c>
      <c r="K624" s="12"/>
      <c r="L624" s="12"/>
      <c r="M624" s="12"/>
      <c r="N624" s="12"/>
      <c r="O624" s="12"/>
      <c r="P624" s="12"/>
      <c r="Q624" s="17"/>
      <c r="R624" s="18">
        <f>IF(SUMPRODUCT((E624:Q624)*1)=0,0,E624*INDEX(Hours!M:M,MATCH(C624,Hours!$A:$A,0))+F624*INDEX(Hours!B:B,MATCH(C624,Hours!$A:$A,0))+G624*INDEX(Hours!C:C,MATCH(C624,Hours!$A:$A,0))+H624*INDEX(Hours!D:D,MATCH(C624,Hours!$A:$A,0))+I624*INDEX(Hours!E:E,MATCH(C624,Hours!$A:$A,0))+J624*INDEX(Hours!F:F,MATCH(C624,Hours!$A:$A,0)))</f>
        <v>0</v>
      </c>
      <c r="S624" s="19">
        <f t="shared" si="19"/>
        <v>0</v>
      </c>
    </row>
    <row r="625" spans="1:19" x14ac:dyDescent="0.25">
      <c r="A625" s="11" t="str">
        <f>'Bldgs &amp; Rooms'!$A$18</f>
        <v>Main Bldg.</v>
      </c>
      <c r="B625" s="11">
        <f>'Bldgs &amp; Rooms'!$B$18</f>
        <v>0</v>
      </c>
      <c r="C625" s="10" t="str">
        <f>Hours!$A$33</f>
        <v>Motors 201-500 HP</v>
      </c>
      <c r="D625" s="11">
        <f t="shared" si="18"/>
        <v>0</v>
      </c>
      <c r="E625" s="16">
        <f>IF('Components Yr 1'!E625=0,0,'Components Yr 1'!E625)</f>
        <v>0</v>
      </c>
      <c r="F625" s="17">
        <f>IF('Components Yr 1'!F625=0,0,'Components Yr 1'!F625)</f>
        <v>0</v>
      </c>
      <c r="G625" s="17">
        <f>IF('Components Yr 1'!G625=0,0,'Components Yr 1'!G625)</f>
        <v>0</v>
      </c>
      <c r="H625" s="17">
        <f>IF('Components Yr 1'!H625=0,0,'Components Yr 1'!H625)</f>
        <v>0</v>
      </c>
      <c r="I625" s="17">
        <f>IF('Components Yr 1'!I625=0,0,'Components Yr 1'!I625)</f>
        <v>0</v>
      </c>
      <c r="J625" s="17">
        <f>IF('Components Yr 1'!J625=0,0,'Components Yr 1'!J625)</f>
        <v>0</v>
      </c>
      <c r="K625" s="12"/>
      <c r="L625" s="12"/>
      <c r="M625" s="12"/>
      <c r="N625" s="12"/>
      <c r="O625" s="12"/>
      <c r="P625" s="12"/>
      <c r="Q625" s="17"/>
      <c r="R625" s="18">
        <f>IF(SUMPRODUCT((E625:Q625)*1)=0,0,E625*INDEX(Hours!M:M,MATCH(C625,Hours!$A:$A,0))+F625*INDEX(Hours!B:B,MATCH(C625,Hours!$A:$A,0))+G625*INDEX(Hours!C:C,MATCH(C625,Hours!$A:$A,0))+H625*INDEX(Hours!D:D,MATCH(C625,Hours!$A:$A,0))+I625*INDEX(Hours!E:E,MATCH(C625,Hours!$A:$A,0))+J625*INDEX(Hours!F:F,MATCH(C625,Hours!$A:$A,0)))</f>
        <v>0</v>
      </c>
      <c r="S625" s="19">
        <f t="shared" si="19"/>
        <v>0</v>
      </c>
    </row>
    <row r="626" spans="1:19" x14ac:dyDescent="0.25">
      <c r="A626" s="11" t="str">
        <f>'Bldgs &amp; Rooms'!$A$18</f>
        <v>Main Bldg.</v>
      </c>
      <c r="B626" s="11">
        <f>'Bldgs &amp; Rooms'!$B$18</f>
        <v>0</v>
      </c>
      <c r="C626" s="10" t="str">
        <f>Hours!$A$34</f>
        <v>Compressed Air Equipment</v>
      </c>
      <c r="D626" s="11">
        <f t="shared" si="18"/>
        <v>0</v>
      </c>
      <c r="E626" s="16">
        <f>IF('Components Yr 1'!E626=0,0,'Components Yr 1'!E626)</f>
        <v>0</v>
      </c>
      <c r="F626" s="17">
        <f>IF('Components Yr 1'!F626=0,0,'Components Yr 1'!F626)</f>
        <v>0</v>
      </c>
      <c r="G626" s="17">
        <f>IF('Components Yr 1'!G626=0,0,'Components Yr 1'!G626)</f>
        <v>0</v>
      </c>
      <c r="H626" s="17">
        <f>IF('Components Yr 1'!H626=0,0,'Components Yr 1'!H626)</f>
        <v>0</v>
      </c>
      <c r="I626" s="17">
        <f>IF('Components Yr 1'!I626=0,0,'Components Yr 1'!I626)</f>
        <v>0</v>
      </c>
      <c r="J626" s="17">
        <f>IF('Components Yr 1'!J626=0,0,'Components Yr 1'!J626)</f>
        <v>0</v>
      </c>
      <c r="K626" s="12"/>
      <c r="L626" s="12"/>
      <c r="M626" s="12"/>
      <c r="N626" s="12"/>
      <c r="O626" s="12"/>
      <c r="P626" s="12"/>
      <c r="Q626" s="17"/>
      <c r="R626" s="18">
        <f>IF(SUMPRODUCT((E626:Q626)*1)=0,0,E626*INDEX(Hours!M:M,MATCH(C626,Hours!$A:$A,0))+F626*INDEX(Hours!B:B,MATCH(C626,Hours!$A:$A,0))+G626*INDEX(Hours!C:C,MATCH(C626,Hours!$A:$A,0))+H626*INDEX(Hours!D:D,MATCH(C626,Hours!$A:$A,0))+I626*INDEX(Hours!E:E,MATCH(C626,Hours!$A:$A,0))+J626*INDEX(Hours!F:F,MATCH(C626,Hours!$A:$A,0)))</f>
        <v>0</v>
      </c>
      <c r="S626" s="19">
        <f t="shared" si="19"/>
        <v>0</v>
      </c>
    </row>
    <row r="627" spans="1:19" x14ac:dyDescent="0.25">
      <c r="A627" s="11" t="str">
        <f>'Bldgs &amp; Rooms'!$A$18</f>
        <v>Main Bldg.</v>
      </c>
      <c r="B627" s="11">
        <f>'Bldgs &amp; Rooms'!$B$18</f>
        <v>0</v>
      </c>
      <c r="C627" s="10" t="str">
        <f>Hours!$A$35</f>
        <v>HVAC Equipment (Large)</v>
      </c>
      <c r="D627" s="11">
        <f t="shared" si="18"/>
        <v>0</v>
      </c>
      <c r="E627" s="16">
        <f>IF('Components Yr 1'!E627=0,0,'Components Yr 1'!E627)</f>
        <v>0</v>
      </c>
      <c r="F627" s="17">
        <f>IF('Components Yr 1'!F627=0,0,'Components Yr 1'!F627)</f>
        <v>0</v>
      </c>
      <c r="G627" s="17">
        <f>IF('Components Yr 1'!G627=0,0,'Components Yr 1'!G627)</f>
        <v>0</v>
      </c>
      <c r="H627" s="17">
        <f>IF('Components Yr 1'!H627=0,0,'Components Yr 1'!H627)</f>
        <v>0</v>
      </c>
      <c r="I627" s="17">
        <f>IF('Components Yr 1'!I627=0,0,'Components Yr 1'!I627)</f>
        <v>0</v>
      </c>
      <c r="J627" s="17">
        <f>IF('Components Yr 1'!J627=0,0,'Components Yr 1'!J627)</f>
        <v>0</v>
      </c>
      <c r="K627" s="12"/>
      <c r="L627" s="12"/>
      <c r="M627" s="12"/>
      <c r="N627" s="12"/>
      <c r="O627" s="12"/>
      <c r="P627" s="12"/>
      <c r="Q627" s="17"/>
      <c r="R627" s="18">
        <f>IF(SUMPRODUCT((E627:Q627)*1)=0,0,E627*INDEX(Hours!M:M,MATCH(C627,Hours!$A:$A,0))+F627*INDEX(Hours!B:B,MATCH(C627,Hours!$A:$A,0))+G627*INDEX(Hours!C:C,MATCH(C627,Hours!$A:$A,0))+H627*INDEX(Hours!D:D,MATCH(C627,Hours!$A:$A,0))+I627*INDEX(Hours!E:E,MATCH(C627,Hours!$A:$A,0))+J627*INDEX(Hours!F:F,MATCH(C627,Hours!$A:$A,0)))</f>
        <v>0</v>
      </c>
      <c r="S627" s="19">
        <f t="shared" si="19"/>
        <v>0</v>
      </c>
    </row>
    <row r="628" spans="1:19" x14ac:dyDescent="0.25">
      <c r="A628" s="11" t="str">
        <f>'Bldgs &amp; Rooms'!$A$18</f>
        <v>Main Bldg.</v>
      </c>
      <c r="B628" s="11">
        <f>'Bldgs &amp; Rooms'!$B$18</f>
        <v>0</v>
      </c>
      <c r="C628" s="10" t="str">
        <f>Hours!$A$36</f>
        <v>HVAC Equipment (Small)</v>
      </c>
      <c r="D628" s="11">
        <f t="shared" si="18"/>
        <v>0</v>
      </c>
      <c r="E628" s="16">
        <f>IF('Components Yr 1'!E628=0,0,'Components Yr 1'!E628)</f>
        <v>0</v>
      </c>
      <c r="F628" s="17">
        <f>IF('Components Yr 1'!F628=0,0,'Components Yr 1'!F628)</f>
        <v>0</v>
      </c>
      <c r="G628" s="17">
        <f>IF('Components Yr 1'!G628=0,0,'Components Yr 1'!G628)</f>
        <v>0</v>
      </c>
      <c r="H628" s="17">
        <f>IF('Components Yr 1'!H628=0,0,'Components Yr 1'!H628)</f>
        <v>0</v>
      </c>
      <c r="I628" s="17">
        <f>IF('Components Yr 1'!I628=0,0,'Components Yr 1'!I628)</f>
        <v>0</v>
      </c>
      <c r="J628" s="17">
        <f>IF('Components Yr 1'!J628=0,0,'Components Yr 1'!J628)</f>
        <v>0</v>
      </c>
      <c r="K628" s="12"/>
      <c r="L628" s="12"/>
      <c r="M628" s="12"/>
      <c r="N628" s="12"/>
      <c r="O628" s="12"/>
      <c r="P628" s="12"/>
      <c r="Q628" s="17"/>
      <c r="R628" s="18">
        <f>IF(SUMPRODUCT((E628:Q628)*1)=0,0,E628*INDEX(Hours!M:M,MATCH(C628,Hours!$A:$A,0))+F628*INDEX(Hours!B:B,MATCH(C628,Hours!$A:$A,0))+G628*INDEX(Hours!C:C,MATCH(C628,Hours!$A:$A,0))+H628*INDEX(Hours!D:D,MATCH(C628,Hours!$A:$A,0))+I628*INDEX(Hours!E:E,MATCH(C628,Hours!$A:$A,0))+J628*INDEX(Hours!F:F,MATCH(C628,Hours!$A:$A,0)))</f>
        <v>0</v>
      </c>
      <c r="S628" s="19">
        <f t="shared" si="19"/>
        <v>0</v>
      </c>
    </row>
    <row r="629" spans="1:19" x14ac:dyDescent="0.25">
      <c r="A629" s="11" t="str">
        <f>'Bldgs &amp; Rooms'!$A$18</f>
        <v>Main Bldg.</v>
      </c>
      <c r="B629" s="11">
        <f>'Bldgs &amp; Rooms'!$B$18</f>
        <v>0</v>
      </c>
      <c r="C629" s="10" t="str">
        <f>Hours!$A$37</f>
        <v>Uninterruptible Power Supply (UPS) &lt; 50kVA</v>
      </c>
      <c r="D629" s="11">
        <f t="shared" si="18"/>
        <v>0</v>
      </c>
      <c r="E629" s="16">
        <f>IF('Components Yr 1'!E629=0,0,'Components Yr 1'!E629)</f>
        <v>0</v>
      </c>
      <c r="F629" s="17">
        <f>IF('Components Yr 1'!F629=0,0,'Components Yr 1'!F629)</f>
        <v>0</v>
      </c>
      <c r="G629" s="17">
        <f>IF('Components Yr 1'!G629=0,0,'Components Yr 1'!G629)</f>
        <v>0</v>
      </c>
      <c r="H629" s="17">
        <f>IF('Components Yr 1'!H629=0,0,'Components Yr 1'!H629)</f>
        <v>0</v>
      </c>
      <c r="I629" s="17">
        <f>IF('Components Yr 1'!I629=0,0,'Components Yr 1'!I629)</f>
        <v>0</v>
      </c>
      <c r="J629" s="17">
        <f>IF('Components Yr 1'!J629=0,0,'Components Yr 1'!J629)</f>
        <v>0</v>
      </c>
      <c r="K629" s="12"/>
      <c r="L629" s="12"/>
      <c r="M629" s="12"/>
      <c r="N629" s="12"/>
      <c r="O629" s="12"/>
      <c r="P629" s="12"/>
      <c r="Q629" s="17"/>
      <c r="R629" s="18">
        <f>IF(SUMPRODUCT((E629:Q629)*1)=0,0,E629*INDEX(Hours!M:M,MATCH(C629,Hours!$A:$A,0))+F629*INDEX(Hours!B:B,MATCH(C629,Hours!$A:$A,0))+G629*INDEX(Hours!C:C,MATCH(C629,Hours!$A:$A,0))+H629*INDEX(Hours!D:D,MATCH(C629,Hours!$A:$A,0))+I629*INDEX(Hours!E:E,MATCH(C629,Hours!$A:$A,0))+J629*INDEX(Hours!F:F,MATCH(C629,Hours!$A:$A,0)))</f>
        <v>0</v>
      </c>
      <c r="S629" s="19">
        <f t="shared" si="19"/>
        <v>0</v>
      </c>
    </row>
    <row r="630" spans="1:19" x14ac:dyDescent="0.25">
      <c r="A630" s="11" t="str">
        <f>'Bldgs &amp; Rooms'!$A$18</f>
        <v>Main Bldg.</v>
      </c>
      <c r="B630" s="11">
        <f>'Bldgs &amp; Rooms'!$B$18</f>
        <v>0</v>
      </c>
      <c r="C630" s="10" t="str">
        <f>Hours!$A$38</f>
        <v>Uninterruptible Power Supply (UPS) &gt; 50kVA</v>
      </c>
      <c r="D630" s="11">
        <f t="shared" si="18"/>
        <v>0</v>
      </c>
      <c r="E630" s="16">
        <f>IF('Components Yr 1'!E630=0,0,'Components Yr 1'!E630)</f>
        <v>0</v>
      </c>
      <c r="F630" s="17">
        <f>IF('Components Yr 1'!F630=0,0,'Components Yr 1'!F630)</f>
        <v>0</v>
      </c>
      <c r="G630" s="17">
        <f>IF('Components Yr 1'!G630=0,0,'Components Yr 1'!G630)</f>
        <v>0</v>
      </c>
      <c r="H630" s="17">
        <f>IF('Components Yr 1'!H630=0,0,'Components Yr 1'!H630)</f>
        <v>0</v>
      </c>
      <c r="I630" s="17">
        <f>IF('Components Yr 1'!I630=0,0,'Components Yr 1'!I630)</f>
        <v>0</v>
      </c>
      <c r="J630" s="17">
        <f>IF('Components Yr 1'!J630=0,0,'Components Yr 1'!J630)</f>
        <v>0</v>
      </c>
      <c r="K630" s="12"/>
      <c r="L630" s="12"/>
      <c r="M630" s="12"/>
      <c r="N630" s="12"/>
      <c r="O630" s="12"/>
      <c r="P630" s="12"/>
      <c r="Q630" s="17"/>
      <c r="R630" s="18">
        <f>IF(SUMPRODUCT((E630:Q630)*1)=0,0,E630*INDEX(Hours!M:M,MATCH(C630,Hours!$A:$A,0))+F630*INDEX(Hours!B:B,MATCH(C630,Hours!$A:$A,0))+G630*INDEX(Hours!C:C,MATCH(C630,Hours!$A:$A,0))+H630*INDEX(Hours!D:D,MATCH(C630,Hours!$A:$A,0))+I630*INDEX(Hours!E:E,MATCH(C630,Hours!$A:$A,0))+J630*INDEX(Hours!F:F,MATCH(C630,Hours!$A:$A,0)))</f>
        <v>0</v>
      </c>
      <c r="S630" s="19">
        <f t="shared" si="19"/>
        <v>0</v>
      </c>
    </row>
    <row r="631" spans="1:19" x14ac:dyDescent="0.25">
      <c r="A631" s="15" t="str">
        <f>'Bldgs &amp; Rooms'!$A$19</f>
        <v>Main Bldg.</v>
      </c>
      <c r="B631" s="15">
        <f>'Bldgs &amp; Rooms'!$B$19</f>
        <v>0</v>
      </c>
      <c r="C631" s="14" t="str">
        <f>Hours!$A$2</f>
        <v>Switchgear - Incoming Main Service (Per Section)</v>
      </c>
      <c r="D631" s="15">
        <f t="shared" si="18"/>
        <v>0</v>
      </c>
      <c r="E631" s="16">
        <f>IF('Components Yr 1'!E631=0,0,'Components Yr 1'!E631)</f>
        <v>0</v>
      </c>
      <c r="F631" s="17">
        <f>IF('Components Yr 1'!F631=0,0,'Components Yr 1'!F631)</f>
        <v>0</v>
      </c>
      <c r="G631" s="17">
        <f>IF('Components Yr 1'!G631=0,0,'Components Yr 1'!G631)</f>
        <v>0</v>
      </c>
      <c r="H631" s="17">
        <f>IF('Components Yr 1'!H631=0,0,'Components Yr 1'!H631)</f>
        <v>0</v>
      </c>
      <c r="I631" s="17">
        <f>IF('Components Yr 1'!I631=0,0,'Components Yr 1'!I631)</f>
        <v>0</v>
      </c>
      <c r="J631" s="17">
        <f>IF('Components Yr 1'!J631=0,0,'Components Yr 1'!J631)</f>
        <v>0</v>
      </c>
      <c r="K631" s="17">
        <f>IF('Components Yr 1'!K631=0,0,'Components Yr 1'!K631)</f>
        <v>0</v>
      </c>
      <c r="L631" s="17">
        <f>IF('Components Yr 1'!L631=0,0,'Components Yr 1'!L631)</f>
        <v>0</v>
      </c>
      <c r="M631" s="12"/>
      <c r="N631" s="12"/>
      <c r="O631" s="17">
        <f>IF('Components Yr 1'!O631=0,0,'Components Yr 1'!O631)</f>
        <v>0</v>
      </c>
      <c r="P631" s="12"/>
      <c r="Q631" s="17"/>
      <c r="R631" s="18">
        <f>IF(SUMPRODUCT((E631:Q631)*1)=0,0,E631*INDEX(Hours!M:M,MATCH(C631,Hours!$A:$A,0))+F631*INDEX(Hours!B:B,MATCH(C631,Hours!$A:$A,0))+G631*INDEX(Hours!C:C,MATCH(C631,Hours!$A:$A,0))+H631*INDEX(Hours!D:D,MATCH(C631,Hours!$A:$A,0))+I631*INDEX(Hours!E:E,MATCH(C631,Hours!$A:$A,0))+J631*INDEX(Hours!F:F,MATCH(C631,Hours!$A:$A,0))+K631*INDEX(Hours!G:G,MATCH(C631,Hours!$A:$A,0))+L631*INDEX(Hours!H:H,MATCH(C631,Hours!$A:$A,0))+O631*INDEX(Hours!K:K,MATCH(C631,Hours!$A:$A,0)))</f>
        <v>0</v>
      </c>
      <c r="S631" s="19">
        <f t="shared" si="19"/>
        <v>0</v>
      </c>
    </row>
    <row r="632" spans="1:19" x14ac:dyDescent="0.25">
      <c r="A632" s="15" t="str">
        <f>'Bldgs &amp; Rooms'!$A$19</f>
        <v>Main Bldg.</v>
      </c>
      <c r="B632" s="15">
        <f>'Bldgs &amp; Rooms'!$B$19</f>
        <v>0</v>
      </c>
      <c r="C632" s="14" t="str">
        <f>Hours!$A$3</f>
        <v xml:space="preserve">  Switchgear Insulated Case Breakers (Bus Mounted)</v>
      </c>
      <c r="D632" s="15">
        <f t="shared" si="18"/>
        <v>0</v>
      </c>
      <c r="E632" s="16">
        <f>IF('Components Yr 1'!E632=0,0,'Components Yr 1'!E632)</f>
        <v>0</v>
      </c>
      <c r="F632" s="17">
        <f>IF('Components Yr 1'!F632=0,0,'Components Yr 1'!F632)</f>
        <v>0</v>
      </c>
      <c r="G632" s="17">
        <f>IF('Components Yr 1'!G632=0,0,'Components Yr 1'!G632)</f>
        <v>0</v>
      </c>
      <c r="H632" s="17">
        <f>IF('Components Yr 1'!H632=0,0,'Components Yr 1'!H632)</f>
        <v>0</v>
      </c>
      <c r="I632" s="17">
        <f>IF('Components Yr 1'!I632=0,0,'Components Yr 1'!I632)</f>
        <v>0</v>
      </c>
      <c r="J632" s="17">
        <f>IF('Components Yr 1'!J632=0,0,'Components Yr 1'!J632)</f>
        <v>0</v>
      </c>
      <c r="K632" s="17">
        <f>IF('Components Yr 1'!K632=0,0,'Components Yr 1'!K632)</f>
        <v>0</v>
      </c>
      <c r="L632" s="12"/>
      <c r="M632" s="12"/>
      <c r="N632" s="12"/>
      <c r="O632" s="12"/>
      <c r="P632" s="12"/>
      <c r="Q632" s="17"/>
      <c r="R632" s="18">
        <f>IF(SUMPRODUCT((E632:Q632)*1)=0,0,E632*INDEX(Hours!M:M,MATCH(C632,Hours!$A:$A,0))+F632*INDEX(Hours!B:B,MATCH(C632,Hours!$A:$A,0))+G632*INDEX(Hours!C:C,MATCH(C632,Hours!$A:$A,0))+H632*INDEX(Hours!D:D,MATCH(C632,Hours!$A:$A,0))+I632*INDEX(Hours!E:E,MATCH(C632,Hours!$A:$A,0))+J632*INDEX(Hours!F:F,MATCH(C632,Hours!$A:$A,0))+K632*INDEX(Hours!G:G,MATCH(C632,Hours!$A:$A,0)))</f>
        <v>0</v>
      </c>
      <c r="S632" s="19">
        <f t="shared" si="19"/>
        <v>0</v>
      </c>
    </row>
    <row r="633" spans="1:19" x14ac:dyDescent="0.25">
      <c r="A633" s="15" t="str">
        <f>'Bldgs &amp; Rooms'!$A$19</f>
        <v>Main Bldg.</v>
      </c>
      <c r="B633" s="15">
        <f>'Bldgs &amp; Rooms'!$B$19</f>
        <v>0</v>
      </c>
      <c r="C633" s="14" t="str">
        <f>Hours!$A$4</f>
        <v xml:space="preserve">  SwitchGear Drawout Breakers</v>
      </c>
      <c r="D633" s="15">
        <f t="shared" si="18"/>
        <v>0</v>
      </c>
      <c r="E633" s="16">
        <f>IF('Components Yr 1'!E633=0,0,'Components Yr 1'!E633)</f>
        <v>0</v>
      </c>
      <c r="F633" s="17">
        <f>IF('Components Yr 1'!F633=0,0,'Components Yr 1'!F633)</f>
        <v>0</v>
      </c>
      <c r="G633" s="17">
        <f>IF('Components Yr 1'!G633=0,0,'Components Yr 1'!G633)</f>
        <v>0</v>
      </c>
      <c r="H633" s="17">
        <f>IF('Components Yr 1'!H633=0,0,'Components Yr 1'!H633)</f>
        <v>0</v>
      </c>
      <c r="I633" s="17">
        <f>IF('Components Yr 1'!I633=0,0,'Components Yr 1'!I633)</f>
        <v>0</v>
      </c>
      <c r="J633" s="17">
        <f>IF('Components Yr 1'!J633=0,0,'Components Yr 1'!J633)</f>
        <v>0</v>
      </c>
      <c r="K633" s="12"/>
      <c r="L633" s="17">
        <f>IF('Components Yr 1'!L633=0,0,'Components Yr 1'!L633)</f>
        <v>0</v>
      </c>
      <c r="M633" s="12"/>
      <c r="N633" s="12"/>
      <c r="O633" s="12"/>
      <c r="P633" s="12"/>
      <c r="Q633" s="17"/>
      <c r="R633" s="18">
        <f>IF(SUMPRODUCT((E633:Q633)*1)=0,0,E633*INDEX(Hours!M:M,MATCH(C633,Hours!$A:$A,0))+F633*INDEX(Hours!B:B,MATCH(C633,Hours!$A:$A,0))+G633*INDEX(Hours!C:C,MATCH(C633,Hours!$A:$A,0))+H633*INDEX(Hours!D:D,MATCH(C633,Hours!$A:$A,0))+I633*INDEX(Hours!E:E,MATCH(C633,Hours!$A:$A,0))+J633*INDEX(Hours!F:F,MATCH(C633,Hours!$A:$A,0))+L633*INDEX(Hours!H:H,MATCH(C633,Hours!$A:$A,0)))</f>
        <v>0</v>
      </c>
      <c r="S633" s="19">
        <f t="shared" si="19"/>
        <v>0</v>
      </c>
    </row>
    <row r="634" spans="1:19" x14ac:dyDescent="0.25">
      <c r="A634" s="15" t="str">
        <f>'Bldgs &amp; Rooms'!$A$19</f>
        <v>Main Bldg.</v>
      </c>
      <c r="B634" s="15">
        <f>'Bldgs &amp; Rooms'!$B$19</f>
        <v>0</v>
      </c>
      <c r="C634" s="14" t="str">
        <f>Hours!$A$5</f>
        <v>Distribution Switchboard Multi Cover (Per Section)</v>
      </c>
      <c r="D634" s="15">
        <f t="shared" si="18"/>
        <v>0</v>
      </c>
      <c r="E634" s="16">
        <f>IF('Components Yr 1'!E634=0,0,'Components Yr 1'!E634)</f>
        <v>0</v>
      </c>
      <c r="F634" s="17">
        <f>IF('Components Yr 1'!F634=0,0,'Components Yr 1'!F634)</f>
        <v>0</v>
      </c>
      <c r="G634" s="17">
        <f>IF('Components Yr 1'!G634=0,0,'Components Yr 1'!G634)</f>
        <v>0</v>
      </c>
      <c r="H634" s="17">
        <f>IF('Components Yr 1'!H634=0,0,'Components Yr 1'!H634)</f>
        <v>0</v>
      </c>
      <c r="I634" s="17">
        <f>IF('Components Yr 1'!I634=0,0,'Components Yr 1'!I634)</f>
        <v>0</v>
      </c>
      <c r="J634" s="17">
        <f>IF('Components Yr 1'!J634=0,0,'Components Yr 1'!J634)</f>
        <v>0</v>
      </c>
      <c r="K634" s="17">
        <f>IF('Components Yr 1'!K634=0,0,'Components Yr 1'!K634)</f>
        <v>0</v>
      </c>
      <c r="L634" s="12"/>
      <c r="M634" s="12"/>
      <c r="N634" s="12"/>
      <c r="O634" s="17">
        <f>IF('Components Yr 1'!O634=0,0,'Components Yr 1'!O634)</f>
        <v>0</v>
      </c>
      <c r="P634" s="12"/>
      <c r="Q634" s="17"/>
      <c r="R634" s="18">
        <f>IF(SUMPRODUCT((E634:Q634)*1)=0,0,E634*INDEX(Hours!M:M,MATCH(C634,Hours!$A:$A,0))+F634*INDEX(Hours!B:B,MATCH(C634,Hours!$A:$A,0))+G634*INDEX(Hours!C:C,MATCH(C634,Hours!$A:$A,0))+H634*INDEX(Hours!D:D,MATCH(C634,Hours!$A:$A,0))+I634*INDEX(Hours!E:E,MATCH(C634,Hours!$A:$A,0))+J634*INDEX(Hours!F:F,MATCH(C634,Hours!$A:$A,0))+K634*INDEX(Hours!G:G,MATCH(C634,Hours!$A:$A,0))+O634*INDEX(Hours!K:K,MATCH(C634,Hours!$A:$A,0)))</f>
        <v>0</v>
      </c>
      <c r="S634" s="19">
        <f t="shared" si="19"/>
        <v>0</v>
      </c>
    </row>
    <row r="635" spans="1:19" x14ac:dyDescent="0.25">
      <c r="A635" s="15" t="str">
        <f>'Bldgs &amp; Rooms'!$A$19</f>
        <v>Main Bldg.</v>
      </c>
      <c r="B635" s="15">
        <f>'Bldgs &amp; Rooms'!$B$19</f>
        <v>0</v>
      </c>
      <c r="C635" s="14" t="str">
        <f>Hours!$A$6</f>
        <v xml:space="preserve">  Switchboard Disconnects</v>
      </c>
      <c r="D635" s="15">
        <f t="shared" si="18"/>
        <v>0</v>
      </c>
      <c r="E635" s="16">
        <f>IF('Components Yr 1'!E635=0,0,'Components Yr 1'!E635)</f>
        <v>0</v>
      </c>
      <c r="F635" s="17">
        <f>IF('Components Yr 1'!F635=0,0,'Components Yr 1'!F635)</f>
        <v>0</v>
      </c>
      <c r="G635" s="17">
        <f>IF('Components Yr 1'!G635=0,0,'Components Yr 1'!G635)</f>
        <v>0</v>
      </c>
      <c r="H635" s="17">
        <f>IF('Components Yr 1'!H635=0,0,'Components Yr 1'!H635)</f>
        <v>0</v>
      </c>
      <c r="I635" s="17">
        <f>IF('Components Yr 1'!I635=0,0,'Components Yr 1'!I635)</f>
        <v>0</v>
      </c>
      <c r="J635" s="17">
        <f>IF('Components Yr 1'!J635=0,0,'Components Yr 1'!J635)</f>
        <v>0</v>
      </c>
      <c r="K635" s="12"/>
      <c r="L635" s="12"/>
      <c r="M635" s="12"/>
      <c r="N635" s="12"/>
      <c r="O635" s="12"/>
      <c r="P635" s="12"/>
      <c r="Q635" s="17"/>
      <c r="R635" s="18">
        <f>IF(SUMPRODUCT((E635:Q635)*1)=0,0,E635*INDEX(Hours!M:M,MATCH(C635,Hours!$A:$A,0))+F635*INDEX(Hours!B:B,MATCH(C635,Hours!$A:$A,0))+G635*INDEX(Hours!C:C,MATCH(C635,Hours!$A:$A,0))+H635*INDEX(Hours!D:D,MATCH(C635,Hours!$A:$A,0))+I635*INDEX(Hours!E:E,MATCH(C635,Hours!$A:$A,0))+J635*INDEX(Hours!F:F,MATCH(C635,Hours!$A:$A,0)))</f>
        <v>0</v>
      </c>
      <c r="S635" s="19">
        <f t="shared" si="19"/>
        <v>0</v>
      </c>
    </row>
    <row r="636" spans="1:19" x14ac:dyDescent="0.25">
      <c r="A636" s="15" t="str">
        <f>'Bldgs &amp; Rooms'!$A$19</f>
        <v>Main Bldg.</v>
      </c>
      <c r="B636" s="15">
        <f>'Bldgs &amp; Rooms'!$B$19</f>
        <v>0</v>
      </c>
      <c r="C636" s="14" t="str">
        <f>Hours!$A$7</f>
        <v xml:space="preserve">  Switchboard Molded Case Breakers</v>
      </c>
      <c r="D636" s="15">
        <f t="shared" si="18"/>
        <v>0</v>
      </c>
      <c r="E636" s="16">
        <f>IF('Components Yr 1'!E636=0,0,'Components Yr 1'!E636)</f>
        <v>0</v>
      </c>
      <c r="F636" s="17">
        <f>IF('Components Yr 1'!F636=0,0,'Components Yr 1'!F636)</f>
        <v>0</v>
      </c>
      <c r="G636" s="17">
        <f>IF('Components Yr 1'!G636=0,0,'Components Yr 1'!G636)</f>
        <v>0</v>
      </c>
      <c r="H636" s="17">
        <f>IF('Components Yr 1'!H636=0,0,'Components Yr 1'!H636)</f>
        <v>0</v>
      </c>
      <c r="I636" s="17">
        <f>IF('Components Yr 1'!I636=0,0,'Components Yr 1'!I636)</f>
        <v>0</v>
      </c>
      <c r="J636" s="17">
        <f>IF('Components Yr 1'!J636=0,0,'Components Yr 1'!J636)</f>
        <v>0</v>
      </c>
      <c r="K636" s="17">
        <f>IF('Components Yr 1'!K636=0,0,'Components Yr 1'!K636)</f>
        <v>0</v>
      </c>
      <c r="L636" s="12"/>
      <c r="M636" s="12"/>
      <c r="N636" s="12"/>
      <c r="O636" s="12"/>
      <c r="P636" s="12"/>
      <c r="Q636" s="17"/>
      <c r="R636" s="18">
        <f>IF(SUMPRODUCT((E636:Q636)*1)=0,0,E636*INDEX(Hours!M:M,MATCH(C636,Hours!$A:$A,0))+F636*INDEX(Hours!B:B,MATCH(C636,Hours!$A:$A,0))+G636*INDEX(Hours!C:C,MATCH(C636,Hours!$A:$A,0))+H636*INDEX(Hours!D:D,MATCH(C636,Hours!$A:$A,0))+I636*INDEX(Hours!E:E,MATCH(C636,Hours!$A:$A,0))+J636*INDEX(Hours!F:F,MATCH(C636,Hours!$A:$A,0))+K636*INDEX(Hours!G:G,MATCH(C636,Hours!$A:$A,0)))</f>
        <v>0</v>
      </c>
      <c r="S636" s="19">
        <f t="shared" si="19"/>
        <v>0</v>
      </c>
    </row>
    <row r="637" spans="1:19" x14ac:dyDescent="0.25">
      <c r="A637" s="15" t="str">
        <f>'Bldgs &amp; Rooms'!$A$19</f>
        <v>Main Bldg.</v>
      </c>
      <c r="B637" s="15">
        <f>'Bldgs &amp; Rooms'!$B$19</f>
        <v>0</v>
      </c>
      <c r="C637" s="14" t="str">
        <f>Hours!$A$8</f>
        <v>Panelboard-Single Cover &gt; 400A (Distribution Panel)</v>
      </c>
      <c r="D637" s="15">
        <f t="shared" si="18"/>
        <v>0</v>
      </c>
      <c r="E637" s="16">
        <f>IF('Components Yr 1'!E637=0,0,'Components Yr 1'!E637)</f>
        <v>0</v>
      </c>
      <c r="F637" s="17">
        <f>IF('Components Yr 1'!F637=0,0,'Components Yr 1'!F637)</f>
        <v>0</v>
      </c>
      <c r="G637" s="17">
        <f>IF('Components Yr 1'!G637=0,0,'Components Yr 1'!G637)</f>
        <v>0</v>
      </c>
      <c r="H637" s="17">
        <f>IF('Components Yr 1'!H637=0,0,'Components Yr 1'!H637)</f>
        <v>0</v>
      </c>
      <c r="I637" s="17">
        <f>IF('Components Yr 1'!I637=0,0,'Components Yr 1'!I637)</f>
        <v>0</v>
      </c>
      <c r="J637" s="17">
        <f>IF('Components Yr 1'!J637=0,0,'Components Yr 1'!J637)</f>
        <v>0</v>
      </c>
      <c r="K637" s="17">
        <f>IF('Components Yr 1'!K637=0,0,'Components Yr 1'!K637)</f>
        <v>0</v>
      </c>
      <c r="L637" s="12"/>
      <c r="M637" s="12"/>
      <c r="N637" s="12"/>
      <c r="O637" s="17">
        <f>IF('Components Yr 1'!O637=0,0,'Components Yr 1'!O637)</f>
        <v>0</v>
      </c>
      <c r="P637" s="12"/>
      <c r="Q637" s="17"/>
      <c r="R637" s="18">
        <f>IF(SUMPRODUCT((E637:Q637)*1)=0,0,E637*INDEX(Hours!M:M,MATCH(C637,Hours!$A:$A,0))+F637*INDEX(Hours!B:B,MATCH(C637,Hours!$A:$A,0))+G637*INDEX(Hours!C:C,MATCH(C637,Hours!$A:$A,0))+H637*INDEX(Hours!D:D,MATCH(C637,Hours!$A:$A,0))+I637*INDEX(Hours!E:E,MATCH(C637,Hours!$A:$A,0))+J637*INDEX(Hours!F:F,MATCH(C637,Hours!$A:$A,0))+K637*INDEX(Hours!G:G,MATCH(C637,Hours!$A:$A,0))+O637*INDEX(Hours!K:K,MATCH(C637,Hours!$A:$A,0)))</f>
        <v>0</v>
      </c>
      <c r="S637" s="19">
        <f t="shared" si="19"/>
        <v>0</v>
      </c>
    </row>
    <row r="638" spans="1:19" x14ac:dyDescent="0.25">
      <c r="A638" s="15" t="str">
        <f>'Bldgs &amp; Rooms'!$A$19</f>
        <v>Main Bldg.</v>
      </c>
      <c r="B638" s="15">
        <f>'Bldgs &amp; Rooms'!$B$19</f>
        <v>0</v>
      </c>
      <c r="C638" s="14" t="str">
        <f>Hours!$A$9</f>
        <v>Panelboard-Single Cover &lt; 400A (Branch Ckt Panel)</v>
      </c>
      <c r="D638" s="15">
        <f t="shared" si="18"/>
        <v>0</v>
      </c>
      <c r="E638" s="16">
        <f>IF('Components Yr 1'!E638=0,0,'Components Yr 1'!E638)</f>
        <v>0</v>
      </c>
      <c r="F638" s="17">
        <f>IF('Components Yr 1'!F638=0,0,'Components Yr 1'!F638)</f>
        <v>0</v>
      </c>
      <c r="G638" s="17">
        <f>IF('Components Yr 1'!G638=0,0,'Components Yr 1'!G638)</f>
        <v>0</v>
      </c>
      <c r="H638" s="17">
        <f>IF('Components Yr 1'!H638=0,0,'Components Yr 1'!H638)</f>
        <v>0</v>
      </c>
      <c r="I638" s="17">
        <f>IF('Components Yr 1'!I638=0,0,'Components Yr 1'!I638)</f>
        <v>0</v>
      </c>
      <c r="J638" s="17">
        <f>IF('Components Yr 1'!J638=0,0,'Components Yr 1'!J638)</f>
        <v>0</v>
      </c>
      <c r="K638" s="12"/>
      <c r="L638" s="12"/>
      <c r="M638" s="12"/>
      <c r="N638" s="12"/>
      <c r="O638" s="17">
        <f>IF('Components Yr 1'!O638=0,0,'Components Yr 1'!O638)</f>
        <v>0</v>
      </c>
      <c r="P638" s="12"/>
      <c r="Q638" s="17"/>
      <c r="R638" s="18">
        <f>IF(SUMPRODUCT((E638:Q638)*1)=0,0,E638*INDEX(Hours!M:M,MATCH(C638,Hours!$A:$A,0))+F638*INDEX(Hours!B:B,MATCH(C638,Hours!$A:$A,0))+G638*INDEX(Hours!C:C,MATCH(C638,Hours!$A:$A,0))+H638*INDEX(Hours!D:D,MATCH(C638,Hours!$A:$A,0))+I638*INDEX(Hours!E:E,MATCH(C638,Hours!$A:$A,0))+J638*INDEX(Hours!F:F,MATCH(C638,Hours!$A:$A,0))+O638*INDEX(Hours!K:K,MATCH(C638,Hours!$A:$A,0)))</f>
        <v>0</v>
      </c>
      <c r="S638" s="19">
        <f t="shared" si="19"/>
        <v>0</v>
      </c>
    </row>
    <row r="639" spans="1:19" x14ac:dyDescent="0.25">
      <c r="A639" s="15" t="str">
        <f>'Bldgs &amp; Rooms'!$A$19</f>
        <v>Main Bldg.</v>
      </c>
      <c r="B639" s="15">
        <f>'Bldgs &amp; Rooms'!$B$19</f>
        <v>0</v>
      </c>
      <c r="C639" s="14" t="str">
        <f>Hours!$A$10</f>
        <v>Motor Control Center (MCC-Per Vertical Section)</v>
      </c>
      <c r="D639" s="15">
        <f t="shared" si="18"/>
        <v>0</v>
      </c>
      <c r="E639" s="16">
        <f>IF('Components Yr 1'!E639=0,0,'Components Yr 1'!E639)</f>
        <v>0</v>
      </c>
      <c r="F639" s="17">
        <f>IF('Components Yr 1'!F639=0,0,'Components Yr 1'!F639)</f>
        <v>0</v>
      </c>
      <c r="G639" s="17">
        <f>IF('Components Yr 1'!G639=0,0,'Components Yr 1'!G639)</f>
        <v>0</v>
      </c>
      <c r="H639" s="17">
        <f>IF('Components Yr 1'!H639=0,0,'Components Yr 1'!H639)</f>
        <v>0</v>
      </c>
      <c r="I639" s="17">
        <f>IF('Components Yr 1'!I639=0,0,'Components Yr 1'!I639)</f>
        <v>0</v>
      </c>
      <c r="J639" s="17">
        <f>IF('Components Yr 1'!J639=0,0,'Components Yr 1'!J639)</f>
        <v>0</v>
      </c>
      <c r="K639" s="12"/>
      <c r="L639" s="12"/>
      <c r="M639" s="12"/>
      <c r="N639" s="12"/>
      <c r="O639" s="17">
        <f>IF('Components Yr 1'!O639=0,0,'Components Yr 1'!O639)</f>
        <v>0</v>
      </c>
      <c r="P639" s="12"/>
      <c r="Q639" s="17"/>
      <c r="R639" s="18">
        <f>IF(SUMPRODUCT((E639:Q639)*1)=0,0,E639*INDEX(Hours!M:M,MATCH(C639,Hours!$A:$A,0))+F639*INDEX(Hours!B:B,MATCH(C639,Hours!$A:$A,0))+G639*INDEX(Hours!C:C,MATCH(C639,Hours!$A:$A,0))+H639*INDEX(Hours!D:D,MATCH(C639,Hours!$A:$A,0))+I639*INDEX(Hours!E:E,MATCH(C639,Hours!$A:$A,0))+J639*INDEX(Hours!F:F,MATCH(C639,Hours!$A:$A,0))+O639*INDEX(Hours!K:K,MATCH(C639,Hours!$A:$A,0)))</f>
        <v>0</v>
      </c>
      <c r="S639" s="19">
        <f t="shared" si="19"/>
        <v>0</v>
      </c>
    </row>
    <row r="640" spans="1:19" x14ac:dyDescent="0.25">
      <c r="A640" s="15" t="str">
        <f>'Bldgs &amp; Rooms'!$A$19</f>
        <v>Main Bldg.</v>
      </c>
      <c r="B640" s="15">
        <f>'Bldgs &amp; Rooms'!$B$19</f>
        <v>0</v>
      </c>
      <c r="C640" s="14" t="str">
        <f>Hours!$A$11</f>
        <v xml:space="preserve">  MCC: Combination Motor Starters</v>
      </c>
      <c r="D640" s="15">
        <f t="shared" si="18"/>
        <v>0</v>
      </c>
      <c r="E640" s="16">
        <f>IF('Components Yr 1'!E640=0,0,'Components Yr 1'!E640)</f>
        <v>0</v>
      </c>
      <c r="F640" s="17">
        <f>IF('Components Yr 1'!F640=0,0,'Components Yr 1'!F640)</f>
        <v>0</v>
      </c>
      <c r="G640" s="17">
        <f>IF('Components Yr 1'!G640=0,0,'Components Yr 1'!G640)</f>
        <v>0</v>
      </c>
      <c r="H640" s="17">
        <f>IF('Components Yr 1'!H640=0,0,'Components Yr 1'!H640)</f>
        <v>0</v>
      </c>
      <c r="I640" s="17">
        <f>IF('Components Yr 1'!I640=0,0,'Components Yr 1'!I640)</f>
        <v>0</v>
      </c>
      <c r="J640" s="17">
        <f>IF('Components Yr 1'!J640=0,0,'Components Yr 1'!J640)</f>
        <v>0</v>
      </c>
      <c r="K640" s="17">
        <f>IF('Components Yr 1'!K640=0,0,'Components Yr 1'!K640)</f>
        <v>0</v>
      </c>
      <c r="L640" s="12"/>
      <c r="M640" s="12"/>
      <c r="N640" s="12"/>
      <c r="O640" s="17">
        <f>IF('Components Yr 1'!O640=0,0,'Components Yr 1'!O640)</f>
        <v>0</v>
      </c>
      <c r="P640" s="12"/>
      <c r="Q640" s="17"/>
      <c r="R640" s="18">
        <f>IF(SUMPRODUCT((E640:Q640)*1)=0,0,E640*INDEX(Hours!M:M,MATCH(C640,Hours!$A:$A,0))+F640*INDEX(Hours!B:B,MATCH(C640,Hours!$A:$A,0))+G640*INDEX(Hours!C:C,MATCH(C640,Hours!$A:$A,0))+H640*INDEX(Hours!D:D,MATCH(C640,Hours!$A:$A,0))+I640*INDEX(Hours!E:E,MATCH(C640,Hours!$A:$A,0))+J640*INDEX(Hours!F:F,MATCH(C640,Hours!$A:$A,0))+K640*INDEX(Hours!G:G,MATCH(C640,Hours!$A:$A,0))+O640*INDEX(Hours!K:K,MATCH(C640,Hours!$A:$A,0)))</f>
        <v>0</v>
      </c>
      <c r="S640" s="19">
        <f t="shared" si="19"/>
        <v>0</v>
      </c>
    </row>
    <row r="641" spans="1:19" x14ac:dyDescent="0.25">
      <c r="A641" s="15" t="str">
        <f>'Bldgs &amp; Rooms'!$A$19</f>
        <v>Main Bldg.</v>
      </c>
      <c r="B641" s="15">
        <f>'Bldgs &amp; Rooms'!$B$19</f>
        <v>0</v>
      </c>
      <c r="C641" s="14" t="str">
        <f>Hours!$A$12</f>
        <v xml:space="preserve">  MCC: Molded Case Breaker</v>
      </c>
      <c r="D641" s="15">
        <f t="shared" si="18"/>
        <v>0</v>
      </c>
      <c r="E641" s="16">
        <f>IF('Components Yr 1'!E641=0,0,'Components Yr 1'!E641)</f>
        <v>0</v>
      </c>
      <c r="F641" s="17">
        <f>IF('Components Yr 1'!F641=0,0,'Components Yr 1'!F641)</f>
        <v>0</v>
      </c>
      <c r="G641" s="17">
        <f>IF('Components Yr 1'!G641=0,0,'Components Yr 1'!G641)</f>
        <v>0</v>
      </c>
      <c r="H641" s="17">
        <f>IF('Components Yr 1'!H641=0,0,'Components Yr 1'!H641)</f>
        <v>0</v>
      </c>
      <c r="I641" s="17">
        <f>IF('Components Yr 1'!I641=0,0,'Components Yr 1'!I641)</f>
        <v>0</v>
      </c>
      <c r="J641" s="17">
        <f>IF('Components Yr 1'!J641=0,0,'Components Yr 1'!J641)</f>
        <v>0</v>
      </c>
      <c r="K641" s="17">
        <f>IF('Components Yr 1'!K641=0,0,'Components Yr 1'!K641)</f>
        <v>0</v>
      </c>
      <c r="L641" s="12"/>
      <c r="M641" s="12"/>
      <c r="N641" s="12"/>
      <c r="O641" s="12"/>
      <c r="P641" s="12"/>
      <c r="Q641" s="17"/>
      <c r="R641" s="18">
        <f>IF(SUMPRODUCT((E641:Q641)*1)=0,0,E641*INDEX(Hours!M:M,MATCH(C641,Hours!$A:$A,0))+F641*INDEX(Hours!B:B,MATCH(C641,Hours!$A:$A,0))+G641*INDEX(Hours!C:C,MATCH(C641,Hours!$A:$A,0))+H641*INDEX(Hours!D:D,MATCH(C641,Hours!$A:$A,0))+I641*INDEX(Hours!E:E,MATCH(C641,Hours!$A:$A,0))+J641*INDEX(Hours!F:F,MATCH(C641,Hours!$A:$A,0))+K641*INDEX(Hours!G:G,MATCH(C641,Hours!$A:$A,0)))</f>
        <v>0</v>
      </c>
      <c r="S641" s="19">
        <f t="shared" si="19"/>
        <v>0</v>
      </c>
    </row>
    <row r="642" spans="1:19" x14ac:dyDescent="0.25">
      <c r="A642" s="15" t="str">
        <f>'Bldgs &amp; Rooms'!$A$19</f>
        <v>Main Bldg.</v>
      </c>
      <c r="B642" s="15">
        <f>'Bldgs &amp; Rooms'!$B$19</f>
        <v>0</v>
      </c>
      <c r="C642" s="14" t="str">
        <f>Hours!$A$13</f>
        <v xml:space="preserve">  MCC: Individual Disconnect Switch</v>
      </c>
      <c r="D642" s="15">
        <f t="shared" ref="D642:D705" si="20">MAX(E642+F642,G642,H642,I642,J642,K642,L642,M642,N642,O642,P642,Q642)</f>
        <v>0</v>
      </c>
      <c r="E642" s="16">
        <f>IF('Components Yr 1'!E642=0,0,'Components Yr 1'!E642)</f>
        <v>0</v>
      </c>
      <c r="F642" s="17">
        <f>IF('Components Yr 1'!F642=0,0,'Components Yr 1'!F642)</f>
        <v>0</v>
      </c>
      <c r="G642" s="17">
        <f>IF('Components Yr 1'!G642=0,0,'Components Yr 1'!G642)</f>
        <v>0</v>
      </c>
      <c r="H642" s="17">
        <f>IF('Components Yr 1'!H642=0,0,'Components Yr 1'!H642)</f>
        <v>0</v>
      </c>
      <c r="I642" s="17">
        <f>IF('Components Yr 1'!I642=0,0,'Components Yr 1'!I642)</f>
        <v>0</v>
      </c>
      <c r="J642" s="17">
        <f>IF('Components Yr 1'!J642=0,0,'Components Yr 1'!J642)</f>
        <v>0</v>
      </c>
      <c r="K642" s="12"/>
      <c r="L642" s="12"/>
      <c r="M642" s="12"/>
      <c r="N642" s="12"/>
      <c r="O642" s="12"/>
      <c r="P642" s="12"/>
      <c r="Q642" s="17"/>
      <c r="R642" s="18">
        <f>IF(SUMPRODUCT((E642:Q642)*1)=0,0,E642*INDEX(Hours!M:M,MATCH(C642,Hours!$A:$A,0))+F642*INDEX(Hours!B:B,MATCH(C642,Hours!$A:$A,0))+G642*INDEX(Hours!C:C,MATCH(C642,Hours!$A:$A,0))+H642*INDEX(Hours!D:D,MATCH(C642,Hours!$A:$A,0))+I642*INDEX(Hours!E:E,MATCH(C642,Hours!$A:$A,0))+J642*INDEX(Hours!F:F,MATCH(C642,Hours!$A:$A,0)))</f>
        <v>0</v>
      </c>
      <c r="S642" s="19">
        <f t="shared" ref="S642:S705" si="21">MAX(E642+F642,G642,H642,I642,J642,K642,L642,M642,N642,O642,P642,Q642)</f>
        <v>0</v>
      </c>
    </row>
    <row r="643" spans="1:19" x14ac:dyDescent="0.25">
      <c r="A643" s="15" t="str">
        <f>'Bldgs &amp; Rooms'!$A$19</f>
        <v>Main Bldg.</v>
      </c>
      <c r="B643" s="15">
        <f>'Bldgs &amp; Rooms'!$B$19</f>
        <v>0</v>
      </c>
      <c r="C643" s="14" t="str">
        <f>Hours!$A$14</f>
        <v>Motor Control Panel (MCP)</v>
      </c>
      <c r="D643" s="15">
        <f t="shared" si="20"/>
        <v>0</v>
      </c>
      <c r="E643" s="16">
        <f>IF('Components Yr 1'!E643=0,0,'Components Yr 1'!E643)</f>
        <v>0</v>
      </c>
      <c r="F643" s="17">
        <f>IF('Components Yr 1'!F643=0,0,'Components Yr 1'!F643)</f>
        <v>0</v>
      </c>
      <c r="G643" s="17">
        <f>IF('Components Yr 1'!G643=0,0,'Components Yr 1'!G643)</f>
        <v>0</v>
      </c>
      <c r="H643" s="17">
        <f>IF('Components Yr 1'!H643=0,0,'Components Yr 1'!H643)</f>
        <v>0</v>
      </c>
      <c r="I643" s="17">
        <f>IF('Components Yr 1'!I643=0,0,'Components Yr 1'!I643)</f>
        <v>0</v>
      </c>
      <c r="J643" s="17">
        <f>IF('Components Yr 1'!J643=0,0,'Components Yr 1'!J643)</f>
        <v>0</v>
      </c>
      <c r="K643" s="12"/>
      <c r="L643" s="12"/>
      <c r="M643" s="12"/>
      <c r="N643" s="12"/>
      <c r="O643" s="17">
        <f>IF('Components Yr 1'!O643=0,0,'Components Yr 1'!O643)</f>
        <v>0</v>
      </c>
      <c r="P643" s="12"/>
      <c r="Q643" s="17"/>
      <c r="R643" s="18">
        <f>IF(SUMPRODUCT((E643:Q643)*1)=0,0,E643*INDEX(Hours!M:M,MATCH(C643,Hours!$A:$A,0))+F643*INDEX(Hours!B:B,MATCH(C643,Hours!$A:$A,0))+G643*INDEX(Hours!C:C,MATCH(C643,Hours!$A:$A,0))+H643*INDEX(Hours!D:D,MATCH(C643,Hours!$A:$A,0))+I643*INDEX(Hours!E:E,MATCH(C643,Hours!$A:$A,0))+J643*INDEX(Hours!F:F,MATCH(C643,Hours!$A:$A,0))+O643*INDEX(Hours!K:K,MATCH(C643,Hours!$A:$A,0)))</f>
        <v>0</v>
      </c>
      <c r="S643" s="19">
        <f t="shared" si="21"/>
        <v>0</v>
      </c>
    </row>
    <row r="644" spans="1:19" x14ac:dyDescent="0.25">
      <c r="A644" s="15" t="str">
        <f>'Bldgs &amp; Rooms'!$A$19</f>
        <v>Main Bldg.</v>
      </c>
      <c r="B644" s="15">
        <f>'Bldgs &amp; Rooms'!$B$19</f>
        <v>0</v>
      </c>
      <c r="C644" s="14" t="str">
        <f>Hours!$A$15</f>
        <v>VFD Motor Control Panel (VFD-MCP)</v>
      </c>
      <c r="D644" s="15">
        <f t="shared" si="20"/>
        <v>0</v>
      </c>
      <c r="E644" s="16">
        <f>IF('Components Yr 1'!E644=0,0,'Components Yr 1'!E644)</f>
        <v>0</v>
      </c>
      <c r="F644" s="17">
        <f>IF('Components Yr 1'!F644=0,0,'Components Yr 1'!F644)</f>
        <v>0</v>
      </c>
      <c r="G644" s="17">
        <f>IF('Components Yr 1'!G644=0,0,'Components Yr 1'!G644)</f>
        <v>0</v>
      </c>
      <c r="H644" s="17">
        <f>IF('Components Yr 1'!H644=0,0,'Components Yr 1'!H644)</f>
        <v>0</v>
      </c>
      <c r="I644" s="17">
        <f>IF('Components Yr 1'!I644=0,0,'Components Yr 1'!I644)</f>
        <v>0</v>
      </c>
      <c r="J644" s="17">
        <f>IF('Components Yr 1'!J644=0,0,'Components Yr 1'!J644)</f>
        <v>0</v>
      </c>
      <c r="K644" s="12"/>
      <c r="L644" s="12"/>
      <c r="M644" s="12"/>
      <c r="N644" s="12"/>
      <c r="O644" s="17">
        <f>IF('Components Yr 1'!O644=0,0,'Components Yr 1'!O644)</f>
        <v>0</v>
      </c>
      <c r="P644" s="12"/>
      <c r="Q644" s="17"/>
      <c r="R644" s="18">
        <f>IF(SUMPRODUCT((E644:Q644)*1)=0,0,E644*INDEX(Hours!M:M,MATCH(C644,Hours!$A:$A,0))+F644*INDEX(Hours!B:B,MATCH(C644,Hours!$A:$A,0))+G644*INDEX(Hours!C:C,MATCH(C644,Hours!$A:$A,0))+H644*INDEX(Hours!D:D,MATCH(C644,Hours!$A:$A,0))+I644*INDEX(Hours!E:E,MATCH(C644,Hours!$A:$A,0))+J644*INDEX(Hours!F:F,MATCH(C644,Hours!$A:$A,0))+O644*INDEX(Hours!K:K,MATCH(C644,Hours!$A:$A,0)))</f>
        <v>0</v>
      </c>
      <c r="S644" s="19">
        <f t="shared" si="21"/>
        <v>0</v>
      </c>
    </row>
    <row r="645" spans="1:19" x14ac:dyDescent="0.25">
      <c r="A645" s="15" t="str">
        <f>'Bldgs &amp; Rooms'!$A$19</f>
        <v>Main Bldg.</v>
      </c>
      <c r="B645" s="15">
        <f>'Bldgs &amp; Rooms'!$B$19</f>
        <v>0</v>
      </c>
      <c r="C645" s="14" t="str">
        <f>Hours!$A$16</f>
        <v>Individual Disconnect Switch &gt; 100A</v>
      </c>
      <c r="D645" s="15">
        <f t="shared" si="20"/>
        <v>0</v>
      </c>
      <c r="E645" s="16">
        <f>IF('Components Yr 1'!E645=0,0,'Components Yr 1'!E645)</f>
        <v>0</v>
      </c>
      <c r="F645" s="17">
        <f>IF('Components Yr 1'!F645=0,0,'Components Yr 1'!F645)</f>
        <v>0</v>
      </c>
      <c r="G645" s="17">
        <f>IF('Components Yr 1'!G645=0,0,'Components Yr 1'!G645)</f>
        <v>0</v>
      </c>
      <c r="H645" s="17">
        <f>IF('Components Yr 1'!H645=0,0,'Components Yr 1'!H645)</f>
        <v>0</v>
      </c>
      <c r="I645" s="17">
        <f>IF('Components Yr 1'!I645=0,0,'Components Yr 1'!I645)</f>
        <v>0</v>
      </c>
      <c r="J645" s="17">
        <f>IF('Components Yr 1'!J645=0,0,'Components Yr 1'!J645)</f>
        <v>0</v>
      </c>
      <c r="K645" s="17">
        <f>IF('Components Yr 1'!K645=0,0,'Components Yr 1'!K645)</f>
        <v>0</v>
      </c>
      <c r="L645" s="12"/>
      <c r="M645" s="12"/>
      <c r="N645" s="12"/>
      <c r="O645" s="12"/>
      <c r="P645" s="12"/>
      <c r="Q645" s="17"/>
      <c r="R645" s="18">
        <f>IF(SUMPRODUCT((E645:Q645)*1)=0,0,E645*INDEX(Hours!M:M,MATCH(C645,Hours!$A:$A,0))+F645*INDEX(Hours!B:B,MATCH(C645,Hours!$A:$A,0))+G645*INDEX(Hours!C:C,MATCH(C645,Hours!$A:$A,0))+H645*INDEX(Hours!D:D,MATCH(C645,Hours!$A:$A,0))+I645*INDEX(Hours!E:E,MATCH(C645,Hours!$A:$A,0))+J645*INDEX(Hours!F:F,MATCH(C645,Hours!$A:$A,0))+K645*INDEX(Hours!G:G,MATCH(C645,Hours!$A:$A,0)))</f>
        <v>0</v>
      </c>
      <c r="S645" s="19">
        <f t="shared" si="21"/>
        <v>0</v>
      </c>
    </row>
    <row r="646" spans="1:19" x14ac:dyDescent="0.25">
      <c r="A646" s="15" t="str">
        <f>'Bldgs &amp; Rooms'!$A$19</f>
        <v>Main Bldg.</v>
      </c>
      <c r="B646" s="15">
        <f>'Bldgs &amp; Rooms'!$B$19</f>
        <v>0</v>
      </c>
      <c r="C646" s="14" t="str">
        <f>Hours!$A$17</f>
        <v>Individual Molded Case Breaker &gt; 100A</v>
      </c>
      <c r="D646" s="15">
        <f t="shared" si="20"/>
        <v>0</v>
      </c>
      <c r="E646" s="16">
        <f>IF('Components Yr 1'!E646=0,0,'Components Yr 1'!E646)</f>
        <v>0</v>
      </c>
      <c r="F646" s="17">
        <f>IF('Components Yr 1'!F646=0,0,'Components Yr 1'!F646)</f>
        <v>0</v>
      </c>
      <c r="G646" s="17">
        <f>IF('Components Yr 1'!G646=0,0,'Components Yr 1'!G646)</f>
        <v>0</v>
      </c>
      <c r="H646" s="17">
        <f>IF('Components Yr 1'!H646=0,0,'Components Yr 1'!H646)</f>
        <v>0</v>
      </c>
      <c r="I646" s="17">
        <f>IF('Components Yr 1'!I646=0,0,'Components Yr 1'!I646)</f>
        <v>0</v>
      </c>
      <c r="J646" s="17">
        <f>IF('Components Yr 1'!J646=0,0,'Components Yr 1'!J646)</f>
        <v>0</v>
      </c>
      <c r="K646" s="17">
        <f>IF('Components Yr 1'!K646=0,0,'Components Yr 1'!K646)</f>
        <v>0</v>
      </c>
      <c r="L646" s="12"/>
      <c r="M646" s="12"/>
      <c r="N646" s="12"/>
      <c r="O646" s="12"/>
      <c r="P646" s="12"/>
      <c r="Q646" s="17"/>
      <c r="R646" s="18">
        <f>IF(SUMPRODUCT((E646:Q646)*1)=0,0,E646*INDEX(Hours!M:M,MATCH(C646,Hours!$A:$A,0))+F646*INDEX(Hours!B:B,MATCH(C646,Hours!$A:$A,0))+G646*INDEX(Hours!C:C,MATCH(C646,Hours!$A:$A,0))+H646*INDEX(Hours!D:D,MATCH(C646,Hours!$A:$A,0))+I646*INDEX(Hours!E:E,MATCH(C646,Hours!$A:$A,0))+J646*INDEX(Hours!F:F,MATCH(C646,Hours!$A:$A,0))+K646*INDEX(Hours!G:G,MATCH(C646,Hours!$A:$A,0)))</f>
        <v>0</v>
      </c>
      <c r="S646" s="19">
        <f t="shared" si="21"/>
        <v>0</v>
      </c>
    </row>
    <row r="647" spans="1:19" x14ac:dyDescent="0.25">
      <c r="A647" s="15" t="str">
        <f>'Bldgs &amp; Rooms'!$A$19</f>
        <v>Main Bldg.</v>
      </c>
      <c r="B647" s="15">
        <f>'Bldgs &amp; Rooms'!$B$19</f>
        <v>0</v>
      </c>
      <c r="C647" s="14" t="str">
        <f>Hours!$A$18</f>
        <v>Individual Combination Motor Starter &gt; 100A</v>
      </c>
      <c r="D647" s="15">
        <f t="shared" si="20"/>
        <v>0</v>
      </c>
      <c r="E647" s="16">
        <f>IF('Components Yr 1'!E647=0,0,'Components Yr 1'!E647)</f>
        <v>0</v>
      </c>
      <c r="F647" s="17">
        <f>IF('Components Yr 1'!F647=0,0,'Components Yr 1'!F647)</f>
        <v>0</v>
      </c>
      <c r="G647" s="17">
        <f>IF('Components Yr 1'!G647=0,0,'Components Yr 1'!G647)</f>
        <v>0</v>
      </c>
      <c r="H647" s="17">
        <f>IF('Components Yr 1'!H647=0,0,'Components Yr 1'!H647)</f>
        <v>0</v>
      </c>
      <c r="I647" s="17">
        <f>IF('Components Yr 1'!I647=0,0,'Components Yr 1'!I647)</f>
        <v>0</v>
      </c>
      <c r="J647" s="17">
        <f>IF('Components Yr 1'!J647=0,0,'Components Yr 1'!J647)</f>
        <v>0</v>
      </c>
      <c r="K647" s="17">
        <f>IF('Components Yr 1'!K647=0,0,'Components Yr 1'!K647)</f>
        <v>0</v>
      </c>
      <c r="L647" s="12"/>
      <c r="M647" s="12"/>
      <c r="N647" s="12"/>
      <c r="O647" s="12"/>
      <c r="P647" s="12"/>
      <c r="Q647" s="17"/>
      <c r="R647" s="18">
        <f>IF(SUMPRODUCT((E647:Q647)*1)=0,0,E647*INDEX(Hours!M:M,MATCH(C647,Hours!$A:$A,0))+F647*INDEX(Hours!B:B,MATCH(C647,Hours!$A:$A,0))+G647*INDEX(Hours!C:C,MATCH(C647,Hours!$A:$A,0))+H647*INDEX(Hours!D:D,MATCH(C647,Hours!$A:$A,0))+I647*INDEX(Hours!E:E,MATCH(C647,Hours!$A:$A,0))+J647*INDEX(Hours!F:F,MATCH(C647,Hours!$A:$A,0))+K647*INDEX(Hours!G:G,MATCH(C647,Hours!$A:$A,0)))</f>
        <v>0</v>
      </c>
      <c r="S647" s="19">
        <f t="shared" si="21"/>
        <v>0</v>
      </c>
    </row>
    <row r="648" spans="1:19" x14ac:dyDescent="0.25">
      <c r="A648" s="15" t="str">
        <f>'Bldgs &amp; Rooms'!$A$19</f>
        <v>Main Bldg.</v>
      </c>
      <c r="B648" s="15">
        <f>'Bldgs &amp; Rooms'!$B$19</f>
        <v>0</v>
      </c>
      <c r="C648" s="14" t="str">
        <f>Hours!$A$19</f>
        <v>Oil Filled Transformer - 5kV-15kV Primary - Any Size (Pad Mounted)</v>
      </c>
      <c r="D648" s="15">
        <f t="shared" si="20"/>
        <v>0</v>
      </c>
      <c r="E648" s="16">
        <f>IF('Components Yr 1'!E648=0,0,'Components Yr 1'!E648)</f>
        <v>0</v>
      </c>
      <c r="F648" s="17">
        <f>IF('Components Yr 1'!F648=0,0,'Components Yr 1'!F648)</f>
        <v>0</v>
      </c>
      <c r="G648" s="17">
        <f>IF('Components Yr 1'!G648=0,0,'Components Yr 1'!G648)</f>
        <v>0</v>
      </c>
      <c r="H648" s="17">
        <f>IF('Components Yr 1'!H648=0,0,'Components Yr 1'!H648)</f>
        <v>0</v>
      </c>
      <c r="I648" s="17">
        <f>IF('Components Yr 1'!I648=0,0,'Components Yr 1'!I648)</f>
        <v>0</v>
      </c>
      <c r="J648" s="17">
        <f>IF('Components Yr 1'!J648=0,0,'Components Yr 1'!J648)</f>
        <v>0</v>
      </c>
      <c r="K648" s="12"/>
      <c r="L648" s="12"/>
      <c r="M648" s="17">
        <f>IF('Components Yr 1'!M648=0,0,'Components Yr 1'!M648)</f>
        <v>0</v>
      </c>
      <c r="N648" s="17">
        <f>IF('Components Yr 1'!N648=0,0,'Components Yr 1'!N648)</f>
        <v>0</v>
      </c>
      <c r="O648" s="12"/>
      <c r="P648" s="17">
        <f>IF('Components Yr 1'!P648=0,0,'Components Yr 1'!P648)</f>
        <v>0</v>
      </c>
      <c r="Q648" s="17"/>
      <c r="R648" s="18">
        <f>IF(SUMPRODUCT((E648:Q648)*1)=0,0,E648*INDEX(Hours!M:M,MATCH(C648,Hours!$A:$A,0))+F648*INDEX(Hours!B:B,MATCH(C648,Hours!$A:$A,0))+G648*INDEX(Hours!C:C,MATCH(C648,Hours!$A:$A,0))+H648*INDEX(Hours!D:D,MATCH(C648,Hours!$A:$A,0))+I648*INDEX(Hours!E:E,MATCH(C648,Hours!$A:$A,0))+J648*INDEX(Hours!F:F,MATCH(C648,Hours!$A:$A,0))+M648*INDEX(Hours!I:I,MATCH(C648,Hours!$A:$A,0))+N648*INDEX(Hours!J:J,MATCH(C648,Hours!$A:$A,0))+P648*INDEX(Hours!L:L,MATCH(C648,Hours!$A:$A,0)))</f>
        <v>0</v>
      </c>
      <c r="S648" s="19">
        <f t="shared" si="21"/>
        <v>0</v>
      </c>
    </row>
    <row r="649" spans="1:19" x14ac:dyDescent="0.25">
      <c r="A649" s="15" t="str">
        <f>'Bldgs &amp; Rooms'!$A$19</f>
        <v>Main Bldg.</v>
      </c>
      <c r="B649" s="15">
        <f>'Bldgs &amp; Rooms'!$B$19</f>
        <v>0</v>
      </c>
      <c r="C649" s="14" t="str">
        <f>Hours!$A$20</f>
        <v>Oil Filled Transformer - &gt; 15kV Primary (Substation Class)</v>
      </c>
      <c r="D649" s="15">
        <f t="shared" si="20"/>
        <v>0</v>
      </c>
      <c r="E649" s="16">
        <f>IF('Components Yr 1'!E649=0,0,'Components Yr 1'!E649)</f>
        <v>0</v>
      </c>
      <c r="F649" s="17">
        <f>IF('Components Yr 1'!F649=0,0,'Components Yr 1'!F649)</f>
        <v>0</v>
      </c>
      <c r="G649" s="17">
        <f>IF('Components Yr 1'!G649=0,0,'Components Yr 1'!G649)</f>
        <v>0</v>
      </c>
      <c r="H649" s="17">
        <f>IF('Components Yr 1'!H649=0,0,'Components Yr 1'!H649)</f>
        <v>0</v>
      </c>
      <c r="I649" s="17">
        <f>IF('Components Yr 1'!I649=0,0,'Components Yr 1'!I649)</f>
        <v>0</v>
      </c>
      <c r="J649" s="17">
        <f>IF('Components Yr 1'!J649=0,0,'Components Yr 1'!J649)</f>
        <v>0</v>
      </c>
      <c r="K649" s="12"/>
      <c r="L649" s="12"/>
      <c r="M649" s="17">
        <f>IF('Components Yr 1'!M649=0,0,'Components Yr 1'!M649)</f>
        <v>0</v>
      </c>
      <c r="N649" s="17">
        <f>IF('Components Yr 1'!N649=0,0,'Components Yr 1'!N649)</f>
        <v>0</v>
      </c>
      <c r="O649" s="12"/>
      <c r="P649" s="17">
        <f>IF('Components Yr 1'!P649=0,0,'Components Yr 1'!P649)</f>
        <v>0</v>
      </c>
      <c r="Q649" s="17"/>
      <c r="R649" s="18">
        <f>IF(SUMPRODUCT((E649:Q649)*1)=0,0,E649*INDEX(Hours!M:M,MATCH(C649,Hours!$A:$A,0))+F649*INDEX(Hours!B:B,MATCH(C649,Hours!$A:$A,0))+G649*INDEX(Hours!C:C,MATCH(C649,Hours!$A:$A,0))+H649*INDEX(Hours!D:D,MATCH(C649,Hours!$A:$A,0))+I649*INDEX(Hours!E:E,MATCH(C649,Hours!$A:$A,0))+J649*INDEX(Hours!F:F,MATCH(C649,Hours!$A:$A,0))+M649*INDEX(Hours!I:I,MATCH(C649,Hours!$A:$A,0))+N649*INDEX(Hours!J:J,MATCH(C649,Hours!$A:$A,0))+P649*INDEX(Hours!L:L,MATCH(C649,Hours!$A:$A,0)))</f>
        <v>0</v>
      </c>
      <c r="S649" s="19">
        <f t="shared" si="21"/>
        <v>0</v>
      </c>
    </row>
    <row r="650" spans="1:19" x14ac:dyDescent="0.25">
      <c r="A650" s="15" t="str">
        <f>'Bldgs &amp; Rooms'!$A$19</f>
        <v>Main Bldg.</v>
      </c>
      <c r="B650" s="15">
        <f>'Bldgs &amp; Rooms'!$B$19</f>
        <v>0</v>
      </c>
      <c r="C650" s="14" t="str">
        <f>Hours!$A$21</f>
        <v>Dry Type Transformer - &lt; 480V Primary - Any Size kVA</v>
      </c>
      <c r="D650" s="15">
        <f t="shared" si="20"/>
        <v>0</v>
      </c>
      <c r="E650" s="16">
        <f>IF('Components Yr 1'!E650=0,0,'Components Yr 1'!E650)</f>
        <v>0</v>
      </c>
      <c r="F650" s="17">
        <f>IF('Components Yr 1'!F650=0,0,'Components Yr 1'!F650)</f>
        <v>0</v>
      </c>
      <c r="G650" s="17">
        <f>IF('Components Yr 1'!G650=0,0,'Components Yr 1'!G650)</f>
        <v>0</v>
      </c>
      <c r="H650" s="17">
        <f>IF('Components Yr 1'!H650=0,0,'Components Yr 1'!H650)</f>
        <v>0</v>
      </c>
      <c r="I650" s="17">
        <f>IF('Components Yr 1'!I650=0,0,'Components Yr 1'!I650)</f>
        <v>0</v>
      </c>
      <c r="J650" s="17">
        <f>IF('Components Yr 1'!J650=0,0,'Components Yr 1'!J650)</f>
        <v>0</v>
      </c>
      <c r="K650" s="12"/>
      <c r="L650" s="12"/>
      <c r="M650" s="17">
        <f>IF('Components Yr 1'!M650=0,0,'Components Yr 1'!M650)</f>
        <v>0</v>
      </c>
      <c r="N650" s="17">
        <f>IF('Components Yr 1'!N650=0,0,'Components Yr 1'!N650)</f>
        <v>0</v>
      </c>
      <c r="O650" s="12"/>
      <c r="P650" s="12"/>
      <c r="Q650" s="17"/>
      <c r="R650" s="18">
        <f>IF(SUMPRODUCT((E650:Q650)*1)=0,0,E650*INDEX(Hours!M:M,MATCH(C650,Hours!$A:$A,0))+F650*INDEX(Hours!B:B,MATCH(C650,Hours!$A:$A,0))+G650*INDEX(Hours!C:C,MATCH(C650,Hours!$A:$A,0))+H650*INDEX(Hours!D:D,MATCH(C650,Hours!$A:$A,0))+I650*INDEX(Hours!E:E,MATCH(C650,Hours!$A:$A,0))+J650*INDEX(Hours!F:F,MATCH(C650,Hours!$A:$A,0))+M650*INDEX(Hours!I:I,MATCH(C650,Hours!$A:$A,0))+N650*INDEX(Hours!J:J,MATCH(C650,Hours!$A:$A,0)))</f>
        <v>0</v>
      </c>
      <c r="S650" s="19">
        <f t="shared" si="21"/>
        <v>0</v>
      </c>
    </row>
    <row r="651" spans="1:19" x14ac:dyDescent="0.25">
      <c r="A651" s="15" t="str">
        <f>'Bldgs &amp; Rooms'!$A$19</f>
        <v>Main Bldg.</v>
      </c>
      <c r="B651" s="15">
        <f>'Bldgs &amp; Rooms'!$B$19</f>
        <v>0</v>
      </c>
      <c r="C651" s="14" t="str">
        <f>Hours!$A$22</f>
        <v>Power Factor Correction Capacitors</v>
      </c>
      <c r="D651" s="15">
        <f t="shared" si="20"/>
        <v>0</v>
      </c>
      <c r="E651" s="16">
        <f>IF('Components Yr 1'!E651=0,0,'Components Yr 1'!E651)</f>
        <v>0</v>
      </c>
      <c r="F651" s="17">
        <f>IF('Components Yr 1'!F651=0,0,'Components Yr 1'!F651)</f>
        <v>0</v>
      </c>
      <c r="G651" s="17">
        <f>IF('Components Yr 1'!G651=0,0,'Components Yr 1'!G651)</f>
        <v>0</v>
      </c>
      <c r="H651" s="17">
        <f>IF('Components Yr 1'!H651=0,0,'Components Yr 1'!H651)</f>
        <v>0</v>
      </c>
      <c r="I651" s="17">
        <f>IF('Components Yr 1'!I651=0,0,'Components Yr 1'!I651)</f>
        <v>0</v>
      </c>
      <c r="J651" s="17">
        <f>IF('Components Yr 1'!J651=0,0,'Components Yr 1'!J651)</f>
        <v>0</v>
      </c>
      <c r="K651" s="12"/>
      <c r="L651" s="12"/>
      <c r="M651" s="12"/>
      <c r="N651" s="12"/>
      <c r="O651" s="12"/>
      <c r="P651" s="12"/>
      <c r="Q651" s="17"/>
      <c r="R651" s="18">
        <f>IF(SUMPRODUCT((E651:Q651)*1)=0,0,E651*INDEX(Hours!M:M,MATCH(C651,Hours!$A:$A,0))+F651*INDEX(Hours!B:B,MATCH(C651,Hours!$A:$A,0))+G651*INDEX(Hours!C:C,MATCH(C651,Hours!$A:$A,0))+H651*INDEX(Hours!D:D,MATCH(C651,Hours!$A:$A,0))+I651*INDEX(Hours!E:E,MATCH(C651,Hours!$A:$A,0))+J651*INDEX(Hours!F:F,MATCH(C651,Hours!$A:$A,0)))</f>
        <v>0</v>
      </c>
      <c r="S651" s="19">
        <f t="shared" si="21"/>
        <v>0</v>
      </c>
    </row>
    <row r="652" spans="1:19" x14ac:dyDescent="0.25">
      <c r="A652" s="15" t="str">
        <f>'Bldgs &amp; Rooms'!$A$19</f>
        <v>Main Bldg.</v>
      </c>
      <c r="B652" s="15">
        <f>'Bldgs &amp; Rooms'!$B$19</f>
        <v>0</v>
      </c>
      <c r="C652" s="14" t="str">
        <f>Hours!$A$23</f>
        <v>Lighting Contactor &gt; 100A</v>
      </c>
      <c r="D652" s="15">
        <f t="shared" si="20"/>
        <v>0</v>
      </c>
      <c r="E652" s="16">
        <f>IF('Components Yr 1'!E652=0,0,'Components Yr 1'!E652)</f>
        <v>0</v>
      </c>
      <c r="F652" s="17">
        <f>IF('Components Yr 1'!F652=0,0,'Components Yr 1'!F652)</f>
        <v>0</v>
      </c>
      <c r="G652" s="17">
        <f>IF('Components Yr 1'!G652=0,0,'Components Yr 1'!G652)</f>
        <v>0</v>
      </c>
      <c r="H652" s="17">
        <f>IF('Components Yr 1'!H652=0,0,'Components Yr 1'!H652)</f>
        <v>0</v>
      </c>
      <c r="I652" s="17">
        <f>IF('Components Yr 1'!I652=0,0,'Components Yr 1'!I652)</f>
        <v>0</v>
      </c>
      <c r="J652" s="17">
        <f>IF('Components Yr 1'!J652=0,0,'Components Yr 1'!J652)</f>
        <v>0</v>
      </c>
      <c r="K652" s="12"/>
      <c r="L652" s="12"/>
      <c r="M652" s="12"/>
      <c r="N652" s="12"/>
      <c r="O652" s="12"/>
      <c r="P652" s="12"/>
      <c r="Q652" s="17"/>
      <c r="R652" s="18">
        <f>IF(SUMPRODUCT((E652:Q652)*1)=0,0,E652*INDEX(Hours!M:M,MATCH(C652,Hours!$A:$A,0))+F652*INDEX(Hours!B:B,MATCH(C652,Hours!$A:$A,0))+G652*INDEX(Hours!C:C,MATCH(C652,Hours!$A:$A,0))+H652*INDEX(Hours!D:D,MATCH(C652,Hours!$A:$A,0))+I652*INDEX(Hours!E:E,MATCH(C652,Hours!$A:$A,0))+J652*INDEX(Hours!F:F,MATCH(C652,Hours!$A:$A,0)))</f>
        <v>0</v>
      </c>
      <c r="S652" s="19">
        <f t="shared" si="21"/>
        <v>0</v>
      </c>
    </row>
    <row r="653" spans="1:19" x14ac:dyDescent="0.25">
      <c r="A653" s="15" t="str">
        <f>'Bldgs &amp; Rooms'!$A$19</f>
        <v>Main Bldg.</v>
      </c>
      <c r="B653" s="15">
        <f>'Bldgs &amp; Rooms'!$B$19</f>
        <v>0</v>
      </c>
      <c r="C653" s="14" t="str">
        <f>Hours!$A$24</f>
        <v>Power Distribution Unit (PDU)</v>
      </c>
      <c r="D653" s="15">
        <f t="shared" si="20"/>
        <v>0</v>
      </c>
      <c r="E653" s="16">
        <f>IF('Components Yr 1'!E653=0,0,'Components Yr 1'!E653)</f>
        <v>0</v>
      </c>
      <c r="F653" s="17">
        <f>IF('Components Yr 1'!F653=0,0,'Components Yr 1'!F653)</f>
        <v>0</v>
      </c>
      <c r="G653" s="17">
        <f>IF('Components Yr 1'!G653=0,0,'Components Yr 1'!G653)</f>
        <v>0</v>
      </c>
      <c r="H653" s="17">
        <f>IF('Components Yr 1'!H653=0,0,'Components Yr 1'!H653)</f>
        <v>0</v>
      </c>
      <c r="I653" s="17">
        <f>IF('Components Yr 1'!I653=0,0,'Components Yr 1'!I653)</f>
        <v>0</v>
      </c>
      <c r="J653" s="17">
        <f>IF('Components Yr 1'!J653=0,0,'Components Yr 1'!J653)</f>
        <v>0</v>
      </c>
      <c r="K653" s="12"/>
      <c r="L653" s="12"/>
      <c r="M653" s="12"/>
      <c r="N653" s="12"/>
      <c r="O653" s="12"/>
      <c r="P653" s="12"/>
      <c r="Q653" s="17"/>
      <c r="R653" s="18">
        <f>IF(SUMPRODUCT((E653:Q653)*1)=0,0,E653*INDEX(Hours!M:M,MATCH(C653,Hours!$A:$A,0))+F653*INDEX(Hours!B:B,MATCH(C653,Hours!$A:$A,0))+G653*INDEX(Hours!C:C,MATCH(C653,Hours!$A:$A,0))+H653*INDEX(Hours!D:D,MATCH(C653,Hours!$A:$A,0))+I653*INDEX(Hours!E:E,MATCH(C653,Hours!$A:$A,0))+J653*INDEX(Hours!F:F,MATCH(C653,Hours!$A:$A,0)))</f>
        <v>0</v>
      </c>
      <c r="S653" s="19">
        <f t="shared" si="21"/>
        <v>0</v>
      </c>
    </row>
    <row r="654" spans="1:19" x14ac:dyDescent="0.25">
      <c r="A654" s="15" t="str">
        <f>'Bldgs &amp; Rooms'!$A$19</f>
        <v>Main Bldg.</v>
      </c>
      <c r="B654" s="15">
        <f>'Bldgs &amp; Rooms'!$B$19</f>
        <v>0</v>
      </c>
      <c r="C654" s="14" t="str">
        <f>Hours!$A$25</f>
        <v>Wire Trough, Gutter, or Large Junction Boxes</v>
      </c>
      <c r="D654" s="15">
        <f t="shared" si="20"/>
        <v>0</v>
      </c>
      <c r="E654" s="16">
        <f>IF('Components Yr 1'!E654=0,0,'Components Yr 1'!E654)</f>
        <v>0</v>
      </c>
      <c r="F654" s="17">
        <f>IF('Components Yr 1'!F654=0,0,'Components Yr 1'!F654)</f>
        <v>0</v>
      </c>
      <c r="G654" s="17">
        <f>IF('Components Yr 1'!G654=0,0,'Components Yr 1'!G654)</f>
        <v>0</v>
      </c>
      <c r="H654" s="17">
        <f>IF('Components Yr 1'!H654=0,0,'Components Yr 1'!H654)</f>
        <v>0</v>
      </c>
      <c r="I654" s="17">
        <f>IF('Components Yr 1'!I654=0,0,'Components Yr 1'!I654)</f>
        <v>0</v>
      </c>
      <c r="J654" s="17">
        <f>IF('Components Yr 1'!J654=0,0,'Components Yr 1'!J654)</f>
        <v>0</v>
      </c>
      <c r="K654" s="12"/>
      <c r="L654" s="12"/>
      <c r="M654" s="12"/>
      <c r="N654" s="12"/>
      <c r="O654" s="12"/>
      <c r="P654" s="12"/>
      <c r="Q654" s="17"/>
      <c r="R654" s="18">
        <f>IF(SUMPRODUCT((E654:Q654)*1)=0,0,E654*INDEX(Hours!M:M,MATCH(C654,Hours!$A:$A,0))+F654*INDEX(Hours!B:B,MATCH(C654,Hours!$A:$A,0))+G654*INDEX(Hours!C:C,MATCH(C654,Hours!$A:$A,0))+H654*INDEX(Hours!D:D,MATCH(C654,Hours!$A:$A,0))+I654*INDEX(Hours!E:E,MATCH(C654,Hours!$A:$A,0))+J654*INDEX(Hours!F:F,MATCH(C654,Hours!$A:$A,0)))</f>
        <v>0</v>
      </c>
      <c r="S654" s="19">
        <f t="shared" si="21"/>
        <v>0</v>
      </c>
    </row>
    <row r="655" spans="1:19" x14ac:dyDescent="0.25">
      <c r="A655" s="15" t="str">
        <f>'Bldgs &amp; Rooms'!$A$19</f>
        <v>Main Bldg.</v>
      </c>
      <c r="B655" s="15">
        <f>'Bldgs &amp; Rooms'!$B$19</f>
        <v>0</v>
      </c>
      <c r="C655" s="14" t="str">
        <f>Hours!$A$26</f>
        <v>Bus Duct - Vertical or Horizontal (Per 10' section)</v>
      </c>
      <c r="D655" s="15">
        <f t="shared" si="20"/>
        <v>0</v>
      </c>
      <c r="E655" s="16">
        <f>IF('Components Yr 1'!E655=0,0,'Components Yr 1'!E655)</f>
        <v>0</v>
      </c>
      <c r="F655" s="17">
        <f>IF('Components Yr 1'!F655=0,0,'Components Yr 1'!F655)</f>
        <v>0</v>
      </c>
      <c r="G655" s="17">
        <f>IF('Components Yr 1'!G655=0,0,'Components Yr 1'!G655)</f>
        <v>0</v>
      </c>
      <c r="H655" s="17">
        <f>IF('Components Yr 1'!H655=0,0,'Components Yr 1'!H655)</f>
        <v>0</v>
      </c>
      <c r="I655" s="17">
        <f>IF('Components Yr 1'!I655=0,0,'Components Yr 1'!I655)</f>
        <v>0</v>
      </c>
      <c r="J655" s="17">
        <f>IF('Components Yr 1'!J655=0,0,'Components Yr 1'!J655)</f>
        <v>0</v>
      </c>
      <c r="K655" s="12"/>
      <c r="L655" s="12"/>
      <c r="M655" s="12"/>
      <c r="N655" s="12"/>
      <c r="O655" s="12"/>
      <c r="P655" s="12"/>
      <c r="Q655" s="17"/>
      <c r="R655" s="18">
        <f>IF(SUMPRODUCT((E655:Q655)*1)=0,0,E655*INDEX(Hours!M:M,MATCH(C655,Hours!$A:$A,0))+F655*INDEX(Hours!B:B,MATCH(C655,Hours!$A:$A,0))+G655*INDEX(Hours!C:C,MATCH(C655,Hours!$A:$A,0))+H655*INDEX(Hours!D:D,MATCH(C655,Hours!$A:$A,0))+I655*INDEX(Hours!E:E,MATCH(C655,Hours!$A:$A,0))+J655*INDEX(Hours!F:F,MATCH(C655,Hours!$A:$A,0)))</f>
        <v>0</v>
      </c>
      <c r="S655" s="19">
        <f t="shared" si="21"/>
        <v>0</v>
      </c>
    </row>
    <row r="656" spans="1:19" x14ac:dyDescent="0.25">
      <c r="A656" s="15" t="str">
        <f>'Bldgs &amp; Rooms'!$A$19</f>
        <v>Main Bldg.</v>
      </c>
      <c r="B656" s="15">
        <f>'Bldgs &amp; Rooms'!$B$19</f>
        <v>0</v>
      </c>
      <c r="C656" s="14" t="str">
        <f>Hours!$A$27</f>
        <v>Automatic Transfer Switch (ATS) &gt; 100A</v>
      </c>
      <c r="D656" s="15">
        <f t="shared" si="20"/>
        <v>0</v>
      </c>
      <c r="E656" s="16">
        <f>IF('Components Yr 1'!E656=0,0,'Components Yr 1'!E656)</f>
        <v>0</v>
      </c>
      <c r="F656" s="17">
        <f>IF('Components Yr 1'!F656=0,0,'Components Yr 1'!F656)</f>
        <v>0</v>
      </c>
      <c r="G656" s="17">
        <f>IF('Components Yr 1'!G656=0,0,'Components Yr 1'!G656)</f>
        <v>0</v>
      </c>
      <c r="H656" s="17">
        <f>IF('Components Yr 1'!H656=0,0,'Components Yr 1'!H656)</f>
        <v>0</v>
      </c>
      <c r="I656" s="17">
        <f>IF('Components Yr 1'!I656=0,0,'Components Yr 1'!I656)</f>
        <v>0</v>
      </c>
      <c r="J656" s="17">
        <f>IF('Components Yr 1'!J656=0,0,'Components Yr 1'!J656)</f>
        <v>0</v>
      </c>
      <c r="K656" s="12"/>
      <c r="L656" s="12"/>
      <c r="M656" s="12"/>
      <c r="N656" s="12"/>
      <c r="O656" s="12"/>
      <c r="P656" s="12"/>
      <c r="Q656" s="17"/>
      <c r="R656" s="18">
        <f>IF(SUMPRODUCT((E656:Q656)*1)=0,0,E656*INDEX(Hours!M:M,MATCH(C656,Hours!$A:$A,0))+F656*INDEX(Hours!B:B,MATCH(C656,Hours!$A:$A,0))+G656*INDEX(Hours!C:C,MATCH(C656,Hours!$A:$A,0))+H656*INDEX(Hours!D:D,MATCH(C656,Hours!$A:$A,0))+I656*INDEX(Hours!E:E,MATCH(C656,Hours!$A:$A,0))+J656*INDEX(Hours!F:F,MATCH(C656,Hours!$A:$A,0)))</f>
        <v>0</v>
      </c>
      <c r="S656" s="19">
        <f t="shared" si="21"/>
        <v>0</v>
      </c>
    </row>
    <row r="657" spans="1:19" x14ac:dyDescent="0.25">
      <c r="A657" s="15" t="str">
        <f>'Bldgs &amp; Rooms'!$A$19</f>
        <v>Main Bldg.</v>
      </c>
      <c r="B657" s="15">
        <f>'Bldgs &amp; Rooms'!$B$19</f>
        <v>0</v>
      </c>
      <c r="C657" s="14" t="str">
        <f>Hours!$A$28</f>
        <v>Manual Transfer Switch (MTS) &gt; 100A</v>
      </c>
      <c r="D657" s="15">
        <f t="shared" si="20"/>
        <v>0</v>
      </c>
      <c r="E657" s="16">
        <f>IF('Components Yr 1'!E657=0,0,'Components Yr 1'!E657)</f>
        <v>0</v>
      </c>
      <c r="F657" s="17">
        <f>IF('Components Yr 1'!F657=0,0,'Components Yr 1'!F657)</f>
        <v>0</v>
      </c>
      <c r="G657" s="17">
        <f>IF('Components Yr 1'!G657=0,0,'Components Yr 1'!G657)</f>
        <v>0</v>
      </c>
      <c r="H657" s="17">
        <f>IF('Components Yr 1'!H657=0,0,'Components Yr 1'!H657)</f>
        <v>0</v>
      </c>
      <c r="I657" s="17">
        <f>IF('Components Yr 1'!I657=0,0,'Components Yr 1'!I657)</f>
        <v>0</v>
      </c>
      <c r="J657" s="17">
        <f>IF('Components Yr 1'!J657=0,0,'Components Yr 1'!J657)</f>
        <v>0</v>
      </c>
      <c r="K657" s="12"/>
      <c r="L657" s="12"/>
      <c r="M657" s="12"/>
      <c r="N657" s="12"/>
      <c r="O657" s="12"/>
      <c r="P657" s="12"/>
      <c r="Q657" s="17"/>
      <c r="R657" s="18">
        <f>IF(SUMPRODUCT((E657:Q657)*1)=0,0,E657*INDEX(Hours!M:M,MATCH(C657,Hours!$A:$A,0))+F657*INDEX(Hours!B:B,MATCH(C657,Hours!$A:$A,0))+G657*INDEX(Hours!C:C,MATCH(C657,Hours!$A:$A,0))+H657*INDEX(Hours!D:D,MATCH(C657,Hours!$A:$A,0))+I657*INDEX(Hours!E:E,MATCH(C657,Hours!$A:$A,0))+J657*INDEX(Hours!F:F,MATCH(C657,Hours!$A:$A,0)))</f>
        <v>0</v>
      </c>
      <c r="S657" s="19">
        <f t="shared" si="21"/>
        <v>0</v>
      </c>
    </row>
    <row r="658" spans="1:19" x14ac:dyDescent="0.25">
      <c r="A658" s="15" t="str">
        <f>'Bldgs &amp; Rooms'!$A$19</f>
        <v>Main Bldg.</v>
      </c>
      <c r="B658" s="15">
        <f>'Bldgs &amp; Rooms'!$B$19</f>
        <v>0</v>
      </c>
      <c r="C658" s="14" t="str">
        <f>Hours!$A$29</f>
        <v>Variable Frequency Drives (VFD) &lt; 50 HP</v>
      </c>
      <c r="D658" s="15">
        <f t="shared" si="20"/>
        <v>0</v>
      </c>
      <c r="E658" s="16">
        <f>IF('Components Yr 1'!E658=0,0,'Components Yr 1'!E658)</f>
        <v>0</v>
      </c>
      <c r="F658" s="17">
        <f>IF('Components Yr 1'!F658=0,0,'Components Yr 1'!F658)</f>
        <v>0</v>
      </c>
      <c r="G658" s="17">
        <f>IF('Components Yr 1'!G658=0,0,'Components Yr 1'!G658)</f>
        <v>0</v>
      </c>
      <c r="H658" s="17">
        <f>IF('Components Yr 1'!H658=0,0,'Components Yr 1'!H658)</f>
        <v>0</v>
      </c>
      <c r="I658" s="17">
        <f>IF('Components Yr 1'!I658=0,0,'Components Yr 1'!I658)</f>
        <v>0</v>
      </c>
      <c r="J658" s="17">
        <f>IF('Components Yr 1'!J658=0,0,'Components Yr 1'!J658)</f>
        <v>0</v>
      </c>
      <c r="K658" s="12"/>
      <c r="L658" s="12"/>
      <c r="M658" s="12"/>
      <c r="N658" s="12"/>
      <c r="O658" s="12"/>
      <c r="P658" s="12"/>
      <c r="Q658" s="17"/>
      <c r="R658" s="18">
        <f>IF(SUMPRODUCT((E658:Q658)*1)=0,0,E658*INDEX(Hours!M:M,MATCH(C658,Hours!$A:$A,0))+F658*INDEX(Hours!B:B,MATCH(C658,Hours!$A:$A,0))+G658*INDEX(Hours!C:C,MATCH(C658,Hours!$A:$A,0))+H658*INDEX(Hours!D:D,MATCH(C658,Hours!$A:$A,0))+I658*INDEX(Hours!E:E,MATCH(C658,Hours!$A:$A,0))+J658*INDEX(Hours!F:F,MATCH(C658,Hours!$A:$A,0)))</f>
        <v>0</v>
      </c>
      <c r="S658" s="19">
        <f t="shared" si="21"/>
        <v>0</v>
      </c>
    </row>
    <row r="659" spans="1:19" x14ac:dyDescent="0.25">
      <c r="A659" s="15" t="str">
        <f>'Bldgs &amp; Rooms'!$A$19</f>
        <v>Main Bldg.</v>
      </c>
      <c r="B659" s="15">
        <f>'Bldgs &amp; Rooms'!$B$19</f>
        <v>0</v>
      </c>
      <c r="C659" s="14" t="str">
        <f>Hours!$A$30</f>
        <v>Variable Frequency Drives (VFD) 51-200 HP</v>
      </c>
      <c r="D659" s="15">
        <f t="shared" si="20"/>
        <v>0</v>
      </c>
      <c r="E659" s="16">
        <f>IF('Components Yr 1'!E659=0,0,'Components Yr 1'!E659)</f>
        <v>0</v>
      </c>
      <c r="F659" s="17">
        <f>IF('Components Yr 1'!F659=0,0,'Components Yr 1'!F659)</f>
        <v>0</v>
      </c>
      <c r="G659" s="17">
        <f>IF('Components Yr 1'!G659=0,0,'Components Yr 1'!G659)</f>
        <v>0</v>
      </c>
      <c r="H659" s="17">
        <f>IF('Components Yr 1'!H659=0,0,'Components Yr 1'!H659)</f>
        <v>0</v>
      </c>
      <c r="I659" s="17">
        <f>IF('Components Yr 1'!I659=0,0,'Components Yr 1'!I659)</f>
        <v>0</v>
      </c>
      <c r="J659" s="17">
        <f>IF('Components Yr 1'!J659=0,0,'Components Yr 1'!J659)</f>
        <v>0</v>
      </c>
      <c r="K659" s="12"/>
      <c r="L659" s="12"/>
      <c r="M659" s="12"/>
      <c r="N659" s="12"/>
      <c r="O659" s="12"/>
      <c r="P659" s="12"/>
      <c r="Q659" s="17"/>
      <c r="R659" s="18">
        <f>IF(SUMPRODUCT((E659:Q659)*1)=0,0,E659*INDEX(Hours!M:M,MATCH(C659,Hours!$A:$A,0))+F659*INDEX(Hours!B:B,MATCH(C659,Hours!$A:$A,0))+G659*INDEX(Hours!C:C,MATCH(C659,Hours!$A:$A,0))+H659*INDEX(Hours!D:D,MATCH(C659,Hours!$A:$A,0))+I659*INDEX(Hours!E:E,MATCH(C659,Hours!$A:$A,0))+J659*INDEX(Hours!F:F,MATCH(C659,Hours!$A:$A,0)))</f>
        <v>0</v>
      </c>
      <c r="S659" s="19">
        <f t="shared" si="21"/>
        <v>0</v>
      </c>
    </row>
    <row r="660" spans="1:19" x14ac:dyDescent="0.25">
      <c r="A660" s="15" t="str">
        <f>'Bldgs &amp; Rooms'!$A$19</f>
        <v>Main Bldg.</v>
      </c>
      <c r="B660" s="15">
        <f>'Bldgs &amp; Rooms'!$B$19</f>
        <v>0</v>
      </c>
      <c r="C660" s="14" t="str">
        <f>Hours!$A$31</f>
        <v>Motors &lt; 50 HP</v>
      </c>
      <c r="D660" s="15">
        <f t="shared" si="20"/>
        <v>0</v>
      </c>
      <c r="E660" s="16">
        <f>IF('Components Yr 1'!E660=0,0,'Components Yr 1'!E660)</f>
        <v>0</v>
      </c>
      <c r="F660" s="17">
        <f>IF('Components Yr 1'!F660=0,0,'Components Yr 1'!F660)</f>
        <v>0</v>
      </c>
      <c r="G660" s="17">
        <f>IF('Components Yr 1'!G660=0,0,'Components Yr 1'!G660)</f>
        <v>0</v>
      </c>
      <c r="H660" s="17">
        <f>IF('Components Yr 1'!H660=0,0,'Components Yr 1'!H660)</f>
        <v>0</v>
      </c>
      <c r="I660" s="17">
        <f>IF('Components Yr 1'!I660=0,0,'Components Yr 1'!I660)</f>
        <v>0</v>
      </c>
      <c r="J660" s="17">
        <f>IF('Components Yr 1'!J660=0,0,'Components Yr 1'!J660)</f>
        <v>0</v>
      </c>
      <c r="K660" s="12"/>
      <c r="L660" s="12"/>
      <c r="M660" s="12"/>
      <c r="N660" s="12"/>
      <c r="O660" s="12"/>
      <c r="P660" s="12"/>
      <c r="Q660" s="17"/>
      <c r="R660" s="18">
        <f>IF(SUMPRODUCT((E660:Q660)*1)=0,0,E660*INDEX(Hours!M:M,MATCH(C660,Hours!$A:$A,0))+F660*INDEX(Hours!B:B,MATCH(C660,Hours!$A:$A,0))+G660*INDEX(Hours!C:C,MATCH(C660,Hours!$A:$A,0))+H660*INDEX(Hours!D:D,MATCH(C660,Hours!$A:$A,0))+I660*INDEX(Hours!E:E,MATCH(C660,Hours!$A:$A,0))+J660*INDEX(Hours!F:F,MATCH(C660,Hours!$A:$A,0)))</f>
        <v>0</v>
      </c>
      <c r="S660" s="19">
        <f t="shared" si="21"/>
        <v>0</v>
      </c>
    </row>
    <row r="661" spans="1:19" x14ac:dyDescent="0.25">
      <c r="A661" s="15" t="str">
        <f>'Bldgs &amp; Rooms'!$A$19</f>
        <v>Main Bldg.</v>
      </c>
      <c r="B661" s="15">
        <f>'Bldgs &amp; Rooms'!$B$19</f>
        <v>0</v>
      </c>
      <c r="C661" s="14" t="str">
        <f>Hours!$A$32</f>
        <v>Motors 51-200 HP</v>
      </c>
      <c r="D661" s="15">
        <f t="shared" si="20"/>
        <v>0</v>
      </c>
      <c r="E661" s="16">
        <f>IF('Components Yr 1'!E661=0,0,'Components Yr 1'!E661)</f>
        <v>0</v>
      </c>
      <c r="F661" s="17">
        <f>IF('Components Yr 1'!F661=0,0,'Components Yr 1'!F661)</f>
        <v>0</v>
      </c>
      <c r="G661" s="17">
        <f>IF('Components Yr 1'!G661=0,0,'Components Yr 1'!G661)</f>
        <v>0</v>
      </c>
      <c r="H661" s="17">
        <f>IF('Components Yr 1'!H661=0,0,'Components Yr 1'!H661)</f>
        <v>0</v>
      </c>
      <c r="I661" s="17">
        <f>IF('Components Yr 1'!I661=0,0,'Components Yr 1'!I661)</f>
        <v>0</v>
      </c>
      <c r="J661" s="17">
        <f>IF('Components Yr 1'!J661=0,0,'Components Yr 1'!J661)</f>
        <v>0</v>
      </c>
      <c r="K661" s="12"/>
      <c r="L661" s="12"/>
      <c r="M661" s="12"/>
      <c r="N661" s="12"/>
      <c r="O661" s="12"/>
      <c r="P661" s="12"/>
      <c r="Q661" s="17"/>
      <c r="R661" s="18">
        <f>IF(SUMPRODUCT((E661:Q661)*1)=0,0,E661*INDEX(Hours!M:M,MATCH(C661,Hours!$A:$A,0))+F661*INDEX(Hours!B:B,MATCH(C661,Hours!$A:$A,0))+G661*INDEX(Hours!C:C,MATCH(C661,Hours!$A:$A,0))+H661*INDEX(Hours!D:D,MATCH(C661,Hours!$A:$A,0))+I661*INDEX(Hours!E:E,MATCH(C661,Hours!$A:$A,0))+J661*INDEX(Hours!F:F,MATCH(C661,Hours!$A:$A,0)))</f>
        <v>0</v>
      </c>
      <c r="S661" s="19">
        <f t="shared" si="21"/>
        <v>0</v>
      </c>
    </row>
    <row r="662" spans="1:19" x14ac:dyDescent="0.25">
      <c r="A662" s="15" t="str">
        <f>'Bldgs &amp; Rooms'!$A$19</f>
        <v>Main Bldg.</v>
      </c>
      <c r="B662" s="15">
        <f>'Bldgs &amp; Rooms'!$B$19</f>
        <v>0</v>
      </c>
      <c r="C662" s="14" t="str">
        <f>Hours!$A$33</f>
        <v>Motors 201-500 HP</v>
      </c>
      <c r="D662" s="15">
        <f t="shared" si="20"/>
        <v>0</v>
      </c>
      <c r="E662" s="16">
        <f>IF('Components Yr 1'!E662=0,0,'Components Yr 1'!E662)</f>
        <v>0</v>
      </c>
      <c r="F662" s="17">
        <f>IF('Components Yr 1'!F662=0,0,'Components Yr 1'!F662)</f>
        <v>0</v>
      </c>
      <c r="G662" s="17">
        <f>IF('Components Yr 1'!G662=0,0,'Components Yr 1'!G662)</f>
        <v>0</v>
      </c>
      <c r="H662" s="17">
        <f>IF('Components Yr 1'!H662=0,0,'Components Yr 1'!H662)</f>
        <v>0</v>
      </c>
      <c r="I662" s="17">
        <f>IF('Components Yr 1'!I662=0,0,'Components Yr 1'!I662)</f>
        <v>0</v>
      </c>
      <c r="J662" s="17">
        <f>IF('Components Yr 1'!J662=0,0,'Components Yr 1'!J662)</f>
        <v>0</v>
      </c>
      <c r="K662" s="12"/>
      <c r="L662" s="12"/>
      <c r="M662" s="12"/>
      <c r="N662" s="12"/>
      <c r="O662" s="12"/>
      <c r="P662" s="12"/>
      <c r="Q662" s="17"/>
      <c r="R662" s="18">
        <f>IF(SUMPRODUCT((E662:Q662)*1)=0,0,E662*INDEX(Hours!M:M,MATCH(C662,Hours!$A:$A,0))+F662*INDEX(Hours!B:B,MATCH(C662,Hours!$A:$A,0))+G662*INDEX(Hours!C:C,MATCH(C662,Hours!$A:$A,0))+H662*INDEX(Hours!D:D,MATCH(C662,Hours!$A:$A,0))+I662*INDEX(Hours!E:E,MATCH(C662,Hours!$A:$A,0))+J662*INDEX(Hours!F:F,MATCH(C662,Hours!$A:$A,0)))</f>
        <v>0</v>
      </c>
      <c r="S662" s="19">
        <f t="shared" si="21"/>
        <v>0</v>
      </c>
    </row>
    <row r="663" spans="1:19" x14ac:dyDescent="0.25">
      <c r="A663" s="15" t="str">
        <f>'Bldgs &amp; Rooms'!$A$19</f>
        <v>Main Bldg.</v>
      </c>
      <c r="B663" s="15">
        <f>'Bldgs &amp; Rooms'!$B$19</f>
        <v>0</v>
      </c>
      <c r="C663" s="14" t="str">
        <f>Hours!$A$34</f>
        <v>Compressed Air Equipment</v>
      </c>
      <c r="D663" s="15">
        <f t="shared" si="20"/>
        <v>0</v>
      </c>
      <c r="E663" s="16">
        <f>IF('Components Yr 1'!E663=0,0,'Components Yr 1'!E663)</f>
        <v>0</v>
      </c>
      <c r="F663" s="17">
        <f>IF('Components Yr 1'!F663=0,0,'Components Yr 1'!F663)</f>
        <v>0</v>
      </c>
      <c r="G663" s="17">
        <f>IF('Components Yr 1'!G663=0,0,'Components Yr 1'!G663)</f>
        <v>0</v>
      </c>
      <c r="H663" s="17">
        <f>IF('Components Yr 1'!H663=0,0,'Components Yr 1'!H663)</f>
        <v>0</v>
      </c>
      <c r="I663" s="17">
        <f>IF('Components Yr 1'!I663=0,0,'Components Yr 1'!I663)</f>
        <v>0</v>
      </c>
      <c r="J663" s="17">
        <f>IF('Components Yr 1'!J663=0,0,'Components Yr 1'!J663)</f>
        <v>0</v>
      </c>
      <c r="K663" s="12"/>
      <c r="L663" s="12"/>
      <c r="M663" s="12"/>
      <c r="N663" s="12"/>
      <c r="O663" s="12"/>
      <c r="P663" s="12"/>
      <c r="Q663" s="17"/>
      <c r="R663" s="18">
        <f>IF(SUMPRODUCT((E663:Q663)*1)=0,0,E663*INDEX(Hours!M:M,MATCH(C663,Hours!$A:$A,0))+F663*INDEX(Hours!B:B,MATCH(C663,Hours!$A:$A,0))+G663*INDEX(Hours!C:C,MATCH(C663,Hours!$A:$A,0))+H663*INDEX(Hours!D:D,MATCH(C663,Hours!$A:$A,0))+I663*INDEX(Hours!E:E,MATCH(C663,Hours!$A:$A,0))+J663*INDEX(Hours!F:F,MATCH(C663,Hours!$A:$A,0)))</f>
        <v>0</v>
      </c>
      <c r="S663" s="19">
        <f t="shared" si="21"/>
        <v>0</v>
      </c>
    </row>
    <row r="664" spans="1:19" x14ac:dyDescent="0.25">
      <c r="A664" s="15" t="str">
        <f>'Bldgs &amp; Rooms'!$A$19</f>
        <v>Main Bldg.</v>
      </c>
      <c r="B664" s="15">
        <f>'Bldgs &amp; Rooms'!$B$19</f>
        <v>0</v>
      </c>
      <c r="C664" s="14" t="str">
        <f>Hours!$A$35</f>
        <v>HVAC Equipment (Large)</v>
      </c>
      <c r="D664" s="15">
        <f t="shared" si="20"/>
        <v>0</v>
      </c>
      <c r="E664" s="16">
        <f>IF('Components Yr 1'!E664=0,0,'Components Yr 1'!E664)</f>
        <v>0</v>
      </c>
      <c r="F664" s="17">
        <f>IF('Components Yr 1'!F664=0,0,'Components Yr 1'!F664)</f>
        <v>0</v>
      </c>
      <c r="G664" s="17">
        <f>IF('Components Yr 1'!G664=0,0,'Components Yr 1'!G664)</f>
        <v>0</v>
      </c>
      <c r="H664" s="17">
        <f>IF('Components Yr 1'!H664=0,0,'Components Yr 1'!H664)</f>
        <v>0</v>
      </c>
      <c r="I664" s="17">
        <f>IF('Components Yr 1'!I664=0,0,'Components Yr 1'!I664)</f>
        <v>0</v>
      </c>
      <c r="J664" s="17">
        <f>IF('Components Yr 1'!J664=0,0,'Components Yr 1'!J664)</f>
        <v>0</v>
      </c>
      <c r="K664" s="12"/>
      <c r="L664" s="12"/>
      <c r="M664" s="12"/>
      <c r="N664" s="12"/>
      <c r="O664" s="12"/>
      <c r="P664" s="12"/>
      <c r="Q664" s="17"/>
      <c r="R664" s="18">
        <f>IF(SUMPRODUCT((E664:Q664)*1)=0,0,E664*INDEX(Hours!M:M,MATCH(C664,Hours!$A:$A,0))+F664*INDEX(Hours!B:B,MATCH(C664,Hours!$A:$A,0))+G664*INDEX(Hours!C:C,MATCH(C664,Hours!$A:$A,0))+H664*INDEX(Hours!D:D,MATCH(C664,Hours!$A:$A,0))+I664*INDEX(Hours!E:E,MATCH(C664,Hours!$A:$A,0))+J664*INDEX(Hours!F:F,MATCH(C664,Hours!$A:$A,0)))</f>
        <v>0</v>
      </c>
      <c r="S664" s="19">
        <f t="shared" si="21"/>
        <v>0</v>
      </c>
    </row>
    <row r="665" spans="1:19" x14ac:dyDescent="0.25">
      <c r="A665" s="15" t="str">
        <f>'Bldgs &amp; Rooms'!$A$19</f>
        <v>Main Bldg.</v>
      </c>
      <c r="B665" s="15">
        <f>'Bldgs &amp; Rooms'!$B$19</f>
        <v>0</v>
      </c>
      <c r="C665" s="14" t="str">
        <f>Hours!$A$36</f>
        <v>HVAC Equipment (Small)</v>
      </c>
      <c r="D665" s="15">
        <f t="shared" si="20"/>
        <v>0</v>
      </c>
      <c r="E665" s="16">
        <f>IF('Components Yr 1'!E665=0,0,'Components Yr 1'!E665)</f>
        <v>0</v>
      </c>
      <c r="F665" s="17">
        <f>IF('Components Yr 1'!F665=0,0,'Components Yr 1'!F665)</f>
        <v>0</v>
      </c>
      <c r="G665" s="17">
        <f>IF('Components Yr 1'!G665=0,0,'Components Yr 1'!G665)</f>
        <v>0</v>
      </c>
      <c r="H665" s="17">
        <f>IF('Components Yr 1'!H665=0,0,'Components Yr 1'!H665)</f>
        <v>0</v>
      </c>
      <c r="I665" s="17">
        <f>IF('Components Yr 1'!I665=0,0,'Components Yr 1'!I665)</f>
        <v>0</v>
      </c>
      <c r="J665" s="17">
        <f>IF('Components Yr 1'!J665=0,0,'Components Yr 1'!J665)</f>
        <v>0</v>
      </c>
      <c r="K665" s="12"/>
      <c r="L665" s="12"/>
      <c r="M665" s="12"/>
      <c r="N665" s="12"/>
      <c r="O665" s="12"/>
      <c r="P665" s="12"/>
      <c r="Q665" s="17"/>
      <c r="R665" s="18">
        <f>IF(SUMPRODUCT((E665:Q665)*1)=0,0,E665*INDEX(Hours!M:M,MATCH(C665,Hours!$A:$A,0))+F665*INDEX(Hours!B:B,MATCH(C665,Hours!$A:$A,0))+G665*INDEX(Hours!C:C,MATCH(C665,Hours!$A:$A,0))+H665*INDEX(Hours!D:D,MATCH(C665,Hours!$A:$A,0))+I665*INDEX(Hours!E:E,MATCH(C665,Hours!$A:$A,0))+J665*INDEX(Hours!F:F,MATCH(C665,Hours!$A:$A,0)))</f>
        <v>0</v>
      </c>
      <c r="S665" s="19">
        <f t="shared" si="21"/>
        <v>0</v>
      </c>
    </row>
    <row r="666" spans="1:19" x14ac:dyDescent="0.25">
      <c r="A666" s="15" t="str">
        <f>'Bldgs &amp; Rooms'!$A$19</f>
        <v>Main Bldg.</v>
      </c>
      <c r="B666" s="15">
        <f>'Bldgs &amp; Rooms'!$B$19</f>
        <v>0</v>
      </c>
      <c r="C666" s="14" t="str">
        <f>Hours!$A$37</f>
        <v>Uninterruptible Power Supply (UPS) &lt; 50kVA</v>
      </c>
      <c r="D666" s="15">
        <f t="shared" si="20"/>
        <v>0</v>
      </c>
      <c r="E666" s="16">
        <f>IF('Components Yr 1'!E666=0,0,'Components Yr 1'!E666)</f>
        <v>0</v>
      </c>
      <c r="F666" s="17">
        <f>IF('Components Yr 1'!F666=0,0,'Components Yr 1'!F666)</f>
        <v>0</v>
      </c>
      <c r="G666" s="17">
        <f>IF('Components Yr 1'!G666=0,0,'Components Yr 1'!G666)</f>
        <v>0</v>
      </c>
      <c r="H666" s="17">
        <f>IF('Components Yr 1'!H666=0,0,'Components Yr 1'!H666)</f>
        <v>0</v>
      </c>
      <c r="I666" s="17">
        <f>IF('Components Yr 1'!I666=0,0,'Components Yr 1'!I666)</f>
        <v>0</v>
      </c>
      <c r="J666" s="17">
        <f>IF('Components Yr 1'!J666=0,0,'Components Yr 1'!J666)</f>
        <v>0</v>
      </c>
      <c r="K666" s="12"/>
      <c r="L666" s="12"/>
      <c r="M666" s="12"/>
      <c r="N666" s="12"/>
      <c r="O666" s="12"/>
      <c r="P666" s="12"/>
      <c r="Q666" s="17"/>
      <c r="R666" s="18">
        <f>IF(SUMPRODUCT((E666:Q666)*1)=0,0,E666*INDEX(Hours!M:M,MATCH(C666,Hours!$A:$A,0))+F666*INDEX(Hours!B:B,MATCH(C666,Hours!$A:$A,0))+G666*INDEX(Hours!C:C,MATCH(C666,Hours!$A:$A,0))+H666*INDEX(Hours!D:D,MATCH(C666,Hours!$A:$A,0))+I666*INDEX(Hours!E:E,MATCH(C666,Hours!$A:$A,0))+J666*INDEX(Hours!F:F,MATCH(C666,Hours!$A:$A,0)))</f>
        <v>0</v>
      </c>
      <c r="S666" s="19">
        <f t="shared" si="21"/>
        <v>0</v>
      </c>
    </row>
    <row r="667" spans="1:19" x14ac:dyDescent="0.25">
      <c r="A667" s="15" t="str">
        <f>'Bldgs &amp; Rooms'!$A$19</f>
        <v>Main Bldg.</v>
      </c>
      <c r="B667" s="15">
        <f>'Bldgs &amp; Rooms'!$B$19</f>
        <v>0</v>
      </c>
      <c r="C667" s="14" t="str">
        <f>Hours!$A$38</f>
        <v>Uninterruptible Power Supply (UPS) &gt; 50kVA</v>
      </c>
      <c r="D667" s="15">
        <f t="shared" si="20"/>
        <v>0</v>
      </c>
      <c r="E667" s="16">
        <f>IF('Components Yr 1'!E667=0,0,'Components Yr 1'!E667)</f>
        <v>0</v>
      </c>
      <c r="F667" s="17">
        <f>IF('Components Yr 1'!F667=0,0,'Components Yr 1'!F667)</f>
        <v>0</v>
      </c>
      <c r="G667" s="17">
        <f>IF('Components Yr 1'!G667=0,0,'Components Yr 1'!G667)</f>
        <v>0</v>
      </c>
      <c r="H667" s="17">
        <f>IF('Components Yr 1'!H667=0,0,'Components Yr 1'!H667)</f>
        <v>0</v>
      </c>
      <c r="I667" s="17">
        <f>IF('Components Yr 1'!I667=0,0,'Components Yr 1'!I667)</f>
        <v>0</v>
      </c>
      <c r="J667" s="17">
        <f>IF('Components Yr 1'!J667=0,0,'Components Yr 1'!J667)</f>
        <v>0</v>
      </c>
      <c r="K667" s="12"/>
      <c r="L667" s="12"/>
      <c r="M667" s="12"/>
      <c r="N667" s="12"/>
      <c r="O667" s="12"/>
      <c r="P667" s="12"/>
      <c r="Q667" s="17"/>
      <c r="R667" s="18">
        <f>IF(SUMPRODUCT((E667:Q667)*1)=0,0,E667*INDEX(Hours!M:M,MATCH(C667,Hours!$A:$A,0))+F667*INDEX(Hours!B:B,MATCH(C667,Hours!$A:$A,0))+G667*INDEX(Hours!C:C,MATCH(C667,Hours!$A:$A,0))+H667*INDEX(Hours!D:D,MATCH(C667,Hours!$A:$A,0))+I667*INDEX(Hours!E:E,MATCH(C667,Hours!$A:$A,0))+J667*INDEX(Hours!F:F,MATCH(C667,Hours!$A:$A,0)))</f>
        <v>0</v>
      </c>
      <c r="S667" s="19">
        <f t="shared" si="21"/>
        <v>0</v>
      </c>
    </row>
    <row r="668" spans="1:19" x14ac:dyDescent="0.25">
      <c r="A668" s="11" t="str">
        <f>'Bldgs &amp; Rooms'!$A$20</f>
        <v>Main Bldg.</v>
      </c>
      <c r="B668" s="11">
        <f>'Bldgs &amp; Rooms'!$B$20</f>
        <v>0</v>
      </c>
      <c r="C668" s="10" t="str">
        <f>Hours!$A$2</f>
        <v>Switchgear - Incoming Main Service (Per Section)</v>
      </c>
      <c r="D668" s="11">
        <f t="shared" si="20"/>
        <v>0</v>
      </c>
      <c r="E668" s="16">
        <f>IF('Components Yr 1'!E668=0,0,'Components Yr 1'!E668)</f>
        <v>0</v>
      </c>
      <c r="F668" s="17">
        <f>IF('Components Yr 1'!F668=0,0,'Components Yr 1'!F668)</f>
        <v>0</v>
      </c>
      <c r="G668" s="17">
        <f>IF('Components Yr 1'!G668=0,0,'Components Yr 1'!G668)</f>
        <v>0</v>
      </c>
      <c r="H668" s="17">
        <f>IF('Components Yr 1'!H668=0,0,'Components Yr 1'!H668)</f>
        <v>0</v>
      </c>
      <c r="I668" s="17">
        <f>IF('Components Yr 1'!I668=0,0,'Components Yr 1'!I668)</f>
        <v>0</v>
      </c>
      <c r="J668" s="17">
        <f>IF('Components Yr 1'!J668=0,0,'Components Yr 1'!J668)</f>
        <v>0</v>
      </c>
      <c r="K668" s="17">
        <f>IF('Components Yr 1'!K668=0,0,'Components Yr 1'!K668)</f>
        <v>0</v>
      </c>
      <c r="L668" s="17">
        <f>IF('Components Yr 1'!L668=0,0,'Components Yr 1'!L668)</f>
        <v>0</v>
      </c>
      <c r="M668" s="12"/>
      <c r="N668" s="12"/>
      <c r="O668" s="17">
        <f>IF('Components Yr 1'!O668=0,0,'Components Yr 1'!O668)</f>
        <v>0</v>
      </c>
      <c r="P668" s="12"/>
      <c r="Q668" s="17"/>
      <c r="R668" s="18">
        <f>IF(SUMPRODUCT((E668:Q668)*1)=0,0,E668*INDEX(Hours!M:M,MATCH(C668,Hours!$A:$A,0))+F668*INDEX(Hours!B:B,MATCH(C668,Hours!$A:$A,0))+G668*INDEX(Hours!C:C,MATCH(C668,Hours!$A:$A,0))+H668*INDEX(Hours!D:D,MATCH(C668,Hours!$A:$A,0))+I668*INDEX(Hours!E:E,MATCH(C668,Hours!$A:$A,0))+J668*INDEX(Hours!F:F,MATCH(C668,Hours!$A:$A,0))+K668*INDEX(Hours!G:G,MATCH(C668,Hours!$A:$A,0))+L668*INDEX(Hours!H:H,MATCH(C668,Hours!$A:$A,0))+O668*INDEX(Hours!K:K,MATCH(C668,Hours!$A:$A,0)))</f>
        <v>0</v>
      </c>
      <c r="S668" s="19">
        <f t="shared" si="21"/>
        <v>0</v>
      </c>
    </row>
    <row r="669" spans="1:19" x14ac:dyDescent="0.25">
      <c r="A669" s="11" t="str">
        <f>'Bldgs &amp; Rooms'!$A$20</f>
        <v>Main Bldg.</v>
      </c>
      <c r="B669" s="11">
        <f>'Bldgs &amp; Rooms'!$B$20</f>
        <v>0</v>
      </c>
      <c r="C669" s="10" t="str">
        <f>Hours!$A$3</f>
        <v xml:space="preserve">  Switchgear Insulated Case Breakers (Bus Mounted)</v>
      </c>
      <c r="D669" s="11">
        <f t="shared" si="20"/>
        <v>0</v>
      </c>
      <c r="E669" s="16">
        <f>IF('Components Yr 1'!E669=0,0,'Components Yr 1'!E669)</f>
        <v>0</v>
      </c>
      <c r="F669" s="17">
        <f>IF('Components Yr 1'!F669=0,0,'Components Yr 1'!F669)</f>
        <v>0</v>
      </c>
      <c r="G669" s="17">
        <f>IF('Components Yr 1'!G669=0,0,'Components Yr 1'!G669)</f>
        <v>0</v>
      </c>
      <c r="H669" s="17">
        <f>IF('Components Yr 1'!H669=0,0,'Components Yr 1'!H669)</f>
        <v>0</v>
      </c>
      <c r="I669" s="17">
        <f>IF('Components Yr 1'!I669=0,0,'Components Yr 1'!I669)</f>
        <v>0</v>
      </c>
      <c r="J669" s="17">
        <f>IF('Components Yr 1'!J669=0,0,'Components Yr 1'!J669)</f>
        <v>0</v>
      </c>
      <c r="K669" s="17">
        <f>IF('Components Yr 1'!K669=0,0,'Components Yr 1'!K669)</f>
        <v>0</v>
      </c>
      <c r="L669" s="12"/>
      <c r="M669" s="12"/>
      <c r="N669" s="12"/>
      <c r="O669" s="12"/>
      <c r="P669" s="12"/>
      <c r="Q669" s="17"/>
      <c r="R669" s="18">
        <f>IF(SUMPRODUCT((E669:Q669)*1)=0,0,E669*INDEX(Hours!M:M,MATCH(C669,Hours!$A:$A,0))+F669*INDEX(Hours!B:B,MATCH(C669,Hours!$A:$A,0))+G669*INDEX(Hours!C:C,MATCH(C669,Hours!$A:$A,0))+H669*INDEX(Hours!D:D,MATCH(C669,Hours!$A:$A,0))+I669*INDEX(Hours!E:E,MATCH(C669,Hours!$A:$A,0))+J669*INDEX(Hours!F:F,MATCH(C669,Hours!$A:$A,0))+K669*INDEX(Hours!G:G,MATCH(C669,Hours!$A:$A,0)))</f>
        <v>0</v>
      </c>
      <c r="S669" s="19">
        <f t="shared" si="21"/>
        <v>0</v>
      </c>
    </row>
    <row r="670" spans="1:19" x14ac:dyDescent="0.25">
      <c r="A670" s="11" t="str">
        <f>'Bldgs &amp; Rooms'!$A$20</f>
        <v>Main Bldg.</v>
      </c>
      <c r="B670" s="11">
        <f>'Bldgs &amp; Rooms'!$B$20</f>
        <v>0</v>
      </c>
      <c r="C670" s="10" t="str">
        <f>Hours!$A$4</f>
        <v xml:space="preserve">  SwitchGear Drawout Breakers</v>
      </c>
      <c r="D670" s="11">
        <f t="shared" si="20"/>
        <v>0</v>
      </c>
      <c r="E670" s="16">
        <f>IF('Components Yr 1'!E670=0,0,'Components Yr 1'!E670)</f>
        <v>0</v>
      </c>
      <c r="F670" s="17">
        <f>IF('Components Yr 1'!F670=0,0,'Components Yr 1'!F670)</f>
        <v>0</v>
      </c>
      <c r="G670" s="17">
        <f>IF('Components Yr 1'!G670=0,0,'Components Yr 1'!G670)</f>
        <v>0</v>
      </c>
      <c r="H670" s="17">
        <f>IF('Components Yr 1'!H670=0,0,'Components Yr 1'!H670)</f>
        <v>0</v>
      </c>
      <c r="I670" s="17">
        <f>IF('Components Yr 1'!I670=0,0,'Components Yr 1'!I670)</f>
        <v>0</v>
      </c>
      <c r="J670" s="17">
        <f>IF('Components Yr 1'!J670=0,0,'Components Yr 1'!J670)</f>
        <v>0</v>
      </c>
      <c r="K670" s="12"/>
      <c r="L670" s="17">
        <f>IF('Components Yr 1'!L670=0,0,'Components Yr 1'!L670)</f>
        <v>0</v>
      </c>
      <c r="M670" s="12"/>
      <c r="N670" s="12"/>
      <c r="O670" s="12"/>
      <c r="P670" s="12"/>
      <c r="Q670" s="17"/>
      <c r="R670" s="18">
        <f>IF(SUMPRODUCT((E670:Q670)*1)=0,0,E670*INDEX(Hours!M:M,MATCH(C670,Hours!$A:$A,0))+F670*INDEX(Hours!B:B,MATCH(C670,Hours!$A:$A,0))+G670*INDEX(Hours!C:C,MATCH(C670,Hours!$A:$A,0))+H670*INDEX(Hours!D:D,MATCH(C670,Hours!$A:$A,0))+I670*INDEX(Hours!E:E,MATCH(C670,Hours!$A:$A,0))+J670*INDEX(Hours!F:F,MATCH(C670,Hours!$A:$A,0))+L670*INDEX(Hours!H:H,MATCH(C670,Hours!$A:$A,0)))</f>
        <v>0</v>
      </c>
      <c r="S670" s="19">
        <f t="shared" si="21"/>
        <v>0</v>
      </c>
    </row>
    <row r="671" spans="1:19" x14ac:dyDescent="0.25">
      <c r="A671" s="11" t="str">
        <f>'Bldgs &amp; Rooms'!$A$20</f>
        <v>Main Bldg.</v>
      </c>
      <c r="B671" s="11">
        <f>'Bldgs &amp; Rooms'!$B$20</f>
        <v>0</v>
      </c>
      <c r="C671" s="10" t="str">
        <f>Hours!$A$5</f>
        <v>Distribution Switchboard Multi Cover (Per Section)</v>
      </c>
      <c r="D671" s="11">
        <f t="shared" si="20"/>
        <v>0</v>
      </c>
      <c r="E671" s="16">
        <f>IF('Components Yr 1'!E671=0,0,'Components Yr 1'!E671)</f>
        <v>0</v>
      </c>
      <c r="F671" s="17">
        <f>IF('Components Yr 1'!F671=0,0,'Components Yr 1'!F671)</f>
        <v>0</v>
      </c>
      <c r="G671" s="17">
        <f>IF('Components Yr 1'!G671=0,0,'Components Yr 1'!G671)</f>
        <v>0</v>
      </c>
      <c r="H671" s="17">
        <f>IF('Components Yr 1'!H671=0,0,'Components Yr 1'!H671)</f>
        <v>0</v>
      </c>
      <c r="I671" s="17">
        <f>IF('Components Yr 1'!I671=0,0,'Components Yr 1'!I671)</f>
        <v>0</v>
      </c>
      <c r="J671" s="17">
        <f>IF('Components Yr 1'!J671=0,0,'Components Yr 1'!J671)</f>
        <v>0</v>
      </c>
      <c r="K671" s="17">
        <f>IF('Components Yr 1'!K671=0,0,'Components Yr 1'!K671)</f>
        <v>0</v>
      </c>
      <c r="L671" s="12"/>
      <c r="M671" s="12"/>
      <c r="N671" s="12"/>
      <c r="O671" s="17">
        <f>IF('Components Yr 1'!O671=0,0,'Components Yr 1'!O671)</f>
        <v>0</v>
      </c>
      <c r="P671" s="12"/>
      <c r="Q671" s="17"/>
      <c r="R671" s="18">
        <f>IF(SUMPRODUCT((E671:Q671)*1)=0,0,E671*INDEX(Hours!M:M,MATCH(C671,Hours!$A:$A,0))+F671*INDEX(Hours!B:B,MATCH(C671,Hours!$A:$A,0))+G671*INDEX(Hours!C:C,MATCH(C671,Hours!$A:$A,0))+H671*INDEX(Hours!D:D,MATCH(C671,Hours!$A:$A,0))+I671*INDEX(Hours!E:E,MATCH(C671,Hours!$A:$A,0))+J671*INDEX(Hours!F:F,MATCH(C671,Hours!$A:$A,0))+K671*INDEX(Hours!G:G,MATCH(C671,Hours!$A:$A,0))+O671*INDEX(Hours!K:K,MATCH(C671,Hours!$A:$A,0)))</f>
        <v>0</v>
      </c>
      <c r="S671" s="19">
        <f t="shared" si="21"/>
        <v>0</v>
      </c>
    </row>
    <row r="672" spans="1:19" x14ac:dyDescent="0.25">
      <c r="A672" s="11" t="str">
        <f>'Bldgs &amp; Rooms'!$A$20</f>
        <v>Main Bldg.</v>
      </c>
      <c r="B672" s="11">
        <f>'Bldgs &amp; Rooms'!$B$20</f>
        <v>0</v>
      </c>
      <c r="C672" s="10" t="str">
        <f>Hours!$A$6</f>
        <v xml:space="preserve">  Switchboard Disconnects</v>
      </c>
      <c r="D672" s="11">
        <f t="shared" si="20"/>
        <v>0</v>
      </c>
      <c r="E672" s="16">
        <f>IF('Components Yr 1'!E672=0,0,'Components Yr 1'!E672)</f>
        <v>0</v>
      </c>
      <c r="F672" s="17">
        <f>IF('Components Yr 1'!F672=0,0,'Components Yr 1'!F672)</f>
        <v>0</v>
      </c>
      <c r="G672" s="17">
        <f>IF('Components Yr 1'!G672=0,0,'Components Yr 1'!G672)</f>
        <v>0</v>
      </c>
      <c r="H672" s="17">
        <f>IF('Components Yr 1'!H672=0,0,'Components Yr 1'!H672)</f>
        <v>0</v>
      </c>
      <c r="I672" s="17">
        <f>IF('Components Yr 1'!I672=0,0,'Components Yr 1'!I672)</f>
        <v>0</v>
      </c>
      <c r="J672" s="17">
        <f>IF('Components Yr 1'!J672=0,0,'Components Yr 1'!J672)</f>
        <v>0</v>
      </c>
      <c r="K672" s="12"/>
      <c r="L672" s="12"/>
      <c r="M672" s="12"/>
      <c r="N672" s="12"/>
      <c r="O672" s="12"/>
      <c r="P672" s="12"/>
      <c r="Q672" s="17"/>
      <c r="R672" s="18">
        <f>IF(SUMPRODUCT((E672:Q672)*1)=0,0,E672*INDEX(Hours!M:M,MATCH(C672,Hours!$A:$A,0))+F672*INDEX(Hours!B:B,MATCH(C672,Hours!$A:$A,0))+G672*INDEX(Hours!C:C,MATCH(C672,Hours!$A:$A,0))+H672*INDEX(Hours!D:D,MATCH(C672,Hours!$A:$A,0))+I672*INDEX(Hours!E:E,MATCH(C672,Hours!$A:$A,0))+J672*INDEX(Hours!F:F,MATCH(C672,Hours!$A:$A,0)))</f>
        <v>0</v>
      </c>
      <c r="S672" s="19">
        <f t="shared" si="21"/>
        <v>0</v>
      </c>
    </row>
    <row r="673" spans="1:19" x14ac:dyDescent="0.25">
      <c r="A673" s="11" t="str">
        <f>'Bldgs &amp; Rooms'!$A$20</f>
        <v>Main Bldg.</v>
      </c>
      <c r="B673" s="11">
        <f>'Bldgs &amp; Rooms'!$B$20</f>
        <v>0</v>
      </c>
      <c r="C673" s="10" t="str">
        <f>Hours!$A$7</f>
        <v xml:space="preserve">  Switchboard Molded Case Breakers</v>
      </c>
      <c r="D673" s="11">
        <f t="shared" si="20"/>
        <v>0</v>
      </c>
      <c r="E673" s="16">
        <f>IF('Components Yr 1'!E673=0,0,'Components Yr 1'!E673)</f>
        <v>0</v>
      </c>
      <c r="F673" s="17">
        <f>IF('Components Yr 1'!F673=0,0,'Components Yr 1'!F673)</f>
        <v>0</v>
      </c>
      <c r="G673" s="17">
        <f>IF('Components Yr 1'!G673=0,0,'Components Yr 1'!G673)</f>
        <v>0</v>
      </c>
      <c r="H673" s="17">
        <f>IF('Components Yr 1'!H673=0,0,'Components Yr 1'!H673)</f>
        <v>0</v>
      </c>
      <c r="I673" s="17">
        <f>IF('Components Yr 1'!I673=0,0,'Components Yr 1'!I673)</f>
        <v>0</v>
      </c>
      <c r="J673" s="17">
        <f>IF('Components Yr 1'!J673=0,0,'Components Yr 1'!J673)</f>
        <v>0</v>
      </c>
      <c r="K673" s="17">
        <f>IF('Components Yr 1'!K673=0,0,'Components Yr 1'!K673)</f>
        <v>0</v>
      </c>
      <c r="L673" s="12"/>
      <c r="M673" s="12"/>
      <c r="N673" s="12"/>
      <c r="O673" s="12"/>
      <c r="P673" s="12"/>
      <c r="Q673" s="17"/>
      <c r="R673" s="18">
        <f>IF(SUMPRODUCT((E673:Q673)*1)=0,0,E673*INDEX(Hours!M:M,MATCH(C673,Hours!$A:$A,0))+F673*INDEX(Hours!B:B,MATCH(C673,Hours!$A:$A,0))+G673*INDEX(Hours!C:C,MATCH(C673,Hours!$A:$A,0))+H673*INDEX(Hours!D:D,MATCH(C673,Hours!$A:$A,0))+I673*INDEX(Hours!E:E,MATCH(C673,Hours!$A:$A,0))+J673*INDEX(Hours!F:F,MATCH(C673,Hours!$A:$A,0))+K673*INDEX(Hours!G:G,MATCH(C673,Hours!$A:$A,0)))</f>
        <v>0</v>
      </c>
      <c r="S673" s="19">
        <f t="shared" si="21"/>
        <v>0</v>
      </c>
    </row>
    <row r="674" spans="1:19" x14ac:dyDescent="0.25">
      <c r="A674" s="11" t="str">
        <f>'Bldgs &amp; Rooms'!$A$20</f>
        <v>Main Bldg.</v>
      </c>
      <c r="B674" s="11">
        <f>'Bldgs &amp; Rooms'!$B$20</f>
        <v>0</v>
      </c>
      <c r="C674" s="10" t="str">
        <f>Hours!$A$8</f>
        <v>Panelboard-Single Cover &gt; 400A (Distribution Panel)</v>
      </c>
      <c r="D674" s="11">
        <f t="shared" si="20"/>
        <v>0</v>
      </c>
      <c r="E674" s="16">
        <f>IF('Components Yr 1'!E674=0,0,'Components Yr 1'!E674)</f>
        <v>0</v>
      </c>
      <c r="F674" s="17">
        <f>IF('Components Yr 1'!F674=0,0,'Components Yr 1'!F674)</f>
        <v>0</v>
      </c>
      <c r="G674" s="17">
        <f>IF('Components Yr 1'!G674=0,0,'Components Yr 1'!G674)</f>
        <v>0</v>
      </c>
      <c r="H674" s="17">
        <f>IF('Components Yr 1'!H674=0,0,'Components Yr 1'!H674)</f>
        <v>0</v>
      </c>
      <c r="I674" s="17">
        <f>IF('Components Yr 1'!I674=0,0,'Components Yr 1'!I674)</f>
        <v>0</v>
      </c>
      <c r="J674" s="17">
        <f>IF('Components Yr 1'!J674=0,0,'Components Yr 1'!J674)</f>
        <v>0</v>
      </c>
      <c r="K674" s="17">
        <f>IF('Components Yr 1'!K674=0,0,'Components Yr 1'!K674)</f>
        <v>0</v>
      </c>
      <c r="L674" s="12"/>
      <c r="M674" s="12"/>
      <c r="N674" s="12"/>
      <c r="O674" s="17">
        <f>IF('Components Yr 1'!O674=0,0,'Components Yr 1'!O674)</f>
        <v>0</v>
      </c>
      <c r="P674" s="12"/>
      <c r="Q674" s="17"/>
      <c r="R674" s="18">
        <f>IF(SUMPRODUCT((E674:Q674)*1)=0,0,E674*INDEX(Hours!M:M,MATCH(C674,Hours!$A:$A,0))+F674*INDEX(Hours!B:B,MATCH(C674,Hours!$A:$A,0))+G674*INDEX(Hours!C:C,MATCH(C674,Hours!$A:$A,0))+H674*INDEX(Hours!D:D,MATCH(C674,Hours!$A:$A,0))+I674*INDEX(Hours!E:E,MATCH(C674,Hours!$A:$A,0))+J674*INDEX(Hours!F:F,MATCH(C674,Hours!$A:$A,0))+K674*INDEX(Hours!G:G,MATCH(C674,Hours!$A:$A,0))+O674*INDEX(Hours!K:K,MATCH(C674,Hours!$A:$A,0)))</f>
        <v>0</v>
      </c>
      <c r="S674" s="19">
        <f t="shared" si="21"/>
        <v>0</v>
      </c>
    </row>
    <row r="675" spans="1:19" x14ac:dyDescent="0.25">
      <c r="A675" s="11" t="str">
        <f>'Bldgs &amp; Rooms'!$A$20</f>
        <v>Main Bldg.</v>
      </c>
      <c r="B675" s="11">
        <f>'Bldgs &amp; Rooms'!$B$20</f>
        <v>0</v>
      </c>
      <c r="C675" s="10" t="str">
        <f>Hours!$A$9</f>
        <v>Panelboard-Single Cover &lt; 400A (Branch Ckt Panel)</v>
      </c>
      <c r="D675" s="11">
        <f t="shared" si="20"/>
        <v>0</v>
      </c>
      <c r="E675" s="16">
        <f>IF('Components Yr 1'!E675=0,0,'Components Yr 1'!E675)</f>
        <v>0</v>
      </c>
      <c r="F675" s="17">
        <f>IF('Components Yr 1'!F675=0,0,'Components Yr 1'!F675)</f>
        <v>0</v>
      </c>
      <c r="G675" s="17">
        <f>IF('Components Yr 1'!G675=0,0,'Components Yr 1'!G675)</f>
        <v>0</v>
      </c>
      <c r="H675" s="17">
        <f>IF('Components Yr 1'!H675=0,0,'Components Yr 1'!H675)</f>
        <v>0</v>
      </c>
      <c r="I675" s="17">
        <f>IF('Components Yr 1'!I675=0,0,'Components Yr 1'!I675)</f>
        <v>0</v>
      </c>
      <c r="J675" s="17">
        <f>IF('Components Yr 1'!J675=0,0,'Components Yr 1'!J675)</f>
        <v>0</v>
      </c>
      <c r="K675" s="12"/>
      <c r="L675" s="12"/>
      <c r="M675" s="12"/>
      <c r="N675" s="12"/>
      <c r="O675" s="17">
        <f>IF('Components Yr 1'!O675=0,0,'Components Yr 1'!O675)</f>
        <v>0</v>
      </c>
      <c r="P675" s="12"/>
      <c r="Q675" s="17"/>
      <c r="R675" s="18">
        <f>IF(SUMPRODUCT((E675:Q675)*1)=0,0,E675*INDEX(Hours!M:M,MATCH(C675,Hours!$A:$A,0))+F675*INDEX(Hours!B:B,MATCH(C675,Hours!$A:$A,0))+G675*INDEX(Hours!C:C,MATCH(C675,Hours!$A:$A,0))+H675*INDEX(Hours!D:D,MATCH(C675,Hours!$A:$A,0))+I675*INDEX(Hours!E:E,MATCH(C675,Hours!$A:$A,0))+J675*INDEX(Hours!F:F,MATCH(C675,Hours!$A:$A,0))+O675*INDEX(Hours!K:K,MATCH(C675,Hours!$A:$A,0)))</f>
        <v>0</v>
      </c>
      <c r="S675" s="19">
        <f t="shared" si="21"/>
        <v>0</v>
      </c>
    </row>
    <row r="676" spans="1:19" x14ac:dyDescent="0.25">
      <c r="A676" s="11" t="str">
        <f>'Bldgs &amp; Rooms'!$A$20</f>
        <v>Main Bldg.</v>
      </c>
      <c r="B676" s="11">
        <f>'Bldgs &amp; Rooms'!$B$20</f>
        <v>0</v>
      </c>
      <c r="C676" s="10" t="str">
        <f>Hours!$A$10</f>
        <v>Motor Control Center (MCC-Per Vertical Section)</v>
      </c>
      <c r="D676" s="11">
        <f t="shared" si="20"/>
        <v>0</v>
      </c>
      <c r="E676" s="16">
        <f>IF('Components Yr 1'!E676=0,0,'Components Yr 1'!E676)</f>
        <v>0</v>
      </c>
      <c r="F676" s="17">
        <f>IF('Components Yr 1'!F676=0,0,'Components Yr 1'!F676)</f>
        <v>0</v>
      </c>
      <c r="G676" s="17">
        <f>IF('Components Yr 1'!G676=0,0,'Components Yr 1'!G676)</f>
        <v>0</v>
      </c>
      <c r="H676" s="17">
        <f>IF('Components Yr 1'!H676=0,0,'Components Yr 1'!H676)</f>
        <v>0</v>
      </c>
      <c r="I676" s="17">
        <f>IF('Components Yr 1'!I676=0,0,'Components Yr 1'!I676)</f>
        <v>0</v>
      </c>
      <c r="J676" s="17">
        <f>IF('Components Yr 1'!J676=0,0,'Components Yr 1'!J676)</f>
        <v>0</v>
      </c>
      <c r="K676" s="12"/>
      <c r="L676" s="12"/>
      <c r="M676" s="12"/>
      <c r="N676" s="12"/>
      <c r="O676" s="17">
        <f>IF('Components Yr 1'!O676=0,0,'Components Yr 1'!O676)</f>
        <v>0</v>
      </c>
      <c r="P676" s="12"/>
      <c r="Q676" s="17"/>
      <c r="R676" s="18">
        <f>IF(SUMPRODUCT((E676:Q676)*1)=0,0,E676*INDEX(Hours!M:M,MATCH(C676,Hours!$A:$A,0))+F676*INDEX(Hours!B:B,MATCH(C676,Hours!$A:$A,0))+G676*INDEX(Hours!C:C,MATCH(C676,Hours!$A:$A,0))+H676*INDEX(Hours!D:D,MATCH(C676,Hours!$A:$A,0))+I676*INDEX(Hours!E:E,MATCH(C676,Hours!$A:$A,0))+J676*INDEX(Hours!F:F,MATCH(C676,Hours!$A:$A,0))+O676*INDEX(Hours!K:K,MATCH(C676,Hours!$A:$A,0)))</f>
        <v>0</v>
      </c>
      <c r="S676" s="19">
        <f t="shared" si="21"/>
        <v>0</v>
      </c>
    </row>
    <row r="677" spans="1:19" x14ac:dyDescent="0.25">
      <c r="A677" s="11" t="str">
        <f>'Bldgs &amp; Rooms'!$A$20</f>
        <v>Main Bldg.</v>
      </c>
      <c r="B677" s="11">
        <f>'Bldgs &amp; Rooms'!$B$20</f>
        <v>0</v>
      </c>
      <c r="C677" s="10" t="str">
        <f>Hours!$A$11</f>
        <v xml:space="preserve">  MCC: Combination Motor Starters</v>
      </c>
      <c r="D677" s="11">
        <f t="shared" si="20"/>
        <v>0</v>
      </c>
      <c r="E677" s="16">
        <f>IF('Components Yr 1'!E677=0,0,'Components Yr 1'!E677)</f>
        <v>0</v>
      </c>
      <c r="F677" s="17">
        <f>IF('Components Yr 1'!F677=0,0,'Components Yr 1'!F677)</f>
        <v>0</v>
      </c>
      <c r="G677" s="17">
        <f>IF('Components Yr 1'!G677=0,0,'Components Yr 1'!G677)</f>
        <v>0</v>
      </c>
      <c r="H677" s="17">
        <f>IF('Components Yr 1'!H677=0,0,'Components Yr 1'!H677)</f>
        <v>0</v>
      </c>
      <c r="I677" s="17">
        <f>IF('Components Yr 1'!I677=0,0,'Components Yr 1'!I677)</f>
        <v>0</v>
      </c>
      <c r="J677" s="17">
        <f>IF('Components Yr 1'!J677=0,0,'Components Yr 1'!J677)</f>
        <v>0</v>
      </c>
      <c r="K677" s="17">
        <f>IF('Components Yr 1'!K677=0,0,'Components Yr 1'!K677)</f>
        <v>0</v>
      </c>
      <c r="L677" s="12"/>
      <c r="M677" s="12"/>
      <c r="N677" s="12"/>
      <c r="O677" s="17">
        <f>IF('Components Yr 1'!O677=0,0,'Components Yr 1'!O677)</f>
        <v>0</v>
      </c>
      <c r="P677" s="12"/>
      <c r="Q677" s="17"/>
      <c r="R677" s="18">
        <f>IF(SUMPRODUCT((E677:Q677)*1)=0,0,E677*INDEX(Hours!M:M,MATCH(C677,Hours!$A:$A,0))+F677*INDEX(Hours!B:B,MATCH(C677,Hours!$A:$A,0))+G677*INDEX(Hours!C:C,MATCH(C677,Hours!$A:$A,0))+H677*INDEX(Hours!D:D,MATCH(C677,Hours!$A:$A,0))+I677*INDEX(Hours!E:E,MATCH(C677,Hours!$A:$A,0))+J677*INDEX(Hours!F:F,MATCH(C677,Hours!$A:$A,0))+K677*INDEX(Hours!G:G,MATCH(C677,Hours!$A:$A,0))+O677*INDEX(Hours!K:K,MATCH(C677,Hours!$A:$A,0)))</f>
        <v>0</v>
      </c>
      <c r="S677" s="19">
        <f t="shared" si="21"/>
        <v>0</v>
      </c>
    </row>
    <row r="678" spans="1:19" x14ac:dyDescent="0.25">
      <c r="A678" s="11" t="str">
        <f>'Bldgs &amp; Rooms'!$A$20</f>
        <v>Main Bldg.</v>
      </c>
      <c r="B678" s="11">
        <f>'Bldgs &amp; Rooms'!$B$20</f>
        <v>0</v>
      </c>
      <c r="C678" s="10" t="str">
        <f>Hours!$A$12</f>
        <v xml:space="preserve">  MCC: Molded Case Breaker</v>
      </c>
      <c r="D678" s="11">
        <f t="shared" si="20"/>
        <v>0</v>
      </c>
      <c r="E678" s="16">
        <f>IF('Components Yr 1'!E678=0,0,'Components Yr 1'!E678)</f>
        <v>0</v>
      </c>
      <c r="F678" s="17">
        <f>IF('Components Yr 1'!F678=0,0,'Components Yr 1'!F678)</f>
        <v>0</v>
      </c>
      <c r="G678" s="17">
        <f>IF('Components Yr 1'!G678=0,0,'Components Yr 1'!G678)</f>
        <v>0</v>
      </c>
      <c r="H678" s="17">
        <f>IF('Components Yr 1'!H678=0,0,'Components Yr 1'!H678)</f>
        <v>0</v>
      </c>
      <c r="I678" s="17">
        <f>IF('Components Yr 1'!I678=0,0,'Components Yr 1'!I678)</f>
        <v>0</v>
      </c>
      <c r="J678" s="17">
        <f>IF('Components Yr 1'!J678=0,0,'Components Yr 1'!J678)</f>
        <v>0</v>
      </c>
      <c r="K678" s="17">
        <f>IF('Components Yr 1'!K678=0,0,'Components Yr 1'!K678)</f>
        <v>0</v>
      </c>
      <c r="L678" s="12"/>
      <c r="M678" s="12"/>
      <c r="N678" s="12"/>
      <c r="O678" s="12"/>
      <c r="P678" s="12"/>
      <c r="Q678" s="17"/>
      <c r="R678" s="18">
        <f>IF(SUMPRODUCT((E678:Q678)*1)=0,0,E678*INDEX(Hours!M:M,MATCH(C678,Hours!$A:$A,0))+F678*INDEX(Hours!B:B,MATCH(C678,Hours!$A:$A,0))+G678*INDEX(Hours!C:C,MATCH(C678,Hours!$A:$A,0))+H678*INDEX(Hours!D:D,MATCH(C678,Hours!$A:$A,0))+I678*INDEX(Hours!E:E,MATCH(C678,Hours!$A:$A,0))+J678*INDEX(Hours!F:F,MATCH(C678,Hours!$A:$A,0))+K678*INDEX(Hours!G:G,MATCH(C678,Hours!$A:$A,0)))</f>
        <v>0</v>
      </c>
      <c r="S678" s="19">
        <f t="shared" si="21"/>
        <v>0</v>
      </c>
    </row>
    <row r="679" spans="1:19" x14ac:dyDescent="0.25">
      <c r="A679" s="11" t="str">
        <f>'Bldgs &amp; Rooms'!$A$20</f>
        <v>Main Bldg.</v>
      </c>
      <c r="B679" s="11">
        <f>'Bldgs &amp; Rooms'!$B$20</f>
        <v>0</v>
      </c>
      <c r="C679" s="10" t="str">
        <f>Hours!$A$13</f>
        <v xml:space="preserve">  MCC: Individual Disconnect Switch</v>
      </c>
      <c r="D679" s="11">
        <f t="shared" si="20"/>
        <v>0</v>
      </c>
      <c r="E679" s="16">
        <f>IF('Components Yr 1'!E679=0,0,'Components Yr 1'!E679)</f>
        <v>0</v>
      </c>
      <c r="F679" s="17">
        <f>IF('Components Yr 1'!F679=0,0,'Components Yr 1'!F679)</f>
        <v>0</v>
      </c>
      <c r="G679" s="17">
        <f>IF('Components Yr 1'!G679=0,0,'Components Yr 1'!G679)</f>
        <v>0</v>
      </c>
      <c r="H679" s="17">
        <f>IF('Components Yr 1'!H679=0,0,'Components Yr 1'!H679)</f>
        <v>0</v>
      </c>
      <c r="I679" s="17">
        <f>IF('Components Yr 1'!I679=0,0,'Components Yr 1'!I679)</f>
        <v>0</v>
      </c>
      <c r="J679" s="17">
        <f>IF('Components Yr 1'!J679=0,0,'Components Yr 1'!J679)</f>
        <v>0</v>
      </c>
      <c r="K679" s="12"/>
      <c r="L679" s="12"/>
      <c r="M679" s="12"/>
      <c r="N679" s="12"/>
      <c r="O679" s="12"/>
      <c r="P679" s="12"/>
      <c r="Q679" s="17"/>
      <c r="R679" s="18">
        <f>IF(SUMPRODUCT((E679:Q679)*1)=0,0,E679*INDEX(Hours!M:M,MATCH(C679,Hours!$A:$A,0))+F679*INDEX(Hours!B:B,MATCH(C679,Hours!$A:$A,0))+G679*INDEX(Hours!C:C,MATCH(C679,Hours!$A:$A,0))+H679*INDEX(Hours!D:D,MATCH(C679,Hours!$A:$A,0))+I679*INDEX(Hours!E:E,MATCH(C679,Hours!$A:$A,0))+J679*INDEX(Hours!F:F,MATCH(C679,Hours!$A:$A,0)))</f>
        <v>0</v>
      </c>
      <c r="S679" s="19">
        <f t="shared" si="21"/>
        <v>0</v>
      </c>
    </row>
    <row r="680" spans="1:19" x14ac:dyDescent="0.25">
      <c r="A680" s="11" t="str">
        <f>'Bldgs &amp; Rooms'!$A$20</f>
        <v>Main Bldg.</v>
      </c>
      <c r="B680" s="11">
        <f>'Bldgs &amp; Rooms'!$B$20</f>
        <v>0</v>
      </c>
      <c r="C680" s="10" t="str">
        <f>Hours!$A$14</f>
        <v>Motor Control Panel (MCP)</v>
      </c>
      <c r="D680" s="11">
        <f t="shared" si="20"/>
        <v>0</v>
      </c>
      <c r="E680" s="16">
        <f>IF('Components Yr 1'!E680=0,0,'Components Yr 1'!E680)</f>
        <v>0</v>
      </c>
      <c r="F680" s="17">
        <f>IF('Components Yr 1'!F680=0,0,'Components Yr 1'!F680)</f>
        <v>0</v>
      </c>
      <c r="G680" s="17">
        <f>IF('Components Yr 1'!G680=0,0,'Components Yr 1'!G680)</f>
        <v>0</v>
      </c>
      <c r="H680" s="17">
        <f>IF('Components Yr 1'!H680=0,0,'Components Yr 1'!H680)</f>
        <v>0</v>
      </c>
      <c r="I680" s="17">
        <f>IF('Components Yr 1'!I680=0,0,'Components Yr 1'!I680)</f>
        <v>0</v>
      </c>
      <c r="J680" s="17">
        <f>IF('Components Yr 1'!J680=0,0,'Components Yr 1'!J680)</f>
        <v>0</v>
      </c>
      <c r="K680" s="12"/>
      <c r="L680" s="12"/>
      <c r="M680" s="12"/>
      <c r="N680" s="12"/>
      <c r="O680" s="17">
        <f>IF('Components Yr 1'!O680=0,0,'Components Yr 1'!O680)</f>
        <v>0</v>
      </c>
      <c r="P680" s="12"/>
      <c r="Q680" s="17"/>
      <c r="R680" s="18">
        <f>IF(SUMPRODUCT((E680:Q680)*1)=0,0,E680*INDEX(Hours!M:M,MATCH(C680,Hours!$A:$A,0))+F680*INDEX(Hours!B:B,MATCH(C680,Hours!$A:$A,0))+G680*INDEX(Hours!C:C,MATCH(C680,Hours!$A:$A,0))+H680*INDEX(Hours!D:D,MATCH(C680,Hours!$A:$A,0))+I680*INDEX(Hours!E:E,MATCH(C680,Hours!$A:$A,0))+J680*INDEX(Hours!F:F,MATCH(C680,Hours!$A:$A,0))+O680*INDEX(Hours!K:K,MATCH(C680,Hours!$A:$A,0)))</f>
        <v>0</v>
      </c>
      <c r="S680" s="19">
        <f t="shared" si="21"/>
        <v>0</v>
      </c>
    </row>
    <row r="681" spans="1:19" x14ac:dyDescent="0.25">
      <c r="A681" s="11" t="str">
        <f>'Bldgs &amp; Rooms'!$A$20</f>
        <v>Main Bldg.</v>
      </c>
      <c r="B681" s="11">
        <f>'Bldgs &amp; Rooms'!$B$20</f>
        <v>0</v>
      </c>
      <c r="C681" s="10" t="str">
        <f>Hours!$A$15</f>
        <v>VFD Motor Control Panel (VFD-MCP)</v>
      </c>
      <c r="D681" s="11">
        <f t="shared" si="20"/>
        <v>0</v>
      </c>
      <c r="E681" s="16">
        <f>IF('Components Yr 1'!E681=0,0,'Components Yr 1'!E681)</f>
        <v>0</v>
      </c>
      <c r="F681" s="17">
        <f>IF('Components Yr 1'!F681=0,0,'Components Yr 1'!F681)</f>
        <v>0</v>
      </c>
      <c r="G681" s="17">
        <f>IF('Components Yr 1'!G681=0,0,'Components Yr 1'!G681)</f>
        <v>0</v>
      </c>
      <c r="H681" s="17">
        <f>IF('Components Yr 1'!H681=0,0,'Components Yr 1'!H681)</f>
        <v>0</v>
      </c>
      <c r="I681" s="17">
        <f>IF('Components Yr 1'!I681=0,0,'Components Yr 1'!I681)</f>
        <v>0</v>
      </c>
      <c r="J681" s="17">
        <f>IF('Components Yr 1'!J681=0,0,'Components Yr 1'!J681)</f>
        <v>0</v>
      </c>
      <c r="K681" s="12"/>
      <c r="L681" s="12"/>
      <c r="M681" s="12"/>
      <c r="N681" s="12"/>
      <c r="O681" s="17">
        <f>IF('Components Yr 1'!O681=0,0,'Components Yr 1'!O681)</f>
        <v>0</v>
      </c>
      <c r="P681" s="12"/>
      <c r="Q681" s="17"/>
      <c r="R681" s="18">
        <f>IF(SUMPRODUCT((E681:Q681)*1)=0,0,E681*INDEX(Hours!M:M,MATCH(C681,Hours!$A:$A,0))+F681*INDEX(Hours!B:B,MATCH(C681,Hours!$A:$A,0))+G681*INDEX(Hours!C:C,MATCH(C681,Hours!$A:$A,0))+H681*INDEX(Hours!D:D,MATCH(C681,Hours!$A:$A,0))+I681*INDEX(Hours!E:E,MATCH(C681,Hours!$A:$A,0))+J681*INDEX(Hours!F:F,MATCH(C681,Hours!$A:$A,0))+O681*INDEX(Hours!K:K,MATCH(C681,Hours!$A:$A,0)))</f>
        <v>0</v>
      </c>
      <c r="S681" s="19">
        <f t="shared" si="21"/>
        <v>0</v>
      </c>
    </row>
    <row r="682" spans="1:19" x14ac:dyDescent="0.25">
      <c r="A682" s="11" t="str">
        <f>'Bldgs &amp; Rooms'!$A$20</f>
        <v>Main Bldg.</v>
      </c>
      <c r="B682" s="11">
        <f>'Bldgs &amp; Rooms'!$B$20</f>
        <v>0</v>
      </c>
      <c r="C682" s="10" t="str">
        <f>Hours!$A$16</f>
        <v>Individual Disconnect Switch &gt; 100A</v>
      </c>
      <c r="D682" s="11">
        <f t="shared" si="20"/>
        <v>0</v>
      </c>
      <c r="E682" s="16">
        <f>IF('Components Yr 1'!E682=0,0,'Components Yr 1'!E682)</f>
        <v>0</v>
      </c>
      <c r="F682" s="17">
        <f>IF('Components Yr 1'!F682=0,0,'Components Yr 1'!F682)</f>
        <v>0</v>
      </c>
      <c r="G682" s="17">
        <f>IF('Components Yr 1'!G682=0,0,'Components Yr 1'!G682)</f>
        <v>0</v>
      </c>
      <c r="H682" s="17">
        <f>IF('Components Yr 1'!H682=0,0,'Components Yr 1'!H682)</f>
        <v>0</v>
      </c>
      <c r="I682" s="17">
        <f>IF('Components Yr 1'!I682=0,0,'Components Yr 1'!I682)</f>
        <v>0</v>
      </c>
      <c r="J682" s="17">
        <f>IF('Components Yr 1'!J682=0,0,'Components Yr 1'!J682)</f>
        <v>0</v>
      </c>
      <c r="K682" s="17">
        <f>IF('Components Yr 1'!K682=0,0,'Components Yr 1'!K682)</f>
        <v>0</v>
      </c>
      <c r="L682" s="12"/>
      <c r="M682" s="12"/>
      <c r="N682" s="12"/>
      <c r="O682" s="12"/>
      <c r="P682" s="12"/>
      <c r="Q682" s="17"/>
      <c r="R682" s="18">
        <f>IF(SUMPRODUCT((E682:Q682)*1)=0,0,E682*INDEX(Hours!M:M,MATCH(C682,Hours!$A:$A,0))+F682*INDEX(Hours!B:B,MATCH(C682,Hours!$A:$A,0))+G682*INDEX(Hours!C:C,MATCH(C682,Hours!$A:$A,0))+H682*INDEX(Hours!D:D,MATCH(C682,Hours!$A:$A,0))+I682*INDEX(Hours!E:E,MATCH(C682,Hours!$A:$A,0))+J682*INDEX(Hours!F:F,MATCH(C682,Hours!$A:$A,0))+K682*INDEX(Hours!G:G,MATCH(C682,Hours!$A:$A,0)))</f>
        <v>0</v>
      </c>
      <c r="S682" s="19">
        <f t="shared" si="21"/>
        <v>0</v>
      </c>
    </row>
    <row r="683" spans="1:19" x14ac:dyDescent="0.25">
      <c r="A683" s="11" t="str">
        <f>'Bldgs &amp; Rooms'!$A$20</f>
        <v>Main Bldg.</v>
      </c>
      <c r="B683" s="11">
        <f>'Bldgs &amp; Rooms'!$B$20</f>
        <v>0</v>
      </c>
      <c r="C683" s="10" t="str">
        <f>Hours!$A$17</f>
        <v>Individual Molded Case Breaker &gt; 100A</v>
      </c>
      <c r="D683" s="11">
        <f t="shared" si="20"/>
        <v>0</v>
      </c>
      <c r="E683" s="16">
        <f>IF('Components Yr 1'!E683=0,0,'Components Yr 1'!E683)</f>
        <v>0</v>
      </c>
      <c r="F683" s="17">
        <f>IF('Components Yr 1'!F683=0,0,'Components Yr 1'!F683)</f>
        <v>0</v>
      </c>
      <c r="G683" s="17">
        <f>IF('Components Yr 1'!G683=0,0,'Components Yr 1'!G683)</f>
        <v>0</v>
      </c>
      <c r="H683" s="17">
        <f>IF('Components Yr 1'!H683=0,0,'Components Yr 1'!H683)</f>
        <v>0</v>
      </c>
      <c r="I683" s="17">
        <f>IF('Components Yr 1'!I683=0,0,'Components Yr 1'!I683)</f>
        <v>0</v>
      </c>
      <c r="J683" s="17">
        <f>IF('Components Yr 1'!J683=0,0,'Components Yr 1'!J683)</f>
        <v>0</v>
      </c>
      <c r="K683" s="17">
        <f>IF('Components Yr 1'!K683=0,0,'Components Yr 1'!K683)</f>
        <v>0</v>
      </c>
      <c r="L683" s="12"/>
      <c r="M683" s="12"/>
      <c r="N683" s="12"/>
      <c r="O683" s="12"/>
      <c r="P683" s="12"/>
      <c r="Q683" s="17"/>
      <c r="R683" s="18">
        <f>IF(SUMPRODUCT((E683:Q683)*1)=0,0,E683*INDEX(Hours!M:M,MATCH(C683,Hours!$A:$A,0))+F683*INDEX(Hours!B:B,MATCH(C683,Hours!$A:$A,0))+G683*INDEX(Hours!C:C,MATCH(C683,Hours!$A:$A,0))+H683*INDEX(Hours!D:D,MATCH(C683,Hours!$A:$A,0))+I683*INDEX(Hours!E:E,MATCH(C683,Hours!$A:$A,0))+J683*INDEX(Hours!F:F,MATCH(C683,Hours!$A:$A,0))+K683*INDEX(Hours!G:G,MATCH(C683,Hours!$A:$A,0)))</f>
        <v>0</v>
      </c>
      <c r="S683" s="19">
        <f t="shared" si="21"/>
        <v>0</v>
      </c>
    </row>
    <row r="684" spans="1:19" x14ac:dyDescent="0.25">
      <c r="A684" s="11" t="str">
        <f>'Bldgs &amp; Rooms'!$A$20</f>
        <v>Main Bldg.</v>
      </c>
      <c r="B684" s="11">
        <f>'Bldgs &amp; Rooms'!$B$20</f>
        <v>0</v>
      </c>
      <c r="C684" s="10" t="str">
        <f>Hours!$A$18</f>
        <v>Individual Combination Motor Starter &gt; 100A</v>
      </c>
      <c r="D684" s="11">
        <f t="shared" si="20"/>
        <v>0</v>
      </c>
      <c r="E684" s="16">
        <f>IF('Components Yr 1'!E684=0,0,'Components Yr 1'!E684)</f>
        <v>0</v>
      </c>
      <c r="F684" s="17">
        <f>IF('Components Yr 1'!F684=0,0,'Components Yr 1'!F684)</f>
        <v>0</v>
      </c>
      <c r="G684" s="17">
        <f>IF('Components Yr 1'!G684=0,0,'Components Yr 1'!G684)</f>
        <v>0</v>
      </c>
      <c r="H684" s="17">
        <f>IF('Components Yr 1'!H684=0,0,'Components Yr 1'!H684)</f>
        <v>0</v>
      </c>
      <c r="I684" s="17">
        <f>IF('Components Yr 1'!I684=0,0,'Components Yr 1'!I684)</f>
        <v>0</v>
      </c>
      <c r="J684" s="17">
        <f>IF('Components Yr 1'!J684=0,0,'Components Yr 1'!J684)</f>
        <v>0</v>
      </c>
      <c r="K684" s="17">
        <f>IF('Components Yr 1'!K684=0,0,'Components Yr 1'!K684)</f>
        <v>0</v>
      </c>
      <c r="L684" s="12"/>
      <c r="M684" s="12"/>
      <c r="N684" s="12"/>
      <c r="O684" s="12"/>
      <c r="P684" s="12"/>
      <c r="Q684" s="17"/>
      <c r="R684" s="18">
        <f>IF(SUMPRODUCT((E684:Q684)*1)=0,0,E684*INDEX(Hours!M:M,MATCH(C684,Hours!$A:$A,0))+F684*INDEX(Hours!B:B,MATCH(C684,Hours!$A:$A,0))+G684*INDEX(Hours!C:C,MATCH(C684,Hours!$A:$A,0))+H684*INDEX(Hours!D:D,MATCH(C684,Hours!$A:$A,0))+I684*INDEX(Hours!E:E,MATCH(C684,Hours!$A:$A,0))+J684*INDEX(Hours!F:F,MATCH(C684,Hours!$A:$A,0))+K684*INDEX(Hours!G:G,MATCH(C684,Hours!$A:$A,0)))</f>
        <v>0</v>
      </c>
      <c r="S684" s="19">
        <f t="shared" si="21"/>
        <v>0</v>
      </c>
    </row>
    <row r="685" spans="1:19" x14ac:dyDescent="0.25">
      <c r="A685" s="11" t="str">
        <f>'Bldgs &amp; Rooms'!$A$20</f>
        <v>Main Bldg.</v>
      </c>
      <c r="B685" s="11">
        <f>'Bldgs &amp; Rooms'!$B$20</f>
        <v>0</v>
      </c>
      <c r="C685" s="10" t="str">
        <f>Hours!$A$19</f>
        <v>Oil Filled Transformer - 5kV-15kV Primary - Any Size (Pad Mounted)</v>
      </c>
      <c r="D685" s="11">
        <f t="shared" si="20"/>
        <v>0</v>
      </c>
      <c r="E685" s="16">
        <f>IF('Components Yr 1'!E685=0,0,'Components Yr 1'!E685)</f>
        <v>0</v>
      </c>
      <c r="F685" s="17">
        <f>IF('Components Yr 1'!F685=0,0,'Components Yr 1'!F685)</f>
        <v>0</v>
      </c>
      <c r="G685" s="17">
        <f>IF('Components Yr 1'!G685=0,0,'Components Yr 1'!G685)</f>
        <v>0</v>
      </c>
      <c r="H685" s="17">
        <f>IF('Components Yr 1'!H685=0,0,'Components Yr 1'!H685)</f>
        <v>0</v>
      </c>
      <c r="I685" s="17">
        <f>IF('Components Yr 1'!I685=0,0,'Components Yr 1'!I685)</f>
        <v>0</v>
      </c>
      <c r="J685" s="17">
        <f>IF('Components Yr 1'!J685=0,0,'Components Yr 1'!J685)</f>
        <v>0</v>
      </c>
      <c r="K685" s="12"/>
      <c r="L685" s="12"/>
      <c r="M685" s="17">
        <f>IF('Components Yr 1'!M685=0,0,'Components Yr 1'!M685)</f>
        <v>0</v>
      </c>
      <c r="N685" s="17">
        <f>IF('Components Yr 1'!N685=0,0,'Components Yr 1'!N685)</f>
        <v>0</v>
      </c>
      <c r="O685" s="12"/>
      <c r="P685" s="17">
        <f>IF('Components Yr 1'!P685=0,0,'Components Yr 1'!P685)</f>
        <v>0</v>
      </c>
      <c r="Q685" s="17"/>
      <c r="R685" s="18">
        <f>IF(SUMPRODUCT((E685:Q685)*1)=0,0,E685*INDEX(Hours!M:M,MATCH(C685,Hours!$A:$A,0))+F685*INDEX(Hours!B:B,MATCH(C685,Hours!$A:$A,0))+G685*INDEX(Hours!C:C,MATCH(C685,Hours!$A:$A,0))+H685*INDEX(Hours!D:D,MATCH(C685,Hours!$A:$A,0))+I685*INDEX(Hours!E:E,MATCH(C685,Hours!$A:$A,0))+J685*INDEX(Hours!F:F,MATCH(C685,Hours!$A:$A,0))+M685*INDEX(Hours!I:I,MATCH(C685,Hours!$A:$A,0))+N685*INDEX(Hours!J:J,MATCH(C685,Hours!$A:$A,0))+P685*INDEX(Hours!L:L,MATCH(C685,Hours!$A:$A,0)))</f>
        <v>0</v>
      </c>
      <c r="S685" s="19">
        <f t="shared" si="21"/>
        <v>0</v>
      </c>
    </row>
    <row r="686" spans="1:19" x14ac:dyDescent="0.25">
      <c r="A686" s="11" t="str">
        <f>'Bldgs &amp; Rooms'!$A$20</f>
        <v>Main Bldg.</v>
      </c>
      <c r="B686" s="11">
        <f>'Bldgs &amp; Rooms'!$B$20</f>
        <v>0</v>
      </c>
      <c r="C686" s="10" t="str">
        <f>Hours!$A$20</f>
        <v>Oil Filled Transformer - &gt; 15kV Primary (Substation Class)</v>
      </c>
      <c r="D686" s="11">
        <f t="shared" si="20"/>
        <v>0</v>
      </c>
      <c r="E686" s="16">
        <f>IF('Components Yr 1'!E686=0,0,'Components Yr 1'!E686)</f>
        <v>0</v>
      </c>
      <c r="F686" s="17">
        <f>IF('Components Yr 1'!F686=0,0,'Components Yr 1'!F686)</f>
        <v>0</v>
      </c>
      <c r="G686" s="17">
        <f>IF('Components Yr 1'!G686=0,0,'Components Yr 1'!G686)</f>
        <v>0</v>
      </c>
      <c r="H686" s="17">
        <f>IF('Components Yr 1'!H686=0,0,'Components Yr 1'!H686)</f>
        <v>0</v>
      </c>
      <c r="I686" s="17">
        <f>IF('Components Yr 1'!I686=0,0,'Components Yr 1'!I686)</f>
        <v>0</v>
      </c>
      <c r="J686" s="17">
        <f>IF('Components Yr 1'!J686=0,0,'Components Yr 1'!J686)</f>
        <v>0</v>
      </c>
      <c r="K686" s="12"/>
      <c r="L686" s="12"/>
      <c r="M686" s="17">
        <f>IF('Components Yr 1'!M686=0,0,'Components Yr 1'!M686)</f>
        <v>0</v>
      </c>
      <c r="N686" s="17">
        <f>IF('Components Yr 1'!N686=0,0,'Components Yr 1'!N686)</f>
        <v>0</v>
      </c>
      <c r="O686" s="12"/>
      <c r="P686" s="17">
        <f>IF('Components Yr 1'!P686=0,0,'Components Yr 1'!P686)</f>
        <v>0</v>
      </c>
      <c r="Q686" s="17"/>
      <c r="R686" s="18">
        <f>IF(SUMPRODUCT((E686:Q686)*1)=0,0,E686*INDEX(Hours!M:M,MATCH(C686,Hours!$A:$A,0))+F686*INDEX(Hours!B:B,MATCH(C686,Hours!$A:$A,0))+G686*INDEX(Hours!C:C,MATCH(C686,Hours!$A:$A,0))+H686*INDEX(Hours!D:D,MATCH(C686,Hours!$A:$A,0))+I686*INDEX(Hours!E:E,MATCH(C686,Hours!$A:$A,0))+J686*INDEX(Hours!F:F,MATCH(C686,Hours!$A:$A,0))+M686*INDEX(Hours!I:I,MATCH(C686,Hours!$A:$A,0))+N686*INDEX(Hours!J:J,MATCH(C686,Hours!$A:$A,0))+P686*INDEX(Hours!L:L,MATCH(C686,Hours!$A:$A,0)))</f>
        <v>0</v>
      </c>
      <c r="S686" s="19">
        <f t="shared" si="21"/>
        <v>0</v>
      </c>
    </row>
    <row r="687" spans="1:19" x14ac:dyDescent="0.25">
      <c r="A687" s="11" t="str">
        <f>'Bldgs &amp; Rooms'!$A$20</f>
        <v>Main Bldg.</v>
      </c>
      <c r="B687" s="11">
        <f>'Bldgs &amp; Rooms'!$B$20</f>
        <v>0</v>
      </c>
      <c r="C687" s="10" t="str">
        <f>Hours!$A$21</f>
        <v>Dry Type Transformer - &lt; 480V Primary - Any Size kVA</v>
      </c>
      <c r="D687" s="11">
        <f t="shared" si="20"/>
        <v>0</v>
      </c>
      <c r="E687" s="16">
        <f>IF('Components Yr 1'!E687=0,0,'Components Yr 1'!E687)</f>
        <v>0</v>
      </c>
      <c r="F687" s="17">
        <f>IF('Components Yr 1'!F687=0,0,'Components Yr 1'!F687)</f>
        <v>0</v>
      </c>
      <c r="G687" s="17">
        <f>IF('Components Yr 1'!G687=0,0,'Components Yr 1'!G687)</f>
        <v>0</v>
      </c>
      <c r="H687" s="17">
        <f>IF('Components Yr 1'!H687=0,0,'Components Yr 1'!H687)</f>
        <v>0</v>
      </c>
      <c r="I687" s="17">
        <f>IF('Components Yr 1'!I687=0,0,'Components Yr 1'!I687)</f>
        <v>0</v>
      </c>
      <c r="J687" s="17">
        <f>IF('Components Yr 1'!J687=0,0,'Components Yr 1'!J687)</f>
        <v>0</v>
      </c>
      <c r="K687" s="12"/>
      <c r="L687" s="12"/>
      <c r="M687" s="17">
        <f>IF('Components Yr 1'!M687=0,0,'Components Yr 1'!M687)</f>
        <v>0</v>
      </c>
      <c r="N687" s="17">
        <f>IF('Components Yr 1'!N687=0,0,'Components Yr 1'!N687)</f>
        <v>0</v>
      </c>
      <c r="O687" s="12"/>
      <c r="P687" s="12"/>
      <c r="Q687" s="17"/>
      <c r="R687" s="18">
        <f>IF(SUMPRODUCT((E687:Q687)*1)=0,0,E687*INDEX(Hours!M:M,MATCH(C687,Hours!$A:$A,0))+F687*INDEX(Hours!B:B,MATCH(C687,Hours!$A:$A,0))+G687*INDEX(Hours!C:C,MATCH(C687,Hours!$A:$A,0))+H687*INDEX(Hours!D:D,MATCH(C687,Hours!$A:$A,0))+I687*INDEX(Hours!E:E,MATCH(C687,Hours!$A:$A,0))+J687*INDEX(Hours!F:F,MATCH(C687,Hours!$A:$A,0))+M687*INDEX(Hours!I:I,MATCH(C687,Hours!$A:$A,0))+N687*INDEX(Hours!J:J,MATCH(C687,Hours!$A:$A,0)))</f>
        <v>0</v>
      </c>
      <c r="S687" s="19">
        <f t="shared" si="21"/>
        <v>0</v>
      </c>
    </row>
    <row r="688" spans="1:19" x14ac:dyDescent="0.25">
      <c r="A688" s="11" t="str">
        <f>'Bldgs &amp; Rooms'!$A$20</f>
        <v>Main Bldg.</v>
      </c>
      <c r="B688" s="11">
        <f>'Bldgs &amp; Rooms'!$B$20</f>
        <v>0</v>
      </c>
      <c r="C688" s="10" t="str">
        <f>Hours!$A$22</f>
        <v>Power Factor Correction Capacitors</v>
      </c>
      <c r="D688" s="11">
        <f t="shared" si="20"/>
        <v>0</v>
      </c>
      <c r="E688" s="16">
        <f>IF('Components Yr 1'!E688=0,0,'Components Yr 1'!E688)</f>
        <v>0</v>
      </c>
      <c r="F688" s="17">
        <f>IF('Components Yr 1'!F688=0,0,'Components Yr 1'!F688)</f>
        <v>0</v>
      </c>
      <c r="G688" s="17">
        <f>IF('Components Yr 1'!G688=0,0,'Components Yr 1'!G688)</f>
        <v>0</v>
      </c>
      <c r="H688" s="17">
        <f>IF('Components Yr 1'!H688=0,0,'Components Yr 1'!H688)</f>
        <v>0</v>
      </c>
      <c r="I688" s="17">
        <f>IF('Components Yr 1'!I688=0,0,'Components Yr 1'!I688)</f>
        <v>0</v>
      </c>
      <c r="J688" s="17">
        <f>IF('Components Yr 1'!J688=0,0,'Components Yr 1'!J688)</f>
        <v>0</v>
      </c>
      <c r="K688" s="12"/>
      <c r="L688" s="12"/>
      <c r="M688" s="12"/>
      <c r="N688" s="12"/>
      <c r="O688" s="12"/>
      <c r="P688" s="12"/>
      <c r="Q688" s="17"/>
      <c r="R688" s="18">
        <f>IF(SUMPRODUCT((E688:Q688)*1)=0,0,E688*INDEX(Hours!M:M,MATCH(C688,Hours!$A:$A,0))+F688*INDEX(Hours!B:B,MATCH(C688,Hours!$A:$A,0))+G688*INDEX(Hours!C:C,MATCH(C688,Hours!$A:$A,0))+H688*INDEX(Hours!D:D,MATCH(C688,Hours!$A:$A,0))+I688*INDEX(Hours!E:E,MATCH(C688,Hours!$A:$A,0))+J688*INDEX(Hours!F:F,MATCH(C688,Hours!$A:$A,0)))</f>
        <v>0</v>
      </c>
      <c r="S688" s="19">
        <f t="shared" si="21"/>
        <v>0</v>
      </c>
    </row>
    <row r="689" spans="1:19" x14ac:dyDescent="0.25">
      <c r="A689" s="11" t="str">
        <f>'Bldgs &amp; Rooms'!$A$20</f>
        <v>Main Bldg.</v>
      </c>
      <c r="B689" s="11">
        <f>'Bldgs &amp; Rooms'!$B$20</f>
        <v>0</v>
      </c>
      <c r="C689" s="10" t="str">
        <f>Hours!$A$23</f>
        <v>Lighting Contactor &gt; 100A</v>
      </c>
      <c r="D689" s="11">
        <f t="shared" si="20"/>
        <v>0</v>
      </c>
      <c r="E689" s="16">
        <f>IF('Components Yr 1'!E689=0,0,'Components Yr 1'!E689)</f>
        <v>0</v>
      </c>
      <c r="F689" s="17">
        <f>IF('Components Yr 1'!F689=0,0,'Components Yr 1'!F689)</f>
        <v>0</v>
      </c>
      <c r="G689" s="17">
        <f>IF('Components Yr 1'!G689=0,0,'Components Yr 1'!G689)</f>
        <v>0</v>
      </c>
      <c r="H689" s="17">
        <f>IF('Components Yr 1'!H689=0,0,'Components Yr 1'!H689)</f>
        <v>0</v>
      </c>
      <c r="I689" s="17">
        <f>IF('Components Yr 1'!I689=0,0,'Components Yr 1'!I689)</f>
        <v>0</v>
      </c>
      <c r="J689" s="17">
        <f>IF('Components Yr 1'!J689=0,0,'Components Yr 1'!J689)</f>
        <v>0</v>
      </c>
      <c r="K689" s="12"/>
      <c r="L689" s="12"/>
      <c r="M689" s="12"/>
      <c r="N689" s="12"/>
      <c r="O689" s="12"/>
      <c r="P689" s="12"/>
      <c r="Q689" s="17"/>
      <c r="R689" s="18">
        <f>IF(SUMPRODUCT((E689:Q689)*1)=0,0,E689*INDEX(Hours!M:M,MATCH(C689,Hours!$A:$A,0))+F689*INDEX(Hours!B:B,MATCH(C689,Hours!$A:$A,0))+G689*INDEX(Hours!C:C,MATCH(C689,Hours!$A:$A,0))+H689*INDEX(Hours!D:D,MATCH(C689,Hours!$A:$A,0))+I689*INDEX(Hours!E:E,MATCH(C689,Hours!$A:$A,0))+J689*INDEX(Hours!F:F,MATCH(C689,Hours!$A:$A,0)))</f>
        <v>0</v>
      </c>
      <c r="S689" s="19">
        <f t="shared" si="21"/>
        <v>0</v>
      </c>
    </row>
    <row r="690" spans="1:19" x14ac:dyDescent="0.25">
      <c r="A690" s="11" t="str">
        <f>'Bldgs &amp; Rooms'!$A$20</f>
        <v>Main Bldg.</v>
      </c>
      <c r="B690" s="11">
        <f>'Bldgs &amp; Rooms'!$B$20</f>
        <v>0</v>
      </c>
      <c r="C690" s="10" t="str">
        <f>Hours!$A$24</f>
        <v>Power Distribution Unit (PDU)</v>
      </c>
      <c r="D690" s="11">
        <f t="shared" si="20"/>
        <v>0</v>
      </c>
      <c r="E690" s="16">
        <f>IF('Components Yr 1'!E690=0,0,'Components Yr 1'!E690)</f>
        <v>0</v>
      </c>
      <c r="F690" s="17">
        <f>IF('Components Yr 1'!F690=0,0,'Components Yr 1'!F690)</f>
        <v>0</v>
      </c>
      <c r="G690" s="17">
        <f>IF('Components Yr 1'!G690=0,0,'Components Yr 1'!G690)</f>
        <v>0</v>
      </c>
      <c r="H690" s="17">
        <f>IF('Components Yr 1'!H690=0,0,'Components Yr 1'!H690)</f>
        <v>0</v>
      </c>
      <c r="I690" s="17">
        <f>IF('Components Yr 1'!I690=0,0,'Components Yr 1'!I690)</f>
        <v>0</v>
      </c>
      <c r="J690" s="17">
        <f>IF('Components Yr 1'!J690=0,0,'Components Yr 1'!J690)</f>
        <v>0</v>
      </c>
      <c r="K690" s="12"/>
      <c r="L690" s="12"/>
      <c r="M690" s="12"/>
      <c r="N690" s="12"/>
      <c r="O690" s="12"/>
      <c r="P690" s="12"/>
      <c r="Q690" s="17"/>
      <c r="R690" s="18">
        <f>IF(SUMPRODUCT((E690:Q690)*1)=0,0,E690*INDEX(Hours!M:M,MATCH(C690,Hours!$A:$A,0))+F690*INDEX(Hours!B:B,MATCH(C690,Hours!$A:$A,0))+G690*INDEX(Hours!C:C,MATCH(C690,Hours!$A:$A,0))+H690*INDEX(Hours!D:D,MATCH(C690,Hours!$A:$A,0))+I690*INDEX(Hours!E:E,MATCH(C690,Hours!$A:$A,0))+J690*INDEX(Hours!F:F,MATCH(C690,Hours!$A:$A,0)))</f>
        <v>0</v>
      </c>
      <c r="S690" s="19">
        <f t="shared" si="21"/>
        <v>0</v>
      </c>
    </row>
    <row r="691" spans="1:19" x14ac:dyDescent="0.25">
      <c r="A691" s="11" t="str">
        <f>'Bldgs &amp; Rooms'!$A$20</f>
        <v>Main Bldg.</v>
      </c>
      <c r="B691" s="11">
        <f>'Bldgs &amp; Rooms'!$B$20</f>
        <v>0</v>
      </c>
      <c r="C691" s="10" t="str">
        <f>Hours!$A$25</f>
        <v>Wire Trough, Gutter, or Large Junction Boxes</v>
      </c>
      <c r="D691" s="11">
        <f t="shared" si="20"/>
        <v>0</v>
      </c>
      <c r="E691" s="16">
        <f>IF('Components Yr 1'!E691=0,0,'Components Yr 1'!E691)</f>
        <v>0</v>
      </c>
      <c r="F691" s="17">
        <f>IF('Components Yr 1'!F691=0,0,'Components Yr 1'!F691)</f>
        <v>0</v>
      </c>
      <c r="G691" s="17">
        <f>IF('Components Yr 1'!G691=0,0,'Components Yr 1'!G691)</f>
        <v>0</v>
      </c>
      <c r="H691" s="17">
        <f>IF('Components Yr 1'!H691=0,0,'Components Yr 1'!H691)</f>
        <v>0</v>
      </c>
      <c r="I691" s="17">
        <f>IF('Components Yr 1'!I691=0,0,'Components Yr 1'!I691)</f>
        <v>0</v>
      </c>
      <c r="J691" s="17">
        <f>IF('Components Yr 1'!J691=0,0,'Components Yr 1'!J691)</f>
        <v>0</v>
      </c>
      <c r="K691" s="12"/>
      <c r="L691" s="12"/>
      <c r="M691" s="12"/>
      <c r="N691" s="12"/>
      <c r="O691" s="12"/>
      <c r="P691" s="12"/>
      <c r="Q691" s="17"/>
      <c r="R691" s="18">
        <f>IF(SUMPRODUCT((E691:Q691)*1)=0,0,E691*INDEX(Hours!M:M,MATCH(C691,Hours!$A:$A,0))+F691*INDEX(Hours!B:B,MATCH(C691,Hours!$A:$A,0))+G691*INDEX(Hours!C:C,MATCH(C691,Hours!$A:$A,0))+H691*INDEX(Hours!D:D,MATCH(C691,Hours!$A:$A,0))+I691*INDEX(Hours!E:E,MATCH(C691,Hours!$A:$A,0))+J691*INDEX(Hours!F:F,MATCH(C691,Hours!$A:$A,0)))</f>
        <v>0</v>
      </c>
      <c r="S691" s="19">
        <f t="shared" si="21"/>
        <v>0</v>
      </c>
    </row>
    <row r="692" spans="1:19" x14ac:dyDescent="0.25">
      <c r="A692" s="11" t="str">
        <f>'Bldgs &amp; Rooms'!$A$20</f>
        <v>Main Bldg.</v>
      </c>
      <c r="B692" s="11">
        <f>'Bldgs &amp; Rooms'!$B$20</f>
        <v>0</v>
      </c>
      <c r="C692" s="10" t="str">
        <f>Hours!$A$26</f>
        <v>Bus Duct - Vertical or Horizontal (Per 10' section)</v>
      </c>
      <c r="D692" s="11">
        <f t="shared" si="20"/>
        <v>0</v>
      </c>
      <c r="E692" s="16">
        <f>IF('Components Yr 1'!E692=0,0,'Components Yr 1'!E692)</f>
        <v>0</v>
      </c>
      <c r="F692" s="17">
        <f>IF('Components Yr 1'!F692=0,0,'Components Yr 1'!F692)</f>
        <v>0</v>
      </c>
      <c r="G692" s="17">
        <f>IF('Components Yr 1'!G692=0,0,'Components Yr 1'!G692)</f>
        <v>0</v>
      </c>
      <c r="H692" s="17">
        <f>IF('Components Yr 1'!H692=0,0,'Components Yr 1'!H692)</f>
        <v>0</v>
      </c>
      <c r="I692" s="17">
        <f>IF('Components Yr 1'!I692=0,0,'Components Yr 1'!I692)</f>
        <v>0</v>
      </c>
      <c r="J692" s="17">
        <f>IF('Components Yr 1'!J692=0,0,'Components Yr 1'!J692)</f>
        <v>0</v>
      </c>
      <c r="K692" s="12"/>
      <c r="L692" s="12"/>
      <c r="M692" s="12"/>
      <c r="N692" s="12"/>
      <c r="O692" s="12"/>
      <c r="P692" s="12"/>
      <c r="Q692" s="17"/>
      <c r="R692" s="18">
        <f>IF(SUMPRODUCT((E692:Q692)*1)=0,0,E692*INDEX(Hours!M:M,MATCH(C692,Hours!$A:$A,0))+F692*INDEX(Hours!B:B,MATCH(C692,Hours!$A:$A,0))+G692*INDEX(Hours!C:C,MATCH(C692,Hours!$A:$A,0))+H692*INDEX(Hours!D:D,MATCH(C692,Hours!$A:$A,0))+I692*INDEX(Hours!E:E,MATCH(C692,Hours!$A:$A,0))+J692*INDEX(Hours!F:F,MATCH(C692,Hours!$A:$A,0)))</f>
        <v>0</v>
      </c>
      <c r="S692" s="19">
        <f t="shared" si="21"/>
        <v>0</v>
      </c>
    </row>
    <row r="693" spans="1:19" x14ac:dyDescent="0.25">
      <c r="A693" s="11" t="str">
        <f>'Bldgs &amp; Rooms'!$A$20</f>
        <v>Main Bldg.</v>
      </c>
      <c r="B693" s="11">
        <f>'Bldgs &amp; Rooms'!$B$20</f>
        <v>0</v>
      </c>
      <c r="C693" s="10" t="str">
        <f>Hours!$A$27</f>
        <v>Automatic Transfer Switch (ATS) &gt; 100A</v>
      </c>
      <c r="D693" s="11">
        <f t="shared" si="20"/>
        <v>0</v>
      </c>
      <c r="E693" s="16">
        <f>IF('Components Yr 1'!E693=0,0,'Components Yr 1'!E693)</f>
        <v>0</v>
      </c>
      <c r="F693" s="17">
        <f>IF('Components Yr 1'!F693=0,0,'Components Yr 1'!F693)</f>
        <v>0</v>
      </c>
      <c r="G693" s="17">
        <f>IF('Components Yr 1'!G693=0,0,'Components Yr 1'!G693)</f>
        <v>0</v>
      </c>
      <c r="H693" s="17">
        <f>IF('Components Yr 1'!H693=0,0,'Components Yr 1'!H693)</f>
        <v>0</v>
      </c>
      <c r="I693" s="17">
        <f>IF('Components Yr 1'!I693=0,0,'Components Yr 1'!I693)</f>
        <v>0</v>
      </c>
      <c r="J693" s="17">
        <f>IF('Components Yr 1'!J693=0,0,'Components Yr 1'!J693)</f>
        <v>0</v>
      </c>
      <c r="K693" s="12"/>
      <c r="L693" s="12"/>
      <c r="M693" s="12"/>
      <c r="N693" s="12"/>
      <c r="O693" s="12"/>
      <c r="P693" s="12"/>
      <c r="Q693" s="17"/>
      <c r="R693" s="18">
        <f>IF(SUMPRODUCT((E693:Q693)*1)=0,0,E693*INDEX(Hours!M:M,MATCH(C693,Hours!$A:$A,0))+F693*INDEX(Hours!B:B,MATCH(C693,Hours!$A:$A,0))+G693*INDEX(Hours!C:C,MATCH(C693,Hours!$A:$A,0))+H693*INDEX(Hours!D:D,MATCH(C693,Hours!$A:$A,0))+I693*INDEX(Hours!E:E,MATCH(C693,Hours!$A:$A,0))+J693*INDEX(Hours!F:F,MATCH(C693,Hours!$A:$A,0)))</f>
        <v>0</v>
      </c>
      <c r="S693" s="19">
        <f t="shared" si="21"/>
        <v>0</v>
      </c>
    </row>
    <row r="694" spans="1:19" x14ac:dyDescent="0.25">
      <c r="A694" s="11" t="str">
        <f>'Bldgs &amp; Rooms'!$A$20</f>
        <v>Main Bldg.</v>
      </c>
      <c r="B694" s="11">
        <f>'Bldgs &amp; Rooms'!$B$20</f>
        <v>0</v>
      </c>
      <c r="C694" s="10" t="str">
        <f>Hours!$A$28</f>
        <v>Manual Transfer Switch (MTS) &gt; 100A</v>
      </c>
      <c r="D694" s="11">
        <f t="shared" si="20"/>
        <v>0</v>
      </c>
      <c r="E694" s="16">
        <f>IF('Components Yr 1'!E694=0,0,'Components Yr 1'!E694)</f>
        <v>0</v>
      </c>
      <c r="F694" s="17">
        <f>IF('Components Yr 1'!F694=0,0,'Components Yr 1'!F694)</f>
        <v>0</v>
      </c>
      <c r="G694" s="17">
        <f>IF('Components Yr 1'!G694=0,0,'Components Yr 1'!G694)</f>
        <v>0</v>
      </c>
      <c r="H694" s="17">
        <f>IF('Components Yr 1'!H694=0,0,'Components Yr 1'!H694)</f>
        <v>0</v>
      </c>
      <c r="I694" s="17">
        <f>IF('Components Yr 1'!I694=0,0,'Components Yr 1'!I694)</f>
        <v>0</v>
      </c>
      <c r="J694" s="17">
        <f>IF('Components Yr 1'!J694=0,0,'Components Yr 1'!J694)</f>
        <v>0</v>
      </c>
      <c r="K694" s="12"/>
      <c r="L694" s="12"/>
      <c r="M694" s="12"/>
      <c r="N694" s="12"/>
      <c r="O694" s="12"/>
      <c r="P694" s="12"/>
      <c r="Q694" s="17"/>
      <c r="R694" s="18">
        <f>IF(SUMPRODUCT((E694:Q694)*1)=0,0,E694*INDEX(Hours!M:M,MATCH(C694,Hours!$A:$A,0))+F694*INDEX(Hours!B:B,MATCH(C694,Hours!$A:$A,0))+G694*INDEX(Hours!C:C,MATCH(C694,Hours!$A:$A,0))+H694*INDEX(Hours!D:D,MATCH(C694,Hours!$A:$A,0))+I694*INDEX(Hours!E:E,MATCH(C694,Hours!$A:$A,0))+J694*INDEX(Hours!F:F,MATCH(C694,Hours!$A:$A,0)))</f>
        <v>0</v>
      </c>
      <c r="S694" s="19">
        <f t="shared" si="21"/>
        <v>0</v>
      </c>
    </row>
    <row r="695" spans="1:19" x14ac:dyDescent="0.25">
      <c r="A695" s="11" t="str">
        <f>'Bldgs &amp; Rooms'!$A$20</f>
        <v>Main Bldg.</v>
      </c>
      <c r="B695" s="11">
        <f>'Bldgs &amp; Rooms'!$B$20</f>
        <v>0</v>
      </c>
      <c r="C695" s="10" t="str">
        <f>Hours!$A$29</f>
        <v>Variable Frequency Drives (VFD) &lt; 50 HP</v>
      </c>
      <c r="D695" s="11">
        <f t="shared" si="20"/>
        <v>0</v>
      </c>
      <c r="E695" s="16">
        <f>IF('Components Yr 1'!E695=0,0,'Components Yr 1'!E695)</f>
        <v>0</v>
      </c>
      <c r="F695" s="17">
        <f>IF('Components Yr 1'!F695=0,0,'Components Yr 1'!F695)</f>
        <v>0</v>
      </c>
      <c r="G695" s="17">
        <f>IF('Components Yr 1'!G695=0,0,'Components Yr 1'!G695)</f>
        <v>0</v>
      </c>
      <c r="H695" s="17">
        <f>IF('Components Yr 1'!H695=0,0,'Components Yr 1'!H695)</f>
        <v>0</v>
      </c>
      <c r="I695" s="17">
        <f>IF('Components Yr 1'!I695=0,0,'Components Yr 1'!I695)</f>
        <v>0</v>
      </c>
      <c r="J695" s="17">
        <f>IF('Components Yr 1'!J695=0,0,'Components Yr 1'!J695)</f>
        <v>0</v>
      </c>
      <c r="K695" s="12"/>
      <c r="L695" s="12"/>
      <c r="M695" s="12"/>
      <c r="N695" s="12"/>
      <c r="O695" s="12"/>
      <c r="P695" s="12"/>
      <c r="Q695" s="17"/>
      <c r="R695" s="18">
        <f>IF(SUMPRODUCT((E695:Q695)*1)=0,0,E695*INDEX(Hours!M:M,MATCH(C695,Hours!$A:$A,0))+F695*INDEX(Hours!B:B,MATCH(C695,Hours!$A:$A,0))+G695*INDEX(Hours!C:C,MATCH(C695,Hours!$A:$A,0))+H695*INDEX(Hours!D:D,MATCH(C695,Hours!$A:$A,0))+I695*INDEX(Hours!E:E,MATCH(C695,Hours!$A:$A,0))+J695*INDEX(Hours!F:F,MATCH(C695,Hours!$A:$A,0)))</f>
        <v>0</v>
      </c>
      <c r="S695" s="19">
        <f t="shared" si="21"/>
        <v>0</v>
      </c>
    </row>
    <row r="696" spans="1:19" x14ac:dyDescent="0.25">
      <c r="A696" s="11" t="str">
        <f>'Bldgs &amp; Rooms'!$A$20</f>
        <v>Main Bldg.</v>
      </c>
      <c r="B696" s="11">
        <f>'Bldgs &amp; Rooms'!$B$20</f>
        <v>0</v>
      </c>
      <c r="C696" s="10" t="str">
        <f>Hours!$A$30</f>
        <v>Variable Frequency Drives (VFD) 51-200 HP</v>
      </c>
      <c r="D696" s="11">
        <f t="shared" si="20"/>
        <v>0</v>
      </c>
      <c r="E696" s="16">
        <f>IF('Components Yr 1'!E696=0,0,'Components Yr 1'!E696)</f>
        <v>0</v>
      </c>
      <c r="F696" s="17">
        <f>IF('Components Yr 1'!F696=0,0,'Components Yr 1'!F696)</f>
        <v>0</v>
      </c>
      <c r="G696" s="17">
        <f>IF('Components Yr 1'!G696=0,0,'Components Yr 1'!G696)</f>
        <v>0</v>
      </c>
      <c r="H696" s="17">
        <f>IF('Components Yr 1'!H696=0,0,'Components Yr 1'!H696)</f>
        <v>0</v>
      </c>
      <c r="I696" s="17">
        <f>IF('Components Yr 1'!I696=0,0,'Components Yr 1'!I696)</f>
        <v>0</v>
      </c>
      <c r="J696" s="17">
        <f>IF('Components Yr 1'!J696=0,0,'Components Yr 1'!J696)</f>
        <v>0</v>
      </c>
      <c r="K696" s="12"/>
      <c r="L696" s="12"/>
      <c r="M696" s="12"/>
      <c r="N696" s="12"/>
      <c r="O696" s="12"/>
      <c r="P696" s="12"/>
      <c r="Q696" s="17"/>
      <c r="R696" s="18">
        <f>IF(SUMPRODUCT((E696:Q696)*1)=0,0,E696*INDEX(Hours!M:M,MATCH(C696,Hours!$A:$A,0))+F696*INDEX(Hours!B:B,MATCH(C696,Hours!$A:$A,0))+G696*INDEX(Hours!C:C,MATCH(C696,Hours!$A:$A,0))+H696*INDEX(Hours!D:D,MATCH(C696,Hours!$A:$A,0))+I696*INDEX(Hours!E:E,MATCH(C696,Hours!$A:$A,0))+J696*INDEX(Hours!F:F,MATCH(C696,Hours!$A:$A,0)))</f>
        <v>0</v>
      </c>
      <c r="S696" s="19">
        <f t="shared" si="21"/>
        <v>0</v>
      </c>
    </row>
    <row r="697" spans="1:19" x14ac:dyDescent="0.25">
      <c r="A697" s="11" t="str">
        <f>'Bldgs &amp; Rooms'!$A$20</f>
        <v>Main Bldg.</v>
      </c>
      <c r="B697" s="11">
        <f>'Bldgs &amp; Rooms'!$B$20</f>
        <v>0</v>
      </c>
      <c r="C697" s="10" t="str">
        <f>Hours!$A$31</f>
        <v>Motors &lt; 50 HP</v>
      </c>
      <c r="D697" s="11">
        <f t="shared" si="20"/>
        <v>0</v>
      </c>
      <c r="E697" s="16">
        <f>IF('Components Yr 1'!E697=0,0,'Components Yr 1'!E697)</f>
        <v>0</v>
      </c>
      <c r="F697" s="17">
        <f>IF('Components Yr 1'!F697=0,0,'Components Yr 1'!F697)</f>
        <v>0</v>
      </c>
      <c r="G697" s="17">
        <f>IF('Components Yr 1'!G697=0,0,'Components Yr 1'!G697)</f>
        <v>0</v>
      </c>
      <c r="H697" s="17">
        <f>IF('Components Yr 1'!H697=0,0,'Components Yr 1'!H697)</f>
        <v>0</v>
      </c>
      <c r="I697" s="17">
        <f>IF('Components Yr 1'!I697=0,0,'Components Yr 1'!I697)</f>
        <v>0</v>
      </c>
      <c r="J697" s="17">
        <f>IF('Components Yr 1'!J697=0,0,'Components Yr 1'!J697)</f>
        <v>0</v>
      </c>
      <c r="K697" s="12"/>
      <c r="L697" s="12"/>
      <c r="M697" s="12"/>
      <c r="N697" s="12"/>
      <c r="O697" s="12"/>
      <c r="P697" s="12"/>
      <c r="Q697" s="17"/>
      <c r="R697" s="18">
        <f>IF(SUMPRODUCT((E697:Q697)*1)=0,0,E697*INDEX(Hours!M:M,MATCH(C697,Hours!$A:$A,0))+F697*INDEX(Hours!B:B,MATCH(C697,Hours!$A:$A,0))+G697*INDEX(Hours!C:C,MATCH(C697,Hours!$A:$A,0))+H697*INDEX(Hours!D:D,MATCH(C697,Hours!$A:$A,0))+I697*INDEX(Hours!E:E,MATCH(C697,Hours!$A:$A,0))+J697*INDEX(Hours!F:F,MATCH(C697,Hours!$A:$A,0)))</f>
        <v>0</v>
      </c>
      <c r="S697" s="19">
        <f t="shared" si="21"/>
        <v>0</v>
      </c>
    </row>
    <row r="698" spans="1:19" x14ac:dyDescent="0.25">
      <c r="A698" s="11" t="str">
        <f>'Bldgs &amp; Rooms'!$A$20</f>
        <v>Main Bldg.</v>
      </c>
      <c r="B698" s="11">
        <f>'Bldgs &amp; Rooms'!$B$20</f>
        <v>0</v>
      </c>
      <c r="C698" s="10" t="str">
        <f>Hours!$A$32</f>
        <v>Motors 51-200 HP</v>
      </c>
      <c r="D698" s="11">
        <f t="shared" si="20"/>
        <v>0</v>
      </c>
      <c r="E698" s="16">
        <f>IF('Components Yr 1'!E698=0,0,'Components Yr 1'!E698)</f>
        <v>0</v>
      </c>
      <c r="F698" s="17">
        <f>IF('Components Yr 1'!F698=0,0,'Components Yr 1'!F698)</f>
        <v>0</v>
      </c>
      <c r="G698" s="17">
        <f>IF('Components Yr 1'!G698=0,0,'Components Yr 1'!G698)</f>
        <v>0</v>
      </c>
      <c r="H698" s="17">
        <f>IF('Components Yr 1'!H698=0,0,'Components Yr 1'!H698)</f>
        <v>0</v>
      </c>
      <c r="I698" s="17">
        <f>IF('Components Yr 1'!I698=0,0,'Components Yr 1'!I698)</f>
        <v>0</v>
      </c>
      <c r="J698" s="17">
        <f>IF('Components Yr 1'!J698=0,0,'Components Yr 1'!J698)</f>
        <v>0</v>
      </c>
      <c r="K698" s="12"/>
      <c r="L698" s="12"/>
      <c r="M698" s="12"/>
      <c r="N698" s="12"/>
      <c r="O698" s="12"/>
      <c r="P698" s="12"/>
      <c r="Q698" s="17"/>
      <c r="R698" s="18">
        <f>IF(SUMPRODUCT((E698:Q698)*1)=0,0,E698*INDEX(Hours!M:M,MATCH(C698,Hours!$A:$A,0))+F698*INDEX(Hours!B:B,MATCH(C698,Hours!$A:$A,0))+G698*INDEX(Hours!C:C,MATCH(C698,Hours!$A:$A,0))+H698*INDEX(Hours!D:D,MATCH(C698,Hours!$A:$A,0))+I698*INDEX(Hours!E:E,MATCH(C698,Hours!$A:$A,0))+J698*INDEX(Hours!F:F,MATCH(C698,Hours!$A:$A,0)))</f>
        <v>0</v>
      </c>
      <c r="S698" s="19">
        <f t="shared" si="21"/>
        <v>0</v>
      </c>
    </row>
    <row r="699" spans="1:19" x14ac:dyDescent="0.25">
      <c r="A699" s="11" t="str">
        <f>'Bldgs &amp; Rooms'!$A$20</f>
        <v>Main Bldg.</v>
      </c>
      <c r="B699" s="11">
        <f>'Bldgs &amp; Rooms'!$B$20</f>
        <v>0</v>
      </c>
      <c r="C699" s="10" t="str">
        <f>Hours!$A$33</f>
        <v>Motors 201-500 HP</v>
      </c>
      <c r="D699" s="11">
        <f t="shared" si="20"/>
        <v>0</v>
      </c>
      <c r="E699" s="16">
        <f>IF('Components Yr 1'!E699=0,0,'Components Yr 1'!E699)</f>
        <v>0</v>
      </c>
      <c r="F699" s="17">
        <f>IF('Components Yr 1'!F699=0,0,'Components Yr 1'!F699)</f>
        <v>0</v>
      </c>
      <c r="G699" s="17">
        <f>IF('Components Yr 1'!G699=0,0,'Components Yr 1'!G699)</f>
        <v>0</v>
      </c>
      <c r="H699" s="17">
        <f>IF('Components Yr 1'!H699=0,0,'Components Yr 1'!H699)</f>
        <v>0</v>
      </c>
      <c r="I699" s="17">
        <f>IF('Components Yr 1'!I699=0,0,'Components Yr 1'!I699)</f>
        <v>0</v>
      </c>
      <c r="J699" s="17">
        <f>IF('Components Yr 1'!J699=0,0,'Components Yr 1'!J699)</f>
        <v>0</v>
      </c>
      <c r="K699" s="12"/>
      <c r="L699" s="12"/>
      <c r="M699" s="12"/>
      <c r="N699" s="12"/>
      <c r="O699" s="12"/>
      <c r="P699" s="12"/>
      <c r="Q699" s="17"/>
      <c r="R699" s="18">
        <f>IF(SUMPRODUCT((E699:Q699)*1)=0,0,E699*INDEX(Hours!M:M,MATCH(C699,Hours!$A:$A,0))+F699*INDEX(Hours!B:B,MATCH(C699,Hours!$A:$A,0))+G699*INDEX(Hours!C:C,MATCH(C699,Hours!$A:$A,0))+H699*INDEX(Hours!D:D,MATCH(C699,Hours!$A:$A,0))+I699*INDEX(Hours!E:E,MATCH(C699,Hours!$A:$A,0))+J699*INDEX(Hours!F:F,MATCH(C699,Hours!$A:$A,0)))</f>
        <v>0</v>
      </c>
      <c r="S699" s="19">
        <f t="shared" si="21"/>
        <v>0</v>
      </c>
    </row>
    <row r="700" spans="1:19" x14ac:dyDescent="0.25">
      <c r="A700" s="11" t="str">
        <f>'Bldgs &amp; Rooms'!$A$20</f>
        <v>Main Bldg.</v>
      </c>
      <c r="B700" s="11">
        <f>'Bldgs &amp; Rooms'!$B$20</f>
        <v>0</v>
      </c>
      <c r="C700" s="10" t="str">
        <f>Hours!$A$34</f>
        <v>Compressed Air Equipment</v>
      </c>
      <c r="D700" s="11">
        <f t="shared" si="20"/>
        <v>0</v>
      </c>
      <c r="E700" s="16">
        <f>IF('Components Yr 1'!E700=0,0,'Components Yr 1'!E700)</f>
        <v>0</v>
      </c>
      <c r="F700" s="17">
        <f>IF('Components Yr 1'!F700=0,0,'Components Yr 1'!F700)</f>
        <v>0</v>
      </c>
      <c r="G700" s="17">
        <f>IF('Components Yr 1'!G700=0,0,'Components Yr 1'!G700)</f>
        <v>0</v>
      </c>
      <c r="H700" s="17">
        <f>IF('Components Yr 1'!H700=0,0,'Components Yr 1'!H700)</f>
        <v>0</v>
      </c>
      <c r="I700" s="17">
        <f>IF('Components Yr 1'!I700=0,0,'Components Yr 1'!I700)</f>
        <v>0</v>
      </c>
      <c r="J700" s="17">
        <f>IF('Components Yr 1'!J700=0,0,'Components Yr 1'!J700)</f>
        <v>0</v>
      </c>
      <c r="K700" s="12"/>
      <c r="L700" s="12"/>
      <c r="M700" s="12"/>
      <c r="N700" s="12"/>
      <c r="O700" s="12"/>
      <c r="P700" s="12"/>
      <c r="Q700" s="17"/>
      <c r="R700" s="18">
        <f>IF(SUMPRODUCT((E700:Q700)*1)=0,0,E700*INDEX(Hours!M:M,MATCH(C700,Hours!$A:$A,0))+F700*INDEX(Hours!B:B,MATCH(C700,Hours!$A:$A,0))+G700*INDEX(Hours!C:C,MATCH(C700,Hours!$A:$A,0))+H700*INDEX(Hours!D:D,MATCH(C700,Hours!$A:$A,0))+I700*INDEX(Hours!E:E,MATCH(C700,Hours!$A:$A,0))+J700*INDEX(Hours!F:F,MATCH(C700,Hours!$A:$A,0)))</f>
        <v>0</v>
      </c>
      <c r="S700" s="19">
        <f t="shared" si="21"/>
        <v>0</v>
      </c>
    </row>
    <row r="701" spans="1:19" x14ac:dyDescent="0.25">
      <c r="A701" s="11" t="str">
        <f>'Bldgs &amp; Rooms'!$A$20</f>
        <v>Main Bldg.</v>
      </c>
      <c r="B701" s="11">
        <f>'Bldgs &amp; Rooms'!$B$20</f>
        <v>0</v>
      </c>
      <c r="C701" s="10" t="str">
        <f>Hours!$A$35</f>
        <v>HVAC Equipment (Large)</v>
      </c>
      <c r="D701" s="11">
        <f t="shared" si="20"/>
        <v>0</v>
      </c>
      <c r="E701" s="16">
        <f>IF('Components Yr 1'!E701=0,0,'Components Yr 1'!E701)</f>
        <v>0</v>
      </c>
      <c r="F701" s="17">
        <f>IF('Components Yr 1'!F701=0,0,'Components Yr 1'!F701)</f>
        <v>0</v>
      </c>
      <c r="G701" s="17">
        <f>IF('Components Yr 1'!G701=0,0,'Components Yr 1'!G701)</f>
        <v>0</v>
      </c>
      <c r="H701" s="17">
        <f>IF('Components Yr 1'!H701=0,0,'Components Yr 1'!H701)</f>
        <v>0</v>
      </c>
      <c r="I701" s="17">
        <f>IF('Components Yr 1'!I701=0,0,'Components Yr 1'!I701)</f>
        <v>0</v>
      </c>
      <c r="J701" s="17">
        <f>IF('Components Yr 1'!J701=0,0,'Components Yr 1'!J701)</f>
        <v>0</v>
      </c>
      <c r="K701" s="12"/>
      <c r="L701" s="12"/>
      <c r="M701" s="12"/>
      <c r="N701" s="12"/>
      <c r="O701" s="12"/>
      <c r="P701" s="12"/>
      <c r="Q701" s="17"/>
      <c r="R701" s="18">
        <f>IF(SUMPRODUCT((E701:Q701)*1)=0,0,E701*INDEX(Hours!M:M,MATCH(C701,Hours!$A:$A,0))+F701*INDEX(Hours!B:B,MATCH(C701,Hours!$A:$A,0))+G701*INDEX(Hours!C:C,MATCH(C701,Hours!$A:$A,0))+H701*INDEX(Hours!D:D,MATCH(C701,Hours!$A:$A,0))+I701*INDEX(Hours!E:E,MATCH(C701,Hours!$A:$A,0))+J701*INDEX(Hours!F:F,MATCH(C701,Hours!$A:$A,0)))</f>
        <v>0</v>
      </c>
      <c r="S701" s="19">
        <f t="shared" si="21"/>
        <v>0</v>
      </c>
    </row>
    <row r="702" spans="1:19" x14ac:dyDescent="0.25">
      <c r="A702" s="11" t="str">
        <f>'Bldgs &amp; Rooms'!$A$20</f>
        <v>Main Bldg.</v>
      </c>
      <c r="B702" s="11">
        <f>'Bldgs &amp; Rooms'!$B$20</f>
        <v>0</v>
      </c>
      <c r="C702" s="10" t="str">
        <f>Hours!$A$36</f>
        <v>HVAC Equipment (Small)</v>
      </c>
      <c r="D702" s="11">
        <f t="shared" si="20"/>
        <v>0</v>
      </c>
      <c r="E702" s="16">
        <f>IF('Components Yr 1'!E702=0,0,'Components Yr 1'!E702)</f>
        <v>0</v>
      </c>
      <c r="F702" s="17">
        <f>IF('Components Yr 1'!F702=0,0,'Components Yr 1'!F702)</f>
        <v>0</v>
      </c>
      <c r="G702" s="17">
        <f>IF('Components Yr 1'!G702=0,0,'Components Yr 1'!G702)</f>
        <v>0</v>
      </c>
      <c r="H702" s="17">
        <f>IF('Components Yr 1'!H702=0,0,'Components Yr 1'!H702)</f>
        <v>0</v>
      </c>
      <c r="I702" s="17">
        <f>IF('Components Yr 1'!I702=0,0,'Components Yr 1'!I702)</f>
        <v>0</v>
      </c>
      <c r="J702" s="17">
        <f>IF('Components Yr 1'!J702=0,0,'Components Yr 1'!J702)</f>
        <v>0</v>
      </c>
      <c r="K702" s="12"/>
      <c r="L702" s="12"/>
      <c r="M702" s="12"/>
      <c r="N702" s="12"/>
      <c r="O702" s="12"/>
      <c r="P702" s="12"/>
      <c r="Q702" s="17"/>
      <c r="R702" s="18">
        <f>IF(SUMPRODUCT((E702:Q702)*1)=0,0,E702*INDEX(Hours!M:M,MATCH(C702,Hours!$A:$A,0))+F702*INDEX(Hours!B:B,MATCH(C702,Hours!$A:$A,0))+G702*INDEX(Hours!C:C,MATCH(C702,Hours!$A:$A,0))+H702*INDEX(Hours!D:D,MATCH(C702,Hours!$A:$A,0))+I702*INDEX(Hours!E:E,MATCH(C702,Hours!$A:$A,0))+J702*INDEX(Hours!F:F,MATCH(C702,Hours!$A:$A,0)))</f>
        <v>0</v>
      </c>
      <c r="S702" s="19">
        <f t="shared" si="21"/>
        <v>0</v>
      </c>
    </row>
    <row r="703" spans="1:19" x14ac:dyDescent="0.25">
      <c r="A703" s="11" t="str">
        <f>'Bldgs &amp; Rooms'!$A$20</f>
        <v>Main Bldg.</v>
      </c>
      <c r="B703" s="11">
        <f>'Bldgs &amp; Rooms'!$B$20</f>
        <v>0</v>
      </c>
      <c r="C703" s="10" t="str">
        <f>Hours!$A$37</f>
        <v>Uninterruptible Power Supply (UPS) &lt; 50kVA</v>
      </c>
      <c r="D703" s="11">
        <f t="shared" si="20"/>
        <v>0</v>
      </c>
      <c r="E703" s="16">
        <f>IF('Components Yr 1'!E703=0,0,'Components Yr 1'!E703)</f>
        <v>0</v>
      </c>
      <c r="F703" s="17">
        <f>IF('Components Yr 1'!F703=0,0,'Components Yr 1'!F703)</f>
        <v>0</v>
      </c>
      <c r="G703" s="17">
        <f>IF('Components Yr 1'!G703=0,0,'Components Yr 1'!G703)</f>
        <v>0</v>
      </c>
      <c r="H703" s="17">
        <f>IF('Components Yr 1'!H703=0,0,'Components Yr 1'!H703)</f>
        <v>0</v>
      </c>
      <c r="I703" s="17">
        <f>IF('Components Yr 1'!I703=0,0,'Components Yr 1'!I703)</f>
        <v>0</v>
      </c>
      <c r="J703" s="17">
        <f>IF('Components Yr 1'!J703=0,0,'Components Yr 1'!J703)</f>
        <v>0</v>
      </c>
      <c r="K703" s="12"/>
      <c r="L703" s="12"/>
      <c r="M703" s="12"/>
      <c r="N703" s="12"/>
      <c r="O703" s="12"/>
      <c r="P703" s="12"/>
      <c r="Q703" s="17"/>
      <c r="R703" s="18">
        <f>IF(SUMPRODUCT((E703:Q703)*1)=0,0,E703*INDEX(Hours!M:M,MATCH(C703,Hours!$A:$A,0))+F703*INDEX(Hours!B:B,MATCH(C703,Hours!$A:$A,0))+G703*INDEX(Hours!C:C,MATCH(C703,Hours!$A:$A,0))+H703*INDEX(Hours!D:D,MATCH(C703,Hours!$A:$A,0))+I703*INDEX(Hours!E:E,MATCH(C703,Hours!$A:$A,0))+J703*INDEX(Hours!F:F,MATCH(C703,Hours!$A:$A,0)))</f>
        <v>0</v>
      </c>
      <c r="S703" s="19">
        <f t="shared" si="21"/>
        <v>0</v>
      </c>
    </row>
    <row r="704" spans="1:19" x14ac:dyDescent="0.25">
      <c r="A704" s="11" t="str">
        <f>'Bldgs &amp; Rooms'!$A$20</f>
        <v>Main Bldg.</v>
      </c>
      <c r="B704" s="11">
        <f>'Bldgs &amp; Rooms'!$B$20</f>
        <v>0</v>
      </c>
      <c r="C704" s="10" t="str">
        <f>Hours!$A$38</f>
        <v>Uninterruptible Power Supply (UPS) &gt; 50kVA</v>
      </c>
      <c r="D704" s="11">
        <f t="shared" si="20"/>
        <v>0</v>
      </c>
      <c r="E704" s="16">
        <f>IF('Components Yr 1'!E704=0,0,'Components Yr 1'!E704)</f>
        <v>0</v>
      </c>
      <c r="F704" s="17">
        <f>IF('Components Yr 1'!F704=0,0,'Components Yr 1'!F704)</f>
        <v>0</v>
      </c>
      <c r="G704" s="17">
        <f>IF('Components Yr 1'!G704=0,0,'Components Yr 1'!G704)</f>
        <v>0</v>
      </c>
      <c r="H704" s="17">
        <f>IF('Components Yr 1'!H704=0,0,'Components Yr 1'!H704)</f>
        <v>0</v>
      </c>
      <c r="I704" s="17">
        <f>IF('Components Yr 1'!I704=0,0,'Components Yr 1'!I704)</f>
        <v>0</v>
      </c>
      <c r="J704" s="17">
        <f>IF('Components Yr 1'!J704=0,0,'Components Yr 1'!J704)</f>
        <v>0</v>
      </c>
      <c r="K704" s="12"/>
      <c r="L704" s="12"/>
      <c r="M704" s="12"/>
      <c r="N704" s="12"/>
      <c r="O704" s="12"/>
      <c r="P704" s="12"/>
      <c r="Q704" s="17"/>
      <c r="R704" s="18">
        <f>IF(SUMPRODUCT((E704:Q704)*1)=0,0,E704*INDEX(Hours!M:M,MATCH(C704,Hours!$A:$A,0))+F704*INDEX(Hours!B:B,MATCH(C704,Hours!$A:$A,0))+G704*INDEX(Hours!C:C,MATCH(C704,Hours!$A:$A,0))+H704*INDEX(Hours!D:D,MATCH(C704,Hours!$A:$A,0))+I704*INDEX(Hours!E:E,MATCH(C704,Hours!$A:$A,0))+J704*INDEX(Hours!F:F,MATCH(C704,Hours!$A:$A,0)))</f>
        <v>0</v>
      </c>
      <c r="S704" s="19">
        <f t="shared" si="21"/>
        <v>0</v>
      </c>
    </row>
    <row r="705" spans="1:19" x14ac:dyDescent="0.25">
      <c r="A705" s="15" t="str">
        <f>'Bldgs &amp; Rooms'!$A$21</f>
        <v>Main Bldg.</v>
      </c>
      <c r="B705" s="15">
        <f>'Bldgs &amp; Rooms'!$B$21</f>
        <v>0</v>
      </c>
      <c r="C705" s="14" t="str">
        <f>Hours!$A$2</f>
        <v>Switchgear - Incoming Main Service (Per Section)</v>
      </c>
      <c r="D705" s="15">
        <f t="shared" si="20"/>
        <v>0</v>
      </c>
      <c r="E705" s="16">
        <f>IF('Components Yr 1'!E705=0,0,'Components Yr 1'!E705)</f>
        <v>0</v>
      </c>
      <c r="F705" s="17">
        <f>IF('Components Yr 1'!F705=0,0,'Components Yr 1'!F705)</f>
        <v>0</v>
      </c>
      <c r="G705" s="17">
        <f>IF('Components Yr 1'!G705=0,0,'Components Yr 1'!G705)</f>
        <v>0</v>
      </c>
      <c r="H705" s="17">
        <f>IF('Components Yr 1'!H705=0,0,'Components Yr 1'!H705)</f>
        <v>0</v>
      </c>
      <c r="I705" s="17">
        <f>IF('Components Yr 1'!I705=0,0,'Components Yr 1'!I705)</f>
        <v>0</v>
      </c>
      <c r="J705" s="17">
        <f>IF('Components Yr 1'!J705=0,0,'Components Yr 1'!J705)</f>
        <v>0</v>
      </c>
      <c r="K705" s="17">
        <f>IF('Components Yr 1'!K705=0,0,'Components Yr 1'!K705)</f>
        <v>0</v>
      </c>
      <c r="L705" s="17">
        <f>IF('Components Yr 1'!L705=0,0,'Components Yr 1'!L705)</f>
        <v>0</v>
      </c>
      <c r="M705" s="12"/>
      <c r="N705" s="12"/>
      <c r="O705" s="17">
        <f>IF('Components Yr 1'!O705=0,0,'Components Yr 1'!O705)</f>
        <v>0</v>
      </c>
      <c r="P705" s="12"/>
      <c r="Q705" s="17"/>
      <c r="R705" s="18">
        <f>IF(SUMPRODUCT((E705:Q705)*1)=0,0,E705*INDEX(Hours!M:M,MATCH(C705,Hours!$A:$A,0))+F705*INDEX(Hours!B:B,MATCH(C705,Hours!$A:$A,0))+G705*INDEX(Hours!C:C,MATCH(C705,Hours!$A:$A,0))+H705*INDEX(Hours!D:D,MATCH(C705,Hours!$A:$A,0))+I705*INDEX(Hours!E:E,MATCH(C705,Hours!$A:$A,0))+J705*INDEX(Hours!F:F,MATCH(C705,Hours!$A:$A,0))+K705*INDEX(Hours!G:G,MATCH(C705,Hours!$A:$A,0))+L705*INDEX(Hours!H:H,MATCH(C705,Hours!$A:$A,0))+O705*INDEX(Hours!K:K,MATCH(C705,Hours!$A:$A,0)))</f>
        <v>0</v>
      </c>
      <c r="S705" s="19">
        <f t="shared" si="21"/>
        <v>0</v>
      </c>
    </row>
    <row r="706" spans="1:19" x14ac:dyDescent="0.25">
      <c r="A706" s="15" t="str">
        <f>'Bldgs &amp; Rooms'!$A$21</f>
        <v>Main Bldg.</v>
      </c>
      <c r="B706" s="15">
        <f>'Bldgs &amp; Rooms'!$B$21</f>
        <v>0</v>
      </c>
      <c r="C706" s="14" t="str">
        <f>Hours!$A$3</f>
        <v xml:space="preserve">  Switchgear Insulated Case Breakers (Bus Mounted)</v>
      </c>
      <c r="D706" s="15">
        <f t="shared" ref="D706:D769" si="22">MAX(E706+F706,G706,H706,I706,J706,K706,L706,M706,N706,O706,P706,Q706)</f>
        <v>0</v>
      </c>
      <c r="E706" s="16">
        <f>IF('Components Yr 1'!E706=0,0,'Components Yr 1'!E706)</f>
        <v>0</v>
      </c>
      <c r="F706" s="17">
        <f>IF('Components Yr 1'!F706=0,0,'Components Yr 1'!F706)</f>
        <v>0</v>
      </c>
      <c r="G706" s="17">
        <f>IF('Components Yr 1'!G706=0,0,'Components Yr 1'!G706)</f>
        <v>0</v>
      </c>
      <c r="H706" s="17">
        <f>IF('Components Yr 1'!H706=0,0,'Components Yr 1'!H706)</f>
        <v>0</v>
      </c>
      <c r="I706" s="17">
        <f>IF('Components Yr 1'!I706=0,0,'Components Yr 1'!I706)</f>
        <v>0</v>
      </c>
      <c r="J706" s="17">
        <f>IF('Components Yr 1'!J706=0,0,'Components Yr 1'!J706)</f>
        <v>0</v>
      </c>
      <c r="K706" s="17">
        <f>IF('Components Yr 1'!K706=0,0,'Components Yr 1'!K706)</f>
        <v>0</v>
      </c>
      <c r="L706" s="12"/>
      <c r="M706" s="12"/>
      <c r="N706" s="12"/>
      <c r="O706" s="12"/>
      <c r="P706" s="12"/>
      <c r="Q706" s="17"/>
      <c r="R706" s="18">
        <f>IF(SUMPRODUCT((E706:Q706)*1)=0,0,E706*INDEX(Hours!M:M,MATCH(C706,Hours!$A:$A,0))+F706*INDEX(Hours!B:B,MATCH(C706,Hours!$A:$A,0))+G706*INDEX(Hours!C:C,MATCH(C706,Hours!$A:$A,0))+H706*INDEX(Hours!D:D,MATCH(C706,Hours!$A:$A,0))+I706*INDEX(Hours!E:E,MATCH(C706,Hours!$A:$A,0))+J706*INDEX(Hours!F:F,MATCH(C706,Hours!$A:$A,0))+K706*INDEX(Hours!G:G,MATCH(C706,Hours!$A:$A,0)))</f>
        <v>0</v>
      </c>
      <c r="S706" s="19">
        <f t="shared" ref="S706:S769" si="23">MAX(E706+F706,G706,H706,I706,J706,K706,L706,M706,N706,O706,P706,Q706)</f>
        <v>0</v>
      </c>
    </row>
    <row r="707" spans="1:19" x14ac:dyDescent="0.25">
      <c r="A707" s="15" t="str">
        <f>'Bldgs &amp; Rooms'!$A$21</f>
        <v>Main Bldg.</v>
      </c>
      <c r="B707" s="15">
        <f>'Bldgs &amp; Rooms'!$B$21</f>
        <v>0</v>
      </c>
      <c r="C707" s="14" t="str">
        <f>Hours!$A$4</f>
        <v xml:space="preserve">  SwitchGear Drawout Breakers</v>
      </c>
      <c r="D707" s="15">
        <f t="shared" si="22"/>
        <v>0</v>
      </c>
      <c r="E707" s="16">
        <f>IF('Components Yr 1'!E707=0,0,'Components Yr 1'!E707)</f>
        <v>0</v>
      </c>
      <c r="F707" s="17">
        <f>IF('Components Yr 1'!F707=0,0,'Components Yr 1'!F707)</f>
        <v>0</v>
      </c>
      <c r="G707" s="17">
        <f>IF('Components Yr 1'!G707=0,0,'Components Yr 1'!G707)</f>
        <v>0</v>
      </c>
      <c r="H707" s="17">
        <f>IF('Components Yr 1'!H707=0,0,'Components Yr 1'!H707)</f>
        <v>0</v>
      </c>
      <c r="I707" s="17">
        <f>IF('Components Yr 1'!I707=0,0,'Components Yr 1'!I707)</f>
        <v>0</v>
      </c>
      <c r="J707" s="17">
        <f>IF('Components Yr 1'!J707=0,0,'Components Yr 1'!J707)</f>
        <v>0</v>
      </c>
      <c r="K707" s="12"/>
      <c r="L707" s="17">
        <f>IF('Components Yr 1'!L707=0,0,'Components Yr 1'!L707)</f>
        <v>0</v>
      </c>
      <c r="M707" s="12"/>
      <c r="N707" s="12"/>
      <c r="O707" s="12"/>
      <c r="P707" s="12"/>
      <c r="Q707" s="17"/>
      <c r="R707" s="18">
        <f>IF(SUMPRODUCT((E707:Q707)*1)=0,0,E707*INDEX(Hours!M:M,MATCH(C707,Hours!$A:$A,0))+F707*INDEX(Hours!B:B,MATCH(C707,Hours!$A:$A,0))+G707*INDEX(Hours!C:C,MATCH(C707,Hours!$A:$A,0))+H707*INDEX(Hours!D:D,MATCH(C707,Hours!$A:$A,0))+I707*INDEX(Hours!E:E,MATCH(C707,Hours!$A:$A,0))+J707*INDEX(Hours!F:F,MATCH(C707,Hours!$A:$A,0))+L707*INDEX(Hours!H:H,MATCH(C707,Hours!$A:$A,0)))</f>
        <v>0</v>
      </c>
      <c r="S707" s="19">
        <f t="shared" si="23"/>
        <v>0</v>
      </c>
    </row>
    <row r="708" spans="1:19" x14ac:dyDescent="0.25">
      <c r="A708" s="15" t="str">
        <f>'Bldgs &amp; Rooms'!$A$21</f>
        <v>Main Bldg.</v>
      </c>
      <c r="B708" s="15">
        <f>'Bldgs &amp; Rooms'!$B$21</f>
        <v>0</v>
      </c>
      <c r="C708" s="14" t="str">
        <f>Hours!$A$5</f>
        <v>Distribution Switchboard Multi Cover (Per Section)</v>
      </c>
      <c r="D708" s="15">
        <f t="shared" si="22"/>
        <v>0</v>
      </c>
      <c r="E708" s="16">
        <f>IF('Components Yr 1'!E708=0,0,'Components Yr 1'!E708)</f>
        <v>0</v>
      </c>
      <c r="F708" s="17">
        <f>IF('Components Yr 1'!F708=0,0,'Components Yr 1'!F708)</f>
        <v>0</v>
      </c>
      <c r="G708" s="17">
        <f>IF('Components Yr 1'!G708=0,0,'Components Yr 1'!G708)</f>
        <v>0</v>
      </c>
      <c r="H708" s="17">
        <f>IF('Components Yr 1'!H708=0,0,'Components Yr 1'!H708)</f>
        <v>0</v>
      </c>
      <c r="I708" s="17">
        <f>IF('Components Yr 1'!I708=0,0,'Components Yr 1'!I708)</f>
        <v>0</v>
      </c>
      <c r="J708" s="17">
        <f>IF('Components Yr 1'!J708=0,0,'Components Yr 1'!J708)</f>
        <v>0</v>
      </c>
      <c r="K708" s="17">
        <f>IF('Components Yr 1'!K708=0,0,'Components Yr 1'!K708)</f>
        <v>0</v>
      </c>
      <c r="L708" s="12"/>
      <c r="M708" s="12"/>
      <c r="N708" s="12"/>
      <c r="O708" s="17">
        <f>IF('Components Yr 1'!O708=0,0,'Components Yr 1'!O708)</f>
        <v>0</v>
      </c>
      <c r="P708" s="12"/>
      <c r="Q708" s="17"/>
      <c r="R708" s="18">
        <f>IF(SUMPRODUCT((E708:Q708)*1)=0,0,E708*INDEX(Hours!M:M,MATCH(C708,Hours!$A:$A,0))+F708*INDEX(Hours!B:B,MATCH(C708,Hours!$A:$A,0))+G708*INDEX(Hours!C:C,MATCH(C708,Hours!$A:$A,0))+H708*INDEX(Hours!D:D,MATCH(C708,Hours!$A:$A,0))+I708*INDEX(Hours!E:E,MATCH(C708,Hours!$A:$A,0))+J708*INDEX(Hours!F:F,MATCH(C708,Hours!$A:$A,0))+K708*INDEX(Hours!G:G,MATCH(C708,Hours!$A:$A,0))+O708*INDEX(Hours!K:K,MATCH(C708,Hours!$A:$A,0)))</f>
        <v>0</v>
      </c>
      <c r="S708" s="19">
        <f t="shared" si="23"/>
        <v>0</v>
      </c>
    </row>
    <row r="709" spans="1:19" x14ac:dyDescent="0.25">
      <c r="A709" s="15" t="str">
        <f>'Bldgs &amp; Rooms'!$A$21</f>
        <v>Main Bldg.</v>
      </c>
      <c r="B709" s="15">
        <f>'Bldgs &amp; Rooms'!$B$21</f>
        <v>0</v>
      </c>
      <c r="C709" s="14" t="str">
        <f>Hours!$A$6</f>
        <v xml:space="preserve">  Switchboard Disconnects</v>
      </c>
      <c r="D709" s="15">
        <f t="shared" si="22"/>
        <v>0</v>
      </c>
      <c r="E709" s="16">
        <f>IF('Components Yr 1'!E709=0,0,'Components Yr 1'!E709)</f>
        <v>0</v>
      </c>
      <c r="F709" s="17">
        <f>IF('Components Yr 1'!F709=0,0,'Components Yr 1'!F709)</f>
        <v>0</v>
      </c>
      <c r="G709" s="17">
        <f>IF('Components Yr 1'!G709=0,0,'Components Yr 1'!G709)</f>
        <v>0</v>
      </c>
      <c r="H709" s="17">
        <f>IF('Components Yr 1'!H709=0,0,'Components Yr 1'!H709)</f>
        <v>0</v>
      </c>
      <c r="I709" s="17">
        <f>IF('Components Yr 1'!I709=0,0,'Components Yr 1'!I709)</f>
        <v>0</v>
      </c>
      <c r="J709" s="17">
        <f>IF('Components Yr 1'!J709=0,0,'Components Yr 1'!J709)</f>
        <v>0</v>
      </c>
      <c r="K709" s="12"/>
      <c r="L709" s="12"/>
      <c r="M709" s="12"/>
      <c r="N709" s="12"/>
      <c r="O709" s="12"/>
      <c r="P709" s="12"/>
      <c r="Q709" s="17"/>
      <c r="R709" s="18">
        <f>IF(SUMPRODUCT((E709:Q709)*1)=0,0,E709*INDEX(Hours!M:M,MATCH(C709,Hours!$A:$A,0))+F709*INDEX(Hours!B:B,MATCH(C709,Hours!$A:$A,0))+G709*INDEX(Hours!C:C,MATCH(C709,Hours!$A:$A,0))+H709*INDEX(Hours!D:D,MATCH(C709,Hours!$A:$A,0))+I709*INDEX(Hours!E:E,MATCH(C709,Hours!$A:$A,0))+J709*INDEX(Hours!F:F,MATCH(C709,Hours!$A:$A,0)))</f>
        <v>0</v>
      </c>
      <c r="S709" s="19">
        <f t="shared" si="23"/>
        <v>0</v>
      </c>
    </row>
    <row r="710" spans="1:19" x14ac:dyDescent="0.25">
      <c r="A710" s="15" t="str">
        <f>'Bldgs &amp; Rooms'!$A$21</f>
        <v>Main Bldg.</v>
      </c>
      <c r="B710" s="15">
        <f>'Bldgs &amp; Rooms'!$B$21</f>
        <v>0</v>
      </c>
      <c r="C710" s="14" t="str">
        <f>Hours!$A$7</f>
        <v xml:space="preserve">  Switchboard Molded Case Breakers</v>
      </c>
      <c r="D710" s="15">
        <f t="shared" si="22"/>
        <v>0</v>
      </c>
      <c r="E710" s="16">
        <f>IF('Components Yr 1'!E710=0,0,'Components Yr 1'!E710)</f>
        <v>0</v>
      </c>
      <c r="F710" s="17">
        <f>IF('Components Yr 1'!F710=0,0,'Components Yr 1'!F710)</f>
        <v>0</v>
      </c>
      <c r="G710" s="17">
        <f>IF('Components Yr 1'!G710=0,0,'Components Yr 1'!G710)</f>
        <v>0</v>
      </c>
      <c r="H710" s="17">
        <f>IF('Components Yr 1'!H710=0,0,'Components Yr 1'!H710)</f>
        <v>0</v>
      </c>
      <c r="I710" s="17">
        <f>IF('Components Yr 1'!I710=0,0,'Components Yr 1'!I710)</f>
        <v>0</v>
      </c>
      <c r="J710" s="17">
        <f>IF('Components Yr 1'!J710=0,0,'Components Yr 1'!J710)</f>
        <v>0</v>
      </c>
      <c r="K710" s="17">
        <f>IF('Components Yr 1'!K710=0,0,'Components Yr 1'!K710)</f>
        <v>0</v>
      </c>
      <c r="L710" s="12"/>
      <c r="M710" s="12"/>
      <c r="N710" s="12"/>
      <c r="O710" s="12"/>
      <c r="P710" s="12"/>
      <c r="Q710" s="17"/>
      <c r="R710" s="18">
        <f>IF(SUMPRODUCT((E710:Q710)*1)=0,0,E710*INDEX(Hours!M:M,MATCH(C710,Hours!$A:$A,0))+F710*INDEX(Hours!B:B,MATCH(C710,Hours!$A:$A,0))+G710*INDEX(Hours!C:C,MATCH(C710,Hours!$A:$A,0))+H710*INDEX(Hours!D:D,MATCH(C710,Hours!$A:$A,0))+I710*INDEX(Hours!E:E,MATCH(C710,Hours!$A:$A,0))+J710*INDEX(Hours!F:F,MATCH(C710,Hours!$A:$A,0))+K710*INDEX(Hours!G:G,MATCH(C710,Hours!$A:$A,0)))</f>
        <v>0</v>
      </c>
      <c r="S710" s="19">
        <f t="shared" si="23"/>
        <v>0</v>
      </c>
    </row>
    <row r="711" spans="1:19" x14ac:dyDescent="0.25">
      <c r="A711" s="15" t="str">
        <f>'Bldgs &amp; Rooms'!$A$21</f>
        <v>Main Bldg.</v>
      </c>
      <c r="B711" s="15">
        <f>'Bldgs &amp; Rooms'!$B$21</f>
        <v>0</v>
      </c>
      <c r="C711" s="14" t="str">
        <f>Hours!$A$8</f>
        <v>Panelboard-Single Cover &gt; 400A (Distribution Panel)</v>
      </c>
      <c r="D711" s="15">
        <f t="shared" si="22"/>
        <v>0</v>
      </c>
      <c r="E711" s="16">
        <f>IF('Components Yr 1'!E711=0,0,'Components Yr 1'!E711)</f>
        <v>0</v>
      </c>
      <c r="F711" s="17">
        <f>IF('Components Yr 1'!F711=0,0,'Components Yr 1'!F711)</f>
        <v>0</v>
      </c>
      <c r="G711" s="17">
        <f>IF('Components Yr 1'!G711=0,0,'Components Yr 1'!G711)</f>
        <v>0</v>
      </c>
      <c r="H711" s="17">
        <f>IF('Components Yr 1'!H711=0,0,'Components Yr 1'!H711)</f>
        <v>0</v>
      </c>
      <c r="I711" s="17">
        <f>IF('Components Yr 1'!I711=0,0,'Components Yr 1'!I711)</f>
        <v>0</v>
      </c>
      <c r="J711" s="17">
        <f>IF('Components Yr 1'!J711=0,0,'Components Yr 1'!J711)</f>
        <v>0</v>
      </c>
      <c r="K711" s="17">
        <f>IF('Components Yr 1'!K711=0,0,'Components Yr 1'!K711)</f>
        <v>0</v>
      </c>
      <c r="L711" s="12"/>
      <c r="M711" s="12"/>
      <c r="N711" s="12"/>
      <c r="O711" s="17">
        <f>IF('Components Yr 1'!O711=0,0,'Components Yr 1'!O711)</f>
        <v>0</v>
      </c>
      <c r="P711" s="12"/>
      <c r="Q711" s="17"/>
      <c r="R711" s="18">
        <f>IF(SUMPRODUCT((E711:Q711)*1)=0,0,E711*INDEX(Hours!M:M,MATCH(C711,Hours!$A:$A,0))+F711*INDEX(Hours!B:B,MATCH(C711,Hours!$A:$A,0))+G711*INDEX(Hours!C:C,MATCH(C711,Hours!$A:$A,0))+H711*INDEX(Hours!D:D,MATCH(C711,Hours!$A:$A,0))+I711*INDEX(Hours!E:E,MATCH(C711,Hours!$A:$A,0))+J711*INDEX(Hours!F:F,MATCH(C711,Hours!$A:$A,0))+K711*INDEX(Hours!G:G,MATCH(C711,Hours!$A:$A,0))+O711*INDEX(Hours!K:K,MATCH(C711,Hours!$A:$A,0)))</f>
        <v>0</v>
      </c>
      <c r="S711" s="19">
        <f t="shared" si="23"/>
        <v>0</v>
      </c>
    </row>
    <row r="712" spans="1:19" x14ac:dyDescent="0.25">
      <c r="A712" s="15" t="str">
        <f>'Bldgs &amp; Rooms'!$A$21</f>
        <v>Main Bldg.</v>
      </c>
      <c r="B712" s="15">
        <f>'Bldgs &amp; Rooms'!$B$21</f>
        <v>0</v>
      </c>
      <c r="C712" s="14" t="str">
        <f>Hours!$A$9</f>
        <v>Panelboard-Single Cover &lt; 400A (Branch Ckt Panel)</v>
      </c>
      <c r="D712" s="15">
        <f t="shared" si="22"/>
        <v>0</v>
      </c>
      <c r="E712" s="16">
        <f>IF('Components Yr 1'!E712=0,0,'Components Yr 1'!E712)</f>
        <v>0</v>
      </c>
      <c r="F712" s="17">
        <f>IF('Components Yr 1'!F712=0,0,'Components Yr 1'!F712)</f>
        <v>0</v>
      </c>
      <c r="G712" s="17">
        <f>IF('Components Yr 1'!G712=0,0,'Components Yr 1'!G712)</f>
        <v>0</v>
      </c>
      <c r="H712" s="17">
        <f>IF('Components Yr 1'!H712=0,0,'Components Yr 1'!H712)</f>
        <v>0</v>
      </c>
      <c r="I712" s="17">
        <f>IF('Components Yr 1'!I712=0,0,'Components Yr 1'!I712)</f>
        <v>0</v>
      </c>
      <c r="J712" s="17">
        <f>IF('Components Yr 1'!J712=0,0,'Components Yr 1'!J712)</f>
        <v>0</v>
      </c>
      <c r="K712" s="12"/>
      <c r="L712" s="12"/>
      <c r="M712" s="12"/>
      <c r="N712" s="12"/>
      <c r="O712" s="17">
        <f>IF('Components Yr 1'!O712=0,0,'Components Yr 1'!O712)</f>
        <v>0</v>
      </c>
      <c r="P712" s="12"/>
      <c r="Q712" s="17"/>
      <c r="R712" s="18">
        <f>IF(SUMPRODUCT((E712:Q712)*1)=0,0,E712*INDEX(Hours!M:M,MATCH(C712,Hours!$A:$A,0))+F712*INDEX(Hours!B:B,MATCH(C712,Hours!$A:$A,0))+G712*INDEX(Hours!C:C,MATCH(C712,Hours!$A:$A,0))+H712*INDEX(Hours!D:D,MATCH(C712,Hours!$A:$A,0))+I712*INDEX(Hours!E:E,MATCH(C712,Hours!$A:$A,0))+J712*INDEX(Hours!F:F,MATCH(C712,Hours!$A:$A,0))+O712*INDEX(Hours!K:K,MATCH(C712,Hours!$A:$A,0)))</f>
        <v>0</v>
      </c>
      <c r="S712" s="19">
        <f t="shared" si="23"/>
        <v>0</v>
      </c>
    </row>
    <row r="713" spans="1:19" x14ac:dyDescent="0.25">
      <c r="A713" s="15" t="str">
        <f>'Bldgs &amp; Rooms'!$A$21</f>
        <v>Main Bldg.</v>
      </c>
      <c r="B713" s="15">
        <f>'Bldgs &amp; Rooms'!$B$21</f>
        <v>0</v>
      </c>
      <c r="C713" s="14" t="str">
        <f>Hours!$A$10</f>
        <v>Motor Control Center (MCC-Per Vertical Section)</v>
      </c>
      <c r="D713" s="15">
        <f t="shared" si="22"/>
        <v>0</v>
      </c>
      <c r="E713" s="16">
        <f>IF('Components Yr 1'!E713=0,0,'Components Yr 1'!E713)</f>
        <v>0</v>
      </c>
      <c r="F713" s="17">
        <f>IF('Components Yr 1'!F713=0,0,'Components Yr 1'!F713)</f>
        <v>0</v>
      </c>
      <c r="G713" s="17">
        <f>IF('Components Yr 1'!G713=0,0,'Components Yr 1'!G713)</f>
        <v>0</v>
      </c>
      <c r="H713" s="17">
        <f>IF('Components Yr 1'!H713=0,0,'Components Yr 1'!H713)</f>
        <v>0</v>
      </c>
      <c r="I713" s="17">
        <f>IF('Components Yr 1'!I713=0,0,'Components Yr 1'!I713)</f>
        <v>0</v>
      </c>
      <c r="J713" s="17">
        <f>IF('Components Yr 1'!J713=0,0,'Components Yr 1'!J713)</f>
        <v>0</v>
      </c>
      <c r="K713" s="12"/>
      <c r="L713" s="12"/>
      <c r="M713" s="12"/>
      <c r="N713" s="12"/>
      <c r="O713" s="17">
        <f>IF('Components Yr 1'!O713=0,0,'Components Yr 1'!O713)</f>
        <v>0</v>
      </c>
      <c r="P713" s="12"/>
      <c r="Q713" s="17"/>
      <c r="R713" s="18">
        <f>IF(SUMPRODUCT((E713:Q713)*1)=0,0,E713*INDEX(Hours!M:M,MATCH(C713,Hours!$A:$A,0))+F713*INDEX(Hours!B:B,MATCH(C713,Hours!$A:$A,0))+G713*INDEX(Hours!C:C,MATCH(C713,Hours!$A:$A,0))+H713*INDEX(Hours!D:D,MATCH(C713,Hours!$A:$A,0))+I713*INDEX(Hours!E:E,MATCH(C713,Hours!$A:$A,0))+J713*INDEX(Hours!F:F,MATCH(C713,Hours!$A:$A,0))+O713*INDEX(Hours!K:K,MATCH(C713,Hours!$A:$A,0)))</f>
        <v>0</v>
      </c>
      <c r="S713" s="19">
        <f t="shared" si="23"/>
        <v>0</v>
      </c>
    </row>
    <row r="714" spans="1:19" x14ac:dyDescent="0.25">
      <c r="A714" s="15" t="str">
        <f>'Bldgs &amp; Rooms'!$A$21</f>
        <v>Main Bldg.</v>
      </c>
      <c r="B714" s="15">
        <f>'Bldgs &amp; Rooms'!$B$21</f>
        <v>0</v>
      </c>
      <c r="C714" s="14" t="str">
        <f>Hours!$A$11</f>
        <v xml:space="preserve">  MCC: Combination Motor Starters</v>
      </c>
      <c r="D714" s="15">
        <f t="shared" si="22"/>
        <v>0</v>
      </c>
      <c r="E714" s="16">
        <f>IF('Components Yr 1'!E714=0,0,'Components Yr 1'!E714)</f>
        <v>0</v>
      </c>
      <c r="F714" s="17">
        <f>IF('Components Yr 1'!F714=0,0,'Components Yr 1'!F714)</f>
        <v>0</v>
      </c>
      <c r="G714" s="17">
        <f>IF('Components Yr 1'!G714=0,0,'Components Yr 1'!G714)</f>
        <v>0</v>
      </c>
      <c r="H714" s="17">
        <f>IF('Components Yr 1'!H714=0,0,'Components Yr 1'!H714)</f>
        <v>0</v>
      </c>
      <c r="I714" s="17">
        <f>IF('Components Yr 1'!I714=0,0,'Components Yr 1'!I714)</f>
        <v>0</v>
      </c>
      <c r="J714" s="17">
        <f>IF('Components Yr 1'!J714=0,0,'Components Yr 1'!J714)</f>
        <v>0</v>
      </c>
      <c r="K714" s="17">
        <f>IF('Components Yr 1'!K714=0,0,'Components Yr 1'!K714)</f>
        <v>0</v>
      </c>
      <c r="L714" s="12"/>
      <c r="M714" s="12"/>
      <c r="N714" s="12"/>
      <c r="O714" s="17">
        <f>IF('Components Yr 1'!O714=0,0,'Components Yr 1'!O714)</f>
        <v>0</v>
      </c>
      <c r="P714" s="12"/>
      <c r="Q714" s="17"/>
      <c r="R714" s="18">
        <f>IF(SUMPRODUCT((E714:Q714)*1)=0,0,E714*INDEX(Hours!M:M,MATCH(C714,Hours!$A:$A,0))+F714*INDEX(Hours!B:B,MATCH(C714,Hours!$A:$A,0))+G714*INDEX(Hours!C:C,MATCH(C714,Hours!$A:$A,0))+H714*INDEX(Hours!D:D,MATCH(C714,Hours!$A:$A,0))+I714*INDEX(Hours!E:E,MATCH(C714,Hours!$A:$A,0))+J714*INDEX(Hours!F:F,MATCH(C714,Hours!$A:$A,0))+K714*INDEX(Hours!G:G,MATCH(C714,Hours!$A:$A,0))+O714*INDEX(Hours!K:K,MATCH(C714,Hours!$A:$A,0)))</f>
        <v>0</v>
      </c>
      <c r="S714" s="19">
        <f t="shared" si="23"/>
        <v>0</v>
      </c>
    </row>
    <row r="715" spans="1:19" x14ac:dyDescent="0.25">
      <c r="A715" s="15" t="str">
        <f>'Bldgs &amp; Rooms'!$A$21</f>
        <v>Main Bldg.</v>
      </c>
      <c r="B715" s="15">
        <f>'Bldgs &amp; Rooms'!$B$21</f>
        <v>0</v>
      </c>
      <c r="C715" s="14" t="str">
        <f>Hours!$A$12</f>
        <v xml:space="preserve">  MCC: Molded Case Breaker</v>
      </c>
      <c r="D715" s="15">
        <f t="shared" si="22"/>
        <v>0</v>
      </c>
      <c r="E715" s="16">
        <f>IF('Components Yr 1'!E715=0,0,'Components Yr 1'!E715)</f>
        <v>0</v>
      </c>
      <c r="F715" s="17">
        <f>IF('Components Yr 1'!F715=0,0,'Components Yr 1'!F715)</f>
        <v>0</v>
      </c>
      <c r="G715" s="17">
        <f>IF('Components Yr 1'!G715=0,0,'Components Yr 1'!G715)</f>
        <v>0</v>
      </c>
      <c r="H715" s="17">
        <f>IF('Components Yr 1'!H715=0,0,'Components Yr 1'!H715)</f>
        <v>0</v>
      </c>
      <c r="I715" s="17">
        <f>IF('Components Yr 1'!I715=0,0,'Components Yr 1'!I715)</f>
        <v>0</v>
      </c>
      <c r="J715" s="17">
        <f>IF('Components Yr 1'!J715=0,0,'Components Yr 1'!J715)</f>
        <v>0</v>
      </c>
      <c r="K715" s="17">
        <f>IF('Components Yr 1'!K715=0,0,'Components Yr 1'!K715)</f>
        <v>0</v>
      </c>
      <c r="L715" s="12"/>
      <c r="M715" s="12"/>
      <c r="N715" s="12"/>
      <c r="O715" s="12"/>
      <c r="P715" s="12"/>
      <c r="Q715" s="17"/>
      <c r="R715" s="18">
        <f>IF(SUMPRODUCT((E715:Q715)*1)=0,0,E715*INDEX(Hours!M:M,MATCH(C715,Hours!$A:$A,0))+F715*INDEX(Hours!B:B,MATCH(C715,Hours!$A:$A,0))+G715*INDEX(Hours!C:C,MATCH(C715,Hours!$A:$A,0))+H715*INDEX(Hours!D:D,MATCH(C715,Hours!$A:$A,0))+I715*INDEX(Hours!E:E,MATCH(C715,Hours!$A:$A,0))+J715*INDEX(Hours!F:F,MATCH(C715,Hours!$A:$A,0))+K715*INDEX(Hours!G:G,MATCH(C715,Hours!$A:$A,0)))</f>
        <v>0</v>
      </c>
      <c r="S715" s="19">
        <f t="shared" si="23"/>
        <v>0</v>
      </c>
    </row>
    <row r="716" spans="1:19" x14ac:dyDescent="0.25">
      <c r="A716" s="15" t="str">
        <f>'Bldgs &amp; Rooms'!$A$21</f>
        <v>Main Bldg.</v>
      </c>
      <c r="B716" s="15">
        <f>'Bldgs &amp; Rooms'!$B$21</f>
        <v>0</v>
      </c>
      <c r="C716" s="14" t="str">
        <f>Hours!$A$13</f>
        <v xml:space="preserve">  MCC: Individual Disconnect Switch</v>
      </c>
      <c r="D716" s="15">
        <f t="shared" si="22"/>
        <v>0</v>
      </c>
      <c r="E716" s="16">
        <f>IF('Components Yr 1'!E716=0,0,'Components Yr 1'!E716)</f>
        <v>0</v>
      </c>
      <c r="F716" s="17">
        <f>IF('Components Yr 1'!F716=0,0,'Components Yr 1'!F716)</f>
        <v>0</v>
      </c>
      <c r="G716" s="17">
        <f>IF('Components Yr 1'!G716=0,0,'Components Yr 1'!G716)</f>
        <v>0</v>
      </c>
      <c r="H716" s="17">
        <f>IF('Components Yr 1'!H716=0,0,'Components Yr 1'!H716)</f>
        <v>0</v>
      </c>
      <c r="I716" s="17">
        <f>IF('Components Yr 1'!I716=0,0,'Components Yr 1'!I716)</f>
        <v>0</v>
      </c>
      <c r="J716" s="17">
        <f>IF('Components Yr 1'!J716=0,0,'Components Yr 1'!J716)</f>
        <v>0</v>
      </c>
      <c r="K716" s="12"/>
      <c r="L716" s="12"/>
      <c r="M716" s="12"/>
      <c r="N716" s="12"/>
      <c r="O716" s="12"/>
      <c r="P716" s="12"/>
      <c r="Q716" s="17"/>
      <c r="R716" s="18">
        <f>IF(SUMPRODUCT((E716:Q716)*1)=0,0,E716*INDEX(Hours!M:M,MATCH(C716,Hours!$A:$A,0))+F716*INDEX(Hours!B:B,MATCH(C716,Hours!$A:$A,0))+G716*INDEX(Hours!C:C,MATCH(C716,Hours!$A:$A,0))+H716*INDEX(Hours!D:D,MATCH(C716,Hours!$A:$A,0))+I716*INDEX(Hours!E:E,MATCH(C716,Hours!$A:$A,0))+J716*INDEX(Hours!F:F,MATCH(C716,Hours!$A:$A,0)))</f>
        <v>0</v>
      </c>
      <c r="S716" s="19">
        <f t="shared" si="23"/>
        <v>0</v>
      </c>
    </row>
    <row r="717" spans="1:19" x14ac:dyDescent="0.25">
      <c r="A717" s="15" t="str">
        <f>'Bldgs &amp; Rooms'!$A$21</f>
        <v>Main Bldg.</v>
      </c>
      <c r="B717" s="15">
        <f>'Bldgs &amp; Rooms'!$B$21</f>
        <v>0</v>
      </c>
      <c r="C717" s="14" t="str">
        <f>Hours!$A$14</f>
        <v>Motor Control Panel (MCP)</v>
      </c>
      <c r="D717" s="15">
        <f t="shared" si="22"/>
        <v>0</v>
      </c>
      <c r="E717" s="16">
        <f>IF('Components Yr 1'!E717=0,0,'Components Yr 1'!E717)</f>
        <v>0</v>
      </c>
      <c r="F717" s="17">
        <f>IF('Components Yr 1'!F717=0,0,'Components Yr 1'!F717)</f>
        <v>0</v>
      </c>
      <c r="G717" s="17">
        <f>IF('Components Yr 1'!G717=0,0,'Components Yr 1'!G717)</f>
        <v>0</v>
      </c>
      <c r="H717" s="17">
        <f>IF('Components Yr 1'!H717=0,0,'Components Yr 1'!H717)</f>
        <v>0</v>
      </c>
      <c r="I717" s="17">
        <f>IF('Components Yr 1'!I717=0,0,'Components Yr 1'!I717)</f>
        <v>0</v>
      </c>
      <c r="J717" s="17">
        <f>IF('Components Yr 1'!J717=0,0,'Components Yr 1'!J717)</f>
        <v>0</v>
      </c>
      <c r="K717" s="12"/>
      <c r="L717" s="12"/>
      <c r="M717" s="12"/>
      <c r="N717" s="12"/>
      <c r="O717" s="17">
        <f>IF('Components Yr 1'!O717=0,0,'Components Yr 1'!O717)</f>
        <v>0</v>
      </c>
      <c r="P717" s="12"/>
      <c r="Q717" s="17"/>
      <c r="R717" s="18">
        <f>IF(SUMPRODUCT((E717:Q717)*1)=0,0,E717*INDEX(Hours!M:M,MATCH(C717,Hours!$A:$A,0))+F717*INDEX(Hours!B:B,MATCH(C717,Hours!$A:$A,0))+G717*INDEX(Hours!C:C,MATCH(C717,Hours!$A:$A,0))+H717*INDEX(Hours!D:D,MATCH(C717,Hours!$A:$A,0))+I717*INDEX(Hours!E:E,MATCH(C717,Hours!$A:$A,0))+J717*INDEX(Hours!F:F,MATCH(C717,Hours!$A:$A,0))+O717*INDEX(Hours!K:K,MATCH(C717,Hours!$A:$A,0)))</f>
        <v>0</v>
      </c>
      <c r="S717" s="19">
        <f t="shared" si="23"/>
        <v>0</v>
      </c>
    </row>
    <row r="718" spans="1:19" x14ac:dyDescent="0.25">
      <c r="A718" s="15" t="str">
        <f>'Bldgs &amp; Rooms'!$A$21</f>
        <v>Main Bldg.</v>
      </c>
      <c r="B718" s="15">
        <f>'Bldgs &amp; Rooms'!$B$21</f>
        <v>0</v>
      </c>
      <c r="C718" s="14" t="str">
        <f>Hours!$A$15</f>
        <v>VFD Motor Control Panel (VFD-MCP)</v>
      </c>
      <c r="D718" s="15">
        <f t="shared" si="22"/>
        <v>0</v>
      </c>
      <c r="E718" s="16">
        <f>IF('Components Yr 1'!E718=0,0,'Components Yr 1'!E718)</f>
        <v>0</v>
      </c>
      <c r="F718" s="17">
        <f>IF('Components Yr 1'!F718=0,0,'Components Yr 1'!F718)</f>
        <v>0</v>
      </c>
      <c r="G718" s="17">
        <f>IF('Components Yr 1'!G718=0,0,'Components Yr 1'!G718)</f>
        <v>0</v>
      </c>
      <c r="H718" s="17">
        <f>IF('Components Yr 1'!H718=0,0,'Components Yr 1'!H718)</f>
        <v>0</v>
      </c>
      <c r="I718" s="17">
        <f>IF('Components Yr 1'!I718=0,0,'Components Yr 1'!I718)</f>
        <v>0</v>
      </c>
      <c r="J718" s="17">
        <f>IF('Components Yr 1'!J718=0,0,'Components Yr 1'!J718)</f>
        <v>0</v>
      </c>
      <c r="K718" s="12"/>
      <c r="L718" s="12"/>
      <c r="M718" s="12"/>
      <c r="N718" s="12"/>
      <c r="O718" s="17">
        <f>IF('Components Yr 1'!O718=0,0,'Components Yr 1'!O718)</f>
        <v>0</v>
      </c>
      <c r="P718" s="12"/>
      <c r="Q718" s="17"/>
      <c r="R718" s="18">
        <f>IF(SUMPRODUCT((E718:Q718)*1)=0,0,E718*INDEX(Hours!M:M,MATCH(C718,Hours!$A:$A,0))+F718*INDEX(Hours!B:B,MATCH(C718,Hours!$A:$A,0))+G718*INDEX(Hours!C:C,MATCH(C718,Hours!$A:$A,0))+H718*INDEX(Hours!D:D,MATCH(C718,Hours!$A:$A,0))+I718*INDEX(Hours!E:E,MATCH(C718,Hours!$A:$A,0))+J718*INDEX(Hours!F:F,MATCH(C718,Hours!$A:$A,0))+O718*INDEX(Hours!K:K,MATCH(C718,Hours!$A:$A,0)))</f>
        <v>0</v>
      </c>
      <c r="S718" s="19">
        <f t="shared" si="23"/>
        <v>0</v>
      </c>
    </row>
    <row r="719" spans="1:19" x14ac:dyDescent="0.25">
      <c r="A719" s="15" t="str">
        <f>'Bldgs &amp; Rooms'!$A$21</f>
        <v>Main Bldg.</v>
      </c>
      <c r="B719" s="15">
        <f>'Bldgs &amp; Rooms'!$B$21</f>
        <v>0</v>
      </c>
      <c r="C719" s="14" t="str">
        <f>Hours!$A$16</f>
        <v>Individual Disconnect Switch &gt; 100A</v>
      </c>
      <c r="D719" s="15">
        <f t="shared" si="22"/>
        <v>0</v>
      </c>
      <c r="E719" s="16">
        <f>IF('Components Yr 1'!E719=0,0,'Components Yr 1'!E719)</f>
        <v>0</v>
      </c>
      <c r="F719" s="17">
        <f>IF('Components Yr 1'!F719=0,0,'Components Yr 1'!F719)</f>
        <v>0</v>
      </c>
      <c r="G719" s="17">
        <f>IF('Components Yr 1'!G719=0,0,'Components Yr 1'!G719)</f>
        <v>0</v>
      </c>
      <c r="H719" s="17">
        <f>IF('Components Yr 1'!H719=0,0,'Components Yr 1'!H719)</f>
        <v>0</v>
      </c>
      <c r="I719" s="17">
        <f>IF('Components Yr 1'!I719=0,0,'Components Yr 1'!I719)</f>
        <v>0</v>
      </c>
      <c r="J719" s="17">
        <f>IF('Components Yr 1'!J719=0,0,'Components Yr 1'!J719)</f>
        <v>0</v>
      </c>
      <c r="K719" s="17">
        <f>IF('Components Yr 1'!K719=0,0,'Components Yr 1'!K719)</f>
        <v>0</v>
      </c>
      <c r="L719" s="12"/>
      <c r="M719" s="12"/>
      <c r="N719" s="12"/>
      <c r="O719" s="12"/>
      <c r="P719" s="12"/>
      <c r="Q719" s="17"/>
      <c r="R719" s="18">
        <f>IF(SUMPRODUCT((E719:Q719)*1)=0,0,E719*INDEX(Hours!M:M,MATCH(C719,Hours!$A:$A,0))+F719*INDEX(Hours!B:B,MATCH(C719,Hours!$A:$A,0))+G719*INDEX(Hours!C:C,MATCH(C719,Hours!$A:$A,0))+H719*INDEX(Hours!D:D,MATCH(C719,Hours!$A:$A,0))+I719*INDEX(Hours!E:E,MATCH(C719,Hours!$A:$A,0))+J719*INDEX(Hours!F:F,MATCH(C719,Hours!$A:$A,0))+K719*INDEX(Hours!G:G,MATCH(C719,Hours!$A:$A,0)))</f>
        <v>0</v>
      </c>
      <c r="S719" s="19">
        <f t="shared" si="23"/>
        <v>0</v>
      </c>
    </row>
    <row r="720" spans="1:19" x14ac:dyDescent="0.25">
      <c r="A720" s="15" t="str">
        <f>'Bldgs &amp; Rooms'!$A$21</f>
        <v>Main Bldg.</v>
      </c>
      <c r="B720" s="15">
        <f>'Bldgs &amp; Rooms'!$B$21</f>
        <v>0</v>
      </c>
      <c r="C720" s="14" t="str">
        <f>Hours!$A$17</f>
        <v>Individual Molded Case Breaker &gt; 100A</v>
      </c>
      <c r="D720" s="15">
        <f t="shared" si="22"/>
        <v>0</v>
      </c>
      <c r="E720" s="16">
        <f>IF('Components Yr 1'!E720=0,0,'Components Yr 1'!E720)</f>
        <v>0</v>
      </c>
      <c r="F720" s="17">
        <f>IF('Components Yr 1'!F720=0,0,'Components Yr 1'!F720)</f>
        <v>0</v>
      </c>
      <c r="G720" s="17">
        <f>IF('Components Yr 1'!G720=0,0,'Components Yr 1'!G720)</f>
        <v>0</v>
      </c>
      <c r="H720" s="17">
        <f>IF('Components Yr 1'!H720=0,0,'Components Yr 1'!H720)</f>
        <v>0</v>
      </c>
      <c r="I720" s="17">
        <f>IF('Components Yr 1'!I720=0,0,'Components Yr 1'!I720)</f>
        <v>0</v>
      </c>
      <c r="J720" s="17">
        <f>IF('Components Yr 1'!J720=0,0,'Components Yr 1'!J720)</f>
        <v>0</v>
      </c>
      <c r="K720" s="17">
        <f>IF('Components Yr 1'!K720=0,0,'Components Yr 1'!K720)</f>
        <v>0</v>
      </c>
      <c r="L720" s="12"/>
      <c r="M720" s="12"/>
      <c r="N720" s="12"/>
      <c r="O720" s="12"/>
      <c r="P720" s="12"/>
      <c r="Q720" s="17"/>
      <c r="R720" s="18">
        <f>IF(SUMPRODUCT((E720:Q720)*1)=0,0,E720*INDEX(Hours!M:M,MATCH(C720,Hours!$A:$A,0))+F720*INDEX(Hours!B:B,MATCH(C720,Hours!$A:$A,0))+G720*INDEX(Hours!C:C,MATCH(C720,Hours!$A:$A,0))+H720*INDEX(Hours!D:D,MATCH(C720,Hours!$A:$A,0))+I720*INDEX(Hours!E:E,MATCH(C720,Hours!$A:$A,0))+J720*INDEX(Hours!F:F,MATCH(C720,Hours!$A:$A,0))+K720*INDEX(Hours!G:G,MATCH(C720,Hours!$A:$A,0)))</f>
        <v>0</v>
      </c>
      <c r="S720" s="19">
        <f t="shared" si="23"/>
        <v>0</v>
      </c>
    </row>
    <row r="721" spans="1:19" x14ac:dyDescent="0.25">
      <c r="A721" s="15" t="str">
        <f>'Bldgs &amp; Rooms'!$A$21</f>
        <v>Main Bldg.</v>
      </c>
      <c r="B721" s="15">
        <f>'Bldgs &amp; Rooms'!$B$21</f>
        <v>0</v>
      </c>
      <c r="C721" s="14" t="str">
        <f>Hours!$A$18</f>
        <v>Individual Combination Motor Starter &gt; 100A</v>
      </c>
      <c r="D721" s="15">
        <f t="shared" si="22"/>
        <v>0</v>
      </c>
      <c r="E721" s="16">
        <f>IF('Components Yr 1'!E721=0,0,'Components Yr 1'!E721)</f>
        <v>0</v>
      </c>
      <c r="F721" s="17">
        <f>IF('Components Yr 1'!F721=0,0,'Components Yr 1'!F721)</f>
        <v>0</v>
      </c>
      <c r="G721" s="17">
        <f>IF('Components Yr 1'!G721=0,0,'Components Yr 1'!G721)</f>
        <v>0</v>
      </c>
      <c r="H721" s="17">
        <f>IF('Components Yr 1'!H721=0,0,'Components Yr 1'!H721)</f>
        <v>0</v>
      </c>
      <c r="I721" s="17">
        <f>IF('Components Yr 1'!I721=0,0,'Components Yr 1'!I721)</f>
        <v>0</v>
      </c>
      <c r="J721" s="17">
        <f>IF('Components Yr 1'!J721=0,0,'Components Yr 1'!J721)</f>
        <v>0</v>
      </c>
      <c r="K721" s="17">
        <f>IF('Components Yr 1'!K721=0,0,'Components Yr 1'!K721)</f>
        <v>0</v>
      </c>
      <c r="L721" s="12"/>
      <c r="M721" s="12"/>
      <c r="N721" s="12"/>
      <c r="O721" s="12"/>
      <c r="P721" s="12"/>
      <c r="Q721" s="17"/>
      <c r="R721" s="18">
        <f>IF(SUMPRODUCT((E721:Q721)*1)=0,0,E721*INDEX(Hours!M:M,MATCH(C721,Hours!$A:$A,0))+F721*INDEX(Hours!B:B,MATCH(C721,Hours!$A:$A,0))+G721*INDEX(Hours!C:C,MATCH(C721,Hours!$A:$A,0))+H721*INDEX(Hours!D:D,MATCH(C721,Hours!$A:$A,0))+I721*INDEX(Hours!E:E,MATCH(C721,Hours!$A:$A,0))+J721*INDEX(Hours!F:F,MATCH(C721,Hours!$A:$A,0))+K721*INDEX(Hours!G:G,MATCH(C721,Hours!$A:$A,0)))</f>
        <v>0</v>
      </c>
      <c r="S721" s="19">
        <f t="shared" si="23"/>
        <v>0</v>
      </c>
    </row>
    <row r="722" spans="1:19" x14ac:dyDescent="0.25">
      <c r="A722" s="15" t="str">
        <f>'Bldgs &amp; Rooms'!$A$21</f>
        <v>Main Bldg.</v>
      </c>
      <c r="B722" s="15">
        <f>'Bldgs &amp; Rooms'!$B$21</f>
        <v>0</v>
      </c>
      <c r="C722" s="14" t="str">
        <f>Hours!$A$19</f>
        <v>Oil Filled Transformer - 5kV-15kV Primary - Any Size (Pad Mounted)</v>
      </c>
      <c r="D722" s="15">
        <f t="shared" si="22"/>
        <v>0</v>
      </c>
      <c r="E722" s="16">
        <f>IF('Components Yr 1'!E722=0,0,'Components Yr 1'!E722)</f>
        <v>0</v>
      </c>
      <c r="F722" s="17">
        <f>IF('Components Yr 1'!F722=0,0,'Components Yr 1'!F722)</f>
        <v>0</v>
      </c>
      <c r="G722" s="17">
        <f>IF('Components Yr 1'!G722=0,0,'Components Yr 1'!G722)</f>
        <v>0</v>
      </c>
      <c r="H722" s="17">
        <f>IF('Components Yr 1'!H722=0,0,'Components Yr 1'!H722)</f>
        <v>0</v>
      </c>
      <c r="I722" s="17">
        <f>IF('Components Yr 1'!I722=0,0,'Components Yr 1'!I722)</f>
        <v>0</v>
      </c>
      <c r="J722" s="17">
        <f>IF('Components Yr 1'!J722=0,0,'Components Yr 1'!J722)</f>
        <v>0</v>
      </c>
      <c r="K722" s="12"/>
      <c r="L722" s="12"/>
      <c r="M722" s="17">
        <f>IF('Components Yr 1'!M722=0,0,'Components Yr 1'!M722)</f>
        <v>0</v>
      </c>
      <c r="N722" s="17">
        <f>IF('Components Yr 1'!N722=0,0,'Components Yr 1'!N722)</f>
        <v>0</v>
      </c>
      <c r="O722" s="12"/>
      <c r="P722" s="17">
        <f>IF('Components Yr 1'!P722=0,0,'Components Yr 1'!P722)</f>
        <v>0</v>
      </c>
      <c r="Q722" s="17"/>
      <c r="R722" s="18">
        <f>IF(SUMPRODUCT((E722:Q722)*1)=0,0,E722*INDEX(Hours!M:M,MATCH(C722,Hours!$A:$A,0))+F722*INDEX(Hours!B:B,MATCH(C722,Hours!$A:$A,0))+G722*INDEX(Hours!C:C,MATCH(C722,Hours!$A:$A,0))+H722*INDEX(Hours!D:D,MATCH(C722,Hours!$A:$A,0))+I722*INDEX(Hours!E:E,MATCH(C722,Hours!$A:$A,0))+J722*INDEX(Hours!F:F,MATCH(C722,Hours!$A:$A,0))+M722*INDEX(Hours!I:I,MATCH(C722,Hours!$A:$A,0))+N722*INDEX(Hours!J:J,MATCH(C722,Hours!$A:$A,0))+P722*INDEX(Hours!L:L,MATCH(C722,Hours!$A:$A,0)))</f>
        <v>0</v>
      </c>
      <c r="S722" s="19">
        <f t="shared" si="23"/>
        <v>0</v>
      </c>
    </row>
    <row r="723" spans="1:19" x14ac:dyDescent="0.25">
      <c r="A723" s="15" t="str">
        <f>'Bldgs &amp; Rooms'!$A$21</f>
        <v>Main Bldg.</v>
      </c>
      <c r="B723" s="15">
        <f>'Bldgs &amp; Rooms'!$B$21</f>
        <v>0</v>
      </c>
      <c r="C723" s="14" t="str">
        <f>Hours!$A$20</f>
        <v>Oil Filled Transformer - &gt; 15kV Primary (Substation Class)</v>
      </c>
      <c r="D723" s="15">
        <f t="shared" si="22"/>
        <v>0</v>
      </c>
      <c r="E723" s="16">
        <f>IF('Components Yr 1'!E723=0,0,'Components Yr 1'!E723)</f>
        <v>0</v>
      </c>
      <c r="F723" s="17">
        <f>IF('Components Yr 1'!F723=0,0,'Components Yr 1'!F723)</f>
        <v>0</v>
      </c>
      <c r="G723" s="17">
        <f>IF('Components Yr 1'!G723=0,0,'Components Yr 1'!G723)</f>
        <v>0</v>
      </c>
      <c r="H723" s="17">
        <f>IF('Components Yr 1'!H723=0,0,'Components Yr 1'!H723)</f>
        <v>0</v>
      </c>
      <c r="I723" s="17">
        <f>IF('Components Yr 1'!I723=0,0,'Components Yr 1'!I723)</f>
        <v>0</v>
      </c>
      <c r="J723" s="17">
        <f>IF('Components Yr 1'!J723=0,0,'Components Yr 1'!J723)</f>
        <v>0</v>
      </c>
      <c r="K723" s="12"/>
      <c r="L723" s="12"/>
      <c r="M723" s="17">
        <f>IF('Components Yr 1'!M723=0,0,'Components Yr 1'!M723)</f>
        <v>0</v>
      </c>
      <c r="N723" s="17">
        <f>IF('Components Yr 1'!N723=0,0,'Components Yr 1'!N723)</f>
        <v>0</v>
      </c>
      <c r="O723" s="12"/>
      <c r="P723" s="17">
        <f>IF('Components Yr 1'!P723=0,0,'Components Yr 1'!P723)</f>
        <v>0</v>
      </c>
      <c r="Q723" s="17"/>
      <c r="R723" s="18">
        <f>IF(SUMPRODUCT((E723:Q723)*1)=0,0,E723*INDEX(Hours!M:M,MATCH(C723,Hours!$A:$A,0))+F723*INDEX(Hours!B:B,MATCH(C723,Hours!$A:$A,0))+G723*INDEX(Hours!C:C,MATCH(C723,Hours!$A:$A,0))+H723*INDEX(Hours!D:D,MATCH(C723,Hours!$A:$A,0))+I723*INDEX(Hours!E:E,MATCH(C723,Hours!$A:$A,0))+J723*INDEX(Hours!F:F,MATCH(C723,Hours!$A:$A,0))+M723*INDEX(Hours!I:I,MATCH(C723,Hours!$A:$A,0))+N723*INDEX(Hours!J:J,MATCH(C723,Hours!$A:$A,0))+P723*INDEX(Hours!L:L,MATCH(C723,Hours!$A:$A,0)))</f>
        <v>0</v>
      </c>
      <c r="S723" s="19">
        <f t="shared" si="23"/>
        <v>0</v>
      </c>
    </row>
    <row r="724" spans="1:19" x14ac:dyDescent="0.25">
      <c r="A724" s="15" t="str">
        <f>'Bldgs &amp; Rooms'!$A$21</f>
        <v>Main Bldg.</v>
      </c>
      <c r="B724" s="15">
        <f>'Bldgs &amp; Rooms'!$B$21</f>
        <v>0</v>
      </c>
      <c r="C724" s="14" t="str">
        <f>Hours!$A$21</f>
        <v>Dry Type Transformer - &lt; 480V Primary - Any Size kVA</v>
      </c>
      <c r="D724" s="15">
        <f t="shared" si="22"/>
        <v>0</v>
      </c>
      <c r="E724" s="16">
        <f>IF('Components Yr 1'!E724=0,0,'Components Yr 1'!E724)</f>
        <v>0</v>
      </c>
      <c r="F724" s="17">
        <f>IF('Components Yr 1'!F724=0,0,'Components Yr 1'!F724)</f>
        <v>0</v>
      </c>
      <c r="G724" s="17">
        <f>IF('Components Yr 1'!G724=0,0,'Components Yr 1'!G724)</f>
        <v>0</v>
      </c>
      <c r="H724" s="17">
        <f>IF('Components Yr 1'!H724=0,0,'Components Yr 1'!H724)</f>
        <v>0</v>
      </c>
      <c r="I724" s="17">
        <f>IF('Components Yr 1'!I724=0,0,'Components Yr 1'!I724)</f>
        <v>0</v>
      </c>
      <c r="J724" s="17">
        <f>IF('Components Yr 1'!J724=0,0,'Components Yr 1'!J724)</f>
        <v>0</v>
      </c>
      <c r="K724" s="12"/>
      <c r="L724" s="12"/>
      <c r="M724" s="17">
        <f>IF('Components Yr 1'!M724=0,0,'Components Yr 1'!M724)</f>
        <v>0</v>
      </c>
      <c r="N724" s="17">
        <f>IF('Components Yr 1'!N724=0,0,'Components Yr 1'!N724)</f>
        <v>0</v>
      </c>
      <c r="O724" s="12"/>
      <c r="P724" s="12"/>
      <c r="Q724" s="17"/>
      <c r="R724" s="18">
        <f>IF(SUMPRODUCT((E724:Q724)*1)=0,0,E724*INDEX(Hours!M:M,MATCH(C724,Hours!$A:$A,0))+F724*INDEX(Hours!B:B,MATCH(C724,Hours!$A:$A,0))+G724*INDEX(Hours!C:C,MATCH(C724,Hours!$A:$A,0))+H724*INDEX(Hours!D:D,MATCH(C724,Hours!$A:$A,0))+I724*INDEX(Hours!E:E,MATCH(C724,Hours!$A:$A,0))+J724*INDEX(Hours!F:F,MATCH(C724,Hours!$A:$A,0))+M724*INDEX(Hours!I:I,MATCH(C724,Hours!$A:$A,0))+N724*INDEX(Hours!J:J,MATCH(C724,Hours!$A:$A,0)))</f>
        <v>0</v>
      </c>
      <c r="S724" s="19">
        <f t="shared" si="23"/>
        <v>0</v>
      </c>
    </row>
    <row r="725" spans="1:19" x14ac:dyDescent="0.25">
      <c r="A725" s="15" t="str">
        <f>'Bldgs &amp; Rooms'!$A$21</f>
        <v>Main Bldg.</v>
      </c>
      <c r="B725" s="15">
        <f>'Bldgs &amp; Rooms'!$B$21</f>
        <v>0</v>
      </c>
      <c r="C725" s="14" t="str">
        <f>Hours!$A$22</f>
        <v>Power Factor Correction Capacitors</v>
      </c>
      <c r="D725" s="15">
        <f t="shared" si="22"/>
        <v>0</v>
      </c>
      <c r="E725" s="16">
        <f>IF('Components Yr 1'!E725=0,0,'Components Yr 1'!E725)</f>
        <v>0</v>
      </c>
      <c r="F725" s="17">
        <f>IF('Components Yr 1'!F725=0,0,'Components Yr 1'!F725)</f>
        <v>0</v>
      </c>
      <c r="G725" s="17">
        <f>IF('Components Yr 1'!G725=0,0,'Components Yr 1'!G725)</f>
        <v>0</v>
      </c>
      <c r="H725" s="17">
        <f>IF('Components Yr 1'!H725=0,0,'Components Yr 1'!H725)</f>
        <v>0</v>
      </c>
      <c r="I725" s="17">
        <f>IF('Components Yr 1'!I725=0,0,'Components Yr 1'!I725)</f>
        <v>0</v>
      </c>
      <c r="J725" s="17">
        <f>IF('Components Yr 1'!J725=0,0,'Components Yr 1'!J725)</f>
        <v>0</v>
      </c>
      <c r="K725" s="12"/>
      <c r="L725" s="12"/>
      <c r="M725" s="12"/>
      <c r="N725" s="12"/>
      <c r="O725" s="12"/>
      <c r="P725" s="12"/>
      <c r="Q725" s="17"/>
      <c r="R725" s="18">
        <f>IF(SUMPRODUCT((E725:Q725)*1)=0,0,E725*INDEX(Hours!M:M,MATCH(C725,Hours!$A:$A,0))+F725*INDEX(Hours!B:B,MATCH(C725,Hours!$A:$A,0))+G725*INDEX(Hours!C:C,MATCH(C725,Hours!$A:$A,0))+H725*INDEX(Hours!D:D,MATCH(C725,Hours!$A:$A,0))+I725*INDEX(Hours!E:E,MATCH(C725,Hours!$A:$A,0))+J725*INDEX(Hours!F:F,MATCH(C725,Hours!$A:$A,0)))</f>
        <v>0</v>
      </c>
      <c r="S725" s="19">
        <f t="shared" si="23"/>
        <v>0</v>
      </c>
    </row>
    <row r="726" spans="1:19" x14ac:dyDescent="0.25">
      <c r="A726" s="15" t="str">
        <f>'Bldgs &amp; Rooms'!$A$21</f>
        <v>Main Bldg.</v>
      </c>
      <c r="B726" s="15">
        <f>'Bldgs &amp; Rooms'!$B$21</f>
        <v>0</v>
      </c>
      <c r="C726" s="14" t="str">
        <f>Hours!$A$23</f>
        <v>Lighting Contactor &gt; 100A</v>
      </c>
      <c r="D726" s="15">
        <f t="shared" si="22"/>
        <v>0</v>
      </c>
      <c r="E726" s="16">
        <f>IF('Components Yr 1'!E726=0,0,'Components Yr 1'!E726)</f>
        <v>0</v>
      </c>
      <c r="F726" s="17">
        <f>IF('Components Yr 1'!F726=0,0,'Components Yr 1'!F726)</f>
        <v>0</v>
      </c>
      <c r="G726" s="17">
        <f>IF('Components Yr 1'!G726=0,0,'Components Yr 1'!G726)</f>
        <v>0</v>
      </c>
      <c r="H726" s="17">
        <f>IF('Components Yr 1'!H726=0,0,'Components Yr 1'!H726)</f>
        <v>0</v>
      </c>
      <c r="I726" s="17">
        <f>IF('Components Yr 1'!I726=0,0,'Components Yr 1'!I726)</f>
        <v>0</v>
      </c>
      <c r="J726" s="17">
        <f>IF('Components Yr 1'!J726=0,0,'Components Yr 1'!J726)</f>
        <v>0</v>
      </c>
      <c r="K726" s="12"/>
      <c r="L726" s="12"/>
      <c r="M726" s="12"/>
      <c r="N726" s="12"/>
      <c r="O726" s="12"/>
      <c r="P726" s="12"/>
      <c r="Q726" s="17"/>
      <c r="R726" s="18">
        <f>IF(SUMPRODUCT((E726:Q726)*1)=0,0,E726*INDEX(Hours!M:M,MATCH(C726,Hours!$A:$A,0))+F726*INDEX(Hours!B:B,MATCH(C726,Hours!$A:$A,0))+G726*INDEX(Hours!C:C,MATCH(C726,Hours!$A:$A,0))+H726*INDEX(Hours!D:D,MATCH(C726,Hours!$A:$A,0))+I726*INDEX(Hours!E:E,MATCH(C726,Hours!$A:$A,0))+J726*INDEX(Hours!F:F,MATCH(C726,Hours!$A:$A,0)))</f>
        <v>0</v>
      </c>
      <c r="S726" s="19">
        <f t="shared" si="23"/>
        <v>0</v>
      </c>
    </row>
    <row r="727" spans="1:19" x14ac:dyDescent="0.25">
      <c r="A727" s="15" t="str">
        <f>'Bldgs &amp; Rooms'!$A$21</f>
        <v>Main Bldg.</v>
      </c>
      <c r="B727" s="15">
        <f>'Bldgs &amp; Rooms'!$B$21</f>
        <v>0</v>
      </c>
      <c r="C727" s="14" t="str">
        <f>Hours!$A$24</f>
        <v>Power Distribution Unit (PDU)</v>
      </c>
      <c r="D727" s="15">
        <f t="shared" si="22"/>
        <v>0</v>
      </c>
      <c r="E727" s="16">
        <f>IF('Components Yr 1'!E727=0,0,'Components Yr 1'!E727)</f>
        <v>0</v>
      </c>
      <c r="F727" s="17">
        <f>IF('Components Yr 1'!F727=0,0,'Components Yr 1'!F727)</f>
        <v>0</v>
      </c>
      <c r="G727" s="17">
        <f>IF('Components Yr 1'!G727=0,0,'Components Yr 1'!G727)</f>
        <v>0</v>
      </c>
      <c r="H727" s="17">
        <f>IF('Components Yr 1'!H727=0,0,'Components Yr 1'!H727)</f>
        <v>0</v>
      </c>
      <c r="I727" s="17">
        <f>IF('Components Yr 1'!I727=0,0,'Components Yr 1'!I727)</f>
        <v>0</v>
      </c>
      <c r="J727" s="17">
        <f>IF('Components Yr 1'!J727=0,0,'Components Yr 1'!J727)</f>
        <v>0</v>
      </c>
      <c r="K727" s="12"/>
      <c r="L727" s="12"/>
      <c r="M727" s="12"/>
      <c r="N727" s="12"/>
      <c r="O727" s="12"/>
      <c r="P727" s="12"/>
      <c r="Q727" s="17"/>
      <c r="R727" s="18">
        <f>IF(SUMPRODUCT((E727:Q727)*1)=0,0,E727*INDEX(Hours!M:M,MATCH(C727,Hours!$A:$A,0))+F727*INDEX(Hours!B:B,MATCH(C727,Hours!$A:$A,0))+G727*INDEX(Hours!C:C,MATCH(C727,Hours!$A:$A,0))+H727*INDEX(Hours!D:D,MATCH(C727,Hours!$A:$A,0))+I727*INDEX(Hours!E:E,MATCH(C727,Hours!$A:$A,0))+J727*INDEX(Hours!F:F,MATCH(C727,Hours!$A:$A,0)))</f>
        <v>0</v>
      </c>
      <c r="S727" s="19">
        <f t="shared" si="23"/>
        <v>0</v>
      </c>
    </row>
    <row r="728" spans="1:19" x14ac:dyDescent="0.25">
      <c r="A728" s="15" t="str">
        <f>'Bldgs &amp; Rooms'!$A$21</f>
        <v>Main Bldg.</v>
      </c>
      <c r="B728" s="15">
        <f>'Bldgs &amp; Rooms'!$B$21</f>
        <v>0</v>
      </c>
      <c r="C728" s="14" t="str">
        <f>Hours!$A$25</f>
        <v>Wire Trough, Gutter, or Large Junction Boxes</v>
      </c>
      <c r="D728" s="15">
        <f t="shared" si="22"/>
        <v>0</v>
      </c>
      <c r="E728" s="16">
        <f>IF('Components Yr 1'!E728=0,0,'Components Yr 1'!E728)</f>
        <v>0</v>
      </c>
      <c r="F728" s="17">
        <f>IF('Components Yr 1'!F728=0,0,'Components Yr 1'!F728)</f>
        <v>0</v>
      </c>
      <c r="G728" s="17">
        <f>IF('Components Yr 1'!G728=0,0,'Components Yr 1'!G728)</f>
        <v>0</v>
      </c>
      <c r="H728" s="17">
        <f>IF('Components Yr 1'!H728=0,0,'Components Yr 1'!H728)</f>
        <v>0</v>
      </c>
      <c r="I728" s="17">
        <f>IF('Components Yr 1'!I728=0,0,'Components Yr 1'!I728)</f>
        <v>0</v>
      </c>
      <c r="J728" s="17">
        <f>IF('Components Yr 1'!J728=0,0,'Components Yr 1'!J728)</f>
        <v>0</v>
      </c>
      <c r="K728" s="12"/>
      <c r="L728" s="12"/>
      <c r="M728" s="12"/>
      <c r="N728" s="12"/>
      <c r="O728" s="12"/>
      <c r="P728" s="12"/>
      <c r="Q728" s="17"/>
      <c r="R728" s="18">
        <f>IF(SUMPRODUCT((E728:Q728)*1)=0,0,E728*INDEX(Hours!M:M,MATCH(C728,Hours!$A:$A,0))+F728*INDEX(Hours!B:B,MATCH(C728,Hours!$A:$A,0))+G728*INDEX(Hours!C:C,MATCH(C728,Hours!$A:$A,0))+H728*INDEX(Hours!D:D,MATCH(C728,Hours!$A:$A,0))+I728*INDEX(Hours!E:E,MATCH(C728,Hours!$A:$A,0))+J728*INDEX(Hours!F:F,MATCH(C728,Hours!$A:$A,0)))</f>
        <v>0</v>
      </c>
      <c r="S728" s="19">
        <f t="shared" si="23"/>
        <v>0</v>
      </c>
    </row>
    <row r="729" spans="1:19" x14ac:dyDescent="0.25">
      <c r="A729" s="15" t="str">
        <f>'Bldgs &amp; Rooms'!$A$21</f>
        <v>Main Bldg.</v>
      </c>
      <c r="B729" s="15">
        <f>'Bldgs &amp; Rooms'!$B$21</f>
        <v>0</v>
      </c>
      <c r="C729" s="14" t="str">
        <f>Hours!$A$26</f>
        <v>Bus Duct - Vertical or Horizontal (Per 10' section)</v>
      </c>
      <c r="D729" s="15">
        <f t="shared" si="22"/>
        <v>0</v>
      </c>
      <c r="E729" s="16">
        <f>IF('Components Yr 1'!E729=0,0,'Components Yr 1'!E729)</f>
        <v>0</v>
      </c>
      <c r="F729" s="17">
        <f>IF('Components Yr 1'!F729=0,0,'Components Yr 1'!F729)</f>
        <v>0</v>
      </c>
      <c r="G729" s="17">
        <f>IF('Components Yr 1'!G729=0,0,'Components Yr 1'!G729)</f>
        <v>0</v>
      </c>
      <c r="H729" s="17">
        <f>IF('Components Yr 1'!H729=0,0,'Components Yr 1'!H729)</f>
        <v>0</v>
      </c>
      <c r="I729" s="17">
        <f>IF('Components Yr 1'!I729=0,0,'Components Yr 1'!I729)</f>
        <v>0</v>
      </c>
      <c r="J729" s="17">
        <f>IF('Components Yr 1'!J729=0,0,'Components Yr 1'!J729)</f>
        <v>0</v>
      </c>
      <c r="K729" s="12"/>
      <c r="L729" s="12"/>
      <c r="M729" s="12"/>
      <c r="N729" s="12"/>
      <c r="O729" s="12"/>
      <c r="P729" s="12"/>
      <c r="Q729" s="17"/>
      <c r="R729" s="18">
        <f>IF(SUMPRODUCT((E729:Q729)*1)=0,0,E729*INDEX(Hours!M:M,MATCH(C729,Hours!$A:$A,0))+F729*INDEX(Hours!B:B,MATCH(C729,Hours!$A:$A,0))+G729*INDEX(Hours!C:C,MATCH(C729,Hours!$A:$A,0))+H729*INDEX(Hours!D:D,MATCH(C729,Hours!$A:$A,0))+I729*INDEX(Hours!E:E,MATCH(C729,Hours!$A:$A,0))+J729*INDEX(Hours!F:F,MATCH(C729,Hours!$A:$A,0)))</f>
        <v>0</v>
      </c>
      <c r="S729" s="19">
        <f t="shared" si="23"/>
        <v>0</v>
      </c>
    </row>
    <row r="730" spans="1:19" x14ac:dyDescent="0.25">
      <c r="A730" s="15" t="str">
        <f>'Bldgs &amp; Rooms'!$A$21</f>
        <v>Main Bldg.</v>
      </c>
      <c r="B730" s="15">
        <f>'Bldgs &amp; Rooms'!$B$21</f>
        <v>0</v>
      </c>
      <c r="C730" s="14" t="str">
        <f>Hours!$A$27</f>
        <v>Automatic Transfer Switch (ATS) &gt; 100A</v>
      </c>
      <c r="D730" s="15">
        <f t="shared" si="22"/>
        <v>0</v>
      </c>
      <c r="E730" s="16">
        <f>IF('Components Yr 1'!E730=0,0,'Components Yr 1'!E730)</f>
        <v>0</v>
      </c>
      <c r="F730" s="17">
        <f>IF('Components Yr 1'!F730=0,0,'Components Yr 1'!F730)</f>
        <v>0</v>
      </c>
      <c r="G730" s="17">
        <f>IF('Components Yr 1'!G730=0,0,'Components Yr 1'!G730)</f>
        <v>0</v>
      </c>
      <c r="H730" s="17">
        <f>IF('Components Yr 1'!H730=0,0,'Components Yr 1'!H730)</f>
        <v>0</v>
      </c>
      <c r="I730" s="17">
        <f>IF('Components Yr 1'!I730=0,0,'Components Yr 1'!I730)</f>
        <v>0</v>
      </c>
      <c r="J730" s="17">
        <f>IF('Components Yr 1'!J730=0,0,'Components Yr 1'!J730)</f>
        <v>0</v>
      </c>
      <c r="K730" s="12"/>
      <c r="L730" s="12"/>
      <c r="M730" s="12"/>
      <c r="N730" s="12"/>
      <c r="O730" s="12"/>
      <c r="P730" s="12"/>
      <c r="Q730" s="17"/>
      <c r="R730" s="18">
        <f>IF(SUMPRODUCT((E730:Q730)*1)=0,0,E730*INDEX(Hours!M:M,MATCH(C730,Hours!$A:$A,0))+F730*INDEX(Hours!B:B,MATCH(C730,Hours!$A:$A,0))+G730*INDEX(Hours!C:C,MATCH(C730,Hours!$A:$A,0))+H730*INDEX(Hours!D:D,MATCH(C730,Hours!$A:$A,0))+I730*INDEX(Hours!E:E,MATCH(C730,Hours!$A:$A,0))+J730*INDEX(Hours!F:F,MATCH(C730,Hours!$A:$A,0)))</f>
        <v>0</v>
      </c>
      <c r="S730" s="19">
        <f t="shared" si="23"/>
        <v>0</v>
      </c>
    </row>
    <row r="731" spans="1:19" x14ac:dyDescent="0.25">
      <c r="A731" s="15" t="str">
        <f>'Bldgs &amp; Rooms'!$A$21</f>
        <v>Main Bldg.</v>
      </c>
      <c r="B731" s="15">
        <f>'Bldgs &amp; Rooms'!$B$21</f>
        <v>0</v>
      </c>
      <c r="C731" s="14" t="str">
        <f>Hours!$A$28</f>
        <v>Manual Transfer Switch (MTS) &gt; 100A</v>
      </c>
      <c r="D731" s="15">
        <f t="shared" si="22"/>
        <v>0</v>
      </c>
      <c r="E731" s="16">
        <f>IF('Components Yr 1'!E731=0,0,'Components Yr 1'!E731)</f>
        <v>0</v>
      </c>
      <c r="F731" s="17">
        <f>IF('Components Yr 1'!F731=0,0,'Components Yr 1'!F731)</f>
        <v>0</v>
      </c>
      <c r="G731" s="17">
        <f>IF('Components Yr 1'!G731=0,0,'Components Yr 1'!G731)</f>
        <v>0</v>
      </c>
      <c r="H731" s="17">
        <f>IF('Components Yr 1'!H731=0,0,'Components Yr 1'!H731)</f>
        <v>0</v>
      </c>
      <c r="I731" s="17">
        <f>IF('Components Yr 1'!I731=0,0,'Components Yr 1'!I731)</f>
        <v>0</v>
      </c>
      <c r="J731" s="17">
        <f>IF('Components Yr 1'!J731=0,0,'Components Yr 1'!J731)</f>
        <v>0</v>
      </c>
      <c r="K731" s="12"/>
      <c r="L731" s="12"/>
      <c r="M731" s="12"/>
      <c r="N731" s="12"/>
      <c r="O731" s="12"/>
      <c r="P731" s="12"/>
      <c r="Q731" s="17"/>
      <c r="R731" s="18">
        <f>IF(SUMPRODUCT((E731:Q731)*1)=0,0,E731*INDEX(Hours!M:M,MATCH(C731,Hours!$A:$A,0))+F731*INDEX(Hours!B:B,MATCH(C731,Hours!$A:$A,0))+G731*INDEX(Hours!C:C,MATCH(C731,Hours!$A:$A,0))+H731*INDEX(Hours!D:D,MATCH(C731,Hours!$A:$A,0))+I731*INDEX(Hours!E:E,MATCH(C731,Hours!$A:$A,0))+J731*INDEX(Hours!F:F,MATCH(C731,Hours!$A:$A,0)))</f>
        <v>0</v>
      </c>
      <c r="S731" s="19">
        <f t="shared" si="23"/>
        <v>0</v>
      </c>
    </row>
    <row r="732" spans="1:19" x14ac:dyDescent="0.25">
      <c r="A732" s="15" t="str">
        <f>'Bldgs &amp; Rooms'!$A$21</f>
        <v>Main Bldg.</v>
      </c>
      <c r="B732" s="15">
        <f>'Bldgs &amp; Rooms'!$B$21</f>
        <v>0</v>
      </c>
      <c r="C732" s="14" t="str">
        <f>Hours!$A$29</f>
        <v>Variable Frequency Drives (VFD) &lt; 50 HP</v>
      </c>
      <c r="D732" s="15">
        <f t="shared" si="22"/>
        <v>0</v>
      </c>
      <c r="E732" s="16">
        <f>IF('Components Yr 1'!E732=0,0,'Components Yr 1'!E732)</f>
        <v>0</v>
      </c>
      <c r="F732" s="17">
        <f>IF('Components Yr 1'!F732=0,0,'Components Yr 1'!F732)</f>
        <v>0</v>
      </c>
      <c r="G732" s="17">
        <f>IF('Components Yr 1'!G732=0,0,'Components Yr 1'!G732)</f>
        <v>0</v>
      </c>
      <c r="H732" s="17">
        <f>IF('Components Yr 1'!H732=0,0,'Components Yr 1'!H732)</f>
        <v>0</v>
      </c>
      <c r="I732" s="17">
        <f>IF('Components Yr 1'!I732=0,0,'Components Yr 1'!I732)</f>
        <v>0</v>
      </c>
      <c r="J732" s="17">
        <f>IF('Components Yr 1'!J732=0,0,'Components Yr 1'!J732)</f>
        <v>0</v>
      </c>
      <c r="K732" s="12"/>
      <c r="L732" s="12"/>
      <c r="M732" s="12"/>
      <c r="N732" s="12"/>
      <c r="O732" s="12"/>
      <c r="P732" s="12"/>
      <c r="Q732" s="17"/>
      <c r="R732" s="18">
        <f>IF(SUMPRODUCT((E732:Q732)*1)=0,0,E732*INDEX(Hours!M:M,MATCH(C732,Hours!$A:$A,0))+F732*INDEX(Hours!B:B,MATCH(C732,Hours!$A:$A,0))+G732*INDEX(Hours!C:C,MATCH(C732,Hours!$A:$A,0))+H732*INDEX(Hours!D:D,MATCH(C732,Hours!$A:$A,0))+I732*INDEX(Hours!E:E,MATCH(C732,Hours!$A:$A,0))+J732*INDEX(Hours!F:F,MATCH(C732,Hours!$A:$A,0)))</f>
        <v>0</v>
      </c>
      <c r="S732" s="19">
        <f t="shared" si="23"/>
        <v>0</v>
      </c>
    </row>
    <row r="733" spans="1:19" x14ac:dyDescent="0.25">
      <c r="A733" s="15" t="str">
        <f>'Bldgs &amp; Rooms'!$A$21</f>
        <v>Main Bldg.</v>
      </c>
      <c r="B733" s="15">
        <f>'Bldgs &amp; Rooms'!$B$21</f>
        <v>0</v>
      </c>
      <c r="C733" s="14" t="str">
        <f>Hours!$A$30</f>
        <v>Variable Frequency Drives (VFD) 51-200 HP</v>
      </c>
      <c r="D733" s="15">
        <f t="shared" si="22"/>
        <v>0</v>
      </c>
      <c r="E733" s="16">
        <f>IF('Components Yr 1'!E733=0,0,'Components Yr 1'!E733)</f>
        <v>0</v>
      </c>
      <c r="F733" s="17">
        <f>IF('Components Yr 1'!F733=0,0,'Components Yr 1'!F733)</f>
        <v>0</v>
      </c>
      <c r="G733" s="17">
        <f>IF('Components Yr 1'!G733=0,0,'Components Yr 1'!G733)</f>
        <v>0</v>
      </c>
      <c r="H733" s="17">
        <f>IF('Components Yr 1'!H733=0,0,'Components Yr 1'!H733)</f>
        <v>0</v>
      </c>
      <c r="I733" s="17">
        <f>IF('Components Yr 1'!I733=0,0,'Components Yr 1'!I733)</f>
        <v>0</v>
      </c>
      <c r="J733" s="17">
        <f>IF('Components Yr 1'!J733=0,0,'Components Yr 1'!J733)</f>
        <v>0</v>
      </c>
      <c r="K733" s="12"/>
      <c r="L733" s="12"/>
      <c r="M733" s="12"/>
      <c r="N733" s="12"/>
      <c r="O733" s="12"/>
      <c r="P733" s="12"/>
      <c r="Q733" s="17"/>
      <c r="R733" s="18">
        <f>IF(SUMPRODUCT((E733:Q733)*1)=0,0,E733*INDEX(Hours!M:M,MATCH(C733,Hours!$A:$A,0))+F733*INDEX(Hours!B:B,MATCH(C733,Hours!$A:$A,0))+G733*INDEX(Hours!C:C,MATCH(C733,Hours!$A:$A,0))+H733*INDEX(Hours!D:D,MATCH(C733,Hours!$A:$A,0))+I733*INDEX(Hours!E:E,MATCH(C733,Hours!$A:$A,0))+J733*INDEX(Hours!F:F,MATCH(C733,Hours!$A:$A,0)))</f>
        <v>0</v>
      </c>
      <c r="S733" s="19">
        <f t="shared" si="23"/>
        <v>0</v>
      </c>
    </row>
    <row r="734" spans="1:19" x14ac:dyDescent="0.25">
      <c r="A734" s="15" t="str">
        <f>'Bldgs &amp; Rooms'!$A$21</f>
        <v>Main Bldg.</v>
      </c>
      <c r="B734" s="15">
        <f>'Bldgs &amp; Rooms'!$B$21</f>
        <v>0</v>
      </c>
      <c r="C734" s="14" t="str">
        <f>Hours!$A$31</f>
        <v>Motors &lt; 50 HP</v>
      </c>
      <c r="D734" s="15">
        <f t="shared" si="22"/>
        <v>0</v>
      </c>
      <c r="E734" s="16">
        <f>IF('Components Yr 1'!E734=0,0,'Components Yr 1'!E734)</f>
        <v>0</v>
      </c>
      <c r="F734" s="17">
        <f>IF('Components Yr 1'!F734=0,0,'Components Yr 1'!F734)</f>
        <v>0</v>
      </c>
      <c r="G734" s="17">
        <f>IF('Components Yr 1'!G734=0,0,'Components Yr 1'!G734)</f>
        <v>0</v>
      </c>
      <c r="H734" s="17">
        <f>IF('Components Yr 1'!H734=0,0,'Components Yr 1'!H734)</f>
        <v>0</v>
      </c>
      <c r="I734" s="17">
        <f>IF('Components Yr 1'!I734=0,0,'Components Yr 1'!I734)</f>
        <v>0</v>
      </c>
      <c r="J734" s="17">
        <f>IF('Components Yr 1'!J734=0,0,'Components Yr 1'!J734)</f>
        <v>0</v>
      </c>
      <c r="K734" s="12"/>
      <c r="L734" s="12"/>
      <c r="M734" s="12"/>
      <c r="N734" s="12"/>
      <c r="O734" s="12"/>
      <c r="P734" s="12"/>
      <c r="Q734" s="17"/>
      <c r="R734" s="18">
        <f>IF(SUMPRODUCT((E734:Q734)*1)=0,0,E734*INDEX(Hours!M:M,MATCH(C734,Hours!$A:$A,0))+F734*INDEX(Hours!B:B,MATCH(C734,Hours!$A:$A,0))+G734*INDEX(Hours!C:C,MATCH(C734,Hours!$A:$A,0))+H734*INDEX(Hours!D:D,MATCH(C734,Hours!$A:$A,0))+I734*INDEX(Hours!E:E,MATCH(C734,Hours!$A:$A,0))+J734*INDEX(Hours!F:F,MATCH(C734,Hours!$A:$A,0)))</f>
        <v>0</v>
      </c>
      <c r="S734" s="19">
        <f t="shared" si="23"/>
        <v>0</v>
      </c>
    </row>
    <row r="735" spans="1:19" x14ac:dyDescent="0.25">
      <c r="A735" s="15" t="str">
        <f>'Bldgs &amp; Rooms'!$A$21</f>
        <v>Main Bldg.</v>
      </c>
      <c r="B735" s="15">
        <f>'Bldgs &amp; Rooms'!$B$21</f>
        <v>0</v>
      </c>
      <c r="C735" s="14" t="str">
        <f>Hours!$A$32</f>
        <v>Motors 51-200 HP</v>
      </c>
      <c r="D735" s="15">
        <f t="shared" si="22"/>
        <v>0</v>
      </c>
      <c r="E735" s="16">
        <f>IF('Components Yr 1'!E735=0,0,'Components Yr 1'!E735)</f>
        <v>0</v>
      </c>
      <c r="F735" s="17">
        <f>IF('Components Yr 1'!F735=0,0,'Components Yr 1'!F735)</f>
        <v>0</v>
      </c>
      <c r="G735" s="17">
        <f>IF('Components Yr 1'!G735=0,0,'Components Yr 1'!G735)</f>
        <v>0</v>
      </c>
      <c r="H735" s="17">
        <f>IF('Components Yr 1'!H735=0,0,'Components Yr 1'!H735)</f>
        <v>0</v>
      </c>
      <c r="I735" s="17">
        <f>IF('Components Yr 1'!I735=0,0,'Components Yr 1'!I735)</f>
        <v>0</v>
      </c>
      <c r="J735" s="17">
        <f>IF('Components Yr 1'!J735=0,0,'Components Yr 1'!J735)</f>
        <v>0</v>
      </c>
      <c r="K735" s="12"/>
      <c r="L735" s="12"/>
      <c r="M735" s="12"/>
      <c r="N735" s="12"/>
      <c r="O735" s="12"/>
      <c r="P735" s="12"/>
      <c r="Q735" s="17"/>
      <c r="R735" s="18">
        <f>IF(SUMPRODUCT((E735:Q735)*1)=0,0,E735*INDEX(Hours!M:M,MATCH(C735,Hours!$A:$A,0))+F735*INDEX(Hours!B:B,MATCH(C735,Hours!$A:$A,0))+G735*INDEX(Hours!C:C,MATCH(C735,Hours!$A:$A,0))+H735*INDEX(Hours!D:D,MATCH(C735,Hours!$A:$A,0))+I735*INDEX(Hours!E:E,MATCH(C735,Hours!$A:$A,0))+J735*INDEX(Hours!F:F,MATCH(C735,Hours!$A:$A,0)))</f>
        <v>0</v>
      </c>
      <c r="S735" s="19">
        <f t="shared" si="23"/>
        <v>0</v>
      </c>
    </row>
    <row r="736" spans="1:19" x14ac:dyDescent="0.25">
      <c r="A736" s="15" t="str">
        <f>'Bldgs &amp; Rooms'!$A$21</f>
        <v>Main Bldg.</v>
      </c>
      <c r="B736" s="15">
        <f>'Bldgs &amp; Rooms'!$B$21</f>
        <v>0</v>
      </c>
      <c r="C736" s="14" t="str">
        <f>Hours!$A$33</f>
        <v>Motors 201-500 HP</v>
      </c>
      <c r="D736" s="15">
        <f t="shared" si="22"/>
        <v>0</v>
      </c>
      <c r="E736" s="16">
        <f>IF('Components Yr 1'!E736=0,0,'Components Yr 1'!E736)</f>
        <v>0</v>
      </c>
      <c r="F736" s="17">
        <f>IF('Components Yr 1'!F736=0,0,'Components Yr 1'!F736)</f>
        <v>0</v>
      </c>
      <c r="G736" s="17">
        <f>IF('Components Yr 1'!G736=0,0,'Components Yr 1'!G736)</f>
        <v>0</v>
      </c>
      <c r="H736" s="17">
        <f>IF('Components Yr 1'!H736=0,0,'Components Yr 1'!H736)</f>
        <v>0</v>
      </c>
      <c r="I736" s="17">
        <f>IF('Components Yr 1'!I736=0,0,'Components Yr 1'!I736)</f>
        <v>0</v>
      </c>
      <c r="J736" s="17">
        <f>IF('Components Yr 1'!J736=0,0,'Components Yr 1'!J736)</f>
        <v>0</v>
      </c>
      <c r="K736" s="12"/>
      <c r="L736" s="12"/>
      <c r="M736" s="12"/>
      <c r="N736" s="12"/>
      <c r="O736" s="12"/>
      <c r="P736" s="12"/>
      <c r="Q736" s="17"/>
      <c r="R736" s="18">
        <f>IF(SUMPRODUCT((E736:Q736)*1)=0,0,E736*INDEX(Hours!M:M,MATCH(C736,Hours!$A:$A,0))+F736*INDEX(Hours!B:B,MATCH(C736,Hours!$A:$A,0))+G736*INDEX(Hours!C:C,MATCH(C736,Hours!$A:$A,0))+H736*INDEX(Hours!D:D,MATCH(C736,Hours!$A:$A,0))+I736*INDEX(Hours!E:E,MATCH(C736,Hours!$A:$A,0))+J736*INDEX(Hours!F:F,MATCH(C736,Hours!$A:$A,0)))</f>
        <v>0</v>
      </c>
      <c r="S736" s="19">
        <f t="shared" si="23"/>
        <v>0</v>
      </c>
    </row>
    <row r="737" spans="1:19" x14ac:dyDescent="0.25">
      <c r="A737" s="15" t="str">
        <f>'Bldgs &amp; Rooms'!$A$21</f>
        <v>Main Bldg.</v>
      </c>
      <c r="B737" s="15">
        <f>'Bldgs &amp; Rooms'!$B$21</f>
        <v>0</v>
      </c>
      <c r="C737" s="14" t="str">
        <f>Hours!$A$34</f>
        <v>Compressed Air Equipment</v>
      </c>
      <c r="D737" s="15">
        <f t="shared" si="22"/>
        <v>0</v>
      </c>
      <c r="E737" s="16">
        <f>IF('Components Yr 1'!E737=0,0,'Components Yr 1'!E737)</f>
        <v>0</v>
      </c>
      <c r="F737" s="17">
        <f>IF('Components Yr 1'!F737=0,0,'Components Yr 1'!F737)</f>
        <v>0</v>
      </c>
      <c r="G737" s="17">
        <f>IF('Components Yr 1'!G737=0,0,'Components Yr 1'!G737)</f>
        <v>0</v>
      </c>
      <c r="H737" s="17">
        <f>IF('Components Yr 1'!H737=0,0,'Components Yr 1'!H737)</f>
        <v>0</v>
      </c>
      <c r="I737" s="17">
        <f>IF('Components Yr 1'!I737=0,0,'Components Yr 1'!I737)</f>
        <v>0</v>
      </c>
      <c r="J737" s="17">
        <f>IF('Components Yr 1'!J737=0,0,'Components Yr 1'!J737)</f>
        <v>0</v>
      </c>
      <c r="K737" s="12"/>
      <c r="L737" s="12"/>
      <c r="M737" s="12"/>
      <c r="N737" s="12"/>
      <c r="O737" s="12"/>
      <c r="P737" s="12"/>
      <c r="Q737" s="17"/>
      <c r="R737" s="18">
        <f>IF(SUMPRODUCT((E737:Q737)*1)=0,0,E737*INDEX(Hours!M:M,MATCH(C737,Hours!$A:$A,0))+F737*INDEX(Hours!B:B,MATCH(C737,Hours!$A:$A,0))+G737*INDEX(Hours!C:C,MATCH(C737,Hours!$A:$A,0))+H737*INDEX(Hours!D:D,MATCH(C737,Hours!$A:$A,0))+I737*INDEX(Hours!E:E,MATCH(C737,Hours!$A:$A,0))+J737*INDEX(Hours!F:F,MATCH(C737,Hours!$A:$A,0)))</f>
        <v>0</v>
      </c>
      <c r="S737" s="19">
        <f t="shared" si="23"/>
        <v>0</v>
      </c>
    </row>
    <row r="738" spans="1:19" x14ac:dyDescent="0.25">
      <c r="A738" s="15" t="str">
        <f>'Bldgs &amp; Rooms'!$A$21</f>
        <v>Main Bldg.</v>
      </c>
      <c r="B738" s="15">
        <f>'Bldgs &amp; Rooms'!$B$21</f>
        <v>0</v>
      </c>
      <c r="C738" s="14" t="str">
        <f>Hours!$A$35</f>
        <v>HVAC Equipment (Large)</v>
      </c>
      <c r="D738" s="15">
        <f t="shared" si="22"/>
        <v>0</v>
      </c>
      <c r="E738" s="16">
        <f>IF('Components Yr 1'!E738=0,0,'Components Yr 1'!E738)</f>
        <v>0</v>
      </c>
      <c r="F738" s="17">
        <f>IF('Components Yr 1'!F738=0,0,'Components Yr 1'!F738)</f>
        <v>0</v>
      </c>
      <c r="G738" s="17">
        <f>IF('Components Yr 1'!G738=0,0,'Components Yr 1'!G738)</f>
        <v>0</v>
      </c>
      <c r="H738" s="17">
        <f>IF('Components Yr 1'!H738=0,0,'Components Yr 1'!H738)</f>
        <v>0</v>
      </c>
      <c r="I738" s="17">
        <f>IF('Components Yr 1'!I738=0,0,'Components Yr 1'!I738)</f>
        <v>0</v>
      </c>
      <c r="J738" s="17">
        <f>IF('Components Yr 1'!J738=0,0,'Components Yr 1'!J738)</f>
        <v>0</v>
      </c>
      <c r="K738" s="12"/>
      <c r="L738" s="12"/>
      <c r="M738" s="12"/>
      <c r="N738" s="12"/>
      <c r="O738" s="12"/>
      <c r="P738" s="12"/>
      <c r="Q738" s="17"/>
      <c r="R738" s="18">
        <f>IF(SUMPRODUCT((E738:Q738)*1)=0,0,E738*INDEX(Hours!M:M,MATCH(C738,Hours!$A:$A,0))+F738*INDEX(Hours!B:B,MATCH(C738,Hours!$A:$A,0))+G738*INDEX(Hours!C:C,MATCH(C738,Hours!$A:$A,0))+H738*INDEX(Hours!D:D,MATCH(C738,Hours!$A:$A,0))+I738*INDEX(Hours!E:E,MATCH(C738,Hours!$A:$A,0))+J738*INDEX(Hours!F:F,MATCH(C738,Hours!$A:$A,0)))</f>
        <v>0</v>
      </c>
      <c r="S738" s="19">
        <f t="shared" si="23"/>
        <v>0</v>
      </c>
    </row>
    <row r="739" spans="1:19" x14ac:dyDescent="0.25">
      <c r="A739" s="15" t="str">
        <f>'Bldgs &amp; Rooms'!$A$21</f>
        <v>Main Bldg.</v>
      </c>
      <c r="B739" s="15">
        <f>'Bldgs &amp; Rooms'!$B$21</f>
        <v>0</v>
      </c>
      <c r="C739" s="14" t="str">
        <f>Hours!$A$36</f>
        <v>HVAC Equipment (Small)</v>
      </c>
      <c r="D739" s="15">
        <f t="shared" si="22"/>
        <v>0</v>
      </c>
      <c r="E739" s="16">
        <f>IF('Components Yr 1'!E739=0,0,'Components Yr 1'!E739)</f>
        <v>0</v>
      </c>
      <c r="F739" s="17">
        <f>IF('Components Yr 1'!F739=0,0,'Components Yr 1'!F739)</f>
        <v>0</v>
      </c>
      <c r="G739" s="17">
        <f>IF('Components Yr 1'!G739=0,0,'Components Yr 1'!G739)</f>
        <v>0</v>
      </c>
      <c r="H739" s="17">
        <f>IF('Components Yr 1'!H739=0,0,'Components Yr 1'!H739)</f>
        <v>0</v>
      </c>
      <c r="I739" s="17">
        <f>IF('Components Yr 1'!I739=0,0,'Components Yr 1'!I739)</f>
        <v>0</v>
      </c>
      <c r="J739" s="17">
        <f>IF('Components Yr 1'!J739=0,0,'Components Yr 1'!J739)</f>
        <v>0</v>
      </c>
      <c r="K739" s="12"/>
      <c r="L739" s="12"/>
      <c r="M739" s="12"/>
      <c r="N739" s="12"/>
      <c r="O739" s="12"/>
      <c r="P739" s="12"/>
      <c r="Q739" s="17"/>
      <c r="R739" s="18">
        <f>IF(SUMPRODUCT((E739:Q739)*1)=0,0,E739*INDEX(Hours!M:M,MATCH(C739,Hours!$A:$A,0))+F739*INDEX(Hours!B:B,MATCH(C739,Hours!$A:$A,0))+G739*INDEX(Hours!C:C,MATCH(C739,Hours!$A:$A,0))+H739*INDEX(Hours!D:D,MATCH(C739,Hours!$A:$A,0))+I739*INDEX(Hours!E:E,MATCH(C739,Hours!$A:$A,0))+J739*INDEX(Hours!F:F,MATCH(C739,Hours!$A:$A,0)))</f>
        <v>0</v>
      </c>
      <c r="S739" s="19">
        <f t="shared" si="23"/>
        <v>0</v>
      </c>
    </row>
    <row r="740" spans="1:19" x14ac:dyDescent="0.25">
      <c r="A740" s="15" t="str">
        <f>'Bldgs &amp; Rooms'!$A$21</f>
        <v>Main Bldg.</v>
      </c>
      <c r="B740" s="15">
        <f>'Bldgs &amp; Rooms'!$B$21</f>
        <v>0</v>
      </c>
      <c r="C740" s="14" t="str">
        <f>Hours!$A$37</f>
        <v>Uninterruptible Power Supply (UPS) &lt; 50kVA</v>
      </c>
      <c r="D740" s="15">
        <f t="shared" si="22"/>
        <v>0</v>
      </c>
      <c r="E740" s="16">
        <f>IF('Components Yr 1'!E740=0,0,'Components Yr 1'!E740)</f>
        <v>0</v>
      </c>
      <c r="F740" s="17">
        <f>IF('Components Yr 1'!F740=0,0,'Components Yr 1'!F740)</f>
        <v>0</v>
      </c>
      <c r="G740" s="17">
        <f>IF('Components Yr 1'!G740=0,0,'Components Yr 1'!G740)</f>
        <v>0</v>
      </c>
      <c r="H740" s="17">
        <f>IF('Components Yr 1'!H740=0,0,'Components Yr 1'!H740)</f>
        <v>0</v>
      </c>
      <c r="I740" s="17">
        <f>IF('Components Yr 1'!I740=0,0,'Components Yr 1'!I740)</f>
        <v>0</v>
      </c>
      <c r="J740" s="17">
        <f>IF('Components Yr 1'!J740=0,0,'Components Yr 1'!J740)</f>
        <v>0</v>
      </c>
      <c r="K740" s="12"/>
      <c r="L740" s="12"/>
      <c r="M740" s="12"/>
      <c r="N740" s="12"/>
      <c r="O740" s="12"/>
      <c r="P740" s="12"/>
      <c r="Q740" s="17"/>
      <c r="R740" s="18">
        <f>IF(SUMPRODUCT((E740:Q740)*1)=0,0,E740*INDEX(Hours!M:M,MATCH(C740,Hours!$A:$A,0))+F740*INDEX(Hours!B:B,MATCH(C740,Hours!$A:$A,0))+G740*INDEX(Hours!C:C,MATCH(C740,Hours!$A:$A,0))+H740*INDEX(Hours!D:D,MATCH(C740,Hours!$A:$A,0))+I740*INDEX(Hours!E:E,MATCH(C740,Hours!$A:$A,0))+J740*INDEX(Hours!F:F,MATCH(C740,Hours!$A:$A,0)))</f>
        <v>0</v>
      </c>
      <c r="S740" s="19">
        <f t="shared" si="23"/>
        <v>0</v>
      </c>
    </row>
    <row r="741" spans="1:19" x14ac:dyDescent="0.25">
      <c r="A741" s="15" t="str">
        <f>'Bldgs &amp; Rooms'!$A$21</f>
        <v>Main Bldg.</v>
      </c>
      <c r="B741" s="15">
        <f>'Bldgs &amp; Rooms'!$B$21</f>
        <v>0</v>
      </c>
      <c r="C741" s="14" t="str">
        <f>Hours!$A$38</f>
        <v>Uninterruptible Power Supply (UPS) &gt; 50kVA</v>
      </c>
      <c r="D741" s="15">
        <f t="shared" si="22"/>
        <v>0</v>
      </c>
      <c r="E741" s="16">
        <f>IF('Components Yr 1'!E741=0,0,'Components Yr 1'!E741)</f>
        <v>0</v>
      </c>
      <c r="F741" s="17">
        <f>IF('Components Yr 1'!F741=0,0,'Components Yr 1'!F741)</f>
        <v>0</v>
      </c>
      <c r="G741" s="17">
        <f>IF('Components Yr 1'!G741=0,0,'Components Yr 1'!G741)</f>
        <v>0</v>
      </c>
      <c r="H741" s="17">
        <f>IF('Components Yr 1'!H741=0,0,'Components Yr 1'!H741)</f>
        <v>0</v>
      </c>
      <c r="I741" s="17">
        <f>IF('Components Yr 1'!I741=0,0,'Components Yr 1'!I741)</f>
        <v>0</v>
      </c>
      <c r="J741" s="17">
        <f>IF('Components Yr 1'!J741=0,0,'Components Yr 1'!J741)</f>
        <v>0</v>
      </c>
      <c r="K741" s="12"/>
      <c r="L741" s="12"/>
      <c r="M741" s="12"/>
      <c r="N741" s="12"/>
      <c r="O741" s="12"/>
      <c r="P741" s="12"/>
      <c r="Q741" s="17"/>
      <c r="R741" s="18">
        <f>IF(SUMPRODUCT((E741:Q741)*1)=0,0,E741*INDEX(Hours!M:M,MATCH(C741,Hours!$A:$A,0))+F741*INDEX(Hours!B:B,MATCH(C741,Hours!$A:$A,0))+G741*INDEX(Hours!C:C,MATCH(C741,Hours!$A:$A,0))+H741*INDEX(Hours!D:D,MATCH(C741,Hours!$A:$A,0))+I741*INDEX(Hours!E:E,MATCH(C741,Hours!$A:$A,0))+J741*INDEX(Hours!F:F,MATCH(C741,Hours!$A:$A,0)))</f>
        <v>0</v>
      </c>
      <c r="S741" s="19">
        <f t="shared" si="23"/>
        <v>0</v>
      </c>
    </row>
    <row r="742" spans="1:19" x14ac:dyDescent="0.25">
      <c r="A742" s="11" t="str">
        <f>'Bldgs &amp; Rooms'!$A$22</f>
        <v>Main Bldg.</v>
      </c>
      <c r="B742" s="11">
        <f>'Bldgs &amp; Rooms'!$B$22</f>
        <v>0</v>
      </c>
      <c r="C742" s="10" t="str">
        <f>Hours!$A$2</f>
        <v>Switchgear - Incoming Main Service (Per Section)</v>
      </c>
      <c r="D742" s="11">
        <f t="shared" si="22"/>
        <v>0</v>
      </c>
      <c r="E742" s="16">
        <f>IF('Components Yr 1'!E742=0,0,'Components Yr 1'!E742)</f>
        <v>0</v>
      </c>
      <c r="F742" s="17">
        <f>IF('Components Yr 1'!F742=0,0,'Components Yr 1'!F742)</f>
        <v>0</v>
      </c>
      <c r="G742" s="17">
        <f>IF('Components Yr 1'!G742=0,0,'Components Yr 1'!G742)</f>
        <v>0</v>
      </c>
      <c r="H742" s="17">
        <f>IF('Components Yr 1'!H742=0,0,'Components Yr 1'!H742)</f>
        <v>0</v>
      </c>
      <c r="I742" s="17">
        <f>IF('Components Yr 1'!I742=0,0,'Components Yr 1'!I742)</f>
        <v>0</v>
      </c>
      <c r="J742" s="17">
        <f>IF('Components Yr 1'!J742=0,0,'Components Yr 1'!J742)</f>
        <v>0</v>
      </c>
      <c r="K742" s="17">
        <f>IF('Components Yr 1'!K742=0,0,'Components Yr 1'!K742)</f>
        <v>0</v>
      </c>
      <c r="L742" s="17">
        <f>IF('Components Yr 1'!L742=0,0,'Components Yr 1'!L742)</f>
        <v>0</v>
      </c>
      <c r="M742" s="12"/>
      <c r="N742" s="12"/>
      <c r="O742" s="17">
        <f>IF('Components Yr 1'!O742=0,0,'Components Yr 1'!O742)</f>
        <v>0</v>
      </c>
      <c r="P742" s="12"/>
      <c r="Q742" s="17"/>
      <c r="R742" s="18">
        <f>IF(SUMPRODUCT((E742:Q742)*1)=0,0,E742*INDEX(Hours!M:M,MATCH(C742,Hours!$A:$A,0))+F742*INDEX(Hours!B:B,MATCH(C742,Hours!$A:$A,0))+G742*INDEX(Hours!C:C,MATCH(C742,Hours!$A:$A,0))+H742*INDEX(Hours!D:D,MATCH(C742,Hours!$A:$A,0))+I742*INDEX(Hours!E:E,MATCH(C742,Hours!$A:$A,0))+J742*INDEX(Hours!F:F,MATCH(C742,Hours!$A:$A,0))+K742*INDEX(Hours!G:G,MATCH(C742,Hours!$A:$A,0))+L742*INDEX(Hours!H:H,MATCH(C742,Hours!$A:$A,0))+O742*INDEX(Hours!K:K,MATCH(C742,Hours!$A:$A,0)))</f>
        <v>0</v>
      </c>
      <c r="S742" s="19">
        <f t="shared" si="23"/>
        <v>0</v>
      </c>
    </row>
    <row r="743" spans="1:19" x14ac:dyDescent="0.25">
      <c r="A743" s="11" t="str">
        <f>'Bldgs &amp; Rooms'!$A$22</f>
        <v>Main Bldg.</v>
      </c>
      <c r="B743" s="11">
        <f>'Bldgs &amp; Rooms'!$B$22</f>
        <v>0</v>
      </c>
      <c r="C743" s="10" t="str">
        <f>Hours!$A$3</f>
        <v xml:space="preserve">  Switchgear Insulated Case Breakers (Bus Mounted)</v>
      </c>
      <c r="D743" s="11">
        <f t="shared" si="22"/>
        <v>0</v>
      </c>
      <c r="E743" s="16">
        <f>IF('Components Yr 1'!E743=0,0,'Components Yr 1'!E743)</f>
        <v>0</v>
      </c>
      <c r="F743" s="17">
        <f>IF('Components Yr 1'!F743=0,0,'Components Yr 1'!F743)</f>
        <v>0</v>
      </c>
      <c r="G743" s="17">
        <f>IF('Components Yr 1'!G743=0,0,'Components Yr 1'!G743)</f>
        <v>0</v>
      </c>
      <c r="H743" s="17">
        <f>IF('Components Yr 1'!H743=0,0,'Components Yr 1'!H743)</f>
        <v>0</v>
      </c>
      <c r="I743" s="17">
        <f>IF('Components Yr 1'!I743=0,0,'Components Yr 1'!I743)</f>
        <v>0</v>
      </c>
      <c r="J743" s="17">
        <f>IF('Components Yr 1'!J743=0,0,'Components Yr 1'!J743)</f>
        <v>0</v>
      </c>
      <c r="K743" s="17">
        <f>IF('Components Yr 1'!K743=0,0,'Components Yr 1'!K743)</f>
        <v>0</v>
      </c>
      <c r="L743" s="12"/>
      <c r="M743" s="12"/>
      <c r="N743" s="12"/>
      <c r="O743" s="12"/>
      <c r="P743" s="12"/>
      <c r="Q743" s="17"/>
      <c r="R743" s="18">
        <f>IF(SUMPRODUCT((E743:Q743)*1)=0,0,E743*INDEX(Hours!M:M,MATCH(C743,Hours!$A:$A,0))+F743*INDEX(Hours!B:B,MATCH(C743,Hours!$A:$A,0))+G743*INDEX(Hours!C:C,MATCH(C743,Hours!$A:$A,0))+H743*INDEX(Hours!D:D,MATCH(C743,Hours!$A:$A,0))+I743*INDEX(Hours!E:E,MATCH(C743,Hours!$A:$A,0))+J743*INDEX(Hours!F:F,MATCH(C743,Hours!$A:$A,0))+K743*INDEX(Hours!G:G,MATCH(C743,Hours!$A:$A,0)))</f>
        <v>0</v>
      </c>
      <c r="S743" s="19">
        <f t="shared" si="23"/>
        <v>0</v>
      </c>
    </row>
    <row r="744" spans="1:19" x14ac:dyDescent="0.25">
      <c r="A744" s="11" t="str">
        <f>'Bldgs &amp; Rooms'!$A$22</f>
        <v>Main Bldg.</v>
      </c>
      <c r="B744" s="11">
        <f>'Bldgs &amp; Rooms'!$B$22</f>
        <v>0</v>
      </c>
      <c r="C744" s="10" t="str">
        <f>Hours!$A$4</f>
        <v xml:space="preserve">  SwitchGear Drawout Breakers</v>
      </c>
      <c r="D744" s="11">
        <f t="shared" si="22"/>
        <v>0</v>
      </c>
      <c r="E744" s="16">
        <f>IF('Components Yr 1'!E744=0,0,'Components Yr 1'!E744)</f>
        <v>0</v>
      </c>
      <c r="F744" s="17">
        <f>IF('Components Yr 1'!F744=0,0,'Components Yr 1'!F744)</f>
        <v>0</v>
      </c>
      <c r="G744" s="17">
        <f>IF('Components Yr 1'!G744=0,0,'Components Yr 1'!G744)</f>
        <v>0</v>
      </c>
      <c r="H744" s="17">
        <f>IF('Components Yr 1'!H744=0,0,'Components Yr 1'!H744)</f>
        <v>0</v>
      </c>
      <c r="I744" s="17">
        <f>IF('Components Yr 1'!I744=0,0,'Components Yr 1'!I744)</f>
        <v>0</v>
      </c>
      <c r="J744" s="17">
        <f>IF('Components Yr 1'!J744=0,0,'Components Yr 1'!J744)</f>
        <v>0</v>
      </c>
      <c r="K744" s="12"/>
      <c r="L744" s="17">
        <f>IF('Components Yr 1'!L744=0,0,'Components Yr 1'!L744)</f>
        <v>0</v>
      </c>
      <c r="M744" s="12"/>
      <c r="N744" s="12"/>
      <c r="O744" s="12"/>
      <c r="P744" s="12"/>
      <c r="Q744" s="17"/>
      <c r="R744" s="18">
        <f>IF(SUMPRODUCT((E744:Q744)*1)=0,0,E744*INDEX(Hours!M:M,MATCH(C744,Hours!$A:$A,0))+F744*INDEX(Hours!B:B,MATCH(C744,Hours!$A:$A,0))+G744*INDEX(Hours!C:C,MATCH(C744,Hours!$A:$A,0))+H744*INDEX(Hours!D:D,MATCH(C744,Hours!$A:$A,0))+I744*INDEX(Hours!E:E,MATCH(C744,Hours!$A:$A,0))+J744*INDEX(Hours!F:F,MATCH(C744,Hours!$A:$A,0))+L744*INDEX(Hours!H:H,MATCH(C744,Hours!$A:$A,0)))</f>
        <v>0</v>
      </c>
      <c r="S744" s="19">
        <f t="shared" si="23"/>
        <v>0</v>
      </c>
    </row>
    <row r="745" spans="1:19" x14ac:dyDescent="0.25">
      <c r="A745" s="11" t="str">
        <f>'Bldgs &amp; Rooms'!$A$22</f>
        <v>Main Bldg.</v>
      </c>
      <c r="B745" s="11">
        <f>'Bldgs &amp; Rooms'!$B$22</f>
        <v>0</v>
      </c>
      <c r="C745" s="10" t="str">
        <f>Hours!$A$5</f>
        <v>Distribution Switchboard Multi Cover (Per Section)</v>
      </c>
      <c r="D745" s="11">
        <f t="shared" si="22"/>
        <v>0</v>
      </c>
      <c r="E745" s="16">
        <f>IF('Components Yr 1'!E745=0,0,'Components Yr 1'!E745)</f>
        <v>0</v>
      </c>
      <c r="F745" s="17">
        <f>IF('Components Yr 1'!F745=0,0,'Components Yr 1'!F745)</f>
        <v>0</v>
      </c>
      <c r="G745" s="17">
        <f>IF('Components Yr 1'!G745=0,0,'Components Yr 1'!G745)</f>
        <v>0</v>
      </c>
      <c r="H745" s="17">
        <f>IF('Components Yr 1'!H745=0,0,'Components Yr 1'!H745)</f>
        <v>0</v>
      </c>
      <c r="I745" s="17">
        <f>IF('Components Yr 1'!I745=0,0,'Components Yr 1'!I745)</f>
        <v>0</v>
      </c>
      <c r="J745" s="17">
        <f>IF('Components Yr 1'!J745=0,0,'Components Yr 1'!J745)</f>
        <v>0</v>
      </c>
      <c r="K745" s="17">
        <f>IF('Components Yr 1'!K745=0,0,'Components Yr 1'!K745)</f>
        <v>0</v>
      </c>
      <c r="L745" s="12"/>
      <c r="M745" s="12"/>
      <c r="N745" s="12"/>
      <c r="O745" s="17">
        <f>IF('Components Yr 1'!O745=0,0,'Components Yr 1'!O745)</f>
        <v>0</v>
      </c>
      <c r="P745" s="12"/>
      <c r="Q745" s="17"/>
      <c r="R745" s="18">
        <f>IF(SUMPRODUCT((E745:Q745)*1)=0,0,E745*INDEX(Hours!M:M,MATCH(C745,Hours!$A:$A,0))+F745*INDEX(Hours!B:B,MATCH(C745,Hours!$A:$A,0))+G745*INDEX(Hours!C:C,MATCH(C745,Hours!$A:$A,0))+H745*INDEX(Hours!D:D,MATCH(C745,Hours!$A:$A,0))+I745*INDEX(Hours!E:E,MATCH(C745,Hours!$A:$A,0))+J745*INDEX(Hours!F:F,MATCH(C745,Hours!$A:$A,0))+K745*INDEX(Hours!G:G,MATCH(C745,Hours!$A:$A,0))+O745*INDEX(Hours!K:K,MATCH(C745,Hours!$A:$A,0)))</f>
        <v>0</v>
      </c>
      <c r="S745" s="19">
        <f t="shared" si="23"/>
        <v>0</v>
      </c>
    </row>
    <row r="746" spans="1:19" x14ac:dyDescent="0.25">
      <c r="A746" s="11" t="str">
        <f>'Bldgs &amp; Rooms'!$A$22</f>
        <v>Main Bldg.</v>
      </c>
      <c r="B746" s="11">
        <f>'Bldgs &amp; Rooms'!$B$22</f>
        <v>0</v>
      </c>
      <c r="C746" s="10" t="str">
        <f>Hours!$A$6</f>
        <v xml:space="preserve">  Switchboard Disconnects</v>
      </c>
      <c r="D746" s="11">
        <f t="shared" si="22"/>
        <v>0</v>
      </c>
      <c r="E746" s="16">
        <f>IF('Components Yr 1'!E746=0,0,'Components Yr 1'!E746)</f>
        <v>0</v>
      </c>
      <c r="F746" s="17">
        <f>IF('Components Yr 1'!F746=0,0,'Components Yr 1'!F746)</f>
        <v>0</v>
      </c>
      <c r="G746" s="17">
        <f>IF('Components Yr 1'!G746=0,0,'Components Yr 1'!G746)</f>
        <v>0</v>
      </c>
      <c r="H746" s="17">
        <f>IF('Components Yr 1'!H746=0,0,'Components Yr 1'!H746)</f>
        <v>0</v>
      </c>
      <c r="I746" s="17">
        <f>IF('Components Yr 1'!I746=0,0,'Components Yr 1'!I746)</f>
        <v>0</v>
      </c>
      <c r="J746" s="17">
        <f>IF('Components Yr 1'!J746=0,0,'Components Yr 1'!J746)</f>
        <v>0</v>
      </c>
      <c r="K746" s="12"/>
      <c r="L746" s="12"/>
      <c r="M746" s="12"/>
      <c r="N746" s="12"/>
      <c r="O746" s="12"/>
      <c r="P746" s="12"/>
      <c r="Q746" s="17"/>
      <c r="R746" s="18">
        <f>IF(SUMPRODUCT((E746:Q746)*1)=0,0,E746*INDEX(Hours!M:M,MATCH(C746,Hours!$A:$A,0))+F746*INDEX(Hours!B:B,MATCH(C746,Hours!$A:$A,0))+G746*INDEX(Hours!C:C,MATCH(C746,Hours!$A:$A,0))+H746*INDEX(Hours!D:D,MATCH(C746,Hours!$A:$A,0))+I746*INDEX(Hours!E:E,MATCH(C746,Hours!$A:$A,0))+J746*INDEX(Hours!F:F,MATCH(C746,Hours!$A:$A,0)))</f>
        <v>0</v>
      </c>
      <c r="S746" s="19">
        <f t="shared" si="23"/>
        <v>0</v>
      </c>
    </row>
    <row r="747" spans="1:19" x14ac:dyDescent="0.25">
      <c r="A747" s="11" t="str">
        <f>'Bldgs &amp; Rooms'!$A$22</f>
        <v>Main Bldg.</v>
      </c>
      <c r="B747" s="11">
        <f>'Bldgs &amp; Rooms'!$B$22</f>
        <v>0</v>
      </c>
      <c r="C747" s="10" t="str">
        <f>Hours!$A$7</f>
        <v xml:space="preserve">  Switchboard Molded Case Breakers</v>
      </c>
      <c r="D747" s="11">
        <f t="shared" si="22"/>
        <v>0</v>
      </c>
      <c r="E747" s="16">
        <f>IF('Components Yr 1'!E747=0,0,'Components Yr 1'!E747)</f>
        <v>0</v>
      </c>
      <c r="F747" s="17">
        <f>IF('Components Yr 1'!F747=0,0,'Components Yr 1'!F747)</f>
        <v>0</v>
      </c>
      <c r="G747" s="17">
        <f>IF('Components Yr 1'!G747=0,0,'Components Yr 1'!G747)</f>
        <v>0</v>
      </c>
      <c r="H747" s="17">
        <f>IF('Components Yr 1'!H747=0,0,'Components Yr 1'!H747)</f>
        <v>0</v>
      </c>
      <c r="I747" s="17">
        <f>IF('Components Yr 1'!I747=0,0,'Components Yr 1'!I747)</f>
        <v>0</v>
      </c>
      <c r="J747" s="17">
        <f>IF('Components Yr 1'!J747=0,0,'Components Yr 1'!J747)</f>
        <v>0</v>
      </c>
      <c r="K747" s="17">
        <f>IF('Components Yr 1'!K747=0,0,'Components Yr 1'!K747)</f>
        <v>0</v>
      </c>
      <c r="L747" s="12"/>
      <c r="M747" s="12"/>
      <c r="N747" s="12"/>
      <c r="O747" s="12"/>
      <c r="P747" s="12"/>
      <c r="Q747" s="17"/>
      <c r="R747" s="18">
        <f>IF(SUMPRODUCT((E747:Q747)*1)=0,0,E747*INDEX(Hours!M:M,MATCH(C747,Hours!$A:$A,0))+F747*INDEX(Hours!B:B,MATCH(C747,Hours!$A:$A,0))+G747*INDEX(Hours!C:C,MATCH(C747,Hours!$A:$A,0))+H747*INDEX(Hours!D:D,MATCH(C747,Hours!$A:$A,0))+I747*INDEX(Hours!E:E,MATCH(C747,Hours!$A:$A,0))+J747*INDEX(Hours!F:F,MATCH(C747,Hours!$A:$A,0))+K747*INDEX(Hours!G:G,MATCH(C747,Hours!$A:$A,0)))</f>
        <v>0</v>
      </c>
      <c r="S747" s="19">
        <f t="shared" si="23"/>
        <v>0</v>
      </c>
    </row>
    <row r="748" spans="1:19" x14ac:dyDescent="0.25">
      <c r="A748" s="11" t="str">
        <f>'Bldgs &amp; Rooms'!$A$22</f>
        <v>Main Bldg.</v>
      </c>
      <c r="B748" s="11">
        <f>'Bldgs &amp; Rooms'!$B$22</f>
        <v>0</v>
      </c>
      <c r="C748" s="10" t="str">
        <f>Hours!$A$8</f>
        <v>Panelboard-Single Cover &gt; 400A (Distribution Panel)</v>
      </c>
      <c r="D748" s="11">
        <f t="shared" si="22"/>
        <v>0</v>
      </c>
      <c r="E748" s="16">
        <f>IF('Components Yr 1'!E748=0,0,'Components Yr 1'!E748)</f>
        <v>0</v>
      </c>
      <c r="F748" s="17">
        <f>IF('Components Yr 1'!F748=0,0,'Components Yr 1'!F748)</f>
        <v>0</v>
      </c>
      <c r="G748" s="17">
        <f>IF('Components Yr 1'!G748=0,0,'Components Yr 1'!G748)</f>
        <v>0</v>
      </c>
      <c r="H748" s="17">
        <f>IF('Components Yr 1'!H748=0,0,'Components Yr 1'!H748)</f>
        <v>0</v>
      </c>
      <c r="I748" s="17">
        <f>IF('Components Yr 1'!I748=0,0,'Components Yr 1'!I748)</f>
        <v>0</v>
      </c>
      <c r="J748" s="17">
        <f>IF('Components Yr 1'!J748=0,0,'Components Yr 1'!J748)</f>
        <v>0</v>
      </c>
      <c r="K748" s="17">
        <f>IF('Components Yr 1'!K748=0,0,'Components Yr 1'!K748)</f>
        <v>0</v>
      </c>
      <c r="L748" s="12"/>
      <c r="M748" s="12"/>
      <c r="N748" s="12"/>
      <c r="O748" s="17">
        <f>IF('Components Yr 1'!O748=0,0,'Components Yr 1'!O748)</f>
        <v>0</v>
      </c>
      <c r="P748" s="12"/>
      <c r="Q748" s="17"/>
      <c r="R748" s="18">
        <f>IF(SUMPRODUCT((E748:Q748)*1)=0,0,E748*INDEX(Hours!M:M,MATCH(C748,Hours!$A:$A,0))+F748*INDEX(Hours!B:B,MATCH(C748,Hours!$A:$A,0))+G748*INDEX(Hours!C:C,MATCH(C748,Hours!$A:$A,0))+H748*INDEX(Hours!D:D,MATCH(C748,Hours!$A:$A,0))+I748*INDEX(Hours!E:E,MATCH(C748,Hours!$A:$A,0))+J748*INDEX(Hours!F:F,MATCH(C748,Hours!$A:$A,0))+K748*INDEX(Hours!G:G,MATCH(C748,Hours!$A:$A,0))+O748*INDEX(Hours!K:K,MATCH(C748,Hours!$A:$A,0)))</f>
        <v>0</v>
      </c>
      <c r="S748" s="19">
        <f t="shared" si="23"/>
        <v>0</v>
      </c>
    </row>
    <row r="749" spans="1:19" x14ac:dyDescent="0.25">
      <c r="A749" s="11" t="str">
        <f>'Bldgs &amp; Rooms'!$A$22</f>
        <v>Main Bldg.</v>
      </c>
      <c r="B749" s="11">
        <f>'Bldgs &amp; Rooms'!$B$22</f>
        <v>0</v>
      </c>
      <c r="C749" s="10" t="str">
        <f>Hours!$A$9</f>
        <v>Panelboard-Single Cover &lt; 400A (Branch Ckt Panel)</v>
      </c>
      <c r="D749" s="11">
        <f t="shared" si="22"/>
        <v>0</v>
      </c>
      <c r="E749" s="16">
        <f>IF('Components Yr 1'!E749=0,0,'Components Yr 1'!E749)</f>
        <v>0</v>
      </c>
      <c r="F749" s="17">
        <f>IF('Components Yr 1'!F749=0,0,'Components Yr 1'!F749)</f>
        <v>0</v>
      </c>
      <c r="G749" s="17">
        <f>IF('Components Yr 1'!G749=0,0,'Components Yr 1'!G749)</f>
        <v>0</v>
      </c>
      <c r="H749" s="17">
        <f>IF('Components Yr 1'!H749=0,0,'Components Yr 1'!H749)</f>
        <v>0</v>
      </c>
      <c r="I749" s="17">
        <f>IF('Components Yr 1'!I749=0,0,'Components Yr 1'!I749)</f>
        <v>0</v>
      </c>
      <c r="J749" s="17">
        <f>IF('Components Yr 1'!J749=0,0,'Components Yr 1'!J749)</f>
        <v>0</v>
      </c>
      <c r="K749" s="12"/>
      <c r="L749" s="12"/>
      <c r="M749" s="12"/>
      <c r="N749" s="12"/>
      <c r="O749" s="17">
        <f>IF('Components Yr 1'!O749=0,0,'Components Yr 1'!O749)</f>
        <v>0</v>
      </c>
      <c r="P749" s="12"/>
      <c r="Q749" s="17"/>
      <c r="R749" s="18">
        <f>IF(SUMPRODUCT((E749:Q749)*1)=0,0,E749*INDEX(Hours!M:M,MATCH(C749,Hours!$A:$A,0))+F749*INDEX(Hours!B:B,MATCH(C749,Hours!$A:$A,0))+G749*INDEX(Hours!C:C,MATCH(C749,Hours!$A:$A,0))+H749*INDEX(Hours!D:D,MATCH(C749,Hours!$A:$A,0))+I749*INDEX(Hours!E:E,MATCH(C749,Hours!$A:$A,0))+J749*INDEX(Hours!F:F,MATCH(C749,Hours!$A:$A,0))+O749*INDEX(Hours!K:K,MATCH(C749,Hours!$A:$A,0)))</f>
        <v>0</v>
      </c>
      <c r="S749" s="19">
        <f t="shared" si="23"/>
        <v>0</v>
      </c>
    </row>
    <row r="750" spans="1:19" x14ac:dyDescent="0.25">
      <c r="A750" s="11" t="str">
        <f>'Bldgs &amp; Rooms'!$A$22</f>
        <v>Main Bldg.</v>
      </c>
      <c r="B750" s="11">
        <f>'Bldgs &amp; Rooms'!$B$22</f>
        <v>0</v>
      </c>
      <c r="C750" s="10" t="str">
        <f>Hours!$A$10</f>
        <v>Motor Control Center (MCC-Per Vertical Section)</v>
      </c>
      <c r="D750" s="11">
        <f t="shared" si="22"/>
        <v>0</v>
      </c>
      <c r="E750" s="16">
        <f>IF('Components Yr 1'!E750=0,0,'Components Yr 1'!E750)</f>
        <v>0</v>
      </c>
      <c r="F750" s="17">
        <f>IF('Components Yr 1'!F750=0,0,'Components Yr 1'!F750)</f>
        <v>0</v>
      </c>
      <c r="G750" s="17">
        <f>IF('Components Yr 1'!G750=0,0,'Components Yr 1'!G750)</f>
        <v>0</v>
      </c>
      <c r="H750" s="17">
        <f>IF('Components Yr 1'!H750=0,0,'Components Yr 1'!H750)</f>
        <v>0</v>
      </c>
      <c r="I750" s="17">
        <f>IF('Components Yr 1'!I750=0,0,'Components Yr 1'!I750)</f>
        <v>0</v>
      </c>
      <c r="J750" s="17">
        <f>IF('Components Yr 1'!J750=0,0,'Components Yr 1'!J750)</f>
        <v>0</v>
      </c>
      <c r="K750" s="12"/>
      <c r="L750" s="12"/>
      <c r="M750" s="12"/>
      <c r="N750" s="12"/>
      <c r="O750" s="17">
        <f>IF('Components Yr 1'!O750=0,0,'Components Yr 1'!O750)</f>
        <v>0</v>
      </c>
      <c r="P750" s="12"/>
      <c r="Q750" s="17"/>
      <c r="R750" s="18">
        <f>IF(SUMPRODUCT((E750:Q750)*1)=0,0,E750*INDEX(Hours!M:M,MATCH(C750,Hours!$A:$A,0))+F750*INDEX(Hours!B:B,MATCH(C750,Hours!$A:$A,0))+G750*INDEX(Hours!C:C,MATCH(C750,Hours!$A:$A,0))+H750*INDEX(Hours!D:D,MATCH(C750,Hours!$A:$A,0))+I750*INDEX(Hours!E:E,MATCH(C750,Hours!$A:$A,0))+J750*INDEX(Hours!F:F,MATCH(C750,Hours!$A:$A,0))+O750*INDEX(Hours!K:K,MATCH(C750,Hours!$A:$A,0)))</f>
        <v>0</v>
      </c>
      <c r="S750" s="19">
        <f t="shared" si="23"/>
        <v>0</v>
      </c>
    </row>
    <row r="751" spans="1:19" x14ac:dyDescent="0.25">
      <c r="A751" s="11" t="str">
        <f>'Bldgs &amp; Rooms'!$A$22</f>
        <v>Main Bldg.</v>
      </c>
      <c r="B751" s="11">
        <f>'Bldgs &amp; Rooms'!$B$22</f>
        <v>0</v>
      </c>
      <c r="C751" s="10" t="str">
        <f>Hours!$A$11</f>
        <v xml:space="preserve">  MCC: Combination Motor Starters</v>
      </c>
      <c r="D751" s="11">
        <f t="shared" si="22"/>
        <v>0</v>
      </c>
      <c r="E751" s="16">
        <f>IF('Components Yr 1'!E751=0,0,'Components Yr 1'!E751)</f>
        <v>0</v>
      </c>
      <c r="F751" s="17">
        <f>IF('Components Yr 1'!F751=0,0,'Components Yr 1'!F751)</f>
        <v>0</v>
      </c>
      <c r="G751" s="17">
        <f>IF('Components Yr 1'!G751=0,0,'Components Yr 1'!G751)</f>
        <v>0</v>
      </c>
      <c r="H751" s="17">
        <f>IF('Components Yr 1'!H751=0,0,'Components Yr 1'!H751)</f>
        <v>0</v>
      </c>
      <c r="I751" s="17">
        <f>IF('Components Yr 1'!I751=0,0,'Components Yr 1'!I751)</f>
        <v>0</v>
      </c>
      <c r="J751" s="17">
        <f>IF('Components Yr 1'!J751=0,0,'Components Yr 1'!J751)</f>
        <v>0</v>
      </c>
      <c r="K751" s="17">
        <f>IF('Components Yr 1'!K751=0,0,'Components Yr 1'!K751)</f>
        <v>0</v>
      </c>
      <c r="L751" s="12"/>
      <c r="M751" s="12"/>
      <c r="N751" s="12"/>
      <c r="O751" s="17">
        <f>IF('Components Yr 1'!O751=0,0,'Components Yr 1'!O751)</f>
        <v>0</v>
      </c>
      <c r="P751" s="12"/>
      <c r="Q751" s="17"/>
      <c r="R751" s="18">
        <f>IF(SUMPRODUCT((E751:Q751)*1)=0,0,E751*INDEX(Hours!M:M,MATCH(C751,Hours!$A:$A,0))+F751*INDEX(Hours!B:B,MATCH(C751,Hours!$A:$A,0))+G751*INDEX(Hours!C:C,MATCH(C751,Hours!$A:$A,0))+H751*INDEX(Hours!D:D,MATCH(C751,Hours!$A:$A,0))+I751*INDEX(Hours!E:E,MATCH(C751,Hours!$A:$A,0))+J751*INDEX(Hours!F:F,MATCH(C751,Hours!$A:$A,0))+K751*INDEX(Hours!G:G,MATCH(C751,Hours!$A:$A,0))+O751*INDEX(Hours!K:K,MATCH(C751,Hours!$A:$A,0)))</f>
        <v>0</v>
      </c>
      <c r="S751" s="19">
        <f t="shared" si="23"/>
        <v>0</v>
      </c>
    </row>
    <row r="752" spans="1:19" x14ac:dyDescent="0.25">
      <c r="A752" s="11" t="str">
        <f>'Bldgs &amp; Rooms'!$A$22</f>
        <v>Main Bldg.</v>
      </c>
      <c r="B752" s="11">
        <f>'Bldgs &amp; Rooms'!$B$22</f>
        <v>0</v>
      </c>
      <c r="C752" s="10" t="str">
        <f>Hours!$A$12</f>
        <v xml:space="preserve">  MCC: Molded Case Breaker</v>
      </c>
      <c r="D752" s="11">
        <f t="shared" si="22"/>
        <v>0</v>
      </c>
      <c r="E752" s="16">
        <f>IF('Components Yr 1'!E752=0,0,'Components Yr 1'!E752)</f>
        <v>0</v>
      </c>
      <c r="F752" s="17">
        <f>IF('Components Yr 1'!F752=0,0,'Components Yr 1'!F752)</f>
        <v>0</v>
      </c>
      <c r="G752" s="17">
        <f>IF('Components Yr 1'!G752=0,0,'Components Yr 1'!G752)</f>
        <v>0</v>
      </c>
      <c r="H752" s="17">
        <f>IF('Components Yr 1'!H752=0,0,'Components Yr 1'!H752)</f>
        <v>0</v>
      </c>
      <c r="I752" s="17">
        <f>IF('Components Yr 1'!I752=0,0,'Components Yr 1'!I752)</f>
        <v>0</v>
      </c>
      <c r="J752" s="17">
        <f>IF('Components Yr 1'!J752=0,0,'Components Yr 1'!J752)</f>
        <v>0</v>
      </c>
      <c r="K752" s="17">
        <f>IF('Components Yr 1'!K752=0,0,'Components Yr 1'!K752)</f>
        <v>0</v>
      </c>
      <c r="L752" s="12"/>
      <c r="M752" s="12"/>
      <c r="N752" s="12"/>
      <c r="O752" s="12"/>
      <c r="P752" s="12"/>
      <c r="Q752" s="17"/>
      <c r="R752" s="18">
        <f>IF(SUMPRODUCT((E752:Q752)*1)=0,0,E752*INDEX(Hours!M:M,MATCH(C752,Hours!$A:$A,0))+F752*INDEX(Hours!B:B,MATCH(C752,Hours!$A:$A,0))+G752*INDEX(Hours!C:C,MATCH(C752,Hours!$A:$A,0))+H752*INDEX(Hours!D:D,MATCH(C752,Hours!$A:$A,0))+I752*INDEX(Hours!E:E,MATCH(C752,Hours!$A:$A,0))+J752*INDEX(Hours!F:F,MATCH(C752,Hours!$A:$A,0))+K752*INDEX(Hours!G:G,MATCH(C752,Hours!$A:$A,0)))</f>
        <v>0</v>
      </c>
      <c r="S752" s="19">
        <f t="shared" si="23"/>
        <v>0</v>
      </c>
    </row>
    <row r="753" spans="1:19" x14ac:dyDescent="0.25">
      <c r="A753" s="11" t="str">
        <f>'Bldgs &amp; Rooms'!$A$22</f>
        <v>Main Bldg.</v>
      </c>
      <c r="B753" s="11">
        <f>'Bldgs &amp; Rooms'!$B$22</f>
        <v>0</v>
      </c>
      <c r="C753" s="10" t="str">
        <f>Hours!$A$13</f>
        <v xml:space="preserve">  MCC: Individual Disconnect Switch</v>
      </c>
      <c r="D753" s="11">
        <f t="shared" si="22"/>
        <v>0</v>
      </c>
      <c r="E753" s="16">
        <f>IF('Components Yr 1'!E753=0,0,'Components Yr 1'!E753)</f>
        <v>0</v>
      </c>
      <c r="F753" s="17">
        <f>IF('Components Yr 1'!F753=0,0,'Components Yr 1'!F753)</f>
        <v>0</v>
      </c>
      <c r="G753" s="17">
        <f>IF('Components Yr 1'!G753=0,0,'Components Yr 1'!G753)</f>
        <v>0</v>
      </c>
      <c r="H753" s="17">
        <f>IF('Components Yr 1'!H753=0,0,'Components Yr 1'!H753)</f>
        <v>0</v>
      </c>
      <c r="I753" s="17">
        <f>IF('Components Yr 1'!I753=0,0,'Components Yr 1'!I753)</f>
        <v>0</v>
      </c>
      <c r="J753" s="17">
        <f>IF('Components Yr 1'!J753=0,0,'Components Yr 1'!J753)</f>
        <v>0</v>
      </c>
      <c r="K753" s="12"/>
      <c r="L753" s="12"/>
      <c r="M753" s="12"/>
      <c r="N753" s="12"/>
      <c r="O753" s="12"/>
      <c r="P753" s="12"/>
      <c r="Q753" s="17"/>
      <c r="R753" s="18">
        <f>IF(SUMPRODUCT((E753:Q753)*1)=0,0,E753*INDEX(Hours!M:M,MATCH(C753,Hours!$A:$A,0))+F753*INDEX(Hours!B:B,MATCH(C753,Hours!$A:$A,0))+G753*INDEX(Hours!C:C,MATCH(C753,Hours!$A:$A,0))+H753*INDEX(Hours!D:D,MATCH(C753,Hours!$A:$A,0))+I753*INDEX(Hours!E:E,MATCH(C753,Hours!$A:$A,0))+J753*INDEX(Hours!F:F,MATCH(C753,Hours!$A:$A,0)))</f>
        <v>0</v>
      </c>
      <c r="S753" s="19">
        <f t="shared" si="23"/>
        <v>0</v>
      </c>
    </row>
    <row r="754" spans="1:19" x14ac:dyDescent="0.25">
      <c r="A754" s="11" t="str">
        <f>'Bldgs &amp; Rooms'!$A$22</f>
        <v>Main Bldg.</v>
      </c>
      <c r="B754" s="11">
        <f>'Bldgs &amp; Rooms'!$B$22</f>
        <v>0</v>
      </c>
      <c r="C754" s="10" t="str">
        <f>Hours!$A$14</f>
        <v>Motor Control Panel (MCP)</v>
      </c>
      <c r="D754" s="11">
        <f t="shared" si="22"/>
        <v>0</v>
      </c>
      <c r="E754" s="16">
        <f>IF('Components Yr 1'!E754=0,0,'Components Yr 1'!E754)</f>
        <v>0</v>
      </c>
      <c r="F754" s="17">
        <f>IF('Components Yr 1'!F754=0,0,'Components Yr 1'!F754)</f>
        <v>0</v>
      </c>
      <c r="G754" s="17">
        <f>IF('Components Yr 1'!G754=0,0,'Components Yr 1'!G754)</f>
        <v>0</v>
      </c>
      <c r="H754" s="17">
        <f>IF('Components Yr 1'!H754=0,0,'Components Yr 1'!H754)</f>
        <v>0</v>
      </c>
      <c r="I754" s="17">
        <f>IF('Components Yr 1'!I754=0,0,'Components Yr 1'!I754)</f>
        <v>0</v>
      </c>
      <c r="J754" s="17">
        <f>IF('Components Yr 1'!J754=0,0,'Components Yr 1'!J754)</f>
        <v>0</v>
      </c>
      <c r="K754" s="12"/>
      <c r="L754" s="12"/>
      <c r="M754" s="12"/>
      <c r="N754" s="12"/>
      <c r="O754" s="17">
        <f>IF('Components Yr 1'!O754=0,0,'Components Yr 1'!O754)</f>
        <v>0</v>
      </c>
      <c r="P754" s="12"/>
      <c r="Q754" s="17"/>
      <c r="R754" s="18">
        <f>IF(SUMPRODUCT((E754:Q754)*1)=0,0,E754*INDEX(Hours!M:M,MATCH(C754,Hours!$A:$A,0))+F754*INDEX(Hours!B:B,MATCH(C754,Hours!$A:$A,0))+G754*INDEX(Hours!C:C,MATCH(C754,Hours!$A:$A,0))+H754*INDEX(Hours!D:D,MATCH(C754,Hours!$A:$A,0))+I754*INDEX(Hours!E:E,MATCH(C754,Hours!$A:$A,0))+J754*INDEX(Hours!F:F,MATCH(C754,Hours!$A:$A,0))+O754*INDEX(Hours!K:K,MATCH(C754,Hours!$A:$A,0)))</f>
        <v>0</v>
      </c>
      <c r="S754" s="19">
        <f t="shared" si="23"/>
        <v>0</v>
      </c>
    </row>
    <row r="755" spans="1:19" x14ac:dyDescent="0.25">
      <c r="A755" s="11" t="str">
        <f>'Bldgs &amp; Rooms'!$A$22</f>
        <v>Main Bldg.</v>
      </c>
      <c r="B755" s="11">
        <f>'Bldgs &amp; Rooms'!$B$22</f>
        <v>0</v>
      </c>
      <c r="C755" s="10" t="str">
        <f>Hours!$A$15</f>
        <v>VFD Motor Control Panel (VFD-MCP)</v>
      </c>
      <c r="D755" s="11">
        <f t="shared" si="22"/>
        <v>0</v>
      </c>
      <c r="E755" s="16">
        <f>IF('Components Yr 1'!E755=0,0,'Components Yr 1'!E755)</f>
        <v>0</v>
      </c>
      <c r="F755" s="17">
        <f>IF('Components Yr 1'!F755=0,0,'Components Yr 1'!F755)</f>
        <v>0</v>
      </c>
      <c r="G755" s="17">
        <f>IF('Components Yr 1'!G755=0,0,'Components Yr 1'!G755)</f>
        <v>0</v>
      </c>
      <c r="H755" s="17">
        <f>IF('Components Yr 1'!H755=0,0,'Components Yr 1'!H755)</f>
        <v>0</v>
      </c>
      <c r="I755" s="17">
        <f>IF('Components Yr 1'!I755=0,0,'Components Yr 1'!I755)</f>
        <v>0</v>
      </c>
      <c r="J755" s="17">
        <f>IF('Components Yr 1'!J755=0,0,'Components Yr 1'!J755)</f>
        <v>0</v>
      </c>
      <c r="K755" s="12"/>
      <c r="L755" s="12"/>
      <c r="M755" s="12"/>
      <c r="N755" s="12"/>
      <c r="O755" s="17">
        <f>IF('Components Yr 1'!O755=0,0,'Components Yr 1'!O755)</f>
        <v>0</v>
      </c>
      <c r="P755" s="12"/>
      <c r="Q755" s="17"/>
      <c r="R755" s="18">
        <f>IF(SUMPRODUCT((E755:Q755)*1)=0,0,E755*INDEX(Hours!M:M,MATCH(C755,Hours!$A:$A,0))+F755*INDEX(Hours!B:B,MATCH(C755,Hours!$A:$A,0))+G755*INDEX(Hours!C:C,MATCH(C755,Hours!$A:$A,0))+H755*INDEX(Hours!D:D,MATCH(C755,Hours!$A:$A,0))+I755*INDEX(Hours!E:E,MATCH(C755,Hours!$A:$A,0))+J755*INDEX(Hours!F:F,MATCH(C755,Hours!$A:$A,0))+O755*INDEX(Hours!K:K,MATCH(C755,Hours!$A:$A,0)))</f>
        <v>0</v>
      </c>
      <c r="S755" s="19">
        <f t="shared" si="23"/>
        <v>0</v>
      </c>
    </row>
    <row r="756" spans="1:19" x14ac:dyDescent="0.25">
      <c r="A756" s="11" t="str">
        <f>'Bldgs &amp; Rooms'!$A$22</f>
        <v>Main Bldg.</v>
      </c>
      <c r="B756" s="11">
        <f>'Bldgs &amp; Rooms'!$B$22</f>
        <v>0</v>
      </c>
      <c r="C756" s="10" t="str">
        <f>Hours!$A$16</f>
        <v>Individual Disconnect Switch &gt; 100A</v>
      </c>
      <c r="D756" s="11">
        <f t="shared" si="22"/>
        <v>0</v>
      </c>
      <c r="E756" s="16">
        <f>IF('Components Yr 1'!E756=0,0,'Components Yr 1'!E756)</f>
        <v>0</v>
      </c>
      <c r="F756" s="17">
        <f>IF('Components Yr 1'!F756=0,0,'Components Yr 1'!F756)</f>
        <v>0</v>
      </c>
      <c r="G756" s="17">
        <f>IF('Components Yr 1'!G756=0,0,'Components Yr 1'!G756)</f>
        <v>0</v>
      </c>
      <c r="H756" s="17">
        <f>IF('Components Yr 1'!H756=0,0,'Components Yr 1'!H756)</f>
        <v>0</v>
      </c>
      <c r="I756" s="17">
        <f>IF('Components Yr 1'!I756=0,0,'Components Yr 1'!I756)</f>
        <v>0</v>
      </c>
      <c r="J756" s="17">
        <f>IF('Components Yr 1'!J756=0,0,'Components Yr 1'!J756)</f>
        <v>0</v>
      </c>
      <c r="K756" s="17">
        <f>IF('Components Yr 1'!K756=0,0,'Components Yr 1'!K756)</f>
        <v>0</v>
      </c>
      <c r="L756" s="12"/>
      <c r="M756" s="12"/>
      <c r="N756" s="12"/>
      <c r="O756" s="12"/>
      <c r="P756" s="12"/>
      <c r="Q756" s="17"/>
      <c r="R756" s="18">
        <f>IF(SUMPRODUCT((E756:Q756)*1)=0,0,E756*INDEX(Hours!M:M,MATCH(C756,Hours!$A:$A,0))+F756*INDEX(Hours!B:B,MATCH(C756,Hours!$A:$A,0))+G756*INDEX(Hours!C:C,MATCH(C756,Hours!$A:$A,0))+H756*INDEX(Hours!D:D,MATCH(C756,Hours!$A:$A,0))+I756*INDEX(Hours!E:E,MATCH(C756,Hours!$A:$A,0))+J756*INDEX(Hours!F:F,MATCH(C756,Hours!$A:$A,0))+K756*INDEX(Hours!G:G,MATCH(C756,Hours!$A:$A,0)))</f>
        <v>0</v>
      </c>
      <c r="S756" s="19">
        <f t="shared" si="23"/>
        <v>0</v>
      </c>
    </row>
    <row r="757" spans="1:19" x14ac:dyDescent="0.25">
      <c r="A757" s="11" t="str">
        <f>'Bldgs &amp; Rooms'!$A$22</f>
        <v>Main Bldg.</v>
      </c>
      <c r="B757" s="11">
        <f>'Bldgs &amp; Rooms'!$B$22</f>
        <v>0</v>
      </c>
      <c r="C757" s="10" t="str">
        <f>Hours!$A$17</f>
        <v>Individual Molded Case Breaker &gt; 100A</v>
      </c>
      <c r="D757" s="11">
        <f t="shared" si="22"/>
        <v>0</v>
      </c>
      <c r="E757" s="16">
        <f>IF('Components Yr 1'!E757=0,0,'Components Yr 1'!E757)</f>
        <v>0</v>
      </c>
      <c r="F757" s="17">
        <f>IF('Components Yr 1'!F757=0,0,'Components Yr 1'!F757)</f>
        <v>0</v>
      </c>
      <c r="G757" s="17">
        <f>IF('Components Yr 1'!G757=0,0,'Components Yr 1'!G757)</f>
        <v>0</v>
      </c>
      <c r="H757" s="17">
        <f>IF('Components Yr 1'!H757=0,0,'Components Yr 1'!H757)</f>
        <v>0</v>
      </c>
      <c r="I757" s="17">
        <f>IF('Components Yr 1'!I757=0,0,'Components Yr 1'!I757)</f>
        <v>0</v>
      </c>
      <c r="J757" s="17">
        <f>IF('Components Yr 1'!J757=0,0,'Components Yr 1'!J757)</f>
        <v>0</v>
      </c>
      <c r="K757" s="17">
        <f>IF('Components Yr 1'!K757=0,0,'Components Yr 1'!K757)</f>
        <v>0</v>
      </c>
      <c r="L757" s="12"/>
      <c r="M757" s="12"/>
      <c r="N757" s="12"/>
      <c r="O757" s="12"/>
      <c r="P757" s="12"/>
      <c r="Q757" s="17"/>
      <c r="R757" s="18">
        <f>IF(SUMPRODUCT((E757:Q757)*1)=0,0,E757*INDEX(Hours!M:M,MATCH(C757,Hours!$A:$A,0))+F757*INDEX(Hours!B:B,MATCH(C757,Hours!$A:$A,0))+G757*INDEX(Hours!C:C,MATCH(C757,Hours!$A:$A,0))+H757*INDEX(Hours!D:D,MATCH(C757,Hours!$A:$A,0))+I757*INDEX(Hours!E:E,MATCH(C757,Hours!$A:$A,0))+J757*INDEX(Hours!F:F,MATCH(C757,Hours!$A:$A,0))+K757*INDEX(Hours!G:G,MATCH(C757,Hours!$A:$A,0)))</f>
        <v>0</v>
      </c>
      <c r="S757" s="19">
        <f t="shared" si="23"/>
        <v>0</v>
      </c>
    </row>
    <row r="758" spans="1:19" x14ac:dyDescent="0.25">
      <c r="A758" s="11" t="str">
        <f>'Bldgs &amp; Rooms'!$A$22</f>
        <v>Main Bldg.</v>
      </c>
      <c r="B758" s="11">
        <f>'Bldgs &amp; Rooms'!$B$22</f>
        <v>0</v>
      </c>
      <c r="C758" s="10" t="str">
        <f>Hours!$A$18</f>
        <v>Individual Combination Motor Starter &gt; 100A</v>
      </c>
      <c r="D758" s="11">
        <f t="shared" si="22"/>
        <v>0</v>
      </c>
      <c r="E758" s="16">
        <f>IF('Components Yr 1'!E758=0,0,'Components Yr 1'!E758)</f>
        <v>0</v>
      </c>
      <c r="F758" s="17">
        <f>IF('Components Yr 1'!F758=0,0,'Components Yr 1'!F758)</f>
        <v>0</v>
      </c>
      <c r="G758" s="17">
        <f>IF('Components Yr 1'!G758=0,0,'Components Yr 1'!G758)</f>
        <v>0</v>
      </c>
      <c r="H758" s="17">
        <f>IF('Components Yr 1'!H758=0,0,'Components Yr 1'!H758)</f>
        <v>0</v>
      </c>
      <c r="I758" s="17">
        <f>IF('Components Yr 1'!I758=0,0,'Components Yr 1'!I758)</f>
        <v>0</v>
      </c>
      <c r="J758" s="17">
        <f>IF('Components Yr 1'!J758=0,0,'Components Yr 1'!J758)</f>
        <v>0</v>
      </c>
      <c r="K758" s="17">
        <f>IF('Components Yr 1'!K758=0,0,'Components Yr 1'!K758)</f>
        <v>0</v>
      </c>
      <c r="L758" s="12"/>
      <c r="M758" s="12"/>
      <c r="N758" s="12"/>
      <c r="O758" s="12"/>
      <c r="P758" s="12"/>
      <c r="Q758" s="17"/>
      <c r="R758" s="18">
        <f>IF(SUMPRODUCT((E758:Q758)*1)=0,0,E758*INDEX(Hours!M:M,MATCH(C758,Hours!$A:$A,0))+F758*INDEX(Hours!B:B,MATCH(C758,Hours!$A:$A,0))+G758*INDEX(Hours!C:C,MATCH(C758,Hours!$A:$A,0))+H758*INDEX(Hours!D:D,MATCH(C758,Hours!$A:$A,0))+I758*INDEX(Hours!E:E,MATCH(C758,Hours!$A:$A,0))+J758*INDEX(Hours!F:F,MATCH(C758,Hours!$A:$A,0))+K758*INDEX(Hours!G:G,MATCH(C758,Hours!$A:$A,0)))</f>
        <v>0</v>
      </c>
      <c r="S758" s="19">
        <f t="shared" si="23"/>
        <v>0</v>
      </c>
    </row>
    <row r="759" spans="1:19" x14ac:dyDescent="0.25">
      <c r="A759" s="11" t="str">
        <f>'Bldgs &amp; Rooms'!$A$22</f>
        <v>Main Bldg.</v>
      </c>
      <c r="B759" s="11">
        <f>'Bldgs &amp; Rooms'!$B$22</f>
        <v>0</v>
      </c>
      <c r="C759" s="10" t="str">
        <f>Hours!$A$19</f>
        <v>Oil Filled Transformer - 5kV-15kV Primary - Any Size (Pad Mounted)</v>
      </c>
      <c r="D759" s="11">
        <f t="shared" si="22"/>
        <v>0</v>
      </c>
      <c r="E759" s="16">
        <f>IF('Components Yr 1'!E759=0,0,'Components Yr 1'!E759)</f>
        <v>0</v>
      </c>
      <c r="F759" s="17">
        <f>IF('Components Yr 1'!F759=0,0,'Components Yr 1'!F759)</f>
        <v>0</v>
      </c>
      <c r="G759" s="17">
        <f>IF('Components Yr 1'!G759=0,0,'Components Yr 1'!G759)</f>
        <v>0</v>
      </c>
      <c r="H759" s="17">
        <f>IF('Components Yr 1'!H759=0,0,'Components Yr 1'!H759)</f>
        <v>0</v>
      </c>
      <c r="I759" s="17">
        <f>IF('Components Yr 1'!I759=0,0,'Components Yr 1'!I759)</f>
        <v>0</v>
      </c>
      <c r="J759" s="17">
        <f>IF('Components Yr 1'!J759=0,0,'Components Yr 1'!J759)</f>
        <v>0</v>
      </c>
      <c r="K759" s="12"/>
      <c r="L759" s="12"/>
      <c r="M759" s="17">
        <f>IF('Components Yr 1'!M759=0,0,'Components Yr 1'!M759)</f>
        <v>0</v>
      </c>
      <c r="N759" s="17">
        <f>IF('Components Yr 1'!N759=0,0,'Components Yr 1'!N759)</f>
        <v>0</v>
      </c>
      <c r="O759" s="12"/>
      <c r="P759" s="17">
        <f>IF('Components Yr 1'!P759=0,0,'Components Yr 1'!P759)</f>
        <v>0</v>
      </c>
      <c r="Q759" s="17"/>
      <c r="R759" s="18">
        <f>IF(SUMPRODUCT((E759:Q759)*1)=0,0,E759*INDEX(Hours!M:M,MATCH(C759,Hours!$A:$A,0))+F759*INDEX(Hours!B:B,MATCH(C759,Hours!$A:$A,0))+G759*INDEX(Hours!C:C,MATCH(C759,Hours!$A:$A,0))+H759*INDEX(Hours!D:D,MATCH(C759,Hours!$A:$A,0))+I759*INDEX(Hours!E:E,MATCH(C759,Hours!$A:$A,0))+J759*INDEX(Hours!F:F,MATCH(C759,Hours!$A:$A,0))+M759*INDEX(Hours!I:I,MATCH(C759,Hours!$A:$A,0))+N759*INDEX(Hours!J:J,MATCH(C759,Hours!$A:$A,0))+P759*INDEX(Hours!L:L,MATCH(C759,Hours!$A:$A,0)))</f>
        <v>0</v>
      </c>
      <c r="S759" s="19">
        <f t="shared" si="23"/>
        <v>0</v>
      </c>
    </row>
    <row r="760" spans="1:19" x14ac:dyDescent="0.25">
      <c r="A760" s="11" t="str">
        <f>'Bldgs &amp; Rooms'!$A$22</f>
        <v>Main Bldg.</v>
      </c>
      <c r="B760" s="11">
        <f>'Bldgs &amp; Rooms'!$B$22</f>
        <v>0</v>
      </c>
      <c r="C760" s="10" t="str">
        <f>Hours!$A$20</f>
        <v>Oil Filled Transformer - &gt; 15kV Primary (Substation Class)</v>
      </c>
      <c r="D760" s="11">
        <f t="shared" si="22"/>
        <v>0</v>
      </c>
      <c r="E760" s="16">
        <f>IF('Components Yr 1'!E760=0,0,'Components Yr 1'!E760)</f>
        <v>0</v>
      </c>
      <c r="F760" s="17">
        <f>IF('Components Yr 1'!F760=0,0,'Components Yr 1'!F760)</f>
        <v>0</v>
      </c>
      <c r="G760" s="17">
        <f>IF('Components Yr 1'!G760=0,0,'Components Yr 1'!G760)</f>
        <v>0</v>
      </c>
      <c r="H760" s="17">
        <f>IF('Components Yr 1'!H760=0,0,'Components Yr 1'!H760)</f>
        <v>0</v>
      </c>
      <c r="I760" s="17">
        <f>IF('Components Yr 1'!I760=0,0,'Components Yr 1'!I760)</f>
        <v>0</v>
      </c>
      <c r="J760" s="17">
        <f>IF('Components Yr 1'!J760=0,0,'Components Yr 1'!J760)</f>
        <v>0</v>
      </c>
      <c r="K760" s="12"/>
      <c r="L760" s="12"/>
      <c r="M760" s="17">
        <f>IF('Components Yr 1'!M760=0,0,'Components Yr 1'!M760)</f>
        <v>0</v>
      </c>
      <c r="N760" s="17">
        <f>IF('Components Yr 1'!N760=0,0,'Components Yr 1'!N760)</f>
        <v>0</v>
      </c>
      <c r="O760" s="12"/>
      <c r="P760" s="17">
        <f>IF('Components Yr 1'!P760=0,0,'Components Yr 1'!P760)</f>
        <v>0</v>
      </c>
      <c r="Q760" s="17"/>
      <c r="R760" s="18">
        <f>IF(SUMPRODUCT((E760:Q760)*1)=0,0,E760*INDEX(Hours!M:M,MATCH(C760,Hours!$A:$A,0))+F760*INDEX(Hours!B:B,MATCH(C760,Hours!$A:$A,0))+G760*INDEX(Hours!C:C,MATCH(C760,Hours!$A:$A,0))+H760*INDEX(Hours!D:D,MATCH(C760,Hours!$A:$A,0))+I760*INDEX(Hours!E:E,MATCH(C760,Hours!$A:$A,0))+J760*INDEX(Hours!F:F,MATCH(C760,Hours!$A:$A,0))+M760*INDEX(Hours!I:I,MATCH(C760,Hours!$A:$A,0))+N760*INDEX(Hours!J:J,MATCH(C760,Hours!$A:$A,0))+P760*INDEX(Hours!L:L,MATCH(C760,Hours!$A:$A,0)))</f>
        <v>0</v>
      </c>
      <c r="S760" s="19">
        <f t="shared" si="23"/>
        <v>0</v>
      </c>
    </row>
    <row r="761" spans="1:19" x14ac:dyDescent="0.25">
      <c r="A761" s="11" t="str">
        <f>'Bldgs &amp; Rooms'!$A$22</f>
        <v>Main Bldg.</v>
      </c>
      <c r="B761" s="11">
        <f>'Bldgs &amp; Rooms'!$B$22</f>
        <v>0</v>
      </c>
      <c r="C761" s="10" t="str">
        <f>Hours!$A$21</f>
        <v>Dry Type Transformer - &lt; 480V Primary - Any Size kVA</v>
      </c>
      <c r="D761" s="11">
        <f t="shared" si="22"/>
        <v>0</v>
      </c>
      <c r="E761" s="16">
        <f>IF('Components Yr 1'!E761=0,0,'Components Yr 1'!E761)</f>
        <v>0</v>
      </c>
      <c r="F761" s="17">
        <f>IF('Components Yr 1'!F761=0,0,'Components Yr 1'!F761)</f>
        <v>0</v>
      </c>
      <c r="G761" s="17">
        <f>IF('Components Yr 1'!G761=0,0,'Components Yr 1'!G761)</f>
        <v>0</v>
      </c>
      <c r="H761" s="17">
        <f>IF('Components Yr 1'!H761=0,0,'Components Yr 1'!H761)</f>
        <v>0</v>
      </c>
      <c r="I761" s="17">
        <f>IF('Components Yr 1'!I761=0,0,'Components Yr 1'!I761)</f>
        <v>0</v>
      </c>
      <c r="J761" s="17">
        <f>IF('Components Yr 1'!J761=0,0,'Components Yr 1'!J761)</f>
        <v>0</v>
      </c>
      <c r="K761" s="12"/>
      <c r="L761" s="12"/>
      <c r="M761" s="17">
        <f>IF('Components Yr 1'!M761=0,0,'Components Yr 1'!M761)</f>
        <v>0</v>
      </c>
      <c r="N761" s="17">
        <f>IF('Components Yr 1'!N761=0,0,'Components Yr 1'!N761)</f>
        <v>0</v>
      </c>
      <c r="O761" s="12"/>
      <c r="P761" s="12"/>
      <c r="Q761" s="17"/>
      <c r="R761" s="18">
        <f>IF(SUMPRODUCT((E761:Q761)*1)=0,0,E761*INDEX(Hours!M:M,MATCH(C761,Hours!$A:$A,0))+F761*INDEX(Hours!B:B,MATCH(C761,Hours!$A:$A,0))+G761*INDEX(Hours!C:C,MATCH(C761,Hours!$A:$A,0))+H761*INDEX(Hours!D:D,MATCH(C761,Hours!$A:$A,0))+I761*INDEX(Hours!E:E,MATCH(C761,Hours!$A:$A,0))+J761*INDEX(Hours!F:F,MATCH(C761,Hours!$A:$A,0))+M761*INDEX(Hours!I:I,MATCH(C761,Hours!$A:$A,0))+N761*INDEX(Hours!J:J,MATCH(C761,Hours!$A:$A,0)))</f>
        <v>0</v>
      </c>
      <c r="S761" s="19">
        <f t="shared" si="23"/>
        <v>0</v>
      </c>
    </row>
    <row r="762" spans="1:19" x14ac:dyDescent="0.25">
      <c r="A762" s="11" t="str">
        <f>'Bldgs &amp; Rooms'!$A$22</f>
        <v>Main Bldg.</v>
      </c>
      <c r="B762" s="11">
        <f>'Bldgs &amp; Rooms'!$B$22</f>
        <v>0</v>
      </c>
      <c r="C762" s="10" t="str">
        <f>Hours!$A$22</f>
        <v>Power Factor Correction Capacitors</v>
      </c>
      <c r="D762" s="11">
        <f t="shared" si="22"/>
        <v>0</v>
      </c>
      <c r="E762" s="16">
        <f>IF('Components Yr 1'!E762=0,0,'Components Yr 1'!E762)</f>
        <v>0</v>
      </c>
      <c r="F762" s="17">
        <f>IF('Components Yr 1'!F762=0,0,'Components Yr 1'!F762)</f>
        <v>0</v>
      </c>
      <c r="G762" s="17">
        <f>IF('Components Yr 1'!G762=0,0,'Components Yr 1'!G762)</f>
        <v>0</v>
      </c>
      <c r="H762" s="17">
        <f>IF('Components Yr 1'!H762=0,0,'Components Yr 1'!H762)</f>
        <v>0</v>
      </c>
      <c r="I762" s="17">
        <f>IF('Components Yr 1'!I762=0,0,'Components Yr 1'!I762)</f>
        <v>0</v>
      </c>
      <c r="J762" s="17">
        <f>IF('Components Yr 1'!J762=0,0,'Components Yr 1'!J762)</f>
        <v>0</v>
      </c>
      <c r="K762" s="12"/>
      <c r="L762" s="12"/>
      <c r="M762" s="12"/>
      <c r="N762" s="12"/>
      <c r="O762" s="12"/>
      <c r="P762" s="12"/>
      <c r="Q762" s="17"/>
      <c r="R762" s="18">
        <f>IF(SUMPRODUCT((E762:Q762)*1)=0,0,E762*INDEX(Hours!M:M,MATCH(C762,Hours!$A:$A,0))+F762*INDEX(Hours!B:B,MATCH(C762,Hours!$A:$A,0))+G762*INDEX(Hours!C:C,MATCH(C762,Hours!$A:$A,0))+H762*INDEX(Hours!D:D,MATCH(C762,Hours!$A:$A,0))+I762*INDEX(Hours!E:E,MATCH(C762,Hours!$A:$A,0))+J762*INDEX(Hours!F:F,MATCH(C762,Hours!$A:$A,0)))</f>
        <v>0</v>
      </c>
      <c r="S762" s="19">
        <f t="shared" si="23"/>
        <v>0</v>
      </c>
    </row>
    <row r="763" spans="1:19" x14ac:dyDescent="0.25">
      <c r="A763" s="11" t="str">
        <f>'Bldgs &amp; Rooms'!$A$22</f>
        <v>Main Bldg.</v>
      </c>
      <c r="B763" s="11">
        <f>'Bldgs &amp; Rooms'!$B$22</f>
        <v>0</v>
      </c>
      <c r="C763" s="10" t="str">
        <f>Hours!$A$23</f>
        <v>Lighting Contactor &gt; 100A</v>
      </c>
      <c r="D763" s="11">
        <f t="shared" si="22"/>
        <v>0</v>
      </c>
      <c r="E763" s="16">
        <f>IF('Components Yr 1'!E763=0,0,'Components Yr 1'!E763)</f>
        <v>0</v>
      </c>
      <c r="F763" s="17">
        <f>IF('Components Yr 1'!F763=0,0,'Components Yr 1'!F763)</f>
        <v>0</v>
      </c>
      <c r="G763" s="17">
        <f>IF('Components Yr 1'!G763=0,0,'Components Yr 1'!G763)</f>
        <v>0</v>
      </c>
      <c r="H763" s="17">
        <f>IF('Components Yr 1'!H763=0,0,'Components Yr 1'!H763)</f>
        <v>0</v>
      </c>
      <c r="I763" s="17">
        <f>IF('Components Yr 1'!I763=0,0,'Components Yr 1'!I763)</f>
        <v>0</v>
      </c>
      <c r="J763" s="17">
        <f>IF('Components Yr 1'!J763=0,0,'Components Yr 1'!J763)</f>
        <v>0</v>
      </c>
      <c r="K763" s="12"/>
      <c r="L763" s="12"/>
      <c r="M763" s="12"/>
      <c r="N763" s="12"/>
      <c r="O763" s="12"/>
      <c r="P763" s="12"/>
      <c r="Q763" s="17"/>
      <c r="R763" s="18">
        <f>IF(SUMPRODUCT((E763:Q763)*1)=0,0,E763*INDEX(Hours!M:M,MATCH(C763,Hours!$A:$A,0))+F763*INDEX(Hours!B:B,MATCH(C763,Hours!$A:$A,0))+G763*INDEX(Hours!C:C,MATCH(C763,Hours!$A:$A,0))+H763*INDEX(Hours!D:D,MATCH(C763,Hours!$A:$A,0))+I763*INDEX(Hours!E:E,MATCH(C763,Hours!$A:$A,0))+J763*INDEX(Hours!F:F,MATCH(C763,Hours!$A:$A,0)))</f>
        <v>0</v>
      </c>
      <c r="S763" s="19">
        <f t="shared" si="23"/>
        <v>0</v>
      </c>
    </row>
    <row r="764" spans="1:19" x14ac:dyDescent="0.25">
      <c r="A764" s="11" t="str">
        <f>'Bldgs &amp; Rooms'!$A$22</f>
        <v>Main Bldg.</v>
      </c>
      <c r="B764" s="11">
        <f>'Bldgs &amp; Rooms'!$B$22</f>
        <v>0</v>
      </c>
      <c r="C764" s="10" t="str">
        <f>Hours!$A$24</f>
        <v>Power Distribution Unit (PDU)</v>
      </c>
      <c r="D764" s="11">
        <f t="shared" si="22"/>
        <v>0</v>
      </c>
      <c r="E764" s="16">
        <f>IF('Components Yr 1'!E764=0,0,'Components Yr 1'!E764)</f>
        <v>0</v>
      </c>
      <c r="F764" s="17">
        <f>IF('Components Yr 1'!F764=0,0,'Components Yr 1'!F764)</f>
        <v>0</v>
      </c>
      <c r="G764" s="17">
        <f>IF('Components Yr 1'!G764=0,0,'Components Yr 1'!G764)</f>
        <v>0</v>
      </c>
      <c r="H764" s="17">
        <f>IF('Components Yr 1'!H764=0,0,'Components Yr 1'!H764)</f>
        <v>0</v>
      </c>
      <c r="I764" s="17">
        <f>IF('Components Yr 1'!I764=0,0,'Components Yr 1'!I764)</f>
        <v>0</v>
      </c>
      <c r="J764" s="17">
        <f>IF('Components Yr 1'!J764=0,0,'Components Yr 1'!J764)</f>
        <v>0</v>
      </c>
      <c r="K764" s="12"/>
      <c r="L764" s="12"/>
      <c r="M764" s="12"/>
      <c r="N764" s="12"/>
      <c r="O764" s="12"/>
      <c r="P764" s="12"/>
      <c r="Q764" s="17"/>
      <c r="R764" s="18">
        <f>IF(SUMPRODUCT((E764:Q764)*1)=0,0,E764*INDEX(Hours!M:M,MATCH(C764,Hours!$A:$A,0))+F764*INDEX(Hours!B:B,MATCH(C764,Hours!$A:$A,0))+G764*INDEX(Hours!C:C,MATCH(C764,Hours!$A:$A,0))+H764*INDEX(Hours!D:D,MATCH(C764,Hours!$A:$A,0))+I764*INDEX(Hours!E:E,MATCH(C764,Hours!$A:$A,0))+J764*INDEX(Hours!F:F,MATCH(C764,Hours!$A:$A,0)))</f>
        <v>0</v>
      </c>
      <c r="S764" s="19">
        <f t="shared" si="23"/>
        <v>0</v>
      </c>
    </row>
    <row r="765" spans="1:19" x14ac:dyDescent="0.25">
      <c r="A765" s="11" t="str">
        <f>'Bldgs &amp; Rooms'!$A$22</f>
        <v>Main Bldg.</v>
      </c>
      <c r="B765" s="11">
        <f>'Bldgs &amp; Rooms'!$B$22</f>
        <v>0</v>
      </c>
      <c r="C765" s="10" t="str">
        <f>Hours!$A$25</f>
        <v>Wire Trough, Gutter, or Large Junction Boxes</v>
      </c>
      <c r="D765" s="11">
        <f t="shared" si="22"/>
        <v>0</v>
      </c>
      <c r="E765" s="16">
        <f>IF('Components Yr 1'!E765=0,0,'Components Yr 1'!E765)</f>
        <v>0</v>
      </c>
      <c r="F765" s="17">
        <f>IF('Components Yr 1'!F765=0,0,'Components Yr 1'!F765)</f>
        <v>0</v>
      </c>
      <c r="G765" s="17">
        <f>IF('Components Yr 1'!G765=0,0,'Components Yr 1'!G765)</f>
        <v>0</v>
      </c>
      <c r="H765" s="17">
        <f>IF('Components Yr 1'!H765=0,0,'Components Yr 1'!H765)</f>
        <v>0</v>
      </c>
      <c r="I765" s="17">
        <f>IF('Components Yr 1'!I765=0,0,'Components Yr 1'!I765)</f>
        <v>0</v>
      </c>
      <c r="J765" s="17">
        <f>IF('Components Yr 1'!J765=0,0,'Components Yr 1'!J765)</f>
        <v>0</v>
      </c>
      <c r="K765" s="12"/>
      <c r="L765" s="12"/>
      <c r="M765" s="12"/>
      <c r="N765" s="12"/>
      <c r="O765" s="12"/>
      <c r="P765" s="12"/>
      <c r="Q765" s="17"/>
      <c r="R765" s="18">
        <f>IF(SUMPRODUCT((E765:Q765)*1)=0,0,E765*INDEX(Hours!M:M,MATCH(C765,Hours!$A:$A,0))+F765*INDEX(Hours!B:B,MATCH(C765,Hours!$A:$A,0))+G765*INDEX(Hours!C:C,MATCH(C765,Hours!$A:$A,0))+H765*INDEX(Hours!D:D,MATCH(C765,Hours!$A:$A,0))+I765*INDEX(Hours!E:E,MATCH(C765,Hours!$A:$A,0))+J765*INDEX(Hours!F:F,MATCH(C765,Hours!$A:$A,0)))</f>
        <v>0</v>
      </c>
      <c r="S765" s="19">
        <f t="shared" si="23"/>
        <v>0</v>
      </c>
    </row>
    <row r="766" spans="1:19" x14ac:dyDescent="0.25">
      <c r="A766" s="11" t="str">
        <f>'Bldgs &amp; Rooms'!$A$22</f>
        <v>Main Bldg.</v>
      </c>
      <c r="B766" s="11">
        <f>'Bldgs &amp; Rooms'!$B$22</f>
        <v>0</v>
      </c>
      <c r="C766" s="10" t="str">
        <f>Hours!$A$26</f>
        <v>Bus Duct - Vertical or Horizontal (Per 10' section)</v>
      </c>
      <c r="D766" s="11">
        <f t="shared" si="22"/>
        <v>0</v>
      </c>
      <c r="E766" s="16">
        <f>IF('Components Yr 1'!E766=0,0,'Components Yr 1'!E766)</f>
        <v>0</v>
      </c>
      <c r="F766" s="17">
        <f>IF('Components Yr 1'!F766=0,0,'Components Yr 1'!F766)</f>
        <v>0</v>
      </c>
      <c r="G766" s="17">
        <f>IF('Components Yr 1'!G766=0,0,'Components Yr 1'!G766)</f>
        <v>0</v>
      </c>
      <c r="H766" s="17">
        <f>IF('Components Yr 1'!H766=0,0,'Components Yr 1'!H766)</f>
        <v>0</v>
      </c>
      <c r="I766" s="17">
        <f>IF('Components Yr 1'!I766=0,0,'Components Yr 1'!I766)</f>
        <v>0</v>
      </c>
      <c r="J766" s="17">
        <f>IF('Components Yr 1'!J766=0,0,'Components Yr 1'!J766)</f>
        <v>0</v>
      </c>
      <c r="K766" s="12"/>
      <c r="L766" s="12"/>
      <c r="M766" s="12"/>
      <c r="N766" s="12"/>
      <c r="O766" s="12"/>
      <c r="P766" s="12"/>
      <c r="Q766" s="17"/>
      <c r="R766" s="18">
        <f>IF(SUMPRODUCT((E766:Q766)*1)=0,0,E766*INDEX(Hours!M:M,MATCH(C766,Hours!$A:$A,0))+F766*INDEX(Hours!B:B,MATCH(C766,Hours!$A:$A,0))+G766*INDEX(Hours!C:C,MATCH(C766,Hours!$A:$A,0))+H766*INDEX(Hours!D:D,MATCH(C766,Hours!$A:$A,0))+I766*INDEX(Hours!E:E,MATCH(C766,Hours!$A:$A,0))+J766*INDEX(Hours!F:F,MATCH(C766,Hours!$A:$A,0)))</f>
        <v>0</v>
      </c>
      <c r="S766" s="19">
        <f t="shared" si="23"/>
        <v>0</v>
      </c>
    </row>
    <row r="767" spans="1:19" x14ac:dyDescent="0.25">
      <c r="A767" s="11" t="str">
        <f>'Bldgs &amp; Rooms'!$A$22</f>
        <v>Main Bldg.</v>
      </c>
      <c r="B767" s="11">
        <f>'Bldgs &amp; Rooms'!$B$22</f>
        <v>0</v>
      </c>
      <c r="C767" s="10" t="str">
        <f>Hours!$A$27</f>
        <v>Automatic Transfer Switch (ATS) &gt; 100A</v>
      </c>
      <c r="D767" s="11">
        <f t="shared" si="22"/>
        <v>0</v>
      </c>
      <c r="E767" s="16">
        <f>IF('Components Yr 1'!E767=0,0,'Components Yr 1'!E767)</f>
        <v>0</v>
      </c>
      <c r="F767" s="17">
        <f>IF('Components Yr 1'!F767=0,0,'Components Yr 1'!F767)</f>
        <v>0</v>
      </c>
      <c r="G767" s="17">
        <f>IF('Components Yr 1'!G767=0,0,'Components Yr 1'!G767)</f>
        <v>0</v>
      </c>
      <c r="H767" s="17">
        <f>IF('Components Yr 1'!H767=0,0,'Components Yr 1'!H767)</f>
        <v>0</v>
      </c>
      <c r="I767" s="17">
        <f>IF('Components Yr 1'!I767=0,0,'Components Yr 1'!I767)</f>
        <v>0</v>
      </c>
      <c r="J767" s="17">
        <f>IF('Components Yr 1'!J767=0,0,'Components Yr 1'!J767)</f>
        <v>0</v>
      </c>
      <c r="K767" s="12"/>
      <c r="L767" s="12"/>
      <c r="M767" s="12"/>
      <c r="N767" s="12"/>
      <c r="O767" s="12"/>
      <c r="P767" s="12"/>
      <c r="Q767" s="17"/>
      <c r="R767" s="18">
        <f>IF(SUMPRODUCT((E767:Q767)*1)=0,0,E767*INDEX(Hours!M:M,MATCH(C767,Hours!$A:$A,0))+F767*INDEX(Hours!B:B,MATCH(C767,Hours!$A:$A,0))+G767*INDEX(Hours!C:C,MATCH(C767,Hours!$A:$A,0))+H767*INDEX(Hours!D:D,MATCH(C767,Hours!$A:$A,0))+I767*INDEX(Hours!E:E,MATCH(C767,Hours!$A:$A,0))+J767*INDEX(Hours!F:F,MATCH(C767,Hours!$A:$A,0)))</f>
        <v>0</v>
      </c>
      <c r="S767" s="19">
        <f t="shared" si="23"/>
        <v>0</v>
      </c>
    </row>
    <row r="768" spans="1:19" x14ac:dyDescent="0.25">
      <c r="A768" s="11" t="str">
        <f>'Bldgs &amp; Rooms'!$A$22</f>
        <v>Main Bldg.</v>
      </c>
      <c r="B768" s="11">
        <f>'Bldgs &amp; Rooms'!$B$22</f>
        <v>0</v>
      </c>
      <c r="C768" s="10" t="str">
        <f>Hours!$A$28</f>
        <v>Manual Transfer Switch (MTS) &gt; 100A</v>
      </c>
      <c r="D768" s="11">
        <f t="shared" si="22"/>
        <v>0</v>
      </c>
      <c r="E768" s="16">
        <f>IF('Components Yr 1'!E768=0,0,'Components Yr 1'!E768)</f>
        <v>0</v>
      </c>
      <c r="F768" s="17">
        <f>IF('Components Yr 1'!F768=0,0,'Components Yr 1'!F768)</f>
        <v>0</v>
      </c>
      <c r="G768" s="17">
        <f>IF('Components Yr 1'!G768=0,0,'Components Yr 1'!G768)</f>
        <v>0</v>
      </c>
      <c r="H768" s="17">
        <f>IF('Components Yr 1'!H768=0,0,'Components Yr 1'!H768)</f>
        <v>0</v>
      </c>
      <c r="I768" s="17">
        <f>IF('Components Yr 1'!I768=0,0,'Components Yr 1'!I768)</f>
        <v>0</v>
      </c>
      <c r="J768" s="17">
        <f>IF('Components Yr 1'!J768=0,0,'Components Yr 1'!J768)</f>
        <v>0</v>
      </c>
      <c r="K768" s="12"/>
      <c r="L768" s="12"/>
      <c r="M768" s="12"/>
      <c r="N768" s="12"/>
      <c r="O768" s="12"/>
      <c r="P768" s="12"/>
      <c r="Q768" s="17"/>
      <c r="R768" s="18">
        <f>IF(SUMPRODUCT((E768:Q768)*1)=0,0,E768*INDEX(Hours!M:M,MATCH(C768,Hours!$A:$A,0))+F768*INDEX(Hours!B:B,MATCH(C768,Hours!$A:$A,0))+G768*INDEX(Hours!C:C,MATCH(C768,Hours!$A:$A,0))+H768*INDEX(Hours!D:D,MATCH(C768,Hours!$A:$A,0))+I768*INDEX(Hours!E:E,MATCH(C768,Hours!$A:$A,0))+J768*INDEX(Hours!F:F,MATCH(C768,Hours!$A:$A,0)))</f>
        <v>0</v>
      </c>
      <c r="S768" s="19">
        <f t="shared" si="23"/>
        <v>0</v>
      </c>
    </row>
    <row r="769" spans="1:19" x14ac:dyDescent="0.25">
      <c r="A769" s="11" t="str">
        <f>'Bldgs &amp; Rooms'!$A$22</f>
        <v>Main Bldg.</v>
      </c>
      <c r="B769" s="11">
        <f>'Bldgs &amp; Rooms'!$B$22</f>
        <v>0</v>
      </c>
      <c r="C769" s="10" t="str">
        <f>Hours!$A$29</f>
        <v>Variable Frequency Drives (VFD) &lt; 50 HP</v>
      </c>
      <c r="D769" s="11">
        <f t="shared" si="22"/>
        <v>0</v>
      </c>
      <c r="E769" s="16">
        <f>IF('Components Yr 1'!E769=0,0,'Components Yr 1'!E769)</f>
        <v>0</v>
      </c>
      <c r="F769" s="17">
        <f>IF('Components Yr 1'!F769=0,0,'Components Yr 1'!F769)</f>
        <v>0</v>
      </c>
      <c r="G769" s="17">
        <f>IF('Components Yr 1'!G769=0,0,'Components Yr 1'!G769)</f>
        <v>0</v>
      </c>
      <c r="H769" s="17">
        <f>IF('Components Yr 1'!H769=0,0,'Components Yr 1'!H769)</f>
        <v>0</v>
      </c>
      <c r="I769" s="17">
        <f>IF('Components Yr 1'!I769=0,0,'Components Yr 1'!I769)</f>
        <v>0</v>
      </c>
      <c r="J769" s="17">
        <f>IF('Components Yr 1'!J769=0,0,'Components Yr 1'!J769)</f>
        <v>0</v>
      </c>
      <c r="K769" s="12"/>
      <c r="L769" s="12"/>
      <c r="M769" s="12"/>
      <c r="N769" s="12"/>
      <c r="O769" s="12"/>
      <c r="P769" s="12"/>
      <c r="Q769" s="17"/>
      <c r="R769" s="18">
        <f>IF(SUMPRODUCT((E769:Q769)*1)=0,0,E769*INDEX(Hours!M:M,MATCH(C769,Hours!$A:$A,0))+F769*INDEX(Hours!B:B,MATCH(C769,Hours!$A:$A,0))+G769*INDEX(Hours!C:C,MATCH(C769,Hours!$A:$A,0))+H769*INDEX(Hours!D:D,MATCH(C769,Hours!$A:$A,0))+I769*INDEX(Hours!E:E,MATCH(C769,Hours!$A:$A,0))+J769*INDEX(Hours!F:F,MATCH(C769,Hours!$A:$A,0)))</f>
        <v>0</v>
      </c>
      <c r="S769" s="19">
        <f t="shared" si="23"/>
        <v>0</v>
      </c>
    </row>
    <row r="770" spans="1:19" x14ac:dyDescent="0.25">
      <c r="A770" s="11" t="str">
        <f>'Bldgs &amp; Rooms'!$A$22</f>
        <v>Main Bldg.</v>
      </c>
      <c r="B770" s="11">
        <f>'Bldgs &amp; Rooms'!$B$22</f>
        <v>0</v>
      </c>
      <c r="C770" s="10" t="str">
        <f>Hours!$A$30</f>
        <v>Variable Frequency Drives (VFD) 51-200 HP</v>
      </c>
      <c r="D770" s="11">
        <f t="shared" ref="D770:D833" si="24">MAX(E770+F770,G770,H770,I770,J770,K770,L770,M770,N770,O770,P770,Q770)</f>
        <v>0</v>
      </c>
      <c r="E770" s="16">
        <f>IF('Components Yr 1'!E770=0,0,'Components Yr 1'!E770)</f>
        <v>0</v>
      </c>
      <c r="F770" s="17">
        <f>IF('Components Yr 1'!F770=0,0,'Components Yr 1'!F770)</f>
        <v>0</v>
      </c>
      <c r="G770" s="17">
        <f>IF('Components Yr 1'!G770=0,0,'Components Yr 1'!G770)</f>
        <v>0</v>
      </c>
      <c r="H770" s="17">
        <f>IF('Components Yr 1'!H770=0,0,'Components Yr 1'!H770)</f>
        <v>0</v>
      </c>
      <c r="I770" s="17">
        <f>IF('Components Yr 1'!I770=0,0,'Components Yr 1'!I770)</f>
        <v>0</v>
      </c>
      <c r="J770" s="17">
        <f>IF('Components Yr 1'!J770=0,0,'Components Yr 1'!J770)</f>
        <v>0</v>
      </c>
      <c r="K770" s="12"/>
      <c r="L770" s="12"/>
      <c r="M770" s="12"/>
      <c r="N770" s="12"/>
      <c r="O770" s="12"/>
      <c r="P770" s="12"/>
      <c r="Q770" s="17"/>
      <c r="R770" s="18">
        <f>IF(SUMPRODUCT((E770:Q770)*1)=0,0,E770*INDEX(Hours!M:M,MATCH(C770,Hours!$A:$A,0))+F770*INDEX(Hours!B:B,MATCH(C770,Hours!$A:$A,0))+G770*INDEX(Hours!C:C,MATCH(C770,Hours!$A:$A,0))+H770*INDEX(Hours!D:D,MATCH(C770,Hours!$A:$A,0))+I770*INDEX(Hours!E:E,MATCH(C770,Hours!$A:$A,0))+J770*INDEX(Hours!F:F,MATCH(C770,Hours!$A:$A,0)))</f>
        <v>0</v>
      </c>
      <c r="S770" s="19">
        <f t="shared" ref="S770:S833" si="25">MAX(E770+F770,G770,H770,I770,J770,K770,L770,M770,N770,O770,P770,Q770)</f>
        <v>0</v>
      </c>
    </row>
    <row r="771" spans="1:19" x14ac:dyDescent="0.25">
      <c r="A771" s="11" t="str">
        <f>'Bldgs &amp; Rooms'!$A$22</f>
        <v>Main Bldg.</v>
      </c>
      <c r="B771" s="11">
        <f>'Bldgs &amp; Rooms'!$B$22</f>
        <v>0</v>
      </c>
      <c r="C771" s="10" t="str">
        <f>Hours!$A$31</f>
        <v>Motors &lt; 50 HP</v>
      </c>
      <c r="D771" s="11">
        <f t="shared" si="24"/>
        <v>0</v>
      </c>
      <c r="E771" s="16">
        <f>IF('Components Yr 1'!E771=0,0,'Components Yr 1'!E771)</f>
        <v>0</v>
      </c>
      <c r="F771" s="17">
        <f>IF('Components Yr 1'!F771=0,0,'Components Yr 1'!F771)</f>
        <v>0</v>
      </c>
      <c r="G771" s="17">
        <f>IF('Components Yr 1'!G771=0,0,'Components Yr 1'!G771)</f>
        <v>0</v>
      </c>
      <c r="H771" s="17">
        <f>IF('Components Yr 1'!H771=0,0,'Components Yr 1'!H771)</f>
        <v>0</v>
      </c>
      <c r="I771" s="17">
        <f>IF('Components Yr 1'!I771=0,0,'Components Yr 1'!I771)</f>
        <v>0</v>
      </c>
      <c r="J771" s="17">
        <f>IF('Components Yr 1'!J771=0,0,'Components Yr 1'!J771)</f>
        <v>0</v>
      </c>
      <c r="K771" s="12"/>
      <c r="L771" s="12"/>
      <c r="M771" s="12"/>
      <c r="N771" s="12"/>
      <c r="O771" s="12"/>
      <c r="P771" s="12"/>
      <c r="Q771" s="17"/>
      <c r="R771" s="18">
        <f>IF(SUMPRODUCT((E771:Q771)*1)=0,0,E771*INDEX(Hours!M:M,MATCH(C771,Hours!$A:$A,0))+F771*INDEX(Hours!B:B,MATCH(C771,Hours!$A:$A,0))+G771*INDEX(Hours!C:C,MATCH(C771,Hours!$A:$A,0))+H771*INDEX(Hours!D:D,MATCH(C771,Hours!$A:$A,0))+I771*INDEX(Hours!E:E,MATCH(C771,Hours!$A:$A,0))+J771*INDEX(Hours!F:F,MATCH(C771,Hours!$A:$A,0)))</f>
        <v>0</v>
      </c>
      <c r="S771" s="19">
        <f t="shared" si="25"/>
        <v>0</v>
      </c>
    </row>
    <row r="772" spans="1:19" x14ac:dyDescent="0.25">
      <c r="A772" s="11" t="str">
        <f>'Bldgs &amp; Rooms'!$A$22</f>
        <v>Main Bldg.</v>
      </c>
      <c r="B772" s="11">
        <f>'Bldgs &amp; Rooms'!$B$22</f>
        <v>0</v>
      </c>
      <c r="C772" s="10" t="str">
        <f>Hours!$A$32</f>
        <v>Motors 51-200 HP</v>
      </c>
      <c r="D772" s="11">
        <f t="shared" si="24"/>
        <v>0</v>
      </c>
      <c r="E772" s="16">
        <f>IF('Components Yr 1'!E772=0,0,'Components Yr 1'!E772)</f>
        <v>0</v>
      </c>
      <c r="F772" s="17">
        <f>IF('Components Yr 1'!F772=0,0,'Components Yr 1'!F772)</f>
        <v>0</v>
      </c>
      <c r="G772" s="17">
        <f>IF('Components Yr 1'!G772=0,0,'Components Yr 1'!G772)</f>
        <v>0</v>
      </c>
      <c r="H772" s="17">
        <f>IF('Components Yr 1'!H772=0,0,'Components Yr 1'!H772)</f>
        <v>0</v>
      </c>
      <c r="I772" s="17">
        <f>IF('Components Yr 1'!I772=0,0,'Components Yr 1'!I772)</f>
        <v>0</v>
      </c>
      <c r="J772" s="17">
        <f>IF('Components Yr 1'!J772=0,0,'Components Yr 1'!J772)</f>
        <v>0</v>
      </c>
      <c r="K772" s="12"/>
      <c r="L772" s="12"/>
      <c r="M772" s="12"/>
      <c r="N772" s="12"/>
      <c r="O772" s="12"/>
      <c r="P772" s="12"/>
      <c r="Q772" s="17"/>
      <c r="R772" s="18">
        <f>IF(SUMPRODUCT((E772:Q772)*1)=0,0,E772*INDEX(Hours!M:M,MATCH(C772,Hours!$A:$A,0))+F772*INDEX(Hours!B:B,MATCH(C772,Hours!$A:$A,0))+G772*INDEX(Hours!C:C,MATCH(C772,Hours!$A:$A,0))+H772*INDEX(Hours!D:D,MATCH(C772,Hours!$A:$A,0))+I772*INDEX(Hours!E:E,MATCH(C772,Hours!$A:$A,0))+J772*INDEX(Hours!F:F,MATCH(C772,Hours!$A:$A,0)))</f>
        <v>0</v>
      </c>
      <c r="S772" s="19">
        <f t="shared" si="25"/>
        <v>0</v>
      </c>
    </row>
    <row r="773" spans="1:19" x14ac:dyDescent="0.25">
      <c r="A773" s="11" t="str">
        <f>'Bldgs &amp; Rooms'!$A$22</f>
        <v>Main Bldg.</v>
      </c>
      <c r="B773" s="11">
        <f>'Bldgs &amp; Rooms'!$B$22</f>
        <v>0</v>
      </c>
      <c r="C773" s="10" t="str">
        <f>Hours!$A$33</f>
        <v>Motors 201-500 HP</v>
      </c>
      <c r="D773" s="11">
        <f t="shared" si="24"/>
        <v>0</v>
      </c>
      <c r="E773" s="16">
        <f>IF('Components Yr 1'!E773=0,0,'Components Yr 1'!E773)</f>
        <v>0</v>
      </c>
      <c r="F773" s="17">
        <f>IF('Components Yr 1'!F773=0,0,'Components Yr 1'!F773)</f>
        <v>0</v>
      </c>
      <c r="G773" s="17">
        <f>IF('Components Yr 1'!G773=0,0,'Components Yr 1'!G773)</f>
        <v>0</v>
      </c>
      <c r="H773" s="17">
        <f>IF('Components Yr 1'!H773=0,0,'Components Yr 1'!H773)</f>
        <v>0</v>
      </c>
      <c r="I773" s="17">
        <f>IF('Components Yr 1'!I773=0,0,'Components Yr 1'!I773)</f>
        <v>0</v>
      </c>
      <c r="J773" s="17">
        <f>IF('Components Yr 1'!J773=0,0,'Components Yr 1'!J773)</f>
        <v>0</v>
      </c>
      <c r="K773" s="12"/>
      <c r="L773" s="12"/>
      <c r="M773" s="12"/>
      <c r="N773" s="12"/>
      <c r="O773" s="12"/>
      <c r="P773" s="12"/>
      <c r="Q773" s="17"/>
      <c r="R773" s="18">
        <f>IF(SUMPRODUCT((E773:Q773)*1)=0,0,E773*INDEX(Hours!M:M,MATCH(C773,Hours!$A:$A,0))+F773*INDEX(Hours!B:B,MATCH(C773,Hours!$A:$A,0))+G773*INDEX(Hours!C:C,MATCH(C773,Hours!$A:$A,0))+H773*INDEX(Hours!D:D,MATCH(C773,Hours!$A:$A,0))+I773*INDEX(Hours!E:E,MATCH(C773,Hours!$A:$A,0))+J773*INDEX(Hours!F:F,MATCH(C773,Hours!$A:$A,0)))</f>
        <v>0</v>
      </c>
      <c r="S773" s="19">
        <f t="shared" si="25"/>
        <v>0</v>
      </c>
    </row>
    <row r="774" spans="1:19" x14ac:dyDescent="0.25">
      <c r="A774" s="11" t="str">
        <f>'Bldgs &amp; Rooms'!$A$22</f>
        <v>Main Bldg.</v>
      </c>
      <c r="B774" s="11">
        <f>'Bldgs &amp; Rooms'!$B$22</f>
        <v>0</v>
      </c>
      <c r="C774" s="10" t="str">
        <f>Hours!$A$34</f>
        <v>Compressed Air Equipment</v>
      </c>
      <c r="D774" s="11">
        <f t="shared" si="24"/>
        <v>0</v>
      </c>
      <c r="E774" s="16">
        <f>IF('Components Yr 1'!E774=0,0,'Components Yr 1'!E774)</f>
        <v>0</v>
      </c>
      <c r="F774" s="17">
        <f>IF('Components Yr 1'!F774=0,0,'Components Yr 1'!F774)</f>
        <v>0</v>
      </c>
      <c r="G774" s="17">
        <f>IF('Components Yr 1'!G774=0,0,'Components Yr 1'!G774)</f>
        <v>0</v>
      </c>
      <c r="H774" s="17">
        <f>IF('Components Yr 1'!H774=0,0,'Components Yr 1'!H774)</f>
        <v>0</v>
      </c>
      <c r="I774" s="17">
        <f>IF('Components Yr 1'!I774=0,0,'Components Yr 1'!I774)</f>
        <v>0</v>
      </c>
      <c r="J774" s="17">
        <f>IF('Components Yr 1'!J774=0,0,'Components Yr 1'!J774)</f>
        <v>0</v>
      </c>
      <c r="K774" s="12"/>
      <c r="L774" s="12"/>
      <c r="M774" s="12"/>
      <c r="N774" s="12"/>
      <c r="O774" s="12"/>
      <c r="P774" s="12"/>
      <c r="Q774" s="17"/>
      <c r="R774" s="18">
        <f>IF(SUMPRODUCT((E774:Q774)*1)=0,0,E774*INDEX(Hours!M:M,MATCH(C774,Hours!$A:$A,0))+F774*INDEX(Hours!B:B,MATCH(C774,Hours!$A:$A,0))+G774*INDEX(Hours!C:C,MATCH(C774,Hours!$A:$A,0))+H774*INDEX(Hours!D:D,MATCH(C774,Hours!$A:$A,0))+I774*INDEX(Hours!E:E,MATCH(C774,Hours!$A:$A,0))+J774*INDEX(Hours!F:F,MATCH(C774,Hours!$A:$A,0)))</f>
        <v>0</v>
      </c>
      <c r="S774" s="19">
        <f t="shared" si="25"/>
        <v>0</v>
      </c>
    </row>
    <row r="775" spans="1:19" x14ac:dyDescent="0.25">
      <c r="A775" s="11" t="str">
        <f>'Bldgs &amp; Rooms'!$A$22</f>
        <v>Main Bldg.</v>
      </c>
      <c r="B775" s="11">
        <f>'Bldgs &amp; Rooms'!$B$22</f>
        <v>0</v>
      </c>
      <c r="C775" s="10" t="str">
        <f>Hours!$A$35</f>
        <v>HVAC Equipment (Large)</v>
      </c>
      <c r="D775" s="11">
        <f t="shared" si="24"/>
        <v>0</v>
      </c>
      <c r="E775" s="16">
        <f>IF('Components Yr 1'!E775=0,0,'Components Yr 1'!E775)</f>
        <v>0</v>
      </c>
      <c r="F775" s="17">
        <f>IF('Components Yr 1'!F775=0,0,'Components Yr 1'!F775)</f>
        <v>0</v>
      </c>
      <c r="G775" s="17">
        <f>IF('Components Yr 1'!G775=0,0,'Components Yr 1'!G775)</f>
        <v>0</v>
      </c>
      <c r="H775" s="17">
        <f>IF('Components Yr 1'!H775=0,0,'Components Yr 1'!H775)</f>
        <v>0</v>
      </c>
      <c r="I775" s="17">
        <f>IF('Components Yr 1'!I775=0,0,'Components Yr 1'!I775)</f>
        <v>0</v>
      </c>
      <c r="J775" s="17">
        <f>IF('Components Yr 1'!J775=0,0,'Components Yr 1'!J775)</f>
        <v>0</v>
      </c>
      <c r="K775" s="12"/>
      <c r="L775" s="12"/>
      <c r="M775" s="12"/>
      <c r="N775" s="12"/>
      <c r="O775" s="12"/>
      <c r="P775" s="12"/>
      <c r="Q775" s="17"/>
      <c r="R775" s="18">
        <f>IF(SUMPRODUCT((E775:Q775)*1)=0,0,E775*INDEX(Hours!M:M,MATCH(C775,Hours!$A:$A,0))+F775*INDEX(Hours!B:B,MATCH(C775,Hours!$A:$A,0))+G775*INDEX(Hours!C:C,MATCH(C775,Hours!$A:$A,0))+H775*INDEX(Hours!D:D,MATCH(C775,Hours!$A:$A,0))+I775*INDEX(Hours!E:E,MATCH(C775,Hours!$A:$A,0))+J775*INDEX(Hours!F:F,MATCH(C775,Hours!$A:$A,0)))</f>
        <v>0</v>
      </c>
      <c r="S775" s="19">
        <f t="shared" si="25"/>
        <v>0</v>
      </c>
    </row>
    <row r="776" spans="1:19" x14ac:dyDescent="0.25">
      <c r="A776" s="11" t="str">
        <f>'Bldgs &amp; Rooms'!$A$22</f>
        <v>Main Bldg.</v>
      </c>
      <c r="B776" s="11">
        <f>'Bldgs &amp; Rooms'!$B$22</f>
        <v>0</v>
      </c>
      <c r="C776" s="10" t="str">
        <f>Hours!$A$36</f>
        <v>HVAC Equipment (Small)</v>
      </c>
      <c r="D776" s="11">
        <f t="shared" si="24"/>
        <v>0</v>
      </c>
      <c r="E776" s="16">
        <f>IF('Components Yr 1'!E776=0,0,'Components Yr 1'!E776)</f>
        <v>0</v>
      </c>
      <c r="F776" s="17">
        <f>IF('Components Yr 1'!F776=0,0,'Components Yr 1'!F776)</f>
        <v>0</v>
      </c>
      <c r="G776" s="17">
        <f>IF('Components Yr 1'!G776=0,0,'Components Yr 1'!G776)</f>
        <v>0</v>
      </c>
      <c r="H776" s="17">
        <f>IF('Components Yr 1'!H776=0,0,'Components Yr 1'!H776)</f>
        <v>0</v>
      </c>
      <c r="I776" s="17">
        <f>IF('Components Yr 1'!I776=0,0,'Components Yr 1'!I776)</f>
        <v>0</v>
      </c>
      <c r="J776" s="17">
        <f>IF('Components Yr 1'!J776=0,0,'Components Yr 1'!J776)</f>
        <v>0</v>
      </c>
      <c r="K776" s="12"/>
      <c r="L776" s="12"/>
      <c r="M776" s="12"/>
      <c r="N776" s="12"/>
      <c r="O776" s="12"/>
      <c r="P776" s="12"/>
      <c r="Q776" s="17"/>
      <c r="R776" s="18">
        <f>IF(SUMPRODUCT((E776:Q776)*1)=0,0,E776*INDEX(Hours!M:M,MATCH(C776,Hours!$A:$A,0))+F776*INDEX(Hours!B:B,MATCH(C776,Hours!$A:$A,0))+G776*INDEX(Hours!C:C,MATCH(C776,Hours!$A:$A,0))+H776*INDEX(Hours!D:D,MATCH(C776,Hours!$A:$A,0))+I776*INDEX(Hours!E:E,MATCH(C776,Hours!$A:$A,0))+J776*INDEX(Hours!F:F,MATCH(C776,Hours!$A:$A,0)))</f>
        <v>0</v>
      </c>
      <c r="S776" s="19">
        <f t="shared" si="25"/>
        <v>0</v>
      </c>
    </row>
    <row r="777" spans="1:19" x14ac:dyDescent="0.25">
      <c r="A777" s="11" t="str">
        <f>'Bldgs &amp; Rooms'!$A$22</f>
        <v>Main Bldg.</v>
      </c>
      <c r="B777" s="11">
        <f>'Bldgs &amp; Rooms'!$B$22</f>
        <v>0</v>
      </c>
      <c r="C777" s="10" t="str">
        <f>Hours!$A$37</f>
        <v>Uninterruptible Power Supply (UPS) &lt; 50kVA</v>
      </c>
      <c r="D777" s="11">
        <f t="shared" si="24"/>
        <v>0</v>
      </c>
      <c r="E777" s="16">
        <f>IF('Components Yr 1'!E777=0,0,'Components Yr 1'!E777)</f>
        <v>0</v>
      </c>
      <c r="F777" s="17">
        <f>IF('Components Yr 1'!F777=0,0,'Components Yr 1'!F777)</f>
        <v>0</v>
      </c>
      <c r="G777" s="17">
        <f>IF('Components Yr 1'!G777=0,0,'Components Yr 1'!G777)</f>
        <v>0</v>
      </c>
      <c r="H777" s="17">
        <f>IF('Components Yr 1'!H777=0,0,'Components Yr 1'!H777)</f>
        <v>0</v>
      </c>
      <c r="I777" s="17">
        <f>IF('Components Yr 1'!I777=0,0,'Components Yr 1'!I777)</f>
        <v>0</v>
      </c>
      <c r="J777" s="17">
        <f>IF('Components Yr 1'!J777=0,0,'Components Yr 1'!J777)</f>
        <v>0</v>
      </c>
      <c r="K777" s="12"/>
      <c r="L777" s="12"/>
      <c r="M777" s="12"/>
      <c r="N777" s="12"/>
      <c r="O777" s="12"/>
      <c r="P777" s="12"/>
      <c r="Q777" s="17"/>
      <c r="R777" s="18">
        <f>IF(SUMPRODUCT((E777:Q777)*1)=0,0,E777*INDEX(Hours!M:M,MATCH(C777,Hours!$A:$A,0))+F777*INDEX(Hours!B:B,MATCH(C777,Hours!$A:$A,0))+G777*INDEX(Hours!C:C,MATCH(C777,Hours!$A:$A,0))+H777*INDEX(Hours!D:D,MATCH(C777,Hours!$A:$A,0))+I777*INDEX(Hours!E:E,MATCH(C777,Hours!$A:$A,0))+J777*INDEX(Hours!F:F,MATCH(C777,Hours!$A:$A,0)))</f>
        <v>0</v>
      </c>
      <c r="S777" s="19">
        <f t="shared" si="25"/>
        <v>0</v>
      </c>
    </row>
    <row r="778" spans="1:19" x14ac:dyDescent="0.25">
      <c r="A778" s="11" t="str">
        <f>'Bldgs &amp; Rooms'!$A$22</f>
        <v>Main Bldg.</v>
      </c>
      <c r="B778" s="11">
        <f>'Bldgs &amp; Rooms'!$B$22</f>
        <v>0</v>
      </c>
      <c r="C778" s="10" t="str">
        <f>Hours!$A$38</f>
        <v>Uninterruptible Power Supply (UPS) &gt; 50kVA</v>
      </c>
      <c r="D778" s="11">
        <f t="shared" si="24"/>
        <v>0</v>
      </c>
      <c r="E778" s="16">
        <f>IF('Components Yr 1'!E778=0,0,'Components Yr 1'!E778)</f>
        <v>0</v>
      </c>
      <c r="F778" s="17">
        <f>IF('Components Yr 1'!F778=0,0,'Components Yr 1'!F778)</f>
        <v>0</v>
      </c>
      <c r="G778" s="17">
        <f>IF('Components Yr 1'!G778=0,0,'Components Yr 1'!G778)</f>
        <v>0</v>
      </c>
      <c r="H778" s="17">
        <f>IF('Components Yr 1'!H778=0,0,'Components Yr 1'!H778)</f>
        <v>0</v>
      </c>
      <c r="I778" s="17">
        <f>IF('Components Yr 1'!I778=0,0,'Components Yr 1'!I778)</f>
        <v>0</v>
      </c>
      <c r="J778" s="17">
        <f>IF('Components Yr 1'!J778=0,0,'Components Yr 1'!J778)</f>
        <v>0</v>
      </c>
      <c r="K778" s="12"/>
      <c r="L778" s="12"/>
      <c r="M778" s="12"/>
      <c r="N778" s="12"/>
      <c r="O778" s="12"/>
      <c r="P778" s="12"/>
      <c r="Q778" s="17"/>
      <c r="R778" s="18">
        <f>IF(SUMPRODUCT((E778:Q778)*1)=0,0,E778*INDEX(Hours!M:M,MATCH(C778,Hours!$A:$A,0))+F778*INDEX(Hours!B:B,MATCH(C778,Hours!$A:$A,0))+G778*INDEX(Hours!C:C,MATCH(C778,Hours!$A:$A,0))+H778*INDEX(Hours!D:D,MATCH(C778,Hours!$A:$A,0))+I778*INDEX(Hours!E:E,MATCH(C778,Hours!$A:$A,0))+J778*INDEX(Hours!F:F,MATCH(C778,Hours!$A:$A,0)))</f>
        <v>0</v>
      </c>
      <c r="S778" s="19">
        <f t="shared" si="25"/>
        <v>0</v>
      </c>
    </row>
    <row r="779" spans="1:19" x14ac:dyDescent="0.25">
      <c r="A779" s="15" t="str">
        <f>'Bldgs &amp; Rooms'!$A$23</f>
        <v>Main Bldg.</v>
      </c>
      <c r="B779" s="15">
        <f>'Bldgs &amp; Rooms'!$B$23</f>
        <v>0</v>
      </c>
      <c r="C779" s="14" t="str">
        <f>Hours!$A$2</f>
        <v>Switchgear - Incoming Main Service (Per Section)</v>
      </c>
      <c r="D779" s="15">
        <f t="shared" si="24"/>
        <v>0</v>
      </c>
      <c r="E779" s="16">
        <f>IF('Components Yr 1'!E779=0,0,'Components Yr 1'!E779)</f>
        <v>0</v>
      </c>
      <c r="F779" s="17">
        <f>IF('Components Yr 1'!F779=0,0,'Components Yr 1'!F779)</f>
        <v>0</v>
      </c>
      <c r="G779" s="17">
        <f>IF('Components Yr 1'!G779=0,0,'Components Yr 1'!G779)</f>
        <v>0</v>
      </c>
      <c r="H779" s="17">
        <f>IF('Components Yr 1'!H779=0,0,'Components Yr 1'!H779)</f>
        <v>0</v>
      </c>
      <c r="I779" s="17">
        <f>IF('Components Yr 1'!I779=0,0,'Components Yr 1'!I779)</f>
        <v>0</v>
      </c>
      <c r="J779" s="17">
        <f>IF('Components Yr 1'!J779=0,0,'Components Yr 1'!J779)</f>
        <v>0</v>
      </c>
      <c r="K779" s="17">
        <f>IF('Components Yr 1'!K779=0,0,'Components Yr 1'!K779)</f>
        <v>0</v>
      </c>
      <c r="L779" s="17">
        <f>IF('Components Yr 1'!L779=0,0,'Components Yr 1'!L779)</f>
        <v>0</v>
      </c>
      <c r="M779" s="12"/>
      <c r="N779" s="12"/>
      <c r="O779" s="17">
        <f>IF('Components Yr 1'!O779=0,0,'Components Yr 1'!O779)</f>
        <v>0</v>
      </c>
      <c r="P779" s="12"/>
      <c r="Q779" s="17"/>
      <c r="R779" s="18">
        <f>IF(SUMPRODUCT((E779:Q779)*1)=0,0,E779*INDEX(Hours!M:M,MATCH(C779,Hours!$A:$A,0))+F779*INDEX(Hours!B:B,MATCH(C779,Hours!$A:$A,0))+G779*INDEX(Hours!C:C,MATCH(C779,Hours!$A:$A,0))+H779*INDEX(Hours!D:D,MATCH(C779,Hours!$A:$A,0))+I779*INDEX(Hours!E:E,MATCH(C779,Hours!$A:$A,0))+J779*INDEX(Hours!F:F,MATCH(C779,Hours!$A:$A,0))+K779*INDEX(Hours!G:G,MATCH(C779,Hours!$A:$A,0))+L779*INDEX(Hours!H:H,MATCH(C779,Hours!$A:$A,0))+O779*INDEX(Hours!K:K,MATCH(C779,Hours!$A:$A,0)))</f>
        <v>0</v>
      </c>
      <c r="S779" s="19">
        <f t="shared" si="25"/>
        <v>0</v>
      </c>
    </row>
    <row r="780" spans="1:19" x14ac:dyDescent="0.25">
      <c r="A780" s="15" t="str">
        <f>'Bldgs &amp; Rooms'!$A$23</f>
        <v>Main Bldg.</v>
      </c>
      <c r="B780" s="15">
        <f>'Bldgs &amp; Rooms'!$B$23</f>
        <v>0</v>
      </c>
      <c r="C780" s="14" t="str">
        <f>Hours!$A$3</f>
        <v xml:space="preserve">  Switchgear Insulated Case Breakers (Bus Mounted)</v>
      </c>
      <c r="D780" s="15">
        <f t="shared" si="24"/>
        <v>0</v>
      </c>
      <c r="E780" s="16">
        <f>IF('Components Yr 1'!E780=0,0,'Components Yr 1'!E780)</f>
        <v>0</v>
      </c>
      <c r="F780" s="17">
        <f>IF('Components Yr 1'!F780=0,0,'Components Yr 1'!F780)</f>
        <v>0</v>
      </c>
      <c r="G780" s="17">
        <f>IF('Components Yr 1'!G780=0,0,'Components Yr 1'!G780)</f>
        <v>0</v>
      </c>
      <c r="H780" s="17">
        <f>IF('Components Yr 1'!H780=0,0,'Components Yr 1'!H780)</f>
        <v>0</v>
      </c>
      <c r="I780" s="17">
        <f>IF('Components Yr 1'!I780=0,0,'Components Yr 1'!I780)</f>
        <v>0</v>
      </c>
      <c r="J780" s="17">
        <f>IF('Components Yr 1'!J780=0,0,'Components Yr 1'!J780)</f>
        <v>0</v>
      </c>
      <c r="K780" s="17">
        <f>IF('Components Yr 1'!K780=0,0,'Components Yr 1'!K780)</f>
        <v>0</v>
      </c>
      <c r="L780" s="12"/>
      <c r="M780" s="12"/>
      <c r="N780" s="12"/>
      <c r="O780" s="12"/>
      <c r="P780" s="12"/>
      <c r="Q780" s="17"/>
      <c r="R780" s="18">
        <f>IF(SUMPRODUCT((E780:Q780)*1)=0,0,E780*INDEX(Hours!M:M,MATCH(C780,Hours!$A:$A,0))+F780*INDEX(Hours!B:B,MATCH(C780,Hours!$A:$A,0))+G780*INDEX(Hours!C:C,MATCH(C780,Hours!$A:$A,0))+H780*INDEX(Hours!D:D,MATCH(C780,Hours!$A:$A,0))+I780*INDEX(Hours!E:E,MATCH(C780,Hours!$A:$A,0))+J780*INDEX(Hours!F:F,MATCH(C780,Hours!$A:$A,0))+K780*INDEX(Hours!G:G,MATCH(C780,Hours!$A:$A,0)))</f>
        <v>0</v>
      </c>
      <c r="S780" s="19">
        <f t="shared" si="25"/>
        <v>0</v>
      </c>
    </row>
    <row r="781" spans="1:19" x14ac:dyDescent="0.25">
      <c r="A781" s="15" t="str">
        <f>'Bldgs &amp; Rooms'!$A$23</f>
        <v>Main Bldg.</v>
      </c>
      <c r="B781" s="15">
        <f>'Bldgs &amp; Rooms'!$B$23</f>
        <v>0</v>
      </c>
      <c r="C781" s="14" t="str">
        <f>Hours!$A$4</f>
        <v xml:space="preserve">  SwitchGear Drawout Breakers</v>
      </c>
      <c r="D781" s="15">
        <f t="shared" si="24"/>
        <v>0</v>
      </c>
      <c r="E781" s="16">
        <f>IF('Components Yr 1'!E781=0,0,'Components Yr 1'!E781)</f>
        <v>0</v>
      </c>
      <c r="F781" s="17">
        <f>IF('Components Yr 1'!F781=0,0,'Components Yr 1'!F781)</f>
        <v>0</v>
      </c>
      <c r="G781" s="17">
        <f>IF('Components Yr 1'!G781=0,0,'Components Yr 1'!G781)</f>
        <v>0</v>
      </c>
      <c r="H781" s="17">
        <f>IF('Components Yr 1'!H781=0,0,'Components Yr 1'!H781)</f>
        <v>0</v>
      </c>
      <c r="I781" s="17">
        <f>IF('Components Yr 1'!I781=0,0,'Components Yr 1'!I781)</f>
        <v>0</v>
      </c>
      <c r="J781" s="17">
        <f>IF('Components Yr 1'!J781=0,0,'Components Yr 1'!J781)</f>
        <v>0</v>
      </c>
      <c r="K781" s="12"/>
      <c r="L781" s="17">
        <f>IF('Components Yr 1'!L781=0,0,'Components Yr 1'!L781)</f>
        <v>0</v>
      </c>
      <c r="M781" s="12"/>
      <c r="N781" s="12"/>
      <c r="O781" s="12"/>
      <c r="P781" s="12"/>
      <c r="Q781" s="17"/>
      <c r="R781" s="18">
        <f>IF(SUMPRODUCT((E781:Q781)*1)=0,0,E781*INDEX(Hours!M:M,MATCH(C781,Hours!$A:$A,0))+F781*INDEX(Hours!B:B,MATCH(C781,Hours!$A:$A,0))+G781*INDEX(Hours!C:C,MATCH(C781,Hours!$A:$A,0))+H781*INDEX(Hours!D:D,MATCH(C781,Hours!$A:$A,0))+I781*INDEX(Hours!E:E,MATCH(C781,Hours!$A:$A,0))+J781*INDEX(Hours!F:F,MATCH(C781,Hours!$A:$A,0))+L781*INDEX(Hours!H:H,MATCH(C781,Hours!$A:$A,0)))</f>
        <v>0</v>
      </c>
      <c r="S781" s="19">
        <f t="shared" si="25"/>
        <v>0</v>
      </c>
    </row>
    <row r="782" spans="1:19" x14ac:dyDescent="0.25">
      <c r="A782" s="15" t="str">
        <f>'Bldgs &amp; Rooms'!$A$23</f>
        <v>Main Bldg.</v>
      </c>
      <c r="B782" s="15">
        <f>'Bldgs &amp; Rooms'!$B$23</f>
        <v>0</v>
      </c>
      <c r="C782" s="14" t="str">
        <f>Hours!$A$5</f>
        <v>Distribution Switchboard Multi Cover (Per Section)</v>
      </c>
      <c r="D782" s="15">
        <f t="shared" si="24"/>
        <v>0</v>
      </c>
      <c r="E782" s="16">
        <f>IF('Components Yr 1'!E782=0,0,'Components Yr 1'!E782)</f>
        <v>0</v>
      </c>
      <c r="F782" s="17">
        <f>IF('Components Yr 1'!F782=0,0,'Components Yr 1'!F782)</f>
        <v>0</v>
      </c>
      <c r="G782" s="17">
        <f>IF('Components Yr 1'!G782=0,0,'Components Yr 1'!G782)</f>
        <v>0</v>
      </c>
      <c r="H782" s="17">
        <f>IF('Components Yr 1'!H782=0,0,'Components Yr 1'!H782)</f>
        <v>0</v>
      </c>
      <c r="I782" s="17">
        <f>IF('Components Yr 1'!I782=0,0,'Components Yr 1'!I782)</f>
        <v>0</v>
      </c>
      <c r="J782" s="17">
        <f>IF('Components Yr 1'!J782=0,0,'Components Yr 1'!J782)</f>
        <v>0</v>
      </c>
      <c r="K782" s="17">
        <f>IF('Components Yr 1'!K782=0,0,'Components Yr 1'!K782)</f>
        <v>0</v>
      </c>
      <c r="L782" s="12"/>
      <c r="M782" s="12"/>
      <c r="N782" s="12"/>
      <c r="O782" s="17">
        <f>IF('Components Yr 1'!O782=0,0,'Components Yr 1'!O782)</f>
        <v>0</v>
      </c>
      <c r="P782" s="12"/>
      <c r="Q782" s="17"/>
      <c r="R782" s="18">
        <f>IF(SUMPRODUCT((E782:Q782)*1)=0,0,E782*INDEX(Hours!M:M,MATCH(C782,Hours!$A:$A,0))+F782*INDEX(Hours!B:B,MATCH(C782,Hours!$A:$A,0))+G782*INDEX(Hours!C:C,MATCH(C782,Hours!$A:$A,0))+H782*INDEX(Hours!D:D,MATCH(C782,Hours!$A:$A,0))+I782*INDEX(Hours!E:E,MATCH(C782,Hours!$A:$A,0))+J782*INDEX(Hours!F:F,MATCH(C782,Hours!$A:$A,0))+K782*INDEX(Hours!G:G,MATCH(C782,Hours!$A:$A,0))+O782*INDEX(Hours!K:K,MATCH(C782,Hours!$A:$A,0)))</f>
        <v>0</v>
      </c>
      <c r="S782" s="19">
        <f t="shared" si="25"/>
        <v>0</v>
      </c>
    </row>
    <row r="783" spans="1:19" x14ac:dyDescent="0.25">
      <c r="A783" s="15" t="str">
        <f>'Bldgs &amp; Rooms'!$A$23</f>
        <v>Main Bldg.</v>
      </c>
      <c r="B783" s="15">
        <f>'Bldgs &amp; Rooms'!$B$23</f>
        <v>0</v>
      </c>
      <c r="C783" s="14" t="str">
        <f>Hours!$A$6</f>
        <v xml:space="preserve">  Switchboard Disconnects</v>
      </c>
      <c r="D783" s="15">
        <f t="shared" si="24"/>
        <v>0</v>
      </c>
      <c r="E783" s="16">
        <f>IF('Components Yr 1'!E783=0,0,'Components Yr 1'!E783)</f>
        <v>0</v>
      </c>
      <c r="F783" s="17">
        <f>IF('Components Yr 1'!F783=0,0,'Components Yr 1'!F783)</f>
        <v>0</v>
      </c>
      <c r="G783" s="17">
        <f>IF('Components Yr 1'!G783=0,0,'Components Yr 1'!G783)</f>
        <v>0</v>
      </c>
      <c r="H783" s="17">
        <f>IF('Components Yr 1'!H783=0,0,'Components Yr 1'!H783)</f>
        <v>0</v>
      </c>
      <c r="I783" s="17">
        <f>IF('Components Yr 1'!I783=0,0,'Components Yr 1'!I783)</f>
        <v>0</v>
      </c>
      <c r="J783" s="17">
        <f>IF('Components Yr 1'!J783=0,0,'Components Yr 1'!J783)</f>
        <v>0</v>
      </c>
      <c r="K783" s="12"/>
      <c r="L783" s="12"/>
      <c r="M783" s="12"/>
      <c r="N783" s="12"/>
      <c r="O783" s="12"/>
      <c r="P783" s="12"/>
      <c r="Q783" s="17"/>
      <c r="R783" s="18">
        <f>IF(SUMPRODUCT((E783:Q783)*1)=0,0,E783*INDEX(Hours!M:M,MATCH(C783,Hours!$A:$A,0))+F783*INDEX(Hours!B:B,MATCH(C783,Hours!$A:$A,0))+G783*INDEX(Hours!C:C,MATCH(C783,Hours!$A:$A,0))+H783*INDEX(Hours!D:D,MATCH(C783,Hours!$A:$A,0))+I783*INDEX(Hours!E:E,MATCH(C783,Hours!$A:$A,0))+J783*INDEX(Hours!F:F,MATCH(C783,Hours!$A:$A,0)))</f>
        <v>0</v>
      </c>
      <c r="S783" s="19">
        <f t="shared" si="25"/>
        <v>0</v>
      </c>
    </row>
    <row r="784" spans="1:19" x14ac:dyDescent="0.25">
      <c r="A784" s="15" t="str">
        <f>'Bldgs &amp; Rooms'!$A$23</f>
        <v>Main Bldg.</v>
      </c>
      <c r="B784" s="15">
        <f>'Bldgs &amp; Rooms'!$B$23</f>
        <v>0</v>
      </c>
      <c r="C784" s="14" t="str">
        <f>Hours!$A$7</f>
        <v xml:space="preserve">  Switchboard Molded Case Breakers</v>
      </c>
      <c r="D784" s="15">
        <f t="shared" si="24"/>
        <v>0</v>
      </c>
      <c r="E784" s="16">
        <f>IF('Components Yr 1'!E784=0,0,'Components Yr 1'!E784)</f>
        <v>0</v>
      </c>
      <c r="F784" s="17">
        <f>IF('Components Yr 1'!F784=0,0,'Components Yr 1'!F784)</f>
        <v>0</v>
      </c>
      <c r="G784" s="17">
        <f>IF('Components Yr 1'!G784=0,0,'Components Yr 1'!G784)</f>
        <v>0</v>
      </c>
      <c r="H784" s="17">
        <f>IF('Components Yr 1'!H784=0,0,'Components Yr 1'!H784)</f>
        <v>0</v>
      </c>
      <c r="I784" s="17">
        <f>IF('Components Yr 1'!I784=0,0,'Components Yr 1'!I784)</f>
        <v>0</v>
      </c>
      <c r="J784" s="17">
        <f>IF('Components Yr 1'!J784=0,0,'Components Yr 1'!J784)</f>
        <v>0</v>
      </c>
      <c r="K784" s="17">
        <f>IF('Components Yr 1'!K784=0,0,'Components Yr 1'!K784)</f>
        <v>0</v>
      </c>
      <c r="L784" s="12"/>
      <c r="M784" s="12"/>
      <c r="N784" s="12"/>
      <c r="O784" s="12"/>
      <c r="P784" s="12"/>
      <c r="Q784" s="17"/>
      <c r="R784" s="18">
        <f>IF(SUMPRODUCT((E784:Q784)*1)=0,0,E784*INDEX(Hours!M:M,MATCH(C784,Hours!$A:$A,0))+F784*INDEX(Hours!B:B,MATCH(C784,Hours!$A:$A,0))+G784*INDEX(Hours!C:C,MATCH(C784,Hours!$A:$A,0))+H784*INDEX(Hours!D:D,MATCH(C784,Hours!$A:$A,0))+I784*INDEX(Hours!E:E,MATCH(C784,Hours!$A:$A,0))+J784*INDEX(Hours!F:F,MATCH(C784,Hours!$A:$A,0))+K784*INDEX(Hours!G:G,MATCH(C784,Hours!$A:$A,0)))</f>
        <v>0</v>
      </c>
      <c r="S784" s="19">
        <f t="shared" si="25"/>
        <v>0</v>
      </c>
    </row>
    <row r="785" spans="1:19" x14ac:dyDescent="0.25">
      <c r="A785" s="15" t="str">
        <f>'Bldgs &amp; Rooms'!$A$23</f>
        <v>Main Bldg.</v>
      </c>
      <c r="B785" s="15">
        <f>'Bldgs &amp; Rooms'!$B$23</f>
        <v>0</v>
      </c>
      <c r="C785" s="14" t="str">
        <f>Hours!$A$8</f>
        <v>Panelboard-Single Cover &gt; 400A (Distribution Panel)</v>
      </c>
      <c r="D785" s="15">
        <f t="shared" si="24"/>
        <v>0</v>
      </c>
      <c r="E785" s="16">
        <f>IF('Components Yr 1'!E785=0,0,'Components Yr 1'!E785)</f>
        <v>0</v>
      </c>
      <c r="F785" s="17">
        <f>IF('Components Yr 1'!F785=0,0,'Components Yr 1'!F785)</f>
        <v>0</v>
      </c>
      <c r="G785" s="17">
        <f>IF('Components Yr 1'!G785=0,0,'Components Yr 1'!G785)</f>
        <v>0</v>
      </c>
      <c r="H785" s="17">
        <f>IF('Components Yr 1'!H785=0,0,'Components Yr 1'!H785)</f>
        <v>0</v>
      </c>
      <c r="I785" s="17">
        <f>IF('Components Yr 1'!I785=0,0,'Components Yr 1'!I785)</f>
        <v>0</v>
      </c>
      <c r="J785" s="17">
        <f>IF('Components Yr 1'!J785=0,0,'Components Yr 1'!J785)</f>
        <v>0</v>
      </c>
      <c r="K785" s="17">
        <f>IF('Components Yr 1'!K785=0,0,'Components Yr 1'!K785)</f>
        <v>0</v>
      </c>
      <c r="L785" s="12"/>
      <c r="M785" s="12"/>
      <c r="N785" s="12"/>
      <c r="O785" s="17">
        <f>IF('Components Yr 1'!O785=0,0,'Components Yr 1'!O785)</f>
        <v>0</v>
      </c>
      <c r="P785" s="12"/>
      <c r="Q785" s="17"/>
      <c r="R785" s="18">
        <f>IF(SUMPRODUCT((E785:Q785)*1)=0,0,E785*INDEX(Hours!M:M,MATCH(C785,Hours!$A:$A,0))+F785*INDEX(Hours!B:B,MATCH(C785,Hours!$A:$A,0))+G785*INDEX(Hours!C:C,MATCH(C785,Hours!$A:$A,0))+H785*INDEX(Hours!D:D,MATCH(C785,Hours!$A:$A,0))+I785*INDEX(Hours!E:E,MATCH(C785,Hours!$A:$A,0))+J785*INDEX(Hours!F:F,MATCH(C785,Hours!$A:$A,0))+K785*INDEX(Hours!G:G,MATCH(C785,Hours!$A:$A,0))+O785*INDEX(Hours!K:K,MATCH(C785,Hours!$A:$A,0)))</f>
        <v>0</v>
      </c>
      <c r="S785" s="19">
        <f t="shared" si="25"/>
        <v>0</v>
      </c>
    </row>
    <row r="786" spans="1:19" x14ac:dyDescent="0.25">
      <c r="A786" s="15" t="str">
        <f>'Bldgs &amp; Rooms'!$A$23</f>
        <v>Main Bldg.</v>
      </c>
      <c r="B786" s="15">
        <f>'Bldgs &amp; Rooms'!$B$23</f>
        <v>0</v>
      </c>
      <c r="C786" s="14" t="str">
        <f>Hours!$A$9</f>
        <v>Panelboard-Single Cover &lt; 400A (Branch Ckt Panel)</v>
      </c>
      <c r="D786" s="15">
        <f t="shared" si="24"/>
        <v>0</v>
      </c>
      <c r="E786" s="16">
        <f>IF('Components Yr 1'!E786=0,0,'Components Yr 1'!E786)</f>
        <v>0</v>
      </c>
      <c r="F786" s="17">
        <f>IF('Components Yr 1'!F786=0,0,'Components Yr 1'!F786)</f>
        <v>0</v>
      </c>
      <c r="G786" s="17">
        <f>IF('Components Yr 1'!G786=0,0,'Components Yr 1'!G786)</f>
        <v>0</v>
      </c>
      <c r="H786" s="17">
        <f>IF('Components Yr 1'!H786=0,0,'Components Yr 1'!H786)</f>
        <v>0</v>
      </c>
      <c r="I786" s="17">
        <f>IF('Components Yr 1'!I786=0,0,'Components Yr 1'!I786)</f>
        <v>0</v>
      </c>
      <c r="J786" s="17">
        <f>IF('Components Yr 1'!J786=0,0,'Components Yr 1'!J786)</f>
        <v>0</v>
      </c>
      <c r="K786" s="12"/>
      <c r="L786" s="12"/>
      <c r="M786" s="12"/>
      <c r="N786" s="12"/>
      <c r="O786" s="17">
        <f>IF('Components Yr 1'!O786=0,0,'Components Yr 1'!O786)</f>
        <v>0</v>
      </c>
      <c r="P786" s="12"/>
      <c r="Q786" s="17"/>
      <c r="R786" s="18">
        <f>IF(SUMPRODUCT((E786:Q786)*1)=0,0,E786*INDEX(Hours!M:M,MATCH(C786,Hours!$A:$A,0))+F786*INDEX(Hours!B:B,MATCH(C786,Hours!$A:$A,0))+G786*INDEX(Hours!C:C,MATCH(C786,Hours!$A:$A,0))+H786*INDEX(Hours!D:D,MATCH(C786,Hours!$A:$A,0))+I786*INDEX(Hours!E:E,MATCH(C786,Hours!$A:$A,0))+J786*INDEX(Hours!F:F,MATCH(C786,Hours!$A:$A,0))+O786*INDEX(Hours!K:K,MATCH(C786,Hours!$A:$A,0)))</f>
        <v>0</v>
      </c>
      <c r="S786" s="19">
        <f t="shared" si="25"/>
        <v>0</v>
      </c>
    </row>
    <row r="787" spans="1:19" x14ac:dyDescent="0.25">
      <c r="A787" s="15" t="str">
        <f>'Bldgs &amp; Rooms'!$A$23</f>
        <v>Main Bldg.</v>
      </c>
      <c r="B787" s="15">
        <f>'Bldgs &amp; Rooms'!$B$23</f>
        <v>0</v>
      </c>
      <c r="C787" s="14" t="str">
        <f>Hours!$A$10</f>
        <v>Motor Control Center (MCC-Per Vertical Section)</v>
      </c>
      <c r="D787" s="15">
        <f t="shared" si="24"/>
        <v>0</v>
      </c>
      <c r="E787" s="16">
        <f>IF('Components Yr 1'!E787=0,0,'Components Yr 1'!E787)</f>
        <v>0</v>
      </c>
      <c r="F787" s="17">
        <f>IF('Components Yr 1'!F787=0,0,'Components Yr 1'!F787)</f>
        <v>0</v>
      </c>
      <c r="G787" s="17">
        <f>IF('Components Yr 1'!G787=0,0,'Components Yr 1'!G787)</f>
        <v>0</v>
      </c>
      <c r="H787" s="17">
        <f>IF('Components Yr 1'!H787=0,0,'Components Yr 1'!H787)</f>
        <v>0</v>
      </c>
      <c r="I787" s="17">
        <f>IF('Components Yr 1'!I787=0,0,'Components Yr 1'!I787)</f>
        <v>0</v>
      </c>
      <c r="J787" s="17">
        <f>IF('Components Yr 1'!J787=0,0,'Components Yr 1'!J787)</f>
        <v>0</v>
      </c>
      <c r="K787" s="12"/>
      <c r="L787" s="12"/>
      <c r="M787" s="12"/>
      <c r="N787" s="12"/>
      <c r="O787" s="17">
        <f>IF('Components Yr 1'!O787=0,0,'Components Yr 1'!O787)</f>
        <v>0</v>
      </c>
      <c r="P787" s="12"/>
      <c r="Q787" s="17"/>
      <c r="R787" s="18">
        <f>IF(SUMPRODUCT((E787:Q787)*1)=0,0,E787*INDEX(Hours!M:M,MATCH(C787,Hours!$A:$A,0))+F787*INDEX(Hours!B:B,MATCH(C787,Hours!$A:$A,0))+G787*INDEX(Hours!C:C,MATCH(C787,Hours!$A:$A,0))+H787*INDEX(Hours!D:D,MATCH(C787,Hours!$A:$A,0))+I787*INDEX(Hours!E:E,MATCH(C787,Hours!$A:$A,0))+J787*INDEX(Hours!F:F,MATCH(C787,Hours!$A:$A,0))+O787*INDEX(Hours!K:K,MATCH(C787,Hours!$A:$A,0)))</f>
        <v>0</v>
      </c>
      <c r="S787" s="19">
        <f t="shared" si="25"/>
        <v>0</v>
      </c>
    </row>
    <row r="788" spans="1:19" x14ac:dyDescent="0.25">
      <c r="A788" s="15" t="str">
        <f>'Bldgs &amp; Rooms'!$A$23</f>
        <v>Main Bldg.</v>
      </c>
      <c r="B788" s="15">
        <f>'Bldgs &amp; Rooms'!$B$23</f>
        <v>0</v>
      </c>
      <c r="C788" s="14" t="str">
        <f>Hours!$A$11</f>
        <v xml:space="preserve">  MCC: Combination Motor Starters</v>
      </c>
      <c r="D788" s="15">
        <f t="shared" si="24"/>
        <v>0</v>
      </c>
      <c r="E788" s="16">
        <f>IF('Components Yr 1'!E788=0,0,'Components Yr 1'!E788)</f>
        <v>0</v>
      </c>
      <c r="F788" s="17">
        <f>IF('Components Yr 1'!F788=0,0,'Components Yr 1'!F788)</f>
        <v>0</v>
      </c>
      <c r="G788" s="17">
        <f>IF('Components Yr 1'!G788=0,0,'Components Yr 1'!G788)</f>
        <v>0</v>
      </c>
      <c r="H788" s="17">
        <f>IF('Components Yr 1'!H788=0,0,'Components Yr 1'!H788)</f>
        <v>0</v>
      </c>
      <c r="I788" s="17">
        <f>IF('Components Yr 1'!I788=0,0,'Components Yr 1'!I788)</f>
        <v>0</v>
      </c>
      <c r="J788" s="17">
        <f>IF('Components Yr 1'!J788=0,0,'Components Yr 1'!J788)</f>
        <v>0</v>
      </c>
      <c r="K788" s="17">
        <f>IF('Components Yr 1'!K788=0,0,'Components Yr 1'!K788)</f>
        <v>0</v>
      </c>
      <c r="L788" s="12"/>
      <c r="M788" s="12"/>
      <c r="N788" s="12"/>
      <c r="O788" s="17">
        <f>IF('Components Yr 1'!O788=0,0,'Components Yr 1'!O788)</f>
        <v>0</v>
      </c>
      <c r="P788" s="12"/>
      <c r="Q788" s="17"/>
      <c r="R788" s="18">
        <f>IF(SUMPRODUCT((E788:Q788)*1)=0,0,E788*INDEX(Hours!M:M,MATCH(C788,Hours!$A:$A,0))+F788*INDEX(Hours!B:B,MATCH(C788,Hours!$A:$A,0))+G788*INDEX(Hours!C:C,MATCH(C788,Hours!$A:$A,0))+H788*INDEX(Hours!D:D,MATCH(C788,Hours!$A:$A,0))+I788*INDEX(Hours!E:E,MATCH(C788,Hours!$A:$A,0))+J788*INDEX(Hours!F:F,MATCH(C788,Hours!$A:$A,0))+K788*INDEX(Hours!G:G,MATCH(C788,Hours!$A:$A,0))+O788*INDEX(Hours!K:K,MATCH(C788,Hours!$A:$A,0)))</f>
        <v>0</v>
      </c>
      <c r="S788" s="19">
        <f t="shared" si="25"/>
        <v>0</v>
      </c>
    </row>
    <row r="789" spans="1:19" x14ac:dyDescent="0.25">
      <c r="A789" s="15" t="str">
        <f>'Bldgs &amp; Rooms'!$A$23</f>
        <v>Main Bldg.</v>
      </c>
      <c r="B789" s="15">
        <f>'Bldgs &amp; Rooms'!$B$23</f>
        <v>0</v>
      </c>
      <c r="C789" s="14" t="str">
        <f>Hours!$A$12</f>
        <v xml:space="preserve">  MCC: Molded Case Breaker</v>
      </c>
      <c r="D789" s="15">
        <f t="shared" si="24"/>
        <v>0</v>
      </c>
      <c r="E789" s="16">
        <f>IF('Components Yr 1'!E789=0,0,'Components Yr 1'!E789)</f>
        <v>0</v>
      </c>
      <c r="F789" s="17">
        <f>IF('Components Yr 1'!F789=0,0,'Components Yr 1'!F789)</f>
        <v>0</v>
      </c>
      <c r="G789" s="17">
        <f>IF('Components Yr 1'!G789=0,0,'Components Yr 1'!G789)</f>
        <v>0</v>
      </c>
      <c r="H789" s="17">
        <f>IF('Components Yr 1'!H789=0,0,'Components Yr 1'!H789)</f>
        <v>0</v>
      </c>
      <c r="I789" s="17">
        <f>IF('Components Yr 1'!I789=0,0,'Components Yr 1'!I789)</f>
        <v>0</v>
      </c>
      <c r="J789" s="17">
        <f>IF('Components Yr 1'!J789=0,0,'Components Yr 1'!J789)</f>
        <v>0</v>
      </c>
      <c r="K789" s="17">
        <f>IF('Components Yr 1'!K789=0,0,'Components Yr 1'!K789)</f>
        <v>0</v>
      </c>
      <c r="L789" s="12"/>
      <c r="M789" s="12"/>
      <c r="N789" s="12"/>
      <c r="O789" s="12"/>
      <c r="P789" s="12"/>
      <c r="Q789" s="17"/>
      <c r="R789" s="18">
        <f>IF(SUMPRODUCT((E789:Q789)*1)=0,0,E789*INDEX(Hours!M:M,MATCH(C789,Hours!$A:$A,0))+F789*INDEX(Hours!B:B,MATCH(C789,Hours!$A:$A,0))+G789*INDEX(Hours!C:C,MATCH(C789,Hours!$A:$A,0))+H789*INDEX(Hours!D:D,MATCH(C789,Hours!$A:$A,0))+I789*INDEX(Hours!E:E,MATCH(C789,Hours!$A:$A,0))+J789*INDEX(Hours!F:F,MATCH(C789,Hours!$A:$A,0))+K789*INDEX(Hours!G:G,MATCH(C789,Hours!$A:$A,0)))</f>
        <v>0</v>
      </c>
      <c r="S789" s="19">
        <f t="shared" si="25"/>
        <v>0</v>
      </c>
    </row>
    <row r="790" spans="1:19" x14ac:dyDescent="0.25">
      <c r="A790" s="15" t="str">
        <f>'Bldgs &amp; Rooms'!$A$23</f>
        <v>Main Bldg.</v>
      </c>
      <c r="B790" s="15">
        <f>'Bldgs &amp; Rooms'!$B$23</f>
        <v>0</v>
      </c>
      <c r="C790" s="14" t="str">
        <f>Hours!$A$13</f>
        <v xml:space="preserve">  MCC: Individual Disconnect Switch</v>
      </c>
      <c r="D790" s="15">
        <f t="shared" si="24"/>
        <v>0</v>
      </c>
      <c r="E790" s="16">
        <f>IF('Components Yr 1'!E790=0,0,'Components Yr 1'!E790)</f>
        <v>0</v>
      </c>
      <c r="F790" s="17">
        <f>IF('Components Yr 1'!F790=0,0,'Components Yr 1'!F790)</f>
        <v>0</v>
      </c>
      <c r="G790" s="17">
        <f>IF('Components Yr 1'!G790=0,0,'Components Yr 1'!G790)</f>
        <v>0</v>
      </c>
      <c r="H790" s="17">
        <f>IF('Components Yr 1'!H790=0,0,'Components Yr 1'!H790)</f>
        <v>0</v>
      </c>
      <c r="I790" s="17">
        <f>IF('Components Yr 1'!I790=0,0,'Components Yr 1'!I790)</f>
        <v>0</v>
      </c>
      <c r="J790" s="17">
        <f>IF('Components Yr 1'!J790=0,0,'Components Yr 1'!J790)</f>
        <v>0</v>
      </c>
      <c r="K790" s="12"/>
      <c r="L790" s="12"/>
      <c r="M790" s="12"/>
      <c r="N790" s="12"/>
      <c r="O790" s="12"/>
      <c r="P790" s="12"/>
      <c r="Q790" s="17"/>
      <c r="R790" s="18">
        <f>IF(SUMPRODUCT((E790:Q790)*1)=0,0,E790*INDEX(Hours!M:M,MATCH(C790,Hours!$A:$A,0))+F790*INDEX(Hours!B:B,MATCH(C790,Hours!$A:$A,0))+G790*INDEX(Hours!C:C,MATCH(C790,Hours!$A:$A,0))+H790*INDEX(Hours!D:D,MATCH(C790,Hours!$A:$A,0))+I790*INDEX(Hours!E:E,MATCH(C790,Hours!$A:$A,0))+J790*INDEX(Hours!F:F,MATCH(C790,Hours!$A:$A,0)))</f>
        <v>0</v>
      </c>
      <c r="S790" s="19">
        <f t="shared" si="25"/>
        <v>0</v>
      </c>
    </row>
    <row r="791" spans="1:19" x14ac:dyDescent="0.25">
      <c r="A791" s="15" t="str">
        <f>'Bldgs &amp; Rooms'!$A$23</f>
        <v>Main Bldg.</v>
      </c>
      <c r="B791" s="15">
        <f>'Bldgs &amp; Rooms'!$B$23</f>
        <v>0</v>
      </c>
      <c r="C791" s="14" t="str">
        <f>Hours!$A$14</f>
        <v>Motor Control Panel (MCP)</v>
      </c>
      <c r="D791" s="15">
        <f t="shared" si="24"/>
        <v>0</v>
      </c>
      <c r="E791" s="16">
        <f>IF('Components Yr 1'!E791=0,0,'Components Yr 1'!E791)</f>
        <v>0</v>
      </c>
      <c r="F791" s="17">
        <f>IF('Components Yr 1'!F791=0,0,'Components Yr 1'!F791)</f>
        <v>0</v>
      </c>
      <c r="G791" s="17">
        <f>IF('Components Yr 1'!G791=0,0,'Components Yr 1'!G791)</f>
        <v>0</v>
      </c>
      <c r="H791" s="17">
        <f>IF('Components Yr 1'!H791=0,0,'Components Yr 1'!H791)</f>
        <v>0</v>
      </c>
      <c r="I791" s="17">
        <f>IF('Components Yr 1'!I791=0,0,'Components Yr 1'!I791)</f>
        <v>0</v>
      </c>
      <c r="J791" s="17">
        <f>IF('Components Yr 1'!J791=0,0,'Components Yr 1'!J791)</f>
        <v>0</v>
      </c>
      <c r="K791" s="12"/>
      <c r="L791" s="12"/>
      <c r="M791" s="12"/>
      <c r="N791" s="12"/>
      <c r="O791" s="17">
        <f>IF('Components Yr 1'!O791=0,0,'Components Yr 1'!O791)</f>
        <v>0</v>
      </c>
      <c r="P791" s="12"/>
      <c r="Q791" s="17"/>
      <c r="R791" s="18">
        <f>IF(SUMPRODUCT((E791:Q791)*1)=0,0,E791*INDEX(Hours!M:M,MATCH(C791,Hours!$A:$A,0))+F791*INDEX(Hours!B:B,MATCH(C791,Hours!$A:$A,0))+G791*INDEX(Hours!C:C,MATCH(C791,Hours!$A:$A,0))+H791*INDEX(Hours!D:D,MATCH(C791,Hours!$A:$A,0))+I791*INDEX(Hours!E:E,MATCH(C791,Hours!$A:$A,0))+J791*INDEX(Hours!F:F,MATCH(C791,Hours!$A:$A,0))+O791*INDEX(Hours!K:K,MATCH(C791,Hours!$A:$A,0)))</f>
        <v>0</v>
      </c>
      <c r="S791" s="19">
        <f t="shared" si="25"/>
        <v>0</v>
      </c>
    </row>
    <row r="792" spans="1:19" x14ac:dyDescent="0.25">
      <c r="A792" s="15" t="str">
        <f>'Bldgs &amp; Rooms'!$A$23</f>
        <v>Main Bldg.</v>
      </c>
      <c r="B792" s="15">
        <f>'Bldgs &amp; Rooms'!$B$23</f>
        <v>0</v>
      </c>
      <c r="C792" s="14" t="str">
        <f>Hours!$A$15</f>
        <v>VFD Motor Control Panel (VFD-MCP)</v>
      </c>
      <c r="D792" s="15">
        <f t="shared" si="24"/>
        <v>0</v>
      </c>
      <c r="E792" s="16">
        <f>IF('Components Yr 1'!E792=0,0,'Components Yr 1'!E792)</f>
        <v>0</v>
      </c>
      <c r="F792" s="17">
        <f>IF('Components Yr 1'!F792=0,0,'Components Yr 1'!F792)</f>
        <v>0</v>
      </c>
      <c r="G792" s="17">
        <f>IF('Components Yr 1'!G792=0,0,'Components Yr 1'!G792)</f>
        <v>0</v>
      </c>
      <c r="H792" s="17">
        <f>IF('Components Yr 1'!H792=0,0,'Components Yr 1'!H792)</f>
        <v>0</v>
      </c>
      <c r="I792" s="17">
        <f>IF('Components Yr 1'!I792=0,0,'Components Yr 1'!I792)</f>
        <v>0</v>
      </c>
      <c r="J792" s="17">
        <f>IF('Components Yr 1'!J792=0,0,'Components Yr 1'!J792)</f>
        <v>0</v>
      </c>
      <c r="K792" s="12"/>
      <c r="L792" s="12"/>
      <c r="M792" s="12"/>
      <c r="N792" s="12"/>
      <c r="O792" s="17">
        <f>IF('Components Yr 1'!O792=0,0,'Components Yr 1'!O792)</f>
        <v>0</v>
      </c>
      <c r="P792" s="12"/>
      <c r="Q792" s="17"/>
      <c r="R792" s="18">
        <f>IF(SUMPRODUCT((E792:Q792)*1)=0,0,E792*INDEX(Hours!M:M,MATCH(C792,Hours!$A:$A,0))+F792*INDEX(Hours!B:B,MATCH(C792,Hours!$A:$A,0))+G792*INDEX(Hours!C:C,MATCH(C792,Hours!$A:$A,0))+H792*INDEX(Hours!D:D,MATCH(C792,Hours!$A:$A,0))+I792*INDEX(Hours!E:E,MATCH(C792,Hours!$A:$A,0))+J792*INDEX(Hours!F:F,MATCH(C792,Hours!$A:$A,0))+O792*INDEX(Hours!K:K,MATCH(C792,Hours!$A:$A,0)))</f>
        <v>0</v>
      </c>
      <c r="S792" s="19">
        <f t="shared" si="25"/>
        <v>0</v>
      </c>
    </row>
    <row r="793" spans="1:19" x14ac:dyDescent="0.25">
      <c r="A793" s="15" t="str">
        <f>'Bldgs &amp; Rooms'!$A$23</f>
        <v>Main Bldg.</v>
      </c>
      <c r="B793" s="15">
        <f>'Bldgs &amp; Rooms'!$B$23</f>
        <v>0</v>
      </c>
      <c r="C793" s="14" t="str">
        <f>Hours!$A$16</f>
        <v>Individual Disconnect Switch &gt; 100A</v>
      </c>
      <c r="D793" s="15">
        <f t="shared" si="24"/>
        <v>0</v>
      </c>
      <c r="E793" s="16">
        <f>IF('Components Yr 1'!E793=0,0,'Components Yr 1'!E793)</f>
        <v>0</v>
      </c>
      <c r="F793" s="17">
        <f>IF('Components Yr 1'!F793=0,0,'Components Yr 1'!F793)</f>
        <v>0</v>
      </c>
      <c r="G793" s="17">
        <f>IF('Components Yr 1'!G793=0,0,'Components Yr 1'!G793)</f>
        <v>0</v>
      </c>
      <c r="H793" s="17">
        <f>IF('Components Yr 1'!H793=0,0,'Components Yr 1'!H793)</f>
        <v>0</v>
      </c>
      <c r="I793" s="17">
        <f>IF('Components Yr 1'!I793=0,0,'Components Yr 1'!I793)</f>
        <v>0</v>
      </c>
      <c r="J793" s="17">
        <f>IF('Components Yr 1'!J793=0,0,'Components Yr 1'!J793)</f>
        <v>0</v>
      </c>
      <c r="K793" s="17">
        <f>IF('Components Yr 1'!K793=0,0,'Components Yr 1'!K793)</f>
        <v>0</v>
      </c>
      <c r="L793" s="12"/>
      <c r="M793" s="12"/>
      <c r="N793" s="12"/>
      <c r="O793" s="12"/>
      <c r="P793" s="12"/>
      <c r="Q793" s="17"/>
      <c r="R793" s="18">
        <f>IF(SUMPRODUCT((E793:Q793)*1)=0,0,E793*INDEX(Hours!M:M,MATCH(C793,Hours!$A:$A,0))+F793*INDEX(Hours!B:B,MATCH(C793,Hours!$A:$A,0))+G793*INDEX(Hours!C:C,MATCH(C793,Hours!$A:$A,0))+H793*INDEX(Hours!D:D,MATCH(C793,Hours!$A:$A,0))+I793*INDEX(Hours!E:E,MATCH(C793,Hours!$A:$A,0))+J793*INDEX(Hours!F:F,MATCH(C793,Hours!$A:$A,0))+K793*INDEX(Hours!G:G,MATCH(C793,Hours!$A:$A,0)))</f>
        <v>0</v>
      </c>
      <c r="S793" s="19">
        <f t="shared" si="25"/>
        <v>0</v>
      </c>
    </row>
    <row r="794" spans="1:19" x14ac:dyDescent="0.25">
      <c r="A794" s="15" t="str">
        <f>'Bldgs &amp; Rooms'!$A$23</f>
        <v>Main Bldg.</v>
      </c>
      <c r="B794" s="15">
        <f>'Bldgs &amp; Rooms'!$B$23</f>
        <v>0</v>
      </c>
      <c r="C794" s="14" t="str">
        <f>Hours!$A$17</f>
        <v>Individual Molded Case Breaker &gt; 100A</v>
      </c>
      <c r="D794" s="15">
        <f t="shared" si="24"/>
        <v>0</v>
      </c>
      <c r="E794" s="16">
        <f>IF('Components Yr 1'!E794=0,0,'Components Yr 1'!E794)</f>
        <v>0</v>
      </c>
      <c r="F794" s="17">
        <f>IF('Components Yr 1'!F794=0,0,'Components Yr 1'!F794)</f>
        <v>0</v>
      </c>
      <c r="G794" s="17">
        <f>IF('Components Yr 1'!G794=0,0,'Components Yr 1'!G794)</f>
        <v>0</v>
      </c>
      <c r="H794" s="17">
        <f>IF('Components Yr 1'!H794=0,0,'Components Yr 1'!H794)</f>
        <v>0</v>
      </c>
      <c r="I794" s="17">
        <f>IF('Components Yr 1'!I794=0,0,'Components Yr 1'!I794)</f>
        <v>0</v>
      </c>
      <c r="J794" s="17">
        <f>IF('Components Yr 1'!J794=0,0,'Components Yr 1'!J794)</f>
        <v>0</v>
      </c>
      <c r="K794" s="17">
        <f>IF('Components Yr 1'!K794=0,0,'Components Yr 1'!K794)</f>
        <v>0</v>
      </c>
      <c r="L794" s="12"/>
      <c r="M794" s="12"/>
      <c r="N794" s="12"/>
      <c r="O794" s="12"/>
      <c r="P794" s="12"/>
      <c r="Q794" s="17"/>
      <c r="R794" s="18">
        <f>IF(SUMPRODUCT((E794:Q794)*1)=0,0,E794*INDEX(Hours!M:M,MATCH(C794,Hours!$A:$A,0))+F794*INDEX(Hours!B:B,MATCH(C794,Hours!$A:$A,0))+G794*INDEX(Hours!C:C,MATCH(C794,Hours!$A:$A,0))+H794*INDEX(Hours!D:D,MATCH(C794,Hours!$A:$A,0))+I794*INDEX(Hours!E:E,MATCH(C794,Hours!$A:$A,0))+J794*INDEX(Hours!F:F,MATCH(C794,Hours!$A:$A,0))+K794*INDEX(Hours!G:G,MATCH(C794,Hours!$A:$A,0)))</f>
        <v>0</v>
      </c>
      <c r="S794" s="19">
        <f t="shared" si="25"/>
        <v>0</v>
      </c>
    </row>
    <row r="795" spans="1:19" x14ac:dyDescent="0.25">
      <c r="A795" s="15" t="str">
        <f>'Bldgs &amp; Rooms'!$A$23</f>
        <v>Main Bldg.</v>
      </c>
      <c r="B795" s="15">
        <f>'Bldgs &amp; Rooms'!$B$23</f>
        <v>0</v>
      </c>
      <c r="C795" s="14" t="str">
        <f>Hours!$A$18</f>
        <v>Individual Combination Motor Starter &gt; 100A</v>
      </c>
      <c r="D795" s="15">
        <f t="shared" si="24"/>
        <v>0</v>
      </c>
      <c r="E795" s="16">
        <f>IF('Components Yr 1'!E795=0,0,'Components Yr 1'!E795)</f>
        <v>0</v>
      </c>
      <c r="F795" s="17">
        <f>IF('Components Yr 1'!F795=0,0,'Components Yr 1'!F795)</f>
        <v>0</v>
      </c>
      <c r="G795" s="17">
        <f>IF('Components Yr 1'!G795=0,0,'Components Yr 1'!G795)</f>
        <v>0</v>
      </c>
      <c r="H795" s="17">
        <f>IF('Components Yr 1'!H795=0,0,'Components Yr 1'!H795)</f>
        <v>0</v>
      </c>
      <c r="I795" s="17">
        <f>IF('Components Yr 1'!I795=0,0,'Components Yr 1'!I795)</f>
        <v>0</v>
      </c>
      <c r="J795" s="17">
        <f>IF('Components Yr 1'!J795=0,0,'Components Yr 1'!J795)</f>
        <v>0</v>
      </c>
      <c r="K795" s="17">
        <f>IF('Components Yr 1'!K795=0,0,'Components Yr 1'!K795)</f>
        <v>0</v>
      </c>
      <c r="L795" s="12"/>
      <c r="M795" s="12"/>
      <c r="N795" s="12"/>
      <c r="O795" s="12"/>
      <c r="P795" s="12"/>
      <c r="Q795" s="17"/>
      <c r="R795" s="18">
        <f>IF(SUMPRODUCT((E795:Q795)*1)=0,0,E795*INDEX(Hours!M:M,MATCH(C795,Hours!$A:$A,0))+F795*INDEX(Hours!B:B,MATCH(C795,Hours!$A:$A,0))+G795*INDEX(Hours!C:C,MATCH(C795,Hours!$A:$A,0))+H795*INDEX(Hours!D:D,MATCH(C795,Hours!$A:$A,0))+I795*INDEX(Hours!E:E,MATCH(C795,Hours!$A:$A,0))+J795*INDEX(Hours!F:F,MATCH(C795,Hours!$A:$A,0))+K795*INDEX(Hours!G:G,MATCH(C795,Hours!$A:$A,0)))</f>
        <v>0</v>
      </c>
      <c r="S795" s="19">
        <f t="shared" si="25"/>
        <v>0</v>
      </c>
    </row>
    <row r="796" spans="1:19" x14ac:dyDescent="0.25">
      <c r="A796" s="15" t="str">
        <f>'Bldgs &amp; Rooms'!$A$23</f>
        <v>Main Bldg.</v>
      </c>
      <c r="B796" s="15">
        <f>'Bldgs &amp; Rooms'!$B$23</f>
        <v>0</v>
      </c>
      <c r="C796" s="14" t="str">
        <f>Hours!$A$19</f>
        <v>Oil Filled Transformer - 5kV-15kV Primary - Any Size (Pad Mounted)</v>
      </c>
      <c r="D796" s="15">
        <f t="shared" si="24"/>
        <v>0</v>
      </c>
      <c r="E796" s="16">
        <f>IF('Components Yr 1'!E796=0,0,'Components Yr 1'!E796)</f>
        <v>0</v>
      </c>
      <c r="F796" s="17">
        <f>IF('Components Yr 1'!F796=0,0,'Components Yr 1'!F796)</f>
        <v>0</v>
      </c>
      <c r="G796" s="17">
        <f>IF('Components Yr 1'!G796=0,0,'Components Yr 1'!G796)</f>
        <v>0</v>
      </c>
      <c r="H796" s="17">
        <f>IF('Components Yr 1'!H796=0,0,'Components Yr 1'!H796)</f>
        <v>0</v>
      </c>
      <c r="I796" s="17">
        <f>IF('Components Yr 1'!I796=0,0,'Components Yr 1'!I796)</f>
        <v>0</v>
      </c>
      <c r="J796" s="17">
        <f>IF('Components Yr 1'!J796=0,0,'Components Yr 1'!J796)</f>
        <v>0</v>
      </c>
      <c r="K796" s="12"/>
      <c r="L796" s="12"/>
      <c r="M796" s="17">
        <f>IF('Components Yr 1'!M796=0,0,'Components Yr 1'!M796)</f>
        <v>0</v>
      </c>
      <c r="N796" s="17">
        <f>IF('Components Yr 1'!N796=0,0,'Components Yr 1'!N796)</f>
        <v>0</v>
      </c>
      <c r="O796" s="12"/>
      <c r="P796" s="17">
        <f>IF('Components Yr 1'!P796=0,0,'Components Yr 1'!P796)</f>
        <v>0</v>
      </c>
      <c r="Q796" s="17"/>
      <c r="R796" s="18">
        <f>IF(SUMPRODUCT((E796:Q796)*1)=0,0,E796*INDEX(Hours!M:M,MATCH(C796,Hours!$A:$A,0))+F796*INDEX(Hours!B:B,MATCH(C796,Hours!$A:$A,0))+G796*INDEX(Hours!C:C,MATCH(C796,Hours!$A:$A,0))+H796*INDEX(Hours!D:D,MATCH(C796,Hours!$A:$A,0))+I796*INDEX(Hours!E:E,MATCH(C796,Hours!$A:$A,0))+J796*INDEX(Hours!F:F,MATCH(C796,Hours!$A:$A,0))+M796*INDEX(Hours!I:I,MATCH(C796,Hours!$A:$A,0))+N796*INDEX(Hours!J:J,MATCH(C796,Hours!$A:$A,0))+P796*INDEX(Hours!L:L,MATCH(C796,Hours!$A:$A,0)))</f>
        <v>0</v>
      </c>
      <c r="S796" s="19">
        <f t="shared" si="25"/>
        <v>0</v>
      </c>
    </row>
    <row r="797" spans="1:19" x14ac:dyDescent="0.25">
      <c r="A797" s="15" t="str">
        <f>'Bldgs &amp; Rooms'!$A$23</f>
        <v>Main Bldg.</v>
      </c>
      <c r="B797" s="15">
        <f>'Bldgs &amp; Rooms'!$B$23</f>
        <v>0</v>
      </c>
      <c r="C797" s="14" t="str">
        <f>Hours!$A$20</f>
        <v>Oil Filled Transformer - &gt; 15kV Primary (Substation Class)</v>
      </c>
      <c r="D797" s="15">
        <f t="shared" si="24"/>
        <v>0</v>
      </c>
      <c r="E797" s="16">
        <f>IF('Components Yr 1'!E797=0,0,'Components Yr 1'!E797)</f>
        <v>0</v>
      </c>
      <c r="F797" s="17">
        <f>IF('Components Yr 1'!F797=0,0,'Components Yr 1'!F797)</f>
        <v>0</v>
      </c>
      <c r="G797" s="17">
        <f>IF('Components Yr 1'!G797=0,0,'Components Yr 1'!G797)</f>
        <v>0</v>
      </c>
      <c r="H797" s="17">
        <f>IF('Components Yr 1'!H797=0,0,'Components Yr 1'!H797)</f>
        <v>0</v>
      </c>
      <c r="I797" s="17">
        <f>IF('Components Yr 1'!I797=0,0,'Components Yr 1'!I797)</f>
        <v>0</v>
      </c>
      <c r="J797" s="17">
        <f>IF('Components Yr 1'!J797=0,0,'Components Yr 1'!J797)</f>
        <v>0</v>
      </c>
      <c r="K797" s="12"/>
      <c r="L797" s="12"/>
      <c r="M797" s="17">
        <f>IF('Components Yr 1'!M797=0,0,'Components Yr 1'!M797)</f>
        <v>0</v>
      </c>
      <c r="N797" s="17">
        <f>IF('Components Yr 1'!N797=0,0,'Components Yr 1'!N797)</f>
        <v>0</v>
      </c>
      <c r="O797" s="12"/>
      <c r="P797" s="17">
        <f>IF('Components Yr 1'!P797=0,0,'Components Yr 1'!P797)</f>
        <v>0</v>
      </c>
      <c r="Q797" s="17"/>
      <c r="R797" s="18">
        <f>IF(SUMPRODUCT((E797:Q797)*1)=0,0,E797*INDEX(Hours!M:M,MATCH(C797,Hours!$A:$A,0))+F797*INDEX(Hours!B:B,MATCH(C797,Hours!$A:$A,0))+G797*INDEX(Hours!C:C,MATCH(C797,Hours!$A:$A,0))+H797*INDEX(Hours!D:D,MATCH(C797,Hours!$A:$A,0))+I797*INDEX(Hours!E:E,MATCH(C797,Hours!$A:$A,0))+J797*INDEX(Hours!F:F,MATCH(C797,Hours!$A:$A,0))+M797*INDEX(Hours!I:I,MATCH(C797,Hours!$A:$A,0))+N797*INDEX(Hours!J:J,MATCH(C797,Hours!$A:$A,0))+P797*INDEX(Hours!L:L,MATCH(C797,Hours!$A:$A,0)))</f>
        <v>0</v>
      </c>
      <c r="S797" s="19">
        <f t="shared" si="25"/>
        <v>0</v>
      </c>
    </row>
    <row r="798" spans="1:19" x14ac:dyDescent="0.25">
      <c r="A798" s="15" t="str">
        <f>'Bldgs &amp; Rooms'!$A$23</f>
        <v>Main Bldg.</v>
      </c>
      <c r="B798" s="15">
        <f>'Bldgs &amp; Rooms'!$B$23</f>
        <v>0</v>
      </c>
      <c r="C798" s="14" t="str">
        <f>Hours!$A$21</f>
        <v>Dry Type Transformer - &lt; 480V Primary - Any Size kVA</v>
      </c>
      <c r="D798" s="15">
        <f t="shared" si="24"/>
        <v>0</v>
      </c>
      <c r="E798" s="16">
        <f>IF('Components Yr 1'!E798=0,0,'Components Yr 1'!E798)</f>
        <v>0</v>
      </c>
      <c r="F798" s="17">
        <f>IF('Components Yr 1'!F798=0,0,'Components Yr 1'!F798)</f>
        <v>0</v>
      </c>
      <c r="G798" s="17">
        <f>IF('Components Yr 1'!G798=0,0,'Components Yr 1'!G798)</f>
        <v>0</v>
      </c>
      <c r="H798" s="17">
        <f>IF('Components Yr 1'!H798=0,0,'Components Yr 1'!H798)</f>
        <v>0</v>
      </c>
      <c r="I798" s="17">
        <f>IF('Components Yr 1'!I798=0,0,'Components Yr 1'!I798)</f>
        <v>0</v>
      </c>
      <c r="J798" s="17">
        <f>IF('Components Yr 1'!J798=0,0,'Components Yr 1'!J798)</f>
        <v>0</v>
      </c>
      <c r="K798" s="12"/>
      <c r="L798" s="12"/>
      <c r="M798" s="17">
        <f>IF('Components Yr 1'!M798=0,0,'Components Yr 1'!M798)</f>
        <v>0</v>
      </c>
      <c r="N798" s="17">
        <f>IF('Components Yr 1'!N798=0,0,'Components Yr 1'!N798)</f>
        <v>0</v>
      </c>
      <c r="O798" s="12"/>
      <c r="P798" s="12"/>
      <c r="Q798" s="17"/>
      <c r="R798" s="18">
        <f>IF(SUMPRODUCT((E798:Q798)*1)=0,0,E798*INDEX(Hours!M:M,MATCH(C798,Hours!$A:$A,0))+F798*INDEX(Hours!B:B,MATCH(C798,Hours!$A:$A,0))+G798*INDEX(Hours!C:C,MATCH(C798,Hours!$A:$A,0))+H798*INDEX(Hours!D:D,MATCH(C798,Hours!$A:$A,0))+I798*INDEX(Hours!E:E,MATCH(C798,Hours!$A:$A,0))+J798*INDEX(Hours!F:F,MATCH(C798,Hours!$A:$A,0))+M798*INDEX(Hours!I:I,MATCH(C798,Hours!$A:$A,0))+N798*INDEX(Hours!J:J,MATCH(C798,Hours!$A:$A,0)))</f>
        <v>0</v>
      </c>
      <c r="S798" s="19">
        <f t="shared" si="25"/>
        <v>0</v>
      </c>
    </row>
    <row r="799" spans="1:19" x14ac:dyDescent="0.25">
      <c r="A799" s="15" t="str">
        <f>'Bldgs &amp; Rooms'!$A$23</f>
        <v>Main Bldg.</v>
      </c>
      <c r="B799" s="15">
        <f>'Bldgs &amp; Rooms'!$B$23</f>
        <v>0</v>
      </c>
      <c r="C799" s="14" t="str">
        <f>Hours!$A$22</f>
        <v>Power Factor Correction Capacitors</v>
      </c>
      <c r="D799" s="15">
        <f t="shared" si="24"/>
        <v>0</v>
      </c>
      <c r="E799" s="16">
        <f>IF('Components Yr 1'!E799=0,0,'Components Yr 1'!E799)</f>
        <v>0</v>
      </c>
      <c r="F799" s="17">
        <f>IF('Components Yr 1'!F799=0,0,'Components Yr 1'!F799)</f>
        <v>0</v>
      </c>
      <c r="G799" s="17">
        <f>IF('Components Yr 1'!G799=0,0,'Components Yr 1'!G799)</f>
        <v>0</v>
      </c>
      <c r="H799" s="17">
        <f>IF('Components Yr 1'!H799=0,0,'Components Yr 1'!H799)</f>
        <v>0</v>
      </c>
      <c r="I799" s="17">
        <f>IF('Components Yr 1'!I799=0,0,'Components Yr 1'!I799)</f>
        <v>0</v>
      </c>
      <c r="J799" s="17">
        <f>IF('Components Yr 1'!J799=0,0,'Components Yr 1'!J799)</f>
        <v>0</v>
      </c>
      <c r="K799" s="12"/>
      <c r="L799" s="12"/>
      <c r="M799" s="12"/>
      <c r="N799" s="12"/>
      <c r="O799" s="12"/>
      <c r="P799" s="12"/>
      <c r="Q799" s="17"/>
      <c r="R799" s="18">
        <f>IF(SUMPRODUCT((E799:Q799)*1)=0,0,E799*INDEX(Hours!M:M,MATCH(C799,Hours!$A:$A,0))+F799*INDEX(Hours!B:B,MATCH(C799,Hours!$A:$A,0))+G799*INDEX(Hours!C:C,MATCH(C799,Hours!$A:$A,0))+H799*INDEX(Hours!D:D,MATCH(C799,Hours!$A:$A,0))+I799*INDEX(Hours!E:E,MATCH(C799,Hours!$A:$A,0))+J799*INDEX(Hours!F:F,MATCH(C799,Hours!$A:$A,0)))</f>
        <v>0</v>
      </c>
      <c r="S799" s="19">
        <f t="shared" si="25"/>
        <v>0</v>
      </c>
    </row>
    <row r="800" spans="1:19" x14ac:dyDescent="0.25">
      <c r="A800" s="15" t="str">
        <f>'Bldgs &amp; Rooms'!$A$23</f>
        <v>Main Bldg.</v>
      </c>
      <c r="B800" s="15">
        <f>'Bldgs &amp; Rooms'!$B$23</f>
        <v>0</v>
      </c>
      <c r="C800" s="14" t="str">
        <f>Hours!$A$23</f>
        <v>Lighting Contactor &gt; 100A</v>
      </c>
      <c r="D800" s="15">
        <f t="shared" si="24"/>
        <v>0</v>
      </c>
      <c r="E800" s="16">
        <f>IF('Components Yr 1'!E800=0,0,'Components Yr 1'!E800)</f>
        <v>0</v>
      </c>
      <c r="F800" s="17">
        <f>IF('Components Yr 1'!F800=0,0,'Components Yr 1'!F800)</f>
        <v>0</v>
      </c>
      <c r="G800" s="17">
        <f>IF('Components Yr 1'!G800=0,0,'Components Yr 1'!G800)</f>
        <v>0</v>
      </c>
      <c r="H800" s="17">
        <f>IF('Components Yr 1'!H800=0,0,'Components Yr 1'!H800)</f>
        <v>0</v>
      </c>
      <c r="I800" s="17">
        <f>IF('Components Yr 1'!I800=0,0,'Components Yr 1'!I800)</f>
        <v>0</v>
      </c>
      <c r="J800" s="17">
        <f>IF('Components Yr 1'!J800=0,0,'Components Yr 1'!J800)</f>
        <v>0</v>
      </c>
      <c r="K800" s="12"/>
      <c r="L800" s="12"/>
      <c r="M800" s="12"/>
      <c r="N800" s="12"/>
      <c r="O800" s="12"/>
      <c r="P800" s="12"/>
      <c r="Q800" s="17"/>
      <c r="R800" s="18">
        <f>IF(SUMPRODUCT((E800:Q800)*1)=0,0,E800*INDEX(Hours!M:M,MATCH(C800,Hours!$A:$A,0))+F800*INDEX(Hours!B:B,MATCH(C800,Hours!$A:$A,0))+G800*INDEX(Hours!C:C,MATCH(C800,Hours!$A:$A,0))+H800*INDEX(Hours!D:D,MATCH(C800,Hours!$A:$A,0))+I800*INDEX(Hours!E:E,MATCH(C800,Hours!$A:$A,0))+J800*INDEX(Hours!F:F,MATCH(C800,Hours!$A:$A,0)))</f>
        <v>0</v>
      </c>
      <c r="S800" s="19">
        <f t="shared" si="25"/>
        <v>0</v>
      </c>
    </row>
    <row r="801" spans="1:19" x14ac:dyDescent="0.25">
      <c r="A801" s="15" t="str">
        <f>'Bldgs &amp; Rooms'!$A$23</f>
        <v>Main Bldg.</v>
      </c>
      <c r="B801" s="15">
        <f>'Bldgs &amp; Rooms'!$B$23</f>
        <v>0</v>
      </c>
      <c r="C801" s="14" t="str">
        <f>Hours!$A$24</f>
        <v>Power Distribution Unit (PDU)</v>
      </c>
      <c r="D801" s="15">
        <f t="shared" si="24"/>
        <v>0</v>
      </c>
      <c r="E801" s="16">
        <f>IF('Components Yr 1'!E801=0,0,'Components Yr 1'!E801)</f>
        <v>0</v>
      </c>
      <c r="F801" s="17">
        <f>IF('Components Yr 1'!F801=0,0,'Components Yr 1'!F801)</f>
        <v>0</v>
      </c>
      <c r="G801" s="17">
        <f>IF('Components Yr 1'!G801=0,0,'Components Yr 1'!G801)</f>
        <v>0</v>
      </c>
      <c r="H801" s="17">
        <f>IF('Components Yr 1'!H801=0,0,'Components Yr 1'!H801)</f>
        <v>0</v>
      </c>
      <c r="I801" s="17">
        <f>IF('Components Yr 1'!I801=0,0,'Components Yr 1'!I801)</f>
        <v>0</v>
      </c>
      <c r="J801" s="17">
        <f>IF('Components Yr 1'!J801=0,0,'Components Yr 1'!J801)</f>
        <v>0</v>
      </c>
      <c r="K801" s="12"/>
      <c r="L801" s="12"/>
      <c r="M801" s="12"/>
      <c r="N801" s="12"/>
      <c r="O801" s="12"/>
      <c r="P801" s="12"/>
      <c r="Q801" s="17"/>
      <c r="R801" s="18">
        <f>IF(SUMPRODUCT((E801:Q801)*1)=0,0,E801*INDEX(Hours!M:M,MATCH(C801,Hours!$A:$A,0))+F801*INDEX(Hours!B:B,MATCH(C801,Hours!$A:$A,0))+G801*INDEX(Hours!C:C,MATCH(C801,Hours!$A:$A,0))+H801*INDEX(Hours!D:D,MATCH(C801,Hours!$A:$A,0))+I801*INDEX(Hours!E:E,MATCH(C801,Hours!$A:$A,0))+J801*INDEX(Hours!F:F,MATCH(C801,Hours!$A:$A,0)))</f>
        <v>0</v>
      </c>
      <c r="S801" s="19">
        <f t="shared" si="25"/>
        <v>0</v>
      </c>
    </row>
    <row r="802" spans="1:19" x14ac:dyDescent="0.25">
      <c r="A802" s="15" t="str">
        <f>'Bldgs &amp; Rooms'!$A$23</f>
        <v>Main Bldg.</v>
      </c>
      <c r="B802" s="15">
        <f>'Bldgs &amp; Rooms'!$B$23</f>
        <v>0</v>
      </c>
      <c r="C802" s="14" t="str">
        <f>Hours!$A$25</f>
        <v>Wire Trough, Gutter, or Large Junction Boxes</v>
      </c>
      <c r="D802" s="15">
        <f t="shared" si="24"/>
        <v>0</v>
      </c>
      <c r="E802" s="16">
        <f>IF('Components Yr 1'!E802=0,0,'Components Yr 1'!E802)</f>
        <v>0</v>
      </c>
      <c r="F802" s="17">
        <f>IF('Components Yr 1'!F802=0,0,'Components Yr 1'!F802)</f>
        <v>0</v>
      </c>
      <c r="G802" s="17">
        <f>IF('Components Yr 1'!G802=0,0,'Components Yr 1'!G802)</f>
        <v>0</v>
      </c>
      <c r="H802" s="17">
        <f>IF('Components Yr 1'!H802=0,0,'Components Yr 1'!H802)</f>
        <v>0</v>
      </c>
      <c r="I802" s="17">
        <f>IF('Components Yr 1'!I802=0,0,'Components Yr 1'!I802)</f>
        <v>0</v>
      </c>
      <c r="J802" s="17">
        <f>IF('Components Yr 1'!J802=0,0,'Components Yr 1'!J802)</f>
        <v>0</v>
      </c>
      <c r="K802" s="12"/>
      <c r="L802" s="12"/>
      <c r="M802" s="12"/>
      <c r="N802" s="12"/>
      <c r="O802" s="12"/>
      <c r="P802" s="12"/>
      <c r="Q802" s="17"/>
      <c r="R802" s="18">
        <f>IF(SUMPRODUCT((E802:Q802)*1)=0,0,E802*INDEX(Hours!M:M,MATCH(C802,Hours!$A:$A,0))+F802*INDEX(Hours!B:B,MATCH(C802,Hours!$A:$A,0))+G802*INDEX(Hours!C:C,MATCH(C802,Hours!$A:$A,0))+H802*INDEX(Hours!D:D,MATCH(C802,Hours!$A:$A,0))+I802*INDEX(Hours!E:E,MATCH(C802,Hours!$A:$A,0))+J802*INDEX(Hours!F:F,MATCH(C802,Hours!$A:$A,0)))</f>
        <v>0</v>
      </c>
      <c r="S802" s="19">
        <f t="shared" si="25"/>
        <v>0</v>
      </c>
    </row>
    <row r="803" spans="1:19" x14ac:dyDescent="0.25">
      <c r="A803" s="15" t="str">
        <f>'Bldgs &amp; Rooms'!$A$23</f>
        <v>Main Bldg.</v>
      </c>
      <c r="B803" s="15">
        <f>'Bldgs &amp; Rooms'!$B$23</f>
        <v>0</v>
      </c>
      <c r="C803" s="14" t="str">
        <f>Hours!$A$26</f>
        <v>Bus Duct - Vertical or Horizontal (Per 10' section)</v>
      </c>
      <c r="D803" s="15">
        <f t="shared" si="24"/>
        <v>0</v>
      </c>
      <c r="E803" s="16">
        <f>IF('Components Yr 1'!E803=0,0,'Components Yr 1'!E803)</f>
        <v>0</v>
      </c>
      <c r="F803" s="17">
        <f>IF('Components Yr 1'!F803=0,0,'Components Yr 1'!F803)</f>
        <v>0</v>
      </c>
      <c r="G803" s="17">
        <f>IF('Components Yr 1'!G803=0,0,'Components Yr 1'!G803)</f>
        <v>0</v>
      </c>
      <c r="H803" s="17">
        <f>IF('Components Yr 1'!H803=0,0,'Components Yr 1'!H803)</f>
        <v>0</v>
      </c>
      <c r="I803" s="17">
        <f>IF('Components Yr 1'!I803=0,0,'Components Yr 1'!I803)</f>
        <v>0</v>
      </c>
      <c r="J803" s="17">
        <f>IF('Components Yr 1'!J803=0,0,'Components Yr 1'!J803)</f>
        <v>0</v>
      </c>
      <c r="K803" s="12"/>
      <c r="L803" s="12"/>
      <c r="M803" s="12"/>
      <c r="N803" s="12"/>
      <c r="O803" s="12"/>
      <c r="P803" s="12"/>
      <c r="Q803" s="17"/>
      <c r="R803" s="18">
        <f>IF(SUMPRODUCT((E803:Q803)*1)=0,0,E803*INDEX(Hours!M:M,MATCH(C803,Hours!$A:$A,0))+F803*INDEX(Hours!B:B,MATCH(C803,Hours!$A:$A,0))+G803*INDEX(Hours!C:C,MATCH(C803,Hours!$A:$A,0))+H803*INDEX(Hours!D:D,MATCH(C803,Hours!$A:$A,0))+I803*INDEX(Hours!E:E,MATCH(C803,Hours!$A:$A,0))+J803*INDEX(Hours!F:F,MATCH(C803,Hours!$A:$A,0)))</f>
        <v>0</v>
      </c>
      <c r="S803" s="19">
        <f t="shared" si="25"/>
        <v>0</v>
      </c>
    </row>
    <row r="804" spans="1:19" x14ac:dyDescent="0.25">
      <c r="A804" s="15" t="str">
        <f>'Bldgs &amp; Rooms'!$A$23</f>
        <v>Main Bldg.</v>
      </c>
      <c r="B804" s="15">
        <f>'Bldgs &amp; Rooms'!$B$23</f>
        <v>0</v>
      </c>
      <c r="C804" s="14" t="str">
        <f>Hours!$A$27</f>
        <v>Automatic Transfer Switch (ATS) &gt; 100A</v>
      </c>
      <c r="D804" s="15">
        <f t="shared" si="24"/>
        <v>0</v>
      </c>
      <c r="E804" s="16">
        <f>IF('Components Yr 1'!E804=0,0,'Components Yr 1'!E804)</f>
        <v>0</v>
      </c>
      <c r="F804" s="17">
        <f>IF('Components Yr 1'!F804=0,0,'Components Yr 1'!F804)</f>
        <v>0</v>
      </c>
      <c r="G804" s="17">
        <f>IF('Components Yr 1'!G804=0,0,'Components Yr 1'!G804)</f>
        <v>0</v>
      </c>
      <c r="H804" s="17">
        <f>IF('Components Yr 1'!H804=0,0,'Components Yr 1'!H804)</f>
        <v>0</v>
      </c>
      <c r="I804" s="17">
        <f>IF('Components Yr 1'!I804=0,0,'Components Yr 1'!I804)</f>
        <v>0</v>
      </c>
      <c r="J804" s="17">
        <f>IF('Components Yr 1'!J804=0,0,'Components Yr 1'!J804)</f>
        <v>0</v>
      </c>
      <c r="K804" s="12"/>
      <c r="L804" s="12"/>
      <c r="M804" s="12"/>
      <c r="N804" s="12"/>
      <c r="O804" s="12"/>
      <c r="P804" s="12"/>
      <c r="Q804" s="17"/>
      <c r="R804" s="18">
        <f>IF(SUMPRODUCT((E804:Q804)*1)=0,0,E804*INDEX(Hours!M:M,MATCH(C804,Hours!$A:$A,0))+F804*INDEX(Hours!B:B,MATCH(C804,Hours!$A:$A,0))+G804*INDEX(Hours!C:C,MATCH(C804,Hours!$A:$A,0))+H804*INDEX(Hours!D:D,MATCH(C804,Hours!$A:$A,0))+I804*INDEX(Hours!E:E,MATCH(C804,Hours!$A:$A,0))+J804*INDEX(Hours!F:F,MATCH(C804,Hours!$A:$A,0)))</f>
        <v>0</v>
      </c>
      <c r="S804" s="19">
        <f t="shared" si="25"/>
        <v>0</v>
      </c>
    </row>
    <row r="805" spans="1:19" x14ac:dyDescent="0.25">
      <c r="A805" s="15" t="str">
        <f>'Bldgs &amp; Rooms'!$A$23</f>
        <v>Main Bldg.</v>
      </c>
      <c r="B805" s="15">
        <f>'Bldgs &amp; Rooms'!$B$23</f>
        <v>0</v>
      </c>
      <c r="C805" s="14" t="str">
        <f>Hours!$A$28</f>
        <v>Manual Transfer Switch (MTS) &gt; 100A</v>
      </c>
      <c r="D805" s="15">
        <f t="shared" si="24"/>
        <v>0</v>
      </c>
      <c r="E805" s="16">
        <f>IF('Components Yr 1'!E805=0,0,'Components Yr 1'!E805)</f>
        <v>0</v>
      </c>
      <c r="F805" s="17">
        <f>IF('Components Yr 1'!F805=0,0,'Components Yr 1'!F805)</f>
        <v>0</v>
      </c>
      <c r="G805" s="17">
        <f>IF('Components Yr 1'!G805=0,0,'Components Yr 1'!G805)</f>
        <v>0</v>
      </c>
      <c r="H805" s="17">
        <f>IF('Components Yr 1'!H805=0,0,'Components Yr 1'!H805)</f>
        <v>0</v>
      </c>
      <c r="I805" s="17">
        <f>IF('Components Yr 1'!I805=0,0,'Components Yr 1'!I805)</f>
        <v>0</v>
      </c>
      <c r="J805" s="17">
        <f>IF('Components Yr 1'!J805=0,0,'Components Yr 1'!J805)</f>
        <v>0</v>
      </c>
      <c r="K805" s="12"/>
      <c r="L805" s="12"/>
      <c r="M805" s="12"/>
      <c r="N805" s="12"/>
      <c r="O805" s="12"/>
      <c r="P805" s="12"/>
      <c r="Q805" s="17"/>
      <c r="R805" s="18">
        <f>IF(SUMPRODUCT((E805:Q805)*1)=0,0,E805*INDEX(Hours!M:M,MATCH(C805,Hours!$A:$A,0))+F805*INDEX(Hours!B:B,MATCH(C805,Hours!$A:$A,0))+G805*INDEX(Hours!C:C,MATCH(C805,Hours!$A:$A,0))+H805*INDEX(Hours!D:D,MATCH(C805,Hours!$A:$A,0))+I805*INDEX(Hours!E:E,MATCH(C805,Hours!$A:$A,0))+J805*INDEX(Hours!F:F,MATCH(C805,Hours!$A:$A,0)))</f>
        <v>0</v>
      </c>
      <c r="S805" s="19">
        <f t="shared" si="25"/>
        <v>0</v>
      </c>
    </row>
    <row r="806" spans="1:19" x14ac:dyDescent="0.25">
      <c r="A806" s="15" t="str">
        <f>'Bldgs &amp; Rooms'!$A$23</f>
        <v>Main Bldg.</v>
      </c>
      <c r="B806" s="15">
        <f>'Bldgs &amp; Rooms'!$B$23</f>
        <v>0</v>
      </c>
      <c r="C806" s="14" t="str">
        <f>Hours!$A$29</f>
        <v>Variable Frequency Drives (VFD) &lt; 50 HP</v>
      </c>
      <c r="D806" s="15">
        <f t="shared" si="24"/>
        <v>0</v>
      </c>
      <c r="E806" s="16">
        <f>IF('Components Yr 1'!E806=0,0,'Components Yr 1'!E806)</f>
        <v>0</v>
      </c>
      <c r="F806" s="17">
        <f>IF('Components Yr 1'!F806=0,0,'Components Yr 1'!F806)</f>
        <v>0</v>
      </c>
      <c r="G806" s="17">
        <f>IF('Components Yr 1'!G806=0,0,'Components Yr 1'!G806)</f>
        <v>0</v>
      </c>
      <c r="H806" s="17">
        <f>IF('Components Yr 1'!H806=0,0,'Components Yr 1'!H806)</f>
        <v>0</v>
      </c>
      <c r="I806" s="17">
        <f>IF('Components Yr 1'!I806=0,0,'Components Yr 1'!I806)</f>
        <v>0</v>
      </c>
      <c r="J806" s="17">
        <f>IF('Components Yr 1'!J806=0,0,'Components Yr 1'!J806)</f>
        <v>0</v>
      </c>
      <c r="K806" s="12"/>
      <c r="L806" s="12"/>
      <c r="M806" s="12"/>
      <c r="N806" s="12"/>
      <c r="O806" s="12"/>
      <c r="P806" s="12"/>
      <c r="Q806" s="17"/>
      <c r="R806" s="18">
        <f>IF(SUMPRODUCT((E806:Q806)*1)=0,0,E806*INDEX(Hours!M:M,MATCH(C806,Hours!$A:$A,0))+F806*INDEX(Hours!B:B,MATCH(C806,Hours!$A:$A,0))+G806*INDEX(Hours!C:C,MATCH(C806,Hours!$A:$A,0))+H806*INDEX(Hours!D:D,MATCH(C806,Hours!$A:$A,0))+I806*INDEX(Hours!E:E,MATCH(C806,Hours!$A:$A,0))+J806*INDEX(Hours!F:F,MATCH(C806,Hours!$A:$A,0)))</f>
        <v>0</v>
      </c>
      <c r="S806" s="19">
        <f t="shared" si="25"/>
        <v>0</v>
      </c>
    </row>
    <row r="807" spans="1:19" x14ac:dyDescent="0.25">
      <c r="A807" s="15" t="str">
        <f>'Bldgs &amp; Rooms'!$A$23</f>
        <v>Main Bldg.</v>
      </c>
      <c r="B807" s="15">
        <f>'Bldgs &amp; Rooms'!$B$23</f>
        <v>0</v>
      </c>
      <c r="C807" s="14" t="str">
        <f>Hours!$A$30</f>
        <v>Variable Frequency Drives (VFD) 51-200 HP</v>
      </c>
      <c r="D807" s="15">
        <f t="shared" si="24"/>
        <v>0</v>
      </c>
      <c r="E807" s="16">
        <f>IF('Components Yr 1'!E807=0,0,'Components Yr 1'!E807)</f>
        <v>0</v>
      </c>
      <c r="F807" s="17">
        <f>IF('Components Yr 1'!F807=0,0,'Components Yr 1'!F807)</f>
        <v>0</v>
      </c>
      <c r="G807" s="17">
        <f>IF('Components Yr 1'!G807=0,0,'Components Yr 1'!G807)</f>
        <v>0</v>
      </c>
      <c r="H807" s="17">
        <f>IF('Components Yr 1'!H807=0,0,'Components Yr 1'!H807)</f>
        <v>0</v>
      </c>
      <c r="I807" s="17">
        <f>IF('Components Yr 1'!I807=0,0,'Components Yr 1'!I807)</f>
        <v>0</v>
      </c>
      <c r="J807" s="17">
        <f>IF('Components Yr 1'!J807=0,0,'Components Yr 1'!J807)</f>
        <v>0</v>
      </c>
      <c r="K807" s="12"/>
      <c r="L807" s="12"/>
      <c r="M807" s="12"/>
      <c r="N807" s="12"/>
      <c r="O807" s="12"/>
      <c r="P807" s="12"/>
      <c r="Q807" s="17"/>
      <c r="R807" s="18">
        <f>IF(SUMPRODUCT((E807:Q807)*1)=0,0,E807*INDEX(Hours!M:M,MATCH(C807,Hours!$A:$A,0))+F807*INDEX(Hours!B:B,MATCH(C807,Hours!$A:$A,0))+G807*INDEX(Hours!C:C,MATCH(C807,Hours!$A:$A,0))+H807*INDEX(Hours!D:D,MATCH(C807,Hours!$A:$A,0))+I807*INDEX(Hours!E:E,MATCH(C807,Hours!$A:$A,0))+J807*INDEX(Hours!F:F,MATCH(C807,Hours!$A:$A,0)))</f>
        <v>0</v>
      </c>
      <c r="S807" s="19">
        <f t="shared" si="25"/>
        <v>0</v>
      </c>
    </row>
    <row r="808" spans="1:19" x14ac:dyDescent="0.25">
      <c r="A808" s="15" t="str">
        <f>'Bldgs &amp; Rooms'!$A$23</f>
        <v>Main Bldg.</v>
      </c>
      <c r="B808" s="15">
        <f>'Bldgs &amp; Rooms'!$B$23</f>
        <v>0</v>
      </c>
      <c r="C808" s="14" t="str">
        <f>Hours!$A$31</f>
        <v>Motors &lt; 50 HP</v>
      </c>
      <c r="D808" s="15">
        <f t="shared" si="24"/>
        <v>0</v>
      </c>
      <c r="E808" s="16">
        <f>IF('Components Yr 1'!E808=0,0,'Components Yr 1'!E808)</f>
        <v>0</v>
      </c>
      <c r="F808" s="17">
        <f>IF('Components Yr 1'!F808=0,0,'Components Yr 1'!F808)</f>
        <v>0</v>
      </c>
      <c r="G808" s="17">
        <f>IF('Components Yr 1'!G808=0,0,'Components Yr 1'!G808)</f>
        <v>0</v>
      </c>
      <c r="H808" s="17">
        <f>IF('Components Yr 1'!H808=0,0,'Components Yr 1'!H808)</f>
        <v>0</v>
      </c>
      <c r="I808" s="17">
        <f>IF('Components Yr 1'!I808=0,0,'Components Yr 1'!I808)</f>
        <v>0</v>
      </c>
      <c r="J808" s="17">
        <f>IF('Components Yr 1'!J808=0,0,'Components Yr 1'!J808)</f>
        <v>0</v>
      </c>
      <c r="K808" s="12"/>
      <c r="L808" s="12"/>
      <c r="M808" s="12"/>
      <c r="N808" s="12"/>
      <c r="O808" s="12"/>
      <c r="P808" s="12"/>
      <c r="Q808" s="17"/>
      <c r="R808" s="18">
        <f>IF(SUMPRODUCT((E808:Q808)*1)=0,0,E808*INDEX(Hours!M:M,MATCH(C808,Hours!$A:$A,0))+F808*INDEX(Hours!B:B,MATCH(C808,Hours!$A:$A,0))+G808*INDEX(Hours!C:C,MATCH(C808,Hours!$A:$A,0))+H808*INDEX(Hours!D:D,MATCH(C808,Hours!$A:$A,0))+I808*INDEX(Hours!E:E,MATCH(C808,Hours!$A:$A,0))+J808*INDEX(Hours!F:F,MATCH(C808,Hours!$A:$A,0)))</f>
        <v>0</v>
      </c>
      <c r="S808" s="19">
        <f t="shared" si="25"/>
        <v>0</v>
      </c>
    </row>
    <row r="809" spans="1:19" x14ac:dyDescent="0.25">
      <c r="A809" s="15" t="str">
        <f>'Bldgs &amp; Rooms'!$A$23</f>
        <v>Main Bldg.</v>
      </c>
      <c r="B809" s="15">
        <f>'Bldgs &amp; Rooms'!$B$23</f>
        <v>0</v>
      </c>
      <c r="C809" s="14" t="str">
        <f>Hours!$A$32</f>
        <v>Motors 51-200 HP</v>
      </c>
      <c r="D809" s="15">
        <f t="shared" si="24"/>
        <v>0</v>
      </c>
      <c r="E809" s="16">
        <f>IF('Components Yr 1'!E809=0,0,'Components Yr 1'!E809)</f>
        <v>0</v>
      </c>
      <c r="F809" s="17">
        <f>IF('Components Yr 1'!F809=0,0,'Components Yr 1'!F809)</f>
        <v>0</v>
      </c>
      <c r="G809" s="17">
        <f>IF('Components Yr 1'!G809=0,0,'Components Yr 1'!G809)</f>
        <v>0</v>
      </c>
      <c r="H809" s="17">
        <f>IF('Components Yr 1'!H809=0,0,'Components Yr 1'!H809)</f>
        <v>0</v>
      </c>
      <c r="I809" s="17">
        <f>IF('Components Yr 1'!I809=0,0,'Components Yr 1'!I809)</f>
        <v>0</v>
      </c>
      <c r="J809" s="17">
        <f>IF('Components Yr 1'!J809=0,0,'Components Yr 1'!J809)</f>
        <v>0</v>
      </c>
      <c r="K809" s="12"/>
      <c r="L809" s="12"/>
      <c r="M809" s="12"/>
      <c r="N809" s="12"/>
      <c r="O809" s="12"/>
      <c r="P809" s="12"/>
      <c r="Q809" s="17"/>
      <c r="R809" s="18">
        <f>IF(SUMPRODUCT((E809:Q809)*1)=0,0,E809*INDEX(Hours!M:M,MATCH(C809,Hours!$A:$A,0))+F809*INDEX(Hours!B:B,MATCH(C809,Hours!$A:$A,0))+G809*INDEX(Hours!C:C,MATCH(C809,Hours!$A:$A,0))+H809*INDEX(Hours!D:D,MATCH(C809,Hours!$A:$A,0))+I809*INDEX(Hours!E:E,MATCH(C809,Hours!$A:$A,0))+J809*INDEX(Hours!F:F,MATCH(C809,Hours!$A:$A,0)))</f>
        <v>0</v>
      </c>
      <c r="S809" s="19">
        <f t="shared" si="25"/>
        <v>0</v>
      </c>
    </row>
    <row r="810" spans="1:19" x14ac:dyDescent="0.25">
      <c r="A810" s="15" t="str">
        <f>'Bldgs &amp; Rooms'!$A$23</f>
        <v>Main Bldg.</v>
      </c>
      <c r="B810" s="15">
        <f>'Bldgs &amp; Rooms'!$B$23</f>
        <v>0</v>
      </c>
      <c r="C810" s="14" t="str">
        <f>Hours!$A$33</f>
        <v>Motors 201-500 HP</v>
      </c>
      <c r="D810" s="15">
        <f t="shared" si="24"/>
        <v>0</v>
      </c>
      <c r="E810" s="16">
        <f>IF('Components Yr 1'!E810=0,0,'Components Yr 1'!E810)</f>
        <v>0</v>
      </c>
      <c r="F810" s="17">
        <f>IF('Components Yr 1'!F810=0,0,'Components Yr 1'!F810)</f>
        <v>0</v>
      </c>
      <c r="G810" s="17">
        <f>IF('Components Yr 1'!G810=0,0,'Components Yr 1'!G810)</f>
        <v>0</v>
      </c>
      <c r="H810" s="17">
        <f>IF('Components Yr 1'!H810=0,0,'Components Yr 1'!H810)</f>
        <v>0</v>
      </c>
      <c r="I810" s="17">
        <f>IF('Components Yr 1'!I810=0,0,'Components Yr 1'!I810)</f>
        <v>0</v>
      </c>
      <c r="J810" s="17">
        <f>IF('Components Yr 1'!J810=0,0,'Components Yr 1'!J810)</f>
        <v>0</v>
      </c>
      <c r="K810" s="12"/>
      <c r="L810" s="12"/>
      <c r="M810" s="12"/>
      <c r="N810" s="12"/>
      <c r="O810" s="12"/>
      <c r="P810" s="12"/>
      <c r="Q810" s="17"/>
      <c r="R810" s="18">
        <f>IF(SUMPRODUCT((E810:Q810)*1)=0,0,E810*INDEX(Hours!M:M,MATCH(C810,Hours!$A:$A,0))+F810*INDEX(Hours!B:B,MATCH(C810,Hours!$A:$A,0))+G810*INDEX(Hours!C:C,MATCH(C810,Hours!$A:$A,0))+H810*INDEX(Hours!D:D,MATCH(C810,Hours!$A:$A,0))+I810*INDEX(Hours!E:E,MATCH(C810,Hours!$A:$A,0))+J810*INDEX(Hours!F:F,MATCH(C810,Hours!$A:$A,0)))</f>
        <v>0</v>
      </c>
      <c r="S810" s="19">
        <f t="shared" si="25"/>
        <v>0</v>
      </c>
    </row>
    <row r="811" spans="1:19" x14ac:dyDescent="0.25">
      <c r="A811" s="15" t="str">
        <f>'Bldgs &amp; Rooms'!$A$23</f>
        <v>Main Bldg.</v>
      </c>
      <c r="B811" s="15">
        <f>'Bldgs &amp; Rooms'!$B$23</f>
        <v>0</v>
      </c>
      <c r="C811" s="14" t="str">
        <f>Hours!$A$34</f>
        <v>Compressed Air Equipment</v>
      </c>
      <c r="D811" s="15">
        <f t="shared" si="24"/>
        <v>0</v>
      </c>
      <c r="E811" s="16">
        <f>IF('Components Yr 1'!E811=0,0,'Components Yr 1'!E811)</f>
        <v>0</v>
      </c>
      <c r="F811" s="17">
        <f>IF('Components Yr 1'!F811=0,0,'Components Yr 1'!F811)</f>
        <v>0</v>
      </c>
      <c r="G811" s="17">
        <f>IF('Components Yr 1'!G811=0,0,'Components Yr 1'!G811)</f>
        <v>0</v>
      </c>
      <c r="H811" s="17">
        <f>IF('Components Yr 1'!H811=0,0,'Components Yr 1'!H811)</f>
        <v>0</v>
      </c>
      <c r="I811" s="17">
        <f>IF('Components Yr 1'!I811=0,0,'Components Yr 1'!I811)</f>
        <v>0</v>
      </c>
      <c r="J811" s="17">
        <f>IF('Components Yr 1'!J811=0,0,'Components Yr 1'!J811)</f>
        <v>0</v>
      </c>
      <c r="K811" s="12"/>
      <c r="L811" s="12"/>
      <c r="M811" s="12"/>
      <c r="N811" s="12"/>
      <c r="O811" s="12"/>
      <c r="P811" s="12"/>
      <c r="Q811" s="17"/>
      <c r="R811" s="18">
        <f>IF(SUMPRODUCT((E811:Q811)*1)=0,0,E811*INDEX(Hours!M:M,MATCH(C811,Hours!$A:$A,0))+F811*INDEX(Hours!B:B,MATCH(C811,Hours!$A:$A,0))+G811*INDEX(Hours!C:C,MATCH(C811,Hours!$A:$A,0))+H811*INDEX(Hours!D:D,MATCH(C811,Hours!$A:$A,0))+I811*INDEX(Hours!E:E,MATCH(C811,Hours!$A:$A,0))+J811*INDEX(Hours!F:F,MATCH(C811,Hours!$A:$A,0)))</f>
        <v>0</v>
      </c>
      <c r="S811" s="19">
        <f t="shared" si="25"/>
        <v>0</v>
      </c>
    </row>
    <row r="812" spans="1:19" x14ac:dyDescent="0.25">
      <c r="A812" s="15" t="str">
        <f>'Bldgs &amp; Rooms'!$A$23</f>
        <v>Main Bldg.</v>
      </c>
      <c r="B812" s="15">
        <f>'Bldgs &amp; Rooms'!$B$23</f>
        <v>0</v>
      </c>
      <c r="C812" s="14" t="str">
        <f>Hours!$A$35</f>
        <v>HVAC Equipment (Large)</v>
      </c>
      <c r="D812" s="15">
        <f t="shared" si="24"/>
        <v>0</v>
      </c>
      <c r="E812" s="16">
        <f>IF('Components Yr 1'!E812=0,0,'Components Yr 1'!E812)</f>
        <v>0</v>
      </c>
      <c r="F812" s="17">
        <f>IF('Components Yr 1'!F812=0,0,'Components Yr 1'!F812)</f>
        <v>0</v>
      </c>
      <c r="G812" s="17">
        <f>IF('Components Yr 1'!G812=0,0,'Components Yr 1'!G812)</f>
        <v>0</v>
      </c>
      <c r="H812" s="17">
        <f>IF('Components Yr 1'!H812=0,0,'Components Yr 1'!H812)</f>
        <v>0</v>
      </c>
      <c r="I812" s="17">
        <f>IF('Components Yr 1'!I812=0,0,'Components Yr 1'!I812)</f>
        <v>0</v>
      </c>
      <c r="J812" s="17">
        <f>IF('Components Yr 1'!J812=0,0,'Components Yr 1'!J812)</f>
        <v>0</v>
      </c>
      <c r="K812" s="12"/>
      <c r="L812" s="12"/>
      <c r="M812" s="12"/>
      <c r="N812" s="12"/>
      <c r="O812" s="12"/>
      <c r="P812" s="12"/>
      <c r="Q812" s="17"/>
      <c r="R812" s="18">
        <f>IF(SUMPRODUCT((E812:Q812)*1)=0,0,E812*INDEX(Hours!M:M,MATCH(C812,Hours!$A:$A,0))+F812*INDEX(Hours!B:B,MATCH(C812,Hours!$A:$A,0))+G812*INDEX(Hours!C:C,MATCH(C812,Hours!$A:$A,0))+H812*INDEX(Hours!D:D,MATCH(C812,Hours!$A:$A,0))+I812*INDEX(Hours!E:E,MATCH(C812,Hours!$A:$A,0))+J812*INDEX(Hours!F:F,MATCH(C812,Hours!$A:$A,0)))</f>
        <v>0</v>
      </c>
      <c r="S812" s="19">
        <f t="shared" si="25"/>
        <v>0</v>
      </c>
    </row>
    <row r="813" spans="1:19" x14ac:dyDescent="0.25">
      <c r="A813" s="15" t="str">
        <f>'Bldgs &amp; Rooms'!$A$23</f>
        <v>Main Bldg.</v>
      </c>
      <c r="B813" s="15">
        <f>'Bldgs &amp; Rooms'!$B$23</f>
        <v>0</v>
      </c>
      <c r="C813" s="14" t="str">
        <f>Hours!$A$36</f>
        <v>HVAC Equipment (Small)</v>
      </c>
      <c r="D813" s="15">
        <f t="shared" si="24"/>
        <v>0</v>
      </c>
      <c r="E813" s="16">
        <f>IF('Components Yr 1'!E813=0,0,'Components Yr 1'!E813)</f>
        <v>0</v>
      </c>
      <c r="F813" s="17">
        <f>IF('Components Yr 1'!F813=0,0,'Components Yr 1'!F813)</f>
        <v>0</v>
      </c>
      <c r="G813" s="17">
        <f>IF('Components Yr 1'!G813=0,0,'Components Yr 1'!G813)</f>
        <v>0</v>
      </c>
      <c r="H813" s="17">
        <f>IF('Components Yr 1'!H813=0,0,'Components Yr 1'!H813)</f>
        <v>0</v>
      </c>
      <c r="I813" s="17">
        <f>IF('Components Yr 1'!I813=0,0,'Components Yr 1'!I813)</f>
        <v>0</v>
      </c>
      <c r="J813" s="17">
        <f>IF('Components Yr 1'!J813=0,0,'Components Yr 1'!J813)</f>
        <v>0</v>
      </c>
      <c r="K813" s="12"/>
      <c r="L813" s="12"/>
      <c r="M813" s="12"/>
      <c r="N813" s="12"/>
      <c r="O813" s="12"/>
      <c r="P813" s="12"/>
      <c r="Q813" s="17"/>
      <c r="R813" s="18">
        <f>IF(SUMPRODUCT((E813:Q813)*1)=0,0,E813*INDEX(Hours!M:M,MATCH(C813,Hours!$A:$A,0))+F813*INDEX(Hours!B:B,MATCH(C813,Hours!$A:$A,0))+G813*INDEX(Hours!C:C,MATCH(C813,Hours!$A:$A,0))+H813*INDEX(Hours!D:D,MATCH(C813,Hours!$A:$A,0))+I813*INDEX(Hours!E:E,MATCH(C813,Hours!$A:$A,0))+J813*INDEX(Hours!F:F,MATCH(C813,Hours!$A:$A,0)))</f>
        <v>0</v>
      </c>
      <c r="S813" s="19">
        <f t="shared" si="25"/>
        <v>0</v>
      </c>
    </row>
    <row r="814" spans="1:19" x14ac:dyDescent="0.25">
      <c r="A814" s="15" t="str">
        <f>'Bldgs &amp; Rooms'!$A$23</f>
        <v>Main Bldg.</v>
      </c>
      <c r="B814" s="15">
        <f>'Bldgs &amp; Rooms'!$B$23</f>
        <v>0</v>
      </c>
      <c r="C814" s="14" t="str">
        <f>Hours!$A$37</f>
        <v>Uninterruptible Power Supply (UPS) &lt; 50kVA</v>
      </c>
      <c r="D814" s="15">
        <f t="shared" si="24"/>
        <v>0</v>
      </c>
      <c r="E814" s="16">
        <f>IF('Components Yr 1'!E814=0,0,'Components Yr 1'!E814)</f>
        <v>0</v>
      </c>
      <c r="F814" s="17">
        <f>IF('Components Yr 1'!F814=0,0,'Components Yr 1'!F814)</f>
        <v>0</v>
      </c>
      <c r="G814" s="17">
        <f>IF('Components Yr 1'!G814=0,0,'Components Yr 1'!G814)</f>
        <v>0</v>
      </c>
      <c r="H814" s="17">
        <f>IF('Components Yr 1'!H814=0,0,'Components Yr 1'!H814)</f>
        <v>0</v>
      </c>
      <c r="I814" s="17">
        <f>IF('Components Yr 1'!I814=0,0,'Components Yr 1'!I814)</f>
        <v>0</v>
      </c>
      <c r="J814" s="17">
        <f>IF('Components Yr 1'!J814=0,0,'Components Yr 1'!J814)</f>
        <v>0</v>
      </c>
      <c r="K814" s="12"/>
      <c r="L814" s="12"/>
      <c r="M814" s="12"/>
      <c r="N814" s="12"/>
      <c r="O814" s="12"/>
      <c r="P814" s="12"/>
      <c r="Q814" s="17"/>
      <c r="R814" s="18">
        <f>IF(SUMPRODUCT((E814:Q814)*1)=0,0,E814*INDEX(Hours!M:M,MATCH(C814,Hours!$A:$A,0))+F814*INDEX(Hours!B:B,MATCH(C814,Hours!$A:$A,0))+G814*INDEX(Hours!C:C,MATCH(C814,Hours!$A:$A,0))+H814*INDEX(Hours!D:D,MATCH(C814,Hours!$A:$A,0))+I814*INDEX(Hours!E:E,MATCH(C814,Hours!$A:$A,0))+J814*INDEX(Hours!F:F,MATCH(C814,Hours!$A:$A,0)))</f>
        <v>0</v>
      </c>
      <c r="S814" s="19">
        <f t="shared" si="25"/>
        <v>0</v>
      </c>
    </row>
    <row r="815" spans="1:19" x14ac:dyDescent="0.25">
      <c r="A815" s="15" t="str">
        <f>'Bldgs &amp; Rooms'!$A$23</f>
        <v>Main Bldg.</v>
      </c>
      <c r="B815" s="15">
        <f>'Bldgs &amp; Rooms'!$B$23</f>
        <v>0</v>
      </c>
      <c r="C815" s="14" t="str">
        <f>Hours!$A$38</f>
        <v>Uninterruptible Power Supply (UPS) &gt; 50kVA</v>
      </c>
      <c r="D815" s="15">
        <f t="shared" si="24"/>
        <v>0</v>
      </c>
      <c r="E815" s="16">
        <f>IF('Components Yr 1'!E815=0,0,'Components Yr 1'!E815)</f>
        <v>0</v>
      </c>
      <c r="F815" s="17">
        <f>IF('Components Yr 1'!F815=0,0,'Components Yr 1'!F815)</f>
        <v>0</v>
      </c>
      <c r="G815" s="17">
        <f>IF('Components Yr 1'!G815=0,0,'Components Yr 1'!G815)</f>
        <v>0</v>
      </c>
      <c r="H815" s="17">
        <f>IF('Components Yr 1'!H815=0,0,'Components Yr 1'!H815)</f>
        <v>0</v>
      </c>
      <c r="I815" s="17">
        <f>IF('Components Yr 1'!I815=0,0,'Components Yr 1'!I815)</f>
        <v>0</v>
      </c>
      <c r="J815" s="17">
        <f>IF('Components Yr 1'!J815=0,0,'Components Yr 1'!J815)</f>
        <v>0</v>
      </c>
      <c r="K815" s="12"/>
      <c r="L815" s="12"/>
      <c r="M815" s="12"/>
      <c r="N815" s="12"/>
      <c r="O815" s="12"/>
      <c r="P815" s="12"/>
      <c r="Q815" s="17"/>
      <c r="R815" s="18">
        <f>IF(SUMPRODUCT((E815:Q815)*1)=0,0,E815*INDEX(Hours!M:M,MATCH(C815,Hours!$A:$A,0))+F815*INDEX(Hours!B:B,MATCH(C815,Hours!$A:$A,0))+G815*INDEX(Hours!C:C,MATCH(C815,Hours!$A:$A,0))+H815*INDEX(Hours!D:D,MATCH(C815,Hours!$A:$A,0))+I815*INDEX(Hours!E:E,MATCH(C815,Hours!$A:$A,0))+J815*INDEX(Hours!F:F,MATCH(C815,Hours!$A:$A,0)))</f>
        <v>0</v>
      </c>
      <c r="S815" s="19">
        <f t="shared" si="25"/>
        <v>0</v>
      </c>
    </row>
    <row r="816" spans="1:19" x14ac:dyDescent="0.25">
      <c r="A816" s="11" t="str">
        <f>'Bldgs &amp; Rooms'!$A$24</f>
        <v>Main Bldg.</v>
      </c>
      <c r="B816" s="11">
        <f>'Bldgs &amp; Rooms'!$B$24</f>
        <v>0</v>
      </c>
      <c r="C816" s="10" t="str">
        <f>Hours!$A$2</f>
        <v>Switchgear - Incoming Main Service (Per Section)</v>
      </c>
      <c r="D816" s="11">
        <f t="shared" si="24"/>
        <v>0</v>
      </c>
      <c r="E816" s="16">
        <f>IF('Components Yr 1'!E816=0,0,'Components Yr 1'!E816)</f>
        <v>0</v>
      </c>
      <c r="F816" s="17">
        <f>IF('Components Yr 1'!F816=0,0,'Components Yr 1'!F816)</f>
        <v>0</v>
      </c>
      <c r="G816" s="17">
        <f>IF('Components Yr 1'!G816=0,0,'Components Yr 1'!G816)</f>
        <v>0</v>
      </c>
      <c r="H816" s="17">
        <f>IF('Components Yr 1'!H816=0,0,'Components Yr 1'!H816)</f>
        <v>0</v>
      </c>
      <c r="I816" s="17">
        <f>IF('Components Yr 1'!I816=0,0,'Components Yr 1'!I816)</f>
        <v>0</v>
      </c>
      <c r="J816" s="17">
        <f>IF('Components Yr 1'!J816=0,0,'Components Yr 1'!J816)</f>
        <v>0</v>
      </c>
      <c r="K816" s="17">
        <f>IF('Components Yr 1'!K816=0,0,'Components Yr 1'!K816)</f>
        <v>0</v>
      </c>
      <c r="L816" s="17">
        <f>IF('Components Yr 1'!L816=0,0,'Components Yr 1'!L816)</f>
        <v>0</v>
      </c>
      <c r="M816" s="12"/>
      <c r="N816" s="12"/>
      <c r="O816" s="17">
        <f>IF('Components Yr 1'!O816=0,0,'Components Yr 1'!O816)</f>
        <v>0</v>
      </c>
      <c r="P816" s="12"/>
      <c r="Q816" s="17"/>
      <c r="R816" s="18">
        <f>IF(SUMPRODUCT((E816:Q816)*1)=0,0,E816*INDEX(Hours!M:M,MATCH(C816,Hours!$A:$A,0))+F816*INDEX(Hours!B:B,MATCH(C816,Hours!$A:$A,0))+G816*INDEX(Hours!C:C,MATCH(C816,Hours!$A:$A,0))+H816*INDEX(Hours!D:D,MATCH(C816,Hours!$A:$A,0))+I816*INDEX(Hours!E:E,MATCH(C816,Hours!$A:$A,0))+J816*INDEX(Hours!F:F,MATCH(C816,Hours!$A:$A,0))+K816*INDEX(Hours!G:G,MATCH(C816,Hours!$A:$A,0))+L816*INDEX(Hours!H:H,MATCH(C816,Hours!$A:$A,0))+O816*INDEX(Hours!K:K,MATCH(C816,Hours!$A:$A,0)))</f>
        <v>0</v>
      </c>
      <c r="S816" s="19">
        <f t="shared" si="25"/>
        <v>0</v>
      </c>
    </row>
    <row r="817" spans="1:19" x14ac:dyDescent="0.25">
      <c r="A817" s="11" t="str">
        <f>'Bldgs &amp; Rooms'!$A$24</f>
        <v>Main Bldg.</v>
      </c>
      <c r="B817" s="11">
        <f>'Bldgs &amp; Rooms'!$B$24</f>
        <v>0</v>
      </c>
      <c r="C817" s="10" t="str">
        <f>Hours!$A$3</f>
        <v xml:space="preserve">  Switchgear Insulated Case Breakers (Bus Mounted)</v>
      </c>
      <c r="D817" s="11">
        <f t="shared" si="24"/>
        <v>0</v>
      </c>
      <c r="E817" s="16">
        <f>IF('Components Yr 1'!E817=0,0,'Components Yr 1'!E817)</f>
        <v>0</v>
      </c>
      <c r="F817" s="17">
        <f>IF('Components Yr 1'!F817=0,0,'Components Yr 1'!F817)</f>
        <v>0</v>
      </c>
      <c r="G817" s="17">
        <f>IF('Components Yr 1'!G817=0,0,'Components Yr 1'!G817)</f>
        <v>0</v>
      </c>
      <c r="H817" s="17">
        <f>IF('Components Yr 1'!H817=0,0,'Components Yr 1'!H817)</f>
        <v>0</v>
      </c>
      <c r="I817" s="17">
        <f>IF('Components Yr 1'!I817=0,0,'Components Yr 1'!I817)</f>
        <v>0</v>
      </c>
      <c r="J817" s="17">
        <f>IF('Components Yr 1'!J817=0,0,'Components Yr 1'!J817)</f>
        <v>0</v>
      </c>
      <c r="K817" s="17">
        <f>IF('Components Yr 1'!K817=0,0,'Components Yr 1'!K817)</f>
        <v>0</v>
      </c>
      <c r="L817" s="12"/>
      <c r="M817" s="12"/>
      <c r="N817" s="12"/>
      <c r="O817" s="12"/>
      <c r="P817" s="12"/>
      <c r="Q817" s="17"/>
      <c r="R817" s="18">
        <f>IF(SUMPRODUCT((E817:Q817)*1)=0,0,E817*INDEX(Hours!M:M,MATCH(C817,Hours!$A:$A,0))+F817*INDEX(Hours!B:B,MATCH(C817,Hours!$A:$A,0))+G817*INDEX(Hours!C:C,MATCH(C817,Hours!$A:$A,0))+H817*INDEX(Hours!D:D,MATCH(C817,Hours!$A:$A,0))+I817*INDEX(Hours!E:E,MATCH(C817,Hours!$A:$A,0))+J817*INDEX(Hours!F:F,MATCH(C817,Hours!$A:$A,0))+K817*INDEX(Hours!G:G,MATCH(C817,Hours!$A:$A,0)))</f>
        <v>0</v>
      </c>
      <c r="S817" s="19">
        <f t="shared" si="25"/>
        <v>0</v>
      </c>
    </row>
    <row r="818" spans="1:19" x14ac:dyDescent="0.25">
      <c r="A818" s="11" t="str">
        <f>'Bldgs &amp; Rooms'!$A$24</f>
        <v>Main Bldg.</v>
      </c>
      <c r="B818" s="11">
        <f>'Bldgs &amp; Rooms'!$B$24</f>
        <v>0</v>
      </c>
      <c r="C818" s="10" t="str">
        <f>Hours!$A$4</f>
        <v xml:space="preserve">  SwitchGear Drawout Breakers</v>
      </c>
      <c r="D818" s="11">
        <f t="shared" si="24"/>
        <v>0</v>
      </c>
      <c r="E818" s="16">
        <f>IF('Components Yr 1'!E818=0,0,'Components Yr 1'!E818)</f>
        <v>0</v>
      </c>
      <c r="F818" s="17">
        <f>IF('Components Yr 1'!F818=0,0,'Components Yr 1'!F818)</f>
        <v>0</v>
      </c>
      <c r="G818" s="17">
        <f>IF('Components Yr 1'!G818=0,0,'Components Yr 1'!G818)</f>
        <v>0</v>
      </c>
      <c r="H818" s="17">
        <f>IF('Components Yr 1'!H818=0,0,'Components Yr 1'!H818)</f>
        <v>0</v>
      </c>
      <c r="I818" s="17">
        <f>IF('Components Yr 1'!I818=0,0,'Components Yr 1'!I818)</f>
        <v>0</v>
      </c>
      <c r="J818" s="17">
        <f>IF('Components Yr 1'!J818=0,0,'Components Yr 1'!J818)</f>
        <v>0</v>
      </c>
      <c r="K818" s="12"/>
      <c r="L818" s="17">
        <f>IF('Components Yr 1'!L818=0,0,'Components Yr 1'!L818)</f>
        <v>0</v>
      </c>
      <c r="M818" s="12"/>
      <c r="N818" s="12"/>
      <c r="O818" s="12"/>
      <c r="P818" s="12"/>
      <c r="Q818" s="17"/>
      <c r="R818" s="18">
        <f>IF(SUMPRODUCT((E818:Q818)*1)=0,0,E818*INDEX(Hours!M:M,MATCH(C818,Hours!$A:$A,0))+F818*INDEX(Hours!B:B,MATCH(C818,Hours!$A:$A,0))+G818*INDEX(Hours!C:C,MATCH(C818,Hours!$A:$A,0))+H818*INDEX(Hours!D:D,MATCH(C818,Hours!$A:$A,0))+I818*INDEX(Hours!E:E,MATCH(C818,Hours!$A:$A,0))+J818*INDEX(Hours!F:F,MATCH(C818,Hours!$A:$A,0))+L818*INDEX(Hours!H:H,MATCH(C818,Hours!$A:$A,0)))</f>
        <v>0</v>
      </c>
      <c r="S818" s="19">
        <f t="shared" si="25"/>
        <v>0</v>
      </c>
    </row>
    <row r="819" spans="1:19" x14ac:dyDescent="0.25">
      <c r="A819" s="11" t="str">
        <f>'Bldgs &amp; Rooms'!$A$24</f>
        <v>Main Bldg.</v>
      </c>
      <c r="B819" s="11">
        <f>'Bldgs &amp; Rooms'!$B$24</f>
        <v>0</v>
      </c>
      <c r="C819" s="10" t="str">
        <f>Hours!$A$5</f>
        <v>Distribution Switchboard Multi Cover (Per Section)</v>
      </c>
      <c r="D819" s="11">
        <f t="shared" si="24"/>
        <v>0</v>
      </c>
      <c r="E819" s="16">
        <f>IF('Components Yr 1'!E819=0,0,'Components Yr 1'!E819)</f>
        <v>0</v>
      </c>
      <c r="F819" s="17">
        <f>IF('Components Yr 1'!F819=0,0,'Components Yr 1'!F819)</f>
        <v>0</v>
      </c>
      <c r="G819" s="17">
        <f>IF('Components Yr 1'!G819=0,0,'Components Yr 1'!G819)</f>
        <v>0</v>
      </c>
      <c r="H819" s="17">
        <f>IF('Components Yr 1'!H819=0,0,'Components Yr 1'!H819)</f>
        <v>0</v>
      </c>
      <c r="I819" s="17">
        <f>IF('Components Yr 1'!I819=0,0,'Components Yr 1'!I819)</f>
        <v>0</v>
      </c>
      <c r="J819" s="17">
        <f>IF('Components Yr 1'!J819=0,0,'Components Yr 1'!J819)</f>
        <v>0</v>
      </c>
      <c r="K819" s="17">
        <f>IF('Components Yr 1'!K819=0,0,'Components Yr 1'!K819)</f>
        <v>0</v>
      </c>
      <c r="L819" s="12"/>
      <c r="M819" s="12"/>
      <c r="N819" s="12"/>
      <c r="O819" s="17">
        <f>IF('Components Yr 1'!O819=0,0,'Components Yr 1'!O819)</f>
        <v>0</v>
      </c>
      <c r="P819" s="12"/>
      <c r="Q819" s="17"/>
      <c r="R819" s="18">
        <f>IF(SUMPRODUCT((E819:Q819)*1)=0,0,E819*INDEX(Hours!M:M,MATCH(C819,Hours!$A:$A,0))+F819*INDEX(Hours!B:B,MATCH(C819,Hours!$A:$A,0))+G819*INDEX(Hours!C:C,MATCH(C819,Hours!$A:$A,0))+H819*INDEX(Hours!D:D,MATCH(C819,Hours!$A:$A,0))+I819*INDEX(Hours!E:E,MATCH(C819,Hours!$A:$A,0))+J819*INDEX(Hours!F:F,MATCH(C819,Hours!$A:$A,0))+K819*INDEX(Hours!G:G,MATCH(C819,Hours!$A:$A,0))+O819*INDEX(Hours!K:K,MATCH(C819,Hours!$A:$A,0)))</f>
        <v>0</v>
      </c>
      <c r="S819" s="19">
        <f t="shared" si="25"/>
        <v>0</v>
      </c>
    </row>
    <row r="820" spans="1:19" x14ac:dyDescent="0.25">
      <c r="A820" s="11" t="str">
        <f>'Bldgs &amp; Rooms'!$A$24</f>
        <v>Main Bldg.</v>
      </c>
      <c r="B820" s="11">
        <f>'Bldgs &amp; Rooms'!$B$24</f>
        <v>0</v>
      </c>
      <c r="C820" s="10" t="str">
        <f>Hours!$A$6</f>
        <v xml:space="preserve">  Switchboard Disconnects</v>
      </c>
      <c r="D820" s="11">
        <f t="shared" si="24"/>
        <v>0</v>
      </c>
      <c r="E820" s="16">
        <f>IF('Components Yr 1'!E820=0,0,'Components Yr 1'!E820)</f>
        <v>0</v>
      </c>
      <c r="F820" s="17">
        <f>IF('Components Yr 1'!F820=0,0,'Components Yr 1'!F820)</f>
        <v>0</v>
      </c>
      <c r="G820" s="17">
        <f>IF('Components Yr 1'!G820=0,0,'Components Yr 1'!G820)</f>
        <v>0</v>
      </c>
      <c r="H820" s="17">
        <f>IF('Components Yr 1'!H820=0,0,'Components Yr 1'!H820)</f>
        <v>0</v>
      </c>
      <c r="I820" s="17">
        <f>IF('Components Yr 1'!I820=0,0,'Components Yr 1'!I820)</f>
        <v>0</v>
      </c>
      <c r="J820" s="17">
        <f>IF('Components Yr 1'!J820=0,0,'Components Yr 1'!J820)</f>
        <v>0</v>
      </c>
      <c r="K820" s="12"/>
      <c r="L820" s="12"/>
      <c r="M820" s="12"/>
      <c r="N820" s="12"/>
      <c r="O820" s="12"/>
      <c r="P820" s="12"/>
      <c r="Q820" s="17"/>
      <c r="R820" s="18">
        <f>IF(SUMPRODUCT((E820:Q820)*1)=0,0,E820*INDEX(Hours!M:M,MATCH(C820,Hours!$A:$A,0))+F820*INDEX(Hours!B:B,MATCH(C820,Hours!$A:$A,0))+G820*INDEX(Hours!C:C,MATCH(C820,Hours!$A:$A,0))+H820*INDEX(Hours!D:D,MATCH(C820,Hours!$A:$A,0))+I820*INDEX(Hours!E:E,MATCH(C820,Hours!$A:$A,0))+J820*INDEX(Hours!F:F,MATCH(C820,Hours!$A:$A,0)))</f>
        <v>0</v>
      </c>
      <c r="S820" s="19">
        <f t="shared" si="25"/>
        <v>0</v>
      </c>
    </row>
    <row r="821" spans="1:19" x14ac:dyDescent="0.25">
      <c r="A821" s="11" t="str">
        <f>'Bldgs &amp; Rooms'!$A$24</f>
        <v>Main Bldg.</v>
      </c>
      <c r="B821" s="11">
        <f>'Bldgs &amp; Rooms'!$B$24</f>
        <v>0</v>
      </c>
      <c r="C821" s="10" t="str">
        <f>Hours!$A$7</f>
        <v xml:space="preserve">  Switchboard Molded Case Breakers</v>
      </c>
      <c r="D821" s="11">
        <f t="shared" si="24"/>
        <v>0</v>
      </c>
      <c r="E821" s="16">
        <f>IF('Components Yr 1'!E821=0,0,'Components Yr 1'!E821)</f>
        <v>0</v>
      </c>
      <c r="F821" s="17">
        <f>IF('Components Yr 1'!F821=0,0,'Components Yr 1'!F821)</f>
        <v>0</v>
      </c>
      <c r="G821" s="17">
        <f>IF('Components Yr 1'!G821=0,0,'Components Yr 1'!G821)</f>
        <v>0</v>
      </c>
      <c r="H821" s="17">
        <f>IF('Components Yr 1'!H821=0,0,'Components Yr 1'!H821)</f>
        <v>0</v>
      </c>
      <c r="I821" s="17">
        <f>IF('Components Yr 1'!I821=0,0,'Components Yr 1'!I821)</f>
        <v>0</v>
      </c>
      <c r="J821" s="17">
        <f>IF('Components Yr 1'!J821=0,0,'Components Yr 1'!J821)</f>
        <v>0</v>
      </c>
      <c r="K821" s="17">
        <f>IF('Components Yr 1'!K821=0,0,'Components Yr 1'!K821)</f>
        <v>0</v>
      </c>
      <c r="L821" s="12"/>
      <c r="M821" s="12"/>
      <c r="N821" s="12"/>
      <c r="O821" s="12"/>
      <c r="P821" s="12"/>
      <c r="Q821" s="17"/>
      <c r="R821" s="18">
        <f>IF(SUMPRODUCT((E821:Q821)*1)=0,0,E821*INDEX(Hours!M:M,MATCH(C821,Hours!$A:$A,0))+F821*INDEX(Hours!B:B,MATCH(C821,Hours!$A:$A,0))+G821*INDEX(Hours!C:C,MATCH(C821,Hours!$A:$A,0))+H821*INDEX(Hours!D:D,MATCH(C821,Hours!$A:$A,0))+I821*INDEX(Hours!E:E,MATCH(C821,Hours!$A:$A,0))+J821*INDEX(Hours!F:F,MATCH(C821,Hours!$A:$A,0))+K821*INDEX(Hours!G:G,MATCH(C821,Hours!$A:$A,0)))</f>
        <v>0</v>
      </c>
      <c r="S821" s="19">
        <f t="shared" si="25"/>
        <v>0</v>
      </c>
    </row>
    <row r="822" spans="1:19" x14ac:dyDescent="0.25">
      <c r="A822" s="11" t="str">
        <f>'Bldgs &amp; Rooms'!$A$24</f>
        <v>Main Bldg.</v>
      </c>
      <c r="B822" s="11">
        <f>'Bldgs &amp; Rooms'!$B$24</f>
        <v>0</v>
      </c>
      <c r="C822" s="10" t="str">
        <f>Hours!$A$8</f>
        <v>Panelboard-Single Cover &gt; 400A (Distribution Panel)</v>
      </c>
      <c r="D822" s="11">
        <f t="shared" si="24"/>
        <v>0</v>
      </c>
      <c r="E822" s="16">
        <f>IF('Components Yr 1'!E822=0,0,'Components Yr 1'!E822)</f>
        <v>0</v>
      </c>
      <c r="F822" s="17">
        <f>IF('Components Yr 1'!F822=0,0,'Components Yr 1'!F822)</f>
        <v>0</v>
      </c>
      <c r="G822" s="17">
        <f>IF('Components Yr 1'!G822=0,0,'Components Yr 1'!G822)</f>
        <v>0</v>
      </c>
      <c r="H822" s="17">
        <f>IF('Components Yr 1'!H822=0,0,'Components Yr 1'!H822)</f>
        <v>0</v>
      </c>
      <c r="I822" s="17">
        <f>IF('Components Yr 1'!I822=0,0,'Components Yr 1'!I822)</f>
        <v>0</v>
      </c>
      <c r="J822" s="17">
        <f>IF('Components Yr 1'!J822=0,0,'Components Yr 1'!J822)</f>
        <v>0</v>
      </c>
      <c r="K822" s="17">
        <f>IF('Components Yr 1'!K822=0,0,'Components Yr 1'!K822)</f>
        <v>0</v>
      </c>
      <c r="L822" s="12"/>
      <c r="M822" s="12"/>
      <c r="N822" s="12"/>
      <c r="O822" s="17">
        <f>IF('Components Yr 1'!O822=0,0,'Components Yr 1'!O822)</f>
        <v>0</v>
      </c>
      <c r="P822" s="12"/>
      <c r="Q822" s="17"/>
      <c r="R822" s="18">
        <f>IF(SUMPRODUCT((E822:Q822)*1)=0,0,E822*INDEX(Hours!M:M,MATCH(C822,Hours!$A:$A,0))+F822*INDEX(Hours!B:B,MATCH(C822,Hours!$A:$A,0))+G822*INDEX(Hours!C:C,MATCH(C822,Hours!$A:$A,0))+H822*INDEX(Hours!D:D,MATCH(C822,Hours!$A:$A,0))+I822*INDEX(Hours!E:E,MATCH(C822,Hours!$A:$A,0))+J822*INDEX(Hours!F:F,MATCH(C822,Hours!$A:$A,0))+K822*INDEX(Hours!G:G,MATCH(C822,Hours!$A:$A,0))+O822*INDEX(Hours!K:K,MATCH(C822,Hours!$A:$A,0)))</f>
        <v>0</v>
      </c>
      <c r="S822" s="19">
        <f t="shared" si="25"/>
        <v>0</v>
      </c>
    </row>
    <row r="823" spans="1:19" x14ac:dyDescent="0.25">
      <c r="A823" s="11" t="str">
        <f>'Bldgs &amp; Rooms'!$A$24</f>
        <v>Main Bldg.</v>
      </c>
      <c r="B823" s="11">
        <f>'Bldgs &amp; Rooms'!$B$24</f>
        <v>0</v>
      </c>
      <c r="C823" s="10" t="str">
        <f>Hours!$A$9</f>
        <v>Panelboard-Single Cover &lt; 400A (Branch Ckt Panel)</v>
      </c>
      <c r="D823" s="11">
        <f t="shared" si="24"/>
        <v>0</v>
      </c>
      <c r="E823" s="16">
        <f>IF('Components Yr 1'!E823=0,0,'Components Yr 1'!E823)</f>
        <v>0</v>
      </c>
      <c r="F823" s="17">
        <f>IF('Components Yr 1'!F823=0,0,'Components Yr 1'!F823)</f>
        <v>0</v>
      </c>
      <c r="G823" s="17">
        <f>IF('Components Yr 1'!G823=0,0,'Components Yr 1'!G823)</f>
        <v>0</v>
      </c>
      <c r="H823" s="17">
        <f>IF('Components Yr 1'!H823=0,0,'Components Yr 1'!H823)</f>
        <v>0</v>
      </c>
      <c r="I823" s="17">
        <f>IF('Components Yr 1'!I823=0,0,'Components Yr 1'!I823)</f>
        <v>0</v>
      </c>
      <c r="J823" s="17">
        <f>IF('Components Yr 1'!J823=0,0,'Components Yr 1'!J823)</f>
        <v>0</v>
      </c>
      <c r="K823" s="12"/>
      <c r="L823" s="12"/>
      <c r="M823" s="12"/>
      <c r="N823" s="12"/>
      <c r="O823" s="17">
        <f>IF('Components Yr 1'!O823=0,0,'Components Yr 1'!O823)</f>
        <v>0</v>
      </c>
      <c r="P823" s="12"/>
      <c r="Q823" s="17"/>
      <c r="R823" s="18">
        <f>IF(SUMPRODUCT((E823:Q823)*1)=0,0,E823*INDEX(Hours!M:M,MATCH(C823,Hours!$A:$A,0))+F823*INDEX(Hours!B:B,MATCH(C823,Hours!$A:$A,0))+G823*INDEX(Hours!C:C,MATCH(C823,Hours!$A:$A,0))+H823*INDEX(Hours!D:D,MATCH(C823,Hours!$A:$A,0))+I823*INDEX(Hours!E:E,MATCH(C823,Hours!$A:$A,0))+J823*INDEX(Hours!F:F,MATCH(C823,Hours!$A:$A,0))+O823*INDEX(Hours!K:K,MATCH(C823,Hours!$A:$A,0)))</f>
        <v>0</v>
      </c>
      <c r="S823" s="19">
        <f t="shared" si="25"/>
        <v>0</v>
      </c>
    </row>
    <row r="824" spans="1:19" x14ac:dyDescent="0.25">
      <c r="A824" s="11" t="str">
        <f>'Bldgs &amp; Rooms'!$A$24</f>
        <v>Main Bldg.</v>
      </c>
      <c r="B824" s="11">
        <f>'Bldgs &amp; Rooms'!$B$24</f>
        <v>0</v>
      </c>
      <c r="C824" s="10" t="str">
        <f>Hours!$A$10</f>
        <v>Motor Control Center (MCC-Per Vertical Section)</v>
      </c>
      <c r="D824" s="11">
        <f t="shared" si="24"/>
        <v>0</v>
      </c>
      <c r="E824" s="16">
        <f>IF('Components Yr 1'!E824=0,0,'Components Yr 1'!E824)</f>
        <v>0</v>
      </c>
      <c r="F824" s="17">
        <f>IF('Components Yr 1'!F824=0,0,'Components Yr 1'!F824)</f>
        <v>0</v>
      </c>
      <c r="G824" s="17">
        <f>IF('Components Yr 1'!G824=0,0,'Components Yr 1'!G824)</f>
        <v>0</v>
      </c>
      <c r="H824" s="17">
        <f>IF('Components Yr 1'!H824=0,0,'Components Yr 1'!H824)</f>
        <v>0</v>
      </c>
      <c r="I824" s="17">
        <f>IF('Components Yr 1'!I824=0,0,'Components Yr 1'!I824)</f>
        <v>0</v>
      </c>
      <c r="J824" s="17">
        <f>IF('Components Yr 1'!J824=0,0,'Components Yr 1'!J824)</f>
        <v>0</v>
      </c>
      <c r="K824" s="12"/>
      <c r="L824" s="12"/>
      <c r="M824" s="12"/>
      <c r="N824" s="12"/>
      <c r="O824" s="17">
        <f>IF('Components Yr 1'!O824=0,0,'Components Yr 1'!O824)</f>
        <v>0</v>
      </c>
      <c r="P824" s="12"/>
      <c r="Q824" s="17"/>
      <c r="R824" s="18">
        <f>IF(SUMPRODUCT((E824:Q824)*1)=0,0,E824*INDEX(Hours!M:M,MATCH(C824,Hours!$A:$A,0))+F824*INDEX(Hours!B:B,MATCH(C824,Hours!$A:$A,0))+G824*INDEX(Hours!C:C,MATCH(C824,Hours!$A:$A,0))+H824*INDEX(Hours!D:D,MATCH(C824,Hours!$A:$A,0))+I824*INDEX(Hours!E:E,MATCH(C824,Hours!$A:$A,0))+J824*INDEX(Hours!F:F,MATCH(C824,Hours!$A:$A,0))+O824*INDEX(Hours!K:K,MATCH(C824,Hours!$A:$A,0)))</f>
        <v>0</v>
      </c>
      <c r="S824" s="19">
        <f t="shared" si="25"/>
        <v>0</v>
      </c>
    </row>
    <row r="825" spans="1:19" x14ac:dyDescent="0.25">
      <c r="A825" s="11" t="str">
        <f>'Bldgs &amp; Rooms'!$A$24</f>
        <v>Main Bldg.</v>
      </c>
      <c r="B825" s="11">
        <f>'Bldgs &amp; Rooms'!$B$24</f>
        <v>0</v>
      </c>
      <c r="C825" s="10" t="str">
        <f>Hours!$A$11</f>
        <v xml:space="preserve">  MCC: Combination Motor Starters</v>
      </c>
      <c r="D825" s="11">
        <f t="shared" si="24"/>
        <v>0</v>
      </c>
      <c r="E825" s="16">
        <f>IF('Components Yr 1'!E825=0,0,'Components Yr 1'!E825)</f>
        <v>0</v>
      </c>
      <c r="F825" s="17">
        <f>IF('Components Yr 1'!F825=0,0,'Components Yr 1'!F825)</f>
        <v>0</v>
      </c>
      <c r="G825" s="17">
        <f>IF('Components Yr 1'!G825=0,0,'Components Yr 1'!G825)</f>
        <v>0</v>
      </c>
      <c r="H825" s="17">
        <f>IF('Components Yr 1'!H825=0,0,'Components Yr 1'!H825)</f>
        <v>0</v>
      </c>
      <c r="I825" s="17">
        <f>IF('Components Yr 1'!I825=0,0,'Components Yr 1'!I825)</f>
        <v>0</v>
      </c>
      <c r="J825" s="17">
        <f>IF('Components Yr 1'!J825=0,0,'Components Yr 1'!J825)</f>
        <v>0</v>
      </c>
      <c r="K825" s="17">
        <f>IF('Components Yr 1'!K825=0,0,'Components Yr 1'!K825)</f>
        <v>0</v>
      </c>
      <c r="L825" s="12"/>
      <c r="M825" s="12"/>
      <c r="N825" s="12"/>
      <c r="O825" s="17">
        <f>IF('Components Yr 1'!O825=0,0,'Components Yr 1'!O825)</f>
        <v>0</v>
      </c>
      <c r="P825" s="12"/>
      <c r="Q825" s="17"/>
      <c r="R825" s="18">
        <f>IF(SUMPRODUCT((E825:Q825)*1)=0,0,E825*INDEX(Hours!M:M,MATCH(C825,Hours!$A:$A,0))+F825*INDEX(Hours!B:B,MATCH(C825,Hours!$A:$A,0))+G825*INDEX(Hours!C:C,MATCH(C825,Hours!$A:$A,0))+H825*INDEX(Hours!D:D,MATCH(C825,Hours!$A:$A,0))+I825*INDEX(Hours!E:E,MATCH(C825,Hours!$A:$A,0))+J825*INDEX(Hours!F:F,MATCH(C825,Hours!$A:$A,0))+K825*INDEX(Hours!G:G,MATCH(C825,Hours!$A:$A,0))+O825*INDEX(Hours!K:K,MATCH(C825,Hours!$A:$A,0)))</f>
        <v>0</v>
      </c>
      <c r="S825" s="19">
        <f t="shared" si="25"/>
        <v>0</v>
      </c>
    </row>
    <row r="826" spans="1:19" x14ac:dyDescent="0.25">
      <c r="A826" s="11" t="str">
        <f>'Bldgs &amp; Rooms'!$A$24</f>
        <v>Main Bldg.</v>
      </c>
      <c r="B826" s="11">
        <f>'Bldgs &amp; Rooms'!$B$24</f>
        <v>0</v>
      </c>
      <c r="C826" s="10" t="str">
        <f>Hours!$A$12</f>
        <v xml:space="preserve">  MCC: Molded Case Breaker</v>
      </c>
      <c r="D826" s="11">
        <f t="shared" si="24"/>
        <v>0</v>
      </c>
      <c r="E826" s="16">
        <f>IF('Components Yr 1'!E826=0,0,'Components Yr 1'!E826)</f>
        <v>0</v>
      </c>
      <c r="F826" s="17">
        <f>IF('Components Yr 1'!F826=0,0,'Components Yr 1'!F826)</f>
        <v>0</v>
      </c>
      <c r="G826" s="17">
        <f>IF('Components Yr 1'!G826=0,0,'Components Yr 1'!G826)</f>
        <v>0</v>
      </c>
      <c r="H826" s="17">
        <f>IF('Components Yr 1'!H826=0,0,'Components Yr 1'!H826)</f>
        <v>0</v>
      </c>
      <c r="I826" s="17">
        <f>IF('Components Yr 1'!I826=0,0,'Components Yr 1'!I826)</f>
        <v>0</v>
      </c>
      <c r="J826" s="17">
        <f>IF('Components Yr 1'!J826=0,0,'Components Yr 1'!J826)</f>
        <v>0</v>
      </c>
      <c r="K826" s="17">
        <f>IF('Components Yr 1'!K826=0,0,'Components Yr 1'!K826)</f>
        <v>0</v>
      </c>
      <c r="L826" s="12"/>
      <c r="M826" s="12"/>
      <c r="N826" s="12"/>
      <c r="O826" s="12"/>
      <c r="P826" s="12"/>
      <c r="Q826" s="17"/>
      <c r="R826" s="18">
        <f>IF(SUMPRODUCT((E826:Q826)*1)=0,0,E826*INDEX(Hours!M:M,MATCH(C826,Hours!$A:$A,0))+F826*INDEX(Hours!B:B,MATCH(C826,Hours!$A:$A,0))+G826*INDEX(Hours!C:C,MATCH(C826,Hours!$A:$A,0))+H826*INDEX(Hours!D:D,MATCH(C826,Hours!$A:$A,0))+I826*INDEX(Hours!E:E,MATCH(C826,Hours!$A:$A,0))+J826*INDEX(Hours!F:F,MATCH(C826,Hours!$A:$A,0))+K826*INDEX(Hours!G:G,MATCH(C826,Hours!$A:$A,0)))</f>
        <v>0</v>
      </c>
      <c r="S826" s="19">
        <f t="shared" si="25"/>
        <v>0</v>
      </c>
    </row>
    <row r="827" spans="1:19" x14ac:dyDescent="0.25">
      <c r="A827" s="11" t="str">
        <f>'Bldgs &amp; Rooms'!$A$24</f>
        <v>Main Bldg.</v>
      </c>
      <c r="B827" s="11">
        <f>'Bldgs &amp; Rooms'!$B$24</f>
        <v>0</v>
      </c>
      <c r="C827" s="10" t="str">
        <f>Hours!$A$13</f>
        <v xml:space="preserve">  MCC: Individual Disconnect Switch</v>
      </c>
      <c r="D827" s="11">
        <f t="shared" si="24"/>
        <v>0</v>
      </c>
      <c r="E827" s="16">
        <f>IF('Components Yr 1'!E827=0,0,'Components Yr 1'!E827)</f>
        <v>0</v>
      </c>
      <c r="F827" s="17">
        <f>IF('Components Yr 1'!F827=0,0,'Components Yr 1'!F827)</f>
        <v>0</v>
      </c>
      <c r="G827" s="17">
        <f>IF('Components Yr 1'!G827=0,0,'Components Yr 1'!G827)</f>
        <v>0</v>
      </c>
      <c r="H827" s="17">
        <f>IF('Components Yr 1'!H827=0,0,'Components Yr 1'!H827)</f>
        <v>0</v>
      </c>
      <c r="I827" s="17">
        <f>IF('Components Yr 1'!I827=0,0,'Components Yr 1'!I827)</f>
        <v>0</v>
      </c>
      <c r="J827" s="17">
        <f>IF('Components Yr 1'!J827=0,0,'Components Yr 1'!J827)</f>
        <v>0</v>
      </c>
      <c r="K827" s="12"/>
      <c r="L827" s="12"/>
      <c r="M827" s="12"/>
      <c r="N827" s="12"/>
      <c r="O827" s="12"/>
      <c r="P827" s="12"/>
      <c r="Q827" s="17"/>
      <c r="R827" s="18">
        <f>IF(SUMPRODUCT((E827:Q827)*1)=0,0,E827*INDEX(Hours!M:M,MATCH(C827,Hours!$A:$A,0))+F827*INDEX(Hours!B:B,MATCH(C827,Hours!$A:$A,0))+G827*INDEX(Hours!C:C,MATCH(C827,Hours!$A:$A,0))+H827*INDEX(Hours!D:D,MATCH(C827,Hours!$A:$A,0))+I827*INDEX(Hours!E:E,MATCH(C827,Hours!$A:$A,0))+J827*INDEX(Hours!F:F,MATCH(C827,Hours!$A:$A,0)))</f>
        <v>0</v>
      </c>
      <c r="S827" s="19">
        <f t="shared" si="25"/>
        <v>0</v>
      </c>
    </row>
    <row r="828" spans="1:19" x14ac:dyDescent="0.25">
      <c r="A828" s="11" t="str">
        <f>'Bldgs &amp; Rooms'!$A$24</f>
        <v>Main Bldg.</v>
      </c>
      <c r="B828" s="11">
        <f>'Bldgs &amp; Rooms'!$B$24</f>
        <v>0</v>
      </c>
      <c r="C828" s="10" t="str">
        <f>Hours!$A$14</f>
        <v>Motor Control Panel (MCP)</v>
      </c>
      <c r="D828" s="11">
        <f t="shared" si="24"/>
        <v>0</v>
      </c>
      <c r="E828" s="16">
        <f>IF('Components Yr 1'!E828=0,0,'Components Yr 1'!E828)</f>
        <v>0</v>
      </c>
      <c r="F828" s="17">
        <f>IF('Components Yr 1'!F828=0,0,'Components Yr 1'!F828)</f>
        <v>0</v>
      </c>
      <c r="G828" s="17">
        <f>IF('Components Yr 1'!G828=0,0,'Components Yr 1'!G828)</f>
        <v>0</v>
      </c>
      <c r="H828" s="17">
        <f>IF('Components Yr 1'!H828=0,0,'Components Yr 1'!H828)</f>
        <v>0</v>
      </c>
      <c r="I828" s="17">
        <f>IF('Components Yr 1'!I828=0,0,'Components Yr 1'!I828)</f>
        <v>0</v>
      </c>
      <c r="J828" s="17">
        <f>IF('Components Yr 1'!J828=0,0,'Components Yr 1'!J828)</f>
        <v>0</v>
      </c>
      <c r="K828" s="12"/>
      <c r="L828" s="12"/>
      <c r="M828" s="12"/>
      <c r="N828" s="12"/>
      <c r="O828" s="17">
        <f>IF('Components Yr 1'!O828=0,0,'Components Yr 1'!O828)</f>
        <v>0</v>
      </c>
      <c r="P828" s="12"/>
      <c r="Q828" s="17"/>
      <c r="R828" s="18">
        <f>IF(SUMPRODUCT((E828:Q828)*1)=0,0,E828*INDEX(Hours!M:M,MATCH(C828,Hours!$A:$A,0))+F828*INDEX(Hours!B:B,MATCH(C828,Hours!$A:$A,0))+G828*INDEX(Hours!C:C,MATCH(C828,Hours!$A:$A,0))+H828*INDEX(Hours!D:D,MATCH(C828,Hours!$A:$A,0))+I828*INDEX(Hours!E:E,MATCH(C828,Hours!$A:$A,0))+J828*INDEX(Hours!F:F,MATCH(C828,Hours!$A:$A,0))+O828*INDEX(Hours!K:K,MATCH(C828,Hours!$A:$A,0)))</f>
        <v>0</v>
      </c>
      <c r="S828" s="19">
        <f t="shared" si="25"/>
        <v>0</v>
      </c>
    </row>
    <row r="829" spans="1:19" x14ac:dyDescent="0.25">
      <c r="A829" s="11" t="str">
        <f>'Bldgs &amp; Rooms'!$A$24</f>
        <v>Main Bldg.</v>
      </c>
      <c r="B829" s="11">
        <f>'Bldgs &amp; Rooms'!$B$24</f>
        <v>0</v>
      </c>
      <c r="C829" s="10" t="str">
        <f>Hours!$A$15</f>
        <v>VFD Motor Control Panel (VFD-MCP)</v>
      </c>
      <c r="D829" s="11">
        <f t="shared" si="24"/>
        <v>0</v>
      </c>
      <c r="E829" s="16">
        <f>IF('Components Yr 1'!E829=0,0,'Components Yr 1'!E829)</f>
        <v>0</v>
      </c>
      <c r="F829" s="17">
        <f>IF('Components Yr 1'!F829=0,0,'Components Yr 1'!F829)</f>
        <v>0</v>
      </c>
      <c r="G829" s="17">
        <f>IF('Components Yr 1'!G829=0,0,'Components Yr 1'!G829)</f>
        <v>0</v>
      </c>
      <c r="H829" s="17">
        <f>IF('Components Yr 1'!H829=0,0,'Components Yr 1'!H829)</f>
        <v>0</v>
      </c>
      <c r="I829" s="17">
        <f>IF('Components Yr 1'!I829=0,0,'Components Yr 1'!I829)</f>
        <v>0</v>
      </c>
      <c r="J829" s="17">
        <f>IF('Components Yr 1'!J829=0,0,'Components Yr 1'!J829)</f>
        <v>0</v>
      </c>
      <c r="K829" s="12"/>
      <c r="L829" s="12"/>
      <c r="M829" s="12"/>
      <c r="N829" s="12"/>
      <c r="O829" s="17">
        <f>IF('Components Yr 1'!O829=0,0,'Components Yr 1'!O829)</f>
        <v>0</v>
      </c>
      <c r="P829" s="12"/>
      <c r="Q829" s="17"/>
      <c r="R829" s="18">
        <f>IF(SUMPRODUCT((E829:Q829)*1)=0,0,E829*INDEX(Hours!M:M,MATCH(C829,Hours!$A:$A,0))+F829*INDEX(Hours!B:B,MATCH(C829,Hours!$A:$A,0))+G829*INDEX(Hours!C:C,MATCH(C829,Hours!$A:$A,0))+H829*INDEX(Hours!D:D,MATCH(C829,Hours!$A:$A,0))+I829*INDEX(Hours!E:E,MATCH(C829,Hours!$A:$A,0))+J829*INDEX(Hours!F:F,MATCH(C829,Hours!$A:$A,0))+O829*INDEX(Hours!K:K,MATCH(C829,Hours!$A:$A,0)))</f>
        <v>0</v>
      </c>
      <c r="S829" s="19">
        <f t="shared" si="25"/>
        <v>0</v>
      </c>
    </row>
    <row r="830" spans="1:19" x14ac:dyDescent="0.25">
      <c r="A830" s="11" t="str">
        <f>'Bldgs &amp; Rooms'!$A$24</f>
        <v>Main Bldg.</v>
      </c>
      <c r="B830" s="11">
        <f>'Bldgs &amp; Rooms'!$B$24</f>
        <v>0</v>
      </c>
      <c r="C830" s="10" t="str">
        <f>Hours!$A$16</f>
        <v>Individual Disconnect Switch &gt; 100A</v>
      </c>
      <c r="D830" s="11">
        <f t="shared" si="24"/>
        <v>0</v>
      </c>
      <c r="E830" s="16">
        <f>IF('Components Yr 1'!E830=0,0,'Components Yr 1'!E830)</f>
        <v>0</v>
      </c>
      <c r="F830" s="17">
        <f>IF('Components Yr 1'!F830=0,0,'Components Yr 1'!F830)</f>
        <v>0</v>
      </c>
      <c r="G830" s="17">
        <f>IF('Components Yr 1'!G830=0,0,'Components Yr 1'!G830)</f>
        <v>0</v>
      </c>
      <c r="H830" s="17">
        <f>IF('Components Yr 1'!H830=0,0,'Components Yr 1'!H830)</f>
        <v>0</v>
      </c>
      <c r="I830" s="17">
        <f>IF('Components Yr 1'!I830=0,0,'Components Yr 1'!I830)</f>
        <v>0</v>
      </c>
      <c r="J830" s="17">
        <f>IF('Components Yr 1'!J830=0,0,'Components Yr 1'!J830)</f>
        <v>0</v>
      </c>
      <c r="K830" s="17">
        <f>IF('Components Yr 1'!K830=0,0,'Components Yr 1'!K830)</f>
        <v>0</v>
      </c>
      <c r="L830" s="12"/>
      <c r="M830" s="12"/>
      <c r="N830" s="12"/>
      <c r="O830" s="12"/>
      <c r="P830" s="12"/>
      <c r="Q830" s="17"/>
      <c r="R830" s="18">
        <f>IF(SUMPRODUCT((E830:Q830)*1)=0,0,E830*INDEX(Hours!M:M,MATCH(C830,Hours!$A:$A,0))+F830*INDEX(Hours!B:B,MATCH(C830,Hours!$A:$A,0))+G830*INDEX(Hours!C:C,MATCH(C830,Hours!$A:$A,0))+H830*INDEX(Hours!D:D,MATCH(C830,Hours!$A:$A,0))+I830*INDEX(Hours!E:E,MATCH(C830,Hours!$A:$A,0))+J830*INDEX(Hours!F:F,MATCH(C830,Hours!$A:$A,0))+K830*INDEX(Hours!G:G,MATCH(C830,Hours!$A:$A,0)))</f>
        <v>0</v>
      </c>
      <c r="S830" s="19">
        <f t="shared" si="25"/>
        <v>0</v>
      </c>
    </row>
    <row r="831" spans="1:19" x14ac:dyDescent="0.25">
      <c r="A831" s="11" t="str">
        <f>'Bldgs &amp; Rooms'!$A$24</f>
        <v>Main Bldg.</v>
      </c>
      <c r="B831" s="11">
        <f>'Bldgs &amp; Rooms'!$B$24</f>
        <v>0</v>
      </c>
      <c r="C831" s="10" t="str">
        <f>Hours!$A$17</f>
        <v>Individual Molded Case Breaker &gt; 100A</v>
      </c>
      <c r="D831" s="11">
        <f t="shared" si="24"/>
        <v>0</v>
      </c>
      <c r="E831" s="16">
        <f>IF('Components Yr 1'!E831=0,0,'Components Yr 1'!E831)</f>
        <v>0</v>
      </c>
      <c r="F831" s="17">
        <f>IF('Components Yr 1'!F831=0,0,'Components Yr 1'!F831)</f>
        <v>0</v>
      </c>
      <c r="G831" s="17">
        <f>IF('Components Yr 1'!G831=0,0,'Components Yr 1'!G831)</f>
        <v>0</v>
      </c>
      <c r="H831" s="17">
        <f>IF('Components Yr 1'!H831=0,0,'Components Yr 1'!H831)</f>
        <v>0</v>
      </c>
      <c r="I831" s="17">
        <f>IF('Components Yr 1'!I831=0,0,'Components Yr 1'!I831)</f>
        <v>0</v>
      </c>
      <c r="J831" s="17">
        <f>IF('Components Yr 1'!J831=0,0,'Components Yr 1'!J831)</f>
        <v>0</v>
      </c>
      <c r="K831" s="17">
        <f>IF('Components Yr 1'!K831=0,0,'Components Yr 1'!K831)</f>
        <v>0</v>
      </c>
      <c r="L831" s="12"/>
      <c r="M831" s="12"/>
      <c r="N831" s="12"/>
      <c r="O831" s="12"/>
      <c r="P831" s="12"/>
      <c r="Q831" s="17"/>
      <c r="R831" s="18">
        <f>IF(SUMPRODUCT((E831:Q831)*1)=0,0,E831*INDEX(Hours!M:M,MATCH(C831,Hours!$A:$A,0))+F831*INDEX(Hours!B:B,MATCH(C831,Hours!$A:$A,0))+G831*INDEX(Hours!C:C,MATCH(C831,Hours!$A:$A,0))+H831*INDEX(Hours!D:D,MATCH(C831,Hours!$A:$A,0))+I831*INDEX(Hours!E:E,MATCH(C831,Hours!$A:$A,0))+J831*INDEX(Hours!F:F,MATCH(C831,Hours!$A:$A,0))+K831*INDEX(Hours!G:G,MATCH(C831,Hours!$A:$A,0)))</f>
        <v>0</v>
      </c>
      <c r="S831" s="19">
        <f t="shared" si="25"/>
        <v>0</v>
      </c>
    </row>
    <row r="832" spans="1:19" x14ac:dyDescent="0.25">
      <c r="A832" s="11" t="str">
        <f>'Bldgs &amp; Rooms'!$A$24</f>
        <v>Main Bldg.</v>
      </c>
      <c r="B832" s="11">
        <f>'Bldgs &amp; Rooms'!$B$24</f>
        <v>0</v>
      </c>
      <c r="C832" s="10" t="str">
        <f>Hours!$A$18</f>
        <v>Individual Combination Motor Starter &gt; 100A</v>
      </c>
      <c r="D832" s="11">
        <f t="shared" si="24"/>
        <v>0</v>
      </c>
      <c r="E832" s="16">
        <f>IF('Components Yr 1'!E832=0,0,'Components Yr 1'!E832)</f>
        <v>0</v>
      </c>
      <c r="F832" s="17">
        <f>IF('Components Yr 1'!F832=0,0,'Components Yr 1'!F832)</f>
        <v>0</v>
      </c>
      <c r="G832" s="17">
        <f>IF('Components Yr 1'!G832=0,0,'Components Yr 1'!G832)</f>
        <v>0</v>
      </c>
      <c r="H832" s="17">
        <f>IF('Components Yr 1'!H832=0,0,'Components Yr 1'!H832)</f>
        <v>0</v>
      </c>
      <c r="I832" s="17">
        <f>IF('Components Yr 1'!I832=0,0,'Components Yr 1'!I832)</f>
        <v>0</v>
      </c>
      <c r="J832" s="17">
        <f>IF('Components Yr 1'!J832=0,0,'Components Yr 1'!J832)</f>
        <v>0</v>
      </c>
      <c r="K832" s="17">
        <f>IF('Components Yr 1'!K832=0,0,'Components Yr 1'!K832)</f>
        <v>0</v>
      </c>
      <c r="L832" s="12"/>
      <c r="M832" s="12"/>
      <c r="N832" s="12"/>
      <c r="O832" s="12"/>
      <c r="P832" s="12"/>
      <c r="Q832" s="17"/>
      <c r="R832" s="18">
        <f>IF(SUMPRODUCT((E832:Q832)*1)=0,0,E832*INDEX(Hours!M:M,MATCH(C832,Hours!$A:$A,0))+F832*INDEX(Hours!B:B,MATCH(C832,Hours!$A:$A,0))+G832*INDEX(Hours!C:C,MATCH(C832,Hours!$A:$A,0))+H832*INDEX(Hours!D:D,MATCH(C832,Hours!$A:$A,0))+I832*INDEX(Hours!E:E,MATCH(C832,Hours!$A:$A,0))+J832*INDEX(Hours!F:F,MATCH(C832,Hours!$A:$A,0))+K832*INDEX(Hours!G:G,MATCH(C832,Hours!$A:$A,0)))</f>
        <v>0</v>
      </c>
      <c r="S832" s="19">
        <f t="shared" si="25"/>
        <v>0</v>
      </c>
    </row>
    <row r="833" spans="1:19" x14ac:dyDescent="0.25">
      <c r="A833" s="11" t="str">
        <f>'Bldgs &amp; Rooms'!$A$24</f>
        <v>Main Bldg.</v>
      </c>
      <c r="B833" s="11">
        <f>'Bldgs &amp; Rooms'!$B$24</f>
        <v>0</v>
      </c>
      <c r="C833" s="10" t="str">
        <f>Hours!$A$19</f>
        <v>Oil Filled Transformer - 5kV-15kV Primary - Any Size (Pad Mounted)</v>
      </c>
      <c r="D833" s="11">
        <f t="shared" si="24"/>
        <v>0</v>
      </c>
      <c r="E833" s="16">
        <f>IF('Components Yr 1'!E833=0,0,'Components Yr 1'!E833)</f>
        <v>0</v>
      </c>
      <c r="F833" s="17">
        <f>IF('Components Yr 1'!F833=0,0,'Components Yr 1'!F833)</f>
        <v>0</v>
      </c>
      <c r="G833" s="17">
        <f>IF('Components Yr 1'!G833=0,0,'Components Yr 1'!G833)</f>
        <v>0</v>
      </c>
      <c r="H833" s="17">
        <f>IF('Components Yr 1'!H833=0,0,'Components Yr 1'!H833)</f>
        <v>0</v>
      </c>
      <c r="I833" s="17">
        <f>IF('Components Yr 1'!I833=0,0,'Components Yr 1'!I833)</f>
        <v>0</v>
      </c>
      <c r="J833" s="17">
        <f>IF('Components Yr 1'!J833=0,0,'Components Yr 1'!J833)</f>
        <v>0</v>
      </c>
      <c r="K833" s="12"/>
      <c r="L833" s="12"/>
      <c r="M833" s="17">
        <f>IF('Components Yr 1'!M833=0,0,'Components Yr 1'!M833)</f>
        <v>0</v>
      </c>
      <c r="N833" s="17">
        <f>IF('Components Yr 1'!N833=0,0,'Components Yr 1'!N833)</f>
        <v>0</v>
      </c>
      <c r="O833" s="12"/>
      <c r="P833" s="17">
        <f>IF('Components Yr 1'!P833=0,0,'Components Yr 1'!P833)</f>
        <v>0</v>
      </c>
      <c r="Q833" s="17"/>
      <c r="R833" s="18">
        <f>IF(SUMPRODUCT((E833:Q833)*1)=0,0,E833*INDEX(Hours!M:M,MATCH(C833,Hours!$A:$A,0))+F833*INDEX(Hours!B:B,MATCH(C833,Hours!$A:$A,0))+G833*INDEX(Hours!C:C,MATCH(C833,Hours!$A:$A,0))+H833*INDEX(Hours!D:D,MATCH(C833,Hours!$A:$A,0))+I833*INDEX(Hours!E:E,MATCH(C833,Hours!$A:$A,0))+J833*INDEX(Hours!F:F,MATCH(C833,Hours!$A:$A,0))+M833*INDEX(Hours!I:I,MATCH(C833,Hours!$A:$A,0))+N833*INDEX(Hours!J:J,MATCH(C833,Hours!$A:$A,0))+P833*INDEX(Hours!L:L,MATCH(C833,Hours!$A:$A,0)))</f>
        <v>0</v>
      </c>
      <c r="S833" s="19">
        <f t="shared" si="25"/>
        <v>0</v>
      </c>
    </row>
    <row r="834" spans="1:19" x14ac:dyDescent="0.25">
      <c r="A834" s="11" t="str">
        <f>'Bldgs &amp; Rooms'!$A$24</f>
        <v>Main Bldg.</v>
      </c>
      <c r="B834" s="11">
        <f>'Bldgs &amp; Rooms'!$B$24</f>
        <v>0</v>
      </c>
      <c r="C834" s="10" t="str">
        <f>Hours!$A$20</f>
        <v>Oil Filled Transformer - &gt; 15kV Primary (Substation Class)</v>
      </c>
      <c r="D834" s="11">
        <f t="shared" ref="D834:D897" si="26">MAX(E834+F834,G834,H834,I834,J834,K834,L834,M834,N834,O834,P834,Q834)</f>
        <v>0</v>
      </c>
      <c r="E834" s="16">
        <f>IF('Components Yr 1'!E834=0,0,'Components Yr 1'!E834)</f>
        <v>0</v>
      </c>
      <c r="F834" s="17">
        <f>IF('Components Yr 1'!F834=0,0,'Components Yr 1'!F834)</f>
        <v>0</v>
      </c>
      <c r="G834" s="17">
        <f>IF('Components Yr 1'!G834=0,0,'Components Yr 1'!G834)</f>
        <v>0</v>
      </c>
      <c r="H834" s="17">
        <f>IF('Components Yr 1'!H834=0,0,'Components Yr 1'!H834)</f>
        <v>0</v>
      </c>
      <c r="I834" s="17">
        <f>IF('Components Yr 1'!I834=0,0,'Components Yr 1'!I834)</f>
        <v>0</v>
      </c>
      <c r="J834" s="17">
        <f>IF('Components Yr 1'!J834=0,0,'Components Yr 1'!J834)</f>
        <v>0</v>
      </c>
      <c r="K834" s="12"/>
      <c r="L834" s="12"/>
      <c r="M834" s="17">
        <f>IF('Components Yr 1'!M834=0,0,'Components Yr 1'!M834)</f>
        <v>0</v>
      </c>
      <c r="N834" s="17">
        <f>IF('Components Yr 1'!N834=0,0,'Components Yr 1'!N834)</f>
        <v>0</v>
      </c>
      <c r="O834" s="12"/>
      <c r="P834" s="17">
        <f>IF('Components Yr 1'!P834=0,0,'Components Yr 1'!P834)</f>
        <v>0</v>
      </c>
      <c r="Q834" s="17"/>
      <c r="R834" s="18">
        <f>IF(SUMPRODUCT((E834:Q834)*1)=0,0,E834*INDEX(Hours!M:M,MATCH(C834,Hours!$A:$A,0))+F834*INDEX(Hours!B:B,MATCH(C834,Hours!$A:$A,0))+G834*INDEX(Hours!C:C,MATCH(C834,Hours!$A:$A,0))+H834*INDEX(Hours!D:D,MATCH(C834,Hours!$A:$A,0))+I834*INDEX(Hours!E:E,MATCH(C834,Hours!$A:$A,0))+J834*INDEX(Hours!F:F,MATCH(C834,Hours!$A:$A,0))+M834*INDEX(Hours!I:I,MATCH(C834,Hours!$A:$A,0))+N834*INDEX(Hours!J:J,MATCH(C834,Hours!$A:$A,0))+P834*INDEX(Hours!L:L,MATCH(C834,Hours!$A:$A,0)))</f>
        <v>0</v>
      </c>
      <c r="S834" s="19">
        <f t="shared" ref="S834:S897" si="27">MAX(E834+F834,G834,H834,I834,J834,K834,L834,M834,N834,O834,P834,Q834)</f>
        <v>0</v>
      </c>
    </row>
    <row r="835" spans="1:19" x14ac:dyDescent="0.25">
      <c r="A835" s="11" t="str">
        <f>'Bldgs &amp; Rooms'!$A$24</f>
        <v>Main Bldg.</v>
      </c>
      <c r="B835" s="11">
        <f>'Bldgs &amp; Rooms'!$B$24</f>
        <v>0</v>
      </c>
      <c r="C835" s="10" t="str">
        <f>Hours!$A$21</f>
        <v>Dry Type Transformer - &lt; 480V Primary - Any Size kVA</v>
      </c>
      <c r="D835" s="11">
        <f t="shared" si="26"/>
        <v>0</v>
      </c>
      <c r="E835" s="16">
        <f>IF('Components Yr 1'!E835=0,0,'Components Yr 1'!E835)</f>
        <v>0</v>
      </c>
      <c r="F835" s="17">
        <f>IF('Components Yr 1'!F835=0,0,'Components Yr 1'!F835)</f>
        <v>0</v>
      </c>
      <c r="G835" s="17">
        <f>IF('Components Yr 1'!G835=0,0,'Components Yr 1'!G835)</f>
        <v>0</v>
      </c>
      <c r="H835" s="17">
        <f>IF('Components Yr 1'!H835=0,0,'Components Yr 1'!H835)</f>
        <v>0</v>
      </c>
      <c r="I835" s="17">
        <f>IF('Components Yr 1'!I835=0,0,'Components Yr 1'!I835)</f>
        <v>0</v>
      </c>
      <c r="J835" s="17">
        <f>IF('Components Yr 1'!J835=0,0,'Components Yr 1'!J835)</f>
        <v>0</v>
      </c>
      <c r="K835" s="12"/>
      <c r="L835" s="12"/>
      <c r="M835" s="17">
        <f>IF('Components Yr 1'!M835=0,0,'Components Yr 1'!M835)</f>
        <v>0</v>
      </c>
      <c r="N835" s="17">
        <f>IF('Components Yr 1'!N835=0,0,'Components Yr 1'!N835)</f>
        <v>0</v>
      </c>
      <c r="O835" s="12"/>
      <c r="P835" s="12"/>
      <c r="Q835" s="17"/>
      <c r="R835" s="18">
        <f>IF(SUMPRODUCT((E835:Q835)*1)=0,0,E835*INDEX(Hours!M:M,MATCH(C835,Hours!$A:$A,0))+F835*INDEX(Hours!B:B,MATCH(C835,Hours!$A:$A,0))+G835*INDEX(Hours!C:C,MATCH(C835,Hours!$A:$A,0))+H835*INDEX(Hours!D:D,MATCH(C835,Hours!$A:$A,0))+I835*INDEX(Hours!E:E,MATCH(C835,Hours!$A:$A,0))+J835*INDEX(Hours!F:F,MATCH(C835,Hours!$A:$A,0))+M835*INDEX(Hours!I:I,MATCH(C835,Hours!$A:$A,0))+N835*INDEX(Hours!J:J,MATCH(C835,Hours!$A:$A,0)))</f>
        <v>0</v>
      </c>
      <c r="S835" s="19">
        <f t="shared" si="27"/>
        <v>0</v>
      </c>
    </row>
    <row r="836" spans="1:19" x14ac:dyDescent="0.25">
      <c r="A836" s="11" t="str">
        <f>'Bldgs &amp; Rooms'!$A$24</f>
        <v>Main Bldg.</v>
      </c>
      <c r="B836" s="11">
        <f>'Bldgs &amp; Rooms'!$B$24</f>
        <v>0</v>
      </c>
      <c r="C836" s="10" t="str">
        <f>Hours!$A$22</f>
        <v>Power Factor Correction Capacitors</v>
      </c>
      <c r="D836" s="11">
        <f t="shared" si="26"/>
        <v>0</v>
      </c>
      <c r="E836" s="16">
        <f>IF('Components Yr 1'!E836=0,0,'Components Yr 1'!E836)</f>
        <v>0</v>
      </c>
      <c r="F836" s="17">
        <f>IF('Components Yr 1'!F836=0,0,'Components Yr 1'!F836)</f>
        <v>0</v>
      </c>
      <c r="G836" s="17">
        <f>IF('Components Yr 1'!G836=0,0,'Components Yr 1'!G836)</f>
        <v>0</v>
      </c>
      <c r="H836" s="17">
        <f>IF('Components Yr 1'!H836=0,0,'Components Yr 1'!H836)</f>
        <v>0</v>
      </c>
      <c r="I836" s="17">
        <f>IF('Components Yr 1'!I836=0,0,'Components Yr 1'!I836)</f>
        <v>0</v>
      </c>
      <c r="J836" s="17">
        <f>IF('Components Yr 1'!J836=0,0,'Components Yr 1'!J836)</f>
        <v>0</v>
      </c>
      <c r="K836" s="12"/>
      <c r="L836" s="12"/>
      <c r="M836" s="12"/>
      <c r="N836" s="12"/>
      <c r="O836" s="12"/>
      <c r="P836" s="12"/>
      <c r="Q836" s="17"/>
      <c r="R836" s="18">
        <f>IF(SUMPRODUCT((E836:Q836)*1)=0,0,E836*INDEX(Hours!M:M,MATCH(C836,Hours!$A:$A,0))+F836*INDEX(Hours!B:B,MATCH(C836,Hours!$A:$A,0))+G836*INDEX(Hours!C:C,MATCH(C836,Hours!$A:$A,0))+H836*INDEX(Hours!D:D,MATCH(C836,Hours!$A:$A,0))+I836*INDEX(Hours!E:E,MATCH(C836,Hours!$A:$A,0))+J836*INDEX(Hours!F:F,MATCH(C836,Hours!$A:$A,0)))</f>
        <v>0</v>
      </c>
      <c r="S836" s="19">
        <f t="shared" si="27"/>
        <v>0</v>
      </c>
    </row>
    <row r="837" spans="1:19" x14ac:dyDescent="0.25">
      <c r="A837" s="11" t="str">
        <f>'Bldgs &amp; Rooms'!$A$24</f>
        <v>Main Bldg.</v>
      </c>
      <c r="B837" s="11">
        <f>'Bldgs &amp; Rooms'!$B$24</f>
        <v>0</v>
      </c>
      <c r="C837" s="10" t="str">
        <f>Hours!$A$23</f>
        <v>Lighting Contactor &gt; 100A</v>
      </c>
      <c r="D837" s="11">
        <f t="shared" si="26"/>
        <v>0</v>
      </c>
      <c r="E837" s="16">
        <f>IF('Components Yr 1'!E837=0,0,'Components Yr 1'!E837)</f>
        <v>0</v>
      </c>
      <c r="F837" s="17">
        <f>IF('Components Yr 1'!F837=0,0,'Components Yr 1'!F837)</f>
        <v>0</v>
      </c>
      <c r="G837" s="17">
        <f>IF('Components Yr 1'!G837=0,0,'Components Yr 1'!G837)</f>
        <v>0</v>
      </c>
      <c r="H837" s="17">
        <f>IF('Components Yr 1'!H837=0,0,'Components Yr 1'!H837)</f>
        <v>0</v>
      </c>
      <c r="I837" s="17">
        <f>IF('Components Yr 1'!I837=0,0,'Components Yr 1'!I837)</f>
        <v>0</v>
      </c>
      <c r="J837" s="17">
        <f>IF('Components Yr 1'!J837=0,0,'Components Yr 1'!J837)</f>
        <v>0</v>
      </c>
      <c r="K837" s="12"/>
      <c r="L837" s="12"/>
      <c r="M837" s="12"/>
      <c r="N837" s="12"/>
      <c r="O837" s="12"/>
      <c r="P837" s="12"/>
      <c r="Q837" s="17"/>
      <c r="R837" s="18">
        <f>IF(SUMPRODUCT((E837:Q837)*1)=0,0,E837*INDEX(Hours!M:M,MATCH(C837,Hours!$A:$A,0))+F837*INDEX(Hours!B:B,MATCH(C837,Hours!$A:$A,0))+G837*INDEX(Hours!C:C,MATCH(C837,Hours!$A:$A,0))+H837*INDEX(Hours!D:D,MATCH(C837,Hours!$A:$A,0))+I837*INDEX(Hours!E:E,MATCH(C837,Hours!$A:$A,0))+J837*INDEX(Hours!F:F,MATCH(C837,Hours!$A:$A,0)))</f>
        <v>0</v>
      </c>
      <c r="S837" s="19">
        <f t="shared" si="27"/>
        <v>0</v>
      </c>
    </row>
    <row r="838" spans="1:19" x14ac:dyDescent="0.25">
      <c r="A838" s="11" t="str">
        <f>'Bldgs &amp; Rooms'!$A$24</f>
        <v>Main Bldg.</v>
      </c>
      <c r="B838" s="11">
        <f>'Bldgs &amp; Rooms'!$B$24</f>
        <v>0</v>
      </c>
      <c r="C838" s="10" t="str">
        <f>Hours!$A$24</f>
        <v>Power Distribution Unit (PDU)</v>
      </c>
      <c r="D838" s="11">
        <f t="shared" si="26"/>
        <v>0</v>
      </c>
      <c r="E838" s="16">
        <f>IF('Components Yr 1'!E838=0,0,'Components Yr 1'!E838)</f>
        <v>0</v>
      </c>
      <c r="F838" s="17">
        <f>IF('Components Yr 1'!F838=0,0,'Components Yr 1'!F838)</f>
        <v>0</v>
      </c>
      <c r="G838" s="17">
        <f>IF('Components Yr 1'!G838=0,0,'Components Yr 1'!G838)</f>
        <v>0</v>
      </c>
      <c r="H838" s="17">
        <f>IF('Components Yr 1'!H838=0,0,'Components Yr 1'!H838)</f>
        <v>0</v>
      </c>
      <c r="I838" s="17">
        <f>IF('Components Yr 1'!I838=0,0,'Components Yr 1'!I838)</f>
        <v>0</v>
      </c>
      <c r="J838" s="17">
        <f>IF('Components Yr 1'!J838=0,0,'Components Yr 1'!J838)</f>
        <v>0</v>
      </c>
      <c r="K838" s="12"/>
      <c r="L838" s="12"/>
      <c r="M838" s="12"/>
      <c r="N838" s="12"/>
      <c r="O838" s="12"/>
      <c r="P838" s="12"/>
      <c r="Q838" s="17"/>
      <c r="R838" s="18">
        <f>IF(SUMPRODUCT((E838:Q838)*1)=0,0,E838*INDEX(Hours!M:M,MATCH(C838,Hours!$A:$A,0))+F838*INDEX(Hours!B:B,MATCH(C838,Hours!$A:$A,0))+G838*INDEX(Hours!C:C,MATCH(C838,Hours!$A:$A,0))+H838*INDEX(Hours!D:D,MATCH(C838,Hours!$A:$A,0))+I838*INDEX(Hours!E:E,MATCH(C838,Hours!$A:$A,0))+J838*INDEX(Hours!F:F,MATCH(C838,Hours!$A:$A,0)))</f>
        <v>0</v>
      </c>
      <c r="S838" s="19">
        <f t="shared" si="27"/>
        <v>0</v>
      </c>
    </row>
    <row r="839" spans="1:19" x14ac:dyDescent="0.25">
      <c r="A839" s="11" t="str">
        <f>'Bldgs &amp; Rooms'!$A$24</f>
        <v>Main Bldg.</v>
      </c>
      <c r="B839" s="11">
        <f>'Bldgs &amp; Rooms'!$B$24</f>
        <v>0</v>
      </c>
      <c r="C839" s="10" t="str">
        <f>Hours!$A$25</f>
        <v>Wire Trough, Gutter, or Large Junction Boxes</v>
      </c>
      <c r="D839" s="11">
        <f t="shared" si="26"/>
        <v>0</v>
      </c>
      <c r="E839" s="16">
        <f>IF('Components Yr 1'!E839=0,0,'Components Yr 1'!E839)</f>
        <v>0</v>
      </c>
      <c r="F839" s="17">
        <f>IF('Components Yr 1'!F839=0,0,'Components Yr 1'!F839)</f>
        <v>0</v>
      </c>
      <c r="G839" s="17">
        <f>IF('Components Yr 1'!G839=0,0,'Components Yr 1'!G839)</f>
        <v>0</v>
      </c>
      <c r="H839" s="17">
        <f>IF('Components Yr 1'!H839=0,0,'Components Yr 1'!H839)</f>
        <v>0</v>
      </c>
      <c r="I839" s="17">
        <f>IF('Components Yr 1'!I839=0,0,'Components Yr 1'!I839)</f>
        <v>0</v>
      </c>
      <c r="J839" s="17">
        <f>IF('Components Yr 1'!J839=0,0,'Components Yr 1'!J839)</f>
        <v>0</v>
      </c>
      <c r="K839" s="12"/>
      <c r="L839" s="12"/>
      <c r="M839" s="12"/>
      <c r="N839" s="12"/>
      <c r="O839" s="12"/>
      <c r="P839" s="12"/>
      <c r="Q839" s="17"/>
      <c r="R839" s="18">
        <f>IF(SUMPRODUCT((E839:Q839)*1)=0,0,E839*INDEX(Hours!M:M,MATCH(C839,Hours!$A:$A,0))+F839*INDEX(Hours!B:B,MATCH(C839,Hours!$A:$A,0))+G839*INDEX(Hours!C:C,MATCH(C839,Hours!$A:$A,0))+H839*INDEX(Hours!D:D,MATCH(C839,Hours!$A:$A,0))+I839*INDEX(Hours!E:E,MATCH(C839,Hours!$A:$A,0))+J839*INDEX(Hours!F:F,MATCH(C839,Hours!$A:$A,0)))</f>
        <v>0</v>
      </c>
      <c r="S839" s="19">
        <f t="shared" si="27"/>
        <v>0</v>
      </c>
    </row>
    <row r="840" spans="1:19" x14ac:dyDescent="0.25">
      <c r="A840" s="11" t="str">
        <f>'Bldgs &amp; Rooms'!$A$24</f>
        <v>Main Bldg.</v>
      </c>
      <c r="B840" s="11">
        <f>'Bldgs &amp; Rooms'!$B$24</f>
        <v>0</v>
      </c>
      <c r="C840" s="10" t="str">
        <f>Hours!$A$26</f>
        <v>Bus Duct - Vertical or Horizontal (Per 10' section)</v>
      </c>
      <c r="D840" s="11">
        <f t="shared" si="26"/>
        <v>0</v>
      </c>
      <c r="E840" s="16">
        <f>IF('Components Yr 1'!E840=0,0,'Components Yr 1'!E840)</f>
        <v>0</v>
      </c>
      <c r="F840" s="17">
        <f>IF('Components Yr 1'!F840=0,0,'Components Yr 1'!F840)</f>
        <v>0</v>
      </c>
      <c r="G840" s="17">
        <f>IF('Components Yr 1'!G840=0,0,'Components Yr 1'!G840)</f>
        <v>0</v>
      </c>
      <c r="H840" s="17">
        <f>IF('Components Yr 1'!H840=0,0,'Components Yr 1'!H840)</f>
        <v>0</v>
      </c>
      <c r="I840" s="17">
        <f>IF('Components Yr 1'!I840=0,0,'Components Yr 1'!I840)</f>
        <v>0</v>
      </c>
      <c r="J840" s="17">
        <f>IF('Components Yr 1'!J840=0,0,'Components Yr 1'!J840)</f>
        <v>0</v>
      </c>
      <c r="K840" s="12"/>
      <c r="L840" s="12"/>
      <c r="M840" s="12"/>
      <c r="N840" s="12"/>
      <c r="O840" s="12"/>
      <c r="P840" s="12"/>
      <c r="Q840" s="17"/>
      <c r="R840" s="18">
        <f>IF(SUMPRODUCT((E840:Q840)*1)=0,0,E840*INDEX(Hours!M:M,MATCH(C840,Hours!$A:$A,0))+F840*INDEX(Hours!B:B,MATCH(C840,Hours!$A:$A,0))+G840*INDEX(Hours!C:C,MATCH(C840,Hours!$A:$A,0))+H840*INDEX(Hours!D:D,MATCH(C840,Hours!$A:$A,0))+I840*INDEX(Hours!E:E,MATCH(C840,Hours!$A:$A,0))+J840*INDEX(Hours!F:F,MATCH(C840,Hours!$A:$A,0)))</f>
        <v>0</v>
      </c>
      <c r="S840" s="19">
        <f t="shared" si="27"/>
        <v>0</v>
      </c>
    </row>
    <row r="841" spans="1:19" x14ac:dyDescent="0.25">
      <c r="A841" s="11" t="str">
        <f>'Bldgs &amp; Rooms'!$A$24</f>
        <v>Main Bldg.</v>
      </c>
      <c r="B841" s="11">
        <f>'Bldgs &amp; Rooms'!$B$24</f>
        <v>0</v>
      </c>
      <c r="C841" s="10" t="str">
        <f>Hours!$A$27</f>
        <v>Automatic Transfer Switch (ATS) &gt; 100A</v>
      </c>
      <c r="D841" s="11">
        <f t="shared" si="26"/>
        <v>0</v>
      </c>
      <c r="E841" s="16">
        <f>IF('Components Yr 1'!E841=0,0,'Components Yr 1'!E841)</f>
        <v>0</v>
      </c>
      <c r="F841" s="17">
        <f>IF('Components Yr 1'!F841=0,0,'Components Yr 1'!F841)</f>
        <v>0</v>
      </c>
      <c r="G841" s="17">
        <f>IF('Components Yr 1'!G841=0,0,'Components Yr 1'!G841)</f>
        <v>0</v>
      </c>
      <c r="H841" s="17">
        <f>IF('Components Yr 1'!H841=0,0,'Components Yr 1'!H841)</f>
        <v>0</v>
      </c>
      <c r="I841" s="17">
        <f>IF('Components Yr 1'!I841=0,0,'Components Yr 1'!I841)</f>
        <v>0</v>
      </c>
      <c r="J841" s="17">
        <f>IF('Components Yr 1'!J841=0,0,'Components Yr 1'!J841)</f>
        <v>0</v>
      </c>
      <c r="K841" s="12"/>
      <c r="L841" s="12"/>
      <c r="M841" s="12"/>
      <c r="N841" s="12"/>
      <c r="O841" s="12"/>
      <c r="P841" s="12"/>
      <c r="Q841" s="17"/>
      <c r="R841" s="18">
        <f>IF(SUMPRODUCT((E841:Q841)*1)=0,0,E841*INDEX(Hours!M:M,MATCH(C841,Hours!$A:$A,0))+F841*INDEX(Hours!B:B,MATCH(C841,Hours!$A:$A,0))+G841*INDEX(Hours!C:C,MATCH(C841,Hours!$A:$A,0))+H841*INDEX(Hours!D:D,MATCH(C841,Hours!$A:$A,0))+I841*INDEX(Hours!E:E,MATCH(C841,Hours!$A:$A,0))+J841*INDEX(Hours!F:F,MATCH(C841,Hours!$A:$A,0)))</f>
        <v>0</v>
      </c>
      <c r="S841" s="19">
        <f t="shared" si="27"/>
        <v>0</v>
      </c>
    </row>
    <row r="842" spans="1:19" x14ac:dyDescent="0.25">
      <c r="A842" s="11" t="str">
        <f>'Bldgs &amp; Rooms'!$A$24</f>
        <v>Main Bldg.</v>
      </c>
      <c r="B842" s="11">
        <f>'Bldgs &amp; Rooms'!$B$24</f>
        <v>0</v>
      </c>
      <c r="C842" s="10" t="str">
        <f>Hours!$A$28</f>
        <v>Manual Transfer Switch (MTS) &gt; 100A</v>
      </c>
      <c r="D842" s="11">
        <f t="shared" si="26"/>
        <v>0</v>
      </c>
      <c r="E842" s="16">
        <f>IF('Components Yr 1'!E842=0,0,'Components Yr 1'!E842)</f>
        <v>0</v>
      </c>
      <c r="F842" s="17">
        <f>IF('Components Yr 1'!F842=0,0,'Components Yr 1'!F842)</f>
        <v>0</v>
      </c>
      <c r="G842" s="17">
        <f>IF('Components Yr 1'!G842=0,0,'Components Yr 1'!G842)</f>
        <v>0</v>
      </c>
      <c r="H842" s="17">
        <f>IF('Components Yr 1'!H842=0,0,'Components Yr 1'!H842)</f>
        <v>0</v>
      </c>
      <c r="I842" s="17">
        <f>IF('Components Yr 1'!I842=0,0,'Components Yr 1'!I842)</f>
        <v>0</v>
      </c>
      <c r="J842" s="17">
        <f>IF('Components Yr 1'!J842=0,0,'Components Yr 1'!J842)</f>
        <v>0</v>
      </c>
      <c r="K842" s="12"/>
      <c r="L842" s="12"/>
      <c r="M842" s="12"/>
      <c r="N842" s="12"/>
      <c r="O842" s="12"/>
      <c r="P842" s="12"/>
      <c r="Q842" s="17"/>
      <c r="R842" s="18">
        <f>IF(SUMPRODUCT((E842:Q842)*1)=0,0,E842*INDEX(Hours!M:M,MATCH(C842,Hours!$A:$A,0))+F842*INDEX(Hours!B:B,MATCH(C842,Hours!$A:$A,0))+G842*INDEX(Hours!C:C,MATCH(C842,Hours!$A:$A,0))+H842*INDEX(Hours!D:D,MATCH(C842,Hours!$A:$A,0))+I842*INDEX(Hours!E:E,MATCH(C842,Hours!$A:$A,0))+J842*INDEX(Hours!F:F,MATCH(C842,Hours!$A:$A,0)))</f>
        <v>0</v>
      </c>
      <c r="S842" s="19">
        <f t="shared" si="27"/>
        <v>0</v>
      </c>
    </row>
    <row r="843" spans="1:19" x14ac:dyDescent="0.25">
      <c r="A843" s="11" t="str">
        <f>'Bldgs &amp; Rooms'!$A$24</f>
        <v>Main Bldg.</v>
      </c>
      <c r="B843" s="11">
        <f>'Bldgs &amp; Rooms'!$B$24</f>
        <v>0</v>
      </c>
      <c r="C843" s="10" t="str">
        <f>Hours!$A$29</f>
        <v>Variable Frequency Drives (VFD) &lt; 50 HP</v>
      </c>
      <c r="D843" s="11">
        <f t="shared" si="26"/>
        <v>0</v>
      </c>
      <c r="E843" s="16">
        <f>IF('Components Yr 1'!E843=0,0,'Components Yr 1'!E843)</f>
        <v>0</v>
      </c>
      <c r="F843" s="17">
        <f>IF('Components Yr 1'!F843=0,0,'Components Yr 1'!F843)</f>
        <v>0</v>
      </c>
      <c r="G843" s="17">
        <f>IF('Components Yr 1'!G843=0,0,'Components Yr 1'!G843)</f>
        <v>0</v>
      </c>
      <c r="H843" s="17">
        <f>IF('Components Yr 1'!H843=0,0,'Components Yr 1'!H843)</f>
        <v>0</v>
      </c>
      <c r="I843" s="17">
        <f>IF('Components Yr 1'!I843=0,0,'Components Yr 1'!I843)</f>
        <v>0</v>
      </c>
      <c r="J843" s="17">
        <f>IF('Components Yr 1'!J843=0,0,'Components Yr 1'!J843)</f>
        <v>0</v>
      </c>
      <c r="K843" s="12"/>
      <c r="L843" s="12"/>
      <c r="M843" s="12"/>
      <c r="N843" s="12"/>
      <c r="O843" s="12"/>
      <c r="P843" s="12"/>
      <c r="Q843" s="17"/>
      <c r="R843" s="18">
        <f>IF(SUMPRODUCT((E843:Q843)*1)=0,0,E843*INDEX(Hours!M:M,MATCH(C843,Hours!$A:$A,0))+F843*INDEX(Hours!B:B,MATCH(C843,Hours!$A:$A,0))+G843*INDEX(Hours!C:C,MATCH(C843,Hours!$A:$A,0))+H843*INDEX(Hours!D:D,MATCH(C843,Hours!$A:$A,0))+I843*INDEX(Hours!E:E,MATCH(C843,Hours!$A:$A,0))+J843*INDEX(Hours!F:F,MATCH(C843,Hours!$A:$A,0)))</f>
        <v>0</v>
      </c>
      <c r="S843" s="19">
        <f t="shared" si="27"/>
        <v>0</v>
      </c>
    </row>
    <row r="844" spans="1:19" x14ac:dyDescent="0.25">
      <c r="A844" s="11" t="str">
        <f>'Bldgs &amp; Rooms'!$A$24</f>
        <v>Main Bldg.</v>
      </c>
      <c r="B844" s="11">
        <f>'Bldgs &amp; Rooms'!$B$24</f>
        <v>0</v>
      </c>
      <c r="C844" s="10" t="str">
        <f>Hours!$A$30</f>
        <v>Variable Frequency Drives (VFD) 51-200 HP</v>
      </c>
      <c r="D844" s="11">
        <f t="shared" si="26"/>
        <v>0</v>
      </c>
      <c r="E844" s="16">
        <f>IF('Components Yr 1'!E844=0,0,'Components Yr 1'!E844)</f>
        <v>0</v>
      </c>
      <c r="F844" s="17">
        <f>IF('Components Yr 1'!F844=0,0,'Components Yr 1'!F844)</f>
        <v>0</v>
      </c>
      <c r="G844" s="17">
        <f>IF('Components Yr 1'!G844=0,0,'Components Yr 1'!G844)</f>
        <v>0</v>
      </c>
      <c r="H844" s="17">
        <f>IF('Components Yr 1'!H844=0,0,'Components Yr 1'!H844)</f>
        <v>0</v>
      </c>
      <c r="I844" s="17">
        <f>IF('Components Yr 1'!I844=0,0,'Components Yr 1'!I844)</f>
        <v>0</v>
      </c>
      <c r="J844" s="17">
        <f>IF('Components Yr 1'!J844=0,0,'Components Yr 1'!J844)</f>
        <v>0</v>
      </c>
      <c r="K844" s="12"/>
      <c r="L844" s="12"/>
      <c r="M844" s="12"/>
      <c r="N844" s="12"/>
      <c r="O844" s="12"/>
      <c r="P844" s="12"/>
      <c r="Q844" s="17"/>
      <c r="R844" s="18">
        <f>IF(SUMPRODUCT((E844:Q844)*1)=0,0,E844*INDEX(Hours!M:M,MATCH(C844,Hours!$A:$A,0))+F844*INDEX(Hours!B:B,MATCH(C844,Hours!$A:$A,0))+G844*INDEX(Hours!C:C,MATCH(C844,Hours!$A:$A,0))+H844*INDEX(Hours!D:D,MATCH(C844,Hours!$A:$A,0))+I844*INDEX(Hours!E:E,MATCH(C844,Hours!$A:$A,0))+J844*INDEX(Hours!F:F,MATCH(C844,Hours!$A:$A,0)))</f>
        <v>0</v>
      </c>
      <c r="S844" s="19">
        <f t="shared" si="27"/>
        <v>0</v>
      </c>
    </row>
    <row r="845" spans="1:19" x14ac:dyDescent="0.25">
      <c r="A845" s="11" t="str">
        <f>'Bldgs &amp; Rooms'!$A$24</f>
        <v>Main Bldg.</v>
      </c>
      <c r="B845" s="11">
        <f>'Bldgs &amp; Rooms'!$B$24</f>
        <v>0</v>
      </c>
      <c r="C845" s="10" t="str">
        <f>Hours!$A$31</f>
        <v>Motors &lt; 50 HP</v>
      </c>
      <c r="D845" s="11">
        <f t="shared" si="26"/>
        <v>0</v>
      </c>
      <c r="E845" s="16">
        <f>IF('Components Yr 1'!E845=0,0,'Components Yr 1'!E845)</f>
        <v>0</v>
      </c>
      <c r="F845" s="17">
        <f>IF('Components Yr 1'!F845=0,0,'Components Yr 1'!F845)</f>
        <v>0</v>
      </c>
      <c r="G845" s="17">
        <f>IF('Components Yr 1'!G845=0,0,'Components Yr 1'!G845)</f>
        <v>0</v>
      </c>
      <c r="H845" s="17">
        <f>IF('Components Yr 1'!H845=0,0,'Components Yr 1'!H845)</f>
        <v>0</v>
      </c>
      <c r="I845" s="17">
        <f>IF('Components Yr 1'!I845=0,0,'Components Yr 1'!I845)</f>
        <v>0</v>
      </c>
      <c r="J845" s="17">
        <f>IF('Components Yr 1'!J845=0,0,'Components Yr 1'!J845)</f>
        <v>0</v>
      </c>
      <c r="K845" s="12"/>
      <c r="L845" s="12"/>
      <c r="M845" s="12"/>
      <c r="N845" s="12"/>
      <c r="O845" s="12"/>
      <c r="P845" s="12"/>
      <c r="Q845" s="17"/>
      <c r="R845" s="18">
        <f>IF(SUMPRODUCT((E845:Q845)*1)=0,0,E845*INDEX(Hours!M:M,MATCH(C845,Hours!$A:$A,0))+F845*INDEX(Hours!B:B,MATCH(C845,Hours!$A:$A,0))+G845*INDEX(Hours!C:C,MATCH(C845,Hours!$A:$A,0))+H845*INDEX(Hours!D:D,MATCH(C845,Hours!$A:$A,0))+I845*INDEX(Hours!E:E,MATCH(C845,Hours!$A:$A,0))+J845*INDEX(Hours!F:F,MATCH(C845,Hours!$A:$A,0)))</f>
        <v>0</v>
      </c>
      <c r="S845" s="19">
        <f t="shared" si="27"/>
        <v>0</v>
      </c>
    </row>
    <row r="846" spans="1:19" x14ac:dyDescent="0.25">
      <c r="A846" s="11" t="str">
        <f>'Bldgs &amp; Rooms'!$A$24</f>
        <v>Main Bldg.</v>
      </c>
      <c r="B846" s="11">
        <f>'Bldgs &amp; Rooms'!$B$24</f>
        <v>0</v>
      </c>
      <c r="C846" s="10" t="str">
        <f>Hours!$A$32</f>
        <v>Motors 51-200 HP</v>
      </c>
      <c r="D846" s="11">
        <f t="shared" si="26"/>
        <v>0</v>
      </c>
      <c r="E846" s="16">
        <f>IF('Components Yr 1'!E846=0,0,'Components Yr 1'!E846)</f>
        <v>0</v>
      </c>
      <c r="F846" s="17">
        <f>IF('Components Yr 1'!F846=0,0,'Components Yr 1'!F846)</f>
        <v>0</v>
      </c>
      <c r="G846" s="17">
        <f>IF('Components Yr 1'!G846=0,0,'Components Yr 1'!G846)</f>
        <v>0</v>
      </c>
      <c r="H846" s="17">
        <f>IF('Components Yr 1'!H846=0,0,'Components Yr 1'!H846)</f>
        <v>0</v>
      </c>
      <c r="I846" s="17">
        <f>IF('Components Yr 1'!I846=0,0,'Components Yr 1'!I846)</f>
        <v>0</v>
      </c>
      <c r="J846" s="17">
        <f>IF('Components Yr 1'!J846=0,0,'Components Yr 1'!J846)</f>
        <v>0</v>
      </c>
      <c r="K846" s="12"/>
      <c r="L846" s="12"/>
      <c r="M846" s="12"/>
      <c r="N846" s="12"/>
      <c r="O846" s="12"/>
      <c r="P846" s="12"/>
      <c r="Q846" s="17"/>
      <c r="R846" s="18">
        <f>IF(SUMPRODUCT((E846:Q846)*1)=0,0,E846*INDEX(Hours!M:M,MATCH(C846,Hours!$A:$A,0))+F846*INDEX(Hours!B:B,MATCH(C846,Hours!$A:$A,0))+G846*INDEX(Hours!C:C,MATCH(C846,Hours!$A:$A,0))+H846*INDEX(Hours!D:D,MATCH(C846,Hours!$A:$A,0))+I846*INDEX(Hours!E:E,MATCH(C846,Hours!$A:$A,0))+J846*INDEX(Hours!F:F,MATCH(C846,Hours!$A:$A,0)))</f>
        <v>0</v>
      </c>
      <c r="S846" s="19">
        <f t="shared" si="27"/>
        <v>0</v>
      </c>
    </row>
    <row r="847" spans="1:19" x14ac:dyDescent="0.25">
      <c r="A847" s="11" t="str">
        <f>'Bldgs &amp; Rooms'!$A$24</f>
        <v>Main Bldg.</v>
      </c>
      <c r="B847" s="11">
        <f>'Bldgs &amp; Rooms'!$B$24</f>
        <v>0</v>
      </c>
      <c r="C847" s="10" t="str">
        <f>Hours!$A$33</f>
        <v>Motors 201-500 HP</v>
      </c>
      <c r="D847" s="11">
        <f t="shared" si="26"/>
        <v>0</v>
      </c>
      <c r="E847" s="16">
        <f>IF('Components Yr 1'!E847=0,0,'Components Yr 1'!E847)</f>
        <v>0</v>
      </c>
      <c r="F847" s="17">
        <f>IF('Components Yr 1'!F847=0,0,'Components Yr 1'!F847)</f>
        <v>0</v>
      </c>
      <c r="G847" s="17">
        <f>IF('Components Yr 1'!G847=0,0,'Components Yr 1'!G847)</f>
        <v>0</v>
      </c>
      <c r="H847" s="17">
        <f>IF('Components Yr 1'!H847=0,0,'Components Yr 1'!H847)</f>
        <v>0</v>
      </c>
      <c r="I847" s="17">
        <f>IF('Components Yr 1'!I847=0,0,'Components Yr 1'!I847)</f>
        <v>0</v>
      </c>
      <c r="J847" s="17">
        <f>IF('Components Yr 1'!J847=0,0,'Components Yr 1'!J847)</f>
        <v>0</v>
      </c>
      <c r="K847" s="12"/>
      <c r="L847" s="12"/>
      <c r="M847" s="12"/>
      <c r="N847" s="12"/>
      <c r="O847" s="12"/>
      <c r="P847" s="12"/>
      <c r="Q847" s="17"/>
      <c r="R847" s="18">
        <f>IF(SUMPRODUCT((E847:Q847)*1)=0,0,E847*INDEX(Hours!M:M,MATCH(C847,Hours!$A:$A,0))+F847*INDEX(Hours!B:B,MATCH(C847,Hours!$A:$A,0))+G847*INDEX(Hours!C:C,MATCH(C847,Hours!$A:$A,0))+H847*INDEX(Hours!D:D,MATCH(C847,Hours!$A:$A,0))+I847*INDEX(Hours!E:E,MATCH(C847,Hours!$A:$A,0))+J847*INDEX(Hours!F:F,MATCH(C847,Hours!$A:$A,0)))</f>
        <v>0</v>
      </c>
      <c r="S847" s="19">
        <f t="shared" si="27"/>
        <v>0</v>
      </c>
    </row>
    <row r="848" spans="1:19" x14ac:dyDescent="0.25">
      <c r="A848" s="11" t="str">
        <f>'Bldgs &amp; Rooms'!$A$24</f>
        <v>Main Bldg.</v>
      </c>
      <c r="B848" s="11">
        <f>'Bldgs &amp; Rooms'!$B$24</f>
        <v>0</v>
      </c>
      <c r="C848" s="10" t="str">
        <f>Hours!$A$34</f>
        <v>Compressed Air Equipment</v>
      </c>
      <c r="D848" s="11">
        <f t="shared" si="26"/>
        <v>0</v>
      </c>
      <c r="E848" s="16">
        <f>IF('Components Yr 1'!E848=0,0,'Components Yr 1'!E848)</f>
        <v>0</v>
      </c>
      <c r="F848" s="17">
        <f>IF('Components Yr 1'!F848=0,0,'Components Yr 1'!F848)</f>
        <v>0</v>
      </c>
      <c r="G848" s="17">
        <f>IF('Components Yr 1'!G848=0,0,'Components Yr 1'!G848)</f>
        <v>0</v>
      </c>
      <c r="H848" s="17">
        <f>IF('Components Yr 1'!H848=0,0,'Components Yr 1'!H848)</f>
        <v>0</v>
      </c>
      <c r="I848" s="17">
        <f>IF('Components Yr 1'!I848=0,0,'Components Yr 1'!I848)</f>
        <v>0</v>
      </c>
      <c r="J848" s="17">
        <f>IF('Components Yr 1'!J848=0,0,'Components Yr 1'!J848)</f>
        <v>0</v>
      </c>
      <c r="K848" s="12"/>
      <c r="L848" s="12"/>
      <c r="M848" s="12"/>
      <c r="N848" s="12"/>
      <c r="O848" s="12"/>
      <c r="P848" s="12"/>
      <c r="Q848" s="17"/>
      <c r="R848" s="18">
        <f>IF(SUMPRODUCT((E848:Q848)*1)=0,0,E848*INDEX(Hours!M:M,MATCH(C848,Hours!$A:$A,0))+F848*INDEX(Hours!B:B,MATCH(C848,Hours!$A:$A,0))+G848*INDEX(Hours!C:C,MATCH(C848,Hours!$A:$A,0))+H848*INDEX(Hours!D:D,MATCH(C848,Hours!$A:$A,0))+I848*INDEX(Hours!E:E,MATCH(C848,Hours!$A:$A,0))+J848*INDEX(Hours!F:F,MATCH(C848,Hours!$A:$A,0)))</f>
        <v>0</v>
      </c>
      <c r="S848" s="19">
        <f t="shared" si="27"/>
        <v>0</v>
      </c>
    </row>
    <row r="849" spans="1:19" x14ac:dyDescent="0.25">
      <c r="A849" s="11" t="str">
        <f>'Bldgs &amp; Rooms'!$A$24</f>
        <v>Main Bldg.</v>
      </c>
      <c r="B849" s="11">
        <f>'Bldgs &amp; Rooms'!$B$24</f>
        <v>0</v>
      </c>
      <c r="C849" s="10" t="str">
        <f>Hours!$A$35</f>
        <v>HVAC Equipment (Large)</v>
      </c>
      <c r="D849" s="11">
        <f t="shared" si="26"/>
        <v>0</v>
      </c>
      <c r="E849" s="16">
        <f>IF('Components Yr 1'!E849=0,0,'Components Yr 1'!E849)</f>
        <v>0</v>
      </c>
      <c r="F849" s="17">
        <f>IF('Components Yr 1'!F849=0,0,'Components Yr 1'!F849)</f>
        <v>0</v>
      </c>
      <c r="G849" s="17">
        <f>IF('Components Yr 1'!G849=0,0,'Components Yr 1'!G849)</f>
        <v>0</v>
      </c>
      <c r="H849" s="17">
        <f>IF('Components Yr 1'!H849=0,0,'Components Yr 1'!H849)</f>
        <v>0</v>
      </c>
      <c r="I849" s="17">
        <f>IF('Components Yr 1'!I849=0,0,'Components Yr 1'!I849)</f>
        <v>0</v>
      </c>
      <c r="J849" s="17">
        <f>IF('Components Yr 1'!J849=0,0,'Components Yr 1'!J849)</f>
        <v>0</v>
      </c>
      <c r="K849" s="12"/>
      <c r="L849" s="12"/>
      <c r="M849" s="12"/>
      <c r="N849" s="12"/>
      <c r="O849" s="12"/>
      <c r="P849" s="12"/>
      <c r="Q849" s="17"/>
      <c r="R849" s="18">
        <f>IF(SUMPRODUCT((E849:Q849)*1)=0,0,E849*INDEX(Hours!M:M,MATCH(C849,Hours!$A:$A,0))+F849*INDEX(Hours!B:B,MATCH(C849,Hours!$A:$A,0))+G849*INDEX(Hours!C:C,MATCH(C849,Hours!$A:$A,0))+H849*INDEX(Hours!D:D,MATCH(C849,Hours!$A:$A,0))+I849*INDEX(Hours!E:E,MATCH(C849,Hours!$A:$A,0))+J849*INDEX(Hours!F:F,MATCH(C849,Hours!$A:$A,0)))</f>
        <v>0</v>
      </c>
      <c r="S849" s="19">
        <f t="shared" si="27"/>
        <v>0</v>
      </c>
    </row>
    <row r="850" spans="1:19" x14ac:dyDescent="0.25">
      <c r="A850" s="11" t="str">
        <f>'Bldgs &amp; Rooms'!$A$24</f>
        <v>Main Bldg.</v>
      </c>
      <c r="B850" s="11">
        <f>'Bldgs &amp; Rooms'!$B$24</f>
        <v>0</v>
      </c>
      <c r="C850" s="10" t="str">
        <f>Hours!$A$36</f>
        <v>HVAC Equipment (Small)</v>
      </c>
      <c r="D850" s="11">
        <f t="shared" si="26"/>
        <v>0</v>
      </c>
      <c r="E850" s="16">
        <f>IF('Components Yr 1'!E850=0,0,'Components Yr 1'!E850)</f>
        <v>0</v>
      </c>
      <c r="F850" s="17">
        <f>IF('Components Yr 1'!F850=0,0,'Components Yr 1'!F850)</f>
        <v>0</v>
      </c>
      <c r="G850" s="17">
        <f>IF('Components Yr 1'!G850=0,0,'Components Yr 1'!G850)</f>
        <v>0</v>
      </c>
      <c r="H850" s="17">
        <f>IF('Components Yr 1'!H850=0,0,'Components Yr 1'!H850)</f>
        <v>0</v>
      </c>
      <c r="I850" s="17">
        <f>IF('Components Yr 1'!I850=0,0,'Components Yr 1'!I850)</f>
        <v>0</v>
      </c>
      <c r="J850" s="17">
        <f>IF('Components Yr 1'!J850=0,0,'Components Yr 1'!J850)</f>
        <v>0</v>
      </c>
      <c r="K850" s="12"/>
      <c r="L850" s="12"/>
      <c r="M850" s="12"/>
      <c r="N850" s="12"/>
      <c r="O850" s="12"/>
      <c r="P850" s="12"/>
      <c r="Q850" s="17"/>
      <c r="R850" s="18">
        <f>IF(SUMPRODUCT((E850:Q850)*1)=0,0,E850*INDEX(Hours!M:M,MATCH(C850,Hours!$A:$A,0))+F850*INDEX(Hours!B:B,MATCH(C850,Hours!$A:$A,0))+G850*INDEX(Hours!C:C,MATCH(C850,Hours!$A:$A,0))+H850*INDEX(Hours!D:D,MATCH(C850,Hours!$A:$A,0))+I850*INDEX(Hours!E:E,MATCH(C850,Hours!$A:$A,0))+J850*INDEX(Hours!F:F,MATCH(C850,Hours!$A:$A,0)))</f>
        <v>0</v>
      </c>
      <c r="S850" s="19">
        <f t="shared" si="27"/>
        <v>0</v>
      </c>
    </row>
    <row r="851" spans="1:19" x14ac:dyDescent="0.25">
      <c r="A851" s="11" t="str">
        <f>'Bldgs &amp; Rooms'!$A$24</f>
        <v>Main Bldg.</v>
      </c>
      <c r="B851" s="11">
        <f>'Bldgs &amp; Rooms'!$B$24</f>
        <v>0</v>
      </c>
      <c r="C851" s="10" t="str">
        <f>Hours!$A$37</f>
        <v>Uninterruptible Power Supply (UPS) &lt; 50kVA</v>
      </c>
      <c r="D851" s="11">
        <f t="shared" si="26"/>
        <v>0</v>
      </c>
      <c r="E851" s="16">
        <f>IF('Components Yr 1'!E851=0,0,'Components Yr 1'!E851)</f>
        <v>0</v>
      </c>
      <c r="F851" s="17">
        <f>IF('Components Yr 1'!F851=0,0,'Components Yr 1'!F851)</f>
        <v>0</v>
      </c>
      <c r="G851" s="17">
        <f>IF('Components Yr 1'!G851=0,0,'Components Yr 1'!G851)</f>
        <v>0</v>
      </c>
      <c r="H851" s="17">
        <f>IF('Components Yr 1'!H851=0,0,'Components Yr 1'!H851)</f>
        <v>0</v>
      </c>
      <c r="I851" s="17">
        <f>IF('Components Yr 1'!I851=0,0,'Components Yr 1'!I851)</f>
        <v>0</v>
      </c>
      <c r="J851" s="17">
        <f>IF('Components Yr 1'!J851=0,0,'Components Yr 1'!J851)</f>
        <v>0</v>
      </c>
      <c r="K851" s="12"/>
      <c r="L851" s="12"/>
      <c r="M851" s="12"/>
      <c r="N851" s="12"/>
      <c r="O851" s="12"/>
      <c r="P851" s="12"/>
      <c r="Q851" s="17"/>
      <c r="R851" s="18">
        <f>IF(SUMPRODUCT((E851:Q851)*1)=0,0,E851*INDEX(Hours!M:M,MATCH(C851,Hours!$A:$A,0))+F851*INDEX(Hours!B:B,MATCH(C851,Hours!$A:$A,0))+G851*INDEX(Hours!C:C,MATCH(C851,Hours!$A:$A,0))+H851*INDEX(Hours!D:D,MATCH(C851,Hours!$A:$A,0))+I851*INDEX(Hours!E:E,MATCH(C851,Hours!$A:$A,0))+J851*INDEX(Hours!F:F,MATCH(C851,Hours!$A:$A,0)))</f>
        <v>0</v>
      </c>
      <c r="S851" s="19">
        <f t="shared" si="27"/>
        <v>0</v>
      </c>
    </row>
    <row r="852" spans="1:19" x14ac:dyDescent="0.25">
      <c r="A852" s="11" t="str">
        <f>'Bldgs &amp; Rooms'!$A$24</f>
        <v>Main Bldg.</v>
      </c>
      <c r="B852" s="11">
        <f>'Bldgs &amp; Rooms'!$B$24</f>
        <v>0</v>
      </c>
      <c r="C852" s="10" t="str">
        <f>Hours!$A$38</f>
        <v>Uninterruptible Power Supply (UPS) &gt; 50kVA</v>
      </c>
      <c r="D852" s="11">
        <f t="shared" si="26"/>
        <v>0</v>
      </c>
      <c r="E852" s="16">
        <f>IF('Components Yr 1'!E852=0,0,'Components Yr 1'!E852)</f>
        <v>0</v>
      </c>
      <c r="F852" s="17">
        <f>IF('Components Yr 1'!F852=0,0,'Components Yr 1'!F852)</f>
        <v>0</v>
      </c>
      <c r="G852" s="17">
        <f>IF('Components Yr 1'!G852=0,0,'Components Yr 1'!G852)</f>
        <v>0</v>
      </c>
      <c r="H852" s="17">
        <f>IF('Components Yr 1'!H852=0,0,'Components Yr 1'!H852)</f>
        <v>0</v>
      </c>
      <c r="I852" s="17">
        <f>IF('Components Yr 1'!I852=0,0,'Components Yr 1'!I852)</f>
        <v>0</v>
      </c>
      <c r="J852" s="17">
        <f>IF('Components Yr 1'!J852=0,0,'Components Yr 1'!J852)</f>
        <v>0</v>
      </c>
      <c r="K852" s="12"/>
      <c r="L852" s="12"/>
      <c r="M852" s="12"/>
      <c r="N852" s="12"/>
      <c r="O852" s="12"/>
      <c r="P852" s="12"/>
      <c r="Q852" s="17"/>
      <c r="R852" s="18">
        <f>IF(SUMPRODUCT((E852:Q852)*1)=0,0,E852*INDEX(Hours!M:M,MATCH(C852,Hours!$A:$A,0))+F852*INDEX(Hours!B:B,MATCH(C852,Hours!$A:$A,0))+G852*INDEX(Hours!C:C,MATCH(C852,Hours!$A:$A,0))+H852*INDEX(Hours!D:D,MATCH(C852,Hours!$A:$A,0))+I852*INDEX(Hours!E:E,MATCH(C852,Hours!$A:$A,0))+J852*INDEX(Hours!F:F,MATCH(C852,Hours!$A:$A,0)))</f>
        <v>0</v>
      </c>
      <c r="S852" s="19">
        <f t="shared" si="27"/>
        <v>0</v>
      </c>
    </row>
    <row r="853" spans="1:19" x14ac:dyDescent="0.25">
      <c r="A853" s="15" t="str">
        <f>'Bldgs &amp; Rooms'!$A$25</f>
        <v>Main Bldg.</v>
      </c>
      <c r="B853" s="15">
        <f>'Bldgs &amp; Rooms'!$B$25</f>
        <v>0</v>
      </c>
      <c r="C853" s="14" t="str">
        <f>Hours!$A$2</f>
        <v>Switchgear - Incoming Main Service (Per Section)</v>
      </c>
      <c r="D853" s="15">
        <f t="shared" si="26"/>
        <v>0</v>
      </c>
      <c r="E853" s="16">
        <f>IF('Components Yr 1'!E853=0,0,'Components Yr 1'!E853)</f>
        <v>0</v>
      </c>
      <c r="F853" s="17">
        <f>IF('Components Yr 1'!F853=0,0,'Components Yr 1'!F853)</f>
        <v>0</v>
      </c>
      <c r="G853" s="17">
        <f>IF('Components Yr 1'!G853=0,0,'Components Yr 1'!G853)</f>
        <v>0</v>
      </c>
      <c r="H853" s="17">
        <f>IF('Components Yr 1'!H853=0,0,'Components Yr 1'!H853)</f>
        <v>0</v>
      </c>
      <c r="I853" s="17">
        <f>IF('Components Yr 1'!I853=0,0,'Components Yr 1'!I853)</f>
        <v>0</v>
      </c>
      <c r="J853" s="17">
        <f>IF('Components Yr 1'!J853=0,0,'Components Yr 1'!J853)</f>
        <v>0</v>
      </c>
      <c r="K853" s="17">
        <f>IF('Components Yr 1'!K853=0,0,'Components Yr 1'!K853)</f>
        <v>0</v>
      </c>
      <c r="L853" s="17">
        <f>IF('Components Yr 1'!L853=0,0,'Components Yr 1'!L853)</f>
        <v>0</v>
      </c>
      <c r="M853" s="12"/>
      <c r="N853" s="12"/>
      <c r="O853" s="17">
        <f>IF('Components Yr 1'!O853=0,0,'Components Yr 1'!O853)</f>
        <v>0</v>
      </c>
      <c r="P853" s="12"/>
      <c r="Q853" s="17"/>
      <c r="R853" s="18">
        <f>IF(SUMPRODUCT((E853:Q853)*1)=0,0,E853*INDEX(Hours!M:M,MATCH(C853,Hours!$A:$A,0))+F853*INDEX(Hours!B:B,MATCH(C853,Hours!$A:$A,0))+G853*INDEX(Hours!C:C,MATCH(C853,Hours!$A:$A,0))+H853*INDEX(Hours!D:D,MATCH(C853,Hours!$A:$A,0))+I853*INDEX(Hours!E:E,MATCH(C853,Hours!$A:$A,0))+J853*INDEX(Hours!F:F,MATCH(C853,Hours!$A:$A,0))+K853*INDEX(Hours!G:G,MATCH(C853,Hours!$A:$A,0))+L853*INDEX(Hours!H:H,MATCH(C853,Hours!$A:$A,0))+O853*INDEX(Hours!K:K,MATCH(C853,Hours!$A:$A,0)))</f>
        <v>0</v>
      </c>
      <c r="S853" s="19">
        <f t="shared" si="27"/>
        <v>0</v>
      </c>
    </row>
    <row r="854" spans="1:19" x14ac:dyDescent="0.25">
      <c r="A854" s="15" t="str">
        <f>'Bldgs &amp; Rooms'!$A$25</f>
        <v>Main Bldg.</v>
      </c>
      <c r="B854" s="15">
        <f>'Bldgs &amp; Rooms'!$B$25</f>
        <v>0</v>
      </c>
      <c r="C854" s="14" t="str">
        <f>Hours!$A$3</f>
        <v xml:space="preserve">  Switchgear Insulated Case Breakers (Bus Mounted)</v>
      </c>
      <c r="D854" s="15">
        <f t="shared" si="26"/>
        <v>0</v>
      </c>
      <c r="E854" s="16">
        <f>IF('Components Yr 1'!E854=0,0,'Components Yr 1'!E854)</f>
        <v>0</v>
      </c>
      <c r="F854" s="17">
        <f>IF('Components Yr 1'!F854=0,0,'Components Yr 1'!F854)</f>
        <v>0</v>
      </c>
      <c r="G854" s="17">
        <f>IF('Components Yr 1'!G854=0,0,'Components Yr 1'!G854)</f>
        <v>0</v>
      </c>
      <c r="H854" s="17">
        <f>IF('Components Yr 1'!H854=0,0,'Components Yr 1'!H854)</f>
        <v>0</v>
      </c>
      <c r="I854" s="17">
        <f>IF('Components Yr 1'!I854=0,0,'Components Yr 1'!I854)</f>
        <v>0</v>
      </c>
      <c r="J854" s="17">
        <f>IF('Components Yr 1'!J854=0,0,'Components Yr 1'!J854)</f>
        <v>0</v>
      </c>
      <c r="K854" s="17">
        <f>IF('Components Yr 1'!K854=0,0,'Components Yr 1'!K854)</f>
        <v>0</v>
      </c>
      <c r="L854" s="12"/>
      <c r="M854" s="12"/>
      <c r="N854" s="12"/>
      <c r="O854" s="12"/>
      <c r="P854" s="12"/>
      <c r="Q854" s="17"/>
      <c r="R854" s="18">
        <f>IF(SUMPRODUCT((E854:Q854)*1)=0,0,E854*INDEX(Hours!M:M,MATCH(C854,Hours!$A:$A,0))+F854*INDEX(Hours!B:B,MATCH(C854,Hours!$A:$A,0))+G854*INDEX(Hours!C:C,MATCH(C854,Hours!$A:$A,0))+H854*INDEX(Hours!D:D,MATCH(C854,Hours!$A:$A,0))+I854*INDEX(Hours!E:E,MATCH(C854,Hours!$A:$A,0))+J854*INDEX(Hours!F:F,MATCH(C854,Hours!$A:$A,0))+K854*INDEX(Hours!G:G,MATCH(C854,Hours!$A:$A,0)))</f>
        <v>0</v>
      </c>
      <c r="S854" s="19">
        <f t="shared" si="27"/>
        <v>0</v>
      </c>
    </row>
    <row r="855" spans="1:19" x14ac:dyDescent="0.25">
      <c r="A855" s="15" t="str">
        <f>'Bldgs &amp; Rooms'!$A$25</f>
        <v>Main Bldg.</v>
      </c>
      <c r="B855" s="15">
        <f>'Bldgs &amp; Rooms'!$B$25</f>
        <v>0</v>
      </c>
      <c r="C855" s="14" t="str">
        <f>Hours!$A$4</f>
        <v xml:space="preserve">  SwitchGear Drawout Breakers</v>
      </c>
      <c r="D855" s="15">
        <f t="shared" si="26"/>
        <v>0</v>
      </c>
      <c r="E855" s="16">
        <f>IF('Components Yr 1'!E855=0,0,'Components Yr 1'!E855)</f>
        <v>0</v>
      </c>
      <c r="F855" s="17">
        <f>IF('Components Yr 1'!F855=0,0,'Components Yr 1'!F855)</f>
        <v>0</v>
      </c>
      <c r="G855" s="17">
        <f>IF('Components Yr 1'!G855=0,0,'Components Yr 1'!G855)</f>
        <v>0</v>
      </c>
      <c r="H855" s="17">
        <f>IF('Components Yr 1'!H855=0,0,'Components Yr 1'!H855)</f>
        <v>0</v>
      </c>
      <c r="I855" s="17">
        <f>IF('Components Yr 1'!I855=0,0,'Components Yr 1'!I855)</f>
        <v>0</v>
      </c>
      <c r="J855" s="17">
        <f>IF('Components Yr 1'!J855=0,0,'Components Yr 1'!J855)</f>
        <v>0</v>
      </c>
      <c r="K855" s="12"/>
      <c r="L855" s="17">
        <f>IF('Components Yr 1'!L855=0,0,'Components Yr 1'!L855)</f>
        <v>0</v>
      </c>
      <c r="M855" s="12"/>
      <c r="N855" s="12"/>
      <c r="O855" s="12"/>
      <c r="P855" s="12"/>
      <c r="Q855" s="17"/>
      <c r="R855" s="18">
        <f>IF(SUMPRODUCT((E855:Q855)*1)=0,0,E855*INDEX(Hours!M:M,MATCH(C855,Hours!$A:$A,0))+F855*INDEX(Hours!B:B,MATCH(C855,Hours!$A:$A,0))+G855*INDEX(Hours!C:C,MATCH(C855,Hours!$A:$A,0))+H855*INDEX(Hours!D:D,MATCH(C855,Hours!$A:$A,0))+I855*INDEX(Hours!E:E,MATCH(C855,Hours!$A:$A,0))+J855*INDEX(Hours!F:F,MATCH(C855,Hours!$A:$A,0))+L855*INDEX(Hours!H:H,MATCH(C855,Hours!$A:$A,0)))</f>
        <v>0</v>
      </c>
      <c r="S855" s="19">
        <f t="shared" si="27"/>
        <v>0</v>
      </c>
    </row>
    <row r="856" spans="1:19" x14ac:dyDescent="0.25">
      <c r="A856" s="15" t="str">
        <f>'Bldgs &amp; Rooms'!$A$25</f>
        <v>Main Bldg.</v>
      </c>
      <c r="B856" s="15">
        <f>'Bldgs &amp; Rooms'!$B$25</f>
        <v>0</v>
      </c>
      <c r="C856" s="14" t="str">
        <f>Hours!$A$5</f>
        <v>Distribution Switchboard Multi Cover (Per Section)</v>
      </c>
      <c r="D856" s="15">
        <f t="shared" si="26"/>
        <v>0</v>
      </c>
      <c r="E856" s="16">
        <f>IF('Components Yr 1'!E856=0,0,'Components Yr 1'!E856)</f>
        <v>0</v>
      </c>
      <c r="F856" s="17">
        <f>IF('Components Yr 1'!F856=0,0,'Components Yr 1'!F856)</f>
        <v>0</v>
      </c>
      <c r="G856" s="17">
        <f>IF('Components Yr 1'!G856=0,0,'Components Yr 1'!G856)</f>
        <v>0</v>
      </c>
      <c r="H856" s="17">
        <f>IF('Components Yr 1'!H856=0,0,'Components Yr 1'!H856)</f>
        <v>0</v>
      </c>
      <c r="I856" s="17">
        <f>IF('Components Yr 1'!I856=0,0,'Components Yr 1'!I856)</f>
        <v>0</v>
      </c>
      <c r="J856" s="17">
        <f>IF('Components Yr 1'!J856=0,0,'Components Yr 1'!J856)</f>
        <v>0</v>
      </c>
      <c r="K856" s="17">
        <f>IF('Components Yr 1'!K856=0,0,'Components Yr 1'!K856)</f>
        <v>0</v>
      </c>
      <c r="L856" s="12"/>
      <c r="M856" s="12"/>
      <c r="N856" s="12"/>
      <c r="O856" s="17">
        <f>IF('Components Yr 1'!O856=0,0,'Components Yr 1'!O856)</f>
        <v>0</v>
      </c>
      <c r="P856" s="12"/>
      <c r="Q856" s="17"/>
      <c r="R856" s="18">
        <f>IF(SUMPRODUCT((E856:Q856)*1)=0,0,E856*INDEX(Hours!M:M,MATCH(C856,Hours!$A:$A,0))+F856*INDEX(Hours!B:B,MATCH(C856,Hours!$A:$A,0))+G856*INDEX(Hours!C:C,MATCH(C856,Hours!$A:$A,0))+H856*INDEX(Hours!D:D,MATCH(C856,Hours!$A:$A,0))+I856*INDEX(Hours!E:E,MATCH(C856,Hours!$A:$A,0))+J856*INDEX(Hours!F:F,MATCH(C856,Hours!$A:$A,0))+K856*INDEX(Hours!G:G,MATCH(C856,Hours!$A:$A,0))+O856*INDEX(Hours!K:K,MATCH(C856,Hours!$A:$A,0)))</f>
        <v>0</v>
      </c>
      <c r="S856" s="19">
        <f t="shared" si="27"/>
        <v>0</v>
      </c>
    </row>
    <row r="857" spans="1:19" x14ac:dyDescent="0.25">
      <c r="A857" s="15" t="str">
        <f>'Bldgs &amp; Rooms'!$A$25</f>
        <v>Main Bldg.</v>
      </c>
      <c r="B857" s="15">
        <f>'Bldgs &amp; Rooms'!$B$25</f>
        <v>0</v>
      </c>
      <c r="C857" s="14" t="str">
        <f>Hours!$A$6</f>
        <v xml:space="preserve">  Switchboard Disconnects</v>
      </c>
      <c r="D857" s="15">
        <f t="shared" si="26"/>
        <v>0</v>
      </c>
      <c r="E857" s="16">
        <f>IF('Components Yr 1'!E857=0,0,'Components Yr 1'!E857)</f>
        <v>0</v>
      </c>
      <c r="F857" s="17">
        <f>IF('Components Yr 1'!F857=0,0,'Components Yr 1'!F857)</f>
        <v>0</v>
      </c>
      <c r="G857" s="17">
        <f>IF('Components Yr 1'!G857=0,0,'Components Yr 1'!G857)</f>
        <v>0</v>
      </c>
      <c r="H857" s="17">
        <f>IF('Components Yr 1'!H857=0,0,'Components Yr 1'!H857)</f>
        <v>0</v>
      </c>
      <c r="I857" s="17">
        <f>IF('Components Yr 1'!I857=0,0,'Components Yr 1'!I857)</f>
        <v>0</v>
      </c>
      <c r="J857" s="17">
        <f>IF('Components Yr 1'!J857=0,0,'Components Yr 1'!J857)</f>
        <v>0</v>
      </c>
      <c r="K857" s="12"/>
      <c r="L857" s="12"/>
      <c r="M857" s="12"/>
      <c r="N857" s="12"/>
      <c r="O857" s="12"/>
      <c r="P857" s="12"/>
      <c r="Q857" s="17"/>
      <c r="R857" s="18">
        <f>IF(SUMPRODUCT((E857:Q857)*1)=0,0,E857*INDEX(Hours!M:M,MATCH(C857,Hours!$A:$A,0))+F857*INDEX(Hours!B:B,MATCH(C857,Hours!$A:$A,0))+G857*INDEX(Hours!C:C,MATCH(C857,Hours!$A:$A,0))+H857*INDEX(Hours!D:D,MATCH(C857,Hours!$A:$A,0))+I857*INDEX(Hours!E:E,MATCH(C857,Hours!$A:$A,0))+J857*INDEX(Hours!F:F,MATCH(C857,Hours!$A:$A,0)))</f>
        <v>0</v>
      </c>
      <c r="S857" s="19">
        <f t="shared" si="27"/>
        <v>0</v>
      </c>
    </row>
    <row r="858" spans="1:19" x14ac:dyDescent="0.25">
      <c r="A858" s="15" t="str">
        <f>'Bldgs &amp; Rooms'!$A$25</f>
        <v>Main Bldg.</v>
      </c>
      <c r="B858" s="15">
        <f>'Bldgs &amp; Rooms'!$B$25</f>
        <v>0</v>
      </c>
      <c r="C858" s="14" t="str">
        <f>Hours!$A$7</f>
        <v xml:space="preserve">  Switchboard Molded Case Breakers</v>
      </c>
      <c r="D858" s="15">
        <f t="shared" si="26"/>
        <v>0</v>
      </c>
      <c r="E858" s="16">
        <f>IF('Components Yr 1'!E858=0,0,'Components Yr 1'!E858)</f>
        <v>0</v>
      </c>
      <c r="F858" s="17">
        <f>IF('Components Yr 1'!F858=0,0,'Components Yr 1'!F858)</f>
        <v>0</v>
      </c>
      <c r="G858" s="17">
        <f>IF('Components Yr 1'!G858=0,0,'Components Yr 1'!G858)</f>
        <v>0</v>
      </c>
      <c r="H858" s="17">
        <f>IF('Components Yr 1'!H858=0,0,'Components Yr 1'!H858)</f>
        <v>0</v>
      </c>
      <c r="I858" s="17">
        <f>IF('Components Yr 1'!I858=0,0,'Components Yr 1'!I858)</f>
        <v>0</v>
      </c>
      <c r="J858" s="17">
        <f>IF('Components Yr 1'!J858=0,0,'Components Yr 1'!J858)</f>
        <v>0</v>
      </c>
      <c r="K858" s="17">
        <f>IF('Components Yr 1'!K858=0,0,'Components Yr 1'!K858)</f>
        <v>0</v>
      </c>
      <c r="L858" s="12"/>
      <c r="M858" s="12"/>
      <c r="N858" s="12"/>
      <c r="O858" s="12"/>
      <c r="P858" s="12"/>
      <c r="Q858" s="17"/>
      <c r="R858" s="18">
        <f>IF(SUMPRODUCT((E858:Q858)*1)=0,0,E858*INDEX(Hours!M:M,MATCH(C858,Hours!$A:$A,0))+F858*INDEX(Hours!B:B,MATCH(C858,Hours!$A:$A,0))+G858*INDEX(Hours!C:C,MATCH(C858,Hours!$A:$A,0))+H858*INDEX(Hours!D:D,MATCH(C858,Hours!$A:$A,0))+I858*INDEX(Hours!E:E,MATCH(C858,Hours!$A:$A,0))+J858*INDEX(Hours!F:F,MATCH(C858,Hours!$A:$A,0))+K858*INDEX(Hours!G:G,MATCH(C858,Hours!$A:$A,0)))</f>
        <v>0</v>
      </c>
      <c r="S858" s="19">
        <f t="shared" si="27"/>
        <v>0</v>
      </c>
    </row>
    <row r="859" spans="1:19" x14ac:dyDescent="0.25">
      <c r="A859" s="15" t="str">
        <f>'Bldgs &amp; Rooms'!$A$25</f>
        <v>Main Bldg.</v>
      </c>
      <c r="B859" s="15">
        <f>'Bldgs &amp; Rooms'!$B$25</f>
        <v>0</v>
      </c>
      <c r="C859" s="14" t="str">
        <f>Hours!$A$8</f>
        <v>Panelboard-Single Cover &gt; 400A (Distribution Panel)</v>
      </c>
      <c r="D859" s="15">
        <f t="shared" si="26"/>
        <v>0</v>
      </c>
      <c r="E859" s="16">
        <f>IF('Components Yr 1'!E859=0,0,'Components Yr 1'!E859)</f>
        <v>0</v>
      </c>
      <c r="F859" s="17">
        <f>IF('Components Yr 1'!F859=0,0,'Components Yr 1'!F859)</f>
        <v>0</v>
      </c>
      <c r="G859" s="17">
        <f>IF('Components Yr 1'!G859=0,0,'Components Yr 1'!G859)</f>
        <v>0</v>
      </c>
      <c r="H859" s="17">
        <f>IF('Components Yr 1'!H859=0,0,'Components Yr 1'!H859)</f>
        <v>0</v>
      </c>
      <c r="I859" s="17">
        <f>IF('Components Yr 1'!I859=0,0,'Components Yr 1'!I859)</f>
        <v>0</v>
      </c>
      <c r="J859" s="17">
        <f>IF('Components Yr 1'!J859=0,0,'Components Yr 1'!J859)</f>
        <v>0</v>
      </c>
      <c r="K859" s="17">
        <f>IF('Components Yr 1'!K859=0,0,'Components Yr 1'!K859)</f>
        <v>0</v>
      </c>
      <c r="L859" s="12"/>
      <c r="M859" s="12"/>
      <c r="N859" s="12"/>
      <c r="O859" s="17">
        <f>IF('Components Yr 1'!O859=0,0,'Components Yr 1'!O859)</f>
        <v>0</v>
      </c>
      <c r="P859" s="12"/>
      <c r="Q859" s="17"/>
      <c r="R859" s="18">
        <f>IF(SUMPRODUCT((E859:Q859)*1)=0,0,E859*INDEX(Hours!M:M,MATCH(C859,Hours!$A:$A,0))+F859*INDEX(Hours!B:B,MATCH(C859,Hours!$A:$A,0))+G859*INDEX(Hours!C:C,MATCH(C859,Hours!$A:$A,0))+H859*INDEX(Hours!D:D,MATCH(C859,Hours!$A:$A,0))+I859*INDEX(Hours!E:E,MATCH(C859,Hours!$A:$A,0))+J859*INDEX(Hours!F:F,MATCH(C859,Hours!$A:$A,0))+K859*INDEX(Hours!G:G,MATCH(C859,Hours!$A:$A,0))+O859*INDEX(Hours!K:K,MATCH(C859,Hours!$A:$A,0)))</f>
        <v>0</v>
      </c>
      <c r="S859" s="19">
        <f t="shared" si="27"/>
        <v>0</v>
      </c>
    </row>
    <row r="860" spans="1:19" x14ac:dyDescent="0.25">
      <c r="A860" s="15" t="str">
        <f>'Bldgs &amp; Rooms'!$A$25</f>
        <v>Main Bldg.</v>
      </c>
      <c r="B860" s="15">
        <f>'Bldgs &amp; Rooms'!$B$25</f>
        <v>0</v>
      </c>
      <c r="C860" s="14" t="str">
        <f>Hours!$A$9</f>
        <v>Panelboard-Single Cover &lt; 400A (Branch Ckt Panel)</v>
      </c>
      <c r="D860" s="15">
        <f t="shared" si="26"/>
        <v>0</v>
      </c>
      <c r="E860" s="16">
        <f>IF('Components Yr 1'!E860=0,0,'Components Yr 1'!E860)</f>
        <v>0</v>
      </c>
      <c r="F860" s="17">
        <f>IF('Components Yr 1'!F860=0,0,'Components Yr 1'!F860)</f>
        <v>0</v>
      </c>
      <c r="G860" s="17">
        <f>IF('Components Yr 1'!G860=0,0,'Components Yr 1'!G860)</f>
        <v>0</v>
      </c>
      <c r="H860" s="17">
        <f>IF('Components Yr 1'!H860=0,0,'Components Yr 1'!H860)</f>
        <v>0</v>
      </c>
      <c r="I860" s="17">
        <f>IF('Components Yr 1'!I860=0,0,'Components Yr 1'!I860)</f>
        <v>0</v>
      </c>
      <c r="J860" s="17">
        <f>IF('Components Yr 1'!J860=0,0,'Components Yr 1'!J860)</f>
        <v>0</v>
      </c>
      <c r="K860" s="12"/>
      <c r="L860" s="12"/>
      <c r="M860" s="12"/>
      <c r="N860" s="12"/>
      <c r="O860" s="17">
        <f>IF('Components Yr 1'!O860=0,0,'Components Yr 1'!O860)</f>
        <v>0</v>
      </c>
      <c r="P860" s="12"/>
      <c r="Q860" s="17"/>
      <c r="R860" s="18">
        <f>IF(SUMPRODUCT((E860:Q860)*1)=0,0,E860*INDEX(Hours!M:M,MATCH(C860,Hours!$A:$A,0))+F860*INDEX(Hours!B:B,MATCH(C860,Hours!$A:$A,0))+G860*INDEX(Hours!C:C,MATCH(C860,Hours!$A:$A,0))+H860*INDEX(Hours!D:D,MATCH(C860,Hours!$A:$A,0))+I860*INDEX(Hours!E:E,MATCH(C860,Hours!$A:$A,0))+J860*INDEX(Hours!F:F,MATCH(C860,Hours!$A:$A,0))+O860*INDEX(Hours!K:K,MATCH(C860,Hours!$A:$A,0)))</f>
        <v>0</v>
      </c>
      <c r="S860" s="19">
        <f t="shared" si="27"/>
        <v>0</v>
      </c>
    </row>
    <row r="861" spans="1:19" x14ac:dyDescent="0.25">
      <c r="A861" s="15" t="str">
        <f>'Bldgs &amp; Rooms'!$A$25</f>
        <v>Main Bldg.</v>
      </c>
      <c r="B861" s="15">
        <f>'Bldgs &amp; Rooms'!$B$25</f>
        <v>0</v>
      </c>
      <c r="C861" s="14" t="str">
        <f>Hours!$A$10</f>
        <v>Motor Control Center (MCC-Per Vertical Section)</v>
      </c>
      <c r="D861" s="15">
        <f t="shared" si="26"/>
        <v>0</v>
      </c>
      <c r="E861" s="16">
        <f>IF('Components Yr 1'!E861=0,0,'Components Yr 1'!E861)</f>
        <v>0</v>
      </c>
      <c r="F861" s="17">
        <f>IF('Components Yr 1'!F861=0,0,'Components Yr 1'!F861)</f>
        <v>0</v>
      </c>
      <c r="G861" s="17">
        <f>IF('Components Yr 1'!G861=0,0,'Components Yr 1'!G861)</f>
        <v>0</v>
      </c>
      <c r="H861" s="17">
        <f>IF('Components Yr 1'!H861=0,0,'Components Yr 1'!H861)</f>
        <v>0</v>
      </c>
      <c r="I861" s="17">
        <f>IF('Components Yr 1'!I861=0,0,'Components Yr 1'!I861)</f>
        <v>0</v>
      </c>
      <c r="J861" s="17">
        <f>IF('Components Yr 1'!J861=0,0,'Components Yr 1'!J861)</f>
        <v>0</v>
      </c>
      <c r="K861" s="12"/>
      <c r="L861" s="12"/>
      <c r="M861" s="12"/>
      <c r="N861" s="12"/>
      <c r="O861" s="17">
        <f>IF('Components Yr 1'!O861=0,0,'Components Yr 1'!O861)</f>
        <v>0</v>
      </c>
      <c r="P861" s="12"/>
      <c r="Q861" s="17"/>
      <c r="R861" s="18">
        <f>IF(SUMPRODUCT((E861:Q861)*1)=0,0,E861*INDEX(Hours!M:M,MATCH(C861,Hours!$A:$A,0))+F861*INDEX(Hours!B:B,MATCH(C861,Hours!$A:$A,0))+G861*INDEX(Hours!C:C,MATCH(C861,Hours!$A:$A,0))+H861*INDEX(Hours!D:D,MATCH(C861,Hours!$A:$A,0))+I861*INDEX(Hours!E:E,MATCH(C861,Hours!$A:$A,0))+J861*INDEX(Hours!F:F,MATCH(C861,Hours!$A:$A,0))+O861*INDEX(Hours!K:K,MATCH(C861,Hours!$A:$A,0)))</f>
        <v>0</v>
      </c>
      <c r="S861" s="19">
        <f t="shared" si="27"/>
        <v>0</v>
      </c>
    </row>
    <row r="862" spans="1:19" x14ac:dyDescent="0.25">
      <c r="A862" s="15" t="str">
        <f>'Bldgs &amp; Rooms'!$A$25</f>
        <v>Main Bldg.</v>
      </c>
      <c r="B862" s="15">
        <f>'Bldgs &amp; Rooms'!$B$25</f>
        <v>0</v>
      </c>
      <c r="C862" s="14" t="str">
        <f>Hours!$A$11</f>
        <v xml:space="preserve">  MCC: Combination Motor Starters</v>
      </c>
      <c r="D862" s="15">
        <f t="shared" si="26"/>
        <v>0</v>
      </c>
      <c r="E862" s="16">
        <f>IF('Components Yr 1'!E862=0,0,'Components Yr 1'!E862)</f>
        <v>0</v>
      </c>
      <c r="F862" s="17">
        <f>IF('Components Yr 1'!F862=0,0,'Components Yr 1'!F862)</f>
        <v>0</v>
      </c>
      <c r="G862" s="17">
        <f>IF('Components Yr 1'!G862=0,0,'Components Yr 1'!G862)</f>
        <v>0</v>
      </c>
      <c r="H862" s="17">
        <f>IF('Components Yr 1'!H862=0,0,'Components Yr 1'!H862)</f>
        <v>0</v>
      </c>
      <c r="I862" s="17">
        <f>IF('Components Yr 1'!I862=0,0,'Components Yr 1'!I862)</f>
        <v>0</v>
      </c>
      <c r="J862" s="17">
        <f>IF('Components Yr 1'!J862=0,0,'Components Yr 1'!J862)</f>
        <v>0</v>
      </c>
      <c r="K862" s="17">
        <f>IF('Components Yr 1'!K862=0,0,'Components Yr 1'!K862)</f>
        <v>0</v>
      </c>
      <c r="L862" s="12"/>
      <c r="M862" s="12"/>
      <c r="N862" s="12"/>
      <c r="O862" s="17">
        <f>IF('Components Yr 1'!O862=0,0,'Components Yr 1'!O862)</f>
        <v>0</v>
      </c>
      <c r="P862" s="12"/>
      <c r="Q862" s="17"/>
      <c r="R862" s="18">
        <f>IF(SUMPRODUCT((E862:Q862)*1)=0,0,E862*INDEX(Hours!M:M,MATCH(C862,Hours!$A:$A,0))+F862*INDEX(Hours!B:B,MATCH(C862,Hours!$A:$A,0))+G862*INDEX(Hours!C:C,MATCH(C862,Hours!$A:$A,0))+H862*INDEX(Hours!D:D,MATCH(C862,Hours!$A:$A,0))+I862*INDEX(Hours!E:E,MATCH(C862,Hours!$A:$A,0))+J862*INDEX(Hours!F:F,MATCH(C862,Hours!$A:$A,0))+K862*INDEX(Hours!G:G,MATCH(C862,Hours!$A:$A,0))+O862*INDEX(Hours!K:K,MATCH(C862,Hours!$A:$A,0)))</f>
        <v>0</v>
      </c>
      <c r="S862" s="19">
        <f t="shared" si="27"/>
        <v>0</v>
      </c>
    </row>
    <row r="863" spans="1:19" x14ac:dyDescent="0.25">
      <c r="A863" s="15" t="str">
        <f>'Bldgs &amp; Rooms'!$A$25</f>
        <v>Main Bldg.</v>
      </c>
      <c r="B863" s="15">
        <f>'Bldgs &amp; Rooms'!$B$25</f>
        <v>0</v>
      </c>
      <c r="C863" s="14" t="str">
        <f>Hours!$A$12</f>
        <v xml:space="preserve">  MCC: Molded Case Breaker</v>
      </c>
      <c r="D863" s="15">
        <f t="shared" si="26"/>
        <v>0</v>
      </c>
      <c r="E863" s="16">
        <f>IF('Components Yr 1'!E863=0,0,'Components Yr 1'!E863)</f>
        <v>0</v>
      </c>
      <c r="F863" s="17">
        <f>IF('Components Yr 1'!F863=0,0,'Components Yr 1'!F863)</f>
        <v>0</v>
      </c>
      <c r="G863" s="17">
        <f>IF('Components Yr 1'!G863=0,0,'Components Yr 1'!G863)</f>
        <v>0</v>
      </c>
      <c r="H863" s="17">
        <f>IF('Components Yr 1'!H863=0,0,'Components Yr 1'!H863)</f>
        <v>0</v>
      </c>
      <c r="I863" s="17">
        <f>IF('Components Yr 1'!I863=0,0,'Components Yr 1'!I863)</f>
        <v>0</v>
      </c>
      <c r="J863" s="17">
        <f>IF('Components Yr 1'!J863=0,0,'Components Yr 1'!J863)</f>
        <v>0</v>
      </c>
      <c r="K863" s="17">
        <f>IF('Components Yr 1'!K863=0,0,'Components Yr 1'!K863)</f>
        <v>0</v>
      </c>
      <c r="L863" s="12"/>
      <c r="M863" s="12"/>
      <c r="N863" s="12"/>
      <c r="O863" s="12"/>
      <c r="P863" s="12"/>
      <c r="Q863" s="17"/>
      <c r="R863" s="18">
        <f>IF(SUMPRODUCT((E863:Q863)*1)=0,0,E863*INDEX(Hours!M:M,MATCH(C863,Hours!$A:$A,0))+F863*INDEX(Hours!B:B,MATCH(C863,Hours!$A:$A,0))+G863*INDEX(Hours!C:C,MATCH(C863,Hours!$A:$A,0))+H863*INDEX(Hours!D:D,MATCH(C863,Hours!$A:$A,0))+I863*INDEX(Hours!E:E,MATCH(C863,Hours!$A:$A,0))+J863*INDEX(Hours!F:F,MATCH(C863,Hours!$A:$A,0))+K863*INDEX(Hours!G:G,MATCH(C863,Hours!$A:$A,0)))</f>
        <v>0</v>
      </c>
      <c r="S863" s="19">
        <f t="shared" si="27"/>
        <v>0</v>
      </c>
    </row>
    <row r="864" spans="1:19" x14ac:dyDescent="0.25">
      <c r="A864" s="15" t="str">
        <f>'Bldgs &amp; Rooms'!$A$25</f>
        <v>Main Bldg.</v>
      </c>
      <c r="B864" s="15">
        <f>'Bldgs &amp; Rooms'!$B$25</f>
        <v>0</v>
      </c>
      <c r="C864" s="14" t="str">
        <f>Hours!$A$13</f>
        <v xml:space="preserve">  MCC: Individual Disconnect Switch</v>
      </c>
      <c r="D864" s="15">
        <f t="shared" si="26"/>
        <v>0</v>
      </c>
      <c r="E864" s="16">
        <f>IF('Components Yr 1'!E864=0,0,'Components Yr 1'!E864)</f>
        <v>0</v>
      </c>
      <c r="F864" s="17">
        <f>IF('Components Yr 1'!F864=0,0,'Components Yr 1'!F864)</f>
        <v>0</v>
      </c>
      <c r="G864" s="17">
        <f>IF('Components Yr 1'!G864=0,0,'Components Yr 1'!G864)</f>
        <v>0</v>
      </c>
      <c r="H864" s="17">
        <f>IF('Components Yr 1'!H864=0,0,'Components Yr 1'!H864)</f>
        <v>0</v>
      </c>
      <c r="I864" s="17">
        <f>IF('Components Yr 1'!I864=0,0,'Components Yr 1'!I864)</f>
        <v>0</v>
      </c>
      <c r="J864" s="17">
        <f>IF('Components Yr 1'!J864=0,0,'Components Yr 1'!J864)</f>
        <v>0</v>
      </c>
      <c r="K864" s="12"/>
      <c r="L864" s="12"/>
      <c r="M864" s="12"/>
      <c r="N864" s="12"/>
      <c r="O864" s="12"/>
      <c r="P864" s="12"/>
      <c r="Q864" s="17"/>
      <c r="R864" s="18">
        <f>IF(SUMPRODUCT((E864:Q864)*1)=0,0,E864*INDEX(Hours!M:M,MATCH(C864,Hours!$A:$A,0))+F864*INDEX(Hours!B:B,MATCH(C864,Hours!$A:$A,0))+G864*INDEX(Hours!C:C,MATCH(C864,Hours!$A:$A,0))+H864*INDEX(Hours!D:D,MATCH(C864,Hours!$A:$A,0))+I864*INDEX(Hours!E:E,MATCH(C864,Hours!$A:$A,0))+J864*INDEX(Hours!F:F,MATCH(C864,Hours!$A:$A,0)))</f>
        <v>0</v>
      </c>
      <c r="S864" s="19">
        <f t="shared" si="27"/>
        <v>0</v>
      </c>
    </row>
    <row r="865" spans="1:19" x14ac:dyDescent="0.25">
      <c r="A865" s="15" t="str">
        <f>'Bldgs &amp; Rooms'!$A$25</f>
        <v>Main Bldg.</v>
      </c>
      <c r="B865" s="15">
        <f>'Bldgs &amp; Rooms'!$B$25</f>
        <v>0</v>
      </c>
      <c r="C865" s="14" t="str">
        <f>Hours!$A$14</f>
        <v>Motor Control Panel (MCP)</v>
      </c>
      <c r="D865" s="15">
        <f t="shared" si="26"/>
        <v>0</v>
      </c>
      <c r="E865" s="16">
        <f>IF('Components Yr 1'!E865=0,0,'Components Yr 1'!E865)</f>
        <v>0</v>
      </c>
      <c r="F865" s="17">
        <f>IF('Components Yr 1'!F865=0,0,'Components Yr 1'!F865)</f>
        <v>0</v>
      </c>
      <c r="G865" s="17">
        <f>IF('Components Yr 1'!G865=0,0,'Components Yr 1'!G865)</f>
        <v>0</v>
      </c>
      <c r="H865" s="17">
        <f>IF('Components Yr 1'!H865=0,0,'Components Yr 1'!H865)</f>
        <v>0</v>
      </c>
      <c r="I865" s="17">
        <f>IF('Components Yr 1'!I865=0,0,'Components Yr 1'!I865)</f>
        <v>0</v>
      </c>
      <c r="J865" s="17">
        <f>IF('Components Yr 1'!J865=0,0,'Components Yr 1'!J865)</f>
        <v>0</v>
      </c>
      <c r="K865" s="12"/>
      <c r="L865" s="12"/>
      <c r="M865" s="12"/>
      <c r="N865" s="12"/>
      <c r="O865" s="17">
        <f>IF('Components Yr 1'!O865=0,0,'Components Yr 1'!O865)</f>
        <v>0</v>
      </c>
      <c r="P865" s="12"/>
      <c r="Q865" s="17"/>
      <c r="R865" s="18">
        <f>IF(SUMPRODUCT((E865:Q865)*1)=0,0,E865*INDEX(Hours!M:M,MATCH(C865,Hours!$A:$A,0))+F865*INDEX(Hours!B:B,MATCH(C865,Hours!$A:$A,0))+G865*INDEX(Hours!C:C,MATCH(C865,Hours!$A:$A,0))+H865*INDEX(Hours!D:D,MATCH(C865,Hours!$A:$A,0))+I865*INDEX(Hours!E:E,MATCH(C865,Hours!$A:$A,0))+J865*INDEX(Hours!F:F,MATCH(C865,Hours!$A:$A,0))+O865*INDEX(Hours!K:K,MATCH(C865,Hours!$A:$A,0)))</f>
        <v>0</v>
      </c>
      <c r="S865" s="19">
        <f t="shared" si="27"/>
        <v>0</v>
      </c>
    </row>
    <row r="866" spans="1:19" x14ac:dyDescent="0.25">
      <c r="A866" s="15" t="str">
        <f>'Bldgs &amp; Rooms'!$A$25</f>
        <v>Main Bldg.</v>
      </c>
      <c r="B866" s="15">
        <f>'Bldgs &amp; Rooms'!$B$25</f>
        <v>0</v>
      </c>
      <c r="C866" s="14" t="str">
        <f>Hours!$A$15</f>
        <v>VFD Motor Control Panel (VFD-MCP)</v>
      </c>
      <c r="D866" s="15">
        <f t="shared" si="26"/>
        <v>0</v>
      </c>
      <c r="E866" s="16">
        <f>IF('Components Yr 1'!E866=0,0,'Components Yr 1'!E866)</f>
        <v>0</v>
      </c>
      <c r="F866" s="17">
        <f>IF('Components Yr 1'!F866=0,0,'Components Yr 1'!F866)</f>
        <v>0</v>
      </c>
      <c r="G866" s="17">
        <f>IF('Components Yr 1'!G866=0,0,'Components Yr 1'!G866)</f>
        <v>0</v>
      </c>
      <c r="H866" s="17">
        <f>IF('Components Yr 1'!H866=0,0,'Components Yr 1'!H866)</f>
        <v>0</v>
      </c>
      <c r="I866" s="17">
        <f>IF('Components Yr 1'!I866=0,0,'Components Yr 1'!I866)</f>
        <v>0</v>
      </c>
      <c r="J866" s="17">
        <f>IF('Components Yr 1'!J866=0,0,'Components Yr 1'!J866)</f>
        <v>0</v>
      </c>
      <c r="K866" s="12"/>
      <c r="L866" s="12"/>
      <c r="M866" s="12"/>
      <c r="N866" s="12"/>
      <c r="O866" s="17">
        <f>IF('Components Yr 1'!O866=0,0,'Components Yr 1'!O866)</f>
        <v>0</v>
      </c>
      <c r="P866" s="12"/>
      <c r="Q866" s="17"/>
      <c r="R866" s="18">
        <f>IF(SUMPRODUCT((E866:Q866)*1)=0,0,E866*INDEX(Hours!M:M,MATCH(C866,Hours!$A:$A,0))+F866*INDEX(Hours!B:B,MATCH(C866,Hours!$A:$A,0))+G866*INDEX(Hours!C:C,MATCH(C866,Hours!$A:$A,0))+H866*INDEX(Hours!D:D,MATCH(C866,Hours!$A:$A,0))+I866*INDEX(Hours!E:E,MATCH(C866,Hours!$A:$A,0))+J866*INDEX(Hours!F:F,MATCH(C866,Hours!$A:$A,0))+O866*INDEX(Hours!K:K,MATCH(C866,Hours!$A:$A,0)))</f>
        <v>0</v>
      </c>
      <c r="S866" s="19">
        <f t="shared" si="27"/>
        <v>0</v>
      </c>
    </row>
    <row r="867" spans="1:19" x14ac:dyDescent="0.25">
      <c r="A867" s="15" t="str">
        <f>'Bldgs &amp; Rooms'!$A$25</f>
        <v>Main Bldg.</v>
      </c>
      <c r="B867" s="15">
        <f>'Bldgs &amp; Rooms'!$B$25</f>
        <v>0</v>
      </c>
      <c r="C867" s="14" t="str">
        <f>Hours!$A$16</f>
        <v>Individual Disconnect Switch &gt; 100A</v>
      </c>
      <c r="D867" s="15">
        <f t="shared" si="26"/>
        <v>0</v>
      </c>
      <c r="E867" s="16">
        <f>IF('Components Yr 1'!E867=0,0,'Components Yr 1'!E867)</f>
        <v>0</v>
      </c>
      <c r="F867" s="17">
        <f>IF('Components Yr 1'!F867=0,0,'Components Yr 1'!F867)</f>
        <v>0</v>
      </c>
      <c r="G867" s="17">
        <f>IF('Components Yr 1'!G867=0,0,'Components Yr 1'!G867)</f>
        <v>0</v>
      </c>
      <c r="H867" s="17">
        <f>IF('Components Yr 1'!H867=0,0,'Components Yr 1'!H867)</f>
        <v>0</v>
      </c>
      <c r="I867" s="17">
        <f>IF('Components Yr 1'!I867=0,0,'Components Yr 1'!I867)</f>
        <v>0</v>
      </c>
      <c r="J867" s="17">
        <f>IF('Components Yr 1'!J867=0,0,'Components Yr 1'!J867)</f>
        <v>0</v>
      </c>
      <c r="K867" s="17">
        <f>IF('Components Yr 1'!K867=0,0,'Components Yr 1'!K867)</f>
        <v>0</v>
      </c>
      <c r="L867" s="12"/>
      <c r="M867" s="12"/>
      <c r="N867" s="12"/>
      <c r="O867" s="12"/>
      <c r="P867" s="12"/>
      <c r="Q867" s="17"/>
      <c r="R867" s="18">
        <f>IF(SUMPRODUCT((E867:Q867)*1)=0,0,E867*INDEX(Hours!M:M,MATCH(C867,Hours!$A:$A,0))+F867*INDEX(Hours!B:B,MATCH(C867,Hours!$A:$A,0))+G867*INDEX(Hours!C:C,MATCH(C867,Hours!$A:$A,0))+H867*INDEX(Hours!D:D,MATCH(C867,Hours!$A:$A,0))+I867*INDEX(Hours!E:E,MATCH(C867,Hours!$A:$A,0))+J867*INDEX(Hours!F:F,MATCH(C867,Hours!$A:$A,0))+K867*INDEX(Hours!G:G,MATCH(C867,Hours!$A:$A,0)))</f>
        <v>0</v>
      </c>
      <c r="S867" s="19">
        <f t="shared" si="27"/>
        <v>0</v>
      </c>
    </row>
    <row r="868" spans="1:19" x14ac:dyDescent="0.25">
      <c r="A868" s="15" t="str">
        <f>'Bldgs &amp; Rooms'!$A$25</f>
        <v>Main Bldg.</v>
      </c>
      <c r="B868" s="15">
        <f>'Bldgs &amp; Rooms'!$B$25</f>
        <v>0</v>
      </c>
      <c r="C868" s="14" t="str">
        <f>Hours!$A$17</f>
        <v>Individual Molded Case Breaker &gt; 100A</v>
      </c>
      <c r="D868" s="15">
        <f t="shared" si="26"/>
        <v>0</v>
      </c>
      <c r="E868" s="16">
        <f>IF('Components Yr 1'!E868=0,0,'Components Yr 1'!E868)</f>
        <v>0</v>
      </c>
      <c r="F868" s="17">
        <f>IF('Components Yr 1'!F868=0,0,'Components Yr 1'!F868)</f>
        <v>0</v>
      </c>
      <c r="G868" s="17">
        <f>IF('Components Yr 1'!G868=0,0,'Components Yr 1'!G868)</f>
        <v>0</v>
      </c>
      <c r="H868" s="17">
        <f>IF('Components Yr 1'!H868=0,0,'Components Yr 1'!H868)</f>
        <v>0</v>
      </c>
      <c r="I868" s="17">
        <f>IF('Components Yr 1'!I868=0,0,'Components Yr 1'!I868)</f>
        <v>0</v>
      </c>
      <c r="J868" s="17">
        <f>IF('Components Yr 1'!J868=0,0,'Components Yr 1'!J868)</f>
        <v>0</v>
      </c>
      <c r="K868" s="17">
        <f>IF('Components Yr 1'!K868=0,0,'Components Yr 1'!K868)</f>
        <v>0</v>
      </c>
      <c r="L868" s="12"/>
      <c r="M868" s="12"/>
      <c r="N868" s="12"/>
      <c r="O868" s="12"/>
      <c r="P868" s="12"/>
      <c r="Q868" s="17"/>
      <c r="R868" s="18">
        <f>IF(SUMPRODUCT((E868:Q868)*1)=0,0,E868*INDEX(Hours!M:M,MATCH(C868,Hours!$A:$A,0))+F868*INDEX(Hours!B:B,MATCH(C868,Hours!$A:$A,0))+G868*INDEX(Hours!C:C,MATCH(C868,Hours!$A:$A,0))+H868*INDEX(Hours!D:D,MATCH(C868,Hours!$A:$A,0))+I868*INDEX(Hours!E:E,MATCH(C868,Hours!$A:$A,0))+J868*INDEX(Hours!F:F,MATCH(C868,Hours!$A:$A,0))+K868*INDEX(Hours!G:G,MATCH(C868,Hours!$A:$A,0)))</f>
        <v>0</v>
      </c>
      <c r="S868" s="19">
        <f t="shared" si="27"/>
        <v>0</v>
      </c>
    </row>
    <row r="869" spans="1:19" x14ac:dyDescent="0.25">
      <c r="A869" s="15" t="str">
        <f>'Bldgs &amp; Rooms'!$A$25</f>
        <v>Main Bldg.</v>
      </c>
      <c r="B869" s="15">
        <f>'Bldgs &amp; Rooms'!$B$25</f>
        <v>0</v>
      </c>
      <c r="C869" s="14" t="str">
        <f>Hours!$A$18</f>
        <v>Individual Combination Motor Starter &gt; 100A</v>
      </c>
      <c r="D869" s="15">
        <f t="shared" si="26"/>
        <v>0</v>
      </c>
      <c r="E869" s="16">
        <f>IF('Components Yr 1'!E869=0,0,'Components Yr 1'!E869)</f>
        <v>0</v>
      </c>
      <c r="F869" s="17">
        <f>IF('Components Yr 1'!F869=0,0,'Components Yr 1'!F869)</f>
        <v>0</v>
      </c>
      <c r="G869" s="17">
        <f>IF('Components Yr 1'!G869=0,0,'Components Yr 1'!G869)</f>
        <v>0</v>
      </c>
      <c r="H869" s="17">
        <f>IF('Components Yr 1'!H869=0,0,'Components Yr 1'!H869)</f>
        <v>0</v>
      </c>
      <c r="I869" s="17">
        <f>IF('Components Yr 1'!I869=0,0,'Components Yr 1'!I869)</f>
        <v>0</v>
      </c>
      <c r="J869" s="17">
        <f>IF('Components Yr 1'!J869=0,0,'Components Yr 1'!J869)</f>
        <v>0</v>
      </c>
      <c r="K869" s="17">
        <f>IF('Components Yr 1'!K869=0,0,'Components Yr 1'!K869)</f>
        <v>0</v>
      </c>
      <c r="L869" s="12"/>
      <c r="M869" s="12"/>
      <c r="N869" s="12"/>
      <c r="O869" s="12"/>
      <c r="P869" s="12"/>
      <c r="Q869" s="17"/>
      <c r="R869" s="18">
        <f>IF(SUMPRODUCT((E869:Q869)*1)=0,0,E869*INDEX(Hours!M:M,MATCH(C869,Hours!$A:$A,0))+F869*INDEX(Hours!B:B,MATCH(C869,Hours!$A:$A,0))+G869*INDEX(Hours!C:C,MATCH(C869,Hours!$A:$A,0))+H869*INDEX(Hours!D:D,MATCH(C869,Hours!$A:$A,0))+I869*INDEX(Hours!E:E,MATCH(C869,Hours!$A:$A,0))+J869*INDEX(Hours!F:F,MATCH(C869,Hours!$A:$A,0))+K869*INDEX(Hours!G:G,MATCH(C869,Hours!$A:$A,0)))</f>
        <v>0</v>
      </c>
      <c r="S869" s="19">
        <f t="shared" si="27"/>
        <v>0</v>
      </c>
    </row>
    <row r="870" spans="1:19" x14ac:dyDescent="0.25">
      <c r="A870" s="15" t="str">
        <f>'Bldgs &amp; Rooms'!$A$25</f>
        <v>Main Bldg.</v>
      </c>
      <c r="B870" s="15">
        <f>'Bldgs &amp; Rooms'!$B$25</f>
        <v>0</v>
      </c>
      <c r="C870" s="14" t="str">
        <f>Hours!$A$19</f>
        <v>Oil Filled Transformer - 5kV-15kV Primary - Any Size (Pad Mounted)</v>
      </c>
      <c r="D870" s="15">
        <f t="shared" si="26"/>
        <v>0</v>
      </c>
      <c r="E870" s="16">
        <f>IF('Components Yr 1'!E870=0,0,'Components Yr 1'!E870)</f>
        <v>0</v>
      </c>
      <c r="F870" s="17">
        <f>IF('Components Yr 1'!F870=0,0,'Components Yr 1'!F870)</f>
        <v>0</v>
      </c>
      <c r="G870" s="17">
        <f>IF('Components Yr 1'!G870=0,0,'Components Yr 1'!G870)</f>
        <v>0</v>
      </c>
      <c r="H870" s="17">
        <f>IF('Components Yr 1'!H870=0,0,'Components Yr 1'!H870)</f>
        <v>0</v>
      </c>
      <c r="I870" s="17">
        <f>IF('Components Yr 1'!I870=0,0,'Components Yr 1'!I870)</f>
        <v>0</v>
      </c>
      <c r="J870" s="17">
        <f>IF('Components Yr 1'!J870=0,0,'Components Yr 1'!J870)</f>
        <v>0</v>
      </c>
      <c r="K870" s="12"/>
      <c r="L870" s="12"/>
      <c r="M870" s="17">
        <f>IF('Components Yr 1'!M870=0,0,'Components Yr 1'!M870)</f>
        <v>0</v>
      </c>
      <c r="N870" s="17">
        <f>IF('Components Yr 1'!N870=0,0,'Components Yr 1'!N870)</f>
        <v>0</v>
      </c>
      <c r="O870" s="12"/>
      <c r="P870" s="17">
        <f>IF('Components Yr 1'!P870=0,0,'Components Yr 1'!P870)</f>
        <v>0</v>
      </c>
      <c r="Q870" s="17"/>
      <c r="R870" s="18">
        <f>IF(SUMPRODUCT((E870:Q870)*1)=0,0,E870*INDEX(Hours!M:M,MATCH(C870,Hours!$A:$A,0))+F870*INDEX(Hours!B:B,MATCH(C870,Hours!$A:$A,0))+G870*INDEX(Hours!C:C,MATCH(C870,Hours!$A:$A,0))+H870*INDEX(Hours!D:D,MATCH(C870,Hours!$A:$A,0))+I870*INDEX(Hours!E:E,MATCH(C870,Hours!$A:$A,0))+J870*INDEX(Hours!F:F,MATCH(C870,Hours!$A:$A,0))+M870*INDEX(Hours!I:I,MATCH(C870,Hours!$A:$A,0))+N870*INDEX(Hours!J:J,MATCH(C870,Hours!$A:$A,0))+P870*INDEX(Hours!L:L,MATCH(C870,Hours!$A:$A,0)))</f>
        <v>0</v>
      </c>
      <c r="S870" s="19">
        <f t="shared" si="27"/>
        <v>0</v>
      </c>
    </row>
    <row r="871" spans="1:19" x14ac:dyDescent="0.25">
      <c r="A871" s="15" t="str">
        <f>'Bldgs &amp; Rooms'!$A$25</f>
        <v>Main Bldg.</v>
      </c>
      <c r="B871" s="15">
        <f>'Bldgs &amp; Rooms'!$B$25</f>
        <v>0</v>
      </c>
      <c r="C871" s="14" t="str">
        <f>Hours!$A$20</f>
        <v>Oil Filled Transformer - &gt; 15kV Primary (Substation Class)</v>
      </c>
      <c r="D871" s="15">
        <f t="shared" si="26"/>
        <v>0</v>
      </c>
      <c r="E871" s="16">
        <f>IF('Components Yr 1'!E871=0,0,'Components Yr 1'!E871)</f>
        <v>0</v>
      </c>
      <c r="F871" s="17">
        <f>IF('Components Yr 1'!F871=0,0,'Components Yr 1'!F871)</f>
        <v>0</v>
      </c>
      <c r="G871" s="17">
        <f>IF('Components Yr 1'!G871=0,0,'Components Yr 1'!G871)</f>
        <v>0</v>
      </c>
      <c r="H871" s="17">
        <f>IF('Components Yr 1'!H871=0,0,'Components Yr 1'!H871)</f>
        <v>0</v>
      </c>
      <c r="I871" s="17">
        <f>IF('Components Yr 1'!I871=0,0,'Components Yr 1'!I871)</f>
        <v>0</v>
      </c>
      <c r="J871" s="17">
        <f>IF('Components Yr 1'!J871=0,0,'Components Yr 1'!J871)</f>
        <v>0</v>
      </c>
      <c r="K871" s="12"/>
      <c r="L871" s="12"/>
      <c r="M871" s="17">
        <f>IF('Components Yr 1'!M871=0,0,'Components Yr 1'!M871)</f>
        <v>0</v>
      </c>
      <c r="N871" s="17">
        <f>IF('Components Yr 1'!N871=0,0,'Components Yr 1'!N871)</f>
        <v>0</v>
      </c>
      <c r="O871" s="12"/>
      <c r="P871" s="17">
        <f>IF('Components Yr 1'!P871=0,0,'Components Yr 1'!P871)</f>
        <v>0</v>
      </c>
      <c r="Q871" s="17"/>
      <c r="R871" s="18">
        <f>IF(SUMPRODUCT((E871:Q871)*1)=0,0,E871*INDEX(Hours!M:M,MATCH(C871,Hours!$A:$A,0))+F871*INDEX(Hours!B:B,MATCH(C871,Hours!$A:$A,0))+G871*INDEX(Hours!C:C,MATCH(C871,Hours!$A:$A,0))+H871*INDEX(Hours!D:D,MATCH(C871,Hours!$A:$A,0))+I871*INDEX(Hours!E:E,MATCH(C871,Hours!$A:$A,0))+J871*INDEX(Hours!F:F,MATCH(C871,Hours!$A:$A,0))+M871*INDEX(Hours!I:I,MATCH(C871,Hours!$A:$A,0))+N871*INDEX(Hours!J:J,MATCH(C871,Hours!$A:$A,0))+P871*INDEX(Hours!L:L,MATCH(C871,Hours!$A:$A,0)))</f>
        <v>0</v>
      </c>
      <c r="S871" s="19">
        <f t="shared" si="27"/>
        <v>0</v>
      </c>
    </row>
    <row r="872" spans="1:19" x14ac:dyDescent="0.25">
      <c r="A872" s="15" t="str">
        <f>'Bldgs &amp; Rooms'!$A$25</f>
        <v>Main Bldg.</v>
      </c>
      <c r="B872" s="15">
        <f>'Bldgs &amp; Rooms'!$B$25</f>
        <v>0</v>
      </c>
      <c r="C872" s="14" t="str">
        <f>Hours!$A$21</f>
        <v>Dry Type Transformer - &lt; 480V Primary - Any Size kVA</v>
      </c>
      <c r="D872" s="15">
        <f t="shared" si="26"/>
        <v>0</v>
      </c>
      <c r="E872" s="16">
        <f>IF('Components Yr 1'!E872=0,0,'Components Yr 1'!E872)</f>
        <v>0</v>
      </c>
      <c r="F872" s="17">
        <f>IF('Components Yr 1'!F872=0,0,'Components Yr 1'!F872)</f>
        <v>0</v>
      </c>
      <c r="G872" s="17">
        <f>IF('Components Yr 1'!G872=0,0,'Components Yr 1'!G872)</f>
        <v>0</v>
      </c>
      <c r="H872" s="17">
        <f>IF('Components Yr 1'!H872=0,0,'Components Yr 1'!H872)</f>
        <v>0</v>
      </c>
      <c r="I872" s="17">
        <f>IF('Components Yr 1'!I872=0,0,'Components Yr 1'!I872)</f>
        <v>0</v>
      </c>
      <c r="J872" s="17">
        <f>IF('Components Yr 1'!J872=0,0,'Components Yr 1'!J872)</f>
        <v>0</v>
      </c>
      <c r="K872" s="12"/>
      <c r="L872" s="12"/>
      <c r="M872" s="17">
        <f>IF('Components Yr 1'!M872=0,0,'Components Yr 1'!M872)</f>
        <v>0</v>
      </c>
      <c r="N872" s="17">
        <f>IF('Components Yr 1'!N872=0,0,'Components Yr 1'!N872)</f>
        <v>0</v>
      </c>
      <c r="O872" s="12"/>
      <c r="P872" s="12"/>
      <c r="Q872" s="17"/>
      <c r="R872" s="18">
        <f>IF(SUMPRODUCT((E872:Q872)*1)=0,0,E872*INDEX(Hours!M:M,MATCH(C872,Hours!$A:$A,0))+F872*INDEX(Hours!B:B,MATCH(C872,Hours!$A:$A,0))+G872*INDEX(Hours!C:C,MATCH(C872,Hours!$A:$A,0))+H872*INDEX(Hours!D:D,MATCH(C872,Hours!$A:$A,0))+I872*INDEX(Hours!E:E,MATCH(C872,Hours!$A:$A,0))+J872*INDEX(Hours!F:F,MATCH(C872,Hours!$A:$A,0))+M872*INDEX(Hours!I:I,MATCH(C872,Hours!$A:$A,0))+N872*INDEX(Hours!J:J,MATCH(C872,Hours!$A:$A,0)))</f>
        <v>0</v>
      </c>
      <c r="S872" s="19">
        <f t="shared" si="27"/>
        <v>0</v>
      </c>
    </row>
    <row r="873" spans="1:19" x14ac:dyDescent="0.25">
      <c r="A873" s="15" t="str">
        <f>'Bldgs &amp; Rooms'!$A$25</f>
        <v>Main Bldg.</v>
      </c>
      <c r="B873" s="15">
        <f>'Bldgs &amp; Rooms'!$B$25</f>
        <v>0</v>
      </c>
      <c r="C873" s="14" t="str">
        <f>Hours!$A$22</f>
        <v>Power Factor Correction Capacitors</v>
      </c>
      <c r="D873" s="15">
        <f t="shared" si="26"/>
        <v>0</v>
      </c>
      <c r="E873" s="16">
        <f>IF('Components Yr 1'!E873=0,0,'Components Yr 1'!E873)</f>
        <v>0</v>
      </c>
      <c r="F873" s="17">
        <f>IF('Components Yr 1'!F873=0,0,'Components Yr 1'!F873)</f>
        <v>0</v>
      </c>
      <c r="G873" s="17">
        <f>IF('Components Yr 1'!G873=0,0,'Components Yr 1'!G873)</f>
        <v>0</v>
      </c>
      <c r="H873" s="17">
        <f>IF('Components Yr 1'!H873=0,0,'Components Yr 1'!H873)</f>
        <v>0</v>
      </c>
      <c r="I873" s="17">
        <f>IF('Components Yr 1'!I873=0,0,'Components Yr 1'!I873)</f>
        <v>0</v>
      </c>
      <c r="J873" s="17">
        <f>IF('Components Yr 1'!J873=0,0,'Components Yr 1'!J873)</f>
        <v>0</v>
      </c>
      <c r="K873" s="12"/>
      <c r="L873" s="12"/>
      <c r="M873" s="12"/>
      <c r="N873" s="12"/>
      <c r="O873" s="12"/>
      <c r="P873" s="12"/>
      <c r="Q873" s="17"/>
      <c r="R873" s="18">
        <f>IF(SUMPRODUCT((E873:Q873)*1)=0,0,E873*INDEX(Hours!M:M,MATCH(C873,Hours!$A:$A,0))+F873*INDEX(Hours!B:B,MATCH(C873,Hours!$A:$A,0))+G873*INDEX(Hours!C:C,MATCH(C873,Hours!$A:$A,0))+H873*INDEX(Hours!D:D,MATCH(C873,Hours!$A:$A,0))+I873*INDEX(Hours!E:E,MATCH(C873,Hours!$A:$A,0))+J873*INDEX(Hours!F:F,MATCH(C873,Hours!$A:$A,0)))</f>
        <v>0</v>
      </c>
      <c r="S873" s="19">
        <f t="shared" si="27"/>
        <v>0</v>
      </c>
    </row>
    <row r="874" spans="1:19" x14ac:dyDescent="0.25">
      <c r="A874" s="15" t="str">
        <f>'Bldgs &amp; Rooms'!$A$25</f>
        <v>Main Bldg.</v>
      </c>
      <c r="B874" s="15">
        <f>'Bldgs &amp; Rooms'!$B$25</f>
        <v>0</v>
      </c>
      <c r="C874" s="14" t="str">
        <f>Hours!$A$23</f>
        <v>Lighting Contactor &gt; 100A</v>
      </c>
      <c r="D874" s="15">
        <f t="shared" si="26"/>
        <v>0</v>
      </c>
      <c r="E874" s="16">
        <f>IF('Components Yr 1'!E874=0,0,'Components Yr 1'!E874)</f>
        <v>0</v>
      </c>
      <c r="F874" s="17">
        <f>IF('Components Yr 1'!F874=0,0,'Components Yr 1'!F874)</f>
        <v>0</v>
      </c>
      <c r="G874" s="17">
        <f>IF('Components Yr 1'!G874=0,0,'Components Yr 1'!G874)</f>
        <v>0</v>
      </c>
      <c r="H874" s="17">
        <f>IF('Components Yr 1'!H874=0,0,'Components Yr 1'!H874)</f>
        <v>0</v>
      </c>
      <c r="I874" s="17">
        <f>IF('Components Yr 1'!I874=0,0,'Components Yr 1'!I874)</f>
        <v>0</v>
      </c>
      <c r="J874" s="17">
        <f>IF('Components Yr 1'!J874=0,0,'Components Yr 1'!J874)</f>
        <v>0</v>
      </c>
      <c r="K874" s="12"/>
      <c r="L874" s="12"/>
      <c r="M874" s="12"/>
      <c r="N874" s="12"/>
      <c r="O874" s="12"/>
      <c r="P874" s="12"/>
      <c r="Q874" s="17"/>
      <c r="R874" s="18">
        <f>IF(SUMPRODUCT((E874:Q874)*1)=0,0,E874*INDEX(Hours!M:M,MATCH(C874,Hours!$A:$A,0))+F874*INDEX(Hours!B:B,MATCH(C874,Hours!$A:$A,0))+G874*INDEX(Hours!C:C,MATCH(C874,Hours!$A:$A,0))+H874*INDEX(Hours!D:D,MATCH(C874,Hours!$A:$A,0))+I874*INDEX(Hours!E:E,MATCH(C874,Hours!$A:$A,0))+J874*INDEX(Hours!F:F,MATCH(C874,Hours!$A:$A,0)))</f>
        <v>0</v>
      </c>
      <c r="S874" s="19">
        <f t="shared" si="27"/>
        <v>0</v>
      </c>
    </row>
    <row r="875" spans="1:19" x14ac:dyDescent="0.25">
      <c r="A875" s="15" t="str">
        <f>'Bldgs &amp; Rooms'!$A$25</f>
        <v>Main Bldg.</v>
      </c>
      <c r="B875" s="15">
        <f>'Bldgs &amp; Rooms'!$B$25</f>
        <v>0</v>
      </c>
      <c r="C875" s="14" t="str">
        <f>Hours!$A$24</f>
        <v>Power Distribution Unit (PDU)</v>
      </c>
      <c r="D875" s="15">
        <f t="shared" si="26"/>
        <v>0</v>
      </c>
      <c r="E875" s="16">
        <f>IF('Components Yr 1'!E875=0,0,'Components Yr 1'!E875)</f>
        <v>0</v>
      </c>
      <c r="F875" s="17">
        <f>IF('Components Yr 1'!F875=0,0,'Components Yr 1'!F875)</f>
        <v>0</v>
      </c>
      <c r="G875" s="17">
        <f>IF('Components Yr 1'!G875=0,0,'Components Yr 1'!G875)</f>
        <v>0</v>
      </c>
      <c r="H875" s="17">
        <f>IF('Components Yr 1'!H875=0,0,'Components Yr 1'!H875)</f>
        <v>0</v>
      </c>
      <c r="I875" s="17">
        <f>IF('Components Yr 1'!I875=0,0,'Components Yr 1'!I875)</f>
        <v>0</v>
      </c>
      <c r="J875" s="17">
        <f>IF('Components Yr 1'!J875=0,0,'Components Yr 1'!J875)</f>
        <v>0</v>
      </c>
      <c r="K875" s="12"/>
      <c r="L875" s="12"/>
      <c r="M875" s="12"/>
      <c r="N875" s="12"/>
      <c r="O875" s="12"/>
      <c r="P875" s="12"/>
      <c r="Q875" s="17"/>
      <c r="R875" s="18">
        <f>IF(SUMPRODUCT((E875:Q875)*1)=0,0,E875*INDEX(Hours!M:M,MATCH(C875,Hours!$A:$A,0))+F875*INDEX(Hours!B:B,MATCH(C875,Hours!$A:$A,0))+G875*INDEX(Hours!C:C,MATCH(C875,Hours!$A:$A,0))+H875*INDEX(Hours!D:D,MATCH(C875,Hours!$A:$A,0))+I875*INDEX(Hours!E:E,MATCH(C875,Hours!$A:$A,0))+J875*INDEX(Hours!F:F,MATCH(C875,Hours!$A:$A,0)))</f>
        <v>0</v>
      </c>
      <c r="S875" s="19">
        <f t="shared" si="27"/>
        <v>0</v>
      </c>
    </row>
    <row r="876" spans="1:19" x14ac:dyDescent="0.25">
      <c r="A876" s="15" t="str">
        <f>'Bldgs &amp; Rooms'!$A$25</f>
        <v>Main Bldg.</v>
      </c>
      <c r="B876" s="15">
        <f>'Bldgs &amp; Rooms'!$B$25</f>
        <v>0</v>
      </c>
      <c r="C876" s="14" t="str">
        <f>Hours!$A$25</f>
        <v>Wire Trough, Gutter, or Large Junction Boxes</v>
      </c>
      <c r="D876" s="15">
        <f t="shared" si="26"/>
        <v>0</v>
      </c>
      <c r="E876" s="16">
        <f>IF('Components Yr 1'!E876=0,0,'Components Yr 1'!E876)</f>
        <v>0</v>
      </c>
      <c r="F876" s="17">
        <f>IF('Components Yr 1'!F876=0,0,'Components Yr 1'!F876)</f>
        <v>0</v>
      </c>
      <c r="G876" s="17">
        <f>IF('Components Yr 1'!G876=0,0,'Components Yr 1'!G876)</f>
        <v>0</v>
      </c>
      <c r="H876" s="17">
        <f>IF('Components Yr 1'!H876=0,0,'Components Yr 1'!H876)</f>
        <v>0</v>
      </c>
      <c r="I876" s="17">
        <f>IF('Components Yr 1'!I876=0,0,'Components Yr 1'!I876)</f>
        <v>0</v>
      </c>
      <c r="J876" s="17">
        <f>IF('Components Yr 1'!J876=0,0,'Components Yr 1'!J876)</f>
        <v>0</v>
      </c>
      <c r="K876" s="12"/>
      <c r="L876" s="12"/>
      <c r="M876" s="12"/>
      <c r="N876" s="12"/>
      <c r="O876" s="12"/>
      <c r="P876" s="12"/>
      <c r="Q876" s="17"/>
      <c r="R876" s="18">
        <f>IF(SUMPRODUCT((E876:Q876)*1)=0,0,E876*INDEX(Hours!M:M,MATCH(C876,Hours!$A:$A,0))+F876*INDEX(Hours!B:B,MATCH(C876,Hours!$A:$A,0))+G876*INDEX(Hours!C:C,MATCH(C876,Hours!$A:$A,0))+H876*INDEX(Hours!D:D,MATCH(C876,Hours!$A:$A,0))+I876*INDEX(Hours!E:E,MATCH(C876,Hours!$A:$A,0))+J876*INDEX(Hours!F:F,MATCH(C876,Hours!$A:$A,0)))</f>
        <v>0</v>
      </c>
      <c r="S876" s="19">
        <f t="shared" si="27"/>
        <v>0</v>
      </c>
    </row>
    <row r="877" spans="1:19" x14ac:dyDescent="0.25">
      <c r="A877" s="15" t="str">
        <f>'Bldgs &amp; Rooms'!$A$25</f>
        <v>Main Bldg.</v>
      </c>
      <c r="B877" s="15">
        <f>'Bldgs &amp; Rooms'!$B$25</f>
        <v>0</v>
      </c>
      <c r="C877" s="14" t="str">
        <f>Hours!$A$26</f>
        <v>Bus Duct - Vertical or Horizontal (Per 10' section)</v>
      </c>
      <c r="D877" s="15">
        <f t="shared" si="26"/>
        <v>0</v>
      </c>
      <c r="E877" s="16">
        <f>IF('Components Yr 1'!E877=0,0,'Components Yr 1'!E877)</f>
        <v>0</v>
      </c>
      <c r="F877" s="17">
        <f>IF('Components Yr 1'!F877=0,0,'Components Yr 1'!F877)</f>
        <v>0</v>
      </c>
      <c r="G877" s="17">
        <f>IF('Components Yr 1'!G877=0,0,'Components Yr 1'!G877)</f>
        <v>0</v>
      </c>
      <c r="H877" s="17">
        <f>IF('Components Yr 1'!H877=0,0,'Components Yr 1'!H877)</f>
        <v>0</v>
      </c>
      <c r="I877" s="17">
        <f>IF('Components Yr 1'!I877=0,0,'Components Yr 1'!I877)</f>
        <v>0</v>
      </c>
      <c r="J877" s="17">
        <f>IF('Components Yr 1'!J877=0,0,'Components Yr 1'!J877)</f>
        <v>0</v>
      </c>
      <c r="K877" s="12"/>
      <c r="L877" s="12"/>
      <c r="M877" s="12"/>
      <c r="N877" s="12"/>
      <c r="O877" s="12"/>
      <c r="P877" s="12"/>
      <c r="Q877" s="17"/>
      <c r="R877" s="18">
        <f>IF(SUMPRODUCT((E877:Q877)*1)=0,0,E877*INDEX(Hours!M:M,MATCH(C877,Hours!$A:$A,0))+F877*INDEX(Hours!B:B,MATCH(C877,Hours!$A:$A,0))+G877*INDEX(Hours!C:C,MATCH(C877,Hours!$A:$A,0))+H877*INDEX(Hours!D:D,MATCH(C877,Hours!$A:$A,0))+I877*INDEX(Hours!E:E,MATCH(C877,Hours!$A:$A,0))+J877*INDEX(Hours!F:F,MATCH(C877,Hours!$A:$A,0)))</f>
        <v>0</v>
      </c>
      <c r="S877" s="19">
        <f t="shared" si="27"/>
        <v>0</v>
      </c>
    </row>
    <row r="878" spans="1:19" x14ac:dyDescent="0.25">
      <c r="A878" s="15" t="str">
        <f>'Bldgs &amp; Rooms'!$A$25</f>
        <v>Main Bldg.</v>
      </c>
      <c r="B878" s="15">
        <f>'Bldgs &amp; Rooms'!$B$25</f>
        <v>0</v>
      </c>
      <c r="C878" s="14" t="str">
        <f>Hours!$A$27</f>
        <v>Automatic Transfer Switch (ATS) &gt; 100A</v>
      </c>
      <c r="D878" s="15">
        <f t="shared" si="26"/>
        <v>0</v>
      </c>
      <c r="E878" s="16">
        <f>IF('Components Yr 1'!E878=0,0,'Components Yr 1'!E878)</f>
        <v>0</v>
      </c>
      <c r="F878" s="17">
        <f>IF('Components Yr 1'!F878=0,0,'Components Yr 1'!F878)</f>
        <v>0</v>
      </c>
      <c r="G878" s="17">
        <f>IF('Components Yr 1'!G878=0,0,'Components Yr 1'!G878)</f>
        <v>0</v>
      </c>
      <c r="H878" s="17">
        <f>IF('Components Yr 1'!H878=0,0,'Components Yr 1'!H878)</f>
        <v>0</v>
      </c>
      <c r="I878" s="17">
        <f>IF('Components Yr 1'!I878=0,0,'Components Yr 1'!I878)</f>
        <v>0</v>
      </c>
      <c r="J878" s="17">
        <f>IF('Components Yr 1'!J878=0,0,'Components Yr 1'!J878)</f>
        <v>0</v>
      </c>
      <c r="K878" s="12"/>
      <c r="L878" s="12"/>
      <c r="M878" s="12"/>
      <c r="N878" s="12"/>
      <c r="O878" s="12"/>
      <c r="P878" s="12"/>
      <c r="Q878" s="17"/>
      <c r="R878" s="18">
        <f>IF(SUMPRODUCT((E878:Q878)*1)=0,0,E878*INDEX(Hours!M:M,MATCH(C878,Hours!$A:$A,0))+F878*INDEX(Hours!B:B,MATCH(C878,Hours!$A:$A,0))+G878*INDEX(Hours!C:C,MATCH(C878,Hours!$A:$A,0))+H878*INDEX(Hours!D:D,MATCH(C878,Hours!$A:$A,0))+I878*INDEX(Hours!E:E,MATCH(C878,Hours!$A:$A,0))+J878*INDEX(Hours!F:F,MATCH(C878,Hours!$A:$A,0)))</f>
        <v>0</v>
      </c>
      <c r="S878" s="19">
        <f t="shared" si="27"/>
        <v>0</v>
      </c>
    </row>
    <row r="879" spans="1:19" x14ac:dyDescent="0.25">
      <c r="A879" s="15" t="str">
        <f>'Bldgs &amp; Rooms'!$A$25</f>
        <v>Main Bldg.</v>
      </c>
      <c r="B879" s="15">
        <f>'Bldgs &amp; Rooms'!$B$25</f>
        <v>0</v>
      </c>
      <c r="C879" s="14" t="str">
        <f>Hours!$A$28</f>
        <v>Manual Transfer Switch (MTS) &gt; 100A</v>
      </c>
      <c r="D879" s="15">
        <f t="shared" si="26"/>
        <v>0</v>
      </c>
      <c r="E879" s="16">
        <f>IF('Components Yr 1'!E879=0,0,'Components Yr 1'!E879)</f>
        <v>0</v>
      </c>
      <c r="F879" s="17">
        <f>IF('Components Yr 1'!F879=0,0,'Components Yr 1'!F879)</f>
        <v>0</v>
      </c>
      <c r="G879" s="17">
        <f>IF('Components Yr 1'!G879=0,0,'Components Yr 1'!G879)</f>
        <v>0</v>
      </c>
      <c r="H879" s="17">
        <f>IF('Components Yr 1'!H879=0,0,'Components Yr 1'!H879)</f>
        <v>0</v>
      </c>
      <c r="I879" s="17">
        <f>IF('Components Yr 1'!I879=0,0,'Components Yr 1'!I879)</f>
        <v>0</v>
      </c>
      <c r="J879" s="17">
        <f>IF('Components Yr 1'!J879=0,0,'Components Yr 1'!J879)</f>
        <v>0</v>
      </c>
      <c r="K879" s="12"/>
      <c r="L879" s="12"/>
      <c r="M879" s="12"/>
      <c r="N879" s="12"/>
      <c r="O879" s="12"/>
      <c r="P879" s="12"/>
      <c r="Q879" s="17"/>
      <c r="R879" s="18">
        <f>IF(SUMPRODUCT((E879:Q879)*1)=0,0,E879*INDEX(Hours!M:M,MATCH(C879,Hours!$A:$A,0))+F879*INDEX(Hours!B:B,MATCH(C879,Hours!$A:$A,0))+G879*INDEX(Hours!C:C,MATCH(C879,Hours!$A:$A,0))+H879*INDEX(Hours!D:D,MATCH(C879,Hours!$A:$A,0))+I879*INDEX(Hours!E:E,MATCH(C879,Hours!$A:$A,0))+J879*INDEX(Hours!F:F,MATCH(C879,Hours!$A:$A,0)))</f>
        <v>0</v>
      </c>
      <c r="S879" s="19">
        <f t="shared" si="27"/>
        <v>0</v>
      </c>
    </row>
    <row r="880" spans="1:19" x14ac:dyDescent="0.25">
      <c r="A880" s="15" t="str">
        <f>'Bldgs &amp; Rooms'!$A$25</f>
        <v>Main Bldg.</v>
      </c>
      <c r="B880" s="15">
        <f>'Bldgs &amp; Rooms'!$B$25</f>
        <v>0</v>
      </c>
      <c r="C880" s="14" t="str">
        <f>Hours!$A$29</f>
        <v>Variable Frequency Drives (VFD) &lt; 50 HP</v>
      </c>
      <c r="D880" s="15">
        <f t="shared" si="26"/>
        <v>0</v>
      </c>
      <c r="E880" s="16">
        <f>IF('Components Yr 1'!E880=0,0,'Components Yr 1'!E880)</f>
        <v>0</v>
      </c>
      <c r="F880" s="17">
        <f>IF('Components Yr 1'!F880=0,0,'Components Yr 1'!F880)</f>
        <v>0</v>
      </c>
      <c r="G880" s="17">
        <f>IF('Components Yr 1'!G880=0,0,'Components Yr 1'!G880)</f>
        <v>0</v>
      </c>
      <c r="H880" s="17">
        <f>IF('Components Yr 1'!H880=0,0,'Components Yr 1'!H880)</f>
        <v>0</v>
      </c>
      <c r="I880" s="17">
        <f>IF('Components Yr 1'!I880=0,0,'Components Yr 1'!I880)</f>
        <v>0</v>
      </c>
      <c r="J880" s="17">
        <f>IF('Components Yr 1'!J880=0,0,'Components Yr 1'!J880)</f>
        <v>0</v>
      </c>
      <c r="K880" s="12"/>
      <c r="L880" s="12"/>
      <c r="M880" s="12"/>
      <c r="N880" s="12"/>
      <c r="O880" s="12"/>
      <c r="P880" s="12"/>
      <c r="Q880" s="17"/>
      <c r="R880" s="18">
        <f>IF(SUMPRODUCT((E880:Q880)*1)=0,0,E880*INDEX(Hours!M:M,MATCH(C880,Hours!$A:$A,0))+F880*INDEX(Hours!B:B,MATCH(C880,Hours!$A:$A,0))+G880*INDEX(Hours!C:C,MATCH(C880,Hours!$A:$A,0))+H880*INDEX(Hours!D:D,MATCH(C880,Hours!$A:$A,0))+I880*INDEX(Hours!E:E,MATCH(C880,Hours!$A:$A,0))+J880*INDEX(Hours!F:F,MATCH(C880,Hours!$A:$A,0)))</f>
        <v>0</v>
      </c>
      <c r="S880" s="19">
        <f t="shared" si="27"/>
        <v>0</v>
      </c>
    </row>
    <row r="881" spans="1:19" x14ac:dyDescent="0.25">
      <c r="A881" s="15" t="str">
        <f>'Bldgs &amp; Rooms'!$A$25</f>
        <v>Main Bldg.</v>
      </c>
      <c r="B881" s="15">
        <f>'Bldgs &amp; Rooms'!$B$25</f>
        <v>0</v>
      </c>
      <c r="C881" s="14" t="str">
        <f>Hours!$A$30</f>
        <v>Variable Frequency Drives (VFD) 51-200 HP</v>
      </c>
      <c r="D881" s="15">
        <f t="shared" si="26"/>
        <v>0</v>
      </c>
      <c r="E881" s="16">
        <f>IF('Components Yr 1'!E881=0,0,'Components Yr 1'!E881)</f>
        <v>0</v>
      </c>
      <c r="F881" s="17">
        <f>IF('Components Yr 1'!F881=0,0,'Components Yr 1'!F881)</f>
        <v>0</v>
      </c>
      <c r="G881" s="17">
        <f>IF('Components Yr 1'!G881=0,0,'Components Yr 1'!G881)</f>
        <v>0</v>
      </c>
      <c r="H881" s="17">
        <f>IF('Components Yr 1'!H881=0,0,'Components Yr 1'!H881)</f>
        <v>0</v>
      </c>
      <c r="I881" s="17">
        <f>IF('Components Yr 1'!I881=0,0,'Components Yr 1'!I881)</f>
        <v>0</v>
      </c>
      <c r="J881" s="17">
        <f>IF('Components Yr 1'!J881=0,0,'Components Yr 1'!J881)</f>
        <v>0</v>
      </c>
      <c r="K881" s="12"/>
      <c r="L881" s="12"/>
      <c r="M881" s="12"/>
      <c r="N881" s="12"/>
      <c r="O881" s="12"/>
      <c r="P881" s="12"/>
      <c r="Q881" s="17"/>
      <c r="R881" s="18">
        <f>IF(SUMPRODUCT((E881:Q881)*1)=0,0,E881*INDEX(Hours!M:M,MATCH(C881,Hours!$A:$A,0))+F881*INDEX(Hours!B:B,MATCH(C881,Hours!$A:$A,0))+G881*INDEX(Hours!C:C,MATCH(C881,Hours!$A:$A,0))+H881*INDEX(Hours!D:D,MATCH(C881,Hours!$A:$A,0))+I881*INDEX(Hours!E:E,MATCH(C881,Hours!$A:$A,0))+J881*INDEX(Hours!F:F,MATCH(C881,Hours!$A:$A,0)))</f>
        <v>0</v>
      </c>
      <c r="S881" s="19">
        <f t="shared" si="27"/>
        <v>0</v>
      </c>
    </row>
    <row r="882" spans="1:19" x14ac:dyDescent="0.25">
      <c r="A882" s="15" t="str">
        <f>'Bldgs &amp; Rooms'!$A$25</f>
        <v>Main Bldg.</v>
      </c>
      <c r="B882" s="15">
        <f>'Bldgs &amp; Rooms'!$B$25</f>
        <v>0</v>
      </c>
      <c r="C882" s="14" t="str">
        <f>Hours!$A$31</f>
        <v>Motors &lt; 50 HP</v>
      </c>
      <c r="D882" s="15">
        <f t="shared" si="26"/>
        <v>0</v>
      </c>
      <c r="E882" s="16">
        <f>IF('Components Yr 1'!E882=0,0,'Components Yr 1'!E882)</f>
        <v>0</v>
      </c>
      <c r="F882" s="17">
        <f>IF('Components Yr 1'!F882=0,0,'Components Yr 1'!F882)</f>
        <v>0</v>
      </c>
      <c r="G882" s="17">
        <f>IF('Components Yr 1'!G882=0,0,'Components Yr 1'!G882)</f>
        <v>0</v>
      </c>
      <c r="H882" s="17">
        <f>IF('Components Yr 1'!H882=0,0,'Components Yr 1'!H882)</f>
        <v>0</v>
      </c>
      <c r="I882" s="17">
        <f>IF('Components Yr 1'!I882=0,0,'Components Yr 1'!I882)</f>
        <v>0</v>
      </c>
      <c r="J882" s="17">
        <f>IF('Components Yr 1'!J882=0,0,'Components Yr 1'!J882)</f>
        <v>0</v>
      </c>
      <c r="K882" s="12"/>
      <c r="L882" s="12"/>
      <c r="M882" s="12"/>
      <c r="N882" s="12"/>
      <c r="O882" s="12"/>
      <c r="P882" s="12"/>
      <c r="Q882" s="17"/>
      <c r="R882" s="18">
        <f>IF(SUMPRODUCT((E882:Q882)*1)=0,0,E882*INDEX(Hours!M:M,MATCH(C882,Hours!$A:$A,0))+F882*INDEX(Hours!B:B,MATCH(C882,Hours!$A:$A,0))+G882*INDEX(Hours!C:C,MATCH(C882,Hours!$A:$A,0))+H882*INDEX(Hours!D:D,MATCH(C882,Hours!$A:$A,0))+I882*INDEX(Hours!E:E,MATCH(C882,Hours!$A:$A,0))+J882*INDEX(Hours!F:F,MATCH(C882,Hours!$A:$A,0)))</f>
        <v>0</v>
      </c>
      <c r="S882" s="19">
        <f t="shared" si="27"/>
        <v>0</v>
      </c>
    </row>
    <row r="883" spans="1:19" x14ac:dyDescent="0.25">
      <c r="A883" s="15" t="str">
        <f>'Bldgs &amp; Rooms'!$A$25</f>
        <v>Main Bldg.</v>
      </c>
      <c r="B883" s="15">
        <f>'Bldgs &amp; Rooms'!$B$25</f>
        <v>0</v>
      </c>
      <c r="C883" s="14" t="str">
        <f>Hours!$A$32</f>
        <v>Motors 51-200 HP</v>
      </c>
      <c r="D883" s="15">
        <f t="shared" si="26"/>
        <v>0</v>
      </c>
      <c r="E883" s="16">
        <f>IF('Components Yr 1'!E883=0,0,'Components Yr 1'!E883)</f>
        <v>0</v>
      </c>
      <c r="F883" s="17">
        <f>IF('Components Yr 1'!F883=0,0,'Components Yr 1'!F883)</f>
        <v>0</v>
      </c>
      <c r="G883" s="17">
        <f>IF('Components Yr 1'!G883=0,0,'Components Yr 1'!G883)</f>
        <v>0</v>
      </c>
      <c r="H883" s="17">
        <f>IF('Components Yr 1'!H883=0,0,'Components Yr 1'!H883)</f>
        <v>0</v>
      </c>
      <c r="I883" s="17">
        <f>IF('Components Yr 1'!I883=0,0,'Components Yr 1'!I883)</f>
        <v>0</v>
      </c>
      <c r="J883" s="17">
        <f>IF('Components Yr 1'!J883=0,0,'Components Yr 1'!J883)</f>
        <v>0</v>
      </c>
      <c r="K883" s="12"/>
      <c r="L883" s="12"/>
      <c r="M883" s="12"/>
      <c r="N883" s="12"/>
      <c r="O883" s="12"/>
      <c r="P883" s="12"/>
      <c r="Q883" s="17"/>
      <c r="R883" s="18">
        <f>IF(SUMPRODUCT((E883:Q883)*1)=0,0,E883*INDEX(Hours!M:M,MATCH(C883,Hours!$A:$A,0))+F883*INDEX(Hours!B:B,MATCH(C883,Hours!$A:$A,0))+G883*INDEX(Hours!C:C,MATCH(C883,Hours!$A:$A,0))+H883*INDEX(Hours!D:D,MATCH(C883,Hours!$A:$A,0))+I883*INDEX(Hours!E:E,MATCH(C883,Hours!$A:$A,0))+J883*INDEX(Hours!F:F,MATCH(C883,Hours!$A:$A,0)))</f>
        <v>0</v>
      </c>
      <c r="S883" s="19">
        <f t="shared" si="27"/>
        <v>0</v>
      </c>
    </row>
    <row r="884" spans="1:19" x14ac:dyDescent="0.25">
      <c r="A884" s="15" t="str">
        <f>'Bldgs &amp; Rooms'!$A$25</f>
        <v>Main Bldg.</v>
      </c>
      <c r="B884" s="15">
        <f>'Bldgs &amp; Rooms'!$B$25</f>
        <v>0</v>
      </c>
      <c r="C884" s="14" t="str">
        <f>Hours!$A$33</f>
        <v>Motors 201-500 HP</v>
      </c>
      <c r="D884" s="15">
        <f t="shared" si="26"/>
        <v>0</v>
      </c>
      <c r="E884" s="16">
        <f>IF('Components Yr 1'!E884=0,0,'Components Yr 1'!E884)</f>
        <v>0</v>
      </c>
      <c r="F884" s="17">
        <f>IF('Components Yr 1'!F884=0,0,'Components Yr 1'!F884)</f>
        <v>0</v>
      </c>
      <c r="G884" s="17">
        <f>IF('Components Yr 1'!G884=0,0,'Components Yr 1'!G884)</f>
        <v>0</v>
      </c>
      <c r="H884" s="17">
        <f>IF('Components Yr 1'!H884=0,0,'Components Yr 1'!H884)</f>
        <v>0</v>
      </c>
      <c r="I884" s="17">
        <f>IF('Components Yr 1'!I884=0,0,'Components Yr 1'!I884)</f>
        <v>0</v>
      </c>
      <c r="J884" s="17">
        <f>IF('Components Yr 1'!J884=0,0,'Components Yr 1'!J884)</f>
        <v>0</v>
      </c>
      <c r="K884" s="12"/>
      <c r="L884" s="12"/>
      <c r="M884" s="12"/>
      <c r="N884" s="12"/>
      <c r="O884" s="12"/>
      <c r="P884" s="12"/>
      <c r="Q884" s="17"/>
      <c r="R884" s="18">
        <f>IF(SUMPRODUCT((E884:Q884)*1)=0,0,E884*INDEX(Hours!M:M,MATCH(C884,Hours!$A:$A,0))+F884*INDEX(Hours!B:B,MATCH(C884,Hours!$A:$A,0))+G884*INDEX(Hours!C:C,MATCH(C884,Hours!$A:$A,0))+H884*INDEX(Hours!D:D,MATCH(C884,Hours!$A:$A,0))+I884*INDEX(Hours!E:E,MATCH(C884,Hours!$A:$A,0))+J884*INDEX(Hours!F:F,MATCH(C884,Hours!$A:$A,0)))</f>
        <v>0</v>
      </c>
      <c r="S884" s="19">
        <f t="shared" si="27"/>
        <v>0</v>
      </c>
    </row>
    <row r="885" spans="1:19" x14ac:dyDescent="0.25">
      <c r="A885" s="15" t="str">
        <f>'Bldgs &amp; Rooms'!$A$25</f>
        <v>Main Bldg.</v>
      </c>
      <c r="B885" s="15">
        <f>'Bldgs &amp; Rooms'!$B$25</f>
        <v>0</v>
      </c>
      <c r="C885" s="14" t="str">
        <f>Hours!$A$34</f>
        <v>Compressed Air Equipment</v>
      </c>
      <c r="D885" s="15">
        <f t="shared" si="26"/>
        <v>0</v>
      </c>
      <c r="E885" s="16">
        <f>IF('Components Yr 1'!E885=0,0,'Components Yr 1'!E885)</f>
        <v>0</v>
      </c>
      <c r="F885" s="17">
        <f>IF('Components Yr 1'!F885=0,0,'Components Yr 1'!F885)</f>
        <v>0</v>
      </c>
      <c r="G885" s="17">
        <f>IF('Components Yr 1'!G885=0,0,'Components Yr 1'!G885)</f>
        <v>0</v>
      </c>
      <c r="H885" s="17">
        <f>IF('Components Yr 1'!H885=0,0,'Components Yr 1'!H885)</f>
        <v>0</v>
      </c>
      <c r="I885" s="17">
        <f>IF('Components Yr 1'!I885=0,0,'Components Yr 1'!I885)</f>
        <v>0</v>
      </c>
      <c r="J885" s="17">
        <f>IF('Components Yr 1'!J885=0,0,'Components Yr 1'!J885)</f>
        <v>0</v>
      </c>
      <c r="K885" s="12"/>
      <c r="L885" s="12"/>
      <c r="M885" s="12"/>
      <c r="N885" s="12"/>
      <c r="O885" s="12"/>
      <c r="P885" s="12"/>
      <c r="Q885" s="17"/>
      <c r="R885" s="18">
        <f>IF(SUMPRODUCT((E885:Q885)*1)=0,0,E885*INDEX(Hours!M:M,MATCH(C885,Hours!$A:$A,0))+F885*INDEX(Hours!B:B,MATCH(C885,Hours!$A:$A,0))+G885*INDEX(Hours!C:C,MATCH(C885,Hours!$A:$A,0))+H885*INDEX(Hours!D:D,MATCH(C885,Hours!$A:$A,0))+I885*INDEX(Hours!E:E,MATCH(C885,Hours!$A:$A,0))+J885*INDEX(Hours!F:F,MATCH(C885,Hours!$A:$A,0)))</f>
        <v>0</v>
      </c>
      <c r="S885" s="19">
        <f t="shared" si="27"/>
        <v>0</v>
      </c>
    </row>
    <row r="886" spans="1:19" x14ac:dyDescent="0.25">
      <c r="A886" s="15" t="str">
        <f>'Bldgs &amp; Rooms'!$A$25</f>
        <v>Main Bldg.</v>
      </c>
      <c r="B886" s="15">
        <f>'Bldgs &amp; Rooms'!$B$25</f>
        <v>0</v>
      </c>
      <c r="C886" s="14" t="str">
        <f>Hours!$A$35</f>
        <v>HVAC Equipment (Large)</v>
      </c>
      <c r="D886" s="15">
        <f t="shared" si="26"/>
        <v>0</v>
      </c>
      <c r="E886" s="16">
        <f>IF('Components Yr 1'!E886=0,0,'Components Yr 1'!E886)</f>
        <v>0</v>
      </c>
      <c r="F886" s="17">
        <f>IF('Components Yr 1'!F886=0,0,'Components Yr 1'!F886)</f>
        <v>0</v>
      </c>
      <c r="G886" s="17">
        <f>IF('Components Yr 1'!G886=0,0,'Components Yr 1'!G886)</f>
        <v>0</v>
      </c>
      <c r="H886" s="17">
        <f>IF('Components Yr 1'!H886=0,0,'Components Yr 1'!H886)</f>
        <v>0</v>
      </c>
      <c r="I886" s="17">
        <f>IF('Components Yr 1'!I886=0,0,'Components Yr 1'!I886)</f>
        <v>0</v>
      </c>
      <c r="J886" s="17">
        <f>IF('Components Yr 1'!J886=0,0,'Components Yr 1'!J886)</f>
        <v>0</v>
      </c>
      <c r="K886" s="12"/>
      <c r="L886" s="12"/>
      <c r="M886" s="12"/>
      <c r="N886" s="12"/>
      <c r="O886" s="12"/>
      <c r="P886" s="12"/>
      <c r="Q886" s="17"/>
      <c r="R886" s="18">
        <f>IF(SUMPRODUCT((E886:Q886)*1)=0,0,E886*INDEX(Hours!M:M,MATCH(C886,Hours!$A:$A,0))+F886*INDEX(Hours!B:B,MATCH(C886,Hours!$A:$A,0))+G886*INDEX(Hours!C:C,MATCH(C886,Hours!$A:$A,0))+H886*INDEX(Hours!D:D,MATCH(C886,Hours!$A:$A,0))+I886*INDEX(Hours!E:E,MATCH(C886,Hours!$A:$A,0))+J886*INDEX(Hours!F:F,MATCH(C886,Hours!$A:$A,0)))</f>
        <v>0</v>
      </c>
      <c r="S886" s="19">
        <f t="shared" si="27"/>
        <v>0</v>
      </c>
    </row>
    <row r="887" spans="1:19" x14ac:dyDescent="0.25">
      <c r="A887" s="15" t="str">
        <f>'Bldgs &amp; Rooms'!$A$25</f>
        <v>Main Bldg.</v>
      </c>
      <c r="B887" s="15">
        <f>'Bldgs &amp; Rooms'!$B$25</f>
        <v>0</v>
      </c>
      <c r="C887" s="14" t="str">
        <f>Hours!$A$36</f>
        <v>HVAC Equipment (Small)</v>
      </c>
      <c r="D887" s="15">
        <f t="shared" si="26"/>
        <v>0</v>
      </c>
      <c r="E887" s="16">
        <f>IF('Components Yr 1'!E887=0,0,'Components Yr 1'!E887)</f>
        <v>0</v>
      </c>
      <c r="F887" s="17">
        <f>IF('Components Yr 1'!F887=0,0,'Components Yr 1'!F887)</f>
        <v>0</v>
      </c>
      <c r="G887" s="17">
        <f>IF('Components Yr 1'!G887=0,0,'Components Yr 1'!G887)</f>
        <v>0</v>
      </c>
      <c r="H887" s="17">
        <f>IF('Components Yr 1'!H887=0,0,'Components Yr 1'!H887)</f>
        <v>0</v>
      </c>
      <c r="I887" s="17">
        <f>IF('Components Yr 1'!I887=0,0,'Components Yr 1'!I887)</f>
        <v>0</v>
      </c>
      <c r="J887" s="17">
        <f>IF('Components Yr 1'!J887=0,0,'Components Yr 1'!J887)</f>
        <v>0</v>
      </c>
      <c r="K887" s="12"/>
      <c r="L887" s="12"/>
      <c r="M887" s="12"/>
      <c r="N887" s="12"/>
      <c r="O887" s="12"/>
      <c r="P887" s="12"/>
      <c r="Q887" s="17"/>
      <c r="R887" s="18">
        <f>IF(SUMPRODUCT((E887:Q887)*1)=0,0,E887*INDEX(Hours!M:M,MATCH(C887,Hours!$A:$A,0))+F887*INDEX(Hours!B:B,MATCH(C887,Hours!$A:$A,0))+G887*INDEX(Hours!C:C,MATCH(C887,Hours!$A:$A,0))+H887*INDEX(Hours!D:D,MATCH(C887,Hours!$A:$A,0))+I887*INDEX(Hours!E:E,MATCH(C887,Hours!$A:$A,0))+J887*INDEX(Hours!F:F,MATCH(C887,Hours!$A:$A,0)))</f>
        <v>0</v>
      </c>
      <c r="S887" s="19">
        <f t="shared" si="27"/>
        <v>0</v>
      </c>
    </row>
    <row r="888" spans="1:19" x14ac:dyDescent="0.25">
      <c r="A888" s="15" t="str">
        <f>'Bldgs &amp; Rooms'!$A$25</f>
        <v>Main Bldg.</v>
      </c>
      <c r="B888" s="15">
        <f>'Bldgs &amp; Rooms'!$B$25</f>
        <v>0</v>
      </c>
      <c r="C888" s="14" t="str">
        <f>Hours!$A$37</f>
        <v>Uninterruptible Power Supply (UPS) &lt; 50kVA</v>
      </c>
      <c r="D888" s="15">
        <f t="shared" si="26"/>
        <v>0</v>
      </c>
      <c r="E888" s="16">
        <f>IF('Components Yr 1'!E888=0,0,'Components Yr 1'!E888)</f>
        <v>0</v>
      </c>
      <c r="F888" s="17">
        <f>IF('Components Yr 1'!F888=0,0,'Components Yr 1'!F888)</f>
        <v>0</v>
      </c>
      <c r="G888" s="17">
        <f>IF('Components Yr 1'!G888=0,0,'Components Yr 1'!G888)</f>
        <v>0</v>
      </c>
      <c r="H888" s="17">
        <f>IF('Components Yr 1'!H888=0,0,'Components Yr 1'!H888)</f>
        <v>0</v>
      </c>
      <c r="I888" s="17">
        <f>IF('Components Yr 1'!I888=0,0,'Components Yr 1'!I888)</f>
        <v>0</v>
      </c>
      <c r="J888" s="17">
        <f>IF('Components Yr 1'!J888=0,0,'Components Yr 1'!J888)</f>
        <v>0</v>
      </c>
      <c r="K888" s="12"/>
      <c r="L888" s="12"/>
      <c r="M888" s="12"/>
      <c r="N888" s="12"/>
      <c r="O888" s="12"/>
      <c r="P888" s="12"/>
      <c r="Q888" s="17"/>
      <c r="R888" s="18">
        <f>IF(SUMPRODUCT((E888:Q888)*1)=0,0,E888*INDEX(Hours!M:M,MATCH(C888,Hours!$A:$A,0))+F888*INDEX(Hours!B:B,MATCH(C888,Hours!$A:$A,0))+G888*INDEX(Hours!C:C,MATCH(C888,Hours!$A:$A,0))+H888*INDEX(Hours!D:D,MATCH(C888,Hours!$A:$A,0))+I888*INDEX(Hours!E:E,MATCH(C888,Hours!$A:$A,0))+J888*INDEX(Hours!F:F,MATCH(C888,Hours!$A:$A,0)))</f>
        <v>0</v>
      </c>
      <c r="S888" s="19">
        <f t="shared" si="27"/>
        <v>0</v>
      </c>
    </row>
    <row r="889" spans="1:19" x14ac:dyDescent="0.25">
      <c r="A889" s="15" t="str">
        <f>'Bldgs &amp; Rooms'!$A$25</f>
        <v>Main Bldg.</v>
      </c>
      <c r="B889" s="15">
        <f>'Bldgs &amp; Rooms'!$B$25</f>
        <v>0</v>
      </c>
      <c r="C889" s="14" t="str">
        <f>Hours!$A$38</f>
        <v>Uninterruptible Power Supply (UPS) &gt; 50kVA</v>
      </c>
      <c r="D889" s="15">
        <f t="shared" si="26"/>
        <v>0</v>
      </c>
      <c r="E889" s="16">
        <f>IF('Components Yr 1'!E889=0,0,'Components Yr 1'!E889)</f>
        <v>0</v>
      </c>
      <c r="F889" s="17">
        <f>IF('Components Yr 1'!F889=0,0,'Components Yr 1'!F889)</f>
        <v>0</v>
      </c>
      <c r="G889" s="17">
        <f>IF('Components Yr 1'!G889=0,0,'Components Yr 1'!G889)</f>
        <v>0</v>
      </c>
      <c r="H889" s="17">
        <f>IF('Components Yr 1'!H889=0,0,'Components Yr 1'!H889)</f>
        <v>0</v>
      </c>
      <c r="I889" s="17">
        <f>IF('Components Yr 1'!I889=0,0,'Components Yr 1'!I889)</f>
        <v>0</v>
      </c>
      <c r="J889" s="17">
        <f>IF('Components Yr 1'!J889=0,0,'Components Yr 1'!J889)</f>
        <v>0</v>
      </c>
      <c r="K889" s="12"/>
      <c r="L889" s="12"/>
      <c r="M889" s="12"/>
      <c r="N889" s="12"/>
      <c r="O889" s="12"/>
      <c r="P889" s="12"/>
      <c r="Q889" s="17"/>
      <c r="R889" s="18">
        <f>IF(SUMPRODUCT((E889:Q889)*1)=0,0,E889*INDEX(Hours!M:M,MATCH(C889,Hours!$A:$A,0))+F889*INDEX(Hours!B:B,MATCH(C889,Hours!$A:$A,0))+G889*INDEX(Hours!C:C,MATCH(C889,Hours!$A:$A,0))+H889*INDEX(Hours!D:D,MATCH(C889,Hours!$A:$A,0))+I889*INDEX(Hours!E:E,MATCH(C889,Hours!$A:$A,0))+J889*INDEX(Hours!F:F,MATCH(C889,Hours!$A:$A,0)))</f>
        <v>0</v>
      </c>
      <c r="S889" s="19">
        <f t="shared" si="27"/>
        <v>0</v>
      </c>
    </row>
    <row r="890" spans="1:19" x14ac:dyDescent="0.25">
      <c r="A890" s="11" t="str">
        <f>'Bldgs &amp; Rooms'!$A$26</f>
        <v>Main Bldg.</v>
      </c>
      <c r="B890" s="11">
        <f>'Bldgs &amp; Rooms'!$B$26</f>
        <v>0</v>
      </c>
      <c r="C890" s="10" t="str">
        <f>Hours!$A$2</f>
        <v>Switchgear - Incoming Main Service (Per Section)</v>
      </c>
      <c r="D890" s="11">
        <f t="shared" si="26"/>
        <v>0</v>
      </c>
      <c r="E890" s="16">
        <f>IF('Components Yr 1'!E890=0,0,'Components Yr 1'!E890)</f>
        <v>0</v>
      </c>
      <c r="F890" s="17">
        <f>IF('Components Yr 1'!F890=0,0,'Components Yr 1'!F890)</f>
        <v>0</v>
      </c>
      <c r="G890" s="17">
        <f>IF('Components Yr 1'!G890=0,0,'Components Yr 1'!G890)</f>
        <v>0</v>
      </c>
      <c r="H890" s="17">
        <f>IF('Components Yr 1'!H890=0,0,'Components Yr 1'!H890)</f>
        <v>0</v>
      </c>
      <c r="I890" s="17">
        <f>IF('Components Yr 1'!I890=0,0,'Components Yr 1'!I890)</f>
        <v>0</v>
      </c>
      <c r="J890" s="17">
        <f>IF('Components Yr 1'!J890=0,0,'Components Yr 1'!J890)</f>
        <v>0</v>
      </c>
      <c r="K890" s="17">
        <f>IF('Components Yr 1'!K890=0,0,'Components Yr 1'!K890)</f>
        <v>0</v>
      </c>
      <c r="L890" s="17">
        <f>IF('Components Yr 1'!L890=0,0,'Components Yr 1'!L890)</f>
        <v>0</v>
      </c>
      <c r="M890" s="12"/>
      <c r="N890" s="12"/>
      <c r="O890" s="17">
        <f>IF('Components Yr 1'!O890=0,0,'Components Yr 1'!O890)</f>
        <v>0</v>
      </c>
      <c r="P890" s="12"/>
      <c r="Q890" s="17"/>
      <c r="R890" s="18">
        <f>IF(SUMPRODUCT((E890:Q890)*1)=0,0,E890*INDEX(Hours!M:M,MATCH(C890,Hours!$A:$A,0))+F890*INDEX(Hours!B:B,MATCH(C890,Hours!$A:$A,0))+G890*INDEX(Hours!C:C,MATCH(C890,Hours!$A:$A,0))+H890*INDEX(Hours!D:D,MATCH(C890,Hours!$A:$A,0))+I890*INDEX(Hours!E:E,MATCH(C890,Hours!$A:$A,0))+J890*INDEX(Hours!F:F,MATCH(C890,Hours!$A:$A,0))+K890*INDEX(Hours!G:G,MATCH(C890,Hours!$A:$A,0))+L890*INDEX(Hours!H:H,MATCH(C890,Hours!$A:$A,0))+O890*INDEX(Hours!K:K,MATCH(C890,Hours!$A:$A,0)))</f>
        <v>0</v>
      </c>
      <c r="S890" s="19">
        <f t="shared" si="27"/>
        <v>0</v>
      </c>
    </row>
    <row r="891" spans="1:19" x14ac:dyDescent="0.25">
      <c r="A891" s="11" t="str">
        <f>'Bldgs &amp; Rooms'!$A$26</f>
        <v>Main Bldg.</v>
      </c>
      <c r="B891" s="11">
        <f>'Bldgs &amp; Rooms'!$B$26</f>
        <v>0</v>
      </c>
      <c r="C891" s="10" t="str">
        <f>Hours!$A$3</f>
        <v xml:space="preserve">  Switchgear Insulated Case Breakers (Bus Mounted)</v>
      </c>
      <c r="D891" s="11">
        <f t="shared" si="26"/>
        <v>0</v>
      </c>
      <c r="E891" s="16">
        <f>IF('Components Yr 1'!E891=0,0,'Components Yr 1'!E891)</f>
        <v>0</v>
      </c>
      <c r="F891" s="17">
        <f>IF('Components Yr 1'!F891=0,0,'Components Yr 1'!F891)</f>
        <v>0</v>
      </c>
      <c r="G891" s="17">
        <f>IF('Components Yr 1'!G891=0,0,'Components Yr 1'!G891)</f>
        <v>0</v>
      </c>
      <c r="H891" s="17">
        <f>IF('Components Yr 1'!H891=0,0,'Components Yr 1'!H891)</f>
        <v>0</v>
      </c>
      <c r="I891" s="17">
        <f>IF('Components Yr 1'!I891=0,0,'Components Yr 1'!I891)</f>
        <v>0</v>
      </c>
      <c r="J891" s="17">
        <f>IF('Components Yr 1'!J891=0,0,'Components Yr 1'!J891)</f>
        <v>0</v>
      </c>
      <c r="K891" s="17">
        <f>IF('Components Yr 1'!K891=0,0,'Components Yr 1'!K891)</f>
        <v>0</v>
      </c>
      <c r="L891" s="12"/>
      <c r="M891" s="12"/>
      <c r="N891" s="12"/>
      <c r="O891" s="12"/>
      <c r="P891" s="12"/>
      <c r="Q891" s="17"/>
      <c r="R891" s="18">
        <f>IF(SUMPRODUCT((E891:Q891)*1)=0,0,E891*INDEX(Hours!M:M,MATCH(C891,Hours!$A:$A,0))+F891*INDEX(Hours!B:B,MATCH(C891,Hours!$A:$A,0))+G891*INDEX(Hours!C:C,MATCH(C891,Hours!$A:$A,0))+H891*INDEX(Hours!D:D,MATCH(C891,Hours!$A:$A,0))+I891*INDEX(Hours!E:E,MATCH(C891,Hours!$A:$A,0))+J891*INDEX(Hours!F:F,MATCH(C891,Hours!$A:$A,0))+K891*INDEX(Hours!G:G,MATCH(C891,Hours!$A:$A,0)))</f>
        <v>0</v>
      </c>
      <c r="S891" s="19">
        <f t="shared" si="27"/>
        <v>0</v>
      </c>
    </row>
    <row r="892" spans="1:19" x14ac:dyDescent="0.25">
      <c r="A892" s="11" t="str">
        <f>'Bldgs &amp; Rooms'!$A$26</f>
        <v>Main Bldg.</v>
      </c>
      <c r="B892" s="11">
        <f>'Bldgs &amp; Rooms'!$B$26</f>
        <v>0</v>
      </c>
      <c r="C892" s="10" t="str">
        <f>Hours!$A$4</f>
        <v xml:space="preserve">  SwitchGear Drawout Breakers</v>
      </c>
      <c r="D892" s="11">
        <f t="shared" si="26"/>
        <v>0</v>
      </c>
      <c r="E892" s="16">
        <f>IF('Components Yr 1'!E892=0,0,'Components Yr 1'!E892)</f>
        <v>0</v>
      </c>
      <c r="F892" s="17">
        <f>IF('Components Yr 1'!F892=0,0,'Components Yr 1'!F892)</f>
        <v>0</v>
      </c>
      <c r="G892" s="17">
        <f>IF('Components Yr 1'!G892=0,0,'Components Yr 1'!G892)</f>
        <v>0</v>
      </c>
      <c r="H892" s="17">
        <f>IF('Components Yr 1'!H892=0,0,'Components Yr 1'!H892)</f>
        <v>0</v>
      </c>
      <c r="I892" s="17">
        <f>IF('Components Yr 1'!I892=0,0,'Components Yr 1'!I892)</f>
        <v>0</v>
      </c>
      <c r="J892" s="17">
        <f>IF('Components Yr 1'!J892=0,0,'Components Yr 1'!J892)</f>
        <v>0</v>
      </c>
      <c r="K892" s="12"/>
      <c r="L892" s="17">
        <f>IF('Components Yr 1'!L892=0,0,'Components Yr 1'!L892)</f>
        <v>0</v>
      </c>
      <c r="M892" s="12"/>
      <c r="N892" s="12"/>
      <c r="O892" s="12"/>
      <c r="P892" s="12"/>
      <c r="Q892" s="17"/>
      <c r="R892" s="18">
        <f>IF(SUMPRODUCT((E892:Q892)*1)=0,0,E892*INDEX(Hours!M:M,MATCH(C892,Hours!$A:$A,0))+F892*INDEX(Hours!B:B,MATCH(C892,Hours!$A:$A,0))+G892*INDEX(Hours!C:C,MATCH(C892,Hours!$A:$A,0))+H892*INDEX(Hours!D:D,MATCH(C892,Hours!$A:$A,0))+I892*INDEX(Hours!E:E,MATCH(C892,Hours!$A:$A,0))+J892*INDEX(Hours!F:F,MATCH(C892,Hours!$A:$A,0))+L892*INDEX(Hours!H:H,MATCH(C892,Hours!$A:$A,0)))</f>
        <v>0</v>
      </c>
      <c r="S892" s="19">
        <f t="shared" si="27"/>
        <v>0</v>
      </c>
    </row>
    <row r="893" spans="1:19" x14ac:dyDescent="0.25">
      <c r="A893" s="11" t="str">
        <f>'Bldgs &amp; Rooms'!$A$26</f>
        <v>Main Bldg.</v>
      </c>
      <c r="B893" s="11">
        <f>'Bldgs &amp; Rooms'!$B$26</f>
        <v>0</v>
      </c>
      <c r="C893" s="10" t="str">
        <f>Hours!$A$5</f>
        <v>Distribution Switchboard Multi Cover (Per Section)</v>
      </c>
      <c r="D893" s="11">
        <f t="shared" si="26"/>
        <v>0</v>
      </c>
      <c r="E893" s="16">
        <f>IF('Components Yr 1'!E893=0,0,'Components Yr 1'!E893)</f>
        <v>0</v>
      </c>
      <c r="F893" s="17">
        <f>IF('Components Yr 1'!F893=0,0,'Components Yr 1'!F893)</f>
        <v>0</v>
      </c>
      <c r="G893" s="17">
        <f>IF('Components Yr 1'!G893=0,0,'Components Yr 1'!G893)</f>
        <v>0</v>
      </c>
      <c r="H893" s="17">
        <f>IF('Components Yr 1'!H893=0,0,'Components Yr 1'!H893)</f>
        <v>0</v>
      </c>
      <c r="I893" s="17">
        <f>IF('Components Yr 1'!I893=0,0,'Components Yr 1'!I893)</f>
        <v>0</v>
      </c>
      <c r="J893" s="17">
        <f>IF('Components Yr 1'!J893=0,0,'Components Yr 1'!J893)</f>
        <v>0</v>
      </c>
      <c r="K893" s="17">
        <f>IF('Components Yr 1'!K893=0,0,'Components Yr 1'!K893)</f>
        <v>0</v>
      </c>
      <c r="L893" s="12"/>
      <c r="M893" s="12"/>
      <c r="N893" s="12"/>
      <c r="O893" s="17">
        <f>IF('Components Yr 1'!O893=0,0,'Components Yr 1'!O893)</f>
        <v>0</v>
      </c>
      <c r="P893" s="12"/>
      <c r="Q893" s="17"/>
      <c r="R893" s="18">
        <f>IF(SUMPRODUCT((E893:Q893)*1)=0,0,E893*INDEX(Hours!M:M,MATCH(C893,Hours!$A:$A,0))+F893*INDEX(Hours!B:B,MATCH(C893,Hours!$A:$A,0))+G893*INDEX(Hours!C:C,MATCH(C893,Hours!$A:$A,0))+H893*INDEX(Hours!D:D,MATCH(C893,Hours!$A:$A,0))+I893*INDEX(Hours!E:E,MATCH(C893,Hours!$A:$A,0))+J893*INDEX(Hours!F:F,MATCH(C893,Hours!$A:$A,0))+K893*INDEX(Hours!G:G,MATCH(C893,Hours!$A:$A,0))+O893*INDEX(Hours!K:K,MATCH(C893,Hours!$A:$A,0)))</f>
        <v>0</v>
      </c>
      <c r="S893" s="19">
        <f t="shared" si="27"/>
        <v>0</v>
      </c>
    </row>
    <row r="894" spans="1:19" x14ac:dyDescent="0.25">
      <c r="A894" s="11" t="str">
        <f>'Bldgs &amp; Rooms'!$A$26</f>
        <v>Main Bldg.</v>
      </c>
      <c r="B894" s="11">
        <f>'Bldgs &amp; Rooms'!$B$26</f>
        <v>0</v>
      </c>
      <c r="C894" s="10" t="str">
        <f>Hours!$A$6</f>
        <v xml:space="preserve">  Switchboard Disconnects</v>
      </c>
      <c r="D894" s="11">
        <f t="shared" si="26"/>
        <v>0</v>
      </c>
      <c r="E894" s="16">
        <f>IF('Components Yr 1'!E894=0,0,'Components Yr 1'!E894)</f>
        <v>0</v>
      </c>
      <c r="F894" s="17">
        <f>IF('Components Yr 1'!F894=0,0,'Components Yr 1'!F894)</f>
        <v>0</v>
      </c>
      <c r="G894" s="17">
        <f>IF('Components Yr 1'!G894=0,0,'Components Yr 1'!G894)</f>
        <v>0</v>
      </c>
      <c r="H894" s="17">
        <f>IF('Components Yr 1'!H894=0,0,'Components Yr 1'!H894)</f>
        <v>0</v>
      </c>
      <c r="I894" s="17">
        <f>IF('Components Yr 1'!I894=0,0,'Components Yr 1'!I894)</f>
        <v>0</v>
      </c>
      <c r="J894" s="17">
        <f>IF('Components Yr 1'!J894=0,0,'Components Yr 1'!J894)</f>
        <v>0</v>
      </c>
      <c r="K894" s="12"/>
      <c r="L894" s="12"/>
      <c r="M894" s="12"/>
      <c r="N894" s="12"/>
      <c r="O894" s="12"/>
      <c r="P894" s="12"/>
      <c r="Q894" s="17"/>
      <c r="R894" s="18">
        <f>IF(SUMPRODUCT((E894:Q894)*1)=0,0,E894*INDEX(Hours!M:M,MATCH(C894,Hours!$A:$A,0))+F894*INDEX(Hours!B:B,MATCH(C894,Hours!$A:$A,0))+G894*INDEX(Hours!C:C,MATCH(C894,Hours!$A:$A,0))+H894*INDEX(Hours!D:D,MATCH(C894,Hours!$A:$A,0))+I894*INDEX(Hours!E:E,MATCH(C894,Hours!$A:$A,0))+J894*INDEX(Hours!F:F,MATCH(C894,Hours!$A:$A,0)))</f>
        <v>0</v>
      </c>
      <c r="S894" s="19">
        <f t="shared" si="27"/>
        <v>0</v>
      </c>
    </row>
    <row r="895" spans="1:19" x14ac:dyDescent="0.25">
      <c r="A895" s="11" t="str">
        <f>'Bldgs &amp; Rooms'!$A$26</f>
        <v>Main Bldg.</v>
      </c>
      <c r="B895" s="11">
        <f>'Bldgs &amp; Rooms'!$B$26</f>
        <v>0</v>
      </c>
      <c r="C895" s="10" t="str">
        <f>Hours!$A$7</f>
        <v xml:space="preserve">  Switchboard Molded Case Breakers</v>
      </c>
      <c r="D895" s="11">
        <f t="shared" si="26"/>
        <v>0</v>
      </c>
      <c r="E895" s="16">
        <f>IF('Components Yr 1'!E895=0,0,'Components Yr 1'!E895)</f>
        <v>0</v>
      </c>
      <c r="F895" s="17">
        <f>IF('Components Yr 1'!F895=0,0,'Components Yr 1'!F895)</f>
        <v>0</v>
      </c>
      <c r="G895" s="17">
        <f>IF('Components Yr 1'!G895=0,0,'Components Yr 1'!G895)</f>
        <v>0</v>
      </c>
      <c r="H895" s="17">
        <f>IF('Components Yr 1'!H895=0,0,'Components Yr 1'!H895)</f>
        <v>0</v>
      </c>
      <c r="I895" s="17">
        <f>IF('Components Yr 1'!I895=0,0,'Components Yr 1'!I895)</f>
        <v>0</v>
      </c>
      <c r="J895" s="17">
        <f>IF('Components Yr 1'!J895=0,0,'Components Yr 1'!J895)</f>
        <v>0</v>
      </c>
      <c r="K895" s="17">
        <f>IF('Components Yr 1'!K895=0,0,'Components Yr 1'!K895)</f>
        <v>0</v>
      </c>
      <c r="L895" s="12"/>
      <c r="M895" s="12"/>
      <c r="N895" s="12"/>
      <c r="O895" s="12"/>
      <c r="P895" s="12"/>
      <c r="Q895" s="17"/>
      <c r="R895" s="18">
        <f>IF(SUMPRODUCT((E895:Q895)*1)=0,0,E895*INDEX(Hours!M:M,MATCH(C895,Hours!$A:$A,0))+F895*INDEX(Hours!B:B,MATCH(C895,Hours!$A:$A,0))+G895*INDEX(Hours!C:C,MATCH(C895,Hours!$A:$A,0))+H895*INDEX(Hours!D:D,MATCH(C895,Hours!$A:$A,0))+I895*INDEX(Hours!E:E,MATCH(C895,Hours!$A:$A,0))+J895*INDEX(Hours!F:F,MATCH(C895,Hours!$A:$A,0))+K895*INDEX(Hours!G:G,MATCH(C895,Hours!$A:$A,0)))</f>
        <v>0</v>
      </c>
      <c r="S895" s="19">
        <f t="shared" si="27"/>
        <v>0</v>
      </c>
    </row>
    <row r="896" spans="1:19" x14ac:dyDescent="0.25">
      <c r="A896" s="11" t="str">
        <f>'Bldgs &amp; Rooms'!$A$26</f>
        <v>Main Bldg.</v>
      </c>
      <c r="B896" s="11">
        <f>'Bldgs &amp; Rooms'!$B$26</f>
        <v>0</v>
      </c>
      <c r="C896" s="10" t="str">
        <f>Hours!$A$8</f>
        <v>Panelboard-Single Cover &gt; 400A (Distribution Panel)</v>
      </c>
      <c r="D896" s="11">
        <f t="shared" si="26"/>
        <v>0</v>
      </c>
      <c r="E896" s="16">
        <f>IF('Components Yr 1'!E896=0,0,'Components Yr 1'!E896)</f>
        <v>0</v>
      </c>
      <c r="F896" s="17">
        <f>IF('Components Yr 1'!F896=0,0,'Components Yr 1'!F896)</f>
        <v>0</v>
      </c>
      <c r="G896" s="17">
        <f>IF('Components Yr 1'!G896=0,0,'Components Yr 1'!G896)</f>
        <v>0</v>
      </c>
      <c r="H896" s="17">
        <f>IF('Components Yr 1'!H896=0,0,'Components Yr 1'!H896)</f>
        <v>0</v>
      </c>
      <c r="I896" s="17">
        <f>IF('Components Yr 1'!I896=0,0,'Components Yr 1'!I896)</f>
        <v>0</v>
      </c>
      <c r="J896" s="17">
        <f>IF('Components Yr 1'!J896=0,0,'Components Yr 1'!J896)</f>
        <v>0</v>
      </c>
      <c r="K896" s="17">
        <f>IF('Components Yr 1'!K896=0,0,'Components Yr 1'!K896)</f>
        <v>0</v>
      </c>
      <c r="L896" s="12"/>
      <c r="M896" s="12"/>
      <c r="N896" s="12"/>
      <c r="O896" s="17">
        <f>IF('Components Yr 1'!O896=0,0,'Components Yr 1'!O896)</f>
        <v>0</v>
      </c>
      <c r="P896" s="12"/>
      <c r="Q896" s="17"/>
      <c r="R896" s="18">
        <f>IF(SUMPRODUCT((E896:Q896)*1)=0,0,E896*INDEX(Hours!M:M,MATCH(C896,Hours!$A:$A,0))+F896*INDEX(Hours!B:B,MATCH(C896,Hours!$A:$A,0))+G896*INDEX(Hours!C:C,MATCH(C896,Hours!$A:$A,0))+H896*INDEX(Hours!D:D,MATCH(C896,Hours!$A:$A,0))+I896*INDEX(Hours!E:E,MATCH(C896,Hours!$A:$A,0))+J896*INDEX(Hours!F:F,MATCH(C896,Hours!$A:$A,0))+K896*INDEX(Hours!G:G,MATCH(C896,Hours!$A:$A,0))+O896*INDEX(Hours!K:K,MATCH(C896,Hours!$A:$A,0)))</f>
        <v>0</v>
      </c>
      <c r="S896" s="19">
        <f t="shared" si="27"/>
        <v>0</v>
      </c>
    </row>
    <row r="897" spans="1:19" x14ac:dyDescent="0.25">
      <c r="A897" s="11" t="str">
        <f>'Bldgs &amp; Rooms'!$A$26</f>
        <v>Main Bldg.</v>
      </c>
      <c r="B897" s="11">
        <f>'Bldgs &amp; Rooms'!$B$26</f>
        <v>0</v>
      </c>
      <c r="C897" s="10" t="str">
        <f>Hours!$A$9</f>
        <v>Panelboard-Single Cover &lt; 400A (Branch Ckt Panel)</v>
      </c>
      <c r="D897" s="11">
        <f t="shared" si="26"/>
        <v>0</v>
      </c>
      <c r="E897" s="16">
        <f>IF('Components Yr 1'!E897=0,0,'Components Yr 1'!E897)</f>
        <v>0</v>
      </c>
      <c r="F897" s="17">
        <f>IF('Components Yr 1'!F897=0,0,'Components Yr 1'!F897)</f>
        <v>0</v>
      </c>
      <c r="G897" s="17">
        <f>IF('Components Yr 1'!G897=0,0,'Components Yr 1'!G897)</f>
        <v>0</v>
      </c>
      <c r="H897" s="17">
        <f>IF('Components Yr 1'!H897=0,0,'Components Yr 1'!H897)</f>
        <v>0</v>
      </c>
      <c r="I897" s="17">
        <f>IF('Components Yr 1'!I897=0,0,'Components Yr 1'!I897)</f>
        <v>0</v>
      </c>
      <c r="J897" s="17">
        <f>IF('Components Yr 1'!J897=0,0,'Components Yr 1'!J897)</f>
        <v>0</v>
      </c>
      <c r="K897" s="12"/>
      <c r="L897" s="12"/>
      <c r="M897" s="12"/>
      <c r="N897" s="12"/>
      <c r="O897" s="17">
        <f>IF('Components Yr 1'!O897=0,0,'Components Yr 1'!O897)</f>
        <v>0</v>
      </c>
      <c r="P897" s="12"/>
      <c r="Q897" s="17"/>
      <c r="R897" s="18">
        <f>IF(SUMPRODUCT((E897:Q897)*1)=0,0,E897*INDEX(Hours!M:M,MATCH(C897,Hours!$A:$A,0))+F897*INDEX(Hours!B:B,MATCH(C897,Hours!$A:$A,0))+G897*INDEX(Hours!C:C,MATCH(C897,Hours!$A:$A,0))+H897*INDEX(Hours!D:D,MATCH(C897,Hours!$A:$A,0))+I897*INDEX(Hours!E:E,MATCH(C897,Hours!$A:$A,0))+J897*INDEX(Hours!F:F,MATCH(C897,Hours!$A:$A,0))+O897*INDEX(Hours!K:K,MATCH(C897,Hours!$A:$A,0)))</f>
        <v>0</v>
      </c>
      <c r="S897" s="19">
        <f t="shared" si="27"/>
        <v>0</v>
      </c>
    </row>
    <row r="898" spans="1:19" x14ac:dyDescent="0.25">
      <c r="A898" s="11" t="str">
        <f>'Bldgs &amp; Rooms'!$A$26</f>
        <v>Main Bldg.</v>
      </c>
      <c r="B898" s="11">
        <f>'Bldgs &amp; Rooms'!$B$26</f>
        <v>0</v>
      </c>
      <c r="C898" s="10" t="str">
        <f>Hours!$A$10</f>
        <v>Motor Control Center (MCC-Per Vertical Section)</v>
      </c>
      <c r="D898" s="11">
        <f t="shared" ref="D898:D961" si="28">MAX(E898+F898,G898,H898,I898,J898,K898,L898,M898,N898,O898,P898,Q898)</f>
        <v>0</v>
      </c>
      <c r="E898" s="16">
        <f>IF('Components Yr 1'!E898=0,0,'Components Yr 1'!E898)</f>
        <v>0</v>
      </c>
      <c r="F898" s="17">
        <f>IF('Components Yr 1'!F898=0,0,'Components Yr 1'!F898)</f>
        <v>0</v>
      </c>
      <c r="G898" s="17">
        <f>IF('Components Yr 1'!G898=0,0,'Components Yr 1'!G898)</f>
        <v>0</v>
      </c>
      <c r="H898" s="17">
        <f>IF('Components Yr 1'!H898=0,0,'Components Yr 1'!H898)</f>
        <v>0</v>
      </c>
      <c r="I898" s="17">
        <f>IF('Components Yr 1'!I898=0,0,'Components Yr 1'!I898)</f>
        <v>0</v>
      </c>
      <c r="J898" s="17">
        <f>IF('Components Yr 1'!J898=0,0,'Components Yr 1'!J898)</f>
        <v>0</v>
      </c>
      <c r="K898" s="12"/>
      <c r="L898" s="12"/>
      <c r="M898" s="12"/>
      <c r="N898" s="12"/>
      <c r="O898" s="17">
        <f>IF('Components Yr 1'!O898=0,0,'Components Yr 1'!O898)</f>
        <v>0</v>
      </c>
      <c r="P898" s="12"/>
      <c r="Q898" s="17"/>
      <c r="R898" s="18">
        <f>IF(SUMPRODUCT((E898:Q898)*1)=0,0,E898*INDEX(Hours!M:M,MATCH(C898,Hours!$A:$A,0))+F898*INDEX(Hours!B:B,MATCH(C898,Hours!$A:$A,0))+G898*INDEX(Hours!C:C,MATCH(C898,Hours!$A:$A,0))+H898*INDEX(Hours!D:D,MATCH(C898,Hours!$A:$A,0))+I898*INDEX(Hours!E:E,MATCH(C898,Hours!$A:$A,0))+J898*INDEX(Hours!F:F,MATCH(C898,Hours!$A:$A,0))+O898*INDEX(Hours!K:K,MATCH(C898,Hours!$A:$A,0)))</f>
        <v>0</v>
      </c>
      <c r="S898" s="19">
        <f t="shared" ref="S898:S961" si="29">MAX(E898+F898,G898,H898,I898,J898,K898,L898,M898,N898,O898,P898,Q898)</f>
        <v>0</v>
      </c>
    </row>
    <row r="899" spans="1:19" x14ac:dyDescent="0.25">
      <c r="A899" s="11" t="str">
        <f>'Bldgs &amp; Rooms'!$A$26</f>
        <v>Main Bldg.</v>
      </c>
      <c r="B899" s="11">
        <f>'Bldgs &amp; Rooms'!$B$26</f>
        <v>0</v>
      </c>
      <c r="C899" s="10" t="str">
        <f>Hours!$A$11</f>
        <v xml:space="preserve">  MCC: Combination Motor Starters</v>
      </c>
      <c r="D899" s="11">
        <f t="shared" si="28"/>
        <v>0</v>
      </c>
      <c r="E899" s="16">
        <f>IF('Components Yr 1'!E899=0,0,'Components Yr 1'!E899)</f>
        <v>0</v>
      </c>
      <c r="F899" s="17">
        <f>IF('Components Yr 1'!F899=0,0,'Components Yr 1'!F899)</f>
        <v>0</v>
      </c>
      <c r="G899" s="17">
        <f>IF('Components Yr 1'!G899=0,0,'Components Yr 1'!G899)</f>
        <v>0</v>
      </c>
      <c r="H899" s="17">
        <f>IF('Components Yr 1'!H899=0,0,'Components Yr 1'!H899)</f>
        <v>0</v>
      </c>
      <c r="I899" s="17">
        <f>IF('Components Yr 1'!I899=0,0,'Components Yr 1'!I899)</f>
        <v>0</v>
      </c>
      <c r="J899" s="17">
        <f>IF('Components Yr 1'!J899=0,0,'Components Yr 1'!J899)</f>
        <v>0</v>
      </c>
      <c r="K899" s="17">
        <f>IF('Components Yr 1'!K899=0,0,'Components Yr 1'!K899)</f>
        <v>0</v>
      </c>
      <c r="L899" s="12"/>
      <c r="M899" s="12"/>
      <c r="N899" s="12"/>
      <c r="O899" s="17">
        <f>IF('Components Yr 1'!O899=0,0,'Components Yr 1'!O899)</f>
        <v>0</v>
      </c>
      <c r="P899" s="12"/>
      <c r="Q899" s="17"/>
      <c r="R899" s="18">
        <f>IF(SUMPRODUCT((E899:Q899)*1)=0,0,E899*INDEX(Hours!M:M,MATCH(C899,Hours!$A:$A,0))+F899*INDEX(Hours!B:B,MATCH(C899,Hours!$A:$A,0))+G899*INDEX(Hours!C:C,MATCH(C899,Hours!$A:$A,0))+H899*INDEX(Hours!D:D,MATCH(C899,Hours!$A:$A,0))+I899*INDEX(Hours!E:E,MATCH(C899,Hours!$A:$A,0))+J899*INDEX(Hours!F:F,MATCH(C899,Hours!$A:$A,0))+K899*INDEX(Hours!G:G,MATCH(C899,Hours!$A:$A,0))+O899*INDEX(Hours!K:K,MATCH(C899,Hours!$A:$A,0)))</f>
        <v>0</v>
      </c>
      <c r="S899" s="19">
        <f t="shared" si="29"/>
        <v>0</v>
      </c>
    </row>
    <row r="900" spans="1:19" x14ac:dyDescent="0.25">
      <c r="A900" s="11" t="str">
        <f>'Bldgs &amp; Rooms'!$A$26</f>
        <v>Main Bldg.</v>
      </c>
      <c r="B900" s="11">
        <f>'Bldgs &amp; Rooms'!$B$26</f>
        <v>0</v>
      </c>
      <c r="C900" s="10" t="str">
        <f>Hours!$A$12</f>
        <v xml:space="preserve">  MCC: Molded Case Breaker</v>
      </c>
      <c r="D900" s="11">
        <f t="shared" si="28"/>
        <v>0</v>
      </c>
      <c r="E900" s="16">
        <f>IF('Components Yr 1'!E900=0,0,'Components Yr 1'!E900)</f>
        <v>0</v>
      </c>
      <c r="F900" s="17">
        <f>IF('Components Yr 1'!F900=0,0,'Components Yr 1'!F900)</f>
        <v>0</v>
      </c>
      <c r="G900" s="17">
        <f>IF('Components Yr 1'!G900=0,0,'Components Yr 1'!G900)</f>
        <v>0</v>
      </c>
      <c r="H900" s="17">
        <f>IF('Components Yr 1'!H900=0,0,'Components Yr 1'!H900)</f>
        <v>0</v>
      </c>
      <c r="I900" s="17">
        <f>IF('Components Yr 1'!I900=0,0,'Components Yr 1'!I900)</f>
        <v>0</v>
      </c>
      <c r="J900" s="17">
        <f>IF('Components Yr 1'!J900=0,0,'Components Yr 1'!J900)</f>
        <v>0</v>
      </c>
      <c r="K900" s="17">
        <f>IF('Components Yr 1'!K900=0,0,'Components Yr 1'!K900)</f>
        <v>0</v>
      </c>
      <c r="L900" s="12"/>
      <c r="M900" s="12"/>
      <c r="N900" s="12"/>
      <c r="O900" s="12"/>
      <c r="P900" s="12"/>
      <c r="Q900" s="17"/>
      <c r="R900" s="18">
        <f>IF(SUMPRODUCT((E900:Q900)*1)=0,0,E900*INDEX(Hours!M:M,MATCH(C900,Hours!$A:$A,0))+F900*INDEX(Hours!B:B,MATCH(C900,Hours!$A:$A,0))+G900*INDEX(Hours!C:C,MATCH(C900,Hours!$A:$A,0))+H900*INDEX(Hours!D:D,MATCH(C900,Hours!$A:$A,0))+I900*INDEX(Hours!E:E,MATCH(C900,Hours!$A:$A,0))+J900*INDEX(Hours!F:F,MATCH(C900,Hours!$A:$A,0))+K900*INDEX(Hours!G:G,MATCH(C900,Hours!$A:$A,0)))</f>
        <v>0</v>
      </c>
      <c r="S900" s="19">
        <f t="shared" si="29"/>
        <v>0</v>
      </c>
    </row>
    <row r="901" spans="1:19" x14ac:dyDescent="0.25">
      <c r="A901" s="11" t="str">
        <f>'Bldgs &amp; Rooms'!$A$26</f>
        <v>Main Bldg.</v>
      </c>
      <c r="B901" s="11">
        <f>'Bldgs &amp; Rooms'!$B$26</f>
        <v>0</v>
      </c>
      <c r="C901" s="10" t="str">
        <f>Hours!$A$13</f>
        <v xml:space="preserve">  MCC: Individual Disconnect Switch</v>
      </c>
      <c r="D901" s="11">
        <f t="shared" si="28"/>
        <v>0</v>
      </c>
      <c r="E901" s="16">
        <f>IF('Components Yr 1'!E901=0,0,'Components Yr 1'!E901)</f>
        <v>0</v>
      </c>
      <c r="F901" s="17">
        <f>IF('Components Yr 1'!F901=0,0,'Components Yr 1'!F901)</f>
        <v>0</v>
      </c>
      <c r="G901" s="17">
        <f>IF('Components Yr 1'!G901=0,0,'Components Yr 1'!G901)</f>
        <v>0</v>
      </c>
      <c r="H901" s="17">
        <f>IF('Components Yr 1'!H901=0,0,'Components Yr 1'!H901)</f>
        <v>0</v>
      </c>
      <c r="I901" s="17">
        <f>IF('Components Yr 1'!I901=0,0,'Components Yr 1'!I901)</f>
        <v>0</v>
      </c>
      <c r="J901" s="17">
        <f>IF('Components Yr 1'!J901=0,0,'Components Yr 1'!J901)</f>
        <v>0</v>
      </c>
      <c r="K901" s="12"/>
      <c r="L901" s="12"/>
      <c r="M901" s="12"/>
      <c r="N901" s="12"/>
      <c r="O901" s="12"/>
      <c r="P901" s="12"/>
      <c r="Q901" s="17"/>
      <c r="R901" s="18">
        <f>IF(SUMPRODUCT((E901:Q901)*1)=0,0,E901*INDEX(Hours!M:M,MATCH(C901,Hours!$A:$A,0))+F901*INDEX(Hours!B:B,MATCH(C901,Hours!$A:$A,0))+G901*INDEX(Hours!C:C,MATCH(C901,Hours!$A:$A,0))+H901*INDEX(Hours!D:D,MATCH(C901,Hours!$A:$A,0))+I901*INDEX(Hours!E:E,MATCH(C901,Hours!$A:$A,0))+J901*INDEX(Hours!F:F,MATCH(C901,Hours!$A:$A,0)))</f>
        <v>0</v>
      </c>
      <c r="S901" s="19">
        <f t="shared" si="29"/>
        <v>0</v>
      </c>
    </row>
    <row r="902" spans="1:19" x14ac:dyDescent="0.25">
      <c r="A902" s="11" t="str">
        <f>'Bldgs &amp; Rooms'!$A$26</f>
        <v>Main Bldg.</v>
      </c>
      <c r="B902" s="11">
        <f>'Bldgs &amp; Rooms'!$B$26</f>
        <v>0</v>
      </c>
      <c r="C902" s="10" t="str">
        <f>Hours!$A$14</f>
        <v>Motor Control Panel (MCP)</v>
      </c>
      <c r="D902" s="11">
        <f t="shared" si="28"/>
        <v>0</v>
      </c>
      <c r="E902" s="16">
        <f>IF('Components Yr 1'!E902=0,0,'Components Yr 1'!E902)</f>
        <v>0</v>
      </c>
      <c r="F902" s="17">
        <f>IF('Components Yr 1'!F902=0,0,'Components Yr 1'!F902)</f>
        <v>0</v>
      </c>
      <c r="G902" s="17">
        <f>IF('Components Yr 1'!G902=0,0,'Components Yr 1'!G902)</f>
        <v>0</v>
      </c>
      <c r="H902" s="17">
        <f>IF('Components Yr 1'!H902=0,0,'Components Yr 1'!H902)</f>
        <v>0</v>
      </c>
      <c r="I902" s="17">
        <f>IF('Components Yr 1'!I902=0,0,'Components Yr 1'!I902)</f>
        <v>0</v>
      </c>
      <c r="J902" s="17">
        <f>IF('Components Yr 1'!J902=0,0,'Components Yr 1'!J902)</f>
        <v>0</v>
      </c>
      <c r="K902" s="12"/>
      <c r="L902" s="12"/>
      <c r="M902" s="12"/>
      <c r="N902" s="12"/>
      <c r="O902" s="17">
        <f>IF('Components Yr 1'!O902=0,0,'Components Yr 1'!O902)</f>
        <v>0</v>
      </c>
      <c r="P902" s="12"/>
      <c r="Q902" s="17"/>
      <c r="R902" s="18">
        <f>IF(SUMPRODUCT((E902:Q902)*1)=0,0,E902*INDEX(Hours!M:M,MATCH(C902,Hours!$A:$A,0))+F902*INDEX(Hours!B:B,MATCH(C902,Hours!$A:$A,0))+G902*INDEX(Hours!C:C,MATCH(C902,Hours!$A:$A,0))+H902*INDEX(Hours!D:D,MATCH(C902,Hours!$A:$A,0))+I902*INDEX(Hours!E:E,MATCH(C902,Hours!$A:$A,0))+J902*INDEX(Hours!F:F,MATCH(C902,Hours!$A:$A,0))+O902*INDEX(Hours!K:K,MATCH(C902,Hours!$A:$A,0)))</f>
        <v>0</v>
      </c>
      <c r="S902" s="19">
        <f t="shared" si="29"/>
        <v>0</v>
      </c>
    </row>
    <row r="903" spans="1:19" x14ac:dyDescent="0.25">
      <c r="A903" s="11" t="str">
        <f>'Bldgs &amp; Rooms'!$A$26</f>
        <v>Main Bldg.</v>
      </c>
      <c r="B903" s="11">
        <f>'Bldgs &amp; Rooms'!$B$26</f>
        <v>0</v>
      </c>
      <c r="C903" s="10" t="str">
        <f>Hours!$A$15</f>
        <v>VFD Motor Control Panel (VFD-MCP)</v>
      </c>
      <c r="D903" s="11">
        <f t="shared" si="28"/>
        <v>0</v>
      </c>
      <c r="E903" s="16">
        <f>IF('Components Yr 1'!E903=0,0,'Components Yr 1'!E903)</f>
        <v>0</v>
      </c>
      <c r="F903" s="17">
        <f>IF('Components Yr 1'!F903=0,0,'Components Yr 1'!F903)</f>
        <v>0</v>
      </c>
      <c r="G903" s="17">
        <f>IF('Components Yr 1'!G903=0,0,'Components Yr 1'!G903)</f>
        <v>0</v>
      </c>
      <c r="H903" s="17">
        <f>IF('Components Yr 1'!H903=0,0,'Components Yr 1'!H903)</f>
        <v>0</v>
      </c>
      <c r="I903" s="17">
        <f>IF('Components Yr 1'!I903=0,0,'Components Yr 1'!I903)</f>
        <v>0</v>
      </c>
      <c r="J903" s="17">
        <f>IF('Components Yr 1'!J903=0,0,'Components Yr 1'!J903)</f>
        <v>0</v>
      </c>
      <c r="K903" s="12"/>
      <c r="L903" s="12"/>
      <c r="M903" s="12"/>
      <c r="N903" s="12"/>
      <c r="O903" s="17">
        <f>IF('Components Yr 1'!O903=0,0,'Components Yr 1'!O903)</f>
        <v>0</v>
      </c>
      <c r="P903" s="12"/>
      <c r="Q903" s="17"/>
      <c r="R903" s="18">
        <f>IF(SUMPRODUCT((E903:Q903)*1)=0,0,E903*INDEX(Hours!M:M,MATCH(C903,Hours!$A:$A,0))+F903*INDEX(Hours!B:B,MATCH(C903,Hours!$A:$A,0))+G903*INDEX(Hours!C:C,MATCH(C903,Hours!$A:$A,0))+H903*INDEX(Hours!D:D,MATCH(C903,Hours!$A:$A,0))+I903*INDEX(Hours!E:E,MATCH(C903,Hours!$A:$A,0))+J903*INDEX(Hours!F:F,MATCH(C903,Hours!$A:$A,0))+O903*INDEX(Hours!K:K,MATCH(C903,Hours!$A:$A,0)))</f>
        <v>0</v>
      </c>
      <c r="S903" s="19">
        <f t="shared" si="29"/>
        <v>0</v>
      </c>
    </row>
    <row r="904" spans="1:19" x14ac:dyDescent="0.25">
      <c r="A904" s="11" t="str">
        <f>'Bldgs &amp; Rooms'!$A$26</f>
        <v>Main Bldg.</v>
      </c>
      <c r="B904" s="11">
        <f>'Bldgs &amp; Rooms'!$B$26</f>
        <v>0</v>
      </c>
      <c r="C904" s="10" t="str">
        <f>Hours!$A$16</f>
        <v>Individual Disconnect Switch &gt; 100A</v>
      </c>
      <c r="D904" s="11">
        <f t="shared" si="28"/>
        <v>0</v>
      </c>
      <c r="E904" s="16">
        <f>IF('Components Yr 1'!E904=0,0,'Components Yr 1'!E904)</f>
        <v>0</v>
      </c>
      <c r="F904" s="17">
        <f>IF('Components Yr 1'!F904=0,0,'Components Yr 1'!F904)</f>
        <v>0</v>
      </c>
      <c r="G904" s="17">
        <f>IF('Components Yr 1'!G904=0,0,'Components Yr 1'!G904)</f>
        <v>0</v>
      </c>
      <c r="H904" s="17">
        <f>IF('Components Yr 1'!H904=0,0,'Components Yr 1'!H904)</f>
        <v>0</v>
      </c>
      <c r="I904" s="17">
        <f>IF('Components Yr 1'!I904=0,0,'Components Yr 1'!I904)</f>
        <v>0</v>
      </c>
      <c r="J904" s="17">
        <f>IF('Components Yr 1'!J904=0,0,'Components Yr 1'!J904)</f>
        <v>0</v>
      </c>
      <c r="K904" s="17">
        <f>IF('Components Yr 1'!K904=0,0,'Components Yr 1'!K904)</f>
        <v>0</v>
      </c>
      <c r="L904" s="12"/>
      <c r="M904" s="12"/>
      <c r="N904" s="12"/>
      <c r="O904" s="12"/>
      <c r="P904" s="12"/>
      <c r="Q904" s="17"/>
      <c r="R904" s="18">
        <f>IF(SUMPRODUCT((E904:Q904)*1)=0,0,E904*INDEX(Hours!M:M,MATCH(C904,Hours!$A:$A,0))+F904*INDEX(Hours!B:B,MATCH(C904,Hours!$A:$A,0))+G904*INDEX(Hours!C:C,MATCH(C904,Hours!$A:$A,0))+H904*INDEX(Hours!D:D,MATCH(C904,Hours!$A:$A,0))+I904*INDEX(Hours!E:E,MATCH(C904,Hours!$A:$A,0))+J904*INDEX(Hours!F:F,MATCH(C904,Hours!$A:$A,0))+K904*INDEX(Hours!G:G,MATCH(C904,Hours!$A:$A,0)))</f>
        <v>0</v>
      </c>
      <c r="S904" s="19">
        <f t="shared" si="29"/>
        <v>0</v>
      </c>
    </row>
    <row r="905" spans="1:19" x14ac:dyDescent="0.25">
      <c r="A905" s="11" t="str">
        <f>'Bldgs &amp; Rooms'!$A$26</f>
        <v>Main Bldg.</v>
      </c>
      <c r="B905" s="11">
        <f>'Bldgs &amp; Rooms'!$B$26</f>
        <v>0</v>
      </c>
      <c r="C905" s="10" t="str">
        <f>Hours!$A$17</f>
        <v>Individual Molded Case Breaker &gt; 100A</v>
      </c>
      <c r="D905" s="11">
        <f t="shared" si="28"/>
        <v>0</v>
      </c>
      <c r="E905" s="16">
        <f>IF('Components Yr 1'!E905=0,0,'Components Yr 1'!E905)</f>
        <v>0</v>
      </c>
      <c r="F905" s="17">
        <f>IF('Components Yr 1'!F905=0,0,'Components Yr 1'!F905)</f>
        <v>0</v>
      </c>
      <c r="G905" s="17">
        <f>IF('Components Yr 1'!G905=0,0,'Components Yr 1'!G905)</f>
        <v>0</v>
      </c>
      <c r="H905" s="17">
        <f>IF('Components Yr 1'!H905=0,0,'Components Yr 1'!H905)</f>
        <v>0</v>
      </c>
      <c r="I905" s="17">
        <f>IF('Components Yr 1'!I905=0,0,'Components Yr 1'!I905)</f>
        <v>0</v>
      </c>
      <c r="J905" s="17">
        <f>IF('Components Yr 1'!J905=0,0,'Components Yr 1'!J905)</f>
        <v>0</v>
      </c>
      <c r="K905" s="17">
        <f>IF('Components Yr 1'!K905=0,0,'Components Yr 1'!K905)</f>
        <v>0</v>
      </c>
      <c r="L905" s="12"/>
      <c r="M905" s="12"/>
      <c r="N905" s="12"/>
      <c r="O905" s="12"/>
      <c r="P905" s="12"/>
      <c r="Q905" s="17"/>
      <c r="R905" s="18">
        <f>IF(SUMPRODUCT((E905:Q905)*1)=0,0,E905*INDEX(Hours!M:M,MATCH(C905,Hours!$A:$A,0))+F905*INDEX(Hours!B:B,MATCH(C905,Hours!$A:$A,0))+G905*INDEX(Hours!C:C,MATCH(C905,Hours!$A:$A,0))+H905*INDEX(Hours!D:D,MATCH(C905,Hours!$A:$A,0))+I905*INDEX(Hours!E:E,MATCH(C905,Hours!$A:$A,0))+J905*INDEX(Hours!F:F,MATCH(C905,Hours!$A:$A,0))+K905*INDEX(Hours!G:G,MATCH(C905,Hours!$A:$A,0)))</f>
        <v>0</v>
      </c>
      <c r="S905" s="19">
        <f t="shared" si="29"/>
        <v>0</v>
      </c>
    </row>
    <row r="906" spans="1:19" x14ac:dyDescent="0.25">
      <c r="A906" s="11" t="str">
        <f>'Bldgs &amp; Rooms'!$A$26</f>
        <v>Main Bldg.</v>
      </c>
      <c r="B906" s="11">
        <f>'Bldgs &amp; Rooms'!$B$26</f>
        <v>0</v>
      </c>
      <c r="C906" s="10" t="str">
        <f>Hours!$A$18</f>
        <v>Individual Combination Motor Starter &gt; 100A</v>
      </c>
      <c r="D906" s="11">
        <f t="shared" si="28"/>
        <v>0</v>
      </c>
      <c r="E906" s="16">
        <f>IF('Components Yr 1'!E906=0,0,'Components Yr 1'!E906)</f>
        <v>0</v>
      </c>
      <c r="F906" s="17">
        <f>IF('Components Yr 1'!F906=0,0,'Components Yr 1'!F906)</f>
        <v>0</v>
      </c>
      <c r="G906" s="17">
        <f>IF('Components Yr 1'!G906=0,0,'Components Yr 1'!G906)</f>
        <v>0</v>
      </c>
      <c r="H906" s="17">
        <f>IF('Components Yr 1'!H906=0,0,'Components Yr 1'!H906)</f>
        <v>0</v>
      </c>
      <c r="I906" s="17">
        <f>IF('Components Yr 1'!I906=0,0,'Components Yr 1'!I906)</f>
        <v>0</v>
      </c>
      <c r="J906" s="17">
        <f>IF('Components Yr 1'!J906=0,0,'Components Yr 1'!J906)</f>
        <v>0</v>
      </c>
      <c r="K906" s="17">
        <f>IF('Components Yr 1'!K906=0,0,'Components Yr 1'!K906)</f>
        <v>0</v>
      </c>
      <c r="L906" s="12"/>
      <c r="M906" s="12"/>
      <c r="N906" s="12"/>
      <c r="O906" s="12"/>
      <c r="P906" s="12"/>
      <c r="Q906" s="17"/>
      <c r="R906" s="18">
        <f>IF(SUMPRODUCT((E906:Q906)*1)=0,0,E906*INDEX(Hours!M:M,MATCH(C906,Hours!$A:$A,0))+F906*INDEX(Hours!B:B,MATCH(C906,Hours!$A:$A,0))+G906*INDEX(Hours!C:C,MATCH(C906,Hours!$A:$A,0))+H906*INDEX(Hours!D:D,MATCH(C906,Hours!$A:$A,0))+I906*INDEX(Hours!E:E,MATCH(C906,Hours!$A:$A,0))+J906*INDEX(Hours!F:F,MATCH(C906,Hours!$A:$A,0))+K906*INDEX(Hours!G:G,MATCH(C906,Hours!$A:$A,0)))</f>
        <v>0</v>
      </c>
      <c r="S906" s="19">
        <f t="shared" si="29"/>
        <v>0</v>
      </c>
    </row>
    <row r="907" spans="1:19" x14ac:dyDescent="0.25">
      <c r="A907" s="11" t="str">
        <f>'Bldgs &amp; Rooms'!$A$26</f>
        <v>Main Bldg.</v>
      </c>
      <c r="B907" s="11">
        <f>'Bldgs &amp; Rooms'!$B$26</f>
        <v>0</v>
      </c>
      <c r="C907" s="10" t="str">
        <f>Hours!$A$19</f>
        <v>Oil Filled Transformer - 5kV-15kV Primary - Any Size (Pad Mounted)</v>
      </c>
      <c r="D907" s="11">
        <f t="shared" si="28"/>
        <v>0</v>
      </c>
      <c r="E907" s="16">
        <f>IF('Components Yr 1'!E907=0,0,'Components Yr 1'!E907)</f>
        <v>0</v>
      </c>
      <c r="F907" s="17">
        <f>IF('Components Yr 1'!F907=0,0,'Components Yr 1'!F907)</f>
        <v>0</v>
      </c>
      <c r="G907" s="17">
        <f>IF('Components Yr 1'!G907=0,0,'Components Yr 1'!G907)</f>
        <v>0</v>
      </c>
      <c r="H907" s="17">
        <f>IF('Components Yr 1'!H907=0,0,'Components Yr 1'!H907)</f>
        <v>0</v>
      </c>
      <c r="I907" s="17">
        <f>IF('Components Yr 1'!I907=0,0,'Components Yr 1'!I907)</f>
        <v>0</v>
      </c>
      <c r="J907" s="17">
        <f>IF('Components Yr 1'!J907=0,0,'Components Yr 1'!J907)</f>
        <v>0</v>
      </c>
      <c r="K907" s="12"/>
      <c r="L907" s="12"/>
      <c r="M907" s="17">
        <f>IF('Components Yr 1'!M907=0,0,'Components Yr 1'!M907)</f>
        <v>0</v>
      </c>
      <c r="N907" s="17">
        <f>IF('Components Yr 1'!N907=0,0,'Components Yr 1'!N907)</f>
        <v>0</v>
      </c>
      <c r="O907" s="12"/>
      <c r="P907" s="17">
        <f>IF('Components Yr 1'!P907=0,0,'Components Yr 1'!P907)</f>
        <v>0</v>
      </c>
      <c r="Q907" s="17"/>
      <c r="R907" s="18">
        <f>IF(SUMPRODUCT((E907:Q907)*1)=0,0,E907*INDEX(Hours!M:M,MATCH(C907,Hours!$A:$A,0))+F907*INDEX(Hours!B:B,MATCH(C907,Hours!$A:$A,0))+G907*INDEX(Hours!C:C,MATCH(C907,Hours!$A:$A,0))+H907*INDEX(Hours!D:D,MATCH(C907,Hours!$A:$A,0))+I907*INDEX(Hours!E:E,MATCH(C907,Hours!$A:$A,0))+J907*INDEX(Hours!F:F,MATCH(C907,Hours!$A:$A,0))+M907*INDEX(Hours!I:I,MATCH(C907,Hours!$A:$A,0))+N907*INDEX(Hours!J:J,MATCH(C907,Hours!$A:$A,0))+P907*INDEX(Hours!L:L,MATCH(C907,Hours!$A:$A,0)))</f>
        <v>0</v>
      </c>
      <c r="S907" s="19">
        <f t="shared" si="29"/>
        <v>0</v>
      </c>
    </row>
    <row r="908" spans="1:19" x14ac:dyDescent="0.25">
      <c r="A908" s="11" t="str">
        <f>'Bldgs &amp; Rooms'!$A$26</f>
        <v>Main Bldg.</v>
      </c>
      <c r="B908" s="11">
        <f>'Bldgs &amp; Rooms'!$B$26</f>
        <v>0</v>
      </c>
      <c r="C908" s="10" t="str">
        <f>Hours!$A$20</f>
        <v>Oil Filled Transformer - &gt; 15kV Primary (Substation Class)</v>
      </c>
      <c r="D908" s="11">
        <f t="shared" si="28"/>
        <v>0</v>
      </c>
      <c r="E908" s="16">
        <f>IF('Components Yr 1'!E908=0,0,'Components Yr 1'!E908)</f>
        <v>0</v>
      </c>
      <c r="F908" s="17">
        <f>IF('Components Yr 1'!F908=0,0,'Components Yr 1'!F908)</f>
        <v>0</v>
      </c>
      <c r="G908" s="17">
        <f>IF('Components Yr 1'!G908=0,0,'Components Yr 1'!G908)</f>
        <v>0</v>
      </c>
      <c r="H908" s="17">
        <f>IF('Components Yr 1'!H908=0,0,'Components Yr 1'!H908)</f>
        <v>0</v>
      </c>
      <c r="I908" s="17">
        <f>IF('Components Yr 1'!I908=0,0,'Components Yr 1'!I908)</f>
        <v>0</v>
      </c>
      <c r="J908" s="17">
        <f>IF('Components Yr 1'!J908=0,0,'Components Yr 1'!J908)</f>
        <v>0</v>
      </c>
      <c r="K908" s="12"/>
      <c r="L908" s="12"/>
      <c r="M908" s="17">
        <f>IF('Components Yr 1'!M908=0,0,'Components Yr 1'!M908)</f>
        <v>0</v>
      </c>
      <c r="N908" s="17">
        <f>IF('Components Yr 1'!N908=0,0,'Components Yr 1'!N908)</f>
        <v>0</v>
      </c>
      <c r="O908" s="12"/>
      <c r="P908" s="17">
        <f>IF('Components Yr 1'!P908=0,0,'Components Yr 1'!P908)</f>
        <v>0</v>
      </c>
      <c r="Q908" s="17"/>
      <c r="R908" s="18">
        <f>IF(SUMPRODUCT((E908:Q908)*1)=0,0,E908*INDEX(Hours!M:M,MATCH(C908,Hours!$A:$A,0))+F908*INDEX(Hours!B:B,MATCH(C908,Hours!$A:$A,0))+G908*INDEX(Hours!C:C,MATCH(C908,Hours!$A:$A,0))+H908*INDEX(Hours!D:D,MATCH(C908,Hours!$A:$A,0))+I908*INDEX(Hours!E:E,MATCH(C908,Hours!$A:$A,0))+J908*INDEX(Hours!F:F,MATCH(C908,Hours!$A:$A,0))+M908*INDEX(Hours!I:I,MATCH(C908,Hours!$A:$A,0))+N908*INDEX(Hours!J:J,MATCH(C908,Hours!$A:$A,0))+P908*INDEX(Hours!L:L,MATCH(C908,Hours!$A:$A,0)))</f>
        <v>0</v>
      </c>
      <c r="S908" s="19">
        <f t="shared" si="29"/>
        <v>0</v>
      </c>
    </row>
    <row r="909" spans="1:19" x14ac:dyDescent="0.25">
      <c r="A909" s="11" t="str">
        <f>'Bldgs &amp; Rooms'!$A$26</f>
        <v>Main Bldg.</v>
      </c>
      <c r="B909" s="11">
        <f>'Bldgs &amp; Rooms'!$B$26</f>
        <v>0</v>
      </c>
      <c r="C909" s="10" t="str">
        <f>Hours!$A$21</f>
        <v>Dry Type Transformer - &lt; 480V Primary - Any Size kVA</v>
      </c>
      <c r="D909" s="11">
        <f t="shared" si="28"/>
        <v>0</v>
      </c>
      <c r="E909" s="16">
        <f>IF('Components Yr 1'!E909=0,0,'Components Yr 1'!E909)</f>
        <v>0</v>
      </c>
      <c r="F909" s="17">
        <f>IF('Components Yr 1'!F909=0,0,'Components Yr 1'!F909)</f>
        <v>0</v>
      </c>
      <c r="G909" s="17">
        <f>IF('Components Yr 1'!G909=0,0,'Components Yr 1'!G909)</f>
        <v>0</v>
      </c>
      <c r="H909" s="17">
        <f>IF('Components Yr 1'!H909=0,0,'Components Yr 1'!H909)</f>
        <v>0</v>
      </c>
      <c r="I909" s="17">
        <f>IF('Components Yr 1'!I909=0,0,'Components Yr 1'!I909)</f>
        <v>0</v>
      </c>
      <c r="J909" s="17">
        <f>IF('Components Yr 1'!J909=0,0,'Components Yr 1'!J909)</f>
        <v>0</v>
      </c>
      <c r="K909" s="12"/>
      <c r="L909" s="12"/>
      <c r="M909" s="17">
        <f>IF('Components Yr 1'!M909=0,0,'Components Yr 1'!M909)</f>
        <v>0</v>
      </c>
      <c r="N909" s="17">
        <f>IF('Components Yr 1'!N909=0,0,'Components Yr 1'!N909)</f>
        <v>0</v>
      </c>
      <c r="O909" s="12"/>
      <c r="P909" s="12"/>
      <c r="Q909" s="17"/>
      <c r="R909" s="18">
        <f>IF(SUMPRODUCT((E909:Q909)*1)=0,0,E909*INDEX(Hours!M:M,MATCH(C909,Hours!$A:$A,0))+F909*INDEX(Hours!B:B,MATCH(C909,Hours!$A:$A,0))+G909*INDEX(Hours!C:C,MATCH(C909,Hours!$A:$A,0))+H909*INDEX(Hours!D:D,MATCH(C909,Hours!$A:$A,0))+I909*INDEX(Hours!E:E,MATCH(C909,Hours!$A:$A,0))+J909*INDEX(Hours!F:F,MATCH(C909,Hours!$A:$A,0))+M909*INDEX(Hours!I:I,MATCH(C909,Hours!$A:$A,0))+N909*INDEX(Hours!J:J,MATCH(C909,Hours!$A:$A,0)))</f>
        <v>0</v>
      </c>
      <c r="S909" s="19">
        <f t="shared" si="29"/>
        <v>0</v>
      </c>
    </row>
    <row r="910" spans="1:19" x14ac:dyDescent="0.25">
      <c r="A910" s="11" t="str">
        <f>'Bldgs &amp; Rooms'!$A$26</f>
        <v>Main Bldg.</v>
      </c>
      <c r="B910" s="11">
        <f>'Bldgs &amp; Rooms'!$B$26</f>
        <v>0</v>
      </c>
      <c r="C910" s="10" t="str">
        <f>Hours!$A$22</f>
        <v>Power Factor Correction Capacitors</v>
      </c>
      <c r="D910" s="11">
        <f t="shared" si="28"/>
        <v>0</v>
      </c>
      <c r="E910" s="16">
        <f>IF('Components Yr 1'!E910=0,0,'Components Yr 1'!E910)</f>
        <v>0</v>
      </c>
      <c r="F910" s="17">
        <f>IF('Components Yr 1'!F910=0,0,'Components Yr 1'!F910)</f>
        <v>0</v>
      </c>
      <c r="G910" s="17">
        <f>IF('Components Yr 1'!G910=0,0,'Components Yr 1'!G910)</f>
        <v>0</v>
      </c>
      <c r="H910" s="17">
        <f>IF('Components Yr 1'!H910=0,0,'Components Yr 1'!H910)</f>
        <v>0</v>
      </c>
      <c r="I910" s="17">
        <f>IF('Components Yr 1'!I910=0,0,'Components Yr 1'!I910)</f>
        <v>0</v>
      </c>
      <c r="J910" s="17">
        <f>IF('Components Yr 1'!J910=0,0,'Components Yr 1'!J910)</f>
        <v>0</v>
      </c>
      <c r="K910" s="12"/>
      <c r="L910" s="12"/>
      <c r="M910" s="12"/>
      <c r="N910" s="12"/>
      <c r="O910" s="12"/>
      <c r="P910" s="12"/>
      <c r="Q910" s="17"/>
      <c r="R910" s="18">
        <f>IF(SUMPRODUCT((E910:Q910)*1)=0,0,E910*INDEX(Hours!M:M,MATCH(C910,Hours!$A:$A,0))+F910*INDEX(Hours!B:B,MATCH(C910,Hours!$A:$A,0))+G910*INDEX(Hours!C:C,MATCH(C910,Hours!$A:$A,0))+H910*INDEX(Hours!D:D,MATCH(C910,Hours!$A:$A,0))+I910*INDEX(Hours!E:E,MATCH(C910,Hours!$A:$A,0))+J910*INDEX(Hours!F:F,MATCH(C910,Hours!$A:$A,0)))</f>
        <v>0</v>
      </c>
      <c r="S910" s="19">
        <f t="shared" si="29"/>
        <v>0</v>
      </c>
    </row>
    <row r="911" spans="1:19" x14ac:dyDescent="0.25">
      <c r="A911" s="11" t="str">
        <f>'Bldgs &amp; Rooms'!$A$26</f>
        <v>Main Bldg.</v>
      </c>
      <c r="B911" s="11">
        <f>'Bldgs &amp; Rooms'!$B$26</f>
        <v>0</v>
      </c>
      <c r="C911" s="10" t="str">
        <f>Hours!$A$23</f>
        <v>Lighting Contactor &gt; 100A</v>
      </c>
      <c r="D911" s="11">
        <f t="shared" si="28"/>
        <v>0</v>
      </c>
      <c r="E911" s="16">
        <f>IF('Components Yr 1'!E911=0,0,'Components Yr 1'!E911)</f>
        <v>0</v>
      </c>
      <c r="F911" s="17">
        <f>IF('Components Yr 1'!F911=0,0,'Components Yr 1'!F911)</f>
        <v>0</v>
      </c>
      <c r="G911" s="17">
        <f>IF('Components Yr 1'!G911=0,0,'Components Yr 1'!G911)</f>
        <v>0</v>
      </c>
      <c r="H911" s="17">
        <f>IF('Components Yr 1'!H911=0,0,'Components Yr 1'!H911)</f>
        <v>0</v>
      </c>
      <c r="I911" s="17">
        <f>IF('Components Yr 1'!I911=0,0,'Components Yr 1'!I911)</f>
        <v>0</v>
      </c>
      <c r="J911" s="17">
        <f>IF('Components Yr 1'!J911=0,0,'Components Yr 1'!J911)</f>
        <v>0</v>
      </c>
      <c r="K911" s="12"/>
      <c r="L911" s="12"/>
      <c r="M911" s="12"/>
      <c r="N911" s="12"/>
      <c r="O911" s="12"/>
      <c r="P911" s="12"/>
      <c r="Q911" s="17"/>
      <c r="R911" s="18">
        <f>IF(SUMPRODUCT((E911:Q911)*1)=0,0,E911*INDEX(Hours!M:M,MATCH(C911,Hours!$A:$A,0))+F911*INDEX(Hours!B:B,MATCH(C911,Hours!$A:$A,0))+G911*INDEX(Hours!C:C,MATCH(C911,Hours!$A:$A,0))+H911*INDEX(Hours!D:D,MATCH(C911,Hours!$A:$A,0))+I911*INDEX(Hours!E:E,MATCH(C911,Hours!$A:$A,0))+J911*INDEX(Hours!F:F,MATCH(C911,Hours!$A:$A,0)))</f>
        <v>0</v>
      </c>
      <c r="S911" s="19">
        <f t="shared" si="29"/>
        <v>0</v>
      </c>
    </row>
    <row r="912" spans="1:19" x14ac:dyDescent="0.25">
      <c r="A912" s="11" t="str">
        <f>'Bldgs &amp; Rooms'!$A$26</f>
        <v>Main Bldg.</v>
      </c>
      <c r="B912" s="11">
        <f>'Bldgs &amp; Rooms'!$B$26</f>
        <v>0</v>
      </c>
      <c r="C912" s="10" t="str">
        <f>Hours!$A$24</f>
        <v>Power Distribution Unit (PDU)</v>
      </c>
      <c r="D912" s="11">
        <f t="shared" si="28"/>
        <v>0</v>
      </c>
      <c r="E912" s="16">
        <f>IF('Components Yr 1'!E912=0,0,'Components Yr 1'!E912)</f>
        <v>0</v>
      </c>
      <c r="F912" s="17">
        <f>IF('Components Yr 1'!F912=0,0,'Components Yr 1'!F912)</f>
        <v>0</v>
      </c>
      <c r="G912" s="17">
        <f>IF('Components Yr 1'!G912=0,0,'Components Yr 1'!G912)</f>
        <v>0</v>
      </c>
      <c r="H912" s="17">
        <f>IF('Components Yr 1'!H912=0,0,'Components Yr 1'!H912)</f>
        <v>0</v>
      </c>
      <c r="I912" s="17">
        <f>IF('Components Yr 1'!I912=0,0,'Components Yr 1'!I912)</f>
        <v>0</v>
      </c>
      <c r="J912" s="17">
        <f>IF('Components Yr 1'!J912=0,0,'Components Yr 1'!J912)</f>
        <v>0</v>
      </c>
      <c r="K912" s="12"/>
      <c r="L912" s="12"/>
      <c r="M912" s="12"/>
      <c r="N912" s="12"/>
      <c r="O912" s="12"/>
      <c r="P912" s="12"/>
      <c r="Q912" s="17"/>
      <c r="R912" s="18">
        <f>IF(SUMPRODUCT((E912:Q912)*1)=0,0,E912*INDEX(Hours!M:M,MATCH(C912,Hours!$A:$A,0))+F912*INDEX(Hours!B:B,MATCH(C912,Hours!$A:$A,0))+G912*INDEX(Hours!C:C,MATCH(C912,Hours!$A:$A,0))+H912*INDEX(Hours!D:D,MATCH(C912,Hours!$A:$A,0))+I912*INDEX(Hours!E:E,MATCH(C912,Hours!$A:$A,0))+J912*INDEX(Hours!F:F,MATCH(C912,Hours!$A:$A,0)))</f>
        <v>0</v>
      </c>
      <c r="S912" s="19">
        <f t="shared" si="29"/>
        <v>0</v>
      </c>
    </row>
    <row r="913" spans="1:19" x14ac:dyDescent="0.25">
      <c r="A913" s="11" t="str">
        <f>'Bldgs &amp; Rooms'!$A$26</f>
        <v>Main Bldg.</v>
      </c>
      <c r="B913" s="11">
        <f>'Bldgs &amp; Rooms'!$B$26</f>
        <v>0</v>
      </c>
      <c r="C913" s="10" t="str">
        <f>Hours!$A$25</f>
        <v>Wire Trough, Gutter, or Large Junction Boxes</v>
      </c>
      <c r="D913" s="11">
        <f t="shared" si="28"/>
        <v>0</v>
      </c>
      <c r="E913" s="16">
        <f>IF('Components Yr 1'!E913=0,0,'Components Yr 1'!E913)</f>
        <v>0</v>
      </c>
      <c r="F913" s="17">
        <f>IF('Components Yr 1'!F913=0,0,'Components Yr 1'!F913)</f>
        <v>0</v>
      </c>
      <c r="G913" s="17">
        <f>IF('Components Yr 1'!G913=0,0,'Components Yr 1'!G913)</f>
        <v>0</v>
      </c>
      <c r="H913" s="17">
        <f>IF('Components Yr 1'!H913=0,0,'Components Yr 1'!H913)</f>
        <v>0</v>
      </c>
      <c r="I913" s="17">
        <f>IF('Components Yr 1'!I913=0,0,'Components Yr 1'!I913)</f>
        <v>0</v>
      </c>
      <c r="J913" s="17">
        <f>IF('Components Yr 1'!J913=0,0,'Components Yr 1'!J913)</f>
        <v>0</v>
      </c>
      <c r="K913" s="12"/>
      <c r="L913" s="12"/>
      <c r="M913" s="12"/>
      <c r="N913" s="12"/>
      <c r="O913" s="12"/>
      <c r="P913" s="12"/>
      <c r="Q913" s="17"/>
      <c r="R913" s="18">
        <f>IF(SUMPRODUCT((E913:Q913)*1)=0,0,E913*INDEX(Hours!M:M,MATCH(C913,Hours!$A:$A,0))+F913*INDEX(Hours!B:B,MATCH(C913,Hours!$A:$A,0))+G913*INDEX(Hours!C:C,MATCH(C913,Hours!$A:$A,0))+H913*INDEX(Hours!D:D,MATCH(C913,Hours!$A:$A,0))+I913*INDEX(Hours!E:E,MATCH(C913,Hours!$A:$A,0))+J913*INDEX(Hours!F:F,MATCH(C913,Hours!$A:$A,0)))</f>
        <v>0</v>
      </c>
      <c r="S913" s="19">
        <f t="shared" si="29"/>
        <v>0</v>
      </c>
    </row>
    <row r="914" spans="1:19" x14ac:dyDescent="0.25">
      <c r="A914" s="11" t="str">
        <f>'Bldgs &amp; Rooms'!$A$26</f>
        <v>Main Bldg.</v>
      </c>
      <c r="B914" s="11">
        <f>'Bldgs &amp; Rooms'!$B$26</f>
        <v>0</v>
      </c>
      <c r="C914" s="10" t="str">
        <f>Hours!$A$26</f>
        <v>Bus Duct - Vertical or Horizontal (Per 10' section)</v>
      </c>
      <c r="D914" s="11">
        <f t="shared" si="28"/>
        <v>0</v>
      </c>
      <c r="E914" s="16">
        <f>IF('Components Yr 1'!E914=0,0,'Components Yr 1'!E914)</f>
        <v>0</v>
      </c>
      <c r="F914" s="17">
        <f>IF('Components Yr 1'!F914=0,0,'Components Yr 1'!F914)</f>
        <v>0</v>
      </c>
      <c r="G914" s="17">
        <f>IF('Components Yr 1'!G914=0,0,'Components Yr 1'!G914)</f>
        <v>0</v>
      </c>
      <c r="H914" s="17">
        <f>IF('Components Yr 1'!H914=0,0,'Components Yr 1'!H914)</f>
        <v>0</v>
      </c>
      <c r="I914" s="17">
        <f>IF('Components Yr 1'!I914=0,0,'Components Yr 1'!I914)</f>
        <v>0</v>
      </c>
      <c r="J914" s="17">
        <f>IF('Components Yr 1'!J914=0,0,'Components Yr 1'!J914)</f>
        <v>0</v>
      </c>
      <c r="K914" s="12"/>
      <c r="L914" s="12"/>
      <c r="M914" s="12"/>
      <c r="N914" s="12"/>
      <c r="O914" s="12"/>
      <c r="P914" s="12"/>
      <c r="Q914" s="17"/>
      <c r="R914" s="18">
        <f>IF(SUMPRODUCT((E914:Q914)*1)=0,0,E914*INDEX(Hours!M:M,MATCH(C914,Hours!$A:$A,0))+F914*INDEX(Hours!B:B,MATCH(C914,Hours!$A:$A,0))+G914*INDEX(Hours!C:C,MATCH(C914,Hours!$A:$A,0))+H914*INDEX(Hours!D:D,MATCH(C914,Hours!$A:$A,0))+I914*INDEX(Hours!E:E,MATCH(C914,Hours!$A:$A,0))+J914*INDEX(Hours!F:F,MATCH(C914,Hours!$A:$A,0)))</f>
        <v>0</v>
      </c>
      <c r="S914" s="19">
        <f t="shared" si="29"/>
        <v>0</v>
      </c>
    </row>
    <row r="915" spans="1:19" x14ac:dyDescent="0.25">
      <c r="A915" s="11" t="str">
        <f>'Bldgs &amp; Rooms'!$A$26</f>
        <v>Main Bldg.</v>
      </c>
      <c r="B915" s="11">
        <f>'Bldgs &amp; Rooms'!$B$26</f>
        <v>0</v>
      </c>
      <c r="C915" s="10" t="str">
        <f>Hours!$A$27</f>
        <v>Automatic Transfer Switch (ATS) &gt; 100A</v>
      </c>
      <c r="D915" s="11">
        <f t="shared" si="28"/>
        <v>0</v>
      </c>
      <c r="E915" s="16">
        <f>IF('Components Yr 1'!E915=0,0,'Components Yr 1'!E915)</f>
        <v>0</v>
      </c>
      <c r="F915" s="17">
        <f>IF('Components Yr 1'!F915=0,0,'Components Yr 1'!F915)</f>
        <v>0</v>
      </c>
      <c r="G915" s="17">
        <f>IF('Components Yr 1'!G915=0,0,'Components Yr 1'!G915)</f>
        <v>0</v>
      </c>
      <c r="H915" s="17">
        <f>IF('Components Yr 1'!H915=0,0,'Components Yr 1'!H915)</f>
        <v>0</v>
      </c>
      <c r="I915" s="17">
        <f>IF('Components Yr 1'!I915=0,0,'Components Yr 1'!I915)</f>
        <v>0</v>
      </c>
      <c r="J915" s="17">
        <f>IF('Components Yr 1'!J915=0,0,'Components Yr 1'!J915)</f>
        <v>0</v>
      </c>
      <c r="K915" s="12"/>
      <c r="L915" s="12"/>
      <c r="M915" s="12"/>
      <c r="N915" s="12"/>
      <c r="O915" s="12"/>
      <c r="P915" s="12"/>
      <c r="Q915" s="17"/>
      <c r="R915" s="18">
        <f>IF(SUMPRODUCT((E915:Q915)*1)=0,0,E915*INDEX(Hours!M:M,MATCH(C915,Hours!$A:$A,0))+F915*INDEX(Hours!B:B,MATCH(C915,Hours!$A:$A,0))+G915*INDEX(Hours!C:C,MATCH(C915,Hours!$A:$A,0))+H915*INDEX(Hours!D:D,MATCH(C915,Hours!$A:$A,0))+I915*INDEX(Hours!E:E,MATCH(C915,Hours!$A:$A,0))+J915*INDEX(Hours!F:F,MATCH(C915,Hours!$A:$A,0)))</f>
        <v>0</v>
      </c>
      <c r="S915" s="19">
        <f t="shared" si="29"/>
        <v>0</v>
      </c>
    </row>
    <row r="916" spans="1:19" x14ac:dyDescent="0.25">
      <c r="A916" s="11" t="str">
        <f>'Bldgs &amp; Rooms'!$A$26</f>
        <v>Main Bldg.</v>
      </c>
      <c r="B916" s="11">
        <f>'Bldgs &amp; Rooms'!$B$26</f>
        <v>0</v>
      </c>
      <c r="C916" s="10" t="str">
        <f>Hours!$A$28</f>
        <v>Manual Transfer Switch (MTS) &gt; 100A</v>
      </c>
      <c r="D916" s="11">
        <f t="shared" si="28"/>
        <v>0</v>
      </c>
      <c r="E916" s="16">
        <f>IF('Components Yr 1'!E916=0,0,'Components Yr 1'!E916)</f>
        <v>0</v>
      </c>
      <c r="F916" s="17">
        <f>IF('Components Yr 1'!F916=0,0,'Components Yr 1'!F916)</f>
        <v>0</v>
      </c>
      <c r="G916" s="17">
        <f>IF('Components Yr 1'!G916=0,0,'Components Yr 1'!G916)</f>
        <v>0</v>
      </c>
      <c r="H916" s="17">
        <f>IF('Components Yr 1'!H916=0,0,'Components Yr 1'!H916)</f>
        <v>0</v>
      </c>
      <c r="I916" s="17">
        <f>IF('Components Yr 1'!I916=0,0,'Components Yr 1'!I916)</f>
        <v>0</v>
      </c>
      <c r="J916" s="17">
        <f>IF('Components Yr 1'!J916=0,0,'Components Yr 1'!J916)</f>
        <v>0</v>
      </c>
      <c r="K916" s="12"/>
      <c r="L916" s="12"/>
      <c r="M916" s="12"/>
      <c r="N916" s="12"/>
      <c r="O916" s="12"/>
      <c r="P916" s="12"/>
      <c r="Q916" s="17"/>
      <c r="R916" s="18">
        <f>IF(SUMPRODUCT((E916:Q916)*1)=0,0,E916*INDEX(Hours!M:M,MATCH(C916,Hours!$A:$A,0))+F916*INDEX(Hours!B:B,MATCH(C916,Hours!$A:$A,0))+G916*INDEX(Hours!C:C,MATCH(C916,Hours!$A:$A,0))+H916*INDEX(Hours!D:D,MATCH(C916,Hours!$A:$A,0))+I916*INDEX(Hours!E:E,MATCH(C916,Hours!$A:$A,0))+J916*INDEX(Hours!F:F,MATCH(C916,Hours!$A:$A,0)))</f>
        <v>0</v>
      </c>
      <c r="S916" s="19">
        <f t="shared" si="29"/>
        <v>0</v>
      </c>
    </row>
    <row r="917" spans="1:19" x14ac:dyDescent="0.25">
      <c r="A917" s="11" t="str">
        <f>'Bldgs &amp; Rooms'!$A$26</f>
        <v>Main Bldg.</v>
      </c>
      <c r="B917" s="11">
        <f>'Bldgs &amp; Rooms'!$B$26</f>
        <v>0</v>
      </c>
      <c r="C917" s="10" t="str">
        <f>Hours!$A$29</f>
        <v>Variable Frequency Drives (VFD) &lt; 50 HP</v>
      </c>
      <c r="D917" s="11">
        <f t="shared" si="28"/>
        <v>0</v>
      </c>
      <c r="E917" s="16">
        <f>IF('Components Yr 1'!E917=0,0,'Components Yr 1'!E917)</f>
        <v>0</v>
      </c>
      <c r="F917" s="17">
        <f>IF('Components Yr 1'!F917=0,0,'Components Yr 1'!F917)</f>
        <v>0</v>
      </c>
      <c r="G917" s="17">
        <f>IF('Components Yr 1'!G917=0,0,'Components Yr 1'!G917)</f>
        <v>0</v>
      </c>
      <c r="H917" s="17">
        <f>IF('Components Yr 1'!H917=0,0,'Components Yr 1'!H917)</f>
        <v>0</v>
      </c>
      <c r="I917" s="17">
        <f>IF('Components Yr 1'!I917=0,0,'Components Yr 1'!I917)</f>
        <v>0</v>
      </c>
      <c r="J917" s="17">
        <f>IF('Components Yr 1'!J917=0,0,'Components Yr 1'!J917)</f>
        <v>0</v>
      </c>
      <c r="K917" s="12"/>
      <c r="L917" s="12"/>
      <c r="M917" s="12"/>
      <c r="N917" s="12"/>
      <c r="O917" s="12"/>
      <c r="P917" s="12"/>
      <c r="Q917" s="17"/>
      <c r="R917" s="18">
        <f>IF(SUMPRODUCT((E917:Q917)*1)=0,0,E917*INDEX(Hours!M:M,MATCH(C917,Hours!$A:$A,0))+F917*INDEX(Hours!B:B,MATCH(C917,Hours!$A:$A,0))+G917*INDEX(Hours!C:C,MATCH(C917,Hours!$A:$A,0))+H917*INDEX(Hours!D:D,MATCH(C917,Hours!$A:$A,0))+I917*INDEX(Hours!E:E,MATCH(C917,Hours!$A:$A,0))+J917*INDEX(Hours!F:F,MATCH(C917,Hours!$A:$A,0)))</f>
        <v>0</v>
      </c>
      <c r="S917" s="19">
        <f t="shared" si="29"/>
        <v>0</v>
      </c>
    </row>
    <row r="918" spans="1:19" x14ac:dyDescent="0.25">
      <c r="A918" s="11" t="str">
        <f>'Bldgs &amp; Rooms'!$A$26</f>
        <v>Main Bldg.</v>
      </c>
      <c r="B918" s="11">
        <f>'Bldgs &amp; Rooms'!$B$26</f>
        <v>0</v>
      </c>
      <c r="C918" s="10" t="str">
        <f>Hours!$A$30</f>
        <v>Variable Frequency Drives (VFD) 51-200 HP</v>
      </c>
      <c r="D918" s="11">
        <f t="shared" si="28"/>
        <v>0</v>
      </c>
      <c r="E918" s="16">
        <f>IF('Components Yr 1'!E918=0,0,'Components Yr 1'!E918)</f>
        <v>0</v>
      </c>
      <c r="F918" s="17">
        <f>IF('Components Yr 1'!F918=0,0,'Components Yr 1'!F918)</f>
        <v>0</v>
      </c>
      <c r="G918" s="17">
        <f>IF('Components Yr 1'!G918=0,0,'Components Yr 1'!G918)</f>
        <v>0</v>
      </c>
      <c r="H918" s="17">
        <f>IF('Components Yr 1'!H918=0,0,'Components Yr 1'!H918)</f>
        <v>0</v>
      </c>
      <c r="I918" s="17">
        <f>IF('Components Yr 1'!I918=0,0,'Components Yr 1'!I918)</f>
        <v>0</v>
      </c>
      <c r="J918" s="17">
        <f>IF('Components Yr 1'!J918=0,0,'Components Yr 1'!J918)</f>
        <v>0</v>
      </c>
      <c r="K918" s="12"/>
      <c r="L918" s="12"/>
      <c r="M918" s="12"/>
      <c r="N918" s="12"/>
      <c r="O918" s="12"/>
      <c r="P918" s="12"/>
      <c r="Q918" s="17"/>
      <c r="R918" s="18">
        <f>IF(SUMPRODUCT((E918:Q918)*1)=0,0,E918*INDEX(Hours!M:M,MATCH(C918,Hours!$A:$A,0))+F918*INDEX(Hours!B:B,MATCH(C918,Hours!$A:$A,0))+G918*INDEX(Hours!C:C,MATCH(C918,Hours!$A:$A,0))+H918*INDEX(Hours!D:D,MATCH(C918,Hours!$A:$A,0))+I918*INDEX(Hours!E:E,MATCH(C918,Hours!$A:$A,0))+J918*INDEX(Hours!F:F,MATCH(C918,Hours!$A:$A,0)))</f>
        <v>0</v>
      </c>
      <c r="S918" s="19">
        <f t="shared" si="29"/>
        <v>0</v>
      </c>
    </row>
    <row r="919" spans="1:19" x14ac:dyDescent="0.25">
      <c r="A919" s="11" t="str">
        <f>'Bldgs &amp; Rooms'!$A$26</f>
        <v>Main Bldg.</v>
      </c>
      <c r="B919" s="11">
        <f>'Bldgs &amp; Rooms'!$B$26</f>
        <v>0</v>
      </c>
      <c r="C919" s="10" t="str">
        <f>Hours!$A$31</f>
        <v>Motors &lt; 50 HP</v>
      </c>
      <c r="D919" s="11">
        <f t="shared" si="28"/>
        <v>0</v>
      </c>
      <c r="E919" s="16">
        <f>IF('Components Yr 1'!E919=0,0,'Components Yr 1'!E919)</f>
        <v>0</v>
      </c>
      <c r="F919" s="17">
        <f>IF('Components Yr 1'!F919=0,0,'Components Yr 1'!F919)</f>
        <v>0</v>
      </c>
      <c r="G919" s="17">
        <f>IF('Components Yr 1'!G919=0,0,'Components Yr 1'!G919)</f>
        <v>0</v>
      </c>
      <c r="H919" s="17">
        <f>IF('Components Yr 1'!H919=0,0,'Components Yr 1'!H919)</f>
        <v>0</v>
      </c>
      <c r="I919" s="17">
        <f>IF('Components Yr 1'!I919=0,0,'Components Yr 1'!I919)</f>
        <v>0</v>
      </c>
      <c r="J919" s="17">
        <f>IF('Components Yr 1'!J919=0,0,'Components Yr 1'!J919)</f>
        <v>0</v>
      </c>
      <c r="K919" s="12"/>
      <c r="L919" s="12"/>
      <c r="M919" s="12"/>
      <c r="N919" s="12"/>
      <c r="O919" s="12"/>
      <c r="P919" s="12"/>
      <c r="Q919" s="17"/>
      <c r="R919" s="18">
        <f>IF(SUMPRODUCT((E919:Q919)*1)=0,0,E919*INDEX(Hours!M:M,MATCH(C919,Hours!$A:$A,0))+F919*INDEX(Hours!B:B,MATCH(C919,Hours!$A:$A,0))+G919*INDEX(Hours!C:C,MATCH(C919,Hours!$A:$A,0))+H919*INDEX(Hours!D:D,MATCH(C919,Hours!$A:$A,0))+I919*INDEX(Hours!E:E,MATCH(C919,Hours!$A:$A,0))+J919*INDEX(Hours!F:F,MATCH(C919,Hours!$A:$A,0)))</f>
        <v>0</v>
      </c>
      <c r="S919" s="19">
        <f t="shared" si="29"/>
        <v>0</v>
      </c>
    </row>
    <row r="920" spans="1:19" x14ac:dyDescent="0.25">
      <c r="A920" s="11" t="str">
        <f>'Bldgs &amp; Rooms'!$A$26</f>
        <v>Main Bldg.</v>
      </c>
      <c r="B920" s="11">
        <f>'Bldgs &amp; Rooms'!$B$26</f>
        <v>0</v>
      </c>
      <c r="C920" s="10" t="str">
        <f>Hours!$A$32</f>
        <v>Motors 51-200 HP</v>
      </c>
      <c r="D920" s="11">
        <f t="shared" si="28"/>
        <v>0</v>
      </c>
      <c r="E920" s="16">
        <f>IF('Components Yr 1'!E920=0,0,'Components Yr 1'!E920)</f>
        <v>0</v>
      </c>
      <c r="F920" s="17">
        <f>IF('Components Yr 1'!F920=0,0,'Components Yr 1'!F920)</f>
        <v>0</v>
      </c>
      <c r="G920" s="17">
        <f>IF('Components Yr 1'!G920=0,0,'Components Yr 1'!G920)</f>
        <v>0</v>
      </c>
      <c r="H920" s="17">
        <f>IF('Components Yr 1'!H920=0,0,'Components Yr 1'!H920)</f>
        <v>0</v>
      </c>
      <c r="I920" s="17">
        <f>IF('Components Yr 1'!I920=0,0,'Components Yr 1'!I920)</f>
        <v>0</v>
      </c>
      <c r="J920" s="17">
        <f>IF('Components Yr 1'!J920=0,0,'Components Yr 1'!J920)</f>
        <v>0</v>
      </c>
      <c r="K920" s="12"/>
      <c r="L920" s="12"/>
      <c r="M920" s="12"/>
      <c r="N920" s="12"/>
      <c r="O920" s="12"/>
      <c r="P920" s="12"/>
      <c r="Q920" s="17"/>
      <c r="R920" s="18">
        <f>IF(SUMPRODUCT((E920:Q920)*1)=0,0,E920*INDEX(Hours!M:M,MATCH(C920,Hours!$A:$A,0))+F920*INDEX(Hours!B:B,MATCH(C920,Hours!$A:$A,0))+G920*INDEX(Hours!C:C,MATCH(C920,Hours!$A:$A,0))+H920*INDEX(Hours!D:D,MATCH(C920,Hours!$A:$A,0))+I920*INDEX(Hours!E:E,MATCH(C920,Hours!$A:$A,0))+J920*INDEX(Hours!F:F,MATCH(C920,Hours!$A:$A,0)))</f>
        <v>0</v>
      </c>
      <c r="S920" s="19">
        <f t="shared" si="29"/>
        <v>0</v>
      </c>
    </row>
    <row r="921" spans="1:19" x14ac:dyDescent="0.25">
      <c r="A921" s="11" t="str">
        <f>'Bldgs &amp; Rooms'!$A$26</f>
        <v>Main Bldg.</v>
      </c>
      <c r="B921" s="11">
        <f>'Bldgs &amp; Rooms'!$B$26</f>
        <v>0</v>
      </c>
      <c r="C921" s="10" t="str">
        <f>Hours!$A$33</f>
        <v>Motors 201-500 HP</v>
      </c>
      <c r="D921" s="11">
        <f t="shared" si="28"/>
        <v>0</v>
      </c>
      <c r="E921" s="16">
        <f>IF('Components Yr 1'!E921=0,0,'Components Yr 1'!E921)</f>
        <v>0</v>
      </c>
      <c r="F921" s="17">
        <f>IF('Components Yr 1'!F921=0,0,'Components Yr 1'!F921)</f>
        <v>0</v>
      </c>
      <c r="G921" s="17">
        <f>IF('Components Yr 1'!G921=0,0,'Components Yr 1'!G921)</f>
        <v>0</v>
      </c>
      <c r="H921" s="17">
        <f>IF('Components Yr 1'!H921=0,0,'Components Yr 1'!H921)</f>
        <v>0</v>
      </c>
      <c r="I921" s="17">
        <f>IF('Components Yr 1'!I921=0,0,'Components Yr 1'!I921)</f>
        <v>0</v>
      </c>
      <c r="J921" s="17">
        <f>IF('Components Yr 1'!J921=0,0,'Components Yr 1'!J921)</f>
        <v>0</v>
      </c>
      <c r="K921" s="12"/>
      <c r="L921" s="12"/>
      <c r="M921" s="12"/>
      <c r="N921" s="12"/>
      <c r="O921" s="12"/>
      <c r="P921" s="12"/>
      <c r="Q921" s="17"/>
      <c r="R921" s="18">
        <f>IF(SUMPRODUCT((E921:Q921)*1)=0,0,E921*INDEX(Hours!M:M,MATCH(C921,Hours!$A:$A,0))+F921*INDEX(Hours!B:B,MATCH(C921,Hours!$A:$A,0))+G921*INDEX(Hours!C:C,MATCH(C921,Hours!$A:$A,0))+H921*INDEX(Hours!D:D,MATCH(C921,Hours!$A:$A,0))+I921*INDEX(Hours!E:E,MATCH(C921,Hours!$A:$A,0))+J921*INDEX(Hours!F:F,MATCH(C921,Hours!$A:$A,0)))</f>
        <v>0</v>
      </c>
      <c r="S921" s="19">
        <f t="shared" si="29"/>
        <v>0</v>
      </c>
    </row>
    <row r="922" spans="1:19" x14ac:dyDescent="0.25">
      <c r="A922" s="11" t="str">
        <f>'Bldgs &amp; Rooms'!$A$26</f>
        <v>Main Bldg.</v>
      </c>
      <c r="B922" s="11">
        <f>'Bldgs &amp; Rooms'!$B$26</f>
        <v>0</v>
      </c>
      <c r="C922" s="10" t="str">
        <f>Hours!$A$34</f>
        <v>Compressed Air Equipment</v>
      </c>
      <c r="D922" s="11">
        <f t="shared" si="28"/>
        <v>0</v>
      </c>
      <c r="E922" s="16">
        <f>IF('Components Yr 1'!E922=0,0,'Components Yr 1'!E922)</f>
        <v>0</v>
      </c>
      <c r="F922" s="17">
        <f>IF('Components Yr 1'!F922=0,0,'Components Yr 1'!F922)</f>
        <v>0</v>
      </c>
      <c r="G922" s="17">
        <f>IF('Components Yr 1'!G922=0,0,'Components Yr 1'!G922)</f>
        <v>0</v>
      </c>
      <c r="H922" s="17">
        <f>IF('Components Yr 1'!H922=0,0,'Components Yr 1'!H922)</f>
        <v>0</v>
      </c>
      <c r="I922" s="17">
        <f>IF('Components Yr 1'!I922=0,0,'Components Yr 1'!I922)</f>
        <v>0</v>
      </c>
      <c r="J922" s="17">
        <f>IF('Components Yr 1'!J922=0,0,'Components Yr 1'!J922)</f>
        <v>0</v>
      </c>
      <c r="K922" s="12"/>
      <c r="L922" s="12"/>
      <c r="M922" s="12"/>
      <c r="N922" s="12"/>
      <c r="O922" s="12"/>
      <c r="P922" s="12"/>
      <c r="Q922" s="17"/>
      <c r="R922" s="18">
        <f>IF(SUMPRODUCT((E922:Q922)*1)=0,0,E922*INDEX(Hours!M:M,MATCH(C922,Hours!$A:$A,0))+F922*INDEX(Hours!B:B,MATCH(C922,Hours!$A:$A,0))+G922*INDEX(Hours!C:C,MATCH(C922,Hours!$A:$A,0))+H922*INDEX(Hours!D:D,MATCH(C922,Hours!$A:$A,0))+I922*INDEX(Hours!E:E,MATCH(C922,Hours!$A:$A,0))+J922*INDEX(Hours!F:F,MATCH(C922,Hours!$A:$A,0)))</f>
        <v>0</v>
      </c>
      <c r="S922" s="19">
        <f t="shared" si="29"/>
        <v>0</v>
      </c>
    </row>
    <row r="923" spans="1:19" x14ac:dyDescent="0.25">
      <c r="A923" s="11" t="str">
        <f>'Bldgs &amp; Rooms'!$A$26</f>
        <v>Main Bldg.</v>
      </c>
      <c r="B923" s="11">
        <f>'Bldgs &amp; Rooms'!$B$26</f>
        <v>0</v>
      </c>
      <c r="C923" s="10" t="str">
        <f>Hours!$A$35</f>
        <v>HVAC Equipment (Large)</v>
      </c>
      <c r="D923" s="11">
        <f t="shared" si="28"/>
        <v>0</v>
      </c>
      <c r="E923" s="16">
        <f>IF('Components Yr 1'!E923=0,0,'Components Yr 1'!E923)</f>
        <v>0</v>
      </c>
      <c r="F923" s="17">
        <f>IF('Components Yr 1'!F923=0,0,'Components Yr 1'!F923)</f>
        <v>0</v>
      </c>
      <c r="G923" s="17">
        <f>IF('Components Yr 1'!G923=0,0,'Components Yr 1'!G923)</f>
        <v>0</v>
      </c>
      <c r="H923" s="17">
        <f>IF('Components Yr 1'!H923=0,0,'Components Yr 1'!H923)</f>
        <v>0</v>
      </c>
      <c r="I923" s="17">
        <f>IF('Components Yr 1'!I923=0,0,'Components Yr 1'!I923)</f>
        <v>0</v>
      </c>
      <c r="J923" s="17">
        <f>IF('Components Yr 1'!J923=0,0,'Components Yr 1'!J923)</f>
        <v>0</v>
      </c>
      <c r="K923" s="12"/>
      <c r="L923" s="12"/>
      <c r="M923" s="12"/>
      <c r="N923" s="12"/>
      <c r="O923" s="12"/>
      <c r="P923" s="12"/>
      <c r="Q923" s="17"/>
      <c r="R923" s="18">
        <f>IF(SUMPRODUCT((E923:Q923)*1)=0,0,E923*INDEX(Hours!M:M,MATCH(C923,Hours!$A:$A,0))+F923*INDEX(Hours!B:B,MATCH(C923,Hours!$A:$A,0))+G923*INDEX(Hours!C:C,MATCH(C923,Hours!$A:$A,0))+H923*INDEX(Hours!D:D,MATCH(C923,Hours!$A:$A,0))+I923*INDEX(Hours!E:E,MATCH(C923,Hours!$A:$A,0))+J923*INDEX(Hours!F:F,MATCH(C923,Hours!$A:$A,0)))</f>
        <v>0</v>
      </c>
      <c r="S923" s="19">
        <f t="shared" si="29"/>
        <v>0</v>
      </c>
    </row>
    <row r="924" spans="1:19" x14ac:dyDescent="0.25">
      <c r="A924" s="11" t="str">
        <f>'Bldgs &amp; Rooms'!$A$26</f>
        <v>Main Bldg.</v>
      </c>
      <c r="B924" s="11">
        <f>'Bldgs &amp; Rooms'!$B$26</f>
        <v>0</v>
      </c>
      <c r="C924" s="10" t="str">
        <f>Hours!$A$36</f>
        <v>HVAC Equipment (Small)</v>
      </c>
      <c r="D924" s="11">
        <f t="shared" si="28"/>
        <v>0</v>
      </c>
      <c r="E924" s="16">
        <f>IF('Components Yr 1'!E924=0,0,'Components Yr 1'!E924)</f>
        <v>0</v>
      </c>
      <c r="F924" s="17">
        <f>IF('Components Yr 1'!F924=0,0,'Components Yr 1'!F924)</f>
        <v>0</v>
      </c>
      <c r="G924" s="17">
        <f>IF('Components Yr 1'!G924=0,0,'Components Yr 1'!G924)</f>
        <v>0</v>
      </c>
      <c r="H924" s="17">
        <f>IF('Components Yr 1'!H924=0,0,'Components Yr 1'!H924)</f>
        <v>0</v>
      </c>
      <c r="I924" s="17">
        <f>IF('Components Yr 1'!I924=0,0,'Components Yr 1'!I924)</f>
        <v>0</v>
      </c>
      <c r="J924" s="17">
        <f>IF('Components Yr 1'!J924=0,0,'Components Yr 1'!J924)</f>
        <v>0</v>
      </c>
      <c r="K924" s="12"/>
      <c r="L924" s="12"/>
      <c r="M924" s="12"/>
      <c r="N924" s="12"/>
      <c r="O924" s="12"/>
      <c r="P924" s="12"/>
      <c r="Q924" s="17"/>
      <c r="R924" s="18">
        <f>IF(SUMPRODUCT((E924:Q924)*1)=0,0,E924*INDEX(Hours!M:M,MATCH(C924,Hours!$A:$A,0))+F924*INDEX(Hours!B:B,MATCH(C924,Hours!$A:$A,0))+G924*INDEX(Hours!C:C,MATCH(C924,Hours!$A:$A,0))+H924*INDEX(Hours!D:D,MATCH(C924,Hours!$A:$A,0))+I924*INDEX(Hours!E:E,MATCH(C924,Hours!$A:$A,0))+J924*INDEX(Hours!F:F,MATCH(C924,Hours!$A:$A,0)))</f>
        <v>0</v>
      </c>
      <c r="S924" s="19">
        <f t="shared" si="29"/>
        <v>0</v>
      </c>
    </row>
    <row r="925" spans="1:19" x14ac:dyDescent="0.25">
      <c r="A925" s="11" t="str">
        <f>'Bldgs &amp; Rooms'!$A$26</f>
        <v>Main Bldg.</v>
      </c>
      <c r="B925" s="11">
        <f>'Bldgs &amp; Rooms'!$B$26</f>
        <v>0</v>
      </c>
      <c r="C925" s="10" t="str">
        <f>Hours!$A$37</f>
        <v>Uninterruptible Power Supply (UPS) &lt; 50kVA</v>
      </c>
      <c r="D925" s="11">
        <f t="shared" si="28"/>
        <v>0</v>
      </c>
      <c r="E925" s="16">
        <f>IF('Components Yr 1'!E925=0,0,'Components Yr 1'!E925)</f>
        <v>0</v>
      </c>
      <c r="F925" s="17">
        <f>IF('Components Yr 1'!F925=0,0,'Components Yr 1'!F925)</f>
        <v>0</v>
      </c>
      <c r="G925" s="17">
        <f>IF('Components Yr 1'!G925=0,0,'Components Yr 1'!G925)</f>
        <v>0</v>
      </c>
      <c r="H925" s="17">
        <f>IF('Components Yr 1'!H925=0,0,'Components Yr 1'!H925)</f>
        <v>0</v>
      </c>
      <c r="I925" s="17">
        <f>IF('Components Yr 1'!I925=0,0,'Components Yr 1'!I925)</f>
        <v>0</v>
      </c>
      <c r="J925" s="17">
        <f>IF('Components Yr 1'!J925=0,0,'Components Yr 1'!J925)</f>
        <v>0</v>
      </c>
      <c r="K925" s="12"/>
      <c r="L925" s="12"/>
      <c r="M925" s="12"/>
      <c r="N925" s="12"/>
      <c r="O925" s="12"/>
      <c r="P925" s="12"/>
      <c r="Q925" s="17"/>
      <c r="R925" s="18">
        <f>IF(SUMPRODUCT((E925:Q925)*1)=0,0,E925*INDEX(Hours!M:M,MATCH(C925,Hours!$A:$A,0))+F925*INDEX(Hours!B:B,MATCH(C925,Hours!$A:$A,0))+G925*INDEX(Hours!C:C,MATCH(C925,Hours!$A:$A,0))+H925*INDEX(Hours!D:D,MATCH(C925,Hours!$A:$A,0))+I925*INDEX(Hours!E:E,MATCH(C925,Hours!$A:$A,0))+J925*INDEX(Hours!F:F,MATCH(C925,Hours!$A:$A,0)))</f>
        <v>0</v>
      </c>
      <c r="S925" s="19">
        <f t="shared" si="29"/>
        <v>0</v>
      </c>
    </row>
    <row r="926" spans="1:19" x14ac:dyDescent="0.25">
      <c r="A926" s="11" t="str">
        <f>'Bldgs &amp; Rooms'!$A$26</f>
        <v>Main Bldg.</v>
      </c>
      <c r="B926" s="11">
        <f>'Bldgs &amp; Rooms'!$B$26</f>
        <v>0</v>
      </c>
      <c r="C926" s="10" t="str">
        <f>Hours!$A$38</f>
        <v>Uninterruptible Power Supply (UPS) &gt; 50kVA</v>
      </c>
      <c r="D926" s="11">
        <f t="shared" si="28"/>
        <v>0</v>
      </c>
      <c r="E926" s="16">
        <f>IF('Components Yr 1'!E926=0,0,'Components Yr 1'!E926)</f>
        <v>0</v>
      </c>
      <c r="F926" s="17">
        <f>IF('Components Yr 1'!F926=0,0,'Components Yr 1'!F926)</f>
        <v>0</v>
      </c>
      <c r="G926" s="17">
        <f>IF('Components Yr 1'!G926=0,0,'Components Yr 1'!G926)</f>
        <v>0</v>
      </c>
      <c r="H926" s="17">
        <f>IF('Components Yr 1'!H926=0,0,'Components Yr 1'!H926)</f>
        <v>0</v>
      </c>
      <c r="I926" s="17">
        <f>IF('Components Yr 1'!I926=0,0,'Components Yr 1'!I926)</f>
        <v>0</v>
      </c>
      <c r="J926" s="17">
        <f>IF('Components Yr 1'!J926=0,0,'Components Yr 1'!J926)</f>
        <v>0</v>
      </c>
      <c r="K926" s="12"/>
      <c r="L926" s="12"/>
      <c r="M926" s="12"/>
      <c r="N926" s="12"/>
      <c r="O926" s="12"/>
      <c r="P926" s="12"/>
      <c r="Q926" s="17"/>
      <c r="R926" s="18">
        <f>IF(SUMPRODUCT((E926:Q926)*1)=0,0,E926*INDEX(Hours!M:M,MATCH(C926,Hours!$A:$A,0))+F926*INDEX(Hours!B:B,MATCH(C926,Hours!$A:$A,0))+G926*INDEX(Hours!C:C,MATCH(C926,Hours!$A:$A,0))+H926*INDEX(Hours!D:D,MATCH(C926,Hours!$A:$A,0))+I926*INDEX(Hours!E:E,MATCH(C926,Hours!$A:$A,0))+J926*INDEX(Hours!F:F,MATCH(C926,Hours!$A:$A,0)))</f>
        <v>0</v>
      </c>
      <c r="S926" s="19">
        <f t="shared" si="29"/>
        <v>0</v>
      </c>
    </row>
    <row r="927" spans="1:19" x14ac:dyDescent="0.25">
      <c r="A927" s="15" t="str">
        <f>'Bldgs &amp; Rooms'!$A$27</f>
        <v>Main Bldg.</v>
      </c>
      <c r="B927" s="15">
        <f>'Bldgs &amp; Rooms'!$B$27</f>
        <v>0</v>
      </c>
      <c r="C927" s="14" t="str">
        <f>Hours!$A$2</f>
        <v>Switchgear - Incoming Main Service (Per Section)</v>
      </c>
      <c r="D927" s="15">
        <f t="shared" si="28"/>
        <v>0</v>
      </c>
      <c r="E927" s="16">
        <f>IF('Components Yr 1'!E927=0,0,'Components Yr 1'!E927)</f>
        <v>0</v>
      </c>
      <c r="F927" s="17">
        <f>IF('Components Yr 1'!F927=0,0,'Components Yr 1'!F927)</f>
        <v>0</v>
      </c>
      <c r="G927" s="17">
        <f>IF('Components Yr 1'!G927=0,0,'Components Yr 1'!G927)</f>
        <v>0</v>
      </c>
      <c r="H927" s="17">
        <f>IF('Components Yr 1'!H927=0,0,'Components Yr 1'!H927)</f>
        <v>0</v>
      </c>
      <c r="I927" s="17">
        <f>IF('Components Yr 1'!I927=0,0,'Components Yr 1'!I927)</f>
        <v>0</v>
      </c>
      <c r="J927" s="17">
        <f>IF('Components Yr 1'!J927=0,0,'Components Yr 1'!J927)</f>
        <v>0</v>
      </c>
      <c r="K927" s="17">
        <f>IF('Components Yr 1'!K927=0,0,'Components Yr 1'!K927)</f>
        <v>0</v>
      </c>
      <c r="L927" s="17">
        <f>IF('Components Yr 1'!L927=0,0,'Components Yr 1'!L927)</f>
        <v>0</v>
      </c>
      <c r="M927" s="12"/>
      <c r="N927" s="12"/>
      <c r="O927" s="17">
        <f>IF('Components Yr 1'!O927=0,0,'Components Yr 1'!O927)</f>
        <v>0</v>
      </c>
      <c r="P927" s="12"/>
      <c r="Q927" s="17"/>
      <c r="R927" s="18">
        <f>IF(SUMPRODUCT((E927:Q927)*1)=0,0,E927*INDEX(Hours!M:M,MATCH(C927,Hours!$A:$A,0))+F927*INDEX(Hours!B:B,MATCH(C927,Hours!$A:$A,0))+G927*INDEX(Hours!C:C,MATCH(C927,Hours!$A:$A,0))+H927*INDEX(Hours!D:D,MATCH(C927,Hours!$A:$A,0))+I927*INDEX(Hours!E:E,MATCH(C927,Hours!$A:$A,0))+J927*INDEX(Hours!F:F,MATCH(C927,Hours!$A:$A,0))+K927*INDEX(Hours!G:G,MATCH(C927,Hours!$A:$A,0))+L927*INDEX(Hours!H:H,MATCH(C927,Hours!$A:$A,0))+O927*INDEX(Hours!K:K,MATCH(C927,Hours!$A:$A,0)))</f>
        <v>0</v>
      </c>
      <c r="S927" s="19">
        <f t="shared" si="29"/>
        <v>0</v>
      </c>
    </row>
    <row r="928" spans="1:19" x14ac:dyDescent="0.25">
      <c r="A928" s="15" t="str">
        <f>'Bldgs &amp; Rooms'!$A$27</f>
        <v>Main Bldg.</v>
      </c>
      <c r="B928" s="15">
        <f>'Bldgs &amp; Rooms'!$B$27</f>
        <v>0</v>
      </c>
      <c r="C928" s="14" t="str">
        <f>Hours!$A$3</f>
        <v xml:space="preserve">  Switchgear Insulated Case Breakers (Bus Mounted)</v>
      </c>
      <c r="D928" s="15">
        <f t="shared" si="28"/>
        <v>0</v>
      </c>
      <c r="E928" s="16">
        <f>IF('Components Yr 1'!E928=0,0,'Components Yr 1'!E928)</f>
        <v>0</v>
      </c>
      <c r="F928" s="17">
        <f>IF('Components Yr 1'!F928=0,0,'Components Yr 1'!F928)</f>
        <v>0</v>
      </c>
      <c r="G928" s="17">
        <f>IF('Components Yr 1'!G928=0,0,'Components Yr 1'!G928)</f>
        <v>0</v>
      </c>
      <c r="H928" s="17">
        <f>IF('Components Yr 1'!H928=0,0,'Components Yr 1'!H928)</f>
        <v>0</v>
      </c>
      <c r="I928" s="17">
        <f>IF('Components Yr 1'!I928=0,0,'Components Yr 1'!I928)</f>
        <v>0</v>
      </c>
      <c r="J928" s="17">
        <f>IF('Components Yr 1'!J928=0,0,'Components Yr 1'!J928)</f>
        <v>0</v>
      </c>
      <c r="K928" s="17">
        <f>IF('Components Yr 1'!K928=0,0,'Components Yr 1'!K928)</f>
        <v>0</v>
      </c>
      <c r="L928" s="12"/>
      <c r="M928" s="12"/>
      <c r="N928" s="12"/>
      <c r="O928" s="12"/>
      <c r="P928" s="12"/>
      <c r="Q928" s="17"/>
      <c r="R928" s="18">
        <f>IF(SUMPRODUCT((E928:Q928)*1)=0,0,E928*INDEX(Hours!M:M,MATCH(C928,Hours!$A:$A,0))+F928*INDEX(Hours!B:B,MATCH(C928,Hours!$A:$A,0))+G928*INDEX(Hours!C:C,MATCH(C928,Hours!$A:$A,0))+H928*INDEX(Hours!D:D,MATCH(C928,Hours!$A:$A,0))+I928*INDEX(Hours!E:E,MATCH(C928,Hours!$A:$A,0))+J928*INDEX(Hours!F:F,MATCH(C928,Hours!$A:$A,0))+K928*INDEX(Hours!G:G,MATCH(C928,Hours!$A:$A,0)))</f>
        <v>0</v>
      </c>
      <c r="S928" s="19">
        <f t="shared" si="29"/>
        <v>0</v>
      </c>
    </row>
    <row r="929" spans="1:19" x14ac:dyDescent="0.25">
      <c r="A929" s="15" t="str">
        <f>'Bldgs &amp; Rooms'!$A$27</f>
        <v>Main Bldg.</v>
      </c>
      <c r="B929" s="15">
        <f>'Bldgs &amp; Rooms'!$B$27</f>
        <v>0</v>
      </c>
      <c r="C929" s="14" t="str">
        <f>Hours!$A$4</f>
        <v xml:space="preserve">  SwitchGear Drawout Breakers</v>
      </c>
      <c r="D929" s="15">
        <f t="shared" si="28"/>
        <v>0</v>
      </c>
      <c r="E929" s="16">
        <f>IF('Components Yr 1'!E929=0,0,'Components Yr 1'!E929)</f>
        <v>0</v>
      </c>
      <c r="F929" s="17">
        <f>IF('Components Yr 1'!F929=0,0,'Components Yr 1'!F929)</f>
        <v>0</v>
      </c>
      <c r="G929" s="17">
        <f>IF('Components Yr 1'!G929=0,0,'Components Yr 1'!G929)</f>
        <v>0</v>
      </c>
      <c r="H929" s="17">
        <f>IF('Components Yr 1'!H929=0,0,'Components Yr 1'!H929)</f>
        <v>0</v>
      </c>
      <c r="I929" s="17">
        <f>IF('Components Yr 1'!I929=0,0,'Components Yr 1'!I929)</f>
        <v>0</v>
      </c>
      <c r="J929" s="17">
        <f>IF('Components Yr 1'!J929=0,0,'Components Yr 1'!J929)</f>
        <v>0</v>
      </c>
      <c r="K929" s="12"/>
      <c r="L929" s="17">
        <f>IF('Components Yr 1'!L929=0,0,'Components Yr 1'!L929)</f>
        <v>0</v>
      </c>
      <c r="M929" s="12"/>
      <c r="N929" s="12"/>
      <c r="O929" s="12"/>
      <c r="P929" s="12"/>
      <c r="Q929" s="17"/>
      <c r="R929" s="18">
        <f>IF(SUMPRODUCT((E929:Q929)*1)=0,0,E929*INDEX(Hours!M:M,MATCH(C929,Hours!$A:$A,0))+F929*INDEX(Hours!B:B,MATCH(C929,Hours!$A:$A,0))+G929*INDEX(Hours!C:C,MATCH(C929,Hours!$A:$A,0))+H929*INDEX(Hours!D:D,MATCH(C929,Hours!$A:$A,0))+I929*INDEX(Hours!E:E,MATCH(C929,Hours!$A:$A,0))+J929*INDEX(Hours!F:F,MATCH(C929,Hours!$A:$A,0))+L929*INDEX(Hours!H:H,MATCH(C929,Hours!$A:$A,0)))</f>
        <v>0</v>
      </c>
      <c r="S929" s="19">
        <f t="shared" si="29"/>
        <v>0</v>
      </c>
    </row>
    <row r="930" spans="1:19" x14ac:dyDescent="0.25">
      <c r="A930" s="15" t="str">
        <f>'Bldgs &amp; Rooms'!$A$27</f>
        <v>Main Bldg.</v>
      </c>
      <c r="B930" s="15">
        <f>'Bldgs &amp; Rooms'!$B$27</f>
        <v>0</v>
      </c>
      <c r="C930" s="14" t="str">
        <f>Hours!$A$5</f>
        <v>Distribution Switchboard Multi Cover (Per Section)</v>
      </c>
      <c r="D930" s="15">
        <f t="shared" si="28"/>
        <v>0</v>
      </c>
      <c r="E930" s="16">
        <f>IF('Components Yr 1'!E930=0,0,'Components Yr 1'!E930)</f>
        <v>0</v>
      </c>
      <c r="F930" s="17">
        <f>IF('Components Yr 1'!F930=0,0,'Components Yr 1'!F930)</f>
        <v>0</v>
      </c>
      <c r="G930" s="17">
        <f>IF('Components Yr 1'!G930=0,0,'Components Yr 1'!G930)</f>
        <v>0</v>
      </c>
      <c r="H930" s="17">
        <f>IF('Components Yr 1'!H930=0,0,'Components Yr 1'!H930)</f>
        <v>0</v>
      </c>
      <c r="I930" s="17">
        <f>IF('Components Yr 1'!I930=0,0,'Components Yr 1'!I930)</f>
        <v>0</v>
      </c>
      <c r="J930" s="17">
        <f>IF('Components Yr 1'!J930=0,0,'Components Yr 1'!J930)</f>
        <v>0</v>
      </c>
      <c r="K930" s="17">
        <f>IF('Components Yr 1'!K930=0,0,'Components Yr 1'!K930)</f>
        <v>0</v>
      </c>
      <c r="L930" s="12"/>
      <c r="M930" s="12"/>
      <c r="N930" s="12"/>
      <c r="O930" s="17">
        <f>IF('Components Yr 1'!O930=0,0,'Components Yr 1'!O930)</f>
        <v>0</v>
      </c>
      <c r="P930" s="12"/>
      <c r="Q930" s="17"/>
      <c r="R930" s="18">
        <f>IF(SUMPRODUCT((E930:Q930)*1)=0,0,E930*INDEX(Hours!M:M,MATCH(C930,Hours!$A:$A,0))+F930*INDEX(Hours!B:B,MATCH(C930,Hours!$A:$A,0))+G930*INDEX(Hours!C:C,MATCH(C930,Hours!$A:$A,0))+H930*INDEX(Hours!D:D,MATCH(C930,Hours!$A:$A,0))+I930*INDEX(Hours!E:E,MATCH(C930,Hours!$A:$A,0))+J930*INDEX(Hours!F:F,MATCH(C930,Hours!$A:$A,0))+K930*INDEX(Hours!G:G,MATCH(C930,Hours!$A:$A,0))+O930*INDEX(Hours!K:K,MATCH(C930,Hours!$A:$A,0)))</f>
        <v>0</v>
      </c>
      <c r="S930" s="19">
        <f t="shared" si="29"/>
        <v>0</v>
      </c>
    </row>
    <row r="931" spans="1:19" x14ac:dyDescent="0.25">
      <c r="A931" s="15" t="str">
        <f>'Bldgs &amp; Rooms'!$A$27</f>
        <v>Main Bldg.</v>
      </c>
      <c r="B931" s="15">
        <f>'Bldgs &amp; Rooms'!$B$27</f>
        <v>0</v>
      </c>
      <c r="C931" s="14" t="str">
        <f>Hours!$A$6</f>
        <v xml:space="preserve">  Switchboard Disconnects</v>
      </c>
      <c r="D931" s="15">
        <f t="shared" si="28"/>
        <v>0</v>
      </c>
      <c r="E931" s="16">
        <f>IF('Components Yr 1'!E931=0,0,'Components Yr 1'!E931)</f>
        <v>0</v>
      </c>
      <c r="F931" s="17">
        <f>IF('Components Yr 1'!F931=0,0,'Components Yr 1'!F931)</f>
        <v>0</v>
      </c>
      <c r="G931" s="17">
        <f>IF('Components Yr 1'!G931=0,0,'Components Yr 1'!G931)</f>
        <v>0</v>
      </c>
      <c r="H931" s="17">
        <f>IF('Components Yr 1'!H931=0,0,'Components Yr 1'!H931)</f>
        <v>0</v>
      </c>
      <c r="I931" s="17">
        <f>IF('Components Yr 1'!I931=0,0,'Components Yr 1'!I931)</f>
        <v>0</v>
      </c>
      <c r="J931" s="17">
        <f>IF('Components Yr 1'!J931=0,0,'Components Yr 1'!J931)</f>
        <v>0</v>
      </c>
      <c r="K931" s="12"/>
      <c r="L931" s="12"/>
      <c r="M931" s="12"/>
      <c r="N931" s="12"/>
      <c r="O931" s="12"/>
      <c r="P931" s="12"/>
      <c r="Q931" s="17"/>
      <c r="R931" s="18">
        <f>IF(SUMPRODUCT((E931:Q931)*1)=0,0,E931*INDEX(Hours!M:M,MATCH(C931,Hours!$A:$A,0))+F931*INDEX(Hours!B:B,MATCH(C931,Hours!$A:$A,0))+G931*INDEX(Hours!C:C,MATCH(C931,Hours!$A:$A,0))+H931*INDEX(Hours!D:D,MATCH(C931,Hours!$A:$A,0))+I931*INDEX(Hours!E:E,MATCH(C931,Hours!$A:$A,0))+J931*INDEX(Hours!F:F,MATCH(C931,Hours!$A:$A,0)))</f>
        <v>0</v>
      </c>
      <c r="S931" s="19">
        <f t="shared" si="29"/>
        <v>0</v>
      </c>
    </row>
    <row r="932" spans="1:19" x14ac:dyDescent="0.25">
      <c r="A932" s="15" t="str">
        <f>'Bldgs &amp; Rooms'!$A$27</f>
        <v>Main Bldg.</v>
      </c>
      <c r="B932" s="15">
        <f>'Bldgs &amp; Rooms'!$B$27</f>
        <v>0</v>
      </c>
      <c r="C932" s="14" t="str">
        <f>Hours!$A$7</f>
        <v xml:space="preserve">  Switchboard Molded Case Breakers</v>
      </c>
      <c r="D932" s="15">
        <f t="shared" si="28"/>
        <v>0</v>
      </c>
      <c r="E932" s="16">
        <f>IF('Components Yr 1'!E932=0,0,'Components Yr 1'!E932)</f>
        <v>0</v>
      </c>
      <c r="F932" s="17">
        <f>IF('Components Yr 1'!F932=0,0,'Components Yr 1'!F932)</f>
        <v>0</v>
      </c>
      <c r="G932" s="17">
        <f>IF('Components Yr 1'!G932=0,0,'Components Yr 1'!G932)</f>
        <v>0</v>
      </c>
      <c r="H932" s="17">
        <f>IF('Components Yr 1'!H932=0,0,'Components Yr 1'!H932)</f>
        <v>0</v>
      </c>
      <c r="I932" s="17">
        <f>IF('Components Yr 1'!I932=0,0,'Components Yr 1'!I932)</f>
        <v>0</v>
      </c>
      <c r="J932" s="17">
        <f>IF('Components Yr 1'!J932=0,0,'Components Yr 1'!J932)</f>
        <v>0</v>
      </c>
      <c r="K932" s="17">
        <f>IF('Components Yr 1'!K932=0,0,'Components Yr 1'!K932)</f>
        <v>0</v>
      </c>
      <c r="L932" s="12"/>
      <c r="M932" s="12"/>
      <c r="N932" s="12"/>
      <c r="O932" s="12"/>
      <c r="P932" s="12"/>
      <c r="Q932" s="17"/>
      <c r="R932" s="18">
        <f>IF(SUMPRODUCT((E932:Q932)*1)=0,0,E932*INDEX(Hours!M:M,MATCH(C932,Hours!$A:$A,0))+F932*INDEX(Hours!B:B,MATCH(C932,Hours!$A:$A,0))+G932*INDEX(Hours!C:C,MATCH(C932,Hours!$A:$A,0))+H932*INDEX(Hours!D:D,MATCH(C932,Hours!$A:$A,0))+I932*INDEX(Hours!E:E,MATCH(C932,Hours!$A:$A,0))+J932*INDEX(Hours!F:F,MATCH(C932,Hours!$A:$A,0))+K932*INDEX(Hours!G:G,MATCH(C932,Hours!$A:$A,0)))</f>
        <v>0</v>
      </c>
      <c r="S932" s="19">
        <f t="shared" si="29"/>
        <v>0</v>
      </c>
    </row>
    <row r="933" spans="1:19" x14ac:dyDescent="0.25">
      <c r="A933" s="15" t="str">
        <f>'Bldgs &amp; Rooms'!$A$27</f>
        <v>Main Bldg.</v>
      </c>
      <c r="B933" s="15">
        <f>'Bldgs &amp; Rooms'!$B$27</f>
        <v>0</v>
      </c>
      <c r="C933" s="14" t="str">
        <f>Hours!$A$8</f>
        <v>Panelboard-Single Cover &gt; 400A (Distribution Panel)</v>
      </c>
      <c r="D933" s="15">
        <f t="shared" si="28"/>
        <v>0</v>
      </c>
      <c r="E933" s="16">
        <f>IF('Components Yr 1'!E933=0,0,'Components Yr 1'!E933)</f>
        <v>0</v>
      </c>
      <c r="F933" s="17">
        <f>IF('Components Yr 1'!F933=0,0,'Components Yr 1'!F933)</f>
        <v>0</v>
      </c>
      <c r="G933" s="17">
        <f>IF('Components Yr 1'!G933=0,0,'Components Yr 1'!G933)</f>
        <v>0</v>
      </c>
      <c r="H933" s="17">
        <f>IF('Components Yr 1'!H933=0,0,'Components Yr 1'!H933)</f>
        <v>0</v>
      </c>
      <c r="I933" s="17">
        <f>IF('Components Yr 1'!I933=0,0,'Components Yr 1'!I933)</f>
        <v>0</v>
      </c>
      <c r="J933" s="17">
        <f>IF('Components Yr 1'!J933=0,0,'Components Yr 1'!J933)</f>
        <v>0</v>
      </c>
      <c r="K933" s="17">
        <f>IF('Components Yr 1'!K933=0,0,'Components Yr 1'!K933)</f>
        <v>0</v>
      </c>
      <c r="L933" s="12"/>
      <c r="M933" s="12"/>
      <c r="N933" s="12"/>
      <c r="O933" s="17">
        <f>IF('Components Yr 1'!O933=0,0,'Components Yr 1'!O933)</f>
        <v>0</v>
      </c>
      <c r="P933" s="12"/>
      <c r="Q933" s="17"/>
      <c r="R933" s="18">
        <f>IF(SUMPRODUCT((E933:Q933)*1)=0,0,E933*INDEX(Hours!M:M,MATCH(C933,Hours!$A:$A,0))+F933*INDEX(Hours!B:B,MATCH(C933,Hours!$A:$A,0))+G933*INDEX(Hours!C:C,MATCH(C933,Hours!$A:$A,0))+H933*INDEX(Hours!D:D,MATCH(C933,Hours!$A:$A,0))+I933*INDEX(Hours!E:E,MATCH(C933,Hours!$A:$A,0))+J933*INDEX(Hours!F:F,MATCH(C933,Hours!$A:$A,0))+K933*INDEX(Hours!G:G,MATCH(C933,Hours!$A:$A,0))+O933*INDEX(Hours!K:K,MATCH(C933,Hours!$A:$A,0)))</f>
        <v>0</v>
      </c>
      <c r="S933" s="19">
        <f t="shared" si="29"/>
        <v>0</v>
      </c>
    </row>
    <row r="934" spans="1:19" x14ac:dyDescent="0.25">
      <c r="A934" s="15" t="str">
        <f>'Bldgs &amp; Rooms'!$A$27</f>
        <v>Main Bldg.</v>
      </c>
      <c r="B934" s="15">
        <f>'Bldgs &amp; Rooms'!$B$27</f>
        <v>0</v>
      </c>
      <c r="C934" s="14" t="str">
        <f>Hours!$A$9</f>
        <v>Panelboard-Single Cover &lt; 400A (Branch Ckt Panel)</v>
      </c>
      <c r="D934" s="15">
        <f t="shared" si="28"/>
        <v>0</v>
      </c>
      <c r="E934" s="16">
        <f>IF('Components Yr 1'!E934=0,0,'Components Yr 1'!E934)</f>
        <v>0</v>
      </c>
      <c r="F934" s="17">
        <f>IF('Components Yr 1'!F934=0,0,'Components Yr 1'!F934)</f>
        <v>0</v>
      </c>
      <c r="G934" s="17">
        <f>IF('Components Yr 1'!G934=0,0,'Components Yr 1'!G934)</f>
        <v>0</v>
      </c>
      <c r="H934" s="17">
        <f>IF('Components Yr 1'!H934=0,0,'Components Yr 1'!H934)</f>
        <v>0</v>
      </c>
      <c r="I934" s="17">
        <f>IF('Components Yr 1'!I934=0,0,'Components Yr 1'!I934)</f>
        <v>0</v>
      </c>
      <c r="J934" s="17">
        <f>IF('Components Yr 1'!J934=0,0,'Components Yr 1'!J934)</f>
        <v>0</v>
      </c>
      <c r="K934" s="12"/>
      <c r="L934" s="12"/>
      <c r="M934" s="12"/>
      <c r="N934" s="12"/>
      <c r="O934" s="17">
        <f>IF('Components Yr 1'!O934=0,0,'Components Yr 1'!O934)</f>
        <v>0</v>
      </c>
      <c r="P934" s="12"/>
      <c r="Q934" s="17"/>
      <c r="R934" s="18">
        <f>IF(SUMPRODUCT((E934:Q934)*1)=0,0,E934*INDEX(Hours!M:M,MATCH(C934,Hours!$A:$A,0))+F934*INDEX(Hours!B:B,MATCH(C934,Hours!$A:$A,0))+G934*INDEX(Hours!C:C,MATCH(C934,Hours!$A:$A,0))+H934*INDEX(Hours!D:D,MATCH(C934,Hours!$A:$A,0))+I934*INDEX(Hours!E:E,MATCH(C934,Hours!$A:$A,0))+J934*INDEX(Hours!F:F,MATCH(C934,Hours!$A:$A,0))+O934*INDEX(Hours!K:K,MATCH(C934,Hours!$A:$A,0)))</f>
        <v>0</v>
      </c>
      <c r="S934" s="19">
        <f t="shared" si="29"/>
        <v>0</v>
      </c>
    </row>
    <row r="935" spans="1:19" x14ac:dyDescent="0.25">
      <c r="A935" s="15" t="str">
        <f>'Bldgs &amp; Rooms'!$A$27</f>
        <v>Main Bldg.</v>
      </c>
      <c r="B935" s="15">
        <f>'Bldgs &amp; Rooms'!$B$27</f>
        <v>0</v>
      </c>
      <c r="C935" s="14" t="str">
        <f>Hours!$A$10</f>
        <v>Motor Control Center (MCC-Per Vertical Section)</v>
      </c>
      <c r="D935" s="15">
        <f t="shared" si="28"/>
        <v>0</v>
      </c>
      <c r="E935" s="16">
        <f>IF('Components Yr 1'!E935=0,0,'Components Yr 1'!E935)</f>
        <v>0</v>
      </c>
      <c r="F935" s="17">
        <f>IF('Components Yr 1'!F935=0,0,'Components Yr 1'!F935)</f>
        <v>0</v>
      </c>
      <c r="G935" s="17">
        <f>IF('Components Yr 1'!G935=0,0,'Components Yr 1'!G935)</f>
        <v>0</v>
      </c>
      <c r="H935" s="17">
        <f>IF('Components Yr 1'!H935=0,0,'Components Yr 1'!H935)</f>
        <v>0</v>
      </c>
      <c r="I935" s="17">
        <f>IF('Components Yr 1'!I935=0,0,'Components Yr 1'!I935)</f>
        <v>0</v>
      </c>
      <c r="J935" s="17">
        <f>IF('Components Yr 1'!J935=0,0,'Components Yr 1'!J935)</f>
        <v>0</v>
      </c>
      <c r="K935" s="12"/>
      <c r="L935" s="12"/>
      <c r="M935" s="12"/>
      <c r="N935" s="12"/>
      <c r="O935" s="17">
        <f>IF('Components Yr 1'!O935=0,0,'Components Yr 1'!O935)</f>
        <v>0</v>
      </c>
      <c r="P935" s="12"/>
      <c r="Q935" s="17"/>
      <c r="R935" s="18">
        <f>IF(SUMPRODUCT((E935:Q935)*1)=0,0,E935*INDEX(Hours!M:M,MATCH(C935,Hours!$A:$A,0))+F935*INDEX(Hours!B:B,MATCH(C935,Hours!$A:$A,0))+G935*INDEX(Hours!C:C,MATCH(C935,Hours!$A:$A,0))+H935*INDEX(Hours!D:D,MATCH(C935,Hours!$A:$A,0))+I935*INDEX(Hours!E:E,MATCH(C935,Hours!$A:$A,0))+J935*INDEX(Hours!F:F,MATCH(C935,Hours!$A:$A,0))+O935*INDEX(Hours!K:K,MATCH(C935,Hours!$A:$A,0)))</f>
        <v>0</v>
      </c>
      <c r="S935" s="19">
        <f t="shared" si="29"/>
        <v>0</v>
      </c>
    </row>
    <row r="936" spans="1:19" x14ac:dyDescent="0.25">
      <c r="A936" s="15" t="str">
        <f>'Bldgs &amp; Rooms'!$A$27</f>
        <v>Main Bldg.</v>
      </c>
      <c r="B936" s="15">
        <f>'Bldgs &amp; Rooms'!$B$27</f>
        <v>0</v>
      </c>
      <c r="C936" s="14" t="str">
        <f>Hours!$A$11</f>
        <v xml:space="preserve">  MCC: Combination Motor Starters</v>
      </c>
      <c r="D936" s="15">
        <f t="shared" si="28"/>
        <v>0</v>
      </c>
      <c r="E936" s="16">
        <f>IF('Components Yr 1'!E936=0,0,'Components Yr 1'!E936)</f>
        <v>0</v>
      </c>
      <c r="F936" s="17">
        <f>IF('Components Yr 1'!F936=0,0,'Components Yr 1'!F936)</f>
        <v>0</v>
      </c>
      <c r="G936" s="17">
        <f>IF('Components Yr 1'!G936=0,0,'Components Yr 1'!G936)</f>
        <v>0</v>
      </c>
      <c r="H936" s="17">
        <f>IF('Components Yr 1'!H936=0,0,'Components Yr 1'!H936)</f>
        <v>0</v>
      </c>
      <c r="I936" s="17">
        <f>IF('Components Yr 1'!I936=0,0,'Components Yr 1'!I936)</f>
        <v>0</v>
      </c>
      <c r="J936" s="17">
        <f>IF('Components Yr 1'!J936=0,0,'Components Yr 1'!J936)</f>
        <v>0</v>
      </c>
      <c r="K936" s="17">
        <f>IF('Components Yr 1'!K936=0,0,'Components Yr 1'!K936)</f>
        <v>0</v>
      </c>
      <c r="L936" s="12"/>
      <c r="M936" s="12"/>
      <c r="N936" s="12"/>
      <c r="O936" s="17">
        <f>IF('Components Yr 1'!O936=0,0,'Components Yr 1'!O936)</f>
        <v>0</v>
      </c>
      <c r="P936" s="12"/>
      <c r="Q936" s="17"/>
      <c r="R936" s="18">
        <f>IF(SUMPRODUCT((E936:Q936)*1)=0,0,E936*INDEX(Hours!M:M,MATCH(C936,Hours!$A:$A,0))+F936*INDEX(Hours!B:B,MATCH(C936,Hours!$A:$A,0))+G936*INDEX(Hours!C:C,MATCH(C936,Hours!$A:$A,0))+H936*INDEX(Hours!D:D,MATCH(C936,Hours!$A:$A,0))+I936*INDEX(Hours!E:E,MATCH(C936,Hours!$A:$A,0))+J936*INDEX(Hours!F:F,MATCH(C936,Hours!$A:$A,0))+K936*INDEX(Hours!G:G,MATCH(C936,Hours!$A:$A,0))+O936*INDEX(Hours!K:K,MATCH(C936,Hours!$A:$A,0)))</f>
        <v>0</v>
      </c>
      <c r="S936" s="19">
        <f t="shared" si="29"/>
        <v>0</v>
      </c>
    </row>
    <row r="937" spans="1:19" x14ac:dyDescent="0.25">
      <c r="A937" s="15" t="str">
        <f>'Bldgs &amp; Rooms'!$A$27</f>
        <v>Main Bldg.</v>
      </c>
      <c r="B937" s="15">
        <f>'Bldgs &amp; Rooms'!$B$27</f>
        <v>0</v>
      </c>
      <c r="C937" s="14" t="str">
        <f>Hours!$A$12</f>
        <v xml:space="preserve">  MCC: Molded Case Breaker</v>
      </c>
      <c r="D937" s="15">
        <f t="shared" si="28"/>
        <v>0</v>
      </c>
      <c r="E937" s="16">
        <f>IF('Components Yr 1'!E937=0,0,'Components Yr 1'!E937)</f>
        <v>0</v>
      </c>
      <c r="F937" s="17">
        <f>IF('Components Yr 1'!F937=0,0,'Components Yr 1'!F937)</f>
        <v>0</v>
      </c>
      <c r="G937" s="17">
        <f>IF('Components Yr 1'!G937=0,0,'Components Yr 1'!G937)</f>
        <v>0</v>
      </c>
      <c r="H937" s="17">
        <f>IF('Components Yr 1'!H937=0,0,'Components Yr 1'!H937)</f>
        <v>0</v>
      </c>
      <c r="I937" s="17">
        <f>IF('Components Yr 1'!I937=0,0,'Components Yr 1'!I937)</f>
        <v>0</v>
      </c>
      <c r="J937" s="17">
        <f>IF('Components Yr 1'!J937=0,0,'Components Yr 1'!J937)</f>
        <v>0</v>
      </c>
      <c r="K937" s="17">
        <f>IF('Components Yr 1'!K937=0,0,'Components Yr 1'!K937)</f>
        <v>0</v>
      </c>
      <c r="L937" s="12"/>
      <c r="M937" s="12"/>
      <c r="N937" s="12"/>
      <c r="O937" s="12"/>
      <c r="P937" s="12"/>
      <c r="Q937" s="17"/>
      <c r="R937" s="18">
        <f>IF(SUMPRODUCT((E937:Q937)*1)=0,0,E937*INDEX(Hours!M:M,MATCH(C937,Hours!$A:$A,0))+F937*INDEX(Hours!B:B,MATCH(C937,Hours!$A:$A,0))+G937*INDEX(Hours!C:C,MATCH(C937,Hours!$A:$A,0))+H937*INDEX(Hours!D:D,MATCH(C937,Hours!$A:$A,0))+I937*INDEX(Hours!E:E,MATCH(C937,Hours!$A:$A,0))+J937*INDEX(Hours!F:F,MATCH(C937,Hours!$A:$A,0))+K937*INDEX(Hours!G:G,MATCH(C937,Hours!$A:$A,0)))</f>
        <v>0</v>
      </c>
      <c r="S937" s="19">
        <f t="shared" si="29"/>
        <v>0</v>
      </c>
    </row>
    <row r="938" spans="1:19" x14ac:dyDescent="0.25">
      <c r="A938" s="15" t="str">
        <f>'Bldgs &amp; Rooms'!$A$27</f>
        <v>Main Bldg.</v>
      </c>
      <c r="B938" s="15">
        <f>'Bldgs &amp; Rooms'!$B$27</f>
        <v>0</v>
      </c>
      <c r="C938" s="14" t="str">
        <f>Hours!$A$13</f>
        <v xml:space="preserve">  MCC: Individual Disconnect Switch</v>
      </c>
      <c r="D938" s="15">
        <f t="shared" si="28"/>
        <v>0</v>
      </c>
      <c r="E938" s="16">
        <f>IF('Components Yr 1'!E938=0,0,'Components Yr 1'!E938)</f>
        <v>0</v>
      </c>
      <c r="F938" s="17">
        <f>IF('Components Yr 1'!F938=0,0,'Components Yr 1'!F938)</f>
        <v>0</v>
      </c>
      <c r="G938" s="17">
        <f>IF('Components Yr 1'!G938=0,0,'Components Yr 1'!G938)</f>
        <v>0</v>
      </c>
      <c r="H938" s="17">
        <f>IF('Components Yr 1'!H938=0,0,'Components Yr 1'!H938)</f>
        <v>0</v>
      </c>
      <c r="I938" s="17">
        <f>IF('Components Yr 1'!I938=0,0,'Components Yr 1'!I938)</f>
        <v>0</v>
      </c>
      <c r="J938" s="17">
        <f>IF('Components Yr 1'!J938=0,0,'Components Yr 1'!J938)</f>
        <v>0</v>
      </c>
      <c r="K938" s="12"/>
      <c r="L938" s="12"/>
      <c r="M938" s="12"/>
      <c r="N938" s="12"/>
      <c r="O938" s="12"/>
      <c r="P938" s="12"/>
      <c r="Q938" s="17"/>
      <c r="R938" s="18">
        <f>IF(SUMPRODUCT((E938:Q938)*1)=0,0,E938*INDEX(Hours!M:M,MATCH(C938,Hours!$A:$A,0))+F938*INDEX(Hours!B:B,MATCH(C938,Hours!$A:$A,0))+G938*INDEX(Hours!C:C,MATCH(C938,Hours!$A:$A,0))+H938*INDEX(Hours!D:D,MATCH(C938,Hours!$A:$A,0))+I938*INDEX(Hours!E:E,MATCH(C938,Hours!$A:$A,0))+J938*INDEX(Hours!F:F,MATCH(C938,Hours!$A:$A,0)))</f>
        <v>0</v>
      </c>
      <c r="S938" s="19">
        <f t="shared" si="29"/>
        <v>0</v>
      </c>
    </row>
    <row r="939" spans="1:19" x14ac:dyDescent="0.25">
      <c r="A939" s="15" t="str">
        <f>'Bldgs &amp; Rooms'!$A$27</f>
        <v>Main Bldg.</v>
      </c>
      <c r="B939" s="15">
        <f>'Bldgs &amp; Rooms'!$B$27</f>
        <v>0</v>
      </c>
      <c r="C939" s="14" t="str">
        <f>Hours!$A$14</f>
        <v>Motor Control Panel (MCP)</v>
      </c>
      <c r="D939" s="15">
        <f t="shared" si="28"/>
        <v>0</v>
      </c>
      <c r="E939" s="16">
        <f>IF('Components Yr 1'!E939=0,0,'Components Yr 1'!E939)</f>
        <v>0</v>
      </c>
      <c r="F939" s="17">
        <f>IF('Components Yr 1'!F939=0,0,'Components Yr 1'!F939)</f>
        <v>0</v>
      </c>
      <c r="G939" s="17">
        <f>IF('Components Yr 1'!G939=0,0,'Components Yr 1'!G939)</f>
        <v>0</v>
      </c>
      <c r="H939" s="17">
        <f>IF('Components Yr 1'!H939=0,0,'Components Yr 1'!H939)</f>
        <v>0</v>
      </c>
      <c r="I939" s="17">
        <f>IF('Components Yr 1'!I939=0,0,'Components Yr 1'!I939)</f>
        <v>0</v>
      </c>
      <c r="J939" s="17">
        <f>IF('Components Yr 1'!J939=0,0,'Components Yr 1'!J939)</f>
        <v>0</v>
      </c>
      <c r="K939" s="12"/>
      <c r="L939" s="12"/>
      <c r="M939" s="12"/>
      <c r="N939" s="12"/>
      <c r="O939" s="17">
        <f>IF('Components Yr 1'!O939=0,0,'Components Yr 1'!O939)</f>
        <v>0</v>
      </c>
      <c r="P939" s="12"/>
      <c r="Q939" s="17"/>
      <c r="R939" s="18">
        <f>IF(SUMPRODUCT((E939:Q939)*1)=0,0,E939*INDEX(Hours!M:M,MATCH(C939,Hours!$A:$A,0))+F939*INDEX(Hours!B:B,MATCH(C939,Hours!$A:$A,0))+G939*INDEX(Hours!C:C,MATCH(C939,Hours!$A:$A,0))+H939*INDEX(Hours!D:D,MATCH(C939,Hours!$A:$A,0))+I939*INDEX(Hours!E:E,MATCH(C939,Hours!$A:$A,0))+J939*INDEX(Hours!F:F,MATCH(C939,Hours!$A:$A,0))+O939*INDEX(Hours!K:K,MATCH(C939,Hours!$A:$A,0)))</f>
        <v>0</v>
      </c>
      <c r="S939" s="19">
        <f t="shared" si="29"/>
        <v>0</v>
      </c>
    </row>
    <row r="940" spans="1:19" x14ac:dyDescent="0.25">
      <c r="A940" s="15" t="str">
        <f>'Bldgs &amp; Rooms'!$A$27</f>
        <v>Main Bldg.</v>
      </c>
      <c r="B940" s="15">
        <f>'Bldgs &amp; Rooms'!$B$27</f>
        <v>0</v>
      </c>
      <c r="C940" s="14" t="str">
        <f>Hours!$A$15</f>
        <v>VFD Motor Control Panel (VFD-MCP)</v>
      </c>
      <c r="D940" s="15">
        <f t="shared" si="28"/>
        <v>0</v>
      </c>
      <c r="E940" s="16">
        <f>IF('Components Yr 1'!E940=0,0,'Components Yr 1'!E940)</f>
        <v>0</v>
      </c>
      <c r="F940" s="17">
        <f>IF('Components Yr 1'!F940=0,0,'Components Yr 1'!F940)</f>
        <v>0</v>
      </c>
      <c r="G940" s="17">
        <f>IF('Components Yr 1'!G940=0,0,'Components Yr 1'!G940)</f>
        <v>0</v>
      </c>
      <c r="H940" s="17">
        <f>IF('Components Yr 1'!H940=0,0,'Components Yr 1'!H940)</f>
        <v>0</v>
      </c>
      <c r="I940" s="17">
        <f>IF('Components Yr 1'!I940=0,0,'Components Yr 1'!I940)</f>
        <v>0</v>
      </c>
      <c r="J940" s="17">
        <f>IF('Components Yr 1'!J940=0,0,'Components Yr 1'!J940)</f>
        <v>0</v>
      </c>
      <c r="K940" s="12"/>
      <c r="L940" s="12"/>
      <c r="M940" s="12"/>
      <c r="N940" s="12"/>
      <c r="O940" s="17">
        <f>IF('Components Yr 1'!O940=0,0,'Components Yr 1'!O940)</f>
        <v>0</v>
      </c>
      <c r="P940" s="12"/>
      <c r="Q940" s="17"/>
      <c r="R940" s="18">
        <f>IF(SUMPRODUCT((E940:Q940)*1)=0,0,E940*INDEX(Hours!M:M,MATCH(C940,Hours!$A:$A,0))+F940*INDEX(Hours!B:B,MATCH(C940,Hours!$A:$A,0))+G940*INDEX(Hours!C:C,MATCH(C940,Hours!$A:$A,0))+H940*INDEX(Hours!D:D,MATCH(C940,Hours!$A:$A,0))+I940*INDEX(Hours!E:E,MATCH(C940,Hours!$A:$A,0))+J940*INDEX(Hours!F:F,MATCH(C940,Hours!$A:$A,0))+O940*INDEX(Hours!K:K,MATCH(C940,Hours!$A:$A,0)))</f>
        <v>0</v>
      </c>
      <c r="S940" s="19">
        <f t="shared" si="29"/>
        <v>0</v>
      </c>
    </row>
    <row r="941" spans="1:19" x14ac:dyDescent="0.25">
      <c r="A941" s="15" t="str">
        <f>'Bldgs &amp; Rooms'!$A$27</f>
        <v>Main Bldg.</v>
      </c>
      <c r="B941" s="15">
        <f>'Bldgs &amp; Rooms'!$B$27</f>
        <v>0</v>
      </c>
      <c r="C941" s="14" t="str">
        <f>Hours!$A$16</f>
        <v>Individual Disconnect Switch &gt; 100A</v>
      </c>
      <c r="D941" s="15">
        <f t="shared" si="28"/>
        <v>0</v>
      </c>
      <c r="E941" s="16">
        <f>IF('Components Yr 1'!E941=0,0,'Components Yr 1'!E941)</f>
        <v>0</v>
      </c>
      <c r="F941" s="17">
        <f>IF('Components Yr 1'!F941=0,0,'Components Yr 1'!F941)</f>
        <v>0</v>
      </c>
      <c r="G941" s="17">
        <f>IF('Components Yr 1'!G941=0,0,'Components Yr 1'!G941)</f>
        <v>0</v>
      </c>
      <c r="H941" s="17">
        <f>IF('Components Yr 1'!H941=0,0,'Components Yr 1'!H941)</f>
        <v>0</v>
      </c>
      <c r="I941" s="17">
        <f>IF('Components Yr 1'!I941=0,0,'Components Yr 1'!I941)</f>
        <v>0</v>
      </c>
      <c r="J941" s="17">
        <f>IF('Components Yr 1'!J941=0,0,'Components Yr 1'!J941)</f>
        <v>0</v>
      </c>
      <c r="K941" s="17">
        <f>IF('Components Yr 1'!K941=0,0,'Components Yr 1'!K941)</f>
        <v>0</v>
      </c>
      <c r="L941" s="12"/>
      <c r="M941" s="12"/>
      <c r="N941" s="12"/>
      <c r="O941" s="12"/>
      <c r="P941" s="12"/>
      <c r="Q941" s="17"/>
      <c r="R941" s="18">
        <f>IF(SUMPRODUCT((E941:Q941)*1)=0,0,E941*INDEX(Hours!M:M,MATCH(C941,Hours!$A:$A,0))+F941*INDEX(Hours!B:B,MATCH(C941,Hours!$A:$A,0))+G941*INDEX(Hours!C:C,MATCH(C941,Hours!$A:$A,0))+H941*INDEX(Hours!D:D,MATCH(C941,Hours!$A:$A,0))+I941*INDEX(Hours!E:E,MATCH(C941,Hours!$A:$A,0))+J941*INDEX(Hours!F:F,MATCH(C941,Hours!$A:$A,0))+K941*INDEX(Hours!G:G,MATCH(C941,Hours!$A:$A,0)))</f>
        <v>0</v>
      </c>
      <c r="S941" s="19">
        <f t="shared" si="29"/>
        <v>0</v>
      </c>
    </row>
    <row r="942" spans="1:19" x14ac:dyDescent="0.25">
      <c r="A942" s="15" t="str">
        <f>'Bldgs &amp; Rooms'!$A$27</f>
        <v>Main Bldg.</v>
      </c>
      <c r="B942" s="15">
        <f>'Bldgs &amp; Rooms'!$B$27</f>
        <v>0</v>
      </c>
      <c r="C942" s="14" t="str">
        <f>Hours!$A$17</f>
        <v>Individual Molded Case Breaker &gt; 100A</v>
      </c>
      <c r="D942" s="15">
        <f t="shared" si="28"/>
        <v>0</v>
      </c>
      <c r="E942" s="16">
        <f>IF('Components Yr 1'!E942=0,0,'Components Yr 1'!E942)</f>
        <v>0</v>
      </c>
      <c r="F942" s="17">
        <f>IF('Components Yr 1'!F942=0,0,'Components Yr 1'!F942)</f>
        <v>0</v>
      </c>
      <c r="G942" s="17">
        <f>IF('Components Yr 1'!G942=0,0,'Components Yr 1'!G942)</f>
        <v>0</v>
      </c>
      <c r="H942" s="17">
        <f>IF('Components Yr 1'!H942=0,0,'Components Yr 1'!H942)</f>
        <v>0</v>
      </c>
      <c r="I942" s="17">
        <f>IF('Components Yr 1'!I942=0,0,'Components Yr 1'!I942)</f>
        <v>0</v>
      </c>
      <c r="J942" s="17">
        <f>IF('Components Yr 1'!J942=0,0,'Components Yr 1'!J942)</f>
        <v>0</v>
      </c>
      <c r="K942" s="17">
        <f>IF('Components Yr 1'!K942=0,0,'Components Yr 1'!K942)</f>
        <v>0</v>
      </c>
      <c r="L942" s="12"/>
      <c r="M942" s="12"/>
      <c r="N942" s="12"/>
      <c r="O942" s="12"/>
      <c r="P942" s="12"/>
      <c r="Q942" s="17"/>
      <c r="R942" s="18">
        <f>IF(SUMPRODUCT((E942:Q942)*1)=0,0,E942*INDEX(Hours!M:M,MATCH(C942,Hours!$A:$A,0))+F942*INDEX(Hours!B:B,MATCH(C942,Hours!$A:$A,0))+G942*INDEX(Hours!C:C,MATCH(C942,Hours!$A:$A,0))+H942*INDEX(Hours!D:D,MATCH(C942,Hours!$A:$A,0))+I942*INDEX(Hours!E:E,MATCH(C942,Hours!$A:$A,0))+J942*INDEX(Hours!F:F,MATCH(C942,Hours!$A:$A,0))+K942*INDEX(Hours!G:G,MATCH(C942,Hours!$A:$A,0)))</f>
        <v>0</v>
      </c>
      <c r="S942" s="19">
        <f t="shared" si="29"/>
        <v>0</v>
      </c>
    </row>
    <row r="943" spans="1:19" x14ac:dyDescent="0.25">
      <c r="A943" s="15" t="str">
        <f>'Bldgs &amp; Rooms'!$A$27</f>
        <v>Main Bldg.</v>
      </c>
      <c r="B943" s="15">
        <f>'Bldgs &amp; Rooms'!$B$27</f>
        <v>0</v>
      </c>
      <c r="C943" s="14" t="str">
        <f>Hours!$A$18</f>
        <v>Individual Combination Motor Starter &gt; 100A</v>
      </c>
      <c r="D943" s="15">
        <f t="shared" si="28"/>
        <v>0</v>
      </c>
      <c r="E943" s="16">
        <f>IF('Components Yr 1'!E943=0,0,'Components Yr 1'!E943)</f>
        <v>0</v>
      </c>
      <c r="F943" s="17">
        <f>IF('Components Yr 1'!F943=0,0,'Components Yr 1'!F943)</f>
        <v>0</v>
      </c>
      <c r="G943" s="17">
        <f>IF('Components Yr 1'!G943=0,0,'Components Yr 1'!G943)</f>
        <v>0</v>
      </c>
      <c r="H943" s="17">
        <f>IF('Components Yr 1'!H943=0,0,'Components Yr 1'!H943)</f>
        <v>0</v>
      </c>
      <c r="I943" s="17">
        <f>IF('Components Yr 1'!I943=0,0,'Components Yr 1'!I943)</f>
        <v>0</v>
      </c>
      <c r="J943" s="17">
        <f>IF('Components Yr 1'!J943=0,0,'Components Yr 1'!J943)</f>
        <v>0</v>
      </c>
      <c r="K943" s="17">
        <f>IF('Components Yr 1'!K943=0,0,'Components Yr 1'!K943)</f>
        <v>0</v>
      </c>
      <c r="L943" s="12"/>
      <c r="M943" s="12"/>
      <c r="N943" s="12"/>
      <c r="O943" s="12"/>
      <c r="P943" s="12"/>
      <c r="Q943" s="17"/>
      <c r="R943" s="18">
        <f>IF(SUMPRODUCT((E943:Q943)*1)=0,0,E943*INDEX(Hours!M:M,MATCH(C943,Hours!$A:$A,0))+F943*INDEX(Hours!B:B,MATCH(C943,Hours!$A:$A,0))+G943*INDEX(Hours!C:C,MATCH(C943,Hours!$A:$A,0))+H943*INDEX(Hours!D:D,MATCH(C943,Hours!$A:$A,0))+I943*INDEX(Hours!E:E,MATCH(C943,Hours!$A:$A,0))+J943*INDEX(Hours!F:F,MATCH(C943,Hours!$A:$A,0))+K943*INDEX(Hours!G:G,MATCH(C943,Hours!$A:$A,0)))</f>
        <v>0</v>
      </c>
      <c r="S943" s="19">
        <f t="shared" si="29"/>
        <v>0</v>
      </c>
    </row>
    <row r="944" spans="1:19" x14ac:dyDescent="0.25">
      <c r="A944" s="15" t="str">
        <f>'Bldgs &amp; Rooms'!$A$27</f>
        <v>Main Bldg.</v>
      </c>
      <c r="B944" s="15">
        <f>'Bldgs &amp; Rooms'!$B$27</f>
        <v>0</v>
      </c>
      <c r="C944" s="14" t="str">
        <f>Hours!$A$19</f>
        <v>Oil Filled Transformer - 5kV-15kV Primary - Any Size (Pad Mounted)</v>
      </c>
      <c r="D944" s="15">
        <f t="shared" si="28"/>
        <v>0</v>
      </c>
      <c r="E944" s="16">
        <f>IF('Components Yr 1'!E944=0,0,'Components Yr 1'!E944)</f>
        <v>0</v>
      </c>
      <c r="F944" s="17">
        <f>IF('Components Yr 1'!F944=0,0,'Components Yr 1'!F944)</f>
        <v>0</v>
      </c>
      <c r="G944" s="17">
        <f>IF('Components Yr 1'!G944=0,0,'Components Yr 1'!G944)</f>
        <v>0</v>
      </c>
      <c r="H944" s="17">
        <f>IF('Components Yr 1'!H944=0,0,'Components Yr 1'!H944)</f>
        <v>0</v>
      </c>
      <c r="I944" s="17">
        <f>IF('Components Yr 1'!I944=0,0,'Components Yr 1'!I944)</f>
        <v>0</v>
      </c>
      <c r="J944" s="17">
        <f>IF('Components Yr 1'!J944=0,0,'Components Yr 1'!J944)</f>
        <v>0</v>
      </c>
      <c r="K944" s="12"/>
      <c r="L944" s="12"/>
      <c r="M944" s="17">
        <f>IF('Components Yr 1'!M944=0,0,'Components Yr 1'!M944)</f>
        <v>0</v>
      </c>
      <c r="N944" s="17">
        <f>IF('Components Yr 1'!N944=0,0,'Components Yr 1'!N944)</f>
        <v>0</v>
      </c>
      <c r="O944" s="12"/>
      <c r="P944" s="17">
        <f>IF('Components Yr 1'!P944=0,0,'Components Yr 1'!P944)</f>
        <v>0</v>
      </c>
      <c r="Q944" s="17"/>
      <c r="R944" s="18">
        <f>IF(SUMPRODUCT((E944:Q944)*1)=0,0,E944*INDEX(Hours!M:M,MATCH(C944,Hours!$A:$A,0))+F944*INDEX(Hours!B:B,MATCH(C944,Hours!$A:$A,0))+G944*INDEX(Hours!C:C,MATCH(C944,Hours!$A:$A,0))+H944*INDEX(Hours!D:D,MATCH(C944,Hours!$A:$A,0))+I944*INDEX(Hours!E:E,MATCH(C944,Hours!$A:$A,0))+J944*INDEX(Hours!F:F,MATCH(C944,Hours!$A:$A,0))+M944*INDEX(Hours!I:I,MATCH(C944,Hours!$A:$A,0))+N944*INDEX(Hours!J:J,MATCH(C944,Hours!$A:$A,0))+P944*INDEX(Hours!L:L,MATCH(C944,Hours!$A:$A,0)))</f>
        <v>0</v>
      </c>
      <c r="S944" s="19">
        <f t="shared" si="29"/>
        <v>0</v>
      </c>
    </row>
    <row r="945" spans="1:19" x14ac:dyDescent="0.25">
      <c r="A945" s="15" t="str">
        <f>'Bldgs &amp; Rooms'!$A$27</f>
        <v>Main Bldg.</v>
      </c>
      <c r="B945" s="15">
        <f>'Bldgs &amp; Rooms'!$B$27</f>
        <v>0</v>
      </c>
      <c r="C945" s="14" t="str">
        <f>Hours!$A$20</f>
        <v>Oil Filled Transformer - &gt; 15kV Primary (Substation Class)</v>
      </c>
      <c r="D945" s="15">
        <f t="shared" si="28"/>
        <v>0</v>
      </c>
      <c r="E945" s="16">
        <f>IF('Components Yr 1'!E945=0,0,'Components Yr 1'!E945)</f>
        <v>0</v>
      </c>
      <c r="F945" s="17">
        <f>IF('Components Yr 1'!F945=0,0,'Components Yr 1'!F945)</f>
        <v>0</v>
      </c>
      <c r="G945" s="17">
        <f>IF('Components Yr 1'!G945=0,0,'Components Yr 1'!G945)</f>
        <v>0</v>
      </c>
      <c r="H945" s="17">
        <f>IF('Components Yr 1'!H945=0,0,'Components Yr 1'!H945)</f>
        <v>0</v>
      </c>
      <c r="I945" s="17">
        <f>IF('Components Yr 1'!I945=0,0,'Components Yr 1'!I945)</f>
        <v>0</v>
      </c>
      <c r="J945" s="17">
        <f>IF('Components Yr 1'!J945=0,0,'Components Yr 1'!J945)</f>
        <v>0</v>
      </c>
      <c r="K945" s="12"/>
      <c r="L945" s="12"/>
      <c r="M945" s="17">
        <f>IF('Components Yr 1'!M945=0,0,'Components Yr 1'!M945)</f>
        <v>0</v>
      </c>
      <c r="N945" s="17">
        <f>IF('Components Yr 1'!N945=0,0,'Components Yr 1'!N945)</f>
        <v>0</v>
      </c>
      <c r="O945" s="12"/>
      <c r="P945" s="17">
        <f>IF('Components Yr 1'!P945=0,0,'Components Yr 1'!P945)</f>
        <v>0</v>
      </c>
      <c r="Q945" s="17"/>
      <c r="R945" s="18">
        <f>IF(SUMPRODUCT((E945:Q945)*1)=0,0,E945*INDEX(Hours!M:M,MATCH(C945,Hours!$A:$A,0))+F945*INDEX(Hours!B:B,MATCH(C945,Hours!$A:$A,0))+G945*INDEX(Hours!C:C,MATCH(C945,Hours!$A:$A,0))+H945*INDEX(Hours!D:D,MATCH(C945,Hours!$A:$A,0))+I945*INDEX(Hours!E:E,MATCH(C945,Hours!$A:$A,0))+J945*INDEX(Hours!F:F,MATCH(C945,Hours!$A:$A,0))+M945*INDEX(Hours!I:I,MATCH(C945,Hours!$A:$A,0))+N945*INDEX(Hours!J:J,MATCH(C945,Hours!$A:$A,0))+P945*INDEX(Hours!L:L,MATCH(C945,Hours!$A:$A,0)))</f>
        <v>0</v>
      </c>
      <c r="S945" s="19">
        <f t="shared" si="29"/>
        <v>0</v>
      </c>
    </row>
    <row r="946" spans="1:19" x14ac:dyDescent="0.25">
      <c r="A946" s="15" t="str">
        <f>'Bldgs &amp; Rooms'!$A$27</f>
        <v>Main Bldg.</v>
      </c>
      <c r="B946" s="15">
        <f>'Bldgs &amp; Rooms'!$B$27</f>
        <v>0</v>
      </c>
      <c r="C946" s="14" t="str">
        <f>Hours!$A$21</f>
        <v>Dry Type Transformer - &lt; 480V Primary - Any Size kVA</v>
      </c>
      <c r="D946" s="15">
        <f t="shared" si="28"/>
        <v>0</v>
      </c>
      <c r="E946" s="16">
        <f>IF('Components Yr 1'!E946=0,0,'Components Yr 1'!E946)</f>
        <v>0</v>
      </c>
      <c r="F946" s="17">
        <f>IF('Components Yr 1'!F946=0,0,'Components Yr 1'!F946)</f>
        <v>0</v>
      </c>
      <c r="G946" s="17">
        <f>IF('Components Yr 1'!G946=0,0,'Components Yr 1'!G946)</f>
        <v>0</v>
      </c>
      <c r="H946" s="17">
        <f>IF('Components Yr 1'!H946=0,0,'Components Yr 1'!H946)</f>
        <v>0</v>
      </c>
      <c r="I946" s="17">
        <f>IF('Components Yr 1'!I946=0,0,'Components Yr 1'!I946)</f>
        <v>0</v>
      </c>
      <c r="J946" s="17">
        <f>IF('Components Yr 1'!J946=0,0,'Components Yr 1'!J946)</f>
        <v>0</v>
      </c>
      <c r="K946" s="12"/>
      <c r="L946" s="12"/>
      <c r="M946" s="17">
        <f>IF('Components Yr 1'!M946=0,0,'Components Yr 1'!M946)</f>
        <v>0</v>
      </c>
      <c r="N946" s="17">
        <f>IF('Components Yr 1'!N946=0,0,'Components Yr 1'!N946)</f>
        <v>0</v>
      </c>
      <c r="O946" s="12"/>
      <c r="P946" s="12"/>
      <c r="Q946" s="17"/>
      <c r="R946" s="18">
        <f>IF(SUMPRODUCT((E946:Q946)*1)=0,0,E946*INDEX(Hours!M:M,MATCH(C946,Hours!$A:$A,0))+F946*INDEX(Hours!B:B,MATCH(C946,Hours!$A:$A,0))+G946*INDEX(Hours!C:C,MATCH(C946,Hours!$A:$A,0))+H946*INDEX(Hours!D:D,MATCH(C946,Hours!$A:$A,0))+I946*INDEX(Hours!E:E,MATCH(C946,Hours!$A:$A,0))+J946*INDEX(Hours!F:F,MATCH(C946,Hours!$A:$A,0))+M946*INDEX(Hours!I:I,MATCH(C946,Hours!$A:$A,0))+N946*INDEX(Hours!J:J,MATCH(C946,Hours!$A:$A,0)))</f>
        <v>0</v>
      </c>
      <c r="S946" s="19">
        <f t="shared" si="29"/>
        <v>0</v>
      </c>
    </row>
    <row r="947" spans="1:19" x14ac:dyDescent="0.25">
      <c r="A947" s="15" t="str">
        <f>'Bldgs &amp; Rooms'!$A$27</f>
        <v>Main Bldg.</v>
      </c>
      <c r="B947" s="15">
        <f>'Bldgs &amp; Rooms'!$B$27</f>
        <v>0</v>
      </c>
      <c r="C947" s="14" t="str">
        <f>Hours!$A$22</f>
        <v>Power Factor Correction Capacitors</v>
      </c>
      <c r="D947" s="15">
        <f t="shared" si="28"/>
        <v>0</v>
      </c>
      <c r="E947" s="16">
        <f>IF('Components Yr 1'!E947=0,0,'Components Yr 1'!E947)</f>
        <v>0</v>
      </c>
      <c r="F947" s="17">
        <f>IF('Components Yr 1'!F947=0,0,'Components Yr 1'!F947)</f>
        <v>0</v>
      </c>
      <c r="G947" s="17">
        <f>IF('Components Yr 1'!G947=0,0,'Components Yr 1'!G947)</f>
        <v>0</v>
      </c>
      <c r="H947" s="17">
        <f>IF('Components Yr 1'!H947=0,0,'Components Yr 1'!H947)</f>
        <v>0</v>
      </c>
      <c r="I947" s="17">
        <f>IF('Components Yr 1'!I947=0,0,'Components Yr 1'!I947)</f>
        <v>0</v>
      </c>
      <c r="J947" s="17">
        <f>IF('Components Yr 1'!J947=0,0,'Components Yr 1'!J947)</f>
        <v>0</v>
      </c>
      <c r="K947" s="12"/>
      <c r="L947" s="12"/>
      <c r="M947" s="12"/>
      <c r="N947" s="12"/>
      <c r="O947" s="12"/>
      <c r="P947" s="12"/>
      <c r="Q947" s="17"/>
      <c r="R947" s="18">
        <f>IF(SUMPRODUCT((E947:Q947)*1)=0,0,E947*INDEX(Hours!M:M,MATCH(C947,Hours!$A:$A,0))+F947*INDEX(Hours!B:B,MATCH(C947,Hours!$A:$A,0))+G947*INDEX(Hours!C:C,MATCH(C947,Hours!$A:$A,0))+H947*INDEX(Hours!D:D,MATCH(C947,Hours!$A:$A,0))+I947*INDEX(Hours!E:E,MATCH(C947,Hours!$A:$A,0))+J947*INDEX(Hours!F:F,MATCH(C947,Hours!$A:$A,0)))</f>
        <v>0</v>
      </c>
      <c r="S947" s="19">
        <f t="shared" si="29"/>
        <v>0</v>
      </c>
    </row>
    <row r="948" spans="1:19" x14ac:dyDescent="0.25">
      <c r="A948" s="15" t="str">
        <f>'Bldgs &amp; Rooms'!$A$27</f>
        <v>Main Bldg.</v>
      </c>
      <c r="B948" s="15">
        <f>'Bldgs &amp; Rooms'!$B$27</f>
        <v>0</v>
      </c>
      <c r="C948" s="14" t="str">
        <f>Hours!$A$23</f>
        <v>Lighting Contactor &gt; 100A</v>
      </c>
      <c r="D948" s="15">
        <f t="shared" si="28"/>
        <v>0</v>
      </c>
      <c r="E948" s="16">
        <f>IF('Components Yr 1'!E948=0,0,'Components Yr 1'!E948)</f>
        <v>0</v>
      </c>
      <c r="F948" s="17">
        <f>IF('Components Yr 1'!F948=0,0,'Components Yr 1'!F948)</f>
        <v>0</v>
      </c>
      <c r="G948" s="17">
        <f>IF('Components Yr 1'!G948=0,0,'Components Yr 1'!G948)</f>
        <v>0</v>
      </c>
      <c r="H948" s="17">
        <f>IF('Components Yr 1'!H948=0,0,'Components Yr 1'!H948)</f>
        <v>0</v>
      </c>
      <c r="I948" s="17">
        <f>IF('Components Yr 1'!I948=0,0,'Components Yr 1'!I948)</f>
        <v>0</v>
      </c>
      <c r="J948" s="17">
        <f>IF('Components Yr 1'!J948=0,0,'Components Yr 1'!J948)</f>
        <v>0</v>
      </c>
      <c r="K948" s="12"/>
      <c r="L948" s="12"/>
      <c r="M948" s="12"/>
      <c r="N948" s="12"/>
      <c r="O948" s="12"/>
      <c r="P948" s="12"/>
      <c r="Q948" s="17"/>
      <c r="R948" s="18">
        <f>IF(SUMPRODUCT((E948:Q948)*1)=0,0,E948*INDEX(Hours!M:M,MATCH(C948,Hours!$A:$A,0))+F948*INDEX(Hours!B:B,MATCH(C948,Hours!$A:$A,0))+G948*INDEX(Hours!C:C,MATCH(C948,Hours!$A:$A,0))+H948*INDEX(Hours!D:D,MATCH(C948,Hours!$A:$A,0))+I948*INDEX(Hours!E:E,MATCH(C948,Hours!$A:$A,0))+J948*INDEX(Hours!F:F,MATCH(C948,Hours!$A:$A,0)))</f>
        <v>0</v>
      </c>
      <c r="S948" s="19">
        <f t="shared" si="29"/>
        <v>0</v>
      </c>
    </row>
    <row r="949" spans="1:19" x14ac:dyDescent="0.25">
      <c r="A949" s="15" t="str">
        <f>'Bldgs &amp; Rooms'!$A$27</f>
        <v>Main Bldg.</v>
      </c>
      <c r="B949" s="15">
        <f>'Bldgs &amp; Rooms'!$B$27</f>
        <v>0</v>
      </c>
      <c r="C949" s="14" t="str">
        <f>Hours!$A$24</f>
        <v>Power Distribution Unit (PDU)</v>
      </c>
      <c r="D949" s="15">
        <f t="shared" si="28"/>
        <v>0</v>
      </c>
      <c r="E949" s="16">
        <f>IF('Components Yr 1'!E949=0,0,'Components Yr 1'!E949)</f>
        <v>0</v>
      </c>
      <c r="F949" s="17">
        <f>IF('Components Yr 1'!F949=0,0,'Components Yr 1'!F949)</f>
        <v>0</v>
      </c>
      <c r="G949" s="17">
        <f>IF('Components Yr 1'!G949=0,0,'Components Yr 1'!G949)</f>
        <v>0</v>
      </c>
      <c r="H949" s="17">
        <f>IF('Components Yr 1'!H949=0,0,'Components Yr 1'!H949)</f>
        <v>0</v>
      </c>
      <c r="I949" s="17">
        <f>IF('Components Yr 1'!I949=0,0,'Components Yr 1'!I949)</f>
        <v>0</v>
      </c>
      <c r="J949" s="17">
        <f>IF('Components Yr 1'!J949=0,0,'Components Yr 1'!J949)</f>
        <v>0</v>
      </c>
      <c r="K949" s="12"/>
      <c r="L949" s="12"/>
      <c r="M949" s="12"/>
      <c r="N949" s="12"/>
      <c r="O949" s="12"/>
      <c r="P949" s="12"/>
      <c r="Q949" s="17"/>
      <c r="R949" s="18">
        <f>IF(SUMPRODUCT((E949:Q949)*1)=0,0,E949*INDEX(Hours!M:M,MATCH(C949,Hours!$A:$A,0))+F949*INDEX(Hours!B:B,MATCH(C949,Hours!$A:$A,0))+G949*INDEX(Hours!C:C,MATCH(C949,Hours!$A:$A,0))+H949*INDEX(Hours!D:D,MATCH(C949,Hours!$A:$A,0))+I949*INDEX(Hours!E:E,MATCH(C949,Hours!$A:$A,0))+J949*INDEX(Hours!F:F,MATCH(C949,Hours!$A:$A,0)))</f>
        <v>0</v>
      </c>
      <c r="S949" s="19">
        <f t="shared" si="29"/>
        <v>0</v>
      </c>
    </row>
    <row r="950" spans="1:19" x14ac:dyDescent="0.25">
      <c r="A950" s="15" t="str">
        <f>'Bldgs &amp; Rooms'!$A$27</f>
        <v>Main Bldg.</v>
      </c>
      <c r="B950" s="15">
        <f>'Bldgs &amp; Rooms'!$B$27</f>
        <v>0</v>
      </c>
      <c r="C950" s="14" t="str">
        <f>Hours!$A$25</f>
        <v>Wire Trough, Gutter, or Large Junction Boxes</v>
      </c>
      <c r="D950" s="15">
        <f t="shared" si="28"/>
        <v>0</v>
      </c>
      <c r="E950" s="16">
        <f>IF('Components Yr 1'!E950=0,0,'Components Yr 1'!E950)</f>
        <v>0</v>
      </c>
      <c r="F950" s="17">
        <f>IF('Components Yr 1'!F950=0,0,'Components Yr 1'!F950)</f>
        <v>0</v>
      </c>
      <c r="G950" s="17">
        <f>IF('Components Yr 1'!G950=0,0,'Components Yr 1'!G950)</f>
        <v>0</v>
      </c>
      <c r="H950" s="17">
        <f>IF('Components Yr 1'!H950=0,0,'Components Yr 1'!H950)</f>
        <v>0</v>
      </c>
      <c r="I950" s="17">
        <f>IF('Components Yr 1'!I950=0,0,'Components Yr 1'!I950)</f>
        <v>0</v>
      </c>
      <c r="J950" s="17">
        <f>IF('Components Yr 1'!J950=0,0,'Components Yr 1'!J950)</f>
        <v>0</v>
      </c>
      <c r="K950" s="12"/>
      <c r="L950" s="12"/>
      <c r="M950" s="12"/>
      <c r="N950" s="12"/>
      <c r="O950" s="12"/>
      <c r="P950" s="12"/>
      <c r="Q950" s="17"/>
      <c r="R950" s="18">
        <f>IF(SUMPRODUCT((E950:Q950)*1)=0,0,E950*INDEX(Hours!M:M,MATCH(C950,Hours!$A:$A,0))+F950*INDEX(Hours!B:B,MATCH(C950,Hours!$A:$A,0))+G950*INDEX(Hours!C:C,MATCH(C950,Hours!$A:$A,0))+H950*INDEX(Hours!D:D,MATCH(C950,Hours!$A:$A,0))+I950*INDEX(Hours!E:E,MATCH(C950,Hours!$A:$A,0))+J950*INDEX(Hours!F:F,MATCH(C950,Hours!$A:$A,0)))</f>
        <v>0</v>
      </c>
      <c r="S950" s="19">
        <f t="shared" si="29"/>
        <v>0</v>
      </c>
    </row>
    <row r="951" spans="1:19" x14ac:dyDescent="0.25">
      <c r="A951" s="15" t="str">
        <f>'Bldgs &amp; Rooms'!$A$27</f>
        <v>Main Bldg.</v>
      </c>
      <c r="B951" s="15">
        <f>'Bldgs &amp; Rooms'!$B$27</f>
        <v>0</v>
      </c>
      <c r="C951" s="14" t="str">
        <f>Hours!$A$26</f>
        <v>Bus Duct - Vertical or Horizontal (Per 10' section)</v>
      </c>
      <c r="D951" s="15">
        <f t="shared" si="28"/>
        <v>0</v>
      </c>
      <c r="E951" s="16">
        <f>IF('Components Yr 1'!E951=0,0,'Components Yr 1'!E951)</f>
        <v>0</v>
      </c>
      <c r="F951" s="17">
        <f>IF('Components Yr 1'!F951=0,0,'Components Yr 1'!F951)</f>
        <v>0</v>
      </c>
      <c r="G951" s="17">
        <f>IF('Components Yr 1'!G951=0,0,'Components Yr 1'!G951)</f>
        <v>0</v>
      </c>
      <c r="H951" s="17">
        <f>IF('Components Yr 1'!H951=0,0,'Components Yr 1'!H951)</f>
        <v>0</v>
      </c>
      <c r="I951" s="17">
        <f>IF('Components Yr 1'!I951=0,0,'Components Yr 1'!I951)</f>
        <v>0</v>
      </c>
      <c r="J951" s="17">
        <f>IF('Components Yr 1'!J951=0,0,'Components Yr 1'!J951)</f>
        <v>0</v>
      </c>
      <c r="K951" s="12"/>
      <c r="L951" s="12"/>
      <c r="M951" s="12"/>
      <c r="N951" s="12"/>
      <c r="O951" s="12"/>
      <c r="P951" s="12"/>
      <c r="Q951" s="17"/>
      <c r="R951" s="18">
        <f>IF(SUMPRODUCT((E951:Q951)*1)=0,0,E951*INDEX(Hours!M:M,MATCH(C951,Hours!$A:$A,0))+F951*INDEX(Hours!B:B,MATCH(C951,Hours!$A:$A,0))+G951*INDEX(Hours!C:C,MATCH(C951,Hours!$A:$A,0))+H951*INDEX(Hours!D:D,MATCH(C951,Hours!$A:$A,0))+I951*INDEX(Hours!E:E,MATCH(C951,Hours!$A:$A,0))+J951*INDEX(Hours!F:F,MATCH(C951,Hours!$A:$A,0)))</f>
        <v>0</v>
      </c>
      <c r="S951" s="19">
        <f t="shared" si="29"/>
        <v>0</v>
      </c>
    </row>
    <row r="952" spans="1:19" x14ac:dyDescent="0.25">
      <c r="A952" s="15" t="str">
        <f>'Bldgs &amp; Rooms'!$A$27</f>
        <v>Main Bldg.</v>
      </c>
      <c r="B952" s="15">
        <f>'Bldgs &amp; Rooms'!$B$27</f>
        <v>0</v>
      </c>
      <c r="C952" s="14" t="str">
        <f>Hours!$A$27</f>
        <v>Automatic Transfer Switch (ATS) &gt; 100A</v>
      </c>
      <c r="D952" s="15">
        <f t="shared" si="28"/>
        <v>0</v>
      </c>
      <c r="E952" s="16">
        <f>IF('Components Yr 1'!E952=0,0,'Components Yr 1'!E952)</f>
        <v>0</v>
      </c>
      <c r="F952" s="17">
        <f>IF('Components Yr 1'!F952=0,0,'Components Yr 1'!F952)</f>
        <v>0</v>
      </c>
      <c r="G952" s="17">
        <f>IF('Components Yr 1'!G952=0,0,'Components Yr 1'!G952)</f>
        <v>0</v>
      </c>
      <c r="H952" s="17">
        <f>IF('Components Yr 1'!H952=0,0,'Components Yr 1'!H952)</f>
        <v>0</v>
      </c>
      <c r="I952" s="17">
        <f>IF('Components Yr 1'!I952=0,0,'Components Yr 1'!I952)</f>
        <v>0</v>
      </c>
      <c r="J952" s="17">
        <f>IF('Components Yr 1'!J952=0,0,'Components Yr 1'!J952)</f>
        <v>0</v>
      </c>
      <c r="K952" s="12"/>
      <c r="L952" s="12"/>
      <c r="M952" s="12"/>
      <c r="N952" s="12"/>
      <c r="O952" s="12"/>
      <c r="P952" s="12"/>
      <c r="Q952" s="17"/>
      <c r="R952" s="18">
        <f>IF(SUMPRODUCT((E952:Q952)*1)=0,0,E952*INDEX(Hours!M:M,MATCH(C952,Hours!$A:$A,0))+F952*INDEX(Hours!B:B,MATCH(C952,Hours!$A:$A,0))+G952*INDEX(Hours!C:C,MATCH(C952,Hours!$A:$A,0))+H952*INDEX(Hours!D:D,MATCH(C952,Hours!$A:$A,0))+I952*INDEX(Hours!E:E,MATCH(C952,Hours!$A:$A,0))+J952*INDEX(Hours!F:F,MATCH(C952,Hours!$A:$A,0)))</f>
        <v>0</v>
      </c>
      <c r="S952" s="19">
        <f t="shared" si="29"/>
        <v>0</v>
      </c>
    </row>
    <row r="953" spans="1:19" x14ac:dyDescent="0.25">
      <c r="A953" s="15" t="str">
        <f>'Bldgs &amp; Rooms'!$A$27</f>
        <v>Main Bldg.</v>
      </c>
      <c r="B953" s="15">
        <f>'Bldgs &amp; Rooms'!$B$27</f>
        <v>0</v>
      </c>
      <c r="C953" s="14" t="str">
        <f>Hours!$A$28</f>
        <v>Manual Transfer Switch (MTS) &gt; 100A</v>
      </c>
      <c r="D953" s="15">
        <f t="shared" si="28"/>
        <v>0</v>
      </c>
      <c r="E953" s="16">
        <f>IF('Components Yr 1'!E953=0,0,'Components Yr 1'!E953)</f>
        <v>0</v>
      </c>
      <c r="F953" s="17">
        <f>IF('Components Yr 1'!F953=0,0,'Components Yr 1'!F953)</f>
        <v>0</v>
      </c>
      <c r="G953" s="17">
        <f>IF('Components Yr 1'!G953=0,0,'Components Yr 1'!G953)</f>
        <v>0</v>
      </c>
      <c r="H953" s="17">
        <f>IF('Components Yr 1'!H953=0,0,'Components Yr 1'!H953)</f>
        <v>0</v>
      </c>
      <c r="I953" s="17">
        <f>IF('Components Yr 1'!I953=0,0,'Components Yr 1'!I953)</f>
        <v>0</v>
      </c>
      <c r="J953" s="17">
        <f>IF('Components Yr 1'!J953=0,0,'Components Yr 1'!J953)</f>
        <v>0</v>
      </c>
      <c r="K953" s="12"/>
      <c r="L953" s="12"/>
      <c r="M953" s="12"/>
      <c r="N953" s="12"/>
      <c r="O953" s="12"/>
      <c r="P953" s="12"/>
      <c r="Q953" s="17"/>
      <c r="R953" s="18">
        <f>IF(SUMPRODUCT((E953:Q953)*1)=0,0,E953*INDEX(Hours!M:M,MATCH(C953,Hours!$A:$A,0))+F953*INDEX(Hours!B:B,MATCH(C953,Hours!$A:$A,0))+G953*INDEX(Hours!C:C,MATCH(C953,Hours!$A:$A,0))+H953*INDEX(Hours!D:D,MATCH(C953,Hours!$A:$A,0))+I953*INDEX(Hours!E:E,MATCH(C953,Hours!$A:$A,0))+J953*INDEX(Hours!F:F,MATCH(C953,Hours!$A:$A,0)))</f>
        <v>0</v>
      </c>
      <c r="S953" s="19">
        <f t="shared" si="29"/>
        <v>0</v>
      </c>
    </row>
    <row r="954" spans="1:19" x14ac:dyDescent="0.25">
      <c r="A954" s="15" t="str">
        <f>'Bldgs &amp; Rooms'!$A$27</f>
        <v>Main Bldg.</v>
      </c>
      <c r="B954" s="15">
        <f>'Bldgs &amp; Rooms'!$B$27</f>
        <v>0</v>
      </c>
      <c r="C954" s="14" t="str">
        <f>Hours!$A$29</f>
        <v>Variable Frequency Drives (VFD) &lt; 50 HP</v>
      </c>
      <c r="D954" s="15">
        <f t="shared" si="28"/>
        <v>0</v>
      </c>
      <c r="E954" s="16">
        <f>IF('Components Yr 1'!E954=0,0,'Components Yr 1'!E954)</f>
        <v>0</v>
      </c>
      <c r="F954" s="17">
        <f>IF('Components Yr 1'!F954=0,0,'Components Yr 1'!F954)</f>
        <v>0</v>
      </c>
      <c r="G954" s="17">
        <f>IF('Components Yr 1'!G954=0,0,'Components Yr 1'!G954)</f>
        <v>0</v>
      </c>
      <c r="H954" s="17">
        <f>IF('Components Yr 1'!H954=0,0,'Components Yr 1'!H954)</f>
        <v>0</v>
      </c>
      <c r="I954" s="17">
        <f>IF('Components Yr 1'!I954=0,0,'Components Yr 1'!I954)</f>
        <v>0</v>
      </c>
      <c r="J954" s="17">
        <f>IF('Components Yr 1'!J954=0,0,'Components Yr 1'!J954)</f>
        <v>0</v>
      </c>
      <c r="K954" s="12"/>
      <c r="L954" s="12"/>
      <c r="M954" s="12"/>
      <c r="N954" s="12"/>
      <c r="O954" s="12"/>
      <c r="P954" s="12"/>
      <c r="Q954" s="17"/>
      <c r="R954" s="18">
        <f>IF(SUMPRODUCT((E954:Q954)*1)=0,0,E954*INDEX(Hours!M:M,MATCH(C954,Hours!$A:$A,0))+F954*INDEX(Hours!B:B,MATCH(C954,Hours!$A:$A,0))+G954*INDEX(Hours!C:C,MATCH(C954,Hours!$A:$A,0))+H954*INDEX(Hours!D:D,MATCH(C954,Hours!$A:$A,0))+I954*INDEX(Hours!E:E,MATCH(C954,Hours!$A:$A,0))+J954*INDEX(Hours!F:F,MATCH(C954,Hours!$A:$A,0)))</f>
        <v>0</v>
      </c>
      <c r="S954" s="19">
        <f t="shared" si="29"/>
        <v>0</v>
      </c>
    </row>
    <row r="955" spans="1:19" x14ac:dyDescent="0.25">
      <c r="A955" s="15" t="str">
        <f>'Bldgs &amp; Rooms'!$A$27</f>
        <v>Main Bldg.</v>
      </c>
      <c r="B955" s="15">
        <f>'Bldgs &amp; Rooms'!$B$27</f>
        <v>0</v>
      </c>
      <c r="C955" s="14" t="str">
        <f>Hours!$A$30</f>
        <v>Variable Frequency Drives (VFD) 51-200 HP</v>
      </c>
      <c r="D955" s="15">
        <f t="shared" si="28"/>
        <v>0</v>
      </c>
      <c r="E955" s="16">
        <f>IF('Components Yr 1'!E955=0,0,'Components Yr 1'!E955)</f>
        <v>0</v>
      </c>
      <c r="F955" s="17">
        <f>IF('Components Yr 1'!F955=0,0,'Components Yr 1'!F955)</f>
        <v>0</v>
      </c>
      <c r="G955" s="17">
        <f>IF('Components Yr 1'!G955=0,0,'Components Yr 1'!G955)</f>
        <v>0</v>
      </c>
      <c r="H955" s="17">
        <f>IF('Components Yr 1'!H955=0,0,'Components Yr 1'!H955)</f>
        <v>0</v>
      </c>
      <c r="I955" s="17">
        <f>IF('Components Yr 1'!I955=0,0,'Components Yr 1'!I955)</f>
        <v>0</v>
      </c>
      <c r="J955" s="17">
        <f>IF('Components Yr 1'!J955=0,0,'Components Yr 1'!J955)</f>
        <v>0</v>
      </c>
      <c r="K955" s="12"/>
      <c r="L955" s="12"/>
      <c r="M955" s="12"/>
      <c r="N955" s="12"/>
      <c r="O955" s="12"/>
      <c r="P955" s="12"/>
      <c r="Q955" s="17"/>
      <c r="R955" s="18">
        <f>IF(SUMPRODUCT((E955:Q955)*1)=0,0,E955*INDEX(Hours!M:M,MATCH(C955,Hours!$A:$A,0))+F955*INDEX(Hours!B:B,MATCH(C955,Hours!$A:$A,0))+G955*INDEX(Hours!C:C,MATCH(C955,Hours!$A:$A,0))+H955*INDEX(Hours!D:D,MATCH(C955,Hours!$A:$A,0))+I955*INDEX(Hours!E:E,MATCH(C955,Hours!$A:$A,0))+J955*INDEX(Hours!F:F,MATCH(C955,Hours!$A:$A,0)))</f>
        <v>0</v>
      </c>
      <c r="S955" s="19">
        <f t="shared" si="29"/>
        <v>0</v>
      </c>
    </row>
    <row r="956" spans="1:19" x14ac:dyDescent="0.25">
      <c r="A956" s="15" t="str">
        <f>'Bldgs &amp; Rooms'!$A$27</f>
        <v>Main Bldg.</v>
      </c>
      <c r="B956" s="15">
        <f>'Bldgs &amp; Rooms'!$B$27</f>
        <v>0</v>
      </c>
      <c r="C956" s="14" t="str">
        <f>Hours!$A$31</f>
        <v>Motors &lt; 50 HP</v>
      </c>
      <c r="D956" s="15">
        <f t="shared" si="28"/>
        <v>0</v>
      </c>
      <c r="E956" s="16">
        <f>IF('Components Yr 1'!E956=0,0,'Components Yr 1'!E956)</f>
        <v>0</v>
      </c>
      <c r="F956" s="17">
        <f>IF('Components Yr 1'!F956=0,0,'Components Yr 1'!F956)</f>
        <v>0</v>
      </c>
      <c r="G956" s="17">
        <f>IF('Components Yr 1'!G956=0,0,'Components Yr 1'!G956)</f>
        <v>0</v>
      </c>
      <c r="H956" s="17">
        <f>IF('Components Yr 1'!H956=0,0,'Components Yr 1'!H956)</f>
        <v>0</v>
      </c>
      <c r="I956" s="17">
        <f>IF('Components Yr 1'!I956=0,0,'Components Yr 1'!I956)</f>
        <v>0</v>
      </c>
      <c r="J956" s="17">
        <f>IF('Components Yr 1'!J956=0,0,'Components Yr 1'!J956)</f>
        <v>0</v>
      </c>
      <c r="K956" s="12"/>
      <c r="L956" s="12"/>
      <c r="M956" s="12"/>
      <c r="N956" s="12"/>
      <c r="O956" s="12"/>
      <c r="P956" s="12"/>
      <c r="Q956" s="17"/>
      <c r="R956" s="18">
        <f>IF(SUMPRODUCT((E956:Q956)*1)=0,0,E956*INDEX(Hours!M:M,MATCH(C956,Hours!$A:$A,0))+F956*INDEX(Hours!B:B,MATCH(C956,Hours!$A:$A,0))+G956*INDEX(Hours!C:C,MATCH(C956,Hours!$A:$A,0))+H956*INDEX(Hours!D:D,MATCH(C956,Hours!$A:$A,0))+I956*INDEX(Hours!E:E,MATCH(C956,Hours!$A:$A,0))+J956*INDEX(Hours!F:F,MATCH(C956,Hours!$A:$A,0)))</f>
        <v>0</v>
      </c>
      <c r="S956" s="19">
        <f t="shared" si="29"/>
        <v>0</v>
      </c>
    </row>
    <row r="957" spans="1:19" x14ac:dyDescent="0.25">
      <c r="A957" s="15" t="str">
        <f>'Bldgs &amp; Rooms'!$A$27</f>
        <v>Main Bldg.</v>
      </c>
      <c r="B957" s="15">
        <f>'Bldgs &amp; Rooms'!$B$27</f>
        <v>0</v>
      </c>
      <c r="C957" s="14" t="str">
        <f>Hours!$A$32</f>
        <v>Motors 51-200 HP</v>
      </c>
      <c r="D957" s="15">
        <f t="shared" si="28"/>
        <v>0</v>
      </c>
      <c r="E957" s="16">
        <f>IF('Components Yr 1'!E957=0,0,'Components Yr 1'!E957)</f>
        <v>0</v>
      </c>
      <c r="F957" s="17">
        <f>IF('Components Yr 1'!F957=0,0,'Components Yr 1'!F957)</f>
        <v>0</v>
      </c>
      <c r="G957" s="17">
        <f>IF('Components Yr 1'!G957=0,0,'Components Yr 1'!G957)</f>
        <v>0</v>
      </c>
      <c r="H957" s="17">
        <f>IF('Components Yr 1'!H957=0,0,'Components Yr 1'!H957)</f>
        <v>0</v>
      </c>
      <c r="I957" s="17">
        <f>IF('Components Yr 1'!I957=0,0,'Components Yr 1'!I957)</f>
        <v>0</v>
      </c>
      <c r="J957" s="17">
        <f>IF('Components Yr 1'!J957=0,0,'Components Yr 1'!J957)</f>
        <v>0</v>
      </c>
      <c r="K957" s="12"/>
      <c r="L957" s="12"/>
      <c r="M957" s="12"/>
      <c r="N957" s="12"/>
      <c r="O957" s="12"/>
      <c r="P957" s="12"/>
      <c r="Q957" s="17"/>
      <c r="R957" s="18">
        <f>IF(SUMPRODUCT((E957:Q957)*1)=0,0,E957*INDEX(Hours!M:M,MATCH(C957,Hours!$A:$A,0))+F957*INDEX(Hours!B:B,MATCH(C957,Hours!$A:$A,0))+G957*INDEX(Hours!C:C,MATCH(C957,Hours!$A:$A,0))+H957*INDEX(Hours!D:D,MATCH(C957,Hours!$A:$A,0))+I957*INDEX(Hours!E:E,MATCH(C957,Hours!$A:$A,0))+J957*INDEX(Hours!F:F,MATCH(C957,Hours!$A:$A,0)))</f>
        <v>0</v>
      </c>
      <c r="S957" s="19">
        <f t="shared" si="29"/>
        <v>0</v>
      </c>
    </row>
    <row r="958" spans="1:19" x14ac:dyDescent="0.25">
      <c r="A958" s="15" t="str">
        <f>'Bldgs &amp; Rooms'!$A$27</f>
        <v>Main Bldg.</v>
      </c>
      <c r="B958" s="15">
        <f>'Bldgs &amp; Rooms'!$B$27</f>
        <v>0</v>
      </c>
      <c r="C958" s="14" t="str">
        <f>Hours!$A$33</f>
        <v>Motors 201-500 HP</v>
      </c>
      <c r="D958" s="15">
        <f t="shared" si="28"/>
        <v>0</v>
      </c>
      <c r="E958" s="16">
        <f>IF('Components Yr 1'!E958=0,0,'Components Yr 1'!E958)</f>
        <v>0</v>
      </c>
      <c r="F958" s="17">
        <f>IF('Components Yr 1'!F958=0,0,'Components Yr 1'!F958)</f>
        <v>0</v>
      </c>
      <c r="G958" s="17">
        <f>IF('Components Yr 1'!G958=0,0,'Components Yr 1'!G958)</f>
        <v>0</v>
      </c>
      <c r="H958" s="17">
        <f>IF('Components Yr 1'!H958=0,0,'Components Yr 1'!H958)</f>
        <v>0</v>
      </c>
      <c r="I958" s="17">
        <f>IF('Components Yr 1'!I958=0,0,'Components Yr 1'!I958)</f>
        <v>0</v>
      </c>
      <c r="J958" s="17">
        <f>IF('Components Yr 1'!J958=0,0,'Components Yr 1'!J958)</f>
        <v>0</v>
      </c>
      <c r="K958" s="12"/>
      <c r="L958" s="12"/>
      <c r="M958" s="12"/>
      <c r="N958" s="12"/>
      <c r="O958" s="12"/>
      <c r="P958" s="12"/>
      <c r="Q958" s="17"/>
      <c r="R958" s="18">
        <f>IF(SUMPRODUCT((E958:Q958)*1)=0,0,E958*INDEX(Hours!M:M,MATCH(C958,Hours!$A:$A,0))+F958*INDEX(Hours!B:B,MATCH(C958,Hours!$A:$A,0))+G958*INDEX(Hours!C:C,MATCH(C958,Hours!$A:$A,0))+H958*INDEX(Hours!D:D,MATCH(C958,Hours!$A:$A,0))+I958*INDEX(Hours!E:E,MATCH(C958,Hours!$A:$A,0))+J958*INDEX(Hours!F:F,MATCH(C958,Hours!$A:$A,0)))</f>
        <v>0</v>
      </c>
      <c r="S958" s="19">
        <f t="shared" si="29"/>
        <v>0</v>
      </c>
    </row>
    <row r="959" spans="1:19" x14ac:dyDescent="0.25">
      <c r="A959" s="15" t="str">
        <f>'Bldgs &amp; Rooms'!$A$27</f>
        <v>Main Bldg.</v>
      </c>
      <c r="B959" s="15">
        <f>'Bldgs &amp; Rooms'!$B$27</f>
        <v>0</v>
      </c>
      <c r="C959" s="14" t="str">
        <f>Hours!$A$34</f>
        <v>Compressed Air Equipment</v>
      </c>
      <c r="D959" s="15">
        <f t="shared" si="28"/>
        <v>0</v>
      </c>
      <c r="E959" s="16">
        <f>IF('Components Yr 1'!E959=0,0,'Components Yr 1'!E959)</f>
        <v>0</v>
      </c>
      <c r="F959" s="17">
        <f>IF('Components Yr 1'!F959=0,0,'Components Yr 1'!F959)</f>
        <v>0</v>
      </c>
      <c r="G959" s="17">
        <f>IF('Components Yr 1'!G959=0,0,'Components Yr 1'!G959)</f>
        <v>0</v>
      </c>
      <c r="H959" s="17">
        <f>IF('Components Yr 1'!H959=0,0,'Components Yr 1'!H959)</f>
        <v>0</v>
      </c>
      <c r="I959" s="17">
        <f>IF('Components Yr 1'!I959=0,0,'Components Yr 1'!I959)</f>
        <v>0</v>
      </c>
      <c r="J959" s="17">
        <f>IF('Components Yr 1'!J959=0,0,'Components Yr 1'!J959)</f>
        <v>0</v>
      </c>
      <c r="K959" s="12"/>
      <c r="L959" s="12"/>
      <c r="M959" s="12"/>
      <c r="N959" s="12"/>
      <c r="O959" s="12"/>
      <c r="P959" s="12"/>
      <c r="Q959" s="17"/>
      <c r="R959" s="18">
        <f>IF(SUMPRODUCT((E959:Q959)*1)=0,0,E959*INDEX(Hours!M:M,MATCH(C959,Hours!$A:$A,0))+F959*INDEX(Hours!B:B,MATCH(C959,Hours!$A:$A,0))+G959*INDEX(Hours!C:C,MATCH(C959,Hours!$A:$A,0))+H959*INDEX(Hours!D:D,MATCH(C959,Hours!$A:$A,0))+I959*INDEX(Hours!E:E,MATCH(C959,Hours!$A:$A,0))+J959*INDEX(Hours!F:F,MATCH(C959,Hours!$A:$A,0)))</f>
        <v>0</v>
      </c>
      <c r="S959" s="19">
        <f t="shared" si="29"/>
        <v>0</v>
      </c>
    </row>
    <row r="960" spans="1:19" x14ac:dyDescent="0.25">
      <c r="A960" s="15" t="str">
        <f>'Bldgs &amp; Rooms'!$A$27</f>
        <v>Main Bldg.</v>
      </c>
      <c r="B960" s="15">
        <f>'Bldgs &amp; Rooms'!$B$27</f>
        <v>0</v>
      </c>
      <c r="C960" s="14" t="str">
        <f>Hours!$A$35</f>
        <v>HVAC Equipment (Large)</v>
      </c>
      <c r="D960" s="15">
        <f t="shared" si="28"/>
        <v>0</v>
      </c>
      <c r="E960" s="16">
        <f>IF('Components Yr 1'!E960=0,0,'Components Yr 1'!E960)</f>
        <v>0</v>
      </c>
      <c r="F960" s="17">
        <f>IF('Components Yr 1'!F960=0,0,'Components Yr 1'!F960)</f>
        <v>0</v>
      </c>
      <c r="G960" s="17">
        <f>IF('Components Yr 1'!G960=0,0,'Components Yr 1'!G960)</f>
        <v>0</v>
      </c>
      <c r="H960" s="17">
        <f>IF('Components Yr 1'!H960=0,0,'Components Yr 1'!H960)</f>
        <v>0</v>
      </c>
      <c r="I960" s="17">
        <f>IF('Components Yr 1'!I960=0,0,'Components Yr 1'!I960)</f>
        <v>0</v>
      </c>
      <c r="J960" s="17">
        <f>IF('Components Yr 1'!J960=0,0,'Components Yr 1'!J960)</f>
        <v>0</v>
      </c>
      <c r="K960" s="12"/>
      <c r="L960" s="12"/>
      <c r="M960" s="12"/>
      <c r="N960" s="12"/>
      <c r="O960" s="12"/>
      <c r="P960" s="12"/>
      <c r="Q960" s="17"/>
      <c r="R960" s="18">
        <f>IF(SUMPRODUCT((E960:Q960)*1)=0,0,E960*INDEX(Hours!M:M,MATCH(C960,Hours!$A:$A,0))+F960*INDEX(Hours!B:B,MATCH(C960,Hours!$A:$A,0))+G960*INDEX(Hours!C:C,MATCH(C960,Hours!$A:$A,0))+H960*INDEX(Hours!D:D,MATCH(C960,Hours!$A:$A,0))+I960*INDEX(Hours!E:E,MATCH(C960,Hours!$A:$A,0))+J960*INDEX(Hours!F:F,MATCH(C960,Hours!$A:$A,0)))</f>
        <v>0</v>
      </c>
      <c r="S960" s="19">
        <f t="shared" si="29"/>
        <v>0</v>
      </c>
    </row>
    <row r="961" spans="1:19" x14ac:dyDescent="0.25">
      <c r="A961" s="15" t="str">
        <f>'Bldgs &amp; Rooms'!$A$27</f>
        <v>Main Bldg.</v>
      </c>
      <c r="B961" s="15">
        <f>'Bldgs &amp; Rooms'!$B$27</f>
        <v>0</v>
      </c>
      <c r="C961" s="14" t="str">
        <f>Hours!$A$36</f>
        <v>HVAC Equipment (Small)</v>
      </c>
      <c r="D961" s="15">
        <f t="shared" si="28"/>
        <v>0</v>
      </c>
      <c r="E961" s="16">
        <f>IF('Components Yr 1'!E961=0,0,'Components Yr 1'!E961)</f>
        <v>0</v>
      </c>
      <c r="F961" s="17">
        <f>IF('Components Yr 1'!F961=0,0,'Components Yr 1'!F961)</f>
        <v>0</v>
      </c>
      <c r="G961" s="17">
        <f>IF('Components Yr 1'!G961=0,0,'Components Yr 1'!G961)</f>
        <v>0</v>
      </c>
      <c r="H961" s="17">
        <f>IF('Components Yr 1'!H961=0,0,'Components Yr 1'!H961)</f>
        <v>0</v>
      </c>
      <c r="I961" s="17">
        <f>IF('Components Yr 1'!I961=0,0,'Components Yr 1'!I961)</f>
        <v>0</v>
      </c>
      <c r="J961" s="17">
        <f>IF('Components Yr 1'!J961=0,0,'Components Yr 1'!J961)</f>
        <v>0</v>
      </c>
      <c r="K961" s="12"/>
      <c r="L961" s="12"/>
      <c r="M961" s="12"/>
      <c r="N961" s="12"/>
      <c r="O961" s="12"/>
      <c r="P961" s="12"/>
      <c r="Q961" s="17"/>
      <c r="R961" s="18">
        <f>IF(SUMPRODUCT((E961:Q961)*1)=0,0,E961*INDEX(Hours!M:M,MATCH(C961,Hours!$A:$A,0))+F961*INDEX(Hours!B:B,MATCH(C961,Hours!$A:$A,0))+G961*INDEX(Hours!C:C,MATCH(C961,Hours!$A:$A,0))+H961*INDEX(Hours!D:D,MATCH(C961,Hours!$A:$A,0))+I961*INDEX(Hours!E:E,MATCH(C961,Hours!$A:$A,0))+J961*INDEX(Hours!F:F,MATCH(C961,Hours!$A:$A,0)))</f>
        <v>0</v>
      </c>
      <c r="S961" s="19">
        <f t="shared" si="29"/>
        <v>0</v>
      </c>
    </row>
    <row r="962" spans="1:19" x14ac:dyDescent="0.25">
      <c r="A962" s="15" t="str">
        <f>'Bldgs &amp; Rooms'!$A$27</f>
        <v>Main Bldg.</v>
      </c>
      <c r="B962" s="15">
        <f>'Bldgs &amp; Rooms'!$B$27</f>
        <v>0</v>
      </c>
      <c r="C962" s="14" t="str">
        <f>Hours!$A$37</f>
        <v>Uninterruptible Power Supply (UPS) &lt; 50kVA</v>
      </c>
      <c r="D962" s="15">
        <f t="shared" ref="D962:D1025" si="30">MAX(E962+F962,G962,H962,I962,J962,K962,L962,M962,N962,O962,P962,Q962)</f>
        <v>0</v>
      </c>
      <c r="E962" s="16">
        <f>IF('Components Yr 1'!E962=0,0,'Components Yr 1'!E962)</f>
        <v>0</v>
      </c>
      <c r="F962" s="17">
        <f>IF('Components Yr 1'!F962=0,0,'Components Yr 1'!F962)</f>
        <v>0</v>
      </c>
      <c r="G962" s="17">
        <f>IF('Components Yr 1'!G962=0,0,'Components Yr 1'!G962)</f>
        <v>0</v>
      </c>
      <c r="H962" s="17">
        <f>IF('Components Yr 1'!H962=0,0,'Components Yr 1'!H962)</f>
        <v>0</v>
      </c>
      <c r="I962" s="17">
        <f>IF('Components Yr 1'!I962=0,0,'Components Yr 1'!I962)</f>
        <v>0</v>
      </c>
      <c r="J962" s="17">
        <f>IF('Components Yr 1'!J962=0,0,'Components Yr 1'!J962)</f>
        <v>0</v>
      </c>
      <c r="K962" s="12"/>
      <c r="L962" s="12"/>
      <c r="M962" s="12"/>
      <c r="N962" s="12"/>
      <c r="O962" s="12"/>
      <c r="P962" s="12"/>
      <c r="Q962" s="17"/>
      <c r="R962" s="18">
        <f>IF(SUMPRODUCT((E962:Q962)*1)=0,0,E962*INDEX(Hours!M:M,MATCH(C962,Hours!$A:$A,0))+F962*INDEX(Hours!B:B,MATCH(C962,Hours!$A:$A,0))+G962*INDEX(Hours!C:C,MATCH(C962,Hours!$A:$A,0))+H962*INDEX(Hours!D:D,MATCH(C962,Hours!$A:$A,0))+I962*INDEX(Hours!E:E,MATCH(C962,Hours!$A:$A,0))+J962*INDEX(Hours!F:F,MATCH(C962,Hours!$A:$A,0)))</f>
        <v>0</v>
      </c>
      <c r="S962" s="19">
        <f t="shared" ref="S962:S1025" si="31">MAX(E962+F962,G962,H962,I962,J962,K962,L962,M962,N962,O962,P962,Q962)</f>
        <v>0</v>
      </c>
    </row>
    <row r="963" spans="1:19" x14ac:dyDescent="0.25">
      <c r="A963" s="15" t="str">
        <f>'Bldgs &amp; Rooms'!$A$27</f>
        <v>Main Bldg.</v>
      </c>
      <c r="B963" s="15">
        <f>'Bldgs &amp; Rooms'!$B$27</f>
        <v>0</v>
      </c>
      <c r="C963" s="14" t="str">
        <f>Hours!$A$38</f>
        <v>Uninterruptible Power Supply (UPS) &gt; 50kVA</v>
      </c>
      <c r="D963" s="15">
        <f t="shared" si="30"/>
        <v>0</v>
      </c>
      <c r="E963" s="16">
        <f>IF('Components Yr 1'!E963=0,0,'Components Yr 1'!E963)</f>
        <v>0</v>
      </c>
      <c r="F963" s="17">
        <f>IF('Components Yr 1'!F963=0,0,'Components Yr 1'!F963)</f>
        <v>0</v>
      </c>
      <c r="G963" s="17">
        <f>IF('Components Yr 1'!G963=0,0,'Components Yr 1'!G963)</f>
        <v>0</v>
      </c>
      <c r="H963" s="17">
        <f>IF('Components Yr 1'!H963=0,0,'Components Yr 1'!H963)</f>
        <v>0</v>
      </c>
      <c r="I963" s="17">
        <f>IF('Components Yr 1'!I963=0,0,'Components Yr 1'!I963)</f>
        <v>0</v>
      </c>
      <c r="J963" s="17">
        <f>IF('Components Yr 1'!J963=0,0,'Components Yr 1'!J963)</f>
        <v>0</v>
      </c>
      <c r="K963" s="12"/>
      <c r="L963" s="12"/>
      <c r="M963" s="12"/>
      <c r="N963" s="12"/>
      <c r="O963" s="12"/>
      <c r="P963" s="12"/>
      <c r="Q963" s="17"/>
      <c r="R963" s="18">
        <f>IF(SUMPRODUCT((E963:Q963)*1)=0,0,E963*INDEX(Hours!M:M,MATCH(C963,Hours!$A:$A,0))+F963*INDEX(Hours!B:B,MATCH(C963,Hours!$A:$A,0))+G963*INDEX(Hours!C:C,MATCH(C963,Hours!$A:$A,0))+H963*INDEX(Hours!D:D,MATCH(C963,Hours!$A:$A,0))+I963*INDEX(Hours!E:E,MATCH(C963,Hours!$A:$A,0))+J963*INDEX(Hours!F:F,MATCH(C963,Hours!$A:$A,0)))</f>
        <v>0</v>
      </c>
      <c r="S963" s="19">
        <f t="shared" si="31"/>
        <v>0</v>
      </c>
    </row>
    <row r="964" spans="1:19" x14ac:dyDescent="0.25">
      <c r="A964" s="11" t="str">
        <f>'Bldgs &amp; Rooms'!$A$28</f>
        <v>Main Bldg.</v>
      </c>
      <c r="B964" s="11">
        <f>'Bldgs &amp; Rooms'!$B$28</f>
        <v>0</v>
      </c>
      <c r="C964" s="10" t="str">
        <f>Hours!$A$2</f>
        <v>Switchgear - Incoming Main Service (Per Section)</v>
      </c>
      <c r="D964" s="11">
        <f t="shared" si="30"/>
        <v>0</v>
      </c>
      <c r="E964" s="16">
        <f>IF('Components Yr 1'!E964=0,0,'Components Yr 1'!E964)</f>
        <v>0</v>
      </c>
      <c r="F964" s="17">
        <f>IF('Components Yr 1'!F964=0,0,'Components Yr 1'!F964)</f>
        <v>0</v>
      </c>
      <c r="G964" s="17">
        <f>IF('Components Yr 1'!G964=0,0,'Components Yr 1'!G964)</f>
        <v>0</v>
      </c>
      <c r="H964" s="17">
        <f>IF('Components Yr 1'!H964=0,0,'Components Yr 1'!H964)</f>
        <v>0</v>
      </c>
      <c r="I964" s="17">
        <f>IF('Components Yr 1'!I964=0,0,'Components Yr 1'!I964)</f>
        <v>0</v>
      </c>
      <c r="J964" s="17">
        <f>IF('Components Yr 1'!J964=0,0,'Components Yr 1'!J964)</f>
        <v>0</v>
      </c>
      <c r="K964" s="17">
        <f>IF('Components Yr 1'!K964=0,0,'Components Yr 1'!K964)</f>
        <v>0</v>
      </c>
      <c r="L964" s="17">
        <f>IF('Components Yr 1'!L964=0,0,'Components Yr 1'!L964)</f>
        <v>0</v>
      </c>
      <c r="M964" s="12"/>
      <c r="N964" s="12"/>
      <c r="O964" s="17">
        <f>IF('Components Yr 1'!O964=0,0,'Components Yr 1'!O964)</f>
        <v>0</v>
      </c>
      <c r="P964" s="12"/>
      <c r="Q964" s="17"/>
      <c r="R964" s="18">
        <f>IF(SUMPRODUCT((E964:Q964)*1)=0,0,E964*INDEX(Hours!M:M,MATCH(C964,Hours!$A:$A,0))+F964*INDEX(Hours!B:B,MATCH(C964,Hours!$A:$A,0))+G964*INDEX(Hours!C:C,MATCH(C964,Hours!$A:$A,0))+H964*INDEX(Hours!D:D,MATCH(C964,Hours!$A:$A,0))+I964*INDEX(Hours!E:E,MATCH(C964,Hours!$A:$A,0))+J964*INDEX(Hours!F:F,MATCH(C964,Hours!$A:$A,0))+K964*INDEX(Hours!G:G,MATCH(C964,Hours!$A:$A,0))+L964*INDEX(Hours!H:H,MATCH(C964,Hours!$A:$A,0))+O964*INDEX(Hours!K:K,MATCH(C964,Hours!$A:$A,0)))</f>
        <v>0</v>
      </c>
      <c r="S964" s="19">
        <f t="shared" si="31"/>
        <v>0</v>
      </c>
    </row>
    <row r="965" spans="1:19" x14ac:dyDescent="0.25">
      <c r="A965" s="11" t="str">
        <f>'Bldgs &amp; Rooms'!$A$28</f>
        <v>Main Bldg.</v>
      </c>
      <c r="B965" s="11">
        <f>'Bldgs &amp; Rooms'!$B$28</f>
        <v>0</v>
      </c>
      <c r="C965" s="10" t="str">
        <f>Hours!$A$3</f>
        <v xml:space="preserve">  Switchgear Insulated Case Breakers (Bus Mounted)</v>
      </c>
      <c r="D965" s="11">
        <f t="shared" si="30"/>
        <v>0</v>
      </c>
      <c r="E965" s="16">
        <f>IF('Components Yr 1'!E965=0,0,'Components Yr 1'!E965)</f>
        <v>0</v>
      </c>
      <c r="F965" s="17">
        <f>IF('Components Yr 1'!F965=0,0,'Components Yr 1'!F965)</f>
        <v>0</v>
      </c>
      <c r="G965" s="17">
        <f>IF('Components Yr 1'!G965=0,0,'Components Yr 1'!G965)</f>
        <v>0</v>
      </c>
      <c r="H965" s="17">
        <f>IF('Components Yr 1'!H965=0,0,'Components Yr 1'!H965)</f>
        <v>0</v>
      </c>
      <c r="I965" s="17">
        <f>IF('Components Yr 1'!I965=0,0,'Components Yr 1'!I965)</f>
        <v>0</v>
      </c>
      <c r="J965" s="17">
        <f>IF('Components Yr 1'!J965=0,0,'Components Yr 1'!J965)</f>
        <v>0</v>
      </c>
      <c r="K965" s="17">
        <f>IF('Components Yr 1'!K965=0,0,'Components Yr 1'!K965)</f>
        <v>0</v>
      </c>
      <c r="L965" s="12"/>
      <c r="M965" s="12"/>
      <c r="N965" s="12"/>
      <c r="O965" s="12"/>
      <c r="P965" s="12"/>
      <c r="Q965" s="17"/>
      <c r="R965" s="18">
        <f>IF(SUMPRODUCT((E965:Q965)*1)=0,0,E965*INDEX(Hours!M:M,MATCH(C965,Hours!$A:$A,0))+F965*INDEX(Hours!B:B,MATCH(C965,Hours!$A:$A,0))+G965*INDEX(Hours!C:C,MATCH(C965,Hours!$A:$A,0))+H965*INDEX(Hours!D:D,MATCH(C965,Hours!$A:$A,0))+I965*INDEX(Hours!E:E,MATCH(C965,Hours!$A:$A,0))+J965*INDEX(Hours!F:F,MATCH(C965,Hours!$A:$A,0))+K965*INDEX(Hours!G:G,MATCH(C965,Hours!$A:$A,0)))</f>
        <v>0</v>
      </c>
      <c r="S965" s="19">
        <f t="shared" si="31"/>
        <v>0</v>
      </c>
    </row>
    <row r="966" spans="1:19" x14ac:dyDescent="0.25">
      <c r="A966" s="11" t="str">
        <f>'Bldgs &amp; Rooms'!$A$28</f>
        <v>Main Bldg.</v>
      </c>
      <c r="B966" s="11">
        <f>'Bldgs &amp; Rooms'!$B$28</f>
        <v>0</v>
      </c>
      <c r="C966" s="10" t="str">
        <f>Hours!$A$4</f>
        <v xml:space="preserve">  SwitchGear Drawout Breakers</v>
      </c>
      <c r="D966" s="11">
        <f t="shared" si="30"/>
        <v>0</v>
      </c>
      <c r="E966" s="16">
        <f>IF('Components Yr 1'!E966=0,0,'Components Yr 1'!E966)</f>
        <v>0</v>
      </c>
      <c r="F966" s="17">
        <f>IF('Components Yr 1'!F966=0,0,'Components Yr 1'!F966)</f>
        <v>0</v>
      </c>
      <c r="G966" s="17">
        <f>IF('Components Yr 1'!G966=0,0,'Components Yr 1'!G966)</f>
        <v>0</v>
      </c>
      <c r="H966" s="17">
        <f>IF('Components Yr 1'!H966=0,0,'Components Yr 1'!H966)</f>
        <v>0</v>
      </c>
      <c r="I966" s="17">
        <f>IF('Components Yr 1'!I966=0,0,'Components Yr 1'!I966)</f>
        <v>0</v>
      </c>
      <c r="J966" s="17">
        <f>IF('Components Yr 1'!J966=0,0,'Components Yr 1'!J966)</f>
        <v>0</v>
      </c>
      <c r="K966" s="12"/>
      <c r="L966" s="17">
        <f>IF('Components Yr 1'!L966=0,0,'Components Yr 1'!L966)</f>
        <v>0</v>
      </c>
      <c r="M966" s="12"/>
      <c r="N966" s="12"/>
      <c r="O966" s="12"/>
      <c r="P966" s="12"/>
      <c r="Q966" s="17"/>
      <c r="R966" s="18">
        <f>IF(SUMPRODUCT((E966:Q966)*1)=0,0,E966*INDEX(Hours!M:M,MATCH(C966,Hours!$A:$A,0))+F966*INDEX(Hours!B:B,MATCH(C966,Hours!$A:$A,0))+G966*INDEX(Hours!C:C,MATCH(C966,Hours!$A:$A,0))+H966*INDEX(Hours!D:D,MATCH(C966,Hours!$A:$A,0))+I966*INDEX(Hours!E:E,MATCH(C966,Hours!$A:$A,0))+J966*INDEX(Hours!F:F,MATCH(C966,Hours!$A:$A,0))+L966*INDEX(Hours!H:H,MATCH(C966,Hours!$A:$A,0)))</f>
        <v>0</v>
      </c>
      <c r="S966" s="19">
        <f t="shared" si="31"/>
        <v>0</v>
      </c>
    </row>
    <row r="967" spans="1:19" x14ac:dyDescent="0.25">
      <c r="A967" s="11" t="str">
        <f>'Bldgs &amp; Rooms'!$A$28</f>
        <v>Main Bldg.</v>
      </c>
      <c r="B967" s="11">
        <f>'Bldgs &amp; Rooms'!$B$28</f>
        <v>0</v>
      </c>
      <c r="C967" s="10" t="str">
        <f>Hours!$A$5</f>
        <v>Distribution Switchboard Multi Cover (Per Section)</v>
      </c>
      <c r="D967" s="11">
        <f t="shared" si="30"/>
        <v>0</v>
      </c>
      <c r="E967" s="16">
        <f>IF('Components Yr 1'!E967=0,0,'Components Yr 1'!E967)</f>
        <v>0</v>
      </c>
      <c r="F967" s="17">
        <f>IF('Components Yr 1'!F967=0,0,'Components Yr 1'!F967)</f>
        <v>0</v>
      </c>
      <c r="G967" s="17">
        <f>IF('Components Yr 1'!G967=0,0,'Components Yr 1'!G967)</f>
        <v>0</v>
      </c>
      <c r="H967" s="17">
        <f>IF('Components Yr 1'!H967=0,0,'Components Yr 1'!H967)</f>
        <v>0</v>
      </c>
      <c r="I967" s="17">
        <f>IF('Components Yr 1'!I967=0,0,'Components Yr 1'!I967)</f>
        <v>0</v>
      </c>
      <c r="J967" s="17">
        <f>IF('Components Yr 1'!J967=0,0,'Components Yr 1'!J967)</f>
        <v>0</v>
      </c>
      <c r="K967" s="17">
        <f>IF('Components Yr 1'!K967=0,0,'Components Yr 1'!K967)</f>
        <v>0</v>
      </c>
      <c r="L967" s="12"/>
      <c r="M967" s="12"/>
      <c r="N967" s="12"/>
      <c r="O967" s="17">
        <f>IF('Components Yr 1'!O967=0,0,'Components Yr 1'!O967)</f>
        <v>0</v>
      </c>
      <c r="P967" s="12"/>
      <c r="Q967" s="17"/>
      <c r="R967" s="18">
        <f>IF(SUMPRODUCT((E967:Q967)*1)=0,0,E967*INDEX(Hours!M:M,MATCH(C967,Hours!$A:$A,0))+F967*INDEX(Hours!B:B,MATCH(C967,Hours!$A:$A,0))+G967*INDEX(Hours!C:C,MATCH(C967,Hours!$A:$A,0))+H967*INDEX(Hours!D:D,MATCH(C967,Hours!$A:$A,0))+I967*INDEX(Hours!E:E,MATCH(C967,Hours!$A:$A,0))+J967*INDEX(Hours!F:F,MATCH(C967,Hours!$A:$A,0))+K967*INDEX(Hours!G:G,MATCH(C967,Hours!$A:$A,0))+O967*INDEX(Hours!K:K,MATCH(C967,Hours!$A:$A,0)))</f>
        <v>0</v>
      </c>
      <c r="S967" s="19">
        <f t="shared" si="31"/>
        <v>0</v>
      </c>
    </row>
    <row r="968" spans="1:19" x14ac:dyDescent="0.25">
      <c r="A968" s="11" t="str">
        <f>'Bldgs &amp; Rooms'!$A$28</f>
        <v>Main Bldg.</v>
      </c>
      <c r="B968" s="11">
        <f>'Bldgs &amp; Rooms'!$B$28</f>
        <v>0</v>
      </c>
      <c r="C968" s="10" t="str">
        <f>Hours!$A$6</f>
        <v xml:space="preserve">  Switchboard Disconnects</v>
      </c>
      <c r="D968" s="11">
        <f t="shared" si="30"/>
        <v>0</v>
      </c>
      <c r="E968" s="16">
        <f>IF('Components Yr 1'!E968=0,0,'Components Yr 1'!E968)</f>
        <v>0</v>
      </c>
      <c r="F968" s="17">
        <f>IF('Components Yr 1'!F968=0,0,'Components Yr 1'!F968)</f>
        <v>0</v>
      </c>
      <c r="G968" s="17">
        <f>IF('Components Yr 1'!G968=0,0,'Components Yr 1'!G968)</f>
        <v>0</v>
      </c>
      <c r="H968" s="17">
        <f>IF('Components Yr 1'!H968=0,0,'Components Yr 1'!H968)</f>
        <v>0</v>
      </c>
      <c r="I968" s="17">
        <f>IF('Components Yr 1'!I968=0,0,'Components Yr 1'!I968)</f>
        <v>0</v>
      </c>
      <c r="J968" s="17">
        <f>IF('Components Yr 1'!J968=0,0,'Components Yr 1'!J968)</f>
        <v>0</v>
      </c>
      <c r="K968" s="12"/>
      <c r="L968" s="12"/>
      <c r="M968" s="12"/>
      <c r="N968" s="12"/>
      <c r="O968" s="12"/>
      <c r="P968" s="12"/>
      <c r="Q968" s="17"/>
      <c r="R968" s="18">
        <f>IF(SUMPRODUCT((E968:Q968)*1)=0,0,E968*INDEX(Hours!M:M,MATCH(C968,Hours!$A:$A,0))+F968*INDEX(Hours!B:B,MATCH(C968,Hours!$A:$A,0))+G968*INDEX(Hours!C:C,MATCH(C968,Hours!$A:$A,0))+H968*INDEX(Hours!D:D,MATCH(C968,Hours!$A:$A,0))+I968*INDEX(Hours!E:E,MATCH(C968,Hours!$A:$A,0))+J968*INDEX(Hours!F:F,MATCH(C968,Hours!$A:$A,0)))</f>
        <v>0</v>
      </c>
      <c r="S968" s="19">
        <f t="shared" si="31"/>
        <v>0</v>
      </c>
    </row>
    <row r="969" spans="1:19" x14ac:dyDescent="0.25">
      <c r="A969" s="11" t="str">
        <f>'Bldgs &amp; Rooms'!$A$28</f>
        <v>Main Bldg.</v>
      </c>
      <c r="B969" s="11">
        <f>'Bldgs &amp; Rooms'!$B$28</f>
        <v>0</v>
      </c>
      <c r="C969" s="10" t="str">
        <f>Hours!$A$7</f>
        <v xml:space="preserve">  Switchboard Molded Case Breakers</v>
      </c>
      <c r="D969" s="11">
        <f t="shared" si="30"/>
        <v>0</v>
      </c>
      <c r="E969" s="16">
        <f>IF('Components Yr 1'!E969=0,0,'Components Yr 1'!E969)</f>
        <v>0</v>
      </c>
      <c r="F969" s="17">
        <f>IF('Components Yr 1'!F969=0,0,'Components Yr 1'!F969)</f>
        <v>0</v>
      </c>
      <c r="G969" s="17">
        <f>IF('Components Yr 1'!G969=0,0,'Components Yr 1'!G969)</f>
        <v>0</v>
      </c>
      <c r="H969" s="17">
        <f>IF('Components Yr 1'!H969=0,0,'Components Yr 1'!H969)</f>
        <v>0</v>
      </c>
      <c r="I969" s="17">
        <f>IF('Components Yr 1'!I969=0,0,'Components Yr 1'!I969)</f>
        <v>0</v>
      </c>
      <c r="J969" s="17">
        <f>IF('Components Yr 1'!J969=0,0,'Components Yr 1'!J969)</f>
        <v>0</v>
      </c>
      <c r="K969" s="17">
        <f>IF('Components Yr 1'!K969=0,0,'Components Yr 1'!K969)</f>
        <v>0</v>
      </c>
      <c r="L969" s="12"/>
      <c r="M969" s="12"/>
      <c r="N969" s="12"/>
      <c r="O969" s="12"/>
      <c r="P969" s="12"/>
      <c r="Q969" s="17"/>
      <c r="R969" s="18">
        <f>IF(SUMPRODUCT((E969:Q969)*1)=0,0,E969*INDEX(Hours!M:M,MATCH(C969,Hours!$A:$A,0))+F969*INDEX(Hours!B:B,MATCH(C969,Hours!$A:$A,0))+G969*INDEX(Hours!C:C,MATCH(C969,Hours!$A:$A,0))+H969*INDEX(Hours!D:D,MATCH(C969,Hours!$A:$A,0))+I969*INDEX(Hours!E:E,MATCH(C969,Hours!$A:$A,0))+J969*INDEX(Hours!F:F,MATCH(C969,Hours!$A:$A,0))+K969*INDEX(Hours!G:G,MATCH(C969,Hours!$A:$A,0)))</f>
        <v>0</v>
      </c>
      <c r="S969" s="19">
        <f t="shared" si="31"/>
        <v>0</v>
      </c>
    </row>
    <row r="970" spans="1:19" x14ac:dyDescent="0.25">
      <c r="A970" s="11" t="str">
        <f>'Bldgs &amp; Rooms'!$A$28</f>
        <v>Main Bldg.</v>
      </c>
      <c r="B970" s="11">
        <f>'Bldgs &amp; Rooms'!$B$28</f>
        <v>0</v>
      </c>
      <c r="C970" s="10" t="str">
        <f>Hours!$A$8</f>
        <v>Panelboard-Single Cover &gt; 400A (Distribution Panel)</v>
      </c>
      <c r="D970" s="11">
        <f t="shared" si="30"/>
        <v>0</v>
      </c>
      <c r="E970" s="16">
        <f>IF('Components Yr 1'!E970=0,0,'Components Yr 1'!E970)</f>
        <v>0</v>
      </c>
      <c r="F970" s="17">
        <f>IF('Components Yr 1'!F970=0,0,'Components Yr 1'!F970)</f>
        <v>0</v>
      </c>
      <c r="G970" s="17">
        <f>IF('Components Yr 1'!G970=0,0,'Components Yr 1'!G970)</f>
        <v>0</v>
      </c>
      <c r="H970" s="17">
        <f>IF('Components Yr 1'!H970=0,0,'Components Yr 1'!H970)</f>
        <v>0</v>
      </c>
      <c r="I970" s="17">
        <f>IF('Components Yr 1'!I970=0,0,'Components Yr 1'!I970)</f>
        <v>0</v>
      </c>
      <c r="J970" s="17">
        <f>IF('Components Yr 1'!J970=0,0,'Components Yr 1'!J970)</f>
        <v>0</v>
      </c>
      <c r="K970" s="17">
        <f>IF('Components Yr 1'!K970=0,0,'Components Yr 1'!K970)</f>
        <v>0</v>
      </c>
      <c r="L970" s="12"/>
      <c r="M970" s="12"/>
      <c r="N970" s="12"/>
      <c r="O970" s="17">
        <f>IF('Components Yr 1'!O970=0,0,'Components Yr 1'!O970)</f>
        <v>0</v>
      </c>
      <c r="P970" s="12"/>
      <c r="Q970" s="17"/>
      <c r="R970" s="18">
        <f>IF(SUMPRODUCT((E970:Q970)*1)=0,0,E970*INDEX(Hours!M:M,MATCH(C970,Hours!$A:$A,0))+F970*INDEX(Hours!B:B,MATCH(C970,Hours!$A:$A,0))+G970*INDEX(Hours!C:C,MATCH(C970,Hours!$A:$A,0))+H970*INDEX(Hours!D:D,MATCH(C970,Hours!$A:$A,0))+I970*INDEX(Hours!E:E,MATCH(C970,Hours!$A:$A,0))+J970*INDEX(Hours!F:F,MATCH(C970,Hours!$A:$A,0))+K970*INDEX(Hours!G:G,MATCH(C970,Hours!$A:$A,0))+O970*INDEX(Hours!K:K,MATCH(C970,Hours!$A:$A,0)))</f>
        <v>0</v>
      </c>
      <c r="S970" s="19">
        <f t="shared" si="31"/>
        <v>0</v>
      </c>
    </row>
    <row r="971" spans="1:19" x14ac:dyDescent="0.25">
      <c r="A971" s="11" t="str">
        <f>'Bldgs &amp; Rooms'!$A$28</f>
        <v>Main Bldg.</v>
      </c>
      <c r="B971" s="11">
        <f>'Bldgs &amp; Rooms'!$B$28</f>
        <v>0</v>
      </c>
      <c r="C971" s="10" t="str">
        <f>Hours!$A$9</f>
        <v>Panelboard-Single Cover &lt; 400A (Branch Ckt Panel)</v>
      </c>
      <c r="D971" s="11">
        <f t="shared" si="30"/>
        <v>0</v>
      </c>
      <c r="E971" s="16">
        <f>IF('Components Yr 1'!E971=0,0,'Components Yr 1'!E971)</f>
        <v>0</v>
      </c>
      <c r="F971" s="17">
        <f>IF('Components Yr 1'!F971=0,0,'Components Yr 1'!F971)</f>
        <v>0</v>
      </c>
      <c r="G971" s="17">
        <f>IF('Components Yr 1'!G971=0,0,'Components Yr 1'!G971)</f>
        <v>0</v>
      </c>
      <c r="H971" s="17">
        <f>IF('Components Yr 1'!H971=0,0,'Components Yr 1'!H971)</f>
        <v>0</v>
      </c>
      <c r="I971" s="17">
        <f>IF('Components Yr 1'!I971=0,0,'Components Yr 1'!I971)</f>
        <v>0</v>
      </c>
      <c r="J971" s="17">
        <f>IF('Components Yr 1'!J971=0,0,'Components Yr 1'!J971)</f>
        <v>0</v>
      </c>
      <c r="K971" s="12"/>
      <c r="L971" s="12"/>
      <c r="M971" s="12"/>
      <c r="N971" s="12"/>
      <c r="O971" s="17">
        <f>IF('Components Yr 1'!O971=0,0,'Components Yr 1'!O971)</f>
        <v>0</v>
      </c>
      <c r="P971" s="12"/>
      <c r="Q971" s="17"/>
      <c r="R971" s="18">
        <f>IF(SUMPRODUCT((E971:Q971)*1)=0,0,E971*INDEX(Hours!M:M,MATCH(C971,Hours!$A:$A,0))+F971*INDEX(Hours!B:B,MATCH(C971,Hours!$A:$A,0))+G971*INDEX(Hours!C:C,MATCH(C971,Hours!$A:$A,0))+H971*INDEX(Hours!D:D,MATCH(C971,Hours!$A:$A,0))+I971*INDEX(Hours!E:E,MATCH(C971,Hours!$A:$A,0))+J971*INDEX(Hours!F:F,MATCH(C971,Hours!$A:$A,0))+O971*INDEX(Hours!K:K,MATCH(C971,Hours!$A:$A,0)))</f>
        <v>0</v>
      </c>
      <c r="S971" s="19">
        <f t="shared" si="31"/>
        <v>0</v>
      </c>
    </row>
    <row r="972" spans="1:19" x14ac:dyDescent="0.25">
      <c r="A972" s="11" t="str">
        <f>'Bldgs &amp; Rooms'!$A$28</f>
        <v>Main Bldg.</v>
      </c>
      <c r="B972" s="11">
        <f>'Bldgs &amp; Rooms'!$B$28</f>
        <v>0</v>
      </c>
      <c r="C972" s="10" t="str">
        <f>Hours!$A$10</f>
        <v>Motor Control Center (MCC-Per Vertical Section)</v>
      </c>
      <c r="D972" s="11">
        <f t="shared" si="30"/>
        <v>0</v>
      </c>
      <c r="E972" s="16">
        <f>IF('Components Yr 1'!E972=0,0,'Components Yr 1'!E972)</f>
        <v>0</v>
      </c>
      <c r="F972" s="17">
        <f>IF('Components Yr 1'!F972=0,0,'Components Yr 1'!F972)</f>
        <v>0</v>
      </c>
      <c r="G972" s="17">
        <f>IF('Components Yr 1'!G972=0,0,'Components Yr 1'!G972)</f>
        <v>0</v>
      </c>
      <c r="H972" s="17">
        <f>IF('Components Yr 1'!H972=0,0,'Components Yr 1'!H972)</f>
        <v>0</v>
      </c>
      <c r="I972" s="17">
        <f>IF('Components Yr 1'!I972=0,0,'Components Yr 1'!I972)</f>
        <v>0</v>
      </c>
      <c r="J972" s="17">
        <f>IF('Components Yr 1'!J972=0,0,'Components Yr 1'!J972)</f>
        <v>0</v>
      </c>
      <c r="K972" s="12"/>
      <c r="L972" s="12"/>
      <c r="M972" s="12"/>
      <c r="N972" s="12"/>
      <c r="O972" s="17">
        <f>IF('Components Yr 1'!O972=0,0,'Components Yr 1'!O972)</f>
        <v>0</v>
      </c>
      <c r="P972" s="12"/>
      <c r="Q972" s="17"/>
      <c r="R972" s="18">
        <f>IF(SUMPRODUCT((E972:Q972)*1)=0,0,E972*INDEX(Hours!M:M,MATCH(C972,Hours!$A:$A,0))+F972*INDEX(Hours!B:B,MATCH(C972,Hours!$A:$A,0))+G972*INDEX(Hours!C:C,MATCH(C972,Hours!$A:$A,0))+H972*INDEX(Hours!D:D,MATCH(C972,Hours!$A:$A,0))+I972*INDEX(Hours!E:E,MATCH(C972,Hours!$A:$A,0))+J972*INDEX(Hours!F:F,MATCH(C972,Hours!$A:$A,0))+O972*INDEX(Hours!K:K,MATCH(C972,Hours!$A:$A,0)))</f>
        <v>0</v>
      </c>
      <c r="S972" s="19">
        <f t="shared" si="31"/>
        <v>0</v>
      </c>
    </row>
    <row r="973" spans="1:19" x14ac:dyDescent="0.25">
      <c r="A973" s="11" t="str">
        <f>'Bldgs &amp; Rooms'!$A$28</f>
        <v>Main Bldg.</v>
      </c>
      <c r="B973" s="11">
        <f>'Bldgs &amp; Rooms'!$B$28</f>
        <v>0</v>
      </c>
      <c r="C973" s="10" t="str">
        <f>Hours!$A$11</f>
        <v xml:space="preserve">  MCC: Combination Motor Starters</v>
      </c>
      <c r="D973" s="11">
        <f t="shared" si="30"/>
        <v>0</v>
      </c>
      <c r="E973" s="16">
        <f>IF('Components Yr 1'!E973=0,0,'Components Yr 1'!E973)</f>
        <v>0</v>
      </c>
      <c r="F973" s="17">
        <f>IF('Components Yr 1'!F973=0,0,'Components Yr 1'!F973)</f>
        <v>0</v>
      </c>
      <c r="G973" s="17">
        <f>IF('Components Yr 1'!G973=0,0,'Components Yr 1'!G973)</f>
        <v>0</v>
      </c>
      <c r="H973" s="17">
        <f>IF('Components Yr 1'!H973=0,0,'Components Yr 1'!H973)</f>
        <v>0</v>
      </c>
      <c r="I973" s="17">
        <f>IF('Components Yr 1'!I973=0,0,'Components Yr 1'!I973)</f>
        <v>0</v>
      </c>
      <c r="J973" s="17">
        <f>IF('Components Yr 1'!J973=0,0,'Components Yr 1'!J973)</f>
        <v>0</v>
      </c>
      <c r="K973" s="17">
        <f>IF('Components Yr 1'!K973=0,0,'Components Yr 1'!K973)</f>
        <v>0</v>
      </c>
      <c r="L973" s="12"/>
      <c r="M973" s="12"/>
      <c r="N973" s="12"/>
      <c r="O973" s="17">
        <f>IF('Components Yr 1'!O973=0,0,'Components Yr 1'!O973)</f>
        <v>0</v>
      </c>
      <c r="P973" s="12"/>
      <c r="Q973" s="17"/>
      <c r="R973" s="18">
        <f>IF(SUMPRODUCT((E973:Q973)*1)=0,0,E973*INDEX(Hours!M:M,MATCH(C973,Hours!$A:$A,0))+F973*INDEX(Hours!B:B,MATCH(C973,Hours!$A:$A,0))+G973*INDEX(Hours!C:C,MATCH(C973,Hours!$A:$A,0))+H973*INDEX(Hours!D:D,MATCH(C973,Hours!$A:$A,0))+I973*INDEX(Hours!E:E,MATCH(C973,Hours!$A:$A,0))+J973*INDEX(Hours!F:F,MATCH(C973,Hours!$A:$A,0))+K973*INDEX(Hours!G:G,MATCH(C973,Hours!$A:$A,0))+O973*INDEX(Hours!K:K,MATCH(C973,Hours!$A:$A,0)))</f>
        <v>0</v>
      </c>
      <c r="S973" s="19">
        <f t="shared" si="31"/>
        <v>0</v>
      </c>
    </row>
    <row r="974" spans="1:19" x14ac:dyDescent="0.25">
      <c r="A974" s="11" t="str">
        <f>'Bldgs &amp; Rooms'!$A$28</f>
        <v>Main Bldg.</v>
      </c>
      <c r="B974" s="11">
        <f>'Bldgs &amp; Rooms'!$B$28</f>
        <v>0</v>
      </c>
      <c r="C974" s="10" t="str">
        <f>Hours!$A$12</f>
        <v xml:space="preserve">  MCC: Molded Case Breaker</v>
      </c>
      <c r="D974" s="11">
        <f t="shared" si="30"/>
        <v>0</v>
      </c>
      <c r="E974" s="16">
        <f>IF('Components Yr 1'!E974=0,0,'Components Yr 1'!E974)</f>
        <v>0</v>
      </c>
      <c r="F974" s="17">
        <f>IF('Components Yr 1'!F974=0,0,'Components Yr 1'!F974)</f>
        <v>0</v>
      </c>
      <c r="G974" s="17">
        <f>IF('Components Yr 1'!G974=0,0,'Components Yr 1'!G974)</f>
        <v>0</v>
      </c>
      <c r="H974" s="17">
        <f>IF('Components Yr 1'!H974=0,0,'Components Yr 1'!H974)</f>
        <v>0</v>
      </c>
      <c r="I974" s="17">
        <f>IF('Components Yr 1'!I974=0,0,'Components Yr 1'!I974)</f>
        <v>0</v>
      </c>
      <c r="J974" s="17">
        <f>IF('Components Yr 1'!J974=0,0,'Components Yr 1'!J974)</f>
        <v>0</v>
      </c>
      <c r="K974" s="17">
        <f>IF('Components Yr 1'!K974=0,0,'Components Yr 1'!K974)</f>
        <v>0</v>
      </c>
      <c r="L974" s="12"/>
      <c r="M974" s="12"/>
      <c r="N974" s="12"/>
      <c r="O974" s="12"/>
      <c r="P974" s="12"/>
      <c r="Q974" s="17"/>
      <c r="R974" s="18">
        <f>IF(SUMPRODUCT((E974:Q974)*1)=0,0,E974*INDEX(Hours!M:M,MATCH(C974,Hours!$A:$A,0))+F974*INDEX(Hours!B:B,MATCH(C974,Hours!$A:$A,0))+G974*INDEX(Hours!C:C,MATCH(C974,Hours!$A:$A,0))+H974*INDEX(Hours!D:D,MATCH(C974,Hours!$A:$A,0))+I974*INDEX(Hours!E:E,MATCH(C974,Hours!$A:$A,0))+J974*INDEX(Hours!F:F,MATCH(C974,Hours!$A:$A,0))+K974*INDEX(Hours!G:G,MATCH(C974,Hours!$A:$A,0)))</f>
        <v>0</v>
      </c>
      <c r="S974" s="19">
        <f t="shared" si="31"/>
        <v>0</v>
      </c>
    </row>
    <row r="975" spans="1:19" x14ac:dyDescent="0.25">
      <c r="A975" s="11" t="str">
        <f>'Bldgs &amp; Rooms'!$A$28</f>
        <v>Main Bldg.</v>
      </c>
      <c r="B975" s="11">
        <f>'Bldgs &amp; Rooms'!$B$28</f>
        <v>0</v>
      </c>
      <c r="C975" s="10" t="str">
        <f>Hours!$A$13</f>
        <v xml:space="preserve">  MCC: Individual Disconnect Switch</v>
      </c>
      <c r="D975" s="11">
        <f t="shared" si="30"/>
        <v>0</v>
      </c>
      <c r="E975" s="16">
        <f>IF('Components Yr 1'!E975=0,0,'Components Yr 1'!E975)</f>
        <v>0</v>
      </c>
      <c r="F975" s="17">
        <f>IF('Components Yr 1'!F975=0,0,'Components Yr 1'!F975)</f>
        <v>0</v>
      </c>
      <c r="G975" s="17">
        <f>IF('Components Yr 1'!G975=0,0,'Components Yr 1'!G975)</f>
        <v>0</v>
      </c>
      <c r="H975" s="17">
        <f>IF('Components Yr 1'!H975=0,0,'Components Yr 1'!H975)</f>
        <v>0</v>
      </c>
      <c r="I975" s="17">
        <f>IF('Components Yr 1'!I975=0,0,'Components Yr 1'!I975)</f>
        <v>0</v>
      </c>
      <c r="J975" s="17">
        <f>IF('Components Yr 1'!J975=0,0,'Components Yr 1'!J975)</f>
        <v>0</v>
      </c>
      <c r="K975" s="12"/>
      <c r="L975" s="12"/>
      <c r="M975" s="12"/>
      <c r="N975" s="12"/>
      <c r="O975" s="12"/>
      <c r="P975" s="12"/>
      <c r="Q975" s="17"/>
      <c r="R975" s="18">
        <f>IF(SUMPRODUCT((E975:Q975)*1)=0,0,E975*INDEX(Hours!M:M,MATCH(C975,Hours!$A:$A,0))+F975*INDEX(Hours!B:B,MATCH(C975,Hours!$A:$A,0))+G975*INDEX(Hours!C:C,MATCH(C975,Hours!$A:$A,0))+H975*INDEX(Hours!D:D,MATCH(C975,Hours!$A:$A,0))+I975*INDEX(Hours!E:E,MATCH(C975,Hours!$A:$A,0))+J975*INDEX(Hours!F:F,MATCH(C975,Hours!$A:$A,0)))</f>
        <v>0</v>
      </c>
      <c r="S975" s="19">
        <f t="shared" si="31"/>
        <v>0</v>
      </c>
    </row>
    <row r="976" spans="1:19" x14ac:dyDescent="0.25">
      <c r="A976" s="11" t="str">
        <f>'Bldgs &amp; Rooms'!$A$28</f>
        <v>Main Bldg.</v>
      </c>
      <c r="B976" s="11">
        <f>'Bldgs &amp; Rooms'!$B$28</f>
        <v>0</v>
      </c>
      <c r="C976" s="10" t="str">
        <f>Hours!$A$14</f>
        <v>Motor Control Panel (MCP)</v>
      </c>
      <c r="D976" s="11">
        <f t="shared" si="30"/>
        <v>0</v>
      </c>
      <c r="E976" s="16">
        <f>IF('Components Yr 1'!E976=0,0,'Components Yr 1'!E976)</f>
        <v>0</v>
      </c>
      <c r="F976" s="17">
        <f>IF('Components Yr 1'!F976=0,0,'Components Yr 1'!F976)</f>
        <v>0</v>
      </c>
      <c r="G976" s="17">
        <f>IF('Components Yr 1'!G976=0,0,'Components Yr 1'!G976)</f>
        <v>0</v>
      </c>
      <c r="H976" s="17">
        <f>IF('Components Yr 1'!H976=0,0,'Components Yr 1'!H976)</f>
        <v>0</v>
      </c>
      <c r="I976" s="17">
        <f>IF('Components Yr 1'!I976=0,0,'Components Yr 1'!I976)</f>
        <v>0</v>
      </c>
      <c r="J976" s="17">
        <f>IF('Components Yr 1'!J976=0,0,'Components Yr 1'!J976)</f>
        <v>0</v>
      </c>
      <c r="K976" s="12"/>
      <c r="L976" s="12"/>
      <c r="M976" s="12"/>
      <c r="N976" s="12"/>
      <c r="O976" s="17">
        <f>IF('Components Yr 1'!O976=0,0,'Components Yr 1'!O976)</f>
        <v>0</v>
      </c>
      <c r="P976" s="12"/>
      <c r="Q976" s="17"/>
      <c r="R976" s="18">
        <f>IF(SUMPRODUCT((E976:Q976)*1)=0,0,E976*INDEX(Hours!M:M,MATCH(C976,Hours!$A:$A,0))+F976*INDEX(Hours!B:B,MATCH(C976,Hours!$A:$A,0))+G976*INDEX(Hours!C:C,MATCH(C976,Hours!$A:$A,0))+H976*INDEX(Hours!D:D,MATCH(C976,Hours!$A:$A,0))+I976*INDEX(Hours!E:E,MATCH(C976,Hours!$A:$A,0))+J976*INDEX(Hours!F:F,MATCH(C976,Hours!$A:$A,0))+O976*INDEX(Hours!K:K,MATCH(C976,Hours!$A:$A,0)))</f>
        <v>0</v>
      </c>
      <c r="S976" s="19">
        <f t="shared" si="31"/>
        <v>0</v>
      </c>
    </row>
    <row r="977" spans="1:19" x14ac:dyDescent="0.25">
      <c r="A977" s="11" t="str">
        <f>'Bldgs &amp; Rooms'!$A$28</f>
        <v>Main Bldg.</v>
      </c>
      <c r="B977" s="11">
        <f>'Bldgs &amp; Rooms'!$B$28</f>
        <v>0</v>
      </c>
      <c r="C977" s="10" t="str">
        <f>Hours!$A$15</f>
        <v>VFD Motor Control Panel (VFD-MCP)</v>
      </c>
      <c r="D977" s="11">
        <f t="shared" si="30"/>
        <v>0</v>
      </c>
      <c r="E977" s="16">
        <f>IF('Components Yr 1'!E977=0,0,'Components Yr 1'!E977)</f>
        <v>0</v>
      </c>
      <c r="F977" s="17">
        <f>IF('Components Yr 1'!F977=0,0,'Components Yr 1'!F977)</f>
        <v>0</v>
      </c>
      <c r="G977" s="17">
        <f>IF('Components Yr 1'!G977=0,0,'Components Yr 1'!G977)</f>
        <v>0</v>
      </c>
      <c r="H977" s="17">
        <f>IF('Components Yr 1'!H977=0,0,'Components Yr 1'!H977)</f>
        <v>0</v>
      </c>
      <c r="I977" s="17">
        <f>IF('Components Yr 1'!I977=0,0,'Components Yr 1'!I977)</f>
        <v>0</v>
      </c>
      <c r="J977" s="17">
        <f>IF('Components Yr 1'!J977=0,0,'Components Yr 1'!J977)</f>
        <v>0</v>
      </c>
      <c r="K977" s="12"/>
      <c r="L977" s="12"/>
      <c r="M977" s="12"/>
      <c r="N977" s="12"/>
      <c r="O977" s="17">
        <f>IF('Components Yr 1'!O977=0,0,'Components Yr 1'!O977)</f>
        <v>0</v>
      </c>
      <c r="P977" s="12"/>
      <c r="Q977" s="17"/>
      <c r="R977" s="18">
        <f>IF(SUMPRODUCT((E977:Q977)*1)=0,0,E977*INDEX(Hours!M:M,MATCH(C977,Hours!$A:$A,0))+F977*INDEX(Hours!B:B,MATCH(C977,Hours!$A:$A,0))+G977*INDEX(Hours!C:C,MATCH(C977,Hours!$A:$A,0))+H977*INDEX(Hours!D:D,MATCH(C977,Hours!$A:$A,0))+I977*INDEX(Hours!E:E,MATCH(C977,Hours!$A:$A,0))+J977*INDEX(Hours!F:F,MATCH(C977,Hours!$A:$A,0))+O977*INDEX(Hours!K:K,MATCH(C977,Hours!$A:$A,0)))</f>
        <v>0</v>
      </c>
      <c r="S977" s="19">
        <f t="shared" si="31"/>
        <v>0</v>
      </c>
    </row>
    <row r="978" spans="1:19" x14ac:dyDescent="0.25">
      <c r="A978" s="11" t="str">
        <f>'Bldgs &amp; Rooms'!$A$28</f>
        <v>Main Bldg.</v>
      </c>
      <c r="B978" s="11">
        <f>'Bldgs &amp; Rooms'!$B$28</f>
        <v>0</v>
      </c>
      <c r="C978" s="10" t="str">
        <f>Hours!$A$16</f>
        <v>Individual Disconnect Switch &gt; 100A</v>
      </c>
      <c r="D978" s="11">
        <f t="shared" si="30"/>
        <v>0</v>
      </c>
      <c r="E978" s="16">
        <f>IF('Components Yr 1'!E978=0,0,'Components Yr 1'!E978)</f>
        <v>0</v>
      </c>
      <c r="F978" s="17">
        <f>IF('Components Yr 1'!F978=0,0,'Components Yr 1'!F978)</f>
        <v>0</v>
      </c>
      <c r="G978" s="17">
        <f>IF('Components Yr 1'!G978=0,0,'Components Yr 1'!G978)</f>
        <v>0</v>
      </c>
      <c r="H978" s="17">
        <f>IF('Components Yr 1'!H978=0,0,'Components Yr 1'!H978)</f>
        <v>0</v>
      </c>
      <c r="I978" s="17">
        <f>IF('Components Yr 1'!I978=0,0,'Components Yr 1'!I978)</f>
        <v>0</v>
      </c>
      <c r="J978" s="17">
        <f>IF('Components Yr 1'!J978=0,0,'Components Yr 1'!J978)</f>
        <v>0</v>
      </c>
      <c r="K978" s="17">
        <f>IF('Components Yr 1'!K978=0,0,'Components Yr 1'!K978)</f>
        <v>0</v>
      </c>
      <c r="L978" s="12"/>
      <c r="M978" s="12"/>
      <c r="N978" s="12"/>
      <c r="O978" s="12"/>
      <c r="P978" s="12"/>
      <c r="Q978" s="17"/>
      <c r="R978" s="18">
        <f>IF(SUMPRODUCT((E978:Q978)*1)=0,0,E978*INDEX(Hours!M:M,MATCH(C978,Hours!$A:$A,0))+F978*INDEX(Hours!B:B,MATCH(C978,Hours!$A:$A,0))+G978*INDEX(Hours!C:C,MATCH(C978,Hours!$A:$A,0))+H978*INDEX(Hours!D:D,MATCH(C978,Hours!$A:$A,0))+I978*INDEX(Hours!E:E,MATCH(C978,Hours!$A:$A,0))+J978*INDEX(Hours!F:F,MATCH(C978,Hours!$A:$A,0))+K978*INDEX(Hours!G:G,MATCH(C978,Hours!$A:$A,0)))</f>
        <v>0</v>
      </c>
      <c r="S978" s="19">
        <f t="shared" si="31"/>
        <v>0</v>
      </c>
    </row>
    <row r="979" spans="1:19" x14ac:dyDescent="0.25">
      <c r="A979" s="11" t="str">
        <f>'Bldgs &amp; Rooms'!$A$28</f>
        <v>Main Bldg.</v>
      </c>
      <c r="B979" s="11">
        <f>'Bldgs &amp; Rooms'!$B$28</f>
        <v>0</v>
      </c>
      <c r="C979" s="10" t="str">
        <f>Hours!$A$17</f>
        <v>Individual Molded Case Breaker &gt; 100A</v>
      </c>
      <c r="D979" s="11">
        <f t="shared" si="30"/>
        <v>0</v>
      </c>
      <c r="E979" s="16">
        <f>IF('Components Yr 1'!E979=0,0,'Components Yr 1'!E979)</f>
        <v>0</v>
      </c>
      <c r="F979" s="17">
        <f>IF('Components Yr 1'!F979=0,0,'Components Yr 1'!F979)</f>
        <v>0</v>
      </c>
      <c r="G979" s="17">
        <f>IF('Components Yr 1'!G979=0,0,'Components Yr 1'!G979)</f>
        <v>0</v>
      </c>
      <c r="H979" s="17">
        <f>IF('Components Yr 1'!H979=0,0,'Components Yr 1'!H979)</f>
        <v>0</v>
      </c>
      <c r="I979" s="17">
        <f>IF('Components Yr 1'!I979=0,0,'Components Yr 1'!I979)</f>
        <v>0</v>
      </c>
      <c r="J979" s="17">
        <f>IF('Components Yr 1'!J979=0,0,'Components Yr 1'!J979)</f>
        <v>0</v>
      </c>
      <c r="K979" s="17">
        <f>IF('Components Yr 1'!K979=0,0,'Components Yr 1'!K979)</f>
        <v>0</v>
      </c>
      <c r="L979" s="12"/>
      <c r="M979" s="12"/>
      <c r="N979" s="12"/>
      <c r="O979" s="12"/>
      <c r="P979" s="12"/>
      <c r="Q979" s="17"/>
      <c r="R979" s="18">
        <f>IF(SUMPRODUCT((E979:Q979)*1)=0,0,E979*INDEX(Hours!M:M,MATCH(C979,Hours!$A:$A,0))+F979*INDEX(Hours!B:B,MATCH(C979,Hours!$A:$A,0))+G979*INDEX(Hours!C:C,MATCH(C979,Hours!$A:$A,0))+H979*INDEX(Hours!D:D,MATCH(C979,Hours!$A:$A,0))+I979*INDEX(Hours!E:E,MATCH(C979,Hours!$A:$A,0))+J979*INDEX(Hours!F:F,MATCH(C979,Hours!$A:$A,0))+K979*INDEX(Hours!G:G,MATCH(C979,Hours!$A:$A,0)))</f>
        <v>0</v>
      </c>
      <c r="S979" s="19">
        <f t="shared" si="31"/>
        <v>0</v>
      </c>
    </row>
    <row r="980" spans="1:19" x14ac:dyDescent="0.25">
      <c r="A980" s="11" t="str">
        <f>'Bldgs &amp; Rooms'!$A$28</f>
        <v>Main Bldg.</v>
      </c>
      <c r="B980" s="11">
        <f>'Bldgs &amp; Rooms'!$B$28</f>
        <v>0</v>
      </c>
      <c r="C980" s="10" t="str">
        <f>Hours!$A$18</f>
        <v>Individual Combination Motor Starter &gt; 100A</v>
      </c>
      <c r="D980" s="11">
        <f t="shared" si="30"/>
        <v>0</v>
      </c>
      <c r="E980" s="16">
        <f>IF('Components Yr 1'!E980=0,0,'Components Yr 1'!E980)</f>
        <v>0</v>
      </c>
      <c r="F980" s="17">
        <f>IF('Components Yr 1'!F980=0,0,'Components Yr 1'!F980)</f>
        <v>0</v>
      </c>
      <c r="G980" s="17">
        <f>IF('Components Yr 1'!G980=0,0,'Components Yr 1'!G980)</f>
        <v>0</v>
      </c>
      <c r="H980" s="17">
        <f>IF('Components Yr 1'!H980=0,0,'Components Yr 1'!H980)</f>
        <v>0</v>
      </c>
      <c r="I980" s="17">
        <f>IF('Components Yr 1'!I980=0,0,'Components Yr 1'!I980)</f>
        <v>0</v>
      </c>
      <c r="J980" s="17">
        <f>IF('Components Yr 1'!J980=0,0,'Components Yr 1'!J980)</f>
        <v>0</v>
      </c>
      <c r="K980" s="17">
        <f>IF('Components Yr 1'!K980=0,0,'Components Yr 1'!K980)</f>
        <v>0</v>
      </c>
      <c r="L980" s="12"/>
      <c r="M980" s="12"/>
      <c r="N980" s="12"/>
      <c r="O980" s="12"/>
      <c r="P980" s="12"/>
      <c r="Q980" s="17"/>
      <c r="R980" s="18">
        <f>IF(SUMPRODUCT((E980:Q980)*1)=0,0,E980*INDEX(Hours!M:M,MATCH(C980,Hours!$A:$A,0))+F980*INDEX(Hours!B:B,MATCH(C980,Hours!$A:$A,0))+G980*INDEX(Hours!C:C,MATCH(C980,Hours!$A:$A,0))+H980*INDEX(Hours!D:D,MATCH(C980,Hours!$A:$A,0))+I980*INDEX(Hours!E:E,MATCH(C980,Hours!$A:$A,0))+J980*INDEX(Hours!F:F,MATCH(C980,Hours!$A:$A,0))+K980*INDEX(Hours!G:G,MATCH(C980,Hours!$A:$A,0)))</f>
        <v>0</v>
      </c>
      <c r="S980" s="19">
        <f t="shared" si="31"/>
        <v>0</v>
      </c>
    </row>
    <row r="981" spans="1:19" x14ac:dyDescent="0.25">
      <c r="A981" s="11" t="str">
        <f>'Bldgs &amp; Rooms'!$A$28</f>
        <v>Main Bldg.</v>
      </c>
      <c r="B981" s="11">
        <f>'Bldgs &amp; Rooms'!$B$28</f>
        <v>0</v>
      </c>
      <c r="C981" s="10" t="str">
        <f>Hours!$A$19</f>
        <v>Oil Filled Transformer - 5kV-15kV Primary - Any Size (Pad Mounted)</v>
      </c>
      <c r="D981" s="11">
        <f t="shared" si="30"/>
        <v>0</v>
      </c>
      <c r="E981" s="16">
        <f>IF('Components Yr 1'!E981=0,0,'Components Yr 1'!E981)</f>
        <v>0</v>
      </c>
      <c r="F981" s="17">
        <f>IF('Components Yr 1'!F981=0,0,'Components Yr 1'!F981)</f>
        <v>0</v>
      </c>
      <c r="G981" s="17">
        <f>IF('Components Yr 1'!G981=0,0,'Components Yr 1'!G981)</f>
        <v>0</v>
      </c>
      <c r="H981" s="17">
        <f>IF('Components Yr 1'!H981=0,0,'Components Yr 1'!H981)</f>
        <v>0</v>
      </c>
      <c r="I981" s="17">
        <f>IF('Components Yr 1'!I981=0,0,'Components Yr 1'!I981)</f>
        <v>0</v>
      </c>
      <c r="J981" s="17">
        <f>IF('Components Yr 1'!J981=0,0,'Components Yr 1'!J981)</f>
        <v>0</v>
      </c>
      <c r="K981" s="12"/>
      <c r="L981" s="12"/>
      <c r="M981" s="17">
        <f>IF('Components Yr 1'!M981=0,0,'Components Yr 1'!M981)</f>
        <v>0</v>
      </c>
      <c r="N981" s="17">
        <f>IF('Components Yr 1'!N981=0,0,'Components Yr 1'!N981)</f>
        <v>0</v>
      </c>
      <c r="O981" s="12"/>
      <c r="P981" s="17">
        <f>IF('Components Yr 1'!P981=0,0,'Components Yr 1'!P981)</f>
        <v>0</v>
      </c>
      <c r="Q981" s="17"/>
      <c r="R981" s="18">
        <f>IF(SUMPRODUCT((E981:Q981)*1)=0,0,E981*INDEX(Hours!M:M,MATCH(C981,Hours!$A:$A,0))+F981*INDEX(Hours!B:B,MATCH(C981,Hours!$A:$A,0))+G981*INDEX(Hours!C:C,MATCH(C981,Hours!$A:$A,0))+H981*INDEX(Hours!D:D,MATCH(C981,Hours!$A:$A,0))+I981*INDEX(Hours!E:E,MATCH(C981,Hours!$A:$A,0))+J981*INDEX(Hours!F:F,MATCH(C981,Hours!$A:$A,0))+M981*INDEX(Hours!I:I,MATCH(C981,Hours!$A:$A,0))+N981*INDEX(Hours!J:J,MATCH(C981,Hours!$A:$A,0))+P981*INDEX(Hours!L:L,MATCH(C981,Hours!$A:$A,0)))</f>
        <v>0</v>
      </c>
      <c r="S981" s="19">
        <f t="shared" si="31"/>
        <v>0</v>
      </c>
    </row>
    <row r="982" spans="1:19" x14ac:dyDescent="0.25">
      <c r="A982" s="11" t="str">
        <f>'Bldgs &amp; Rooms'!$A$28</f>
        <v>Main Bldg.</v>
      </c>
      <c r="B982" s="11">
        <f>'Bldgs &amp; Rooms'!$B$28</f>
        <v>0</v>
      </c>
      <c r="C982" s="10" t="str">
        <f>Hours!$A$20</f>
        <v>Oil Filled Transformer - &gt; 15kV Primary (Substation Class)</v>
      </c>
      <c r="D982" s="11">
        <f t="shared" si="30"/>
        <v>0</v>
      </c>
      <c r="E982" s="16">
        <f>IF('Components Yr 1'!E982=0,0,'Components Yr 1'!E982)</f>
        <v>0</v>
      </c>
      <c r="F982" s="17">
        <f>IF('Components Yr 1'!F982=0,0,'Components Yr 1'!F982)</f>
        <v>0</v>
      </c>
      <c r="G982" s="17">
        <f>IF('Components Yr 1'!G982=0,0,'Components Yr 1'!G982)</f>
        <v>0</v>
      </c>
      <c r="H982" s="17">
        <f>IF('Components Yr 1'!H982=0,0,'Components Yr 1'!H982)</f>
        <v>0</v>
      </c>
      <c r="I982" s="17">
        <f>IF('Components Yr 1'!I982=0,0,'Components Yr 1'!I982)</f>
        <v>0</v>
      </c>
      <c r="J982" s="17">
        <f>IF('Components Yr 1'!J982=0,0,'Components Yr 1'!J982)</f>
        <v>0</v>
      </c>
      <c r="K982" s="12"/>
      <c r="L982" s="12"/>
      <c r="M982" s="17">
        <f>IF('Components Yr 1'!M982=0,0,'Components Yr 1'!M982)</f>
        <v>0</v>
      </c>
      <c r="N982" s="17">
        <f>IF('Components Yr 1'!N982=0,0,'Components Yr 1'!N982)</f>
        <v>0</v>
      </c>
      <c r="O982" s="12"/>
      <c r="P982" s="17">
        <f>IF('Components Yr 1'!P982=0,0,'Components Yr 1'!P982)</f>
        <v>0</v>
      </c>
      <c r="Q982" s="17"/>
      <c r="R982" s="18">
        <f>IF(SUMPRODUCT((E982:Q982)*1)=0,0,E982*INDEX(Hours!M:M,MATCH(C982,Hours!$A:$A,0))+F982*INDEX(Hours!B:B,MATCH(C982,Hours!$A:$A,0))+G982*INDEX(Hours!C:C,MATCH(C982,Hours!$A:$A,0))+H982*INDEX(Hours!D:D,MATCH(C982,Hours!$A:$A,0))+I982*INDEX(Hours!E:E,MATCH(C982,Hours!$A:$A,0))+J982*INDEX(Hours!F:F,MATCH(C982,Hours!$A:$A,0))+M982*INDEX(Hours!I:I,MATCH(C982,Hours!$A:$A,0))+N982*INDEX(Hours!J:J,MATCH(C982,Hours!$A:$A,0))+P982*INDEX(Hours!L:L,MATCH(C982,Hours!$A:$A,0)))</f>
        <v>0</v>
      </c>
      <c r="S982" s="19">
        <f t="shared" si="31"/>
        <v>0</v>
      </c>
    </row>
    <row r="983" spans="1:19" x14ac:dyDescent="0.25">
      <c r="A983" s="11" t="str">
        <f>'Bldgs &amp; Rooms'!$A$28</f>
        <v>Main Bldg.</v>
      </c>
      <c r="B983" s="11">
        <f>'Bldgs &amp; Rooms'!$B$28</f>
        <v>0</v>
      </c>
      <c r="C983" s="10" t="str">
        <f>Hours!$A$21</f>
        <v>Dry Type Transformer - &lt; 480V Primary - Any Size kVA</v>
      </c>
      <c r="D983" s="11">
        <f t="shared" si="30"/>
        <v>0</v>
      </c>
      <c r="E983" s="16">
        <f>IF('Components Yr 1'!E983=0,0,'Components Yr 1'!E983)</f>
        <v>0</v>
      </c>
      <c r="F983" s="17">
        <f>IF('Components Yr 1'!F983=0,0,'Components Yr 1'!F983)</f>
        <v>0</v>
      </c>
      <c r="G983" s="17">
        <f>IF('Components Yr 1'!G983=0,0,'Components Yr 1'!G983)</f>
        <v>0</v>
      </c>
      <c r="H983" s="17">
        <f>IF('Components Yr 1'!H983=0,0,'Components Yr 1'!H983)</f>
        <v>0</v>
      </c>
      <c r="I983" s="17">
        <f>IF('Components Yr 1'!I983=0,0,'Components Yr 1'!I983)</f>
        <v>0</v>
      </c>
      <c r="J983" s="17">
        <f>IF('Components Yr 1'!J983=0,0,'Components Yr 1'!J983)</f>
        <v>0</v>
      </c>
      <c r="K983" s="12"/>
      <c r="L983" s="12"/>
      <c r="M983" s="17">
        <f>IF('Components Yr 1'!M983=0,0,'Components Yr 1'!M983)</f>
        <v>0</v>
      </c>
      <c r="N983" s="17">
        <f>IF('Components Yr 1'!N983=0,0,'Components Yr 1'!N983)</f>
        <v>0</v>
      </c>
      <c r="O983" s="12"/>
      <c r="P983" s="12"/>
      <c r="Q983" s="17"/>
      <c r="R983" s="18">
        <f>IF(SUMPRODUCT((E983:Q983)*1)=0,0,E983*INDEX(Hours!M:M,MATCH(C983,Hours!$A:$A,0))+F983*INDEX(Hours!B:B,MATCH(C983,Hours!$A:$A,0))+G983*INDEX(Hours!C:C,MATCH(C983,Hours!$A:$A,0))+H983*INDEX(Hours!D:D,MATCH(C983,Hours!$A:$A,0))+I983*INDEX(Hours!E:E,MATCH(C983,Hours!$A:$A,0))+J983*INDEX(Hours!F:F,MATCH(C983,Hours!$A:$A,0))+M983*INDEX(Hours!I:I,MATCH(C983,Hours!$A:$A,0))+N983*INDEX(Hours!J:J,MATCH(C983,Hours!$A:$A,0)))</f>
        <v>0</v>
      </c>
      <c r="S983" s="19">
        <f t="shared" si="31"/>
        <v>0</v>
      </c>
    </row>
    <row r="984" spans="1:19" x14ac:dyDescent="0.25">
      <c r="A984" s="11" t="str">
        <f>'Bldgs &amp; Rooms'!$A$28</f>
        <v>Main Bldg.</v>
      </c>
      <c r="B984" s="11">
        <f>'Bldgs &amp; Rooms'!$B$28</f>
        <v>0</v>
      </c>
      <c r="C984" s="10" t="str">
        <f>Hours!$A$22</f>
        <v>Power Factor Correction Capacitors</v>
      </c>
      <c r="D984" s="11">
        <f t="shared" si="30"/>
        <v>0</v>
      </c>
      <c r="E984" s="16">
        <f>IF('Components Yr 1'!E984=0,0,'Components Yr 1'!E984)</f>
        <v>0</v>
      </c>
      <c r="F984" s="17">
        <f>IF('Components Yr 1'!F984=0,0,'Components Yr 1'!F984)</f>
        <v>0</v>
      </c>
      <c r="G984" s="17">
        <f>IF('Components Yr 1'!G984=0,0,'Components Yr 1'!G984)</f>
        <v>0</v>
      </c>
      <c r="H984" s="17">
        <f>IF('Components Yr 1'!H984=0,0,'Components Yr 1'!H984)</f>
        <v>0</v>
      </c>
      <c r="I984" s="17">
        <f>IF('Components Yr 1'!I984=0,0,'Components Yr 1'!I984)</f>
        <v>0</v>
      </c>
      <c r="J984" s="17">
        <f>IF('Components Yr 1'!J984=0,0,'Components Yr 1'!J984)</f>
        <v>0</v>
      </c>
      <c r="K984" s="12"/>
      <c r="L984" s="12"/>
      <c r="M984" s="12"/>
      <c r="N984" s="12"/>
      <c r="O984" s="12"/>
      <c r="P984" s="12"/>
      <c r="Q984" s="17"/>
      <c r="R984" s="18">
        <f>IF(SUMPRODUCT((E984:Q984)*1)=0,0,E984*INDEX(Hours!M:M,MATCH(C984,Hours!$A:$A,0))+F984*INDEX(Hours!B:B,MATCH(C984,Hours!$A:$A,0))+G984*INDEX(Hours!C:C,MATCH(C984,Hours!$A:$A,0))+H984*INDEX(Hours!D:D,MATCH(C984,Hours!$A:$A,0))+I984*INDEX(Hours!E:E,MATCH(C984,Hours!$A:$A,0))+J984*INDEX(Hours!F:F,MATCH(C984,Hours!$A:$A,0)))</f>
        <v>0</v>
      </c>
      <c r="S984" s="19">
        <f t="shared" si="31"/>
        <v>0</v>
      </c>
    </row>
    <row r="985" spans="1:19" x14ac:dyDescent="0.25">
      <c r="A985" s="11" t="str">
        <f>'Bldgs &amp; Rooms'!$A$28</f>
        <v>Main Bldg.</v>
      </c>
      <c r="B985" s="11">
        <f>'Bldgs &amp; Rooms'!$B$28</f>
        <v>0</v>
      </c>
      <c r="C985" s="10" t="str">
        <f>Hours!$A$23</f>
        <v>Lighting Contactor &gt; 100A</v>
      </c>
      <c r="D985" s="11">
        <f t="shared" si="30"/>
        <v>0</v>
      </c>
      <c r="E985" s="16">
        <f>IF('Components Yr 1'!E985=0,0,'Components Yr 1'!E985)</f>
        <v>0</v>
      </c>
      <c r="F985" s="17">
        <f>IF('Components Yr 1'!F985=0,0,'Components Yr 1'!F985)</f>
        <v>0</v>
      </c>
      <c r="G985" s="17">
        <f>IF('Components Yr 1'!G985=0,0,'Components Yr 1'!G985)</f>
        <v>0</v>
      </c>
      <c r="H985" s="17">
        <f>IF('Components Yr 1'!H985=0,0,'Components Yr 1'!H985)</f>
        <v>0</v>
      </c>
      <c r="I985" s="17">
        <f>IF('Components Yr 1'!I985=0,0,'Components Yr 1'!I985)</f>
        <v>0</v>
      </c>
      <c r="J985" s="17">
        <f>IF('Components Yr 1'!J985=0,0,'Components Yr 1'!J985)</f>
        <v>0</v>
      </c>
      <c r="K985" s="12"/>
      <c r="L985" s="12"/>
      <c r="M985" s="12"/>
      <c r="N985" s="12"/>
      <c r="O985" s="12"/>
      <c r="P985" s="12"/>
      <c r="Q985" s="17"/>
      <c r="R985" s="18">
        <f>IF(SUMPRODUCT((E985:Q985)*1)=0,0,E985*INDEX(Hours!M:M,MATCH(C985,Hours!$A:$A,0))+F985*INDEX(Hours!B:B,MATCH(C985,Hours!$A:$A,0))+G985*INDEX(Hours!C:C,MATCH(C985,Hours!$A:$A,0))+H985*INDEX(Hours!D:D,MATCH(C985,Hours!$A:$A,0))+I985*INDEX(Hours!E:E,MATCH(C985,Hours!$A:$A,0))+J985*INDEX(Hours!F:F,MATCH(C985,Hours!$A:$A,0)))</f>
        <v>0</v>
      </c>
      <c r="S985" s="19">
        <f t="shared" si="31"/>
        <v>0</v>
      </c>
    </row>
    <row r="986" spans="1:19" x14ac:dyDescent="0.25">
      <c r="A986" s="11" t="str">
        <f>'Bldgs &amp; Rooms'!$A$28</f>
        <v>Main Bldg.</v>
      </c>
      <c r="B986" s="11">
        <f>'Bldgs &amp; Rooms'!$B$28</f>
        <v>0</v>
      </c>
      <c r="C986" s="10" t="str">
        <f>Hours!$A$24</f>
        <v>Power Distribution Unit (PDU)</v>
      </c>
      <c r="D986" s="11">
        <f t="shared" si="30"/>
        <v>0</v>
      </c>
      <c r="E986" s="16">
        <f>IF('Components Yr 1'!E986=0,0,'Components Yr 1'!E986)</f>
        <v>0</v>
      </c>
      <c r="F986" s="17">
        <f>IF('Components Yr 1'!F986=0,0,'Components Yr 1'!F986)</f>
        <v>0</v>
      </c>
      <c r="G986" s="17">
        <f>IF('Components Yr 1'!G986=0,0,'Components Yr 1'!G986)</f>
        <v>0</v>
      </c>
      <c r="H986" s="17">
        <f>IF('Components Yr 1'!H986=0,0,'Components Yr 1'!H986)</f>
        <v>0</v>
      </c>
      <c r="I986" s="17">
        <f>IF('Components Yr 1'!I986=0,0,'Components Yr 1'!I986)</f>
        <v>0</v>
      </c>
      <c r="J986" s="17">
        <f>IF('Components Yr 1'!J986=0,0,'Components Yr 1'!J986)</f>
        <v>0</v>
      </c>
      <c r="K986" s="12"/>
      <c r="L986" s="12"/>
      <c r="M986" s="12"/>
      <c r="N986" s="12"/>
      <c r="O986" s="12"/>
      <c r="P986" s="12"/>
      <c r="Q986" s="17"/>
      <c r="R986" s="18">
        <f>IF(SUMPRODUCT((E986:Q986)*1)=0,0,E986*INDEX(Hours!M:M,MATCH(C986,Hours!$A:$A,0))+F986*INDEX(Hours!B:B,MATCH(C986,Hours!$A:$A,0))+G986*INDEX(Hours!C:C,MATCH(C986,Hours!$A:$A,0))+H986*INDEX(Hours!D:D,MATCH(C986,Hours!$A:$A,0))+I986*INDEX(Hours!E:E,MATCH(C986,Hours!$A:$A,0))+J986*INDEX(Hours!F:F,MATCH(C986,Hours!$A:$A,0)))</f>
        <v>0</v>
      </c>
      <c r="S986" s="19">
        <f t="shared" si="31"/>
        <v>0</v>
      </c>
    </row>
    <row r="987" spans="1:19" x14ac:dyDescent="0.25">
      <c r="A987" s="11" t="str">
        <f>'Bldgs &amp; Rooms'!$A$28</f>
        <v>Main Bldg.</v>
      </c>
      <c r="B987" s="11">
        <f>'Bldgs &amp; Rooms'!$B$28</f>
        <v>0</v>
      </c>
      <c r="C987" s="10" t="str">
        <f>Hours!$A$25</f>
        <v>Wire Trough, Gutter, or Large Junction Boxes</v>
      </c>
      <c r="D987" s="11">
        <f t="shared" si="30"/>
        <v>0</v>
      </c>
      <c r="E987" s="16">
        <f>IF('Components Yr 1'!E987=0,0,'Components Yr 1'!E987)</f>
        <v>0</v>
      </c>
      <c r="F987" s="17">
        <f>IF('Components Yr 1'!F987=0,0,'Components Yr 1'!F987)</f>
        <v>0</v>
      </c>
      <c r="G987" s="17">
        <f>IF('Components Yr 1'!G987=0,0,'Components Yr 1'!G987)</f>
        <v>0</v>
      </c>
      <c r="H987" s="17">
        <f>IF('Components Yr 1'!H987=0,0,'Components Yr 1'!H987)</f>
        <v>0</v>
      </c>
      <c r="I987" s="17">
        <f>IF('Components Yr 1'!I987=0,0,'Components Yr 1'!I987)</f>
        <v>0</v>
      </c>
      <c r="J987" s="17">
        <f>IF('Components Yr 1'!J987=0,0,'Components Yr 1'!J987)</f>
        <v>0</v>
      </c>
      <c r="K987" s="12"/>
      <c r="L987" s="12"/>
      <c r="M987" s="12"/>
      <c r="N987" s="12"/>
      <c r="O987" s="12"/>
      <c r="P987" s="12"/>
      <c r="Q987" s="17"/>
      <c r="R987" s="18">
        <f>IF(SUMPRODUCT((E987:Q987)*1)=0,0,E987*INDEX(Hours!M:M,MATCH(C987,Hours!$A:$A,0))+F987*INDEX(Hours!B:B,MATCH(C987,Hours!$A:$A,0))+G987*INDEX(Hours!C:C,MATCH(C987,Hours!$A:$A,0))+H987*INDEX(Hours!D:D,MATCH(C987,Hours!$A:$A,0))+I987*INDEX(Hours!E:E,MATCH(C987,Hours!$A:$A,0))+J987*INDEX(Hours!F:F,MATCH(C987,Hours!$A:$A,0)))</f>
        <v>0</v>
      </c>
      <c r="S987" s="19">
        <f t="shared" si="31"/>
        <v>0</v>
      </c>
    </row>
    <row r="988" spans="1:19" x14ac:dyDescent="0.25">
      <c r="A988" s="11" t="str">
        <f>'Bldgs &amp; Rooms'!$A$28</f>
        <v>Main Bldg.</v>
      </c>
      <c r="B988" s="11">
        <f>'Bldgs &amp; Rooms'!$B$28</f>
        <v>0</v>
      </c>
      <c r="C988" s="10" t="str">
        <f>Hours!$A$26</f>
        <v>Bus Duct - Vertical or Horizontal (Per 10' section)</v>
      </c>
      <c r="D988" s="11">
        <f t="shared" si="30"/>
        <v>0</v>
      </c>
      <c r="E988" s="16">
        <f>IF('Components Yr 1'!E988=0,0,'Components Yr 1'!E988)</f>
        <v>0</v>
      </c>
      <c r="F988" s="17">
        <f>IF('Components Yr 1'!F988=0,0,'Components Yr 1'!F988)</f>
        <v>0</v>
      </c>
      <c r="G988" s="17">
        <f>IF('Components Yr 1'!G988=0,0,'Components Yr 1'!G988)</f>
        <v>0</v>
      </c>
      <c r="H988" s="17">
        <f>IF('Components Yr 1'!H988=0,0,'Components Yr 1'!H988)</f>
        <v>0</v>
      </c>
      <c r="I988" s="17">
        <f>IF('Components Yr 1'!I988=0,0,'Components Yr 1'!I988)</f>
        <v>0</v>
      </c>
      <c r="J988" s="17">
        <f>IF('Components Yr 1'!J988=0,0,'Components Yr 1'!J988)</f>
        <v>0</v>
      </c>
      <c r="K988" s="12"/>
      <c r="L988" s="12"/>
      <c r="M988" s="12"/>
      <c r="N988" s="12"/>
      <c r="O988" s="12"/>
      <c r="P988" s="12"/>
      <c r="Q988" s="17"/>
      <c r="R988" s="18">
        <f>IF(SUMPRODUCT((E988:Q988)*1)=0,0,E988*INDEX(Hours!M:M,MATCH(C988,Hours!$A:$A,0))+F988*INDEX(Hours!B:B,MATCH(C988,Hours!$A:$A,0))+G988*INDEX(Hours!C:C,MATCH(C988,Hours!$A:$A,0))+H988*INDEX(Hours!D:D,MATCH(C988,Hours!$A:$A,0))+I988*INDEX(Hours!E:E,MATCH(C988,Hours!$A:$A,0))+J988*INDEX(Hours!F:F,MATCH(C988,Hours!$A:$A,0)))</f>
        <v>0</v>
      </c>
      <c r="S988" s="19">
        <f t="shared" si="31"/>
        <v>0</v>
      </c>
    </row>
    <row r="989" spans="1:19" x14ac:dyDescent="0.25">
      <c r="A989" s="11" t="str">
        <f>'Bldgs &amp; Rooms'!$A$28</f>
        <v>Main Bldg.</v>
      </c>
      <c r="B989" s="11">
        <f>'Bldgs &amp; Rooms'!$B$28</f>
        <v>0</v>
      </c>
      <c r="C989" s="10" t="str">
        <f>Hours!$A$27</f>
        <v>Automatic Transfer Switch (ATS) &gt; 100A</v>
      </c>
      <c r="D989" s="11">
        <f t="shared" si="30"/>
        <v>0</v>
      </c>
      <c r="E989" s="16">
        <f>IF('Components Yr 1'!E989=0,0,'Components Yr 1'!E989)</f>
        <v>0</v>
      </c>
      <c r="F989" s="17">
        <f>IF('Components Yr 1'!F989=0,0,'Components Yr 1'!F989)</f>
        <v>0</v>
      </c>
      <c r="G989" s="17">
        <f>IF('Components Yr 1'!G989=0,0,'Components Yr 1'!G989)</f>
        <v>0</v>
      </c>
      <c r="H989" s="17">
        <f>IF('Components Yr 1'!H989=0,0,'Components Yr 1'!H989)</f>
        <v>0</v>
      </c>
      <c r="I989" s="17">
        <f>IF('Components Yr 1'!I989=0,0,'Components Yr 1'!I989)</f>
        <v>0</v>
      </c>
      <c r="J989" s="17">
        <f>IF('Components Yr 1'!J989=0,0,'Components Yr 1'!J989)</f>
        <v>0</v>
      </c>
      <c r="K989" s="12"/>
      <c r="L989" s="12"/>
      <c r="M989" s="12"/>
      <c r="N989" s="12"/>
      <c r="O989" s="12"/>
      <c r="P989" s="12"/>
      <c r="Q989" s="17"/>
      <c r="R989" s="18">
        <f>IF(SUMPRODUCT((E989:Q989)*1)=0,0,E989*INDEX(Hours!M:M,MATCH(C989,Hours!$A:$A,0))+F989*INDEX(Hours!B:B,MATCH(C989,Hours!$A:$A,0))+G989*INDEX(Hours!C:C,MATCH(C989,Hours!$A:$A,0))+H989*INDEX(Hours!D:D,MATCH(C989,Hours!$A:$A,0))+I989*INDEX(Hours!E:E,MATCH(C989,Hours!$A:$A,0))+J989*INDEX(Hours!F:F,MATCH(C989,Hours!$A:$A,0)))</f>
        <v>0</v>
      </c>
      <c r="S989" s="19">
        <f t="shared" si="31"/>
        <v>0</v>
      </c>
    </row>
    <row r="990" spans="1:19" x14ac:dyDescent="0.25">
      <c r="A990" s="11" t="str">
        <f>'Bldgs &amp; Rooms'!$A$28</f>
        <v>Main Bldg.</v>
      </c>
      <c r="B990" s="11">
        <f>'Bldgs &amp; Rooms'!$B$28</f>
        <v>0</v>
      </c>
      <c r="C990" s="10" t="str">
        <f>Hours!$A$28</f>
        <v>Manual Transfer Switch (MTS) &gt; 100A</v>
      </c>
      <c r="D990" s="11">
        <f t="shared" si="30"/>
        <v>0</v>
      </c>
      <c r="E990" s="16">
        <f>IF('Components Yr 1'!E990=0,0,'Components Yr 1'!E990)</f>
        <v>0</v>
      </c>
      <c r="F990" s="17">
        <f>IF('Components Yr 1'!F990=0,0,'Components Yr 1'!F990)</f>
        <v>0</v>
      </c>
      <c r="G990" s="17">
        <f>IF('Components Yr 1'!G990=0,0,'Components Yr 1'!G990)</f>
        <v>0</v>
      </c>
      <c r="H990" s="17">
        <f>IF('Components Yr 1'!H990=0,0,'Components Yr 1'!H990)</f>
        <v>0</v>
      </c>
      <c r="I990" s="17">
        <f>IF('Components Yr 1'!I990=0,0,'Components Yr 1'!I990)</f>
        <v>0</v>
      </c>
      <c r="J990" s="17">
        <f>IF('Components Yr 1'!J990=0,0,'Components Yr 1'!J990)</f>
        <v>0</v>
      </c>
      <c r="K990" s="12"/>
      <c r="L990" s="12"/>
      <c r="M990" s="12"/>
      <c r="N990" s="12"/>
      <c r="O990" s="12"/>
      <c r="P990" s="12"/>
      <c r="Q990" s="17"/>
      <c r="R990" s="18">
        <f>IF(SUMPRODUCT((E990:Q990)*1)=0,0,E990*INDEX(Hours!M:M,MATCH(C990,Hours!$A:$A,0))+F990*INDEX(Hours!B:B,MATCH(C990,Hours!$A:$A,0))+G990*INDEX(Hours!C:C,MATCH(C990,Hours!$A:$A,0))+H990*INDEX(Hours!D:D,MATCH(C990,Hours!$A:$A,0))+I990*INDEX(Hours!E:E,MATCH(C990,Hours!$A:$A,0))+J990*INDEX(Hours!F:F,MATCH(C990,Hours!$A:$A,0)))</f>
        <v>0</v>
      </c>
      <c r="S990" s="19">
        <f t="shared" si="31"/>
        <v>0</v>
      </c>
    </row>
    <row r="991" spans="1:19" x14ac:dyDescent="0.25">
      <c r="A991" s="11" t="str">
        <f>'Bldgs &amp; Rooms'!$A$28</f>
        <v>Main Bldg.</v>
      </c>
      <c r="B991" s="11">
        <f>'Bldgs &amp; Rooms'!$B$28</f>
        <v>0</v>
      </c>
      <c r="C991" s="10" t="str">
        <f>Hours!$A$29</f>
        <v>Variable Frequency Drives (VFD) &lt; 50 HP</v>
      </c>
      <c r="D991" s="11">
        <f t="shared" si="30"/>
        <v>0</v>
      </c>
      <c r="E991" s="16">
        <f>IF('Components Yr 1'!E991=0,0,'Components Yr 1'!E991)</f>
        <v>0</v>
      </c>
      <c r="F991" s="17">
        <f>IF('Components Yr 1'!F991=0,0,'Components Yr 1'!F991)</f>
        <v>0</v>
      </c>
      <c r="G991" s="17">
        <f>IF('Components Yr 1'!G991=0,0,'Components Yr 1'!G991)</f>
        <v>0</v>
      </c>
      <c r="H991" s="17">
        <f>IF('Components Yr 1'!H991=0,0,'Components Yr 1'!H991)</f>
        <v>0</v>
      </c>
      <c r="I991" s="17">
        <f>IF('Components Yr 1'!I991=0,0,'Components Yr 1'!I991)</f>
        <v>0</v>
      </c>
      <c r="J991" s="17">
        <f>IF('Components Yr 1'!J991=0,0,'Components Yr 1'!J991)</f>
        <v>0</v>
      </c>
      <c r="K991" s="12"/>
      <c r="L991" s="12"/>
      <c r="M991" s="12"/>
      <c r="N991" s="12"/>
      <c r="O991" s="12"/>
      <c r="P991" s="12"/>
      <c r="Q991" s="17"/>
      <c r="R991" s="18">
        <f>IF(SUMPRODUCT((E991:Q991)*1)=0,0,E991*INDEX(Hours!M:M,MATCH(C991,Hours!$A:$A,0))+F991*INDEX(Hours!B:B,MATCH(C991,Hours!$A:$A,0))+G991*INDEX(Hours!C:C,MATCH(C991,Hours!$A:$A,0))+H991*INDEX(Hours!D:D,MATCH(C991,Hours!$A:$A,0))+I991*INDEX(Hours!E:E,MATCH(C991,Hours!$A:$A,0))+J991*INDEX(Hours!F:F,MATCH(C991,Hours!$A:$A,0)))</f>
        <v>0</v>
      </c>
      <c r="S991" s="19">
        <f t="shared" si="31"/>
        <v>0</v>
      </c>
    </row>
    <row r="992" spans="1:19" x14ac:dyDescent="0.25">
      <c r="A992" s="11" t="str">
        <f>'Bldgs &amp; Rooms'!$A$28</f>
        <v>Main Bldg.</v>
      </c>
      <c r="B992" s="11">
        <f>'Bldgs &amp; Rooms'!$B$28</f>
        <v>0</v>
      </c>
      <c r="C992" s="10" t="str">
        <f>Hours!$A$30</f>
        <v>Variable Frequency Drives (VFD) 51-200 HP</v>
      </c>
      <c r="D992" s="11">
        <f t="shared" si="30"/>
        <v>0</v>
      </c>
      <c r="E992" s="16">
        <f>IF('Components Yr 1'!E992=0,0,'Components Yr 1'!E992)</f>
        <v>0</v>
      </c>
      <c r="F992" s="17">
        <f>IF('Components Yr 1'!F992=0,0,'Components Yr 1'!F992)</f>
        <v>0</v>
      </c>
      <c r="G992" s="17">
        <f>IF('Components Yr 1'!G992=0,0,'Components Yr 1'!G992)</f>
        <v>0</v>
      </c>
      <c r="H992" s="17">
        <f>IF('Components Yr 1'!H992=0,0,'Components Yr 1'!H992)</f>
        <v>0</v>
      </c>
      <c r="I992" s="17">
        <f>IF('Components Yr 1'!I992=0,0,'Components Yr 1'!I992)</f>
        <v>0</v>
      </c>
      <c r="J992" s="17">
        <f>IF('Components Yr 1'!J992=0,0,'Components Yr 1'!J992)</f>
        <v>0</v>
      </c>
      <c r="K992" s="12"/>
      <c r="L992" s="12"/>
      <c r="M992" s="12"/>
      <c r="N992" s="12"/>
      <c r="O992" s="12"/>
      <c r="P992" s="12"/>
      <c r="Q992" s="17"/>
      <c r="R992" s="18">
        <f>IF(SUMPRODUCT((E992:Q992)*1)=0,0,E992*INDEX(Hours!M:M,MATCH(C992,Hours!$A:$A,0))+F992*INDEX(Hours!B:B,MATCH(C992,Hours!$A:$A,0))+G992*INDEX(Hours!C:C,MATCH(C992,Hours!$A:$A,0))+H992*INDEX(Hours!D:D,MATCH(C992,Hours!$A:$A,0))+I992*INDEX(Hours!E:E,MATCH(C992,Hours!$A:$A,0))+J992*INDEX(Hours!F:F,MATCH(C992,Hours!$A:$A,0)))</f>
        <v>0</v>
      </c>
      <c r="S992" s="19">
        <f t="shared" si="31"/>
        <v>0</v>
      </c>
    </row>
    <row r="993" spans="1:19" x14ac:dyDescent="0.25">
      <c r="A993" s="11" t="str">
        <f>'Bldgs &amp; Rooms'!$A$28</f>
        <v>Main Bldg.</v>
      </c>
      <c r="B993" s="11">
        <f>'Bldgs &amp; Rooms'!$B$28</f>
        <v>0</v>
      </c>
      <c r="C993" s="10" t="str">
        <f>Hours!$A$31</f>
        <v>Motors &lt; 50 HP</v>
      </c>
      <c r="D993" s="11">
        <f t="shared" si="30"/>
        <v>0</v>
      </c>
      <c r="E993" s="16">
        <f>IF('Components Yr 1'!E993=0,0,'Components Yr 1'!E993)</f>
        <v>0</v>
      </c>
      <c r="F993" s="17">
        <f>IF('Components Yr 1'!F993=0,0,'Components Yr 1'!F993)</f>
        <v>0</v>
      </c>
      <c r="G993" s="17">
        <f>IF('Components Yr 1'!G993=0,0,'Components Yr 1'!G993)</f>
        <v>0</v>
      </c>
      <c r="H993" s="17">
        <f>IF('Components Yr 1'!H993=0,0,'Components Yr 1'!H993)</f>
        <v>0</v>
      </c>
      <c r="I993" s="17">
        <f>IF('Components Yr 1'!I993=0,0,'Components Yr 1'!I993)</f>
        <v>0</v>
      </c>
      <c r="J993" s="17">
        <f>IF('Components Yr 1'!J993=0,0,'Components Yr 1'!J993)</f>
        <v>0</v>
      </c>
      <c r="K993" s="12"/>
      <c r="L993" s="12"/>
      <c r="M993" s="12"/>
      <c r="N993" s="12"/>
      <c r="O993" s="12"/>
      <c r="P993" s="12"/>
      <c r="Q993" s="17"/>
      <c r="R993" s="18">
        <f>IF(SUMPRODUCT((E993:Q993)*1)=0,0,E993*INDEX(Hours!M:M,MATCH(C993,Hours!$A:$A,0))+F993*INDEX(Hours!B:B,MATCH(C993,Hours!$A:$A,0))+G993*INDEX(Hours!C:C,MATCH(C993,Hours!$A:$A,0))+H993*INDEX(Hours!D:D,MATCH(C993,Hours!$A:$A,0))+I993*INDEX(Hours!E:E,MATCH(C993,Hours!$A:$A,0))+J993*INDEX(Hours!F:F,MATCH(C993,Hours!$A:$A,0)))</f>
        <v>0</v>
      </c>
      <c r="S993" s="19">
        <f t="shared" si="31"/>
        <v>0</v>
      </c>
    </row>
    <row r="994" spans="1:19" x14ac:dyDescent="0.25">
      <c r="A994" s="11" t="str">
        <f>'Bldgs &amp; Rooms'!$A$28</f>
        <v>Main Bldg.</v>
      </c>
      <c r="B994" s="11">
        <f>'Bldgs &amp; Rooms'!$B$28</f>
        <v>0</v>
      </c>
      <c r="C994" s="10" t="str">
        <f>Hours!$A$32</f>
        <v>Motors 51-200 HP</v>
      </c>
      <c r="D994" s="11">
        <f t="shared" si="30"/>
        <v>0</v>
      </c>
      <c r="E994" s="16">
        <f>IF('Components Yr 1'!E994=0,0,'Components Yr 1'!E994)</f>
        <v>0</v>
      </c>
      <c r="F994" s="17">
        <f>IF('Components Yr 1'!F994=0,0,'Components Yr 1'!F994)</f>
        <v>0</v>
      </c>
      <c r="G994" s="17">
        <f>IF('Components Yr 1'!G994=0,0,'Components Yr 1'!G994)</f>
        <v>0</v>
      </c>
      <c r="H994" s="17">
        <f>IF('Components Yr 1'!H994=0,0,'Components Yr 1'!H994)</f>
        <v>0</v>
      </c>
      <c r="I994" s="17">
        <f>IF('Components Yr 1'!I994=0,0,'Components Yr 1'!I994)</f>
        <v>0</v>
      </c>
      <c r="J994" s="17">
        <f>IF('Components Yr 1'!J994=0,0,'Components Yr 1'!J994)</f>
        <v>0</v>
      </c>
      <c r="K994" s="12"/>
      <c r="L994" s="12"/>
      <c r="M994" s="12"/>
      <c r="N994" s="12"/>
      <c r="O994" s="12"/>
      <c r="P994" s="12"/>
      <c r="Q994" s="17"/>
      <c r="R994" s="18">
        <f>IF(SUMPRODUCT((E994:Q994)*1)=0,0,E994*INDEX(Hours!M:M,MATCH(C994,Hours!$A:$A,0))+F994*INDEX(Hours!B:B,MATCH(C994,Hours!$A:$A,0))+G994*INDEX(Hours!C:C,MATCH(C994,Hours!$A:$A,0))+H994*INDEX(Hours!D:D,MATCH(C994,Hours!$A:$A,0))+I994*INDEX(Hours!E:E,MATCH(C994,Hours!$A:$A,0))+J994*INDEX(Hours!F:F,MATCH(C994,Hours!$A:$A,0)))</f>
        <v>0</v>
      </c>
      <c r="S994" s="19">
        <f t="shared" si="31"/>
        <v>0</v>
      </c>
    </row>
    <row r="995" spans="1:19" x14ac:dyDescent="0.25">
      <c r="A995" s="11" t="str">
        <f>'Bldgs &amp; Rooms'!$A$28</f>
        <v>Main Bldg.</v>
      </c>
      <c r="B995" s="11">
        <f>'Bldgs &amp; Rooms'!$B$28</f>
        <v>0</v>
      </c>
      <c r="C995" s="10" t="str">
        <f>Hours!$A$33</f>
        <v>Motors 201-500 HP</v>
      </c>
      <c r="D995" s="11">
        <f t="shared" si="30"/>
        <v>0</v>
      </c>
      <c r="E995" s="16">
        <f>IF('Components Yr 1'!E995=0,0,'Components Yr 1'!E995)</f>
        <v>0</v>
      </c>
      <c r="F995" s="17">
        <f>IF('Components Yr 1'!F995=0,0,'Components Yr 1'!F995)</f>
        <v>0</v>
      </c>
      <c r="G995" s="17">
        <f>IF('Components Yr 1'!G995=0,0,'Components Yr 1'!G995)</f>
        <v>0</v>
      </c>
      <c r="H995" s="17">
        <f>IF('Components Yr 1'!H995=0,0,'Components Yr 1'!H995)</f>
        <v>0</v>
      </c>
      <c r="I995" s="17">
        <f>IF('Components Yr 1'!I995=0,0,'Components Yr 1'!I995)</f>
        <v>0</v>
      </c>
      <c r="J995" s="17">
        <f>IF('Components Yr 1'!J995=0,0,'Components Yr 1'!J995)</f>
        <v>0</v>
      </c>
      <c r="K995" s="12"/>
      <c r="L995" s="12"/>
      <c r="M995" s="12"/>
      <c r="N995" s="12"/>
      <c r="O995" s="12"/>
      <c r="P995" s="12"/>
      <c r="Q995" s="17"/>
      <c r="R995" s="18">
        <f>IF(SUMPRODUCT((E995:Q995)*1)=0,0,E995*INDEX(Hours!M:M,MATCH(C995,Hours!$A:$A,0))+F995*INDEX(Hours!B:B,MATCH(C995,Hours!$A:$A,0))+G995*INDEX(Hours!C:C,MATCH(C995,Hours!$A:$A,0))+H995*INDEX(Hours!D:D,MATCH(C995,Hours!$A:$A,0))+I995*INDEX(Hours!E:E,MATCH(C995,Hours!$A:$A,0))+J995*INDEX(Hours!F:F,MATCH(C995,Hours!$A:$A,0)))</f>
        <v>0</v>
      </c>
      <c r="S995" s="19">
        <f t="shared" si="31"/>
        <v>0</v>
      </c>
    </row>
    <row r="996" spans="1:19" x14ac:dyDescent="0.25">
      <c r="A996" s="11" t="str">
        <f>'Bldgs &amp; Rooms'!$A$28</f>
        <v>Main Bldg.</v>
      </c>
      <c r="B996" s="11">
        <f>'Bldgs &amp; Rooms'!$B$28</f>
        <v>0</v>
      </c>
      <c r="C996" s="10" t="str">
        <f>Hours!$A$34</f>
        <v>Compressed Air Equipment</v>
      </c>
      <c r="D996" s="11">
        <f t="shared" si="30"/>
        <v>0</v>
      </c>
      <c r="E996" s="16">
        <f>IF('Components Yr 1'!E996=0,0,'Components Yr 1'!E996)</f>
        <v>0</v>
      </c>
      <c r="F996" s="17">
        <f>IF('Components Yr 1'!F996=0,0,'Components Yr 1'!F996)</f>
        <v>0</v>
      </c>
      <c r="G996" s="17">
        <f>IF('Components Yr 1'!G996=0,0,'Components Yr 1'!G996)</f>
        <v>0</v>
      </c>
      <c r="H996" s="17">
        <f>IF('Components Yr 1'!H996=0,0,'Components Yr 1'!H996)</f>
        <v>0</v>
      </c>
      <c r="I996" s="17">
        <f>IF('Components Yr 1'!I996=0,0,'Components Yr 1'!I996)</f>
        <v>0</v>
      </c>
      <c r="J996" s="17">
        <f>IF('Components Yr 1'!J996=0,0,'Components Yr 1'!J996)</f>
        <v>0</v>
      </c>
      <c r="K996" s="12"/>
      <c r="L996" s="12"/>
      <c r="M996" s="12"/>
      <c r="N996" s="12"/>
      <c r="O996" s="12"/>
      <c r="P996" s="12"/>
      <c r="Q996" s="17"/>
      <c r="R996" s="18">
        <f>IF(SUMPRODUCT((E996:Q996)*1)=0,0,E996*INDEX(Hours!M:M,MATCH(C996,Hours!$A:$A,0))+F996*INDEX(Hours!B:B,MATCH(C996,Hours!$A:$A,0))+G996*INDEX(Hours!C:C,MATCH(C996,Hours!$A:$A,0))+H996*INDEX(Hours!D:D,MATCH(C996,Hours!$A:$A,0))+I996*INDEX(Hours!E:E,MATCH(C996,Hours!$A:$A,0))+J996*INDEX(Hours!F:F,MATCH(C996,Hours!$A:$A,0)))</f>
        <v>0</v>
      </c>
      <c r="S996" s="19">
        <f t="shared" si="31"/>
        <v>0</v>
      </c>
    </row>
    <row r="997" spans="1:19" x14ac:dyDescent="0.25">
      <c r="A997" s="11" t="str">
        <f>'Bldgs &amp; Rooms'!$A$28</f>
        <v>Main Bldg.</v>
      </c>
      <c r="B997" s="11">
        <f>'Bldgs &amp; Rooms'!$B$28</f>
        <v>0</v>
      </c>
      <c r="C997" s="10" t="str">
        <f>Hours!$A$35</f>
        <v>HVAC Equipment (Large)</v>
      </c>
      <c r="D997" s="11">
        <f t="shared" si="30"/>
        <v>0</v>
      </c>
      <c r="E997" s="16">
        <f>IF('Components Yr 1'!E997=0,0,'Components Yr 1'!E997)</f>
        <v>0</v>
      </c>
      <c r="F997" s="17">
        <f>IF('Components Yr 1'!F997=0,0,'Components Yr 1'!F997)</f>
        <v>0</v>
      </c>
      <c r="G997" s="17">
        <f>IF('Components Yr 1'!G997=0,0,'Components Yr 1'!G997)</f>
        <v>0</v>
      </c>
      <c r="H997" s="17">
        <f>IF('Components Yr 1'!H997=0,0,'Components Yr 1'!H997)</f>
        <v>0</v>
      </c>
      <c r="I997" s="17">
        <f>IF('Components Yr 1'!I997=0,0,'Components Yr 1'!I997)</f>
        <v>0</v>
      </c>
      <c r="J997" s="17">
        <f>IF('Components Yr 1'!J997=0,0,'Components Yr 1'!J997)</f>
        <v>0</v>
      </c>
      <c r="K997" s="12"/>
      <c r="L997" s="12"/>
      <c r="M997" s="12"/>
      <c r="N997" s="12"/>
      <c r="O997" s="12"/>
      <c r="P997" s="12"/>
      <c r="Q997" s="17"/>
      <c r="R997" s="18">
        <f>IF(SUMPRODUCT((E997:Q997)*1)=0,0,E997*INDEX(Hours!M:M,MATCH(C997,Hours!$A:$A,0))+F997*INDEX(Hours!B:B,MATCH(C997,Hours!$A:$A,0))+G997*INDEX(Hours!C:C,MATCH(C997,Hours!$A:$A,0))+H997*INDEX(Hours!D:D,MATCH(C997,Hours!$A:$A,0))+I997*INDEX(Hours!E:E,MATCH(C997,Hours!$A:$A,0))+J997*INDEX(Hours!F:F,MATCH(C997,Hours!$A:$A,0)))</f>
        <v>0</v>
      </c>
      <c r="S997" s="19">
        <f t="shared" si="31"/>
        <v>0</v>
      </c>
    </row>
    <row r="998" spans="1:19" x14ac:dyDescent="0.25">
      <c r="A998" s="11" t="str">
        <f>'Bldgs &amp; Rooms'!$A$28</f>
        <v>Main Bldg.</v>
      </c>
      <c r="B998" s="11">
        <f>'Bldgs &amp; Rooms'!$B$28</f>
        <v>0</v>
      </c>
      <c r="C998" s="10" t="str">
        <f>Hours!$A$36</f>
        <v>HVAC Equipment (Small)</v>
      </c>
      <c r="D998" s="11">
        <f t="shared" si="30"/>
        <v>0</v>
      </c>
      <c r="E998" s="16">
        <f>IF('Components Yr 1'!E998=0,0,'Components Yr 1'!E998)</f>
        <v>0</v>
      </c>
      <c r="F998" s="17">
        <f>IF('Components Yr 1'!F998=0,0,'Components Yr 1'!F998)</f>
        <v>0</v>
      </c>
      <c r="G998" s="17">
        <f>IF('Components Yr 1'!G998=0,0,'Components Yr 1'!G998)</f>
        <v>0</v>
      </c>
      <c r="H998" s="17">
        <f>IF('Components Yr 1'!H998=0,0,'Components Yr 1'!H998)</f>
        <v>0</v>
      </c>
      <c r="I998" s="17">
        <f>IF('Components Yr 1'!I998=0,0,'Components Yr 1'!I998)</f>
        <v>0</v>
      </c>
      <c r="J998" s="17">
        <f>IF('Components Yr 1'!J998=0,0,'Components Yr 1'!J998)</f>
        <v>0</v>
      </c>
      <c r="K998" s="12"/>
      <c r="L998" s="12"/>
      <c r="M998" s="12"/>
      <c r="N998" s="12"/>
      <c r="O998" s="12"/>
      <c r="P998" s="12"/>
      <c r="Q998" s="17"/>
      <c r="R998" s="18">
        <f>IF(SUMPRODUCT((E998:Q998)*1)=0,0,E998*INDEX(Hours!M:M,MATCH(C998,Hours!$A:$A,0))+F998*INDEX(Hours!B:B,MATCH(C998,Hours!$A:$A,0))+G998*INDEX(Hours!C:C,MATCH(C998,Hours!$A:$A,0))+H998*INDEX(Hours!D:D,MATCH(C998,Hours!$A:$A,0))+I998*INDEX(Hours!E:E,MATCH(C998,Hours!$A:$A,0))+J998*INDEX(Hours!F:F,MATCH(C998,Hours!$A:$A,0)))</f>
        <v>0</v>
      </c>
      <c r="S998" s="19">
        <f t="shared" si="31"/>
        <v>0</v>
      </c>
    </row>
    <row r="999" spans="1:19" x14ac:dyDescent="0.25">
      <c r="A999" s="11" t="str">
        <f>'Bldgs &amp; Rooms'!$A$28</f>
        <v>Main Bldg.</v>
      </c>
      <c r="B999" s="11">
        <f>'Bldgs &amp; Rooms'!$B$28</f>
        <v>0</v>
      </c>
      <c r="C999" s="10" t="str">
        <f>Hours!$A$37</f>
        <v>Uninterruptible Power Supply (UPS) &lt; 50kVA</v>
      </c>
      <c r="D999" s="11">
        <f t="shared" si="30"/>
        <v>0</v>
      </c>
      <c r="E999" s="16">
        <f>IF('Components Yr 1'!E999=0,0,'Components Yr 1'!E999)</f>
        <v>0</v>
      </c>
      <c r="F999" s="17">
        <f>IF('Components Yr 1'!F999=0,0,'Components Yr 1'!F999)</f>
        <v>0</v>
      </c>
      <c r="G999" s="17">
        <f>IF('Components Yr 1'!G999=0,0,'Components Yr 1'!G999)</f>
        <v>0</v>
      </c>
      <c r="H999" s="17">
        <f>IF('Components Yr 1'!H999=0,0,'Components Yr 1'!H999)</f>
        <v>0</v>
      </c>
      <c r="I999" s="17">
        <f>IF('Components Yr 1'!I999=0,0,'Components Yr 1'!I999)</f>
        <v>0</v>
      </c>
      <c r="J999" s="17">
        <f>IF('Components Yr 1'!J999=0,0,'Components Yr 1'!J999)</f>
        <v>0</v>
      </c>
      <c r="K999" s="12"/>
      <c r="L999" s="12"/>
      <c r="M999" s="12"/>
      <c r="N999" s="12"/>
      <c r="O999" s="12"/>
      <c r="P999" s="12"/>
      <c r="Q999" s="17"/>
      <c r="R999" s="18">
        <f>IF(SUMPRODUCT((E999:Q999)*1)=0,0,E999*INDEX(Hours!M:M,MATCH(C999,Hours!$A:$A,0))+F999*INDEX(Hours!B:B,MATCH(C999,Hours!$A:$A,0))+G999*INDEX(Hours!C:C,MATCH(C999,Hours!$A:$A,0))+H999*INDEX(Hours!D:D,MATCH(C999,Hours!$A:$A,0))+I999*INDEX(Hours!E:E,MATCH(C999,Hours!$A:$A,0))+J999*INDEX(Hours!F:F,MATCH(C999,Hours!$A:$A,0)))</f>
        <v>0</v>
      </c>
      <c r="S999" s="19">
        <f t="shared" si="31"/>
        <v>0</v>
      </c>
    </row>
    <row r="1000" spans="1:19" x14ac:dyDescent="0.25">
      <c r="A1000" s="11" t="str">
        <f>'Bldgs &amp; Rooms'!$A$28</f>
        <v>Main Bldg.</v>
      </c>
      <c r="B1000" s="11">
        <f>'Bldgs &amp; Rooms'!$B$28</f>
        <v>0</v>
      </c>
      <c r="C1000" s="10" t="str">
        <f>Hours!$A$38</f>
        <v>Uninterruptible Power Supply (UPS) &gt; 50kVA</v>
      </c>
      <c r="D1000" s="11">
        <f t="shared" si="30"/>
        <v>0</v>
      </c>
      <c r="E1000" s="16">
        <f>IF('Components Yr 1'!E1000=0,0,'Components Yr 1'!E1000)</f>
        <v>0</v>
      </c>
      <c r="F1000" s="17">
        <f>IF('Components Yr 1'!F1000=0,0,'Components Yr 1'!F1000)</f>
        <v>0</v>
      </c>
      <c r="G1000" s="17">
        <f>IF('Components Yr 1'!G1000=0,0,'Components Yr 1'!G1000)</f>
        <v>0</v>
      </c>
      <c r="H1000" s="17">
        <f>IF('Components Yr 1'!H1000=0,0,'Components Yr 1'!H1000)</f>
        <v>0</v>
      </c>
      <c r="I1000" s="17">
        <f>IF('Components Yr 1'!I1000=0,0,'Components Yr 1'!I1000)</f>
        <v>0</v>
      </c>
      <c r="J1000" s="17">
        <f>IF('Components Yr 1'!J1000=0,0,'Components Yr 1'!J1000)</f>
        <v>0</v>
      </c>
      <c r="K1000" s="12"/>
      <c r="L1000" s="12"/>
      <c r="M1000" s="12"/>
      <c r="N1000" s="12"/>
      <c r="O1000" s="12"/>
      <c r="P1000" s="12"/>
      <c r="Q1000" s="17"/>
      <c r="R1000" s="18">
        <f>IF(SUMPRODUCT((E1000:Q1000)*1)=0,0,E1000*INDEX(Hours!M:M,MATCH(C1000,Hours!$A:$A,0))+F1000*INDEX(Hours!B:B,MATCH(C1000,Hours!$A:$A,0))+G1000*INDEX(Hours!C:C,MATCH(C1000,Hours!$A:$A,0))+H1000*INDEX(Hours!D:D,MATCH(C1000,Hours!$A:$A,0))+I1000*INDEX(Hours!E:E,MATCH(C1000,Hours!$A:$A,0))+J1000*INDEX(Hours!F:F,MATCH(C1000,Hours!$A:$A,0)))</f>
        <v>0</v>
      </c>
      <c r="S1000" s="19">
        <f t="shared" si="31"/>
        <v>0</v>
      </c>
    </row>
    <row r="1001" spans="1:19" x14ac:dyDescent="0.25">
      <c r="A1001" s="15" t="str">
        <f>'Bldgs &amp; Rooms'!$A$29</f>
        <v>Main Bldg.</v>
      </c>
      <c r="B1001" s="15">
        <f>'Bldgs &amp; Rooms'!$B$29</f>
        <v>0</v>
      </c>
      <c r="C1001" s="14" t="str">
        <f>Hours!$A$2</f>
        <v>Switchgear - Incoming Main Service (Per Section)</v>
      </c>
      <c r="D1001" s="15">
        <f t="shared" si="30"/>
        <v>0</v>
      </c>
      <c r="E1001" s="16">
        <f>IF('Components Yr 1'!E1001=0,0,'Components Yr 1'!E1001)</f>
        <v>0</v>
      </c>
      <c r="F1001" s="17">
        <f>IF('Components Yr 1'!F1001=0,0,'Components Yr 1'!F1001)</f>
        <v>0</v>
      </c>
      <c r="G1001" s="17">
        <f>IF('Components Yr 1'!G1001=0,0,'Components Yr 1'!G1001)</f>
        <v>0</v>
      </c>
      <c r="H1001" s="17">
        <f>IF('Components Yr 1'!H1001=0,0,'Components Yr 1'!H1001)</f>
        <v>0</v>
      </c>
      <c r="I1001" s="17">
        <f>IF('Components Yr 1'!I1001=0,0,'Components Yr 1'!I1001)</f>
        <v>0</v>
      </c>
      <c r="J1001" s="17">
        <f>IF('Components Yr 1'!J1001=0,0,'Components Yr 1'!J1001)</f>
        <v>0</v>
      </c>
      <c r="K1001" s="17">
        <f>IF('Components Yr 1'!K1001=0,0,'Components Yr 1'!K1001)</f>
        <v>0</v>
      </c>
      <c r="L1001" s="17">
        <f>IF('Components Yr 1'!L1001=0,0,'Components Yr 1'!L1001)</f>
        <v>0</v>
      </c>
      <c r="M1001" s="12"/>
      <c r="N1001" s="12"/>
      <c r="O1001" s="17">
        <f>IF('Components Yr 1'!O1001=0,0,'Components Yr 1'!O1001)</f>
        <v>0</v>
      </c>
      <c r="P1001" s="12"/>
      <c r="Q1001" s="17"/>
      <c r="R1001" s="18">
        <f>IF(SUMPRODUCT((E1001:Q1001)*1)=0,0,E1001*INDEX(Hours!M:M,MATCH(C1001,Hours!$A:$A,0))+F1001*INDEX(Hours!B:B,MATCH(C1001,Hours!$A:$A,0))+G1001*INDEX(Hours!C:C,MATCH(C1001,Hours!$A:$A,0))+H1001*INDEX(Hours!D:D,MATCH(C1001,Hours!$A:$A,0))+I1001*INDEX(Hours!E:E,MATCH(C1001,Hours!$A:$A,0))+J1001*INDEX(Hours!F:F,MATCH(C1001,Hours!$A:$A,0))+K1001*INDEX(Hours!G:G,MATCH(C1001,Hours!$A:$A,0))+L1001*INDEX(Hours!H:H,MATCH(C1001,Hours!$A:$A,0))+O1001*INDEX(Hours!K:K,MATCH(C1001,Hours!$A:$A,0)))</f>
        <v>0</v>
      </c>
      <c r="S1001" s="19">
        <f t="shared" si="31"/>
        <v>0</v>
      </c>
    </row>
    <row r="1002" spans="1:19" x14ac:dyDescent="0.25">
      <c r="A1002" s="15" t="str">
        <f>'Bldgs &amp; Rooms'!$A$29</f>
        <v>Main Bldg.</v>
      </c>
      <c r="B1002" s="15">
        <f>'Bldgs &amp; Rooms'!$B$29</f>
        <v>0</v>
      </c>
      <c r="C1002" s="14" t="str">
        <f>Hours!$A$3</f>
        <v xml:space="preserve">  Switchgear Insulated Case Breakers (Bus Mounted)</v>
      </c>
      <c r="D1002" s="15">
        <f t="shared" si="30"/>
        <v>0</v>
      </c>
      <c r="E1002" s="16">
        <f>IF('Components Yr 1'!E1002=0,0,'Components Yr 1'!E1002)</f>
        <v>0</v>
      </c>
      <c r="F1002" s="17">
        <f>IF('Components Yr 1'!F1002=0,0,'Components Yr 1'!F1002)</f>
        <v>0</v>
      </c>
      <c r="G1002" s="17">
        <f>IF('Components Yr 1'!G1002=0,0,'Components Yr 1'!G1002)</f>
        <v>0</v>
      </c>
      <c r="H1002" s="17">
        <f>IF('Components Yr 1'!H1002=0,0,'Components Yr 1'!H1002)</f>
        <v>0</v>
      </c>
      <c r="I1002" s="17">
        <f>IF('Components Yr 1'!I1002=0,0,'Components Yr 1'!I1002)</f>
        <v>0</v>
      </c>
      <c r="J1002" s="17">
        <f>IF('Components Yr 1'!J1002=0,0,'Components Yr 1'!J1002)</f>
        <v>0</v>
      </c>
      <c r="K1002" s="17">
        <f>IF('Components Yr 1'!K1002=0,0,'Components Yr 1'!K1002)</f>
        <v>0</v>
      </c>
      <c r="L1002" s="12"/>
      <c r="M1002" s="12"/>
      <c r="N1002" s="12"/>
      <c r="O1002" s="12"/>
      <c r="P1002" s="12"/>
      <c r="Q1002" s="17"/>
      <c r="R1002" s="18">
        <f>IF(SUMPRODUCT((E1002:Q1002)*1)=0,0,E1002*INDEX(Hours!M:M,MATCH(C1002,Hours!$A:$A,0))+F1002*INDEX(Hours!B:B,MATCH(C1002,Hours!$A:$A,0))+G1002*INDEX(Hours!C:C,MATCH(C1002,Hours!$A:$A,0))+H1002*INDEX(Hours!D:D,MATCH(C1002,Hours!$A:$A,0))+I1002*INDEX(Hours!E:E,MATCH(C1002,Hours!$A:$A,0))+J1002*INDEX(Hours!F:F,MATCH(C1002,Hours!$A:$A,0))+K1002*INDEX(Hours!G:G,MATCH(C1002,Hours!$A:$A,0)))</f>
        <v>0</v>
      </c>
      <c r="S1002" s="19">
        <f t="shared" si="31"/>
        <v>0</v>
      </c>
    </row>
    <row r="1003" spans="1:19" x14ac:dyDescent="0.25">
      <c r="A1003" s="15" t="str">
        <f>'Bldgs &amp; Rooms'!$A$29</f>
        <v>Main Bldg.</v>
      </c>
      <c r="B1003" s="15">
        <f>'Bldgs &amp; Rooms'!$B$29</f>
        <v>0</v>
      </c>
      <c r="C1003" s="14" t="str">
        <f>Hours!$A$4</f>
        <v xml:space="preserve">  SwitchGear Drawout Breakers</v>
      </c>
      <c r="D1003" s="15">
        <f t="shared" si="30"/>
        <v>0</v>
      </c>
      <c r="E1003" s="16">
        <f>IF('Components Yr 1'!E1003=0,0,'Components Yr 1'!E1003)</f>
        <v>0</v>
      </c>
      <c r="F1003" s="17">
        <f>IF('Components Yr 1'!F1003=0,0,'Components Yr 1'!F1003)</f>
        <v>0</v>
      </c>
      <c r="G1003" s="17">
        <f>IF('Components Yr 1'!G1003=0,0,'Components Yr 1'!G1003)</f>
        <v>0</v>
      </c>
      <c r="H1003" s="17">
        <f>IF('Components Yr 1'!H1003=0,0,'Components Yr 1'!H1003)</f>
        <v>0</v>
      </c>
      <c r="I1003" s="17">
        <f>IF('Components Yr 1'!I1003=0,0,'Components Yr 1'!I1003)</f>
        <v>0</v>
      </c>
      <c r="J1003" s="17">
        <f>IF('Components Yr 1'!J1003=0,0,'Components Yr 1'!J1003)</f>
        <v>0</v>
      </c>
      <c r="K1003" s="12"/>
      <c r="L1003" s="17">
        <f>IF('Components Yr 1'!L1003=0,0,'Components Yr 1'!L1003)</f>
        <v>0</v>
      </c>
      <c r="M1003" s="12"/>
      <c r="N1003" s="12"/>
      <c r="O1003" s="12"/>
      <c r="P1003" s="12"/>
      <c r="Q1003" s="17"/>
      <c r="R1003" s="18">
        <f>IF(SUMPRODUCT((E1003:Q1003)*1)=0,0,E1003*INDEX(Hours!M:M,MATCH(C1003,Hours!$A:$A,0))+F1003*INDEX(Hours!B:B,MATCH(C1003,Hours!$A:$A,0))+G1003*INDEX(Hours!C:C,MATCH(C1003,Hours!$A:$A,0))+H1003*INDEX(Hours!D:D,MATCH(C1003,Hours!$A:$A,0))+I1003*INDEX(Hours!E:E,MATCH(C1003,Hours!$A:$A,0))+J1003*INDEX(Hours!F:F,MATCH(C1003,Hours!$A:$A,0))+L1003*INDEX(Hours!H:H,MATCH(C1003,Hours!$A:$A,0)))</f>
        <v>0</v>
      </c>
      <c r="S1003" s="19">
        <f t="shared" si="31"/>
        <v>0</v>
      </c>
    </row>
    <row r="1004" spans="1:19" x14ac:dyDescent="0.25">
      <c r="A1004" s="15" t="str">
        <f>'Bldgs &amp; Rooms'!$A$29</f>
        <v>Main Bldg.</v>
      </c>
      <c r="B1004" s="15">
        <f>'Bldgs &amp; Rooms'!$B$29</f>
        <v>0</v>
      </c>
      <c r="C1004" s="14" t="str">
        <f>Hours!$A$5</f>
        <v>Distribution Switchboard Multi Cover (Per Section)</v>
      </c>
      <c r="D1004" s="15">
        <f t="shared" si="30"/>
        <v>0</v>
      </c>
      <c r="E1004" s="16">
        <f>IF('Components Yr 1'!E1004=0,0,'Components Yr 1'!E1004)</f>
        <v>0</v>
      </c>
      <c r="F1004" s="17">
        <f>IF('Components Yr 1'!F1004=0,0,'Components Yr 1'!F1004)</f>
        <v>0</v>
      </c>
      <c r="G1004" s="17">
        <f>IF('Components Yr 1'!G1004=0,0,'Components Yr 1'!G1004)</f>
        <v>0</v>
      </c>
      <c r="H1004" s="17">
        <f>IF('Components Yr 1'!H1004=0,0,'Components Yr 1'!H1004)</f>
        <v>0</v>
      </c>
      <c r="I1004" s="17">
        <f>IF('Components Yr 1'!I1004=0,0,'Components Yr 1'!I1004)</f>
        <v>0</v>
      </c>
      <c r="J1004" s="17">
        <f>IF('Components Yr 1'!J1004=0,0,'Components Yr 1'!J1004)</f>
        <v>0</v>
      </c>
      <c r="K1004" s="17">
        <f>IF('Components Yr 1'!K1004=0,0,'Components Yr 1'!K1004)</f>
        <v>0</v>
      </c>
      <c r="L1004" s="12"/>
      <c r="M1004" s="12"/>
      <c r="N1004" s="12"/>
      <c r="O1004" s="17">
        <f>IF('Components Yr 1'!O1004=0,0,'Components Yr 1'!O1004)</f>
        <v>0</v>
      </c>
      <c r="P1004" s="12"/>
      <c r="Q1004" s="17"/>
      <c r="R1004" s="18">
        <f>IF(SUMPRODUCT((E1004:Q1004)*1)=0,0,E1004*INDEX(Hours!M:M,MATCH(C1004,Hours!$A:$A,0))+F1004*INDEX(Hours!B:B,MATCH(C1004,Hours!$A:$A,0))+G1004*INDEX(Hours!C:C,MATCH(C1004,Hours!$A:$A,0))+H1004*INDEX(Hours!D:D,MATCH(C1004,Hours!$A:$A,0))+I1004*INDEX(Hours!E:E,MATCH(C1004,Hours!$A:$A,0))+J1004*INDEX(Hours!F:F,MATCH(C1004,Hours!$A:$A,0))+K1004*INDEX(Hours!G:G,MATCH(C1004,Hours!$A:$A,0))+O1004*INDEX(Hours!K:K,MATCH(C1004,Hours!$A:$A,0)))</f>
        <v>0</v>
      </c>
      <c r="S1004" s="19">
        <f t="shared" si="31"/>
        <v>0</v>
      </c>
    </row>
    <row r="1005" spans="1:19" x14ac:dyDescent="0.25">
      <c r="A1005" s="15" t="str">
        <f>'Bldgs &amp; Rooms'!$A$29</f>
        <v>Main Bldg.</v>
      </c>
      <c r="B1005" s="15">
        <f>'Bldgs &amp; Rooms'!$B$29</f>
        <v>0</v>
      </c>
      <c r="C1005" s="14" t="str">
        <f>Hours!$A$6</f>
        <v xml:space="preserve">  Switchboard Disconnects</v>
      </c>
      <c r="D1005" s="15">
        <f t="shared" si="30"/>
        <v>0</v>
      </c>
      <c r="E1005" s="16">
        <f>IF('Components Yr 1'!E1005=0,0,'Components Yr 1'!E1005)</f>
        <v>0</v>
      </c>
      <c r="F1005" s="17">
        <f>IF('Components Yr 1'!F1005=0,0,'Components Yr 1'!F1005)</f>
        <v>0</v>
      </c>
      <c r="G1005" s="17">
        <f>IF('Components Yr 1'!G1005=0,0,'Components Yr 1'!G1005)</f>
        <v>0</v>
      </c>
      <c r="H1005" s="17">
        <f>IF('Components Yr 1'!H1005=0,0,'Components Yr 1'!H1005)</f>
        <v>0</v>
      </c>
      <c r="I1005" s="17">
        <f>IF('Components Yr 1'!I1005=0,0,'Components Yr 1'!I1005)</f>
        <v>0</v>
      </c>
      <c r="J1005" s="17">
        <f>IF('Components Yr 1'!J1005=0,0,'Components Yr 1'!J1005)</f>
        <v>0</v>
      </c>
      <c r="K1005" s="12"/>
      <c r="L1005" s="12"/>
      <c r="M1005" s="12"/>
      <c r="N1005" s="12"/>
      <c r="O1005" s="12"/>
      <c r="P1005" s="12"/>
      <c r="Q1005" s="17"/>
      <c r="R1005" s="18">
        <f>IF(SUMPRODUCT((E1005:Q1005)*1)=0,0,E1005*INDEX(Hours!M:M,MATCH(C1005,Hours!$A:$A,0))+F1005*INDEX(Hours!B:B,MATCH(C1005,Hours!$A:$A,0))+G1005*INDEX(Hours!C:C,MATCH(C1005,Hours!$A:$A,0))+H1005*INDEX(Hours!D:D,MATCH(C1005,Hours!$A:$A,0))+I1005*INDEX(Hours!E:E,MATCH(C1005,Hours!$A:$A,0))+J1005*INDEX(Hours!F:F,MATCH(C1005,Hours!$A:$A,0)))</f>
        <v>0</v>
      </c>
      <c r="S1005" s="19">
        <f t="shared" si="31"/>
        <v>0</v>
      </c>
    </row>
    <row r="1006" spans="1:19" x14ac:dyDescent="0.25">
      <c r="A1006" s="15" t="str">
        <f>'Bldgs &amp; Rooms'!$A$29</f>
        <v>Main Bldg.</v>
      </c>
      <c r="B1006" s="15">
        <f>'Bldgs &amp; Rooms'!$B$29</f>
        <v>0</v>
      </c>
      <c r="C1006" s="14" t="str">
        <f>Hours!$A$7</f>
        <v xml:space="preserve">  Switchboard Molded Case Breakers</v>
      </c>
      <c r="D1006" s="15">
        <f t="shared" si="30"/>
        <v>0</v>
      </c>
      <c r="E1006" s="16">
        <f>IF('Components Yr 1'!E1006=0,0,'Components Yr 1'!E1006)</f>
        <v>0</v>
      </c>
      <c r="F1006" s="17">
        <f>IF('Components Yr 1'!F1006=0,0,'Components Yr 1'!F1006)</f>
        <v>0</v>
      </c>
      <c r="G1006" s="17">
        <f>IF('Components Yr 1'!G1006=0,0,'Components Yr 1'!G1006)</f>
        <v>0</v>
      </c>
      <c r="H1006" s="17">
        <f>IF('Components Yr 1'!H1006=0,0,'Components Yr 1'!H1006)</f>
        <v>0</v>
      </c>
      <c r="I1006" s="17">
        <f>IF('Components Yr 1'!I1006=0,0,'Components Yr 1'!I1006)</f>
        <v>0</v>
      </c>
      <c r="J1006" s="17">
        <f>IF('Components Yr 1'!J1006=0,0,'Components Yr 1'!J1006)</f>
        <v>0</v>
      </c>
      <c r="K1006" s="17">
        <f>IF('Components Yr 1'!K1006=0,0,'Components Yr 1'!K1006)</f>
        <v>0</v>
      </c>
      <c r="L1006" s="12"/>
      <c r="M1006" s="12"/>
      <c r="N1006" s="12"/>
      <c r="O1006" s="12"/>
      <c r="P1006" s="12"/>
      <c r="Q1006" s="17"/>
      <c r="R1006" s="18">
        <f>IF(SUMPRODUCT((E1006:Q1006)*1)=0,0,E1006*INDEX(Hours!M:M,MATCH(C1006,Hours!$A:$A,0))+F1006*INDEX(Hours!B:B,MATCH(C1006,Hours!$A:$A,0))+G1006*INDEX(Hours!C:C,MATCH(C1006,Hours!$A:$A,0))+H1006*INDEX(Hours!D:D,MATCH(C1006,Hours!$A:$A,0))+I1006*INDEX(Hours!E:E,MATCH(C1006,Hours!$A:$A,0))+J1006*INDEX(Hours!F:F,MATCH(C1006,Hours!$A:$A,0))+K1006*INDEX(Hours!G:G,MATCH(C1006,Hours!$A:$A,0)))</f>
        <v>0</v>
      </c>
      <c r="S1006" s="19">
        <f t="shared" si="31"/>
        <v>0</v>
      </c>
    </row>
    <row r="1007" spans="1:19" x14ac:dyDescent="0.25">
      <c r="A1007" s="15" t="str">
        <f>'Bldgs &amp; Rooms'!$A$29</f>
        <v>Main Bldg.</v>
      </c>
      <c r="B1007" s="15">
        <f>'Bldgs &amp; Rooms'!$B$29</f>
        <v>0</v>
      </c>
      <c r="C1007" s="14" t="str">
        <f>Hours!$A$8</f>
        <v>Panelboard-Single Cover &gt; 400A (Distribution Panel)</v>
      </c>
      <c r="D1007" s="15">
        <f t="shared" si="30"/>
        <v>0</v>
      </c>
      <c r="E1007" s="16">
        <f>IF('Components Yr 1'!E1007=0,0,'Components Yr 1'!E1007)</f>
        <v>0</v>
      </c>
      <c r="F1007" s="17">
        <f>IF('Components Yr 1'!F1007=0,0,'Components Yr 1'!F1007)</f>
        <v>0</v>
      </c>
      <c r="G1007" s="17">
        <f>IF('Components Yr 1'!G1007=0,0,'Components Yr 1'!G1007)</f>
        <v>0</v>
      </c>
      <c r="H1007" s="17">
        <f>IF('Components Yr 1'!H1007=0,0,'Components Yr 1'!H1007)</f>
        <v>0</v>
      </c>
      <c r="I1007" s="17">
        <f>IF('Components Yr 1'!I1007=0,0,'Components Yr 1'!I1007)</f>
        <v>0</v>
      </c>
      <c r="J1007" s="17">
        <f>IF('Components Yr 1'!J1007=0,0,'Components Yr 1'!J1007)</f>
        <v>0</v>
      </c>
      <c r="K1007" s="17">
        <f>IF('Components Yr 1'!K1007=0,0,'Components Yr 1'!K1007)</f>
        <v>0</v>
      </c>
      <c r="L1007" s="12"/>
      <c r="M1007" s="12"/>
      <c r="N1007" s="12"/>
      <c r="O1007" s="17">
        <f>IF('Components Yr 1'!O1007=0,0,'Components Yr 1'!O1007)</f>
        <v>0</v>
      </c>
      <c r="P1007" s="12"/>
      <c r="Q1007" s="17"/>
      <c r="R1007" s="18">
        <f>IF(SUMPRODUCT((E1007:Q1007)*1)=0,0,E1007*INDEX(Hours!M:M,MATCH(C1007,Hours!$A:$A,0))+F1007*INDEX(Hours!B:B,MATCH(C1007,Hours!$A:$A,0))+G1007*INDEX(Hours!C:C,MATCH(C1007,Hours!$A:$A,0))+H1007*INDEX(Hours!D:D,MATCH(C1007,Hours!$A:$A,0))+I1007*INDEX(Hours!E:E,MATCH(C1007,Hours!$A:$A,0))+J1007*INDEX(Hours!F:F,MATCH(C1007,Hours!$A:$A,0))+K1007*INDEX(Hours!G:G,MATCH(C1007,Hours!$A:$A,0))+O1007*INDEX(Hours!K:K,MATCH(C1007,Hours!$A:$A,0)))</f>
        <v>0</v>
      </c>
      <c r="S1007" s="19">
        <f t="shared" si="31"/>
        <v>0</v>
      </c>
    </row>
    <row r="1008" spans="1:19" x14ac:dyDescent="0.25">
      <c r="A1008" s="15" t="str">
        <f>'Bldgs &amp; Rooms'!$A$29</f>
        <v>Main Bldg.</v>
      </c>
      <c r="B1008" s="15">
        <f>'Bldgs &amp; Rooms'!$B$29</f>
        <v>0</v>
      </c>
      <c r="C1008" s="14" t="str">
        <f>Hours!$A$9</f>
        <v>Panelboard-Single Cover &lt; 400A (Branch Ckt Panel)</v>
      </c>
      <c r="D1008" s="15">
        <f t="shared" si="30"/>
        <v>0</v>
      </c>
      <c r="E1008" s="16">
        <f>IF('Components Yr 1'!E1008=0,0,'Components Yr 1'!E1008)</f>
        <v>0</v>
      </c>
      <c r="F1008" s="17">
        <f>IF('Components Yr 1'!F1008=0,0,'Components Yr 1'!F1008)</f>
        <v>0</v>
      </c>
      <c r="G1008" s="17">
        <f>IF('Components Yr 1'!G1008=0,0,'Components Yr 1'!G1008)</f>
        <v>0</v>
      </c>
      <c r="H1008" s="17">
        <f>IF('Components Yr 1'!H1008=0,0,'Components Yr 1'!H1008)</f>
        <v>0</v>
      </c>
      <c r="I1008" s="17">
        <f>IF('Components Yr 1'!I1008=0,0,'Components Yr 1'!I1008)</f>
        <v>0</v>
      </c>
      <c r="J1008" s="17">
        <f>IF('Components Yr 1'!J1008=0,0,'Components Yr 1'!J1008)</f>
        <v>0</v>
      </c>
      <c r="K1008" s="12"/>
      <c r="L1008" s="12"/>
      <c r="M1008" s="12"/>
      <c r="N1008" s="12"/>
      <c r="O1008" s="17">
        <f>IF('Components Yr 1'!O1008=0,0,'Components Yr 1'!O1008)</f>
        <v>0</v>
      </c>
      <c r="P1008" s="12"/>
      <c r="Q1008" s="17"/>
      <c r="R1008" s="18">
        <f>IF(SUMPRODUCT((E1008:Q1008)*1)=0,0,E1008*INDEX(Hours!M:M,MATCH(C1008,Hours!$A:$A,0))+F1008*INDEX(Hours!B:B,MATCH(C1008,Hours!$A:$A,0))+G1008*INDEX(Hours!C:C,MATCH(C1008,Hours!$A:$A,0))+H1008*INDEX(Hours!D:D,MATCH(C1008,Hours!$A:$A,0))+I1008*INDEX(Hours!E:E,MATCH(C1008,Hours!$A:$A,0))+J1008*INDEX(Hours!F:F,MATCH(C1008,Hours!$A:$A,0))+O1008*INDEX(Hours!K:K,MATCH(C1008,Hours!$A:$A,0)))</f>
        <v>0</v>
      </c>
      <c r="S1008" s="19">
        <f t="shared" si="31"/>
        <v>0</v>
      </c>
    </row>
    <row r="1009" spans="1:19" x14ac:dyDescent="0.25">
      <c r="A1009" s="15" t="str">
        <f>'Bldgs &amp; Rooms'!$A$29</f>
        <v>Main Bldg.</v>
      </c>
      <c r="B1009" s="15">
        <f>'Bldgs &amp; Rooms'!$B$29</f>
        <v>0</v>
      </c>
      <c r="C1009" s="14" t="str">
        <f>Hours!$A$10</f>
        <v>Motor Control Center (MCC-Per Vertical Section)</v>
      </c>
      <c r="D1009" s="15">
        <f t="shared" si="30"/>
        <v>0</v>
      </c>
      <c r="E1009" s="16">
        <f>IF('Components Yr 1'!E1009=0,0,'Components Yr 1'!E1009)</f>
        <v>0</v>
      </c>
      <c r="F1009" s="17">
        <f>IF('Components Yr 1'!F1009=0,0,'Components Yr 1'!F1009)</f>
        <v>0</v>
      </c>
      <c r="G1009" s="17">
        <f>IF('Components Yr 1'!G1009=0,0,'Components Yr 1'!G1009)</f>
        <v>0</v>
      </c>
      <c r="H1009" s="17">
        <f>IF('Components Yr 1'!H1009=0,0,'Components Yr 1'!H1009)</f>
        <v>0</v>
      </c>
      <c r="I1009" s="17">
        <f>IF('Components Yr 1'!I1009=0,0,'Components Yr 1'!I1009)</f>
        <v>0</v>
      </c>
      <c r="J1009" s="17">
        <f>IF('Components Yr 1'!J1009=0,0,'Components Yr 1'!J1009)</f>
        <v>0</v>
      </c>
      <c r="K1009" s="12"/>
      <c r="L1009" s="12"/>
      <c r="M1009" s="12"/>
      <c r="N1009" s="12"/>
      <c r="O1009" s="17">
        <f>IF('Components Yr 1'!O1009=0,0,'Components Yr 1'!O1009)</f>
        <v>0</v>
      </c>
      <c r="P1009" s="12"/>
      <c r="Q1009" s="17"/>
      <c r="R1009" s="18">
        <f>IF(SUMPRODUCT((E1009:Q1009)*1)=0,0,E1009*INDEX(Hours!M:M,MATCH(C1009,Hours!$A:$A,0))+F1009*INDEX(Hours!B:B,MATCH(C1009,Hours!$A:$A,0))+G1009*INDEX(Hours!C:C,MATCH(C1009,Hours!$A:$A,0))+H1009*INDEX(Hours!D:D,MATCH(C1009,Hours!$A:$A,0))+I1009*INDEX(Hours!E:E,MATCH(C1009,Hours!$A:$A,0))+J1009*INDEX(Hours!F:F,MATCH(C1009,Hours!$A:$A,0))+O1009*INDEX(Hours!K:K,MATCH(C1009,Hours!$A:$A,0)))</f>
        <v>0</v>
      </c>
      <c r="S1009" s="19">
        <f t="shared" si="31"/>
        <v>0</v>
      </c>
    </row>
    <row r="1010" spans="1:19" x14ac:dyDescent="0.25">
      <c r="A1010" s="15" t="str">
        <f>'Bldgs &amp; Rooms'!$A$29</f>
        <v>Main Bldg.</v>
      </c>
      <c r="B1010" s="15">
        <f>'Bldgs &amp; Rooms'!$B$29</f>
        <v>0</v>
      </c>
      <c r="C1010" s="14" t="str">
        <f>Hours!$A$11</f>
        <v xml:space="preserve">  MCC: Combination Motor Starters</v>
      </c>
      <c r="D1010" s="15">
        <f t="shared" si="30"/>
        <v>0</v>
      </c>
      <c r="E1010" s="16">
        <f>IF('Components Yr 1'!E1010=0,0,'Components Yr 1'!E1010)</f>
        <v>0</v>
      </c>
      <c r="F1010" s="17">
        <f>IF('Components Yr 1'!F1010=0,0,'Components Yr 1'!F1010)</f>
        <v>0</v>
      </c>
      <c r="G1010" s="17">
        <f>IF('Components Yr 1'!G1010=0,0,'Components Yr 1'!G1010)</f>
        <v>0</v>
      </c>
      <c r="H1010" s="17">
        <f>IF('Components Yr 1'!H1010=0,0,'Components Yr 1'!H1010)</f>
        <v>0</v>
      </c>
      <c r="I1010" s="17">
        <f>IF('Components Yr 1'!I1010=0,0,'Components Yr 1'!I1010)</f>
        <v>0</v>
      </c>
      <c r="J1010" s="17">
        <f>IF('Components Yr 1'!J1010=0,0,'Components Yr 1'!J1010)</f>
        <v>0</v>
      </c>
      <c r="K1010" s="17">
        <f>IF('Components Yr 1'!K1010=0,0,'Components Yr 1'!K1010)</f>
        <v>0</v>
      </c>
      <c r="L1010" s="12"/>
      <c r="M1010" s="12"/>
      <c r="N1010" s="12"/>
      <c r="O1010" s="17">
        <f>IF('Components Yr 1'!O1010=0,0,'Components Yr 1'!O1010)</f>
        <v>0</v>
      </c>
      <c r="P1010" s="12"/>
      <c r="Q1010" s="17"/>
      <c r="R1010" s="18">
        <f>IF(SUMPRODUCT((E1010:Q1010)*1)=0,0,E1010*INDEX(Hours!M:M,MATCH(C1010,Hours!$A:$A,0))+F1010*INDEX(Hours!B:B,MATCH(C1010,Hours!$A:$A,0))+G1010*INDEX(Hours!C:C,MATCH(C1010,Hours!$A:$A,0))+H1010*INDEX(Hours!D:D,MATCH(C1010,Hours!$A:$A,0))+I1010*INDEX(Hours!E:E,MATCH(C1010,Hours!$A:$A,0))+J1010*INDEX(Hours!F:F,MATCH(C1010,Hours!$A:$A,0))+K1010*INDEX(Hours!G:G,MATCH(C1010,Hours!$A:$A,0))+O1010*INDEX(Hours!K:K,MATCH(C1010,Hours!$A:$A,0)))</f>
        <v>0</v>
      </c>
      <c r="S1010" s="19">
        <f t="shared" si="31"/>
        <v>0</v>
      </c>
    </row>
    <row r="1011" spans="1:19" x14ac:dyDescent="0.25">
      <c r="A1011" s="15" t="str">
        <f>'Bldgs &amp; Rooms'!$A$29</f>
        <v>Main Bldg.</v>
      </c>
      <c r="B1011" s="15">
        <f>'Bldgs &amp; Rooms'!$B$29</f>
        <v>0</v>
      </c>
      <c r="C1011" s="14" t="str">
        <f>Hours!$A$12</f>
        <v xml:space="preserve">  MCC: Molded Case Breaker</v>
      </c>
      <c r="D1011" s="15">
        <f t="shared" si="30"/>
        <v>0</v>
      </c>
      <c r="E1011" s="16">
        <f>IF('Components Yr 1'!E1011=0,0,'Components Yr 1'!E1011)</f>
        <v>0</v>
      </c>
      <c r="F1011" s="17">
        <f>IF('Components Yr 1'!F1011=0,0,'Components Yr 1'!F1011)</f>
        <v>0</v>
      </c>
      <c r="G1011" s="17">
        <f>IF('Components Yr 1'!G1011=0,0,'Components Yr 1'!G1011)</f>
        <v>0</v>
      </c>
      <c r="H1011" s="17">
        <f>IF('Components Yr 1'!H1011=0,0,'Components Yr 1'!H1011)</f>
        <v>0</v>
      </c>
      <c r="I1011" s="17">
        <f>IF('Components Yr 1'!I1011=0,0,'Components Yr 1'!I1011)</f>
        <v>0</v>
      </c>
      <c r="J1011" s="17">
        <f>IF('Components Yr 1'!J1011=0,0,'Components Yr 1'!J1011)</f>
        <v>0</v>
      </c>
      <c r="K1011" s="17">
        <f>IF('Components Yr 1'!K1011=0,0,'Components Yr 1'!K1011)</f>
        <v>0</v>
      </c>
      <c r="L1011" s="12"/>
      <c r="M1011" s="12"/>
      <c r="N1011" s="12"/>
      <c r="O1011" s="12"/>
      <c r="P1011" s="12"/>
      <c r="Q1011" s="17"/>
      <c r="R1011" s="18">
        <f>IF(SUMPRODUCT((E1011:Q1011)*1)=0,0,E1011*INDEX(Hours!M:M,MATCH(C1011,Hours!$A:$A,0))+F1011*INDEX(Hours!B:B,MATCH(C1011,Hours!$A:$A,0))+G1011*INDEX(Hours!C:C,MATCH(C1011,Hours!$A:$A,0))+H1011*INDEX(Hours!D:D,MATCH(C1011,Hours!$A:$A,0))+I1011*INDEX(Hours!E:E,MATCH(C1011,Hours!$A:$A,0))+J1011*INDEX(Hours!F:F,MATCH(C1011,Hours!$A:$A,0))+K1011*INDEX(Hours!G:G,MATCH(C1011,Hours!$A:$A,0)))</f>
        <v>0</v>
      </c>
      <c r="S1011" s="19">
        <f t="shared" si="31"/>
        <v>0</v>
      </c>
    </row>
    <row r="1012" spans="1:19" x14ac:dyDescent="0.25">
      <c r="A1012" s="15" t="str">
        <f>'Bldgs &amp; Rooms'!$A$29</f>
        <v>Main Bldg.</v>
      </c>
      <c r="B1012" s="15">
        <f>'Bldgs &amp; Rooms'!$B$29</f>
        <v>0</v>
      </c>
      <c r="C1012" s="14" t="str">
        <f>Hours!$A$13</f>
        <v xml:space="preserve">  MCC: Individual Disconnect Switch</v>
      </c>
      <c r="D1012" s="15">
        <f t="shared" si="30"/>
        <v>0</v>
      </c>
      <c r="E1012" s="16">
        <f>IF('Components Yr 1'!E1012=0,0,'Components Yr 1'!E1012)</f>
        <v>0</v>
      </c>
      <c r="F1012" s="17">
        <f>IF('Components Yr 1'!F1012=0,0,'Components Yr 1'!F1012)</f>
        <v>0</v>
      </c>
      <c r="G1012" s="17">
        <f>IF('Components Yr 1'!G1012=0,0,'Components Yr 1'!G1012)</f>
        <v>0</v>
      </c>
      <c r="H1012" s="17">
        <f>IF('Components Yr 1'!H1012=0,0,'Components Yr 1'!H1012)</f>
        <v>0</v>
      </c>
      <c r="I1012" s="17">
        <f>IF('Components Yr 1'!I1012=0,0,'Components Yr 1'!I1012)</f>
        <v>0</v>
      </c>
      <c r="J1012" s="17">
        <f>IF('Components Yr 1'!J1012=0,0,'Components Yr 1'!J1012)</f>
        <v>0</v>
      </c>
      <c r="K1012" s="12"/>
      <c r="L1012" s="12"/>
      <c r="M1012" s="12"/>
      <c r="N1012" s="12"/>
      <c r="O1012" s="12"/>
      <c r="P1012" s="12"/>
      <c r="Q1012" s="17"/>
      <c r="R1012" s="18">
        <f>IF(SUMPRODUCT((E1012:Q1012)*1)=0,0,E1012*INDEX(Hours!M:M,MATCH(C1012,Hours!$A:$A,0))+F1012*INDEX(Hours!B:B,MATCH(C1012,Hours!$A:$A,0))+G1012*INDEX(Hours!C:C,MATCH(C1012,Hours!$A:$A,0))+H1012*INDEX(Hours!D:D,MATCH(C1012,Hours!$A:$A,0))+I1012*INDEX(Hours!E:E,MATCH(C1012,Hours!$A:$A,0))+J1012*INDEX(Hours!F:F,MATCH(C1012,Hours!$A:$A,0)))</f>
        <v>0</v>
      </c>
      <c r="S1012" s="19">
        <f t="shared" si="31"/>
        <v>0</v>
      </c>
    </row>
    <row r="1013" spans="1:19" x14ac:dyDescent="0.25">
      <c r="A1013" s="15" t="str">
        <f>'Bldgs &amp; Rooms'!$A$29</f>
        <v>Main Bldg.</v>
      </c>
      <c r="B1013" s="15">
        <f>'Bldgs &amp; Rooms'!$B$29</f>
        <v>0</v>
      </c>
      <c r="C1013" s="14" t="str">
        <f>Hours!$A$14</f>
        <v>Motor Control Panel (MCP)</v>
      </c>
      <c r="D1013" s="15">
        <f t="shared" si="30"/>
        <v>0</v>
      </c>
      <c r="E1013" s="16">
        <f>IF('Components Yr 1'!E1013=0,0,'Components Yr 1'!E1013)</f>
        <v>0</v>
      </c>
      <c r="F1013" s="17">
        <f>IF('Components Yr 1'!F1013=0,0,'Components Yr 1'!F1013)</f>
        <v>0</v>
      </c>
      <c r="G1013" s="17">
        <f>IF('Components Yr 1'!G1013=0,0,'Components Yr 1'!G1013)</f>
        <v>0</v>
      </c>
      <c r="H1013" s="17">
        <f>IF('Components Yr 1'!H1013=0,0,'Components Yr 1'!H1013)</f>
        <v>0</v>
      </c>
      <c r="I1013" s="17">
        <f>IF('Components Yr 1'!I1013=0,0,'Components Yr 1'!I1013)</f>
        <v>0</v>
      </c>
      <c r="J1013" s="17">
        <f>IF('Components Yr 1'!J1013=0,0,'Components Yr 1'!J1013)</f>
        <v>0</v>
      </c>
      <c r="K1013" s="12"/>
      <c r="L1013" s="12"/>
      <c r="M1013" s="12"/>
      <c r="N1013" s="12"/>
      <c r="O1013" s="17">
        <f>IF('Components Yr 1'!O1013=0,0,'Components Yr 1'!O1013)</f>
        <v>0</v>
      </c>
      <c r="P1013" s="12"/>
      <c r="Q1013" s="17"/>
      <c r="R1013" s="18">
        <f>IF(SUMPRODUCT((E1013:Q1013)*1)=0,0,E1013*INDEX(Hours!M:M,MATCH(C1013,Hours!$A:$A,0))+F1013*INDEX(Hours!B:B,MATCH(C1013,Hours!$A:$A,0))+G1013*INDEX(Hours!C:C,MATCH(C1013,Hours!$A:$A,0))+H1013*INDEX(Hours!D:D,MATCH(C1013,Hours!$A:$A,0))+I1013*INDEX(Hours!E:E,MATCH(C1013,Hours!$A:$A,0))+J1013*INDEX(Hours!F:F,MATCH(C1013,Hours!$A:$A,0))+O1013*INDEX(Hours!K:K,MATCH(C1013,Hours!$A:$A,0)))</f>
        <v>0</v>
      </c>
      <c r="S1013" s="19">
        <f t="shared" si="31"/>
        <v>0</v>
      </c>
    </row>
    <row r="1014" spans="1:19" x14ac:dyDescent="0.25">
      <c r="A1014" s="15" t="str">
        <f>'Bldgs &amp; Rooms'!$A$29</f>
        <v>Main Bldg.</v>
      </c>
      <c r="B1014" s="15">
        <f>'Bldgs &amp; Rooms'!$B$29</f>
        <v>0</v>
      </c>
      <c r="C1014" s="14" t="str">
        <f>Hours!$A$15</f>
        <v>VFD Motor Control Panel (VFD-MCP)</v>
      </c>
      <c r="D1014" s="15">
        <f t="shared" si="30"/>
        <v>0</v>
      </c>
      <c r="E1014" s="16">
        <f>IF('Components Yr 1'!E1014=0,0,'Components Yr 1'!E1014)</f>
        <v>0</v>
      </c>
      <c r="F1014" s="17">
        <f>IF('Components Yr 1'!F1014=0,0,'Components Yr 1'!F1014)</f>
        <v>0</v>
      </c>
      <c r="G1014" s="17">
        <f>IF('Components Yr 1'!G1014=0,0,'Components Yr 1'!G1014)</f>
        <v>0</v>
      </c>
      <c r="H1014" s="17">
        <f>IF('Components Yr 1'!H1014=0,0,'Components Yr 1'!H1014)</f>
        <v>0</v>
      </c>
      <c r="I1014" s="17">
        <f>IF('Components Yr 1'!I1014=0,0,'Components Yr 1'!I1014)</f>
        <v>0</v>
      </c>
      <c r="J1014" s="17">
        <f>IF('Components Yr 1'!J1014=0,0,'Components Yr 1'!J1014)</f>
        <v>0</v>
      </c>
      <c r="K1014" s="12"/>
      <c r="L1014" s="12"/>
      <c r="M1014" s="12"/>
      <c r="N1014" s="12"/>
      <c r="O1014" s="17">
        <f>IF('Components Yr 1'!O1014=0,0,'Components Yr 1'!O1014)</f>
        <v>0</v>
      </c>
      <c r="P1014" s="12"/>
      <c r="Q1014" s="17"/>
      <c r="R1014" s="18">
        <f>IF(SUMPRODUCT((E1014:Q1014)*1)=0,0,E1014*INDEX(Hours!M:M,MATCH(C1014,Hours!$A:$A,0))+F1014*INDEX(Hours!B:B,MATCH(C1014,Hours!$A:$A,0))+G1014*INDEX(Hours!C:C,MATCH(C1014,Hours!$A:$A,0))+H1014*INDEX(Hours!D:D,MATCH(C1014,Hours!$A:$A,0))+I1014*INDEX(Hours!E:E,MATCH(C1014,Hours!$A:$A,0))+J1014*INDEX(Hours!F:F,MATCH(C1014,Hours!$A:$A,0))+O1014*INDEX(Hours!K:K,MATCH(C1014,Hours!$A:$A,0)))</f>
        <v>0</v>
      </c>
      <c r="S1014" s="19">
        <f t="shared" si="31"/>
        <v>0</v>
      </c>
    </row>
    <row r="1015" spans="1:19" x14ac:dyDescent="0.25">
      <c r="A1015" s="15" t="str">
        <f>'Bldgs &amp; Rooms'!$A$29</f>
        <v>Main Bldg.</v>
      </c>
      <c r="B1015" s="15">
        <f>'Bldgs &amp; Rooms'!$B$29</f>
        <v>0</v>
      </c>
      <c r="C1015" s="14" t="str">
        <f>Hours!$A$16</f>
        <v>Individual Disconnect Switch &gt; 100A</v>
      </c>
      <c r="D1015" s="15">
        <f t="shared" si="30"/>
        <v>0</v>
      </c>
      <c r="E1015" s="16">
        <f>IF('Components Yr 1'!E1015=0,0,'Components Yr 1'!E1015)</f>
        <v>0</v>
      </c>
      <c r="F1015" s="17">
        <f>IF('Components Yr 1'!F1015=0,0,'Components Yr 1'!F1015)</f>
        <v>0</v>
      </c>
      <c r="G1015" s="17">
        <f>IF('Components Yr 1'!G1015=0,0,'Components Yr 1'!G1015)</f>
        <v>0</v>
      </c>
      <c r="H1015" s="17">
        <f>IF('Components Yr 1'!H1015=0,0,'Components Yr 1'!H1015)</f>
        <v>0</v>
      </c>
      <c r="I1015" s="17">
        <f>IF('Components Yr 1'!I1015=0,0,'Components Yr 1'!I1015)</f>
        <v>0</v>
      </c>
      <c r="J1015" s="17">
        <f>IF('Components Yr 1'!J1015=0,0,'Components Yr 1'!J1015)</f>
        <v>0</v>
      </c>
      <c r="K1015" s="17">
        <f>IF('Components Yr 1'!K1015=0,0,'Components Yr 1'!K1015)</f>
        <v>0</v>
      </c>
      <c r="L1015" s="12"/>
      <c r="M1015" s="12"/>
      <c r="N1015" s="12"/>
      <c r="O1015" s="12"/>
      <c r="P1015" s="12"/>
      <c r="Q1015" s="17"/>
      <c r="R1015" s="18">
        <f>IF(SUMPRODUCT((E1015:Q1015)*1)=0,0,E1015*INDEX(Hours!M:M,MATCH(C1015,Hours!$A:$A,0))+F1015*INDEX(Hours!B:B,MATCH(C1015,Hours!$A:$A,0))+G1015*INDEX(Hours!C:C,MATCH(C1015,Hours!$A:$A,0))+H1015*INDEX(Hours!D:D,MATCH(C1015,Hours!$A:$A,0))+I1015*INDEX(Hours!E:E,MATCH(C1015,Hours!$A:$A,0))+J1015*INDEX(Hours!F:F,MATCH(C1015,Hours!$A:$A,0))+K1015*INDEX(Hours!G:G,MATCH(C1015,Hours!$A:$A,0)))</f>
        <v>0</v>
      </c>
      <c r="S1015" s="19">
        <f t="shared" si="31"/>
        <v>0</v>
      </c>
    </row>
    <row r="1016" spans="1:19" x14ac:dyDescent="0.25">
      <c r="A1016" s="15" t="str">
        <f>'Bldgs &amp; Rooms'!$A$29</f>
        <v>Main Bldg.</v>
      </c>
      <c r="B1016" s="15">
        <f>'Bldgs &amp; Rooms'!$B$29</f>
        <v>0</v>
      </c>
      <c r="C1016" s="14" t="str">
        <f>Hours!$A$17</f>
        <v>Individual Molded Case Breaker &gt; 100A</v>
      </c>
      <c r="D1016" s="15">
        <f t="shared" si="30"/>
        <v>0</v>
      </c>
      <c r="E1016" s="16">
        <f>IF('Components Yr 1'!E1016=0,0,'Components Yr 1'!E1016)</f>
        <v>0</v>
      </c>
      <c r="F1016" s="17">
        <f>IF('Components Yr 1'!F1016=0,0,'Components Yr 1'!F1016)</f>
        <v>0</v>
      </c>
      <c r="G1016" s="17">
        <f>IF('Components Yr 1'!G1016=0,0,'Components Yr 1'!G1016)</f>
        <v>0</v>
      </c>
      <c r="H1016" s="17">
        <f>IF('Components Yr 1'!H1016=0,0,'Components Yr 1'!H1016)</f>
        <v>0</v>
      </c>
      <c r="I1016" s="17">
        <f>IF('Components Yr 1'!I1016=0,0,'Components Yr 1'!I1016)</f>
        <v>0</v>
      </c>
      <c r="J1016" s="17">
        <f>IF('Components Yr 1'!J1016=0,0,'Components Yr 1'!J1016)</f>
        <v>0</v>
      </c>
      <c r="K1016" s="17">
        <f>IF('Components Yr 1'!K1016=0,0,'Components Yr 1'!K1016)</f>
        <v>0</v>
      </c>
      <c r="L1016" s="12"/>
      <c r="M1016" s="12"/>
      <c r="N1016" s="12"/>
      <c r="O1016" s="12"/>
      <c r="P1016" s="12"/>
      <c r="Q1016" s="17"/>
      <c r="R1016" s="18">
        <f>IF(SUMPRODUCT((E1016:Q1016)*1)=0,0,E1016*INDEX(Hours!M:M,MATCH(C1016,Hours!$A:$A,0))+F1016*INDEX(Hours!B:B,MATCH(C1016,Hours!$A:$A,0))+G1016*INDEX(Hours!C:C,MATCH(C1016,Hours!$A:$A,0))+H1016*INDEX(Hours!D:D,MATCH(C1016,Hours!$A:$A,0))+I1016*INDEX(Hours!E:E,MATCH(C1016,Hours!$A:$A,0))+J1016*INDEX(Hours!F:F,MATCH(C1016,Hours!$A:$A,0))+K1016*INDEX(Hours!G:G,MATCH(C1016,Hours!$A:$A,0)))</f>
        <v>0</v>
      </c>
      <c r="S1016" s="19">
        <f t="shared" si="31"/>
        <v>0</v>
      </c>
    </row>
    <row r="1017" spans="1:19" x14ac:dyDescent="0.25">
      <c r="A1017" s="15" t="str">
        <f>'Bldgs &amp; Rooms'!$A$29</f>
        <v>Main Bldg.</v>
      </c>
      <c r="B1017" s="15">
        <f>'Bldgs &amp; Rooms'!$B$29</f>
        <v>0</v>
      </c>
      <c r="C1017" s="14" t="str">
        <f>Hours!$A$18</f>
        <v>Individual Combination Motor Starter &gt; 100A</v>
      </c>
      <c r="D1017" s="15">
        <f t="shared" si="30"/>
        <v>0</v>
      </c>
      <c r="E1017" s="16">
        <f>IF('Components Yr 1'!E1017=0,0,'Components Yr 1'!E1017)</f>
        <v>0</v>
      </c>
      <c r="F1017" s="17">
        <f>IF('Components Yr 1'!F1017=0,0,'Components Yr 1'!F1017)</f>
        <v>0</v>
      </c>
      <c r="G1017" s="17">
        <f>IF('Components Yr 1'!G1017=0,0,'Components Yr 1'!G1017)</f>
        <v>0</v>
      </c>
      <c r="H1017" s="17">
        <f>IF('Components Yr 1'!H1017=0,0,'Components Yr 1'!H1017)</f>
        <v>0</v>
      </c>
      <c r="I1017" s="17">
        <f>IF('Components Yr 1'!I1017=0,0,'Components Yr 1'!I1017)</f>
        <v>0</v>
      </c>
      <c r="J1017" s="17">
        <f>IF('Components Yr 1'!J1017=0,0,'Components Yr 1'!J1017)</f>
        <v>0</v>
      </c>
      <c r="K1017" s="17">
        <f>IF('Components Yr 1'!K1017=0,0,'Components Yr 1'!K1017)</f>
        <v>0</v>
      </c>
      <c r="L1017" s="12"/>
      <c r="M1017" s="12"/>
      <c r="N1017" s="12"/>
      <c r="O1017" s="12"/>
      <c r="P1017" s="12"/>
      <c r="Q1017" s="17"/>
      <c r="R1017" s="18">
        <f>IF(SUMPRODUCT((E1017:Q1017)*1)=0,0,E1017*INDEX(Hours!M:M,MATCH(C1017,Hours!$A:$A,0))+F1017*INDEX(Hours!B:B,MATCH(C1017,Hours!$A:$A,0))+G1017*INDEX(Hours!C:C,MATCH(C1017,Hours!$A:$A,0))+H1017*INDEX(Hours!D:D,MATCH(C1017,Hours!$A:$A,0))+I1017*INDEX(Hours!E:E,MATCH(C1017,Hours!$A:$A,0))+J1017*INDEX(Hours!F:F,MATCH(C1017,Hours!$A:$A,0))+K1017*INDEX(Hours!G:G,MATCH(C1017,Hours!$A:$A,0)))</f>
        <v>0</v>
      </c>
      <c r="S1017" s="19">
        <f t="shared" si="31"/>
        <v>0</v>
      </c>
    </row>
    <row r="1018" spans="1:19" x14ac:dyDescent="0.25">
      <c r="A1018" s="15" t="str">
        <f>'Bldgs &amp; Rooms'!$A$29</f>
        <v>Main Bldg.</v>
      </c>
      <c r="B1018" s="15">
        <f>'Bldgs &amp; Rooms'!$B$29</f>
        <v>0</v>
      </c>
      <c r="C1018" s="14" t="str">
        <f>Hours!$A$19</f>
        <v>Oil Filled Transformer - 5kV-15kV Primary - Any Size (Pad Mounted)</v>
      </c>
      <c r="D1018" s="15">
        <f t="shared" si="30"/>
        <v>0</v>
      </c>
      <c r="E1018" s="16">
        <f>IF('Components Yr 1'!E1018=0,0,'Components Yr 1'!E1018)</f>
        <v>0</v>
      </c>
      <c r="F1018" s="17">
        <f>IF('Components Yr 1'!F1018=0,0,'Components Yr 1'!F1018)</f>
        <v>0</v>
      </c>
      <c r="G1018" s="17">
        <f>IF('Components Yr 1'!G1018=0,0,'Components Yr 1'!G1018)</f>
        <v>0</v>
      </c>
      <c r="H1018" s="17">
        <f>IF('Components Yr 1'!H1018=0,0,'Components Yr 1'!H1018)</f>
        <v>0</v>
      </c>
      <c r="I1018" s="17">
        <f>IF('Components Yr 1'!I1018=0,0,'Components Yr 1'!I1018)</f>
        <v>0</v>
      </c>
      <c r="J1018" s="17">
        <f>IF('Components Yr 1'!J1018=0,0,'Components Yr 1'!J1018)</f>
        <v>0</v>
      </c>
      <c r="K1018" s="12"/>
      <c r="L1018" s="12"/>
      <c r="M1018" s="17">
        <f>IF('Components Yr 1'!M1018=0,0,'Components Yr 1'!M1018)</f>
        <v>0</v>
      </c>
      <c r="N1018" s="17">
        <f>IF('Components Yr 1'!N1018=0,0,'Components Yr 1'!N1018)</f>
        <v>0</v>
      </c>
      <c r="O1018" s="12"/>
      <c r="P1018" s="17">
        <f>IF('Components Yr 1'!P1018=0,0,'Components Yr 1'!P1018)</f>
        <v>0</v>
      </c>
      <c r="Q1018" s="17"/>
      <c r="R1018" s="18">
        <f>IF(SUMPRODUCT((E1018:Q1018)*1)=0,0,E1018*INDEX(Hours!M:M,MATCH(C1018,Hours!$A:$A,0))+F1018*INDEX(Hours!B:B,MATCH(C1018,Hours!$A:$A,0))+G1018*INDEX(Hours!C:C,MATCH(C1018,Hours!$A:$A,0))+H1018*INDEX(Hours!D:D,MATCH(C1018,Hours!$A:$A,0))+I1018*INDEX(Hours!E:E,MATCH(C1018,Hours!$A:$A,0))+J1018*INDEX(Hours!F:F,MATCH(C1018,Hours!$A:$A,0))+M1018*INDEX(Hours!I:I,MATCH(C1018,Hours!$A:$A,0))+N1018*INDEX(Hours!J:J,MATCH(C1018,Hours!$A:$A,0))+P1018*INDEX(Hours!L:L,MATCH(C1018,Hours!$A:$A,0)))</f>
        <v>0</v>
      </c>
      <c r="S1018" s="19">
        <f t="shared" si="31"/>
        <v>0</v>
      </c>
    </row>
    <row r="1019" spans="1:19" x14ac:dyDescent="0.25">
      <c r="A1019" s="15" t="str">
        <f>'Bldgs &amp; Rooms'!$A$29</f>
        <v>Main Bldg.</v>
      </c>
      <c r="B1019" s="15">
        <f>'Bldgs &amp; Rooms'!$B$29</f>
        <v>0</v>
      </c>
      <c r="C1019" s="14" t="str">
        <f>Hours!$A$20</f>
        <v>Oil Filled Transformer - &gt; 15kV Primary (Substation Class)</v>
      </c>
      <c r="D1019" s="15">
        <f t="shared" si="30"/>
        <v>0</v>
      </c>
      <c r="E1019" s="16">
        <f>IF('Components Yr 1'!E1019=0,0,'Components Yr 1'!E1019)</f>
        <v>0</v>
      </c>
      <c r="F1019" s="17">
        <f>IF('Components Yr 1'!F1019=0,0,'Components Yr 1'!F1019)</f>
        <v>0</v>
      </c>
      <c r="G1019" s="17">
        <f>IF('Components Yr 1'!G1019=0,0,'Components Yr 1'!G1019)</f>
        <v>0</v>
      </c>
      <c r="H1019" s="17">
        <f>IF('Components Yr 1'!H1019=0,0,'Components Yr 1'!H1019)</f>
        <v>0</v>
      </c>
      <c r="I1019" s="17">
        <f>IF('Components Yr 1'!I1019=0,0,'Components Yr 1'!I1019)</f>
        <v>0</v>
      </c>
      <c r="J1019" s="17">
        <f>IF('Components Yr 1'!J1019=0,0,'Components Yr 1'!J1019)</f>
        <v>0</v>
      </c>
      <c r="K1019" s="12"/>
      <c r="L1019" s="12"/>
      <c r="M1019" s="17">
        <f>IF('Components Yr 1'!M1019=0,0,'Components Yr 1'!M1019)</f>
        <v>0</v>
      </c>
      <c r="N1019" s="17">
        <f>IF('Components Yr 1'!N1019=0,0,'Components Yr 1'!N1019)</f>
        <v>0</v>
      </c>
      <c r="O1019" s="12"/>
      <c r="P1019" s="17">
        <f>IF('Components Yr 1'!P1019=0,0,'Components Yr 1'!P1019)</f>
        <v>0</v>
      </c>
      <c r="Q1019" s="17"/>
      <c r="R1019" s="18">
        <f>IF(SUMPRODUCT((E1019:Q1019)*1)=0,0,E1019*INDEX(Hours!M:M,MATCH(C1019,Hours!$A:$A,0))+F1019*INDEX(Hours!B:B,MATCH(C1019,Hours!$A:$A,0))+G1019*INDEX(Hours!C:C,MATCH(C1019,Hours!$A:$A,0))+H1019*INDEX(Hours!D:D,MATCH(C1019,Hours!$A:$A,0))+I1019*INDEX(Hours!E:E,MATCH(C1019,Hours!$A:$A,0))+J1019*INDEX(Hours!F:F,MATCH(C1019,Hours!$A:$A,0))+M1019*INDEX(Hours!I:I,MATCH(C1019,Hours!$A:$A,0))+N1019*INDEX(Hours!J:J,MATCH(C1019,Hours!$A:$A,0))+P1019*INDEX(Hours!L:L,MATCH(C1019,Hours!$A:$A,0)))</f>
        <v>0</v>
      </c>
      <c r="S1019" s="19">
        <f t="shared" si="31"/>
        <v>0</v>
      </c>
    </row>
    <row r="1020" spans="1:19" x14ac:dyDescent="0.25">
      <c r="A1020" s="15" t="str">
        <f>'Bldgs &amp; Rooms'!$A$29</f>
        <v>Main Bldg.</v>
      </c>
      <c r="B1020" s="15">
        <f>'Bldgs &amp; Rooms'!$B$29</f>
        <v>0</v>
      </c>
      <c r="C1020" s="14" t="str">
        <f>Hours!$A$21</f>
        <v>Dry Type Transformer - &lt; 480V Primary - Any Size kVA</v>
      </c>
      <c r="D1020" s="15">
        <f t="shared" si="30"/>
        <v>0</v>
      </c>
      <c r="E1020" s="16">
        <f>IF('Components Yr 1'!E1020=0,0,'Components Yr 1'!E1020)</f>
        <v>0</v>
      </c>
      <c r="F1020" s="17">
        <f>IF('Components Yr 1'!F1020=0,0,'Components Yr 1'!F1020)</f>
        <v>0</v>
      </c>
      <c r="G1020" s="17">
        <f>IF('Components Yr 1'!G1020=0,0,'Components Yr 1'!G1020)</f>
        <v>0</v>
      </c>
      <c r="H1020" s="17">
        <f>IF('Components Yr 1'!H1020=0,0,'Components Yr 1'!H1020)</f>
        <v>0</v>
      </c>
      <c r="I1020" s="17">
        <f>IF('Components Yr 1'!I1020=0,0,'Components Yr 1'!I1020)</f>
        <v>0</v>
      </c>
      <c r="J1020" s="17">
        <f>IF('Components Yr 1'!J1020=0,0,'Components Yr 1'!J1020)</f>
        <v>0</v>
      </c>
      <c r="K1020" s="12"/>
      <c r="L1020" s="12"/>
      <c r="M1020" s="17">
        <f>IF('Components Yr 1'!M1020=0,0,'Components Yr 1'!M1020)</f>
        <v>0</v>
      </c>
      <c r="N1020" s="17">
        <f>IF('Components Yr 1'!N1020=0,0,'Components Yr 1'!N1020)</f>
        <v>0</v>
      </c>
      <c r="O1020" s="12"/>
      <c r="P1020" s="12"/>
      <c r="Q1020" s="17"/>
      <c r="R1020" s="18">
        <f>IF(SUMPRODUCT((E1020:Q1020)*1)=0,0,E1020*INDEX(Hours!M:M,MATCH(C1020,Hours!$A:$A,0))+F1020*INDEX(Hours!B:B,MATCH(C1020,Hours!$A:$A,0))+G1020*INDEX(Hours!C:C,MATCH(C1020,Hours!$A:$A,0))+H1020*INDEX(Hours!D:D,MATCH(C1020,Hours!$A:$A,0))+I1020*INDEX(Hours!E:E,MATCH(C1020,Hours!$A:$A,0))+J1020*INDEX(Hours!F:F,MATCH(C1020,Hours!$A:$A,0))+M1020*INDEX(Hours!I:I,MATCH(C1020,Hours!$A:$A,0))+N1020*INDEX(Hours!J:J,MATCH(C1020,Hours!$A:$A,0)))</f>
        <v>0</v>
      </c>
      <c r="S1020" s="19">
        <f t="shared" si="31"/>
        <v>0</v>
      </c>
    </row>
    <row r="1021" spans="1:19" x14ac:dyDescent="0.25">
      <c r="A1021" s="15" t="str">
        <f>'Bldgs &amp; Rooms'!$A$29</f>
        <v>Main Bldg.</v>
      </c>
      <c r="B1021" s="15">
        <f>'Bldgs &amp; Rooms'!$B$29</f>
        <v>0</v>
      </c>
      <c r="C1021" s="14" t="str">
        <f>Hours!$A$22</f>
        <v>Power Factor Correction Capacitors</v>
      </c>
      <c r="D1021" s="15">
        <f t="shared" si="30"/>
        <v>0</v>
      </c>
      <c r="E1021" s="16">
        <f>IF('Components Yr 1'!E1021=0,0,'Components Yr 1'!E1021)</f>
        <v>0</v>
      </c>
      <c r="F1021" s="17">
        <f>IF('Components Yr 1'!F1021=0,0,'Components Yr 1'!F1021)</f>
        <v>0</v>
      </c>
      <c r="G1021" s="17">
        <f>IF('Components Yr 1'!G1021=0,0,'Components Yr 1'!G1021)</f>
        <v>0</v>
      </c>
      <c r="H1021" s="17">
        <f>IF('Components Yr 1'!H1021=0,0,'Components Yr 1'!H1021)</f>
        <v>0</v>
      </c>
      <c r="I1021" s="17">
        <f>IF('Components Yr 1'!I1021=0,0,'Components Yr 1'!I1021)</f>
        <v>0</v>
      </c>
      <c r="J1021" s="17">
        <f>IF('Components Yr 1'!J1021=0,0,'Components Yr 1'!J1021)</f>
        <v>0</v>
      </c>
      <c r="K1021" s="12"/>
      <c r="L1021" s="12"/>
      <c r="M1021" s="12"/>
      <c r="N1021" s="12"/>
      <c r="O1021" s="12"/>
      <c r="P1021" s="12"/>
      <c r="Q1021" s="17"/>
      <c r="R1021" s="18">
        <f>IF(SUMPRODUCT((E1021:Q1021)*1)=0,0,E1021*INDEX(Hours!M:M,MATCH(C1021,Hours!$A:$A,0))+F1021*INDEX(Hours!B:B,MATCH(C1021,Hours!$A:$A,0))+G1021*INDEX(Hours!C:C,MATCH(C1021,Hours!$A:$A,0))+H1021*INDEX(Hours!D:D,MATCH(C1021,Hours!$A:$A,0))+I1021*INDEX(Hours!E:E,MATCH(C1021,Hours!$A:$A,0))+J1021*INDEX(Hours!F:F,MATCH(C1021,Hours!$A:$A,0)))</f>
        <v>0</v>
      </c>
      <c r="S1021" s="19">
        <f t="shared" si="31"/>
        <v>0</v>
      </c>
    </row>
    <row r="1022" spans="1:19" x14ac:dyDescent="0.25">
      <c r="A1022" s="15" t="str">
        <f>'Bldgs &amp; Rooms'!$A$29</f>
        <v>Main Bldg.</v>
      </c>
      <c r="B1022" s="15">
        <f>'Bldgs &amp; Rooms'!$B$29</f>
        <v>0</v>
      </c>
      <c r="C1022" s="14" t="str">
        <f>Hours!$A$23</f>
        <v>Lighting Contactor &gt; 100A</v>
      </c>
      <c r="D1022" s="15">
        <f t="shared" si="30"/>
        <v>0</v>
      </c>
      <c r="E1022" s="16">
        <f>IF('Components Yr 1'!E1022=0,0,'Components Yr 1'!E1022)</f>
        <v>0</v>
      </c>
      <c r="F1022" s="17">
        <f>IF('Components Yr 1'!F1022=0,0,'Components Yr 1'!F1022)</f>
        <v>0</v>
      </c>
      <c r="G1022" s="17">
        <f>IF('Components Yr 1'!G1022=0,0,'Components Yr 1'!G1022)</f>
        <v>0</v>
      </c>
      <c r="H1022" s="17">
        <f>IF('Components Yr 1'!H1022=0,0,'Components Yr 1'!H1022)</f>
        <v>0</v>
      </c>
      <c r="I1022" s="17">
        <f>IF('Components Yr 1'!I1022=0,0,'Components Yr 1'!I1022)</f>
        <v>0</v>
      </c>
      <c r="J1022" s="17">
        <f>IF('Components Yr 1'!J1022=0,0,'Components Yr 1'!J1022)</f>
        <v>0</v>
      </c>
      <c r="K1022" s="12"/>
      <c r="L1022" s="12"/>
      <c r="M1022" s="12"/>
      <c r="N1022" s="12"/>
      <c r="O1022" s="12"/>
      <c r="P1022" s="12"/>
      <c r="Q1022" s="17"/>
      <c r="R1022" s="18">
        <f>IF(SUMPRODUCT((E1022:Q1022)*1)=0,0,E1022*INDEX(Hours!M:M,MATCH(C1022,Hours!$A:$A,0))+F1022*INDEX(Hours!B:B,MATCH(C1022,Hours!$A:$A,0))+G1022*INDEX(Hours!C:C,MATCH(C1022,Hours!$A:$A,0))+H1022*INDEX(Hours!D:D,MATCH(C1022,Hours!$A:$A,0))+I1022*INDEX(Hours!E:E,MATCH(C1022,Hours!$A:$A,0))+J1022*INDEX(Hours!F:F,MATCH(C1022,Hours!$A:$A,0)))</f>
        <v>0</v>
      </c>
      <c r="S1022" s="19">
        <f t="shared" si="31"/>
        <v>0</v>
      </c>
    </row>
    <row r="1023" spans="1:19" x14ac:dyDescent="0.25">
      <c r="A1023" s="15" t="str">
        <f>'Bldgs &amp; Rooms'!$A$29</f>
        <v>Main Bldg.</v>
      </c>
      <c r="B1023" s="15">
        <f>'Bldgs &amp; Rooms'!$B$29</f>
        <v>0</v>
      </c>
      <c r="C1023" s="14" t="str">
        <f>Hours!$A$24</f>
        <v>Power Distribution Unit (PDU)</v>
      </c>
      <c r="D1023" s="15">
        <f t="shared" si="30"/>
        <v>0</v>
      </c>
      <c r="E1023" s="16">
        <f>IF('Components Yr 1'!E1023=0,0,'Components Yr 1'!E1023)</f>
        <v>0</v>
      </c>
      <c r="F1023" s="17">
        <f>IF('Components Yr 1'!F1023=0,0,'Components Yr 1'!F1023)</f>
        <v>0</v>
      </c>
      <c r="G1023" s="17">
        <f>IF('Components Yr 1'!G1023=0,0,'Components Yr 1'!G1023)</f>
        <v>0</v>
      </c>
      <c r="H1023" s="17">
        <f>IF('Components Yr 1'!H1023=0,0,'Components Yr 1'!H1023)</f>
        <v>0</v>
      </c>
      <c r="I1023" s="17">
        <f>IF('Components Yr 1'!I1023=0,0,'Components Yr 1'!I1023)</f>
        <v>0</v>
      </c>
      <c r="J1023" s="17">
        <f>IF('Components Yr 1'!J1023=0,0,'Components Yr 1'!J1023)</f>
        <v>0</v>
      </c>
      <c r="K1023" s="12"/>
      <c r="L1023" s="12"/>
      <c r="M1023" s="12"/>
      <c r="N1023" s="12"/>
      <c r="O1023" s="12"/>
      <c r="P1023" s="12"/>
      <c r="Q1023" s="17"/>
      <c r="R1023" s="18">
        <f>IF(SUMPRODUCT((E1023:Q1023)*1)=0,0,E1023*INDEX(Hours!M:M,MATCH(C1023,Hours!$A:$A,0))+F1023*INDEX(Hours!B:B,MATCH(C1023,Hours!$A:$A,0))+G1023*INDEX(Hours!C:C,MATCH(C1023,Hours!$A:$A,0))+H1023*INDEX(Hours!D:D,MATCH(C1023,Hours!$A:$A,0))+I1023*INDEX(Hours!E:E,MATCH(C1023,Hours!$A:$A,0))+J1023*INDEX(Hours!F:F,MATCH(C1023,Hours!$A:$A,0)))</f>
        <v>0</v>
      </c>
      <c r="S1023" s="19">
        <f t="shared" si="31"/>
        <v>0</v>
      </c>
    </row>
    <row r="1024" spans="1:19" x14ac:dyDescent="0.25">
      <c r="A1024" s="15" t="str">
        <f>'Bldgs &amp; Rooms'!$A$29</f>
        <v>Main Bldg.</v>
      </c>
      <c r="B1024" s="15">
        <f>'Bldgs &amp; Rooms'!$B$29</f>
        <v>0</v>
      </c>
      <c r="C1024" s="14" t="str">
        <f>Hours!$A$25</f>
        <v>Wire Trough, Gutter, or Large Junction Boxes</v>
      </c>
      <c r="D1024" s="15">
        <f t="shared" si="30"/>
        <v>0</v>
      </c>
      <c r="E1024" s="16">
        <f>IF('Components Yr 1'!E1024=0,0,'Components Yr 1'!E1024)</f>
        <v>0</v>
      </c>
      <c r="F1024" s="17">
        <f>IF('Components Yr 1'!F1024=0,0,'Components Yr 1'!F1024)</f>
        <v>0</v>
      </c>
      <c r="G1024" s="17">
        <f>IF('Components Yr 1'!G1024=0,0,'Components Yr 1'!G1024)</f>
        <v>0</v>
      </c>
      <c r="H1024" s="17">
        <f>IF('Components Yr 1'!H1024=0,0,'Components Yr 1'!H1024)</f>
        <v>0</v>
      </c>
      <c r="I1024" s="17">
        <f>IF('Components Yr 1'!I1024=0,0,'Components Yr 1'!I1024)</f>
        <v>0</v>
      </c>
      <c r="J1024" s="17">
        <f>IF('Components Yr 1'!J1024=0,0,'Components Yr 1'!J1024)</f>
        <v>0</v>
      </c>
      <c r="K1024" s="12"/>
      <c r="L1024" s="12"/>
      <c r="M1024" s="12"/>
      <c r="N1024" s="12"/>
      <c r="O1024" s="12"/>
      <c r="P1024" s="12"/>
      <c r="Q1024" s="17"/>
      <c r="R1024" s="18">
        <f>IF(SUMPRODUCT((E1024:Q1024)*1)=0,0,E1024*INDEX(Hours!M:M,MATCH(C1024,Hours!$A:$A,0))+F1024*INDEX(Hours!B:B,MATCH(C1024,Hours!$A:$A,0))+G1024*INDEX(Hours!C:C,MATCH(C1024,Hours!$A:$A,0))+H1024*INDEX(Hours!D:D,MATCH(C1024,Hours!$A:$A,0))+I1024*INDEX(Hours!E:E,MATCH(C1024,Hours!$A:$A,0))+J1024*INDEX(Hours!F:F,MATCH(C1024,Hours!$A:$A,0)))</f>
        <v>0</v>
      </c>
      <c r="S1024" s="19">
        <f t="shared" si="31"/>
        <v>0</v>
      </c>
    </row>
    <row r="1025" spans="1:19" x14ac:dyDescent="0.25">
      <c r="A1025" s="15" t="str">
        <f>'Bldgs &amp; Rooms'!$A$29</f>
        <v>Main Bldg.</v>
      </c>
      <c r="B1025" s="15">
        <f>'Bldgs &amp; Rooms'!$B$29</f>
        <v>0</v>
      </c>
      <c r="C1025" s="14" t="str">
        <f>Hours!$A$26</f>
        <v>Bus Duct - Vertical or Horizontal (Per 10' section)</v>
      </c>
      <c r="D1025" s="15">
        <f t="shared" si="30"/>
        <v>0</v>
      </c>
      <c r="E1025" s="16">
        <f>IF('Components Yr 1'!E1025=0,0,'Components Yr 1'!E1025)</f>
        <v>0</v>
      </c>
      <c r="F1025" s="17">
        <f>IF('Components Yr 1'!F1025=0,0,'Components Yr 1'!F1025)</f>
        <v>0</v>
      </c>
      <c r="G1025" s="17">
        <f>IF('Components Yr 1'!G1025=0,0,'Components Yr 1'!G1025)</f>
        <v>0</v>
      </c>
      <c r="H1025" s="17">
        <f>IF('Components Yr 1'!H1025=0,0,'Components Yr 1'!H1025)</f>
        <v>0</v>
      </c>
      <c r="I1025" s="17">
        <f>IF('Components Yr 1'!I1025=0,0,'Components Yr 1'!I1025)</f>
        <v>0</v>
      </c>
      <c r="J1025" s="17">
        <f>IF('Components Yr 1'!J1025=0,0,'Components Yr 1'!J1025)</f>
        <v>0</v>
      </c>
      <c r="K1025" s="12"/>
      <c r="L1025" s="12"/>
      <c r="M1025" s="12"/>
      <c r="N1025" s="12"/>
      <c r="O1025" s="12"/>
      <c r="P1025" s="12"/>
      <c r="Q1025" s="17"/>
      <c r="R1025" s="18">
        <f>IF(SUMPRODUCT((E1025:Q1025)*1)=0,0,E1025*INDEX(Hours!M:M,MATCH(C1025,Hours!$A:$A,0))+F1025*INDEX(Hours!B:B,MATCH(C1025,Hours!$A:$A,0))+G1025*INDEX(Hours!C:C,MATCH(C1025,Hours!$A:$A,0))+H1025*INDEX(Hours!D:D,MATCH(C1025,Hours!$A:$A,0))+I1025*INDEX(Hours!E:E,MATCH(C1025,Hours!$A:$A,0))+J1025*INDEX(Hours!F:F,MATCH(C1025,Hours!$A:$A,0)))</f>
        <v>0</v>
      </c>
      <c r="S1025" s="19">
        <f t="shared" si="31"/>
        <v>0</v>
      </c>
    </row>
    <row r="1026" spans="1:19" x14ac:dyDescent="0.25">
      <c r="A1026" s="15" t="str">
        <f>'Bldgs &amp; Rooms'!$A$29</f>
        <v>Main Bldg.</v>
      </c>
      <c r="B1026" s="15">
        <f>'Bldgs &amp; Rooms'!$B$29</f>
        <v>0</v>
      </c>
      <c r="C1026" s="14" t="str">
        <f>Hours!$A$27</f>
        <v>Automatic Transfer Switch (ATS) &gt; 100A</v>
      </c>
      <c r="D1026" s="15">
        <f t="shared" ref="D1026:D1089" si="32">MAX(E1026+F1026,G1026,H1026,I1026,J1026,K1026,L1026,M1026,N1026,O1026,P1026,Q1026)</f>
        <v>0</v>
      </c>
      <c r="E1026" s="16">
        <f>IF('Components Yr 1'!E1026=0,0,'Components Yr 1'!E1026)</f>
        <v>0</v>
      </c>
      <c r="F1026" s="17">
        <f>IF('Components Yr 1'!F1026=0,0,'Components Yr 1'!F1026)</f>
        <v>0</v>
      </c>
      <c r="G1026" s="17">
        <f>IF('Components Yr 1'!G1026=0,0,'Components Yr 1'!G1026)</f>
        <v>0</v>
      </c>
      <c r="H1026" s="17">
        <f>IF('Components Yr 1'!H1026=0,0,'Components Yr 1'!H1026)</f>
        <v>0</v>
      </c>
      <c r="I1026" s="17">
        <f>IF('Components Yr 1'!I1026=0,0,'Components Yr 1'!I1026)</f>
        <v>0</v>
      </c>
      <c r="J1026" s="17">
        <f>IF('Components Yr 1'!J1026=0,0,'Components Yr 1'!J1026)</f>
        <v>0</v>
      </c>
      <c r="K1026" s="12"/>
      <c r="L1026" s="12"/>
      <c r="M1026" s="12"/>
      <c r="N1026" s="12"/>
      <c r="O1026" s="12"/>
      <c r="P1026" s="12"/>
      <c r="Q1026" s="17"/>
      <c r="R1026" s="18">
        <f>IF(SUMPRODUCT((E1026:Q1026)*1)=0,0,E1026*INDEX(Hours!M:M,MATCH(C1026,Hours!$A:$A,0))+F1026*INDEX(Hours!B:B,MATCH(C1026,Hours!$A:$A,0))+G1026*INDEX(Hours!C:C,MATCH(C1026,Hours!$A:$A,0))+H1026*INDEX(Hours!D:D,MATCH(C1026,Hours!$A:$A,0))+I1026*INDEX(Hours!E:E,MATCH(C1026,Hours!$A:$A,0))+J1026*INDEX(Hours!F:F,MATCH(C1026,Hours!$A:$A,0)))</f>
        <v>0</v>
      </c>
      <c r="S1026" s="19">
        <f t="shared" ref="S1026:S1089" si="33">MAX(E1026+F1026,G1026,H1026,I1026,J1026,K1026,L1026,M1026,N1026,O1026,P1026,Q1026)</f>
        <v>0</v>
      </c>
    </row>
    <row r="1027" spans="1:19" x14ac:dyDescent="0.25">
      <c r="A1027" s="15" t="str">
        <f>'Bldgs &amp; Rooms'!$A$29</f>
        <v>Main Bldg.</v>
      </c>
      <c r="B1027" s="15">
        <f>'Bldgs &amp; Rooms'!$B$29</f>
        <v>0</v>
      </c>
      <c r="C1027" s="14" t="str">
        <f>Hours!$A$28</f>
        <v>Manual Transfer Switch (MTS) &gt; 100A</v>
      </c>
      <c r="D1027" s="15">
        <f t="shared" si="32"/>
        <v>0</v>
      </c>
      <c r="E1027" s="16">
        <f>IF('Components Yr 1'!E1027=0,0,'Components Yr 1'!E1027)</f>
        <v>0</v>
      </c>
      <c r="F1027" s="17">
        <f>IF('Components Yr 1'!F1027=0,0,'Components Yr 1'!F1027)</f>
        <v>0</v>
      </c>
      <c r="G1027" s="17">
        <f>IF('Components Yr 1'!G1027=0,0,'Components Yr 1'!G1027)</f>
        <v>0</v>
      </c>
      <c r="H1027" s="17">
        <f>IF('Components Yr 1'!H1027=0,0,'Components Yr 1'!H1027)</f>
        <v>0</v>
      </c>
      <c r="I1027" s="17">
        <f>IF('Components Yr 1'!I1027=0,0,'Components Yr 1'!I1027)</f>
        <v>0</v>
      </c>
      <c r="J1027" s="17">
        <f>IF('Components Yr 1'!J1027=0,0,'Components Yr 1'!J1027)</f>
        <v>0</v>
      </c>
      <c r="K1027" s="12"/>
      <c r="L1027" s="12"/>
      <c r="M1027" s="12"/>
      <c r="N1027" s="12"/>
      <c r="O1027" s="12"/>
      <c r="P1027" s="12"/>
      <c r="Q1027" s="17"/>
      <c r="R1027" s="18">
        <f>IF(SUMPRODUCT((E1027:Q1027)*1)=0,0,E1027*INDEX(Hours!M:M,MATCH(C1027,Hours!$A:$A,0))+F1027*INDEX(Hours!B:B,MATCH(C1027,Hours!$A:$A,0))+G1027*INDEX(Hours!C:C,MATCH(C1027,Hours!$A:$A,0))+H1027*INDEX(Hours!D:D,MATCH(C1027,Hours!$A:$A,0))+I1027*INDEX(Hours!E:E,MATCH(C1027,Hours!$A:$A,0))+J1027*INDEX(Hours!F:F,MATCH(C1027,Hours!$A:$A,0)))</f>
        <v>0</v>
      </c>
      <c r="S1027" s="19">
        <f t="shared" si="33"/>
        <v>0</v>
      </c>
    </row>
    <row r="1028" spans="1:19" x14ac:dyDescent="0.25">
      <c r="A1028" s="15" t="str">
        <f>'Bldgs &amp; Rooms'!$A$29</f>
        <v>Main Bldg.</v>
      </c>
      <c r="B1028" s="15">
        <f>'Bldgs &amp; Rooms'!$B$29</f>
        <v>0</v>
      </c>
      <c r="C1028" s="14" t="str">
        <f>Hours!$A$29</f>
        <v>Variable Frequency Drives (VFD) &lt; 50 HP</v>
      </c>
      <c r="D1028" s="15">
        <f t="shared" si="32"/>
        <v>0</v>
      </c>
      <c r="E1028" s="16">
        <f>IF('Components Yr 1'!E1028=0,0,'Components Yr 1'!E1028)</f>
        <v>0</v>
      </c>
      <c r="F1028" s="17">
        <f>IF('Components Yr 1'!F1028=0,0,'Components Yr 1'!F1028)</f>
        <v>0</v>
      </c>
      <c r="G1028" s="17">
        <f>IF('Components Yr 1'!G1028=0,0,'Components Yr 1'!G1028)</f>
        <v>0</v>
      </c>
      <c r="H1028" s="17">
        <f>IF('Components Yr 1'!H1028=0,0,'Components Yr 1'!H1028)</f>
        <v>0</v>
      </c>
      <c r="I1028" s="17">
        <f>IF('Components Yr 1'!I1028=0,0,'Components Yr 1'!I1028)</f>
        <v>0</v>
      </c>
      <c r="J1028" s="17">
        <f>IF('Components Yr 1'!J1028=0,0,'Components Yr 1'!J1028)</f>
        <v>0</v>
      </c>
      <c r="K1028" s="12"/>
      <c r="L1028" s="12"/>
      <c r="M1028" s="12"/>
      <c r="N1028" s="12"/>
      <c r="O1028" s="12"/>
      <c r="P1028" s="12"/>
      <c r="Q1028" s="17"/>
      <c r="R1028" s="18">
        <f>IF(SUMPRODUCT((E1028:Q1028)*1)=0,0,E1028*INDEX(Hours!M:M,MATCH(C1028,Hours!$A:$A,0))+F1028*INDEX(Hours!B:B,MATCH(C1028,Hours!$A:$A,0))+G1028*INDEX(Hours!C:C,MATCH(C1028,Hours!$A:$A,0))+H1028*INDEX(Hours!D:D,MATCH(C1028,Hours!$A:$A,0))+I1028*INDEX(Hours!E:E,MATCH(C1028,Hours!$A:$A,0))+J1028*INDEX(Hours!F:F,MATCH(C1028,Hours!$A:$A,0)))</f>
        <v>0</v>
      </c>
      <c r="S1028" s="19">
        <f t="shared" si="33"/>
        <v>0</v>
      </c>
    </row>
    <row r="1029" spans="1:19" x14ac:dyDescent="0.25">
      <c r="A1029" s="15" t="str">
        <f>'Bldgs &amp; Rooms'!$A$29</f>
        <v>Main Bldg.</v>
      </c>
      <c r="B1029" s="15">
        <f>'Bldgs &amp; Rooms'!$B$29</f>
        <v>0</v>
      </c>
      <c r="C1029" s="14" t="str">
        <f>Hours!$A$30</f>
        <v>Variable Frequency Drives (VFD) 51-200 HP</v>
      </c>
      <c r="D1029" s="15">
        <f t="shared" si="32"/>
        <v>0</v>
      </c>
      <c r="E1029" s="16">
        <f>IF('Components Yr 1'!E1029=0,0,'Components Yr 1'!E1029)</f>
        <v>0</v>
      </c>
      <c r="F1029" s="17">
        <f>IF('Components Yr 1'!F1029=0,0,'Components Yr 1'!F1029)</f>
        <v>0</v>
      </c>
      <c r="G1029" s="17">
        <f>IF('Components Yr 1'!G1029=0,0,'Components Yr 1'!G1029)</f>
        <v>0</v>
      </c>
      <c r="H1029" s="17">
        <f>IF('Components Yr 1'!H1029=0,0,'Components Yr 1'!H1029)</f>
        <v>0</v>
      </c>
      <c r="I1029" s="17">
        <f>IF('Components Yr 1'!I1029=0,0,'Components Yr 1'!I1029)</f>
        <v>0</v>
      </c>
      <c r="J1029" s="17">
        <f>IF('Components Yr 1'!J1029=0,0,'Components Yr 1'!J1029)</f>
        <v>0</v>
      </c>
      <c r="K1029" s="12"/>
      <c r="L1029" s="12"/>
      <c r="M1029" s="12"/>
      <c r="N1029" s="12"/>
      <c r="O1029" s="12"/>
      <c r="P1029" s="12"/>
      <c r="Q1029" s="17"/>
      <c r="R1029" s="18">
        <f>IF(SUMPRODUCT((E1029:Q1029)*1)=0,0,E1029*INDEX(Hours!M:M,MATCH(C1029,Hours!$A:$A,0))+F1029*INDEX(Hours!B:B,MATCH(C1029,Hours!$A:$A,0))+G1029*INDEX(Hours!C:C,MATCH(C1029,Hours!$A:$A,0))+H1029*INDEX(Hours!D:D,MATCH(C1029,Hours!$A:$A,0))+I1029*INDEX(Hours!E:E,MATCH(C1029,Hours!$A:$A,0))+J1029*INDEX(Hours!F:F,MATCH(C1029,Hours!$A:$A,0)))</f>
        <v>0</v>
      </c>
      <c r="S1029" s="19">
        <f t="shared" si="33"/>
        <v>0</v>
      </c>
    </row>
    <row r="1030" spans="1:19" x14ac:dyDescent="0.25">
      <c r="A1030" s="15" t="str">
        <f>'Bldgs &amp; Rooms'!$A$29</f>
        <v>Main Bldg.</v>
      </c>
      <c r="B1030" s="15">
        <f>'Bldgs &amp; Rooms'!$B$29</f>
        <v>0</v>
      </c>
      <c r="C1030" s="14" t="str">
        <f>Hours!$A$31</f>
        <v>Motors &lt; 50 HP</v>
      </c>
      <c r="D1030" s="15">
        <f t="shared" si="32"/>
        <v>0</v>
      </c>
      <c r="E1030" s="16">
        <f>IF('Components Yr 1'!E1030=0,0,'Components Yr 1'!E1030)</f>
        <v>0</v>
      </c>
      <c r="F1030" s="17">
        <f>IF('Components Yr 1'!F1030=0,0,'Components Yr 1'!F1030)</f>
        <v>0</v>
      </c>
      <c r="G1030" s="17">
        <f>IF('Components Yr 1'!G1030=0,0,'Components Yr 1'!G1030)</f>
        <v>0</v>
      </c>
      <c r="H1030" s="17">
        <f>IF('Components Yr 1'!H1030=0,0,'Components Yr 1'!H1030)</f>
        <v>0</v>
      </c>
      <c r="I1030" s="17">
        <f>IF('Components Yr 1'!I1030=0,0,'Components Yr 1'!I1030)</f>
        <v>0</v>
      </c>
      <c r="J1030" s="17">
        <f>IF('Components Yr 1'!J1030=0,0,'Components Yr 1'!J1030)</f>
        <v>0</v>
      </c>
      <c r="K1030" s="12"/>
      <c r="L1030" s="12"/>
      <c r="M1030" s="12"/>
      <c r="N1030" s="12"/>
      <c r="O1030" s="12"/>
      <c r="P1030" s="12"/>
      <c r="Q1030" s="17"/>
      <c r="R1030" s="18">
        <f>IF(SUMPRODUCT((E1030:Q1030)*1)=0,0,E1030*INDEX(Hours!M:M,MATCH(C1030,Hours!$A:$A,0))+F1030*INDEX(Hours!B:B,MATCH(C1030,Hours!$A:$A,0))+G1030*INDEX(Hours!C:C,MATCH(C1030,Hours!$A:$A,0))+H1030*INDEX(Hours!D:D,MATCH(C1030,Hours!$A:$A,0))+I1030*INDEX(Hours!E:E,MATCH(C1030,Hours!$A:$A,0))+J1030*INDEX(Hours!F:F,MATCH(C1030,Hours!$A:$A,0)))</f>
        <v>0</v>
      </c>
      <c r="S1030" s="19">
        <f t="shared" si="33"/>
        <v>0</v>
      </c>
    </row>
    <row r="1031" spans="1:19" x14ac:dyDescent="0.25">
      <c r="A1031" s="15" t="str">
        <f>'Bldgs &amp; Rooms'!$A$29</f>
        <v>Main Bldg.</v>
      </c>
      <c r="B1031" s="15">
        <f>'Bldgs &amp; Rooms'!$B$29</f>
        <v>0</v>
      </c>
      <c r="C1031" s="14" t="str">
        <f>Hours!$A$32</f>
        <v>Motors 51-200 HP</v>
      </c>
      <c r="D1031" s="15">
        <f t="shared" si="32"/>
        <v>0</v>
      </c>
      <c r="E1031" s="16">
        <f>IF('Components Yr 1'!E1031=0,0,'Components Yr 1'!E1031)</f>
        <v>0</v>
      </c>
      <c r="F1031" s="17">
        <f>IF('Components Yr 1'!F1031=0,0,'Components Yr 1'!F1031)</f>
        <v>0</v>
      </c>
      <c r="G1031" s="17">
        <f>IF('Components Yr 1'!G1031=0,0,'Components Yr 1'!G1031)</f>
        <v>0</v>
      </c>
      <c r="H1031" s="17">
        <f>IF('Components Yr 1'!H1031=0,0,'Components Yr 1'!H1031)</f>
        <v>0</v>
      </c>
      <c r="I1031" s="17">
        <f>IF('Components Yr 1'!I1031=0,0,'Components Yr 1'!I1031)</f>
        <v>0</v>
      </c>
      <c r="J1031" s="17">
        <f>IF('Components Yr 1'!J1031=0,0,'Components Yr 1'!J1031)</f>
        <v>0</v>
      </c>
      <c r="K1031" s="12"/>
      <c r="L1031" s="12"/>
      <c r="M1031" s="12"/>
      <c r="N1031" s="12"/>
      <c r="O1031" s="12"/>
      <c r="P1031" s="12"/>
      <c r="Q1031" s="17"/>
      <c r="R1031" s="18">
        <f>IF(SUMPRODUCT((E1031:Q1031)*1)=0,0,E1031*INDEX(Hours!M:M,MATCH(C1031,Hours!$A:$A,0))+F1031*INDEX(Hours!B:B,MATCH(C1031,Hours!$A:$A,0))+G1031*INDEX(Hours!C:C,MATCH(C1031,Hours!$A:$A,0))+H1031*INDEX(Hours!D:D,MATCH(C1031,Hours!$A:$A,0))+I1031*INDEX(Hours!E:E,MATCH(C1031,Hours!$A:$A,0))+J1031*INDEX(Hours!F:F,MATCH(C1031,Hours!$A:$A,0)))</f>
        <v>0</v>
      </c>
      <c r="S1031" s="19">
        <f t="shared" si="33"/>
        <v>0</v>
      </c>
    </row>
    <row r="1032" spans="1:19" x14ac:dyDescent="0.25">
      <c r="A1032" s="15" t="str">
        <f>'Bldgs &amp; Rooms'!$A$29</f>
        <v>Main Bldg.</v>
      </c>
      <c r="B1032" s="15">
        <f>'Bldgs &amp; Rooms'!$B$29</f>
        <v>0</v>
      </c>
      <c r="C1032" s="14" t="str">
        <f>Hours!$A$33</f>
        <v>Motors 201-500 HP</v>
      </c>
      <c r="D1032" s="15">
        <f t="shared" si="32"/>
        <v>0</v>
      </c>
      <c r="E1032" s="16">
        <f>IF('Components Yr 1'!E1032=0,0,'Components Yr 1'!E1032)</f>
        <v>0</v>
      </c>
      <c r="F1032" s="17">
        <f>IF('Components Yr 1'!F1032=0,0,'Components Yr 1'!F1032)</f>
        <v>0</v>
      </c>
      <c r="G1032" s="17">
        <f>IF('Components Yr 1'!G1032=0,0,'Components Yr 1'!G1032)</f>
        <v>0</v>
      </c>
      <c r="H1032" s="17">
        <f>IF('Components Yr 1'!H1032=0,0,'Components Yr 1'!H1032)</f>
        <v>0</v>
      </c>
      <c r="I1032" s="17">
        <f>IF('Components Yr 1'!I1032=0,0,'Components Yr 1'!I1032)</f>
        <v>0</v>
      </c>
      <c r="J1032" s="17">
        <f>IF('Components Yr 1'!J1032=0,0,'Components Yr 1'!J1032)</f>
        <v>0</v>
      </c>
      <c r="K1032" s="12"/>
      <c r="L1032" s="12"/>
      <c r="M1032" s="12"/>
      <c r="N1032" s="12"/>
      <c r="O1032" s="12"/>
      <c r="P1032" s="12"/>
      <c r="Q1032" s="17"/>
      <c r="R1032" s="18">
        <f>IF(SUMPRODUCT((E1032:Q1032)*1)=0,0,E1032*INDEX(Hours!M:M,MATCH(C1032,Hours!$A:$A,0))+F1032*INDEX(Hours!B:B,MATCH(C1032,Hours!$A:$A,0))+G1032*INDEX(Hours!C:C,MATCH(C1032,Hours!$A:$A,0))+H1032*INDEX(Hours!D:D,MATCH(C1032,Hours!$A:$A,0))+I1032*INDEX(Hours!E:E,MATCH(C1032,Hours!$A:$A,0))+J1032*INDEX(Hours!F:F,MATCH(C1032,Hours!$A:$A,0)))</f>
        <v>0</v>
      </c>
      <c r="S1032" s="19">
        <f t="shared" si="33"/>
        <v>0</v>
      </c>
    </row>
    <row r="1033" spans="1:19" x14ac:dyDescent="0.25">
      <c r="A1033" s="15" t="str">
        <f>'Bldgs &amp; Rooms'!$A$29</f>
        <v>Main Bldg.</v>
      </c>
      <c r="B1033" s="15">
        <f>'Bldgs &amp; Rooms'!$B$29</f>
        <v>0</v>
      </c>
      <c r="C1033" s="14" t="str">
        <f>Hours!$A$34</f>
        <v>Compressed Air Equipment</v>
      </c>
      <c r="D1033" s="15">
        <f t="shared" si="32"/>
        <v>0</v>
      </c>
      <c r="E1033" s="16">
        <f>IF('Components Yr 1'!E1033=0,0,'Components Yr 1'!E1033)</f>
        <v>0</v>
      </c>
      <c r="F1033" s="17">
        <f>IF('Components Yr 1'!F1033=0,0,'Components Yr 1'!F1033)</f>
        <v>0</v>
      </c>
      <c r="G1033" s="17">
        <f>IF('Components Yr 1'!G1033=0,0,'Components Yr 1'!G1033)</f>
        <v>0</v>
      </c>
      <c r="H1033" s="17">
        <f>IF('Components Yr 1'!H1033=0,0,'Components Yr 1'!H1033)</f>
        <v>0</v>
      </c>
      <c r="I1033" s="17">
        <f>IF('Components Yr 1'!I1033=0,0,'Components Yr 1'!I1033)</f>
        <v>0</v>
      </c>
      <c r="J1033" s="17">
        <f>IF('Components Yr 1'!J1033=0,0,'Components Yr 1'!J1033)</f>
        <v>0</v>
      </c>
      <c r="K1033" s="12"/>
      <c r="L1033" s="12"/>
      <c r="M1033" s="12"/>
      <c r="N1033" s="12"/>
      <c r="O1033" s="12"/>
      <c r="P1033" s="12"/>
      <c r="Q1033" s="17"/>
      <c r="R1033" s="18">
        <f>IF(SUMPRODUCT((E1033:Q1033)*1)=0,0,E1033*INDEX(Hours!M:M,MATCH(C1033,Hours!$A:$A,0))+F1033*INDEX(Hours!B:B,MATCH(C1033,Hours!$A:$A,0))+G1033*INDEX(Hours!C:C,MATCH(C1033,Hours!$A:$A,0))+H1033*INDEX(Hours!D:D,MATCH(C1033,Hours!$A:$A,0))+I1033*INDEX(Hours!E:E,MATCH(C1033,Hours!$A:$A,0))+J1033*INDEX(Hours!F:F,MATCH(C1033,Hours!$A:$A,0)))</f>
        <v>0</v>
      </c>
      <c r="S1033" s="19">
        <f t="shared" si="33"/>
        <v>0</v>
      </c>
    </row>
    <row r="1034" spans="1:19" x14ac:dyDescent="0.25">
      <c r="A1034" s="15" t="str">
        <f>'Bldgs &amp; Rooms'!$A$29</f>
        <v>Main Bldg.</v>
      </c>
      <c r="B1034" s="15">
        <f>'Bldgs &amp; Rooms'!$B$29</f>
        <v>0</v>
      </c>
      <c r="C1034" s="14" t="str">
        <f>Hours!$A$35</f>
        <v>HVAC Equipment (Large)</v>
      </c>
      <c r="D1034" s="15">
        <f t="shared" si="32"/>
        <v>0</v>
      </c>
      <c r="E1034" s="16">
        <f>IF('Components Yr 1'!E1034=0,0,'Components Yr 1'!E1034)</f>
        <v>0</v>
      </c>
      <c r="F1034" s="17">
        <f>IF('Components Yr 1'!F1034=0,0,'Components Yr 1'!F1034)</f>
        <v>0</v>
      </c>
      <c r="G1034" s="17">
        <f>IF('Components Yr 1'!G1034=0,0,'Components Yr 1'!G1034)</f>
        <v>0</v>
      </c>
      <c r="H1034" s="17">
        <f>IF('Components Yr 1'!H1034=0,0,'Components Yr 1'!H1034)</f>
        <v>0</v>
      </c>
      <c r="I1034" s="17">
        <f>IF('Components Yr 1'!I1034=0,0,'Components Yr 1'!I1034)</f>
        <v>0</v>
      </c>
      <c r="J1034" s="17">
        <f>IF('Components Yr 1'!J1034=0,0,'Components Yr 1'!J1034)</f>
        <v>0</v>
      </c>
      <c r="K1034" s="12"/>
      <c r="L1034" s="12"/>
      <c r="M1034" s="12"/>
      <c r="N1034" s="12"/>
      <c r="O1034" s="12"/>
      <c r="P1034" s="12"/>
      <c r="Q1034" s="17"/>
      <c r="R1034" s="18">
        <f>IF(SUMPRODUCT((E1034:Q1034)*1)=0,0,E1034*INDEX(Hours!M:M,MATCH(C1034,Hours!$A:$A,0))+F1034*INDEX(Hours!B:B,MATCH(C1034,Hours!$A:$A,0))+G1034*INDEX(Hours!C:C,MATCH(C1034,Hours!$A:$A,0))+H1034*INDEX(Hours!D:D,MATCH(C1034,Hours!$A:$A,0))+I1034*INDEX(Hours!E:E,MATCH(C1034,Hours!$A:$A,0))+J1034*INDEX(Hours!F:F,MATCH(C1034,Hours!$A:$A,0)))</f>
        <v>0</v>
      </c>
      <c r="S1034" s="19">
        <f t="shared" si="33"/>
        <v>0</v>
      </c>
    </row>
    <row r="1035" spans="1:19" x14ac:dyDescent="0.25">
      <c r="A1035" s="15" t="str">
        <f>'Bldgs &amp; Rooms'!$A$29</f>
        <v>Main Bldg.</v>
      </c>
      <c r="B1035" s="15">
        <f>'Bldgs &amp; Rooms'!$B$29</f>
        <v>0</v>
      </c>
      <c r="C1035" s="14" t="str">
        <f>Hours!$A$36</f>
        <v>HVAC Equipment (Small)</v>
      </c>
      <c r="D1035" s="15">
        <f t="shared" si="32"/>
        <v>0</v>
      </c>
      <c r="E1035" s="16">
        <f>IF('Components Yr 1'!E1035=0,0,'Components Yr 1'!E1035)</f>
        <v>0</v>
      </c>
      <c r="F1035" s="17">
        <f>IF('Components Yr 1'!F1035=0,0,'Components Yr 1'!F1035)</f>
        <v>0</v>
      </c>
      <c r="G1035" s="17">
        <f>IF('Components Yr 1'!G1035=0,0,'Components Yr 1'!G1035)</f>
        <v>0</v>
      </c>
      <c r="H1035" s="17">
        <f>IF('Components Yr 1'!H1035=0,0,'Components Yr 1'!H1035)</f>
        <v>0</v>
      </c>
      <c r="I1035" s="17">
        <f>IF('Components Yr 1'!I1035=0,0,'Components Yr 1'!I1035)</f>
        <v>0</v>
      </c>
      <c r="J1035" s="17">
        <f>IF('Components Yr 1'!J1035=0,0,'Components Yr 1'!J1035)</f>
        <v>0</v>
      </c>
      <c r="K1035" s="12"/>
      <c r="L1035" s="12"/>
      <c r="M1035" s="12"/>
      <c r="N1035" s="12"/>
      <c r="O1035" s="12"/>
      <c r="P1035" s="12"/>
      <c r="Q1035" s="17"/>
      <c r="R1035" s="18">
        <f>IF(SUMPRODUCT((E1035:Q1035)*1)=0,0,E1035*INDEX(Hours!M:M,MATCH(C1035,Hours!$A:$A,0))+F1035*INDEX(Hours!B:B,MATCH(C1035,Hours!$A:$A,0))+G1035*INDEX(Hours!C:C,MATCH(C1035,Hours!$A:$A,0))+H1035*INDEX(Hours!D:D,MATCH(C1035,Hours!$A:$A,0))+I1035*INDEX(Hours!E:E,MATCH(C1035,Hours!$A:$A,0))+J1035*INDEX(Hours!F:F,MATCH(C1035,Hours!$A:$A,0)))</f>
        <v>0</v>
      </c>
      <c r="S1035" s="19">
        <f t="shared" si="33"/>
        <v>0</v>
      </c>
    </row>
    <row r="1036" spans="1:19" x14ac:dyDescent="0.25">
      <c r="A1036" s="15" t="str">
        <f>'Bldgs &amp; Rooms'!$A$29</f>
        <v>Main Bldg.</v>
      </c>
      <c r="B1036" s="15">
        <f>'Bldgs &amp; Rooms'!$B$29</f>
        <v>0</v>
      </c>
      <c r="C1036" s="14" t="str">
        <f>Hours!$A$37</f>
        <v>Uninterruptible Power Supply (UPS) &lt; 50kVA</v>
      </c>
      <c r="D1036" s="15">
        <f t="shared" si="32"/>
        <v>0</v>
      </c>
      <c r="E1036" s="16">
        <f>IF('Components Yr 1'!E1036=0,0,'Components Yr 1'!E1036)</f>
        <v>0</v>
      </c>
      <c r="F1036" s="17">
        <f>IF('Components Yr 1'!F1036=0,0,'Components Yr 1'!F1036)</f>
        <v>0</v>
      </c>
      <c r="G1036" s="17">
        <f>IF('Components Yr 1'!G1036=0,0,'Components Yr 1'!G1036)</f>
        <v>0</v>
      </c>
      <c r="H1036" s="17">
        <f>IF('Components Yr 1'!H1036=0,0,'Components Yr 1'!H1036)</f>
        <v>0</v>
      </c>
      <c r="I1036" s="17">
        <f>IF('Components Yr 1'!I1036=0,0,'Components Yr 1'!I1036)</f>
        <v>0</v>
      </c>
      <c r="J1036" s="17">
        <f>IF('Components Yr 1'!J1036=0,0,'Components Yr 1'!J1036)</f>
        <v>0</v>
      </c>
      <c r="K1036" s="12"/>
      <c r="L1036" s="12"/>
      <c r="M1036" s="12"/>
      <c r="N1036" s="12"/>
      <c r="O1036" s="12"/>
      <c r="P1036" s="12"/>
      <c r="Q1036" s="17"/>
      <c r="R1036" s="18">
        <f>IF(SUMPRODUCT((E1036:Q1036)*1)=0,0,E1036*INDEX(Hours!M:M,MATCH(C1036,Hours!$A:$A,0))+F1036*INDEX(Hours!B:B,MATCH(C1036,Hours!$A:$A,0))+G1036*INDEX(Hours!C:C,MATCH(C1036,Hours!$A:$A,0))+H1036*INDEX(Hours!D:D,MATCH(C1036,Hours!$A:$A,0))+I1036*INDEX(Hours!E:E,MATCH(C1036,Hours!$A:$A,0))+J1036*INDEX(Hours!F:F,MATCH(C1036,Hours!$A:$A,0)))</f>
        <v>0</v>
      </c>
      <c r="S1036" s="19">
        <f t="shared" si="33"/>
        <v>0</v>
      </c>
    </row>
    <row r="1037" spans="1:19" x14ac:dyDescent="0.25">
      <c r="A1037" s="15" t="str">
        <f>'Bldgs &amp; Rooms'!$A$29</f>
        <v>Main Bldg.</v>
      </c>
      <c r="B1037" s="15">
        <f>'Bldgs &amp; Rooms'!$B$29</f>
        <v>0</v>
      </c>
      <c r="C1037" s="14" t="str">
        <f>Hours!$A$38</f>
        <v>Uninterruptible Power Supply (UPS) &gt; 50kVA</v>
      </c>
      <c r="D1037" s="15">
        <f t="shared" si="32"/>
        <v>0</v>
      </c>
      <c r="E1037" s="16">
        <f>IF('Components Yr 1'!E1037=0,0,'Components Yr 1'!E1037)</f>
        <v>0</v>
      </c>
      <c r="F1037" s="17">
        <f>IF('Components Yr 1'!F1037=0,0,'Components Yr 1'!F1037)</f>
        <v>0</v>
      </c>
      <c r="G1037" s="17">
        <f>IF('Components Yr 1'!G1037=0,0,'Components Yr 1'!G1037)</f>
        <v>0</v>
      </c>
      <c r="H1037" s="17">
        <f>IF('Components Yr 1'!H1037=0,0,'Components Yr 1'!H1037)</f>
        <v>0</v>
      </c>
      <c r="I1037" s="17">
        <f>IF('Components Yr 1'!I1037=0,0,'Components Yr 1'!I1037)</f>
        <v>0</v>
      </c>
      <c r="J1037" s="17">
        <f>IF('Components Yr 1'!J1037=0,0,'Components Yr 1'!J1037)</f>
        <v>0</v>
      </c>
      <c r="K1037" s="12"/>
      <c r="L1037" s="12"/>
      <c r="M1037" s="12"/>
      <c r="N1037" s="12"/>
      <c r="O1037" s="12"/>
      <c r="P1037" s="12"/>
      <c r="Q1037" s="17"/>
      <c r="R1037" s="18">
        <f>IF(SUMPRODUCT((E1037:Q1037)*1)=0,0,E1037*INDEX(Hours!M:M,MATCH(C1037,Hours!$A:$A,0))+F1037*INDEX(Hours!B:B,MATCH(C1037,Hours!$A:$A,0))+G1037*INDEX(Hours!C:C,MATCH(C1037,Hours!$A:$A,0))+H1037*INDEX(Hours!D:D,MATCH(C1037,Hours!$A:$A,0))+I1037*INDEX(Hours!E:E,MATCH(C1037,Hours!$A:$A,0))+J1037*INDEX(Hours!F:F,MATCH(C1037,Hours!$A:$A,0)))</f>
        <v>0</v>
      </c>
      <c r="S1037" s="19">
        <f t="shared" si="33"/>
        <v>0</v>
      </c>
    </row>
    <row r="1038" spans="1:19" x14ac:dyDescent="0.25">
      <c r="A1038" s="11" t="str">
        <f>'Bldgs &amp; Rooms'!$A$30</f>
        <v>Main Bldg.</v>
      </c>
      <c r="B1038" s="11">
        <f>'Bldgs &amp; Rooms'!$B$30</f>
        <v>0</v>
      </c>
      <c r="C1038" s="10" t="str">
        <f>Hours!$A$2</f>
        <v>Switchgear - Incoming Main Service (Per Section)</v>
      </c>
      <c r="D1038" s="11">
        <f t="shared" si="32"/>
        <v>0</v>
      </c>
      <c r="E1038" s="16">
        <f>IF('Components Yr 1'!E1038=0,0,'Components Yr 1'!E1038)</f>
        <v>0</v>
      </c>
      <c r="F1038" s="17">
        <f>IF('Components Yr 1'!F1038=0,0,'Components Yr 1'!F1038)</f>
        <v>0</v>
      </c>
      <c r="G1038" s="17">
        <f>IF('Components Yr 1'!G1038=0,0,'Components Yr 1'!G1038)</f>
        <v>0</v>
      </c>
      <c r="H1038" s="17">
        <f>IF('Components Yr 1'!H1038=0,0,'Components Yr 1'!H1038)</f>
        <v>0</v>
      </c>
      <c r="I1038" s="17">
        <f>IF('Components Yr 1'!I1038=0,0,'Components Yr 1'!I1038)</f>
        <v>0</v>
      </c>
      <c r="J1038" s="17">
        <f>IF('Components Yr 1'!J1038=0,0,'Components Yr 1'!J1038)</f>
        <v>0</v>
      </c>
      <c r="K1038" s="17">
        <f>IF('Components Yr 1'!K1038=0,0,'Components Yr 1'!K1038)</f>
        <v>0</v>
      </c>
      <c r="L1038" s="17">
        <f>IF('Components Yr 1'!L1038=0,0,'Components Yr 1'!L1038)</f>
        <v>0</v>
      </c>
      <c r="M1038" s="12"/>
      <c r="N1038" s="12"/>
      <c r="O1038" s="17">
        <f>IF('Components Yr 1'!O1038=0,0,'Components Yr 1'!O1038)</f>
        <v>0</v>
      </c>
      <c r="P1038" s="12"/>
      <c r="Q1038" s="17"/>
      <c r="R1038" s="18">
        <f>IF(SUMPRODUCT((E1038:Q1038)*1)=0,0,E1038*INDEX(Hours!M:M,MATCH(C1038,Hours!$A:$A,0))+F1038*INDEX(Hours!B:B,MATCH(C1038,Hours!$A:$A,0))+G1038*INDEX(Hours!C:C,MATCH(C1038,Hours!$A:$A,0))+H1038*INDEX(Hours!D:D,MATCH(C1038,Hours!$A:$A,0))+I1038*INDEX(Hours!E:E,MATCH(C1038,Hours!$A:$A,0))+J1038*INDEX(Hours!F:F,MATCH(C1038,Hours!$A:$A,0))+K1038*INDEX(Hours!G:G,MATCH(C1038,Hours!$A:$A,0))+L1038*INDEX(Hours!H:H,MATCH(C1038,Hours!$A:$A,0))+O1038*INDEX(Hours!K:K,MATCH(C1038,Hours!$A:$A,0)))</f>
        <v>0</v>
      </c>
      <c r="S1038" s="19">
        <f t="shared" si="33"/>
        <v>0</v>
      </c>
    </row>
    <row r="1039" spans="1:19" x14ac:dyDescent="0.25">
      <c r="A1039" s="11" t="str">
        <f>'Bldgs &amp; Rooms'!$A$30</f>
        <v>Main Bldg.</v>
      </c>
      <c r="B1039" s="11">
        <f>'Bldgs &amp; Rooms'!$B$30</f>
        <v>0</v>
      </c>
      <c r="C1039" s="10" t="str">
        <f>Hours!$A$3</f>
        <v xml:space="preserve">  Switchgear Insulated Case Breakers (Bus Mounted)</v>
      </c>
      <c r="D1039" s="11">
        <f t="shared" si="32"/>
        <v>0</v>
      </c>
      <c r="E1039" s="16">
        <f>IF('Components Yr 1'!E1039=0,0,'Components Yr 1'!E1039)</f>
        <v>0</v>
      </c>
      <c r="F1039" s="17">
        <f>IF('Components Yr 1'!F1039=0,0,'Components Yr 1'!F1039)</f>
        <v>0</v>
      </c>
      <c r="G1039" s="17">
        <f>IF('Components Yr 1'!G1039=0,0,'Components Yr 1'!G1039)</f>
        <v>0</v>
      </c>
      <c r="H1039" s="17">
        <f>IF('Components Yr 1'!H1039=0,0,'Components Yr 1'!H1039)</f>
        <v>0</v>
      </c>
      <c r="I1039" s="17">
        <f>IF('Components Yr 1'!I1039=0,0,'Components Yr 1'!I1039)</f>
        <v>0</v>
      </c>
      <c r="J1039" s="17">
        <f>IF('Components Yr 1'!J1039=0,0,'Components Yr 1'!J1039)</f>
        <v>0</v>
      </c>
      <c r="K1039" s="17">
        <f>IF('Components Yr 1'!K1039=0,0,'Components Yr 1'!K1039)</f>
        <v>0</v>
      </c>
      <c r="L1039" s="12"/>
      <c r="M1039" s="12"/>
      <c r="N1039" s="12"/>
      <c r="O1039" s="12"/>
      <c r="P1039" s="12"/>
      <c r="Q1039" s="17"/>
      <c r="R1039" s="18">
        <f>IF(SUMPRODUCT((E1039:Q1039)*1)=0,0,E1039*INDEX(Hours!M:M,MATCH(C1039,Hours!$A:$A,0))+F1039*INDEX(Hours!B:B,MATCH(C1039,Hours!$A:$A,0))+G1039*INDEX(Hours!C:C,MATCH(C1039,Hours!$A:$A,0))+H1039*INDEX(Hours!D:D,MATCH(C1039,Hours!$A:$A,0))+I1039*INDEX(Hours!E:E,MATCH(C1039,Hours!$A:$A,0))+J1039*INDEX(Hours!F:F,MATCH(C1039,Hours!$A:$A,0))+K1039*INDEX(Hours!G:G,MATCH(C1039,Hours!$A:$A,0)))</f>
        <v>0</v>
      </c>
      <c r="S1039" s="19">
        <f t="shared" si="33"/>
        <v>0</v>
      </c>
    </row>
    <row r="1040" spans="1:19" x14ac:dyDescent="0.25">
      <c r="A1040" s="11" t="str">
        <f>'Bldgs &amp; Rooms'!$A$30</f>
        <v>Main Bldg.</v>
      </c>
      <c r="B1040" s="11">
        <f>'Bldgs &amp; Rooms'!$B$30</f>
        <v>0</v>
      </c>
      <c r="C1040" s="10" t="str">
        <f>Hours!$A$4</f>
        <v xml:space="preserve">  SwitchGear Drawout Breakers</v>
      </c>
      <c r="D1040" s="11">
        <f t="shared" si="32"/>
        <v>0</v>
      </c>
      <c r="E1040" s="16">
        <f>IF('Components Yr 1'!E1040=0,0,'Components Yr 1'!E1040)</f>
        <v>0</v>
      </c>
      <c r="F1040" s="17">
        <f>IF('Components Yr 1'!F1040=0,0,'Components Yr 1'!F1040)</f>
        <v>0</v>
      </c>
      <c r="G1040" s="17">
        <f>IF('Components Yr 1'!G1040=0,0,'Components Yr 1'!G1040)</f>
        <v>0</v>
      </c>
      <c r="H1040" s="17">
        <f>IF('Components Yr 1'!H1040=0,0,'Components Yr 1'!H1040)</f>
        <v>0</v>
      </c>
      <c r="I1040" s="17">
        <f>IF('Components Yr 1'!I1040=0,0,'Components Yr 1'!I1040)</f>
        <v>0</v>
      </c>
      <c r="J1040" s="17">
        <f>IF('Components Yr 1'!J1040=0,0,'Components Yr 1'!J1040)</f>
        <v>0</v>
      </c>
      <c r="K1040" s="12"/>
      <c r="L1040" s="17">
        <f>IF('Components Yr 1'!L1040=0,0,'Components Yr 1'!L1040)</f>
        <v>0</v>
      </c>
      <c r="M1040" s="12"/>
      <c r="N1040" s="12"/>
      <c r="O1040" s="12"/>
      <c r="P1040" s="12"/>
      <c r="Q1040" s="17"/>
      <c r="R1040" s="18">
        <f>IF(SUMPRODUCT((E1040:Q1040)*1)=0,0,E1040*INDEX(Hours!M:M,MATCH(C1040,Hours!$A:$A,0))+F1040*INDEX(Hours!B:B,MATCH(C1040,Hours!$A:$A,0))+G1040*INDEX(Hours!C:C,MATCH(C1040,Hours!$A:$A,0))+H1040*INDEX(Hours!D:D,MATCH(C1040,Hours!$A:$A,0))+I1040*INDEX(Hours!E:E,MATCH(C1040,Hours!$A:$A,0))+J1040*INDEX(Hours!F:F,MATCH(C1040,Hours!$A:$A,0))+L1040*INDEX(Hours!H:H,MATCH(C1040,Hours!$A:$A,0)))</f>
        <v>0</v>
      </c>
      <c r="S1040" s="19">
        <f t="shared" si="33"/>
        <v>0</v>
      </c>
    </row>
    <row r="1041" spans="1:19" x14ac:dyDescent="0.25">
      <c r="A1041" s="11" t="str">
        <f>'Bldgs &amp; Rooms'!$A$30</f>
        <v>Main Bldg.</v>
      </c>
      <c r="B1041" s="11">
        <f>'Bldgs &amp; Rooms'!$B$30</f>
        <v>0</v>
      </c>
      <c r="C1041" s="10" t="str">
        <f>Hours!$A$5</f>
        <v>Distribution Switchboard Multi Cover (Per Section)</v>
      </c>
      <c r="D1041" s="11">
        <f t="shared" si="32"/>
        <v>0</v>
      </c>
      <c r="E1041" s="16">
        <f>IF('Components Yr 1'!E1041=0,0,'Components Yr 1'!E1041)</f>
        <v>0</v>
      </c>
      <c r="F1041" s="17">
        <f>IF('Components Yr 1'!F1041=0,0,'Components Yr 1'!F1041)</f>
        <v>0</v>
      </c>
      <c r="G1041" s="17">
        <f>IF('Components Yr 1'!G1041=0,0,'Components Yr 1'!G1041)</f>
        <v>0</v>
      </c>
      <c r="H1041" s="17">
        <f>IF('Components Yr 1'!H1041=0,0,'Components Yr 1'!H1041)</f>
        <v>0</v>
      </c>
      <c r="I1041" s="17">
        <f>IF('Components Yr 1'!I1041=0,0,'Components Yr 1'!I1041)</f>
        <v>0</v>
      </c>
      <c r="J1041" s="17">
        <f>IF('Components Yr 1'!J1041=0,0,'Components Yr 1'!J1041)</f>
        <v>0</v>
      </c>
      <c r="K1041" s="17">
        <f>IF('Components Yr 1'!K1041=0,0,'Components Yr 1'!K1041)</f>
        <v>0</v>
      </c>
      <c r="L1041" s="12"/>
      <c r="M1041" s="12"/>
      <c r="N1041" s="12"/>
      <c r="O1041" s="17">
        <f>IF('Components Yr 1'!O1041=0,0,'Components Yr 1'!O1041)</f>
        <v>0</v>
      </c>
      <c r="P1041" s="12"/>
      <c r="Q1041" s="17"/>
      <c r="R1041" s="18">
        <f>IF(SUMPRODUCT((E1041:Q1041)*1)=0,0,E1041*INDEX(Hours!M:M,MATCH(C1041,Hours!$A:$A,0))+F1041*INDEX(Hours!B:B,MATCH(C1041,Hours!$A:$A,0))+G1041*INDEX(Hours!C:C,MATCH(C1041,Hours!$A:$A,0))+H1041*INDEX(Hours!D:D,MATCH(C1041,Hours!$A:$A,0))+I1041*INDEX(Hours!E:E,MATCH(C1041,Hours!$A:$A,0))+J1041*INDEX(Hours!F:F,MATCH(C1041,Hours!$A:$A,0))+K1041*INDEX(Hours!G:G,MATCH(C1041,Hours!$A:$A,0))+O1041*INDEX(Hours!K:K,MATCH(C1041,Hours!$A:$A,0)))</f>
        <v>0</v>
      </c>
      <c r="S1041" s="19">
        <f t="shared" si="33"/>
        <v>0</v>
      </c>
    </row>
    <row r="1042" spans="1:19" x14ac:dyDescent="0.25">
      <c r="A1042" s="11" t="str">
        <f>'Bldgs &amp; Rooms'!$A$30</f>
        <v>Main Bldg.</v>
      </c>
      <c r="B1042" s="11">
        <f>'Bldgs &amp; Rooms'!$B$30</f>
        <v>0</v>
      </c>
      <c r="C1042" s="10" t="str">
        <f>Hours!$A$6</f>
        <v xml:space="preserve">  Switchboard Disconnects</v>
      </c>
      <c r="D1042" s="11">
        <f t="shared" si="32"/>
        <v>0</v>
      </c>
      <c r="E1042" s="16">
        <f>IF('Components Yr 1'!E1042=0,0,'Components Yr 1'!E1042)</f>
        <v>0</v>
      </c>
      <c r="F1042" s="17">
        <f>IF('Components Yr 1'!F1042=0,0,'Components Yr 1'!F1042)</f>
        <v>0</v>
      </c>
      <c r="G1042" s="17">
        <f>IF('Components Yr 1'!G1042=0,0,'Components Yr 1'!G1042)</f>
        <v>0</v>
      </c>
      <c r="H1042" s="17">
        <f>IF('Components Yr 1'!H1042=0,0,'Components Yr 1'!H1042)</f>
        <v>0</v>
      </c>
      <c r="I1042" s="17">
        <f>IF('Components Yr 1'!I1042=0,0,'Components Yr 1'!I1042)</f>
        <v>0</v>
      </c>
      <c r="J1042" s="17">
        <f>IF('Components Yr 1'!J1042=0,0,'Components Yr 1'!J1042)</f>
        <v>0</v>
      </c>
      <c r="K1042" s="12"/>
      <c r="L1042" s="12"/>
      <c r="M1042" s="12"/>
      <c r="N1042" s="12"/>
      <c r="O1042" s="12"/>
      <c r="P1042" s="12"/>
      <c r="Q1042" s="17"/>
      <c r="R1042" s="18">
        <f>IF(SUMPRODUCT((E1042:Q1042)*1)=0,0,E1042*INDEX(Hours!M:M,MATCH(C1042,Hours!$A:$A,0))+F1042*INDEX(Hours!B:B,MATCH(C1042,Hours!$A:$A,0))+G1042*INDEX(Hours!C:C,MATCH(C1042,Hours!$A:$A,0))+H1042*INDEX(Hours!D:D,MATCH(C1042,Hours!$A:$A,0))+I1042*INDEX(Hours!E:E,MATCH(C1042,Hours!$A:$A,0))+J1042*INDEX(Hours!F:F,MATCH(C1042,Hours!$A:$A,0)))</f>
        <v>0</v>
      </c>
      <c r="S1042" s="19">
        <f t="shared" si="33"/>
        <v>0</v>
      </c>
    </row>
    <row r="1043" spans="1:19" x14ac:dyDescent="0.25">
      <c r="A1043" s="11" t="str">
        <f>'Bldgs &amp; Rooms'!$A$30</f>
        <v>Main Bldg.</v>
      </c>
      <c r="B1043" s="11">
        <f>'Bldgs &amp; Rooms'!$B$30</f>
        <v>0</v>
      </c>
      <c r="C1043" s="10" t="str">
        <f>Hours!$A$7</f>
        <v xml:space="preserve">  Switchboard Molded Case Breakers</v>
      </c>
      <c r="D1043" s="11">
        <f t="shared" si="32"/>
        <v>0</v>
      </c>
      <c r="E1043" s="16">
        <f>IF('Components Yr 1'!E1043=0,0,'Components Yr 1'!E1043)</f>
        <v>0</v>
      </c>
      <c r="F1043" s="17">
        <f>IF('Components Yr 1'!F1043=0,0,'Components Yr 1'!F1043)</f>
        <v>0</v>
      </c>
      <c r="G1043" s="17">
        <f>IF('Components Yr 1'!G1043=0,0,'Components Yr 1'!G1043)</f>
        <v>0</v>
      </c>
      <c r="H1043" s="17">
        <f>IF('Components Yr 1'!H1043=0,0,'Components Yr 1'!H1043)</f>
        <v>0</v>
      </c>
      <c r="I1043" s="17">
        <f>IF('Components Yr 1'!I1043=0,0,'Components Yr 1'!I1043)</f>
        <v>0</v>
      </c>
      <c r="J1043" s="17">
        <f>IF('Components Yr 1'!J1043=0,0,'Components Yr 1'!J1043)</f>
        <v>0</v>
      </c>
      <c r="K1043" s="17">
        <f>IF('Components Yr 1'!K1043=0,0,'Components Yr 1'!K1043)</f>
        <v>0</v>
      </c>
      <c r="L1043" s="12"/>
      <c r="M1043" s="12"/>
      <c r="N1043" s="12"/>
      <c r="O1043" s="12"/>
      <c r="P1043" s="12"/>
      <c r="Q1043" s="17"/>
      <c r="R1043" s="18">
        <f>IF(SUMPRODUCT((E1043:Q1043)*1)=0,0,E1043*INDEX(Hours!M:M,MATCH(C1043,Hours!$A:$A,0))+F1043*INDEX(Hours!B:B,MATCH(C1043,Hours!$A:$A,0))+G1043*INDEX(Hours!C:C,MATCH(C1043,Hours!$A:$A,0))+H1043*INDEX(Hours!D:D,MATCH(C1043,Hours!$A:$A,0))+I1043*INDEX(Hours!E:E,MATCH(C1043,Hours!$A:$A,0))+J1043*INDEX(Hours!F:F,MATCH(C1043,Hours!$A:$A,0))+K1043*INDEX(Hours!G:G,MATCH(C1043,Hours!$A:$A,0)))</f>
        <v>0</v>
      </c>
      <c r="S1043" s="19">
        <f t="shared" si="33"/>
        <v>0</v>
      </c>
    </row>
    <row r="1044" spans="1:19" x14ac:dyDescent="0.25">
      <c r="A1044" s="11" t="str">
        <f>'Bldgs &amp; Rooms'!$A$30</f>
        <v>Main Bldg.</v>
      </c>
      <c r="B1044" s="11">
        <f>'Bldgs &amp; Rooms'!$B$30</f>
        <v>0</v>
      </c>
      <c r="C1044" s="10" t="str">
        <f>Hours!$A$8</f>
        <v>Panelboard-Single Cover &gt; 400A (Distribution Panel)</v>
      </c>
      <c r="D1044" s="11">
        <f t="shared" si="32"/>
        <v>0</v>
      </c>
      <c r="E1044" s="16">
        <f>IF('Components Yr 1'!E1044=0,0,'Components Yr 1'!E1044)</f>
        <v>0</v>
      </c>
      <c r="F1044" s="17">
        <f>IF('Components Yr 1'!F1044=0,0,'Components Yr 1'!F1044)</f>
        <v>0</v>
      </c>
      <c r="G1044" s="17">
        <f>IF('Components Yr 1'!G1044=0,0,'Components Yr 1'!G1044)</f>
        <v>0</v>
      </c>
      <c r="H1044" s="17">
        <f>IF('Components Yr 1'!H1044=0,0,'Components Yr 1'!H1044)</f>
        <v>0</v>
      </c>
      <c r="I1044" s="17">
        <f>IF('Components Yr 1'!I1044=0,0,'Components Yr 1'!I1044)</f>
        <v>0</v>
      </c>
      <c r="J1044" s="17">
        <f>IF('Components Yr 1'!J1044=0,0,'Components Yr 1'!J1044)</f>
        <v>0</v>
      </c>
      <c r="K1044" s="17">
        <f>IF('Components Yr 1'!K1044=0,0,'Components Yr 1'!K1044)</f>
        <v>0</v>
      </c>
      <c r="L1044" s="12"/>
      <c r="M1044" s="12"/>
      <c r="N1044" s="12"/>
      <c r="O1044" s="17">
        <f>IF('Components Yr 1'!O1044=0,0,'Components Yr 1'!O1044)</f>
        <v>0</v>
      </c>
      <c r="P1044" s="12"/>
      <c r="Q1044" s="17"/>
      <c r="R1044" s="18">
        <f>IF(SUMPRODUCT((E1044:Q1044)*1)=0,0,E1044*INDEX(Hours!M:M,MATCH(C1044,Hours!$A:$A,0))+F1044*INDEX(Hours!B:B,MATCH(C1044,Hours!$A:$A,0))+G1044*INDEX(Hours!C:C,MATCH(C1044,Hours!$A:$A,0))+H1044*INDEX(Hours!D:D,MATCH(C1044,Hours!$A:$A,0))+I1044*INDEX(Hours!E:E,MATCH(C1044,Hours!$A:$A,0))+J1044*INDEX(Hours!F:F,MATCH(C1044,Hours!$A:$A,0))+K1044*INDEX(Hours!G:G,MATCH(C1044,Hours!$A:$A,0))+O1044*INDEX(Hours!K:K,MATCH(C1044,Hours!$A:$A,0)))</f>
        <v>0</v>
      </c>
      <c r="S1044" s="19">
        <f t="shared" si="33"/>
        <v>0</v>
      </c>
    </row>
    <row r="1045" spans="1:19" x14ac:dyDescent="0.25">
      <c r="A1045" s="11" t="str">
        <f>'Bldgs &amp; Rooms'!$A$30</f>
        <v>Main Bldg.</v>
      </c>
      <c r="B1045" s="11">
        <f>'Bldgs &amp; Rooms'!$B$30</f>
        <v>0</v>
      </c>
      <c r="C1045" s="10" t="str">
        <f>Hours!$A$9</f>
        <v>Panelboard-Single Cover &lt; 400A (Branch Ckt Panel)</v>
      </c>
      <c r="D1045" s="11">
        <f t="shared" si="32"/>
        <v>0</v>
      </c>
      <c r="E1045" s="16">
        <f>IF('Components Yr 1'!E1045=0,0,'Components Yr 1'!E1045)</f>
        <v>0</v>
      </c>
      <c r="F1045" s="17">
        <f>IF('Components Yr 1'!F1045=0,0,'Components Yr 1'!F1045)</f>
        <v>0</v>
      </c>
      <c r="G1045" s="17">
        <f>IF('Components Yr 1'!G1045=0,0,'Components Yr 1'!G1045)</f>
        <v>0</v>
      </c>
      <c r="H1045" s="17">
        <f>IF('Components Yr 1'!H1045=0,0,'Components Yr 1'!H1045)</f>
        <v>0</v>
      </c>
      <c r="I1045" s="17">
        <f>IF('Components Yr 1'!I1045=0,0,'Components Yr 1'!I1045)</f>
        <v>0</v>
      </c>
      <c r="J1045" s="17">
        <f>IF('Components Yr 1'!J1045=0,0,'Components Yr 1'!J1045)</f>
        <v>0</v>
      </c>
      <c r="K1045" s="12"/>
      <c r="L1045" s="12"/>
      <c r="M1045" s="12"/>
      <c r="N1045" s="12"/>
      <c r="O1045" s="17">
        <f>IF('Components Yr 1'!O1045=0,0,'Components Yr 1'!O1045)</f>
        <v>0</v>
      </c>
      <c r="P1045" s="12"/>
      <c r="Q1045" s="17"/>
      <c r="R1045" s="18">
        <f>IF(SUMPRODUCT((E1045:Q1045)*1)=0,0,E1045*INDEX(Hours!M:M,MATCH(C1045,Hours!$A:$A,0))+F1045*INDEX(Hours!B:B,MATCH(C1045,Hours!$A:$A,0))+G1045*INDEX(Hours!C:C,MATCH(C1045,Hours!$A:$A,0))+H1045*INDEX(Hours!D:D,MATCH(C1045,Hours!$A:$A,0))+I1045*INDEX(Hours!E:E,MATCH(C1045,Hours!$A:$A,0))+J1045*INDEX(Hours!F:F,MATCH(C1045,Hours!$A:$A,0))+O1045*INDEX(Hours!K:K,MATCH(C1045,Hours!$A:$A,0)))</f>
        <v>0</v>
      </c>
      <c r="S1045" s="19">
        <f t="shared" si="33"/>
        <v>0</v>
      </c>
    </row>
    <row r="1046" spans="1:19" x14ac:dyDescent="0.25">
      <c r="A1046" s="11" t="str">
        <f>'Bldgs &amp; Rooms'!$A$30</f>
        <v>Main Bldg.</v>
      </c>
      <c r="B1046" s="11">
        <f>'Bldgs &amp; Rooms'!$B$30</f>
        <v>0</v>
      </c>
      <c r="C1046" s="10" t="str">
        <f>Hours!$A$10</f>
        <v>Motor Control Center (MCC-Per Vertical Section)</v>
      </c>
      <c r="D1046" s="11">
        <f t="shared" si="32"/>
        <v>0</v>
      </c>
      <c r="E1046" s="16">
        <f>IF('Components Yr 1'!E1046=0,0,'Components Yr 1'!E1046)</f>
        <v>0</v>
      </c>
      <c r="F1046" s="17">
        <f>IF('Components Yr 1'!F1046=0,0,'Components Yr 1'!F1046)</f>
        <v>0</v>
      </c>
      <c r="G1046" s="17">
        <f>IF('Components Yr 1'!G1046=0,0,'Components Yr 1'!G1046)</f>
        <v>0</v>
      </c>
      <c r="H1046" s="17">
        <f>IF('Components Yr 1'!H1046=0,0,'Components Yr 1'!H1046)</f>
        <v>0</v>
      </c>
      <c r="I1046" s="17">
        <f>IF('Components Yr 1'!I1046=0,0,'Components Yr 1'!I1046)</f>
        <v>0</v>
      </c>
      <c r="J1046" s="17">
        <f>IF('Components Yr 1'!J1046=0,0,'Components Yr 1'!J1046)</f>
        <v>0</v>
      </c>
      <c r="K1046" s="12"/>
      <c r="L1046" s="12"/>
      <c r="M1046" s="12"/>
      <c r="N1046" s="12"/>
      <c r="O1046" s="17">
        <f>IF('Components Yr 1'!O1046=0,0,'Components Yr 1'!O1046)</f>
        <v>0</v>
      </c>
      <c r="P1046" s="12"/>
      <c r="Q1046" s="17"/>
      <c r="R1046" s="18">
        <f>IF(SUMPRODUCT((E1046:Q1046)*1)=0,0,E1046*INDEX(Hours!M:M,MATCH(C1046,Hours!$A:$A,0))+F1046*INDEX(Hours!B:B,MATCH(C1046,Hours!$A:$A,0))+G1046*INDEX(Hours!C:C,MATCH(C1046,Hours!$A:$A,0))+H1046*INDEX(Hours!D:D,MATCH(C1046,Hours!$A:$A,0))+I1046*INDEX(Hours!E:E,MATCH(C1046,Hours!$A:$A,0))+J1046*INDEX(Hours!F:F,MATCH(C1046,Hours!$A:$A,0))+O1046*INDEX(Hours!K:K,MATCH(C1046,Hours!$A:$A,0)))</f>
        <v>0</v>
      </c>
      <c r="S1046" s="19">
        <f t="shared" si="33"/>
        <v>0</v>
      </c>
    </row>
    <row r="1047" spans="1:19" x14ac:dyDescent="0.25">
      <c r="A1047" s="11" t="str">
        <f>'Bldgs &amp; Rooms'!$A$30</f>
        <v>Main Bldg.</v>
      </c>
      <c r="B1047" s="11">
        <f>'Bldgs &amp; Rooms'!$B$30</f>
        <v>0</v>
      </c>
      <c r="C1047" s="10" t="str">
        <f>Hours!$A$11</f>
        <v xml:space="preserve">  MCC: Combination Motor Starters</v>
      </c>
      <c r="D1047" s="11">
        <f t="shared" si="32"/>
        <v>0</v>
      </c>
      <c r="E1047" s="16">
        <f>IF('Components Yr 1'!E1047=0,0,'Components Yr 1'!E1047)</f>
        <v>0</v>
      </c>
      <c r="F1047" s="17">
        <f>IF('Components Yr 1'!F1047=0,0,'Components Yr 1'!F1047)</f>
        <v>0</v>
      </c>
      <c r="G1047" s="17">
        <f>IF('Components Yr 1'!G1047=0,0,'Components Yr 1'!G1047)</f>
        <v>0</v>
      </c>
      <c r="H1047" s="17">
        <f>IF('Components Yr 1'!H1047=0,0,'Components Yr 1'!H1047)</f>
        <v>0</v>
      </c>
      <c r="I1047" s="17">
        <f>IF('Components Yr 1'!I1047=0,0,'Components Yr 1'!I1047)</f>
        <v>0</v>
      </c>
      <c r="J1047" s="17">
        <f>IF('Components Yr 1'!J1047=0,0,'Components Yr 1'!J1047)</f>
        <v>0</v>
      </c>
      <c r="K1047" s="17">
        <f>IF('Components Yr 1'!K1047=0,0,'Components Yr 1'!K1047)</f>
        <v>0</v>
      </c>
      <c r="L1047" s="12"/>
      <c r="M1047" s="12"/>
      <c r="N1047" s="12"/>
      <c r="O1047" s="17">
        <f>IF('Components Yr 1'!O1047=0,0,'Components Yr 1'!O1047)</f>
        <v>0</v>
      </c>
      <c r="P1047" s="12"/>
      <c r="Q1047" s="17"/>
      <c r="R1047" s="18">
        <f>IF(SUMPRODUCT((E1047:Q1047)*1)=0,0,E1047*INDEX(Hours!M:M,MATCH(C1047,Hours!$A:$A,0))+F1047*INDEX(Hours!B:B,MATCH(C1047,Hours!$A:$A,0))+G1047*INDEX(Hours!C:C,MATCH(C1047,Hours!$A:$A,0))+H1047*INDEX(Hours!D:D,MATCH(C1047,Hours!$A:$A,0))+I1047*INDEX(Hours!E:E,MATCH(C1047,Hours!$A:$A,0))+J1047*INDEX(Hours!F:F,MATCH(C1047,Hours!$A:$A,0))+K1047*INDEX(Hours!G:G,MATCH(C1047,Hours!$A:$A,0))+O1047*INDEX(Hours!K:K,MATCH(C1047,Hours!$A:$A,0)))</f>
        <v>0</v>
      </c>
      <c r="S1047" s="19">
        <f t="shared" si="33"/>
        <v>0</v>
      </c>
    </row>
    <row r="1048" spans="1:19" x14ac:dyDescent="0.25">
      <c r="A1048" s="11" t="str">
        <f>'Bldgs &amp; Rooms'!$A$30</f>
        <v>Main Bldg.</v>
      </c>
      <c r="B1048" s="11">
        <f>'Bldgs &amp; Rooms'!$B$30</f>
        <v>0</v>
      </c>
      <c r="C1048" s="10" t="str">
        <f>Hours!$A$12</f>
        <v xml:space="preserve">  MCC: Molded Case Breaker</v>
      </c>
      <c r="D1048" s="11">
        <f t="shared" si="32"/>
        <v>0</v>
      </c>
      <c r="E1048" s="16">
        <f>IF('Components Yr 1'!E1048=0,0,'Components Yr 1'!E1048)</f>
        <v>0</v>
      </c>
      <c r="F1048" s="17">
        <f>IF('Components Yr 1'!F1048=0,0,'Components Yr 1'!F1048)</f>
        <v>0</v>
      </c>
      <c r="G1048" s="17">
        <f>IF('Components Yr 1'!G1048=0,0,'Components Yr 1'!G1048)</f>
        <v>0</v>
      </c>
      <c r="H1048" s="17">
        <f>IF('Components Yr 1'!H1048=0,0,'Components Yr 1'!H1048)</f>
        <v>0</v>
      </c>
      <c r="I1048" s="17">
        <f>IF('Components Yr 1'!I1048=0,0,'Components Yr 1'!I1048)</f>
        <v>0</v>
      </c>
      <c r="J1048" s="17">
        <f>IF('Components Yr 1'!J1048=0,0,'Components Yr 1'!J1048)</f>
        <v>0</v>
      </c>
      <c r="K1048" s="17">
        <f>IF('Components Yr 1'!K1048=0,0,'Components Yr 1'!K1048)</f>
        <v>0</v>
      </c>
      <c r="L1048" s="12"/>
      <c r="M1048" s="12"/>
      <c r="N1048" s="12"/>
      <c r="O1048" s="12"/>
      <c r="P1048" s="12"/>
      <c r="Q1048" s="17"/>
      <c r="R1048" s="18">
        <f>IF(SUMPRODUCT((E1048:Q1048)*1)=0,0,E1048*INDEX(Hours!M:M,MATCH(C1048,Hours!$A:$A,0))+F1048*INDEX(Hours!B:B,MATCH(C1048,Hours!$A:$A,0))+G1048*INDEX(Hours!C:C,MATCH(C1048,Hours!$A:$A,0))+H1048*INDEX(Hours!D:D,MATCH(C1048,Hours!$A:$A,0))+I1048*INDEX(Hours!E:E,MATCH(C1048,Hours!$A:$A,0))+J1048*INDEX(Hours!F:F,MATCH(C1048,Hours!$A:$A,0))+K1048*INDEX(Hours!G:G,MATCH(C1048,Hours!$A:$A,0)))</f>
        <v>0</v>
      </c>
      <c r="S1048" s="19">
        <f t="shared" si="33"/>
        <v>0</v>
      </c>
    </row>
    <row r="1049" spans="1:19" x14ac:dyDescent="0.25">
      <c r="A1049" s="11" t="str">
        <f>'Bldgs &amp; Rooms'!$A$30</f>
        <v>Main Bldg.</v>
      </c>
      <c r="B1049" s="11">
        <f>'Bldgs &amp; Rooms'!$B$30</f>
        <v>0</v>
      </c>
      <c r="C1049" s="10" t="str">
        <f>Hours!$A$13</f>
        <v xml:space="preserve">  MCC: Individual Disconnect Switch</v>
      </c>
      <c r="D1049" s="11">
        <f t="shared" si="32"/>
        <v>0</v>
      </c>
      <c r="E1049" s="16">
        <f>IF('Components Yr 1'!E1049=0,0,'Components Yr 1'!E1049)</f>
        <v>0</v>
      </c>
      <c r="F1049" s="17">
        <f>IF('Components Yr 1'!F1049=0,0,'Components Yr 1'!F1049)</f>
        <v>0</v>
      </c>
      <c r="G1049" s="17">
        <f>IF('Components Yr 1'!G1049=0,0,'Components Yr 1'!G1049)</f>
        <v>0</v>
      </c>
      <c r="H1049" s="17">
        <f>IF('Components Yr 1'!H1049=0,0,'Components Yr 1'!H1049)</f>
        <v>0</v>
      </c>
      <c r="I1049" s="17">
        <f>IF('Components Yr 1'!I1049=0,0,'Components Yr 1'!I1049)</f>
        <v>0</v>
      </c>
      <c r="J1049" s="17">
        <f>IF('Components Yr 1'!J1049=0,0,'Components Yr 1'!J1049)</f>
        <v>0</v>
      </c>
      <c r="K1049" s="12"/>
      <c r="L1049" s="12"/>
      <c r="M1049" s="12"/>
      <c r="N1049" s="12"/>
      <c r="O1049" s="12"/>
      <c r="P1049" s="12"/>
      <c r="Q1049" s="17"/>
      <c r="R1049" s="18">
        <f>IF(SUMPRODUCT((E1049:Q1049)*1)=0,0,E1049*INDEX(Hours!M:M,MATCH(C1049,Hours!$A:$A,0))+F1049*INDEX(Hours!B:B,MATCH(C1049,Hours!$A:$A,0))+G1049*INDEX(Hours!C:C,MATCH(C1049,Hours!$A:$A,0))+H1049*INDEX(Hours!D:D,MATCH(C1049,Hours!$A:$A,0))+I1049*INDEX(Hours!E:E,MATCH(C1049,Hours!$A:$A,0))+J1049*INDEX(Hours!F:F,MATCH(C1049,Hours!$A:$A,0)))</f>
        <v>0</v>
      </c>
      <c r="S1049" s="19">
        <f t="shared" si="33"/>
        <v>0</v>
      </c>
    </row>
    <row r="1050" spans="1:19" x14ac:dyDescent="0.25">
      <c r="A1050" s="11" t="str">
        <f>'Bldgs &amp; Rooms'!$A$30</f>
        <v>Main Bldg.</v>
      </c>
      <c r="B1050" s="11">
        <f>'Bldgs &amp; Rooms'!$B$30</f>
        <v>0</v>
      </c>
      <c r="C1050" s="10" t="str">
        <f>Hours!$A$14</f>
        <v>Motor Control Panel (MCP)</v>
      </c>
      <c r="D1050" s="11">
        <f t="shared" si="32"/>
        <v>0</v>
      </c>
      <c r="E1050" s="16">
        <f>IF('Components Yr 1'!E1050=0,0,'Components Yr 1'!E1050)</f>
        <v>0</v>
      </c>
      <c r="F1050" s="17">
        <f>IF('Components Yr 1'!F1050=0,0,'Components Yr 1'!F1050)</f>
        <v>0</v>
      </c>
      <c r="G1050" s="17">
        <f>IF('Components Yr 1'!G1050=0,0,'Components Yr 1'!G1050)</f>
        <v>0</v>
      </c>
      <c r="H1050" s="17">
        <f>IF('Components Yr 1'!H1050=0,0,'Components Yr 1'!H1050)</f>
        <v>0</v>
      </c>
      <c r="I1050" s="17">
        <f>IF('Components Yr 1'!I1050=0,0,'Components Yr 1'!I1050)</f>
        <v>0</v>
      </c>
      <c r="J1050" s="17">
        <f>IF('Components Yr 1'!J1050=0,0,'Components Yr 1'!J1050)</f>
        <v>0</v>
      </c>
      <c r="K1050" s="12"/>
      <c r="L1050" s="12"/>
      <c r="M1050" s="12"/>
      <c r="N1050" s="12"/>
      <c r="O1050" s="17">
        <f>IF('Components Yr 1'!O1050=0,0,'Components Yr 1'!O1050)</f>
        <v>0</v>
      </c>
      <c r="P1050" s="12"/>
      <c r="Q1050" s="17"/>
      <c r="R1050" s="18">
        <f>IF(SUMPRODUCT((E1050:Q1050)*1)=0,0,E1050*INDEX(Hours!M:M,MATCH(C1050,Hours!$A:$A,0))+F1050*INDEX(Hours!B:B,MATCH(C1050,Hours!$A:$A,0))+G1050*INDEX(Hours!C:C,MATCH(C1050,Hours!$A:$A,0))+H1050*INDEX(Hours!D:D,MATCH(C1050,Hours!$A:$A,0))+I1050*INDEX(Hours!E:E,MATCH(C1050,Hours!$A:$A,0))+J1050*INDEX(Hours!F:F,MATCH(C1050,Hours!$A:$A,0))+O1050*INDEX(Hours!K:K,MATCH(C1050,Hours!$A:$A,0)))</f>
        <v>0</v>
      </c>
      <c r="S1050" s="19">
        <f t="shared" si="33"/>
        <v>0</v>
      </c>
    </row>
    <row r="1051" spans="1:19" x14ac:dyDescent="0.25">
      <c r="A1051" s="11" t="str">
        <f>'Bldgs &amp; Rooms'!$A$30</f>
        <v>Main Bldg.</v>
      </c>
      <c r="B1051" s="11">
        <f>'Bldgs &amp; Rooms'!$B$30</f>
        <v>0</v>
      </c>
      <c r="C1051" s="10" t="str">
        <f>Hours!$A$15</f>
        <v>VFD Motor Control Panel (VFD-MCP)</v>
      </c>
      <c r="D1051" s="11">
        <f t="shared" si="32"/>
        <v>0</v>
      </c>
      <c r="E1051" s="16">
        <f>IF('Components Yr 1'!E1051=0,0,'Components Yr 1'!E1051)</f>
        <v>0</v>
      </c>
      <c r="F1051" s="17">
        <f>IF('Components Yr 1'!F1051=0,0,'Components Yr 1'!F1051)</f>
        <v>0</v>
      </c>
      <c r="G1051" s="17">
        <f>IF('Components Yr 1'!G1051=0,0,'Components Yr 1'!G1051)</f>
        <v>0</v>
      </c>
      <c r="H1051" s="17">
        <f>IF('Components Yr 1'!H1051=0,0,'Components Yr 1'!H1051)</f>
        <v>0</v>
      </c>
      <c r="I1051" s="17">
        <f>IF('Components Yr 1'!I1051=0,0,'Components Yr 1'!I1051)</f>
        <v>0</v>
      </c>
      <c r="J1051" s="17">
        <f>IF('Components Yr 1'!J1051=0,0,'Components Yr 1'!J1051)</f>
        <v>0</v>
      </c>
      <c r="K1051" s="12"/>
      <c r="L1051" s="12"/>
      <c r="M1051" s="12"/>
      <c r="N1051" s="12"/>
      <c r="O1051" s="17">
        <f>IF('Components Yr 1'!O1051=0,0,'Components Yr 1'!O1051)</f>
        <v>0</v>
      </c>
      <c r="P1051" s="12"/>
      <c r="Q1051" s="17"/>
      <c r="R1051" s="18">
        <f>IF(SUMPRODUCT((E1051:Q1051)*1)=0,0,E1051*INDEX(Hours!M:M,MATCH(C1051,Hours!$A:$A,0))+F1051*INDEX(Hours!B:B,MATCH(C1051,Hours!$A:$A,0))+G1051*INDEX(Hours!C:C,MATCH(C1051,Hours!$A:$A,0))+H1051*INDEX(Hours!D:D,MATCH(C1051,Hours!$A:$A,0))+I1051*INDEX(Hours!E:E,MATCH(C1051,Hours!$A:$A,0))+J1051*INDEX(Hours!F:F,MATCH(C1051,Hours!$A:$A,0))+O1051*INDEX(Hours!K:K,MATCH(C1051,Hours!$A:$A,0)))</f>
        <v>0</v>
      </c>
      <c r="S1051" s="19">
        <f t="shared" si="33"/>
        <v>0</v>
      </c>
    </row>
    <row r="1052" spans="1:19" x14ac:dyDescent="0.25">
      <c r="A1052" s="11" t="str">
        <f>'Bldgs &amp; Rooms'!$A$30</f>
        <v>Main Bldg.</v>
      </c>
      <c r="B1052" s="11">
        <f>'Bldgs &amp; Rooms'!$B$30</f>
        <v>0</v>
      </c>
      <c r="C1052" s="10" t="str">
        <f>Hours!$A$16</f>
        <v>Individual Disconnect Switch &gt; 100A</v>
      </c>
      <c r="D1052" s="11">
        <f t="shared" si="32"/>
        <v>0</v>
      </c>
      <c r="E1052" s="16">
        <f>IF('Components Yr 1'!E1052=0,0,'Components Yr 1'!E1052)</f>
        <v>0</v>
      </c>
      <c r="F1052" s="17">
        <f>IF('Components Yr 1'!F1052=0,0,'Components Yr 1'!F1052)</f>
        <v>0</v>
      </c>
      <c r="G1052" s="17">
        <f>IF('Components Yr 1'!G1052=0,0,'Components Yr 1'!G1052)</f>
        <v>0</v>
      </c>
      <c r="H1052" s="17">
        <f>IF('Components Yr 1'!H1052=0,0,'Components Yr 1'!H1052)</f>
        <v>0</v>
      </c>
      <c r="I1052" s="17">
        <f>IF('Components Yr 1'!I1052=0,0,'Components Yr 1'!I1052)</f>
        <v>0</v>
      </c>
      <c r="J1052" s="17">
        <f>IF('Components Yr 1'!J1052=0,0,'Components Yr 1'!J1052)</f>
        <v>0</v>
      </c>
      <c r="K1052" s="17">
        <f>IF('Components Yr 1'!K1052=0,0,'Components Yr 1'!K1052)</f>
        <v>0</v>
      </c>
      <c r="L1052" s="12"/>
      <c r="M1052" s="12"/>
      <c r="N1052" s="12"/>
      <c r="O1052" s="12"/>
      <c r="P1052" s="12"/>
      <c r="Q1052" s="17"/>
      <c r="R1052" s="18">
        <f>IF(SUMPRODUCT((E1052:Q1052)*1)=0,0,E1052*INDEX(Hours!M:M,MATCH(C1052,Hours!$A:$A,0))+F1052*INDEX(Hours!B:B,MATCH(C1052,Hours!$A:$A,0))+G1052*INDEX(Hours!C:C,MATCH(C1052,Hours!$A:$A,0))+H1052*INDEX(Hours!D:D,MATCH(C1052,Hours!$A:$A,0))+I1052*INDEX(Hours!E:E,MATCH(C1052,Hours!$A:$A,0))+J1052*INDEX(Hours!F:F,MATCH(C1052,Hours!$A:$A,0))+K1052*INDEX(Hours!G:G,MATCH(C1052,Hours!$A:$A,0)))</f>
        <v>0</v>
      </c>
      <c r="S1052" s="19">
        <f t="shared" si="33"/>
        <v>0</v>
      </c>
    </row>
    <row r="1053" spans="1:19" x14ac:dyDescent="0.25">
      <c r="A1053" s="11" t="str">
        <f>'Bldgs &amp; Rooms'!$A$30</f>
        <v>Main Bldg.</v>
      </c>
      <c r="B1053" s="11">
        <f>'Bldgs &amp; Rooms'!$B$30</f>
        <v>0</v>
      </c>
      <c r="C1053" s="10" t="str">
        <f>Hours!$A$17</f>
        <v>Individual Molded Case Breaker &gt; 100A</v>
      </c>
      <c r="D1053" s="11">
        <f t="shared" si="32"/>
        <v>0</v>
      </c>
      <c r="E1053" s="16">
        <f>IF('Components Yr 1'!E1053=0,0,'Components Yr 1'!E1053)</f>
        <v>0</v>
      </c>
      <c r="F1053" s="17">
        <f>IF('Components Yr 1'!F1053=0,0,'Components Yr 1'!F1053)</f>
        <v>0</v>
      </c>
      <c r="G1053" s="17">
        <f>IF('Components Yr 1'!G1053=0,0,'Components Yr 1'!G1053)</f>
        <v>0</v>
      </c>
      <c r="H1053" s="17">
        <f>IF('Components Yr 1'!H1053=0,0,'Components Yr 1'!H1053)</f>
        <v>0</v>
      </c>
      <c r="I1053" s="17">
        <f>IF('Components Yr 1'!I1053=0,0,'Components Yr 1'!I1053)</f>
        <v>0</v>
      </c>
      <c r="J1053" s="17">
        <f>IF('Components Yr 1'!J1053=0,0,'Components Yr 1'!J1053)</f>
        <v>0</v>
      </c>
      <c r="K1053" s="17">
        <f>IF('Components Yr 1'!K1053=0,0,'Components Yr 1'!K1053)</f>
        <v>0</v>
      </c>
      <c r="L1053" s="12"/>
      <c r="M1053" s="12"/>
      <c r="N1053" s="12"/>
      <c r="O1053" s="12"/>
      <c r="P1053" s="12"/>
      <c r="Q1053" s="17"/>
      <c r="R1053" s="18">
        <f>IF(SUMPRODUCT((E1053:Q1053)*1)=0,0,E1053*INDEX(Hours!M:M,MATCH(C1053,Hours!$A:$A,0))+F1053*INDEX(Hours!B:B,MATCH(C1053,Hours!$A:$A,0))+G1053*INDEX(Hours!C:C,MATCH(C1053,Hours!$A:$A,0))+H1053*INDEX(Hours!D:D,MATCH(C1053,Hours!$A:$A,0))+I1053*INDEX(Hours!E:E,MATCH(C1053,Hours!$A:$A,0))+J1053*INDEX(Hours!F:F,MATCH(C1053,Hours!$A:$A,0))+K1053*INDEX(Hours!G:G,MATCH(C1053,Hours!$A:$A,0)))</f>
        <v>0</v>
      </c>
      <c r="S1053" s="19">
        <f t="shared" si="33"/>
        <v>0</v>
      </c>
    </row>
    <row r="1054" spans="1:19" x14ac:dyDescent="0.25">
      <c r="A1054" s="11" t="str">
        <f>'Bldgs &amp; Rooms'!$A$30</f>
        <v>Main Bldg.</v>
      </c>
      <c r="B1054" s="11">
        <f>'Bldgs &amp; Rooms'!$B$30</f>
        <v>0</v>
      </c>
      <c r="C1054" s="10" t="str">
        <f>Hours!$A$18</f>
        <v>Individual Combination Motor Starter &gt; 100A</v>
      </c>
      <c r="D1054" s="11">
        <f t="shared" si="32"/>
        <v>0</v>
      </c>
      <c r="E1054" s="16">
        <f>IF('Components Yr 1'!E1054=0,0,'Components Yr 1'!E1054)</f>
        <v>0</v>
      </c>
      <c r="F1054" s="17">
        <f>IF('Components Yr 1'!F1054=0,0,'Components Yr 1'!F1054)</f>
        <v>0</v>
      </c>
      <c r="G1054" s="17">
        <f>IF('Components Yr 1'!G1054=0,0,'Components Yr 1'!G1054)</f>
        <v>0</v>
      </c>
      <c r="H1054" s="17">
        <f>IF('Components Yr 1'!H1054=0,0,'Components Yr 1'!H1054)</f>
        <v>0</v>
      </c>
      <c r="I1054" s="17">
        <f>IF('Components Yr 1'!I1054=0,0,'Components Yr 1'!I1054)</f>
        <v>0</v>
      </c>
      <c r="J1054" s="17">
        <f>IF('Components Yr 1'!J1054=0,0,'Components Yr 1'!J1054)</f>
        <v>0</v>
      </c>
      <c r="K1054" s="17">
        <f>IF('Components Yr 1'!K1054=0,0,'Components Yr 1'!K1054)</f>
        <v>0</v>
      </c>
      <c r="L1054" s="12"/>
      <c r="M1054" s="12"/>
      <c r="N1054" s="12"/>
      <c r="O1054" s="12"/>
      <c r="P1054" s="12"/>
      <c r="Q1054" s="17"/>
      <c r="R1054" s="18">
        <f>IF(SUMPRODUCT((E1054:Q1054)*1)=0,0,E1054*INDEX(Hours!M:M,MATCH(C1054,Hours!$A:$A,0))+F1054*INDEX(Hours!B:B,MATCH(C1054,Hours!$A:$A,0))+G1054*INDEX(Hours!C:C,MATCH(C1054,Hours!$A:$A,0))+H1054*INDEX(Hours!D:D,MATCH(C1054,Hours!$A:$A,0))+I1054*INDEX(Hours!E:E,MATCH(C1054,Hours!$A:$A,0))+J1054*INDEX(Hours!F:F,MATCH(C1054,Hours!$A:$A,0))+K1054*INDEX(Hours!G:G,MATCH(C1054,Hours!$A:$A,0)))</f>
        <v>0</v>
      </c>
      <c r="S1054" s="19">
        <f t="shared" si="33"/>
        <v>0</v>
      </c>
    </row>
    <row r="1055" spans="1:19" x14ac:dyDescent="0.25">
      <c r="A1055" s="11" t="str">
        <f>'Bldgs &amp; Rooms'!$A$30</f>
        <v>Main Bldg.</v>
      </c>
      <c r="B1055" s="11">
        <f>'Bldgs &amp; Rooms'!$B$30</f>
        <v>0</v>
      </c>
      <c r="C1055" s="10" t="str">
        <f>Hours!$A$19</f>
        <v>Oil Filled Transformer - 5kV-15kV Primary - Any Size (Pad Mounted)</v>
      </c>
      <c r="D1055" s="11">
        <f t="shared" si="32"/>
        <v>0</v>
      </c>
      <c r="E1055" s="16">
        <f>IF('Components Yr 1'!E1055=0,0,'Components Yr 1'!E1055)</f>
        <v>0</v>
      </c>
      <c r="F1055" s="17">
        <f>IF('Components Yr 1'!F1055=0,0,'Components Yr 1'!F1055)</f>
        <v>0</v>
      </c>
      <c r="G1055" s="17">
        <f>IF('Components Yr 1'!G1055=0,0,'Components Yr 1'!G1055)</f>
        <v>0</v>
      </c>
      <c r="H1055" s="17">
        <f>IF('Components Yr 1'!H1055=0,0,'Components Yr 1'!H1055)</f>
        <v>0</v>
      </c>
      <c r="I1055" s="17">
        <f>IF('Components Yr 1'!I1055=0,0,'Components Yr 1'!I1055)</f>
        <v>0</v>
      </c>
      <c r="J1055" s="17">
        <f>IF('Components Yr 1'!J1055=0,0,'Components Yr 1'!J1055)</f>
        <v>0</v>
      </c>
      <c r="K1055" s="12"/>
      <c r="L1055" s="12"/>
      <c r="M1055" s="17">
        <f>IF('Components Yr 1'!M1055=0,0,'Components Yr 1'!M1055)</f>
        <v>0</v>
      </c>
      <c r="N1055" s="17">
        <f>IF('Components Yr 1'!N1055=0,0,'Components Yr 1'!N1055)</f>
        <v>0</v>
      </c>
      <c r="O1055" s="12"/>
      <c r="P1055" s="17">
        <f>IF('Components Yr 1'!P1055=0,0,'Components Yr 1'!P1055)</f>
        <v>0</v>
      </c>
      <c r="Q1055" s="17"/>
      <c r="R1055" s="18">
        <f>IF(SUMPRODUCT((E1055:Q1055)*1)=0,0,E1055*INDEX(Hours!M:M,MATCH(C1055,Hours!$A:$A,0))+F1055*INDEX(Hours!B:B,MATCH(C1055,Hours!$A:$A,0))+G1055*INDEX(Hours!C:C,MATCH(C1055,Hours!$A:$A,0))+H1055*INDEX(Hours!D:D,MATCH(C1055,Hours!$A:$A,0))+I1055*INDEX(Hours!E:E,MATCH(C1055,Hours!$A:$A,0))+J1055*INDEX(Hours!F:F,MATCH(C1055,Hours!$A:$A,0))+M1055*INDEX(Hours!I:I,MATCH(C1055,Hours!$A:$A,0))+N1055*INDEX(Hours!J:J,MATCH(C1055,Hours!$A:$A,0))+P1055*INDEX(Hours!L:L,MATCH(C1055,Hours!$A:$A,0)))</f>
        <v>0</v>
      </c>
      <c r="S1055" s="19">
        <f t="shared" si="33"/>
        <v>0</v>
      </c>
    </row>
    <row r="1056" spans="1:19" x14ac:dyDescent="0.25">
      <c r="A1056" s="11" t="str">
        <f>'Bldgs &amp; Rooms'!$A$30</f>
        <v>Main Bldg.</v>
      </c>
      <c r="B1056" s="11">
        <f>'Bldgs &amp; Rooms'!$B$30</f>
        <v>0</v>
      </c>
      <c r="C1056" s="10" t="str">
        <f>Hours!$A$20</f>
        <v>Oil Filled Transformer - &gt; 15kV Primary (Substation Class)</v>
      </c>
      <c r="D1056" s="11">
        <f t="shared" si="32"/>
        <v>0</v>
      </c>
      <c r="E1056" s="16">
        <f>IF('Components Yr 1'!E1056=0,0,'Components Yr 1'!E1056)</f>
        <v>0</v>
      </c>
      <c r="F1056" s="17">
        <f>IF('Components Yr 1'!F1056=0,0,'Components Yr 1'!F1056)</f>
        <v>0</v>
      </c>
      <c r="G1056" s="17">
        <f>IF('Components Yr 1'!G1056=0,0,'Components Yr 1'!G1056)</f>
        <v>0</v>
      </c>
      <c r="H1056" s="17">
        <f>IF('Components Yr 1'!H1056=0,0,'Components Yr 1'!H1056)</f>
        <v>0</v>
      </c>
      <c r="I1056" s="17">
        <f>IF('Components Yr 1'!I1056=0,0,'Components Yr 1'!I1056)</f>
        <v>0</v>
      </c>
      <c r="J1056" s="17">
        <f>IF('Components Yr 1'!J1056=0,0,'Components Yr 1'!J1056)</f>
        <v>0</v>
      </c>
      <c r="K1056" s="12"/>
      <c r="L1056" s="12"/>
      <c r="M1056" s="17">
        <f>IF('Components Yr 1'!M1056=0,0,'Components Yr 1'!M1056)</f>
        <v>0</v>
      </c>
      <c r="N1056" s="17">
        <f>IF('Components Yr 1'!N1056=0,0,'Components Yr 1'!N1056)</f>
        <v>0</v>
      </c>
      <c r="O1056" s="12"/>
      <c r="P1056" s="17">
        <f>IF('Components Yr 1'!P1056=0,0,'Components Yr 1'!P1056)</f>
        <v>0</v>
      </c>
      <c r="Q1056" s="17"/>
      <c r="R1056" s="18">
        <f>IF(SUMPRODUCT((E1056:Q1056)*1)=0,0,E1056*INDEX(Hours!M:M,MATCH(C1056,Hours!$A:$A,0))+F1056*INDEX(Hours!B:B,MATCH(C1056,Hours!$A:$A,0))+G1056*INDEX(Hours!C:C,MATCH(C1056,Hours!$A:$A,0))+H1056*INDEX(Hours!D:D,MATCH(C1056,Hours!$A:$A,0))+I1056*INDEX(Hours!E:E,MATCH(C1056,Hours!$A:$A,0))+J1056*INDEX(Hours!F:F,MATCH(C1056,Hours!$A:$A,0))+M1056*INDEX(Hours!I:I,MATCH(C1056,Hours!$A:$A,0))+N1056*INDEX(Hours!J:J,MATCH(C1056,Hours!$A:$A,0))+P1056*INDEX(Hours!L:L,MATCH(C1056,Hours!$A:$A,0)))</f>
        <v>0</v>
      </c>
      <c r="S1056" s="19">
        <f t="shared" si="33"/>
        <v>0</v>
      </c>
    </row>
    <row r="1057" spans="1:19" x14ac:dyDescent="0.25">
      <c r="A1057" s="11" t="str">
        <f>'Bldgs &amp; Rooms'!$A$30</f>
        <v>Main Bldg.</v>
      </c>
      <c r="B1057" s="11">
        <f>'Bldgs &amp; Rooms'!$B$30</f>
        <v>0</v>
      </c>
      <c r="C1057" s="10" t="str">
        <f>Hours!$A$21</f>
        <v>Dry Type Transformer - &lt; 480V Primary - Any Size kVA</v>
      </c>
      <c r="D1057" s="11">
        <f t="shared" si="32"/>
        <v>0</v>
      </c>
      <c r="E1057" s="16">
        <f>IF('Components Yr 1'!E1057=0,0,'Components Yr 1'!E1057)</f>
        <v>0</v>
      </c>
      <c r="F1057" s="17">
        <f>IF('Components Yr 1'!F1057=0,0,'Components Yr 1'!F1057)</f>
        <v>0</v>
      </c>
      <c r="G1057" s="17">
        <f>IF('Components Yr 1'!G1057=0,0,'Components Yr 1'!G1057)</f>
        <v>0</v>
      </c>
      <c r="H1057" s="17">
        <f>IF('Components Yr 1'!H1057=0,0,'Components Yr 1'!H1057)</f>
        <v>0</v>
      </c>
      <c r="I1057" s="17">
        <f>IF('Components Yr 1'!I1057=0,0,'Components Yr 1'!I1057)</f>
        <v>0</v>
      </c>
      <c r="J1057" s="17">
        <f>IF('Components Yr 1'!J1057=0,0,'Components Yr 1'!J1057)</f>
        <v>0</v>
      </c>
      <c r="K1057" s="12"/>
      <c r="L1057" s="12"/>
      <c r="M1057" s="17">
        <f>IF('Components Yr 1'!M1057=0,0,'Components Yr 1'!M1057)</f>
        <v>0</v>
      </c>
      <c r="N1057" s="17">
        <f>IF('Components Yr 1'!N1057=0,0,'Components Yr 1'!N1057)</f>
        <v>0</v>
      </c>
      <c r="O1057" s="12"/>
      <c r="P1057" s="12"/>
      <c r="Q1057" s="17"/>
      <c r="R1057" s="18">
        <f>IF(SUMPRODUCT((E1057:Q1057)*1)=0,0,E1057*INDEX(Hours!M:M,MATCH(C1057,Hours!$A:$A,0))+F1057*INDEX(Hours!B:B,MATCH(C1057,Hours!$A:$A,0))+G1057*INDEX(Hours!C:C,MATCH(C1057,Hours!$A:$A,0))+H1057*INDEX(Hours!D:D,MATCH(C1057,Hours!$A:$A,0))+I1057*INDEX(Hours!E:E,MATCH(C1057,Hours!$A:$A,0))+J1057*INDEX(Hours!F:F,MATCH(C1057,Hours!$A:$A,0))+M1057*INDEX(Hours!I:I,MATCH(C1057,Hours!$A:$A,0))+N1057*INDEX(Hours!J:J,MATCH(C1057,Hours!$A:$A,0)))</f>
        <v>0</v>
      </c>
      <c r="S1057" s="19">
        <f t="shared" si="33"/>
        <v>0</v>
      </c>
    </row>
    <row r="1058" spans="1:19" x14ac:dyDescent="0.25">
      <c r="A1058" s="11" t="str">
        <f>'Bldgs &amp; Rooms'!$A$30</f>
        <v>Main Bldg.</v>
      </c>
      <c r="B1058" s="11">
        <f>'Bldgs &amp; Rooms'!$B$30</f>
        <v>0</v>
      </c>
      <c r="C1058" s="10" t="str">
        <f>Hours!$A$22</f>
        <v>Power Factor Correction Capacitors</v>
      </c>
      <c r="D1058" s="11">
        <f t="shared" si="32"/>
        <v>0</v>
      </c>
      <c r="E1058" s="16">
        <f>IF('Components Yr 1'!E1058=0,0,'Components Yr 1'!E1058)</f>
        <v>0</v>
      </c>
      <c r="F1058" s="17">
        <f>IF('Components Yr 1'!F1058=0,0,'Components Yr 1'!F1058)</f>
        <v>0</v>
      </c>
      <c r="G1058" s="17">
        <f>IF('Components Yr 1'!G1058=0,0,'Components Yr 1'!G1058)</f>
        <v>0</v>
      </c>
      <c r="H1058" s="17">
        <f>IF('Components Yr 1'!H1058=0,0,'Components Yr 1'!H1058)</f>
        <v>0</v>
      </c>
      <c r="I1058" s="17">
        <f>IF('Components Yr 1'!I1058=0,0,'Components Yr 1'!I1058)</f>
        <v>0</v>
      </c>
      <c r="J1058" s="17">
        <f>IF('Components Yr 1'!J1058=0,0,'Components Yr 1'!J1058)</f>
        <v>0</v>
      </c>
      <c r="K1058" s="12"/>
      <c r="L1058" s="12"/>
      <c r="M1058" s="12"/>
      <c r="N1058" s="12"/>
      <c r="O1058" s="12"/>
      <c r="P1058" s="12"/>
      <c r="Q1058" s="17"/>
      <c r="R1058" s="18">
        <f>IF(SUMPRODUCT((E1058:Q1058)*1)=0,0,E1058*INDEX(Hours!M:M,MATCH(C1058,Hours!$A:$A,0))+F1058*INDEX(Hours!B:B,MATCH(C1058,Hours!$A:$A,0))+G1058*INDEX(Hours!C:C,MATCH(C1058,Hours!$A:$A,0))+H1058*INDEX(Hours!D:D,MATCH(C1058,Hours!$A:$A,0))+I1058*INDEX(Hours!E:E,MATCH(C1058,Hours!$A:$A,0))+J1058*INDEX(Hours!F:F,MATCH(C1058,Hours!$A:$A,0)))</f>
        <v>0</v>
      </c>
      <c r="S1058" s="19">
        <f t="shared" si="33"/>
        <v>0</v>
      </c>
    </row>
    <row r="1059" spans="1:19" x14ac:dyDescent="0.25">
      <c r="A1059" s="11" t="str">
        <f>'Bldgs &amp; Rooms'!$A$30</f>
        <v>Main Bldg.</v>
      </c>
      <c r="B1059" s="11">
        <f>'Bldgs &amp; Rooms'!$B$30</f>
        <v>0</v>
      </c>
      <c r="C1059" s="10" t="str">
        <f>Hours!$A$23</f>
        <v>Lighting Contactor &gt; 100A</v>
      </c>
      <c r="D1059" s="11">
        <f t="shared" si="32"/>
        <v>0</v>
      </c>
      <c r="E1059" s="16">
        <f>IF('Components Yr 1'!E1059=0,0,'Components Yr 1'!E1059)</f>
        <v>0</v>
      </c>
      <c r="F1059" s="17">
        <f>IF('Components Yr 1'!F1059=0,0,'Components Yr 1'!F1059)</f>
        <v>0</v>
      </c>
      <c r="G1059" s="17">
        <f>IF('Components Yr 1'!G1059=0,0,'Components Yr 1'!G1059)</f>
        <v>0</v>
      </c>
      <c r="H1059" s="17">
        <f>IF('Components Yr 1'!H1059=0,0,'Components Yr 1'!H1059)</f>
        <v>0</v>
      </c>
      <c r="I1059" s="17">
        <f>IF('Components Yr 1'!I1059=0,0,'Components Yr 1'!I1059)</f>
        <v>0</v>
      </c>
      <c r="J1059" s="17">
        <f>IF('Components Yr 1'!J1059=0,0,'Components Yr 1'!J1059)</f>
        <v>0</v>
      </c>
      <c r="K1059" s="12"/>
      <c r="L1059" s="12"/>
      <c r="M1059" s="12"/>
      <c r="N1059" s="12"/>
      <c r="O1059" s="12"/>
      <c r="P1059" s="12"/>
      <c r="Q1059" s="17"/>
      <c r="R1059" s="18">
        <f>IF(SUMPRODUCT((E1059:Q1059)*1)=0,0,E1059*INDEX(Hours!M:M,MATCH(C1059,Hours!$A:$A,0))+F1059*INDEX(Hours!B:B,MATCH(C1059,Hours!$A:$A,0))+G1059*INDEX(Hours!C:C,MATCH(C1059,Hours!$A:$A,0))+H1059*INDEX(Hours!D:D,MATCH(C1059,Hours!$A:$A,0))+I1059*INDEX(Hours!E:E,MATCH(C1059,Hours!$A:$A,0))+J1059*INDEX(Hours!F:F,MATCH(C1059,Hours!$A:$A,0)))</f>
        <v>0</v>
      </c>
      <c r="S1059" s="19">
        <f t="shared" si="33"/>
        <v>0</v>
      </c>
    </row>
    <row r="1060" spans="1:19" x14ac:dyDescent="0.25">
      <c r="A1060" s="11" t="str">
        <f>'Bldgs &amp; Rooms'!$A$30</f>
        <v>Main Bldg.</v>
      </c>
      <c r="B1060" s="11">
        <f>'Bldgs &amp; Rooms'!$B$30</f>
        <v>0</v>
      </c>
      <c r="C1060" s="10" t="str">
        <f>Hours!$A$24</f>
        <v>Power Distribution Unit (PDU)</v>
      </c>
      <c r="D1060" s="11">
        <f t="shared" si="32"/>
        <v>0</v>
      </c>
      <c r="E1060" s="16">
        <f>IF('Components Yr 1'!E1060=0,0,'Components Yr 1'!E1060)</f>
        <v>0</v>
      </c>
      <c r="F1060" s="17">
        <f>IF('Components Yr 1'!F1060=0,0,'Components Yr 1'!F1060)</f>
        <v>0</v>
      </c>
      <c r="G1060" s="17">
        <f>IF('Components Yr 1'!G1060=0,0,'Components Yr 1'!G1060)</f>
        <v>0</v>
      </c>
      <c r="H1060" s="17">
        <f>IF('Components Yr 1'!H1060=0,0,'Components Yr 1'!H1060)</f>
        <v>0</v>
      </c>
      <c r="I1060" s="17">
        <f>IF('Components Yr 1'!I1060=0,0,'Components Yr 1'!I1060)</f>
        <v>0</v>
      </c>
      <c r="J1060" s="17">
        <f>IF('Components Yr 1'!J1060=0,0,'Components Yr 1'!J1060)</f>
        <v>0</v>
      </c>
      <c r="K1060" s="12"/>
      <c r="L1060" s="12"/>
      <c r="M1060" s="12"/>
      <c r="N1060" s="12"/>
      <c r="O1060" s="12"/>
      <c r="P1060" s="12"/>
      <c r="Q1060" s="17"/>
      <c r="R1060" s="18">
        <f>IF(SUMPRODUCT((E1060:Q1060)*1)=0,0,E1060*INDEX(Hours!M:M,MATCH(C1060,Hours!$A:$A,0))+F1060*INDEX(Hours!B:B,MATCH(C1060,Hours!$A:$A,0))+G1060*INDEX(Hours!C:C,MATCH(C1060,Hours!$A:$A,0))+H1060*INDEX(Hours!D:D,MATCH(C1060,Hours!$A:$A,0))+I1060*INDEX(Hours!E:E,MATCH(C1060,Hours!$A:$A,0))+J1060*INDEX(Hours!F:F,MATCH(C1060,Hours!$A:$A,0)))</f>
        <v>0</v>
      </c>
      <c r="S1060" s="19">
        <f t="shared" si="33"/>
        <v>0</v>
      </c>
    </row>
    <row r="1061" spans="1:19" x14ac:dyDescent="0.25">
      <c r="A1061" s="11" t="str">
        <f>'Bldgs &amp; Rooms'!$A$30</f>
        <v>Main Bldg.</v>
      </c>
      <c r="B1061" s="11">
        <f>'Bldgs &amp; Rooms'!$B$30</f>
        <v>0</v>
      </c>
      <c r="C1061" s="10" t="str">
        <f>Hours!$A$25</f>
        <v>Wire Trough, Gutter, or Large Junction Boxes</v>
      </c>
      <c r="D1061" s="11">
        <f t="shared" si="32"/>
        <v>0</v>
      </c>
      <c r="E1061" s="16">
        <f>IF('Components Yr 1'!E1061=0,0,'Components Yr 1'!E1061)</f>
        <v>0</v>
      </c>
      <c r="F1061" s="17">
        <f>IF('Components Yr 1'!F1061=0,0,'Components Yr 1'!F1061)</f>
        <v>0</v>
      </c>
      <c r="G1061" s="17">
        <f>IF('Components Yr 1'!G1061=0,0,'Components Yr 1'!G1061)</f>
        <v>0</v>
      </c>
      <c r="H1061" s="17">
        <f>IF('Components Yr 1'!H1061=0,0,'Components Yr 1'!H1061)</f>
        <v>0</v>
      </c>
      <c r="I1061" s="17">
        <f>IF('Components Yr 1'!I1061=0,0,'Components Yr 1'!I1061)</f>
        <v>0</v>
      </c>
      <c r="J1061" s="17">
        <f>IF('Components Yr 1'!J1061=0,0,'Components Yr 1'!J1061)</f>
        <v>0</v>
      </c>
      <c r="K1061" s="12"/>
      <c r="L1061" s="12"/>
      <c r="M1061" s="12"/>
      <c r="N1061" s="12"/>
      <c r="O1061" s="12"/>
      <c r="P1061" s="12"/>
      <c r="Q1061" s="17"/>
      <c r="R1061" s="18">
        <f>IF(SUMPRODUCT((E1061:Q1061)*1)=0,0,E1061*INDEX(Hours!M:M,MATCH(C1061,Hours!$A:$A,0))+F1061*INDEX(Hours!B:B,MATCH(C1061,Hours!$A:$A,0))+G1061*INDEX(Hours!C:C,MATCH(C1061,Hours!$A:$A,0))+H1061*INDEX(Hours!D:D,MATCH(C1061,Hours!$A:$A,0))+I1061*INDEX(Hours!E:E,MATCH(C1061,Hours!$A:$A,0))+J1061*INDEX(Hours!F:F,MATCH(C1061,Hours!$A:$A,0)))</f>
        <v>0</v>
      </c>
      <c r="S1061" s="19">
        <f t="shared" si="33"/>
        <v>0</v>
      </c>
    </row>
    <row r="1062" spans="1:19" x14ac:dyDescent="0.25">
      <c r="A1062" s="11" t="str">
        <f>'Bldgs &amp; Rooms'!$A$30</f>
        <v>Main Bldg.</v>
      </c>
      <c r="B1062" s="11">
        <f>'Bldgs &amp; Rooms'!$B$30</f>
        <v>0</v>
      </c>
      <c r="C1062" s="10" t="str">
        <f>Hours!$A$26</f>
        <v>Bus Duct - Vertical or Horizontal (Per 10' section)</v>
      </c>
      <c r="D1062" s="11">
        <f t="shared" si="32"/>
        <v>0</v>
      </c>
      <c r="E1062" s="16">
        <f>IF('Components Yr 1'!E1062=0,0,'Components Yr 1'!E1062)</f>
        <v>0</v>
      </c>
      <c r="F1062" s="17">
        <f>IF('Components Yr 1'!F1062=0,0,'Components Yr 1'!F1062)</f>
        <v>0</v>
      </c>
      <c r="G1062" s="17">
        <f>IF('Components Yr 1'!G1062=0,0,'Components Yr 1'!G1062)</f>
        <v>0</v>
      </c>
      <c r="H1062" s="17">
        <f>IF('Components Yr 1'!H1062=0,0,'Components Yr 1'!H1062)</f>
        <v>0</v>
      </c>
      <c r="I1062" s="17">
        <f>IF('Components Yr 1'!I1062=0,0,'Components Yr 1'!I1062)</f>
        <v>0</v>
      </c>
      <c r="J1062" s="17">
        <f>IF('Components Yr 1'!J1062=0,0,'Components Yr 1'!J1062)</f>
        <v>0</v>
      </c>
      <c r="K1062" s="12"/>
      <c r="L1062" s="12"/>
      <c r="M1062" s="12"/>
      <c r="N1062" s="12"/>
      <c r="O1062" s="12"/>
      <c r="P1062" s="12"/>
      <c r="Q1062" s="17"/>
      <c r="R1062" s="18">
        <f>IF(SUMPRODUCT((E1062:Q1062)*1)=0,0,E1062*INDEX(Hours!M:M,MATCH(C1062,Hours!$A:$A,0))+F1062*INDEX(Hours!B:B,MATCH(C1062,Hours!$A:$A,0))+G1062*INDEX(Hours!C:C,MATCH(C1062,Hours!$A:$A,0))+H1062*INDEX(Hours!D:D,MATCH(C1062,Hours!$A:$A,0))+I1062*INDEX(Hours!E:E,MATCH(C1062,Hours!$A:$A,0))+J1062*INDEX(Hours!F:F,MATCH(C1062,Hours!$A:$A,0)))</f>
        <v>0</v>
      </c>
      <c r="S1062" s="19">
        <f t="shared" si="33"/>
        <v>0</v>
      </c>
    </row>
    <row r="1063" spans="1:19" x14ac:dyDescent="0.25">
      <c r="A1063" s="11" t="str">
        <f>'Bldgs &amp; Rooms'!$A$30</f>
        <v>Main Bldg.</v>
      </c>
      <c r="B1063" s="11">
        <f>'Bldgs &amp; Rooms'!$B$30</f>
        <v>0</v>
      </c>
      <c r="C1063" s="10" t="str">
        <f>Hours!$A$27</f>
        <v>Automatic Transfer Switch (ATS) &gt; 100A</v>
      </c>
      <c r="D1063" s="11">
        <f t="shared" si="32"/>
        <v>0</v>
      </c>
      <c r="E1063" s="16">
        <f>IF('Components Yr 1'!E1063=0,0,'Components Yr 1'!E1063)</f>
        <v>0</v>
      </c>
      <c r="F1063" s="17">
        <f>IF('Components Yr 1'!F1063=0,0,'Components Yr 1'!F1063)</f>
        <v>0</v>
      </c>
      <c r="G1063" s="17">
        <f>IF('Components Yr 1'!G1063=0,0,'Components Yr 1'!G1063)</f>
        <v>0</v>
      </c>
      <c r="H1063" s="17">
        <f>IF('Components Yr 1'!H1063=0,0,'Components Yr 1'!H1063)</f>
        <v>0</v>
      </c>
      <c r="I1063" s="17">
        <f>IF('Components Yr 1'!I1063=0,0,'Components Yr 1'!I1063)</f>
        <v>0</v>
      </c>
      <c r="J1063" s="17">
        <f>IF('Components Yr 1'!J1063=0,0,'Components Yr 1'!J1063)</f>
        <v>0</v>
      </c>
      <c r="K1063" s="12"/>
      <c r="L1063" s="12"/>
      <c r="M1063" s="12"/>
      <c r="N1063" s="12"/>
      <c r="O1063" s="12"/>
      <c r="P1063" s="12"/>
      <c r="Q1063" s="17"/>
      <c r="R1063" s="18">
        <f>IF(SUMPRODUCT((E1063:Q1063)*1)=0,0,E1063*INDEX(Hours!M:M,MATCH(C1063,Hours!$A:$A,0))+F1063*INDEX(Hours!B:B,MATCH(C1063,Hours!$A:$A,0))+G1063*INDEX(Hours!C:C,MATCH(C1063,Hours!$A:$A,0))+H1063*INDEX(Hours!D:D,MATCH(C1063,Hours!$A:$A,0))+I1063*INDEX(Hours!E:E,MATCH(C1063,Hours!$A:$A,0))+J1063*INDEX(Hours!F:F,MATCH(C1063,Hours!$A:$A,0)))</f>
        <v>0</v>
      </c>
      <c r="S1063" s="19">
        <f t="shared" si="33"/>
        <v>0</v>
      </c>
    </row>
    <row r="1064" spans="1:19" x14ac:dyDescent="0.25">
      <c r="A1064" s="11" t="str">
        <f>'Bldgs &amp; Rooms'!$A$30</f>
        <v>Main Bldg.</v>
      </c>
      <c r="B1064" s="11">
        <f>'Bldgs &amp; Rooms'!$B$30</f>
        <v>0</v>
      </c>
      <c r="C1064" s="10" t="str">
        <f>Hours!$A$28</f>
        <v>Manual Transfer Switch (MTS) &gt; 100A</v>
      </c>
      <c r="D1064" s="11">
        <f t="shared" si="32"/>
        <v>0</v>
      </c>
      <c r="E1064" s="16">
        <f>IF('Components Yr 1'!E1064=0,0,'Components Yr 1'!E1064)</f>
        <v>0</v>
      </c>
      <c r="F1064" s="17">
        <f>IF('Components Yr 1'!F1064=0,0,'Components Yr 1'!F1064)</f>
        <v>0</v>
      </c>
      <c r="G1064" s="17">
        <f>IF('Components Yr 1'!G1064=0,0,'Components Yr 1'!G1064)</f>
        <v>0</v>
      </c>
      <c r="H1064" s="17">
        <f>IF('Components Yr 1'!H1064=0,0,'Components Yr 1'!H1064)</f>
        <v>0</v>
      </c>
      <c r="I1064" s="17">
        <f>IF('Components Yr 1'!I1064=0,0,'Components Yr 1'!I1064)</f>
        <v>0</v>
      </c>
      <c r="J1064" s="17">
        <f>IF('Components Yr 1'!J1064=0,0,'Components Yr 1'!J1064)</f>
        <v>0</v>
      </c>
      <c r="K1064" s="12"/>
      <c r="L1064" s="12"/>
      <c r="M1064" s="12"/>
      <c r="N1064" s="12"/>
      <c r="O1064" s="12"/>
      <c r="P1064" s="12"/>
      <c r="Q1064" s="17"/>
      <c r="R1064" s="18">
        <f>IF(SUMPRODUCT((E1064:Q1064)*1)=0,0,E1064*INDEX(Hours!M:M,MATCH(C1064,Hours!$A:$A,0))+F1064*INDEX(Hours!B:B,MATCH(C1064,Hours!$A:$A,0))+G1064*INDEX(Hours!C:C,MATCH(C1064,Hours!$A:$A,0))+H1064*INDEX(Hours!D:D,MATCH(C1064,Hours!$A:$A,0))+I1064*INDEX(Hours!E:E,MATCH(C1064,Hours!$A:$A,0))+J1064*INDEX(Hours!F:F,MATCH(C1064,Hours!$A:$A,0)))</f>
        <v>0</v>
      </c>
      <c r="S1064" s="19">
        <f t="shared" si="33"/>
        <v>0</v>
      </c>
    </row>
    <row r="1065" spans="1:19" x14ac:dyDescent="0.25">
      <c r="A1065" s="11" t="str">
        <f>'Bldgs &amp; Rooms'!$A$30</f>
        <v>Main Bldg.</v>
      </c>
      <c r="B1065" s="11">
        <f>'Bldgs &amp; Rooms'!$B$30</f>
        <v>0</v>
      </c>
      <c r="C1065" s="10" t="str">
        <f>Hours!$A$29</f>
        <v>Variable Frequency Drives (VFD) &lt; 50 HP</v>
      </c>
      <c r="D1065" s="11">
        <f t="shared" si="32"/>
        <v>0</v>
      </c>
      <c r="E1065" s="16">
        <f>IF('Components Yr 1'!E1065=0,0,'Components Yr 1'!E1065)</f>
        <v>0</v>
      </c>
      <c r="F1065" s="17">
        <f>IF('Components Yr 1'!F1065=0,0,'Components Yr 1'!F1065)</f>
        <v>0</v>
      </c>
      <c r="G1065" s="17">
        <f>IF('Components Yr 1'!G1065=0,0,'Components Yr 1'!G1065)</f>
        <v>0</v>
      </c>
      <c r="H1065" s="17">
        <f>IF('Components Yr 1'!H1065=0,0,'Components Yr 1'!H1065)</f>
        <v>0</v>
      </c>
      <c r="I1065" s="17">
        <f>IF('Components Yr 1'!I1065=0,0,'Components Yr 1'!I1065)</f>
        <v>0</v>
      </c>
      <c r="J1065" s="17">
        <f>IF('Components Yr 1'!J1065=0,0,'Components Yr 1'!J1065)</f>
        <v>0</v>
      </c>
      <c r="K1065" s="12"/>
      <c r="L1065" s="12"/>
      <c r="M1065" s="12"/>
      <c r="N1065" s="12"/>
      <c r="O1065" s="12"/>
      <c r="P1065" s="12"/>
      <c r="Q1065" s="17"/>
      <c r="R1065" s="18">
        <f>IF(SUMPRODUCT((E1065:Q1065)*1)=0,0,E1065*INDEX(Hours!M:M,MATCH(C1065,Hours!$A:$A,0))+F1065*INDEX(Hours!B:B,MATCH(C1065,Hours!$A:$A,0))+G1065*INDEX(Hours!C:C,MATCH(C1065,Hours!$A:$A,0))+H1065*INDEX(Hours!D:D,MATCH(C1065,Hours!$A:$A,0))+I1065*INDEX(Hours!E:E,MATCH(C1065,Hours!$A:$A,0))+J1065*INDEX(Hours!F:F,MATCH(C1065,Hours!$A:$A,0)))</f>
        <v>0</v>
      </c>
      <c r="S1065" s="19">
        <f t="shared" si="33"/>
        <v>0</v>
      </c>
    </row>
    <row r="1066" spans="1:19" x14ac:dyDescent="0.25">
      <c r="A1066" s="11" t="str">
        <f>'Bldgs &amp; Rooms'!$A$30</f>
        <v>Main Bldg.</v>
      </c>
      <c r="B1066" s="11">
        <f>'Bldgs &amp; Rooms'!$B$30</f>
        <v>0</v>
      </c>
      <c r="C1066" s="10" t="str">
        <f>Hours!$A$30</f>
        <v>Variable Frequency Drives (VFD) 51-200 HP</v>
      </c>
      <c r="D1066" s="11">
        <f t="shared" si="32"/>
        <v>0</v>
      </c>
      <c r="E1066" s="16">
        <f>IF('Components Yr 1'!E1066=0,0,'Components Yr 1'!E1066)</f>
        <v>0</v>
      </c>
      <c r="F1066" s="17">
        <f>IF('Components Yr 1'!F1066=0,0,'Components Yr 1'!F1066)</f>
        <v>0</v>
      </c>
      <c r="G1066" s="17">
        <f>IF('Components Yr 1'!G1066=0,0,'Components Yr 1'!G1066)</f>
        <v>0</v>
      </c>
      <c r="H1066" s="17">
        <f>IF('Components Yr 1'!H1066=0,0,'Components Yr 1'!H1066)</f>
        <v>0</v>
      </c>
      <c r="I1066" s="17">
        <f>IF('Components Yr 1'!I1066=0,0,'Components Yr 1'!I1066)</f>
        <v>0</v>
      </c>
      <c r="J1066" s="17">
        <f>IF('Components Yr 1'!J1066=0,0,'Components Yr 1'!J1066)</f>
        <v>0</v>
      </c>
      <c r="K1066" s="12"/>
      <c r="L1066" s="12"/>
      <c r="M1066" s="12"/>
      <c r="N1066" s="12"/>
      <c r="O1066" s="12"/>
      <c r="P1066" s="12"/>
      <c r="Q1066" s="17"/>
      <c r="R1066" s="18">
        <f>IF(SUMPRODUCT((E1066:Q1066)*1)=0,0,E1066*INDEX(Hours!M:M,MATCH(C1066,Hours!$A:$A,0))+F1066*INDEX(Hours!B:B,MATCH(C1066,Hours!$A:$A,0))+G1066*INDEX(Hours!C:C,MATCH(C1066,Hours!$A:$A,0))+H1066*INDEX(Hours!D:D,MATCH(C1066,Hours!$A:$A,0))+I1066*INDEX(Hours!E:E,MATCH(C1066,Hours!$A:$A,0))+J1066*INDEX(Hours!F:F,MATCH(C1066,Hours!$A:$A,0)))</f>
        <v>0</v>
      </c>
      <c r="S1066" s="19">
        <f t="shared" si="33"/>
        <v>0</v>
      </c>
    </row>
    <row r="1067" spans="1:19" x14ac:dyDescent="0.25">
      <c r="A1067" s="11" t="str">
        <f>'Bldgs &amp; Rooms'!$A$30</f>
        <v>Main Bldg.</v>
      </c>
      <c r="B1067" s="11">
        <f>'Bldgs &amp; Rooms'!$B$30</f>
        <v>0</v>
      </c>
      <c r="C1067" s="10" t="str">
        <f>Hours!$A$31</f>
        <v>Motors &lt; 50 HP</v>
      </c>
      <c r="D1067" s="11">
        <f t="shared" si="32"/>
        <v>0</v>
      </c>
      <c r="E1067" s="16">
        <f>IF('Components Yr 1'!E1067=0,0,'Components Yr 1'!E1067)</f>
        <v>0</v>
      </c>
      <c r="F1067" s="17">
        <f>IF('Components Yr 1'!F1067=0,0,'Components Yr 1'!F1067)</f>
        <v>0</v>
      </c>
      <c r="G1067" s="17">
        <f>IF('Components Yr 1'!G1067=0,0,'Components Yr 1'!G1067)</f>
        <v>0</v>
      </c>
      <c r="H1067" s="17">
        <f>IF('Components Yr 1'!H1067=0,0,'Components Yr 1'!H1067)</f>
        <v>0</v>
      </c>
      <c r="I1067" s="17">
        <f>IF('Components Yr 1'!I1067=0,0,'Components Yr 1'!I1067)</f>
        <v>0</v>
      </c>
      <c r="J1067" s="17">
        <f>IF('Components Yr 1'!J1067=0,0,'Components Yr 1'!J1067)</f>
        <v>0</v>
      </c>
      <c r="K1067" s="12"/>
      <c r="L1067" s="12"/>
      <c r="M1067" s="12"/>
      <c r="N1067" s="12"/>
      <c r="O1067" s="12"/>
      <c r="P1067" s="12"/>
      <c r="Q1067" s="17"/>
      <c r="R1067" s="18">
        <f>IF(SUMPRODUCT((E1067:Q1067)*1)=0,0,E1067*INDEX(Hours!M:M,MATCH(C1067,Hours!$A:$A,0))+F1067*INDEX(Hours!B:B,MATCH(C1067,Hours!$A:$A,0))+G1067*INDEX(Hours!C:C,MATCH(C1067,Hours!$A:$A,0))+H1067*INDEX(Hours!D:D,MATCH(C1067,Hours!$A:$A,0))+I1067*INDEX(Hours!E:E,MATCH(C1067,Hours!$A:$A,0))+J1067*INDEX(Hours!F:F,MATCH(C1067,Hours!$A:$A,0)))</f>
        <v>0</v>
      </c>
      <c r="S1067" s="19">
        <f t="shared" si="33"/>
        <v>0</v>
      </c>
    </row>
    <row r="1068" spans="1:19" x14ac:dyDescent="0.25">
      <c r="A1068" s="11" t="str">
        <f>'Bldgs &amp; Rooms'!$A$30</f>
        <v>Main Bldg.</v>
      </c>
      <c r="B1068" s="11">
        <f>'Bldgs &amp; Rooms'!$B$30</f>
        <v>0</v>
      </c>
      <c r="C1068" s="10" t="str">
        <f>Hours!$A$32</f>
        <v>Motors 51-200 HP</v>
      </c>
      <c r="D1068" s="11">
        <f t="shared" si="32"/>
        <v>0</v>
      </c>
      <c r="E1068" s="16">
        <f>IF('Components Yr 1'!E1068=0,0,'Components Yr 1'!E1068)</f>
        <v>0</v>
      </c>
      <c r="F1068" s="17">
        <f>IF('Components Yr 1'!F1068=0,0,'Components Yr 1'!F1068)</f>
        <v>0</v>
      </c>
      <c r="G1068" s="17">
        <f>IF('Components Yr 1'!G1068=0,0,'Components Yr 1'!G1068)</f>
        <v>0</v>
      </c>
      <c r="H1068" s="17">
        <f>IF('Components Yr 1'!H1068=0,0,'Components Yr 1'!H1068)</f>
        <v>0</v>
      </c>
      <c r="I1068" s="17">
        <f>IF('Components Yr 1'!I1068=0,0,'Components Yr 1'!I1068)</f>
        <v>0</v>
      </c>
      <c r="J1068" s="17">
        <f>IF('Components Yr 1'!J1068=0,0,'Components Yr 1'!J1068)</f>
        <v>0</v>
      </c>
      <c r="K1068" s="12"/>
      <c r="L1068" s="12"/>
      <c r="M1068" s="12"/>
      <c r="N1068" s="12"/>
      <c r="O1068" s="12"/>
      <c r="P1068" s="12"/>
      <c r="Q1068" s="17"/>
      <c r="R1068" s="18">
        <f>IF(SUMPRODUCT((E1068:Q1068)*1)=0,0,E1068*INDEX(Hours!M:M,MATCH(C1068,Hours!$A:$A,0))+F1068*INDEX(Hours!B:B,MATCH(C1068,Hours!$A:$A,0))+G1068*INDEX(Hours!C:C,MATCH(C1068,Hours!$A:$A,0))+H1068*INDEX(Hours!D:D,MATCH(C1068,Hours!$A:$A,0))+I1068*INDEX(Hours!E:E,MATCH(C1068,Hours!$A:$A,0))+J1068*INDEX(Hours!F:F,MATCH(C1068,Hours!$A:$A,0)))</f>
        <v>0</v>
      </c>
      <c r="S1068" s="19">
        <f t="shared" si="33"/>
        <v>0</v>
      </c>
    </row>
    <row r="1069" spans="1:19" x14ac:dyDescent="0.25">
      <c r="A1069" s="11" t="str">
        <f>'Bldgs &amp; Rooms'!$A$30</f>
        <v>Main Bldg.</v>
      </c>
      <c r="B1069" s="11">
        <f>'Bldgs &amp; Rooms'!$B$30</f>
        <v>0</v>
      </c>
      <c r="C1069" s="10" t="str">
        <f>Hours!$A$33</f>
        <v>Motors 201-500 HP</v>
      </c>
      <c r="D1069" s="11">
        <f t="shared" si="32"/>
        <v>0</v>
      </c>
      <c r="E1069" s="16">
        <f>IF('Components Yr 1'!E1069=0,0,'Components Yr 1'!E1069)</f>
        <v>0</v>
      </c>
      <c r="F1069" s="17">
        <f>IF('Components Yr 1'!F1069=0,0,'Components Yr 1'!F1069)</f>
        <v>0</v>
      </c>
      <c r="G1069" s="17">
        <f>IF('Components Yr 1'!G1069=0,0,'Components Yr 1'!G1069)</f>
        <v>0</v>
      </c>
      <c r="H1069" s="17">
        <f>IF('Components Yr 1'!H1069=0,0,'Components Yr 1'!H1069)</f>
        <v>0</v>
      </c>
      <c r="I1069" s="17">
        <f>IF('Components Yr 1'!I1069=0,0,'Components Yr 1'!I1069)</f>
        <v>0</v>
      </c>
      <c r="J1069" s="17">
        <f>IF('Components Yr 1'!J1069=0,0,'Components Yr 1'!J1069)</f>
        <v>0</v>
      </c>
      <c r="K1069" s="12"/>
      <c r="L1069" s="12"/>
      <c r="M1069" s="12"/>
      <c r="N1069" s="12"/>
      <c r="O1069" s="12"/>
      <c r="P1069" s="12"/>
      <c r="Q1069" s="17"/>
      <c r="R1069" s="18">
        <f>IF(SUMPRODUCT((E1069:Q1069)*1)=0,0,E1069*INDEX(Hours!M:M,MATCH(C1069,Hours!$A:$A,0))+F1069*INDEX(Hours!B:B,MATCH(C1069,Hours!$A:$A,0))+G1069*INDEX(Hours!C:C,MATCH(C1069,Hours!$A:$A,0))+H1069*INDEX(Hours!D:D,MATCH(C1069,Hours!$A:$A,0))+I1069*INDEX(Hours!E:E,MATCH(C1069,Hours!$A:$A,0))+J1069*INDEX(Hours!F:F,MATCH(C1069,Hours!$A:$A,0)))</f>
        <v>0</v>
      </c>
      <c r="S1069" s="19">
        <f t="shared" si="33"/>
        <v>0</v>
      </c>
    </row>
    <row r="1070" spans="1:19" x14ac:dyDescent="0.25">
      <c r="A1070" s="11" t="str">
        <f>'Bldgs &amp; Rooms'!$A$30</f>
        <v>Main Bldg.</v>
      </c>
      <c r="B1070" s="11">
        <f>'Bldgs &amp; Rooms'!$B$30</f>
        <v>0</v>
      </c>
      <c r="C1070" s="10" t="str">
        <f>Hours!$A$34</f>
        <v>Compressed Air Equipment</v>
      </c>
      <c r="D1070" s="11">
        <f t="shared" si="32"/>
        <v>0</v>
      </c>
      <c r="E1070" s="16">
        <f>IF('Components Yr 1'!E1070=0,0,'Components Yr 1'!E1070)</f>
        <v>0</v>
      </c>
      <c r="F1070" s="17">
        <f>IF('Components Yr 1'!F1070=0,0,'Components Yr 1'!F1070)</f>
        <v>0</v>
      </c>
      <c r="G1070" s="17">
        <f>IF('Components Yr 1'!G1070=0,0,'Components Yr 1'!G1070)</f>
        <v>0</v>
      </c>
      <c r="H1070" s="17">
        <f>IF('Components Yr 1'!H1070=0,0,'Components Yr 1'!H1070)</f>
        <v>0</v>
      </c>
      <c r="I1070" s="17">
        <f>IF('Components Yr 1'!I1070=0,0,'Components Yr 1'!I1070)</f>
        <v>0</v>
      </c>
      <c r="J1070" s="17">
        <f>IF('Components Yr 1'!J1070=0,0,'Components Yr 1'!J1070)</f>
        <v>0</v>
      </c>
      <c r="K1070" s="12"/>
      <c r="L1070" s="12"/>
      <c r="M1070" s="12"/>
      <c r="N1070" s="12"/>
      <c r="O1070" s="12"/>
      <c r="P1070" s="12"/>
      <c r="Q1070" s="17"/>
      <c r="R1070" s="18">
        <f>IF(SUMPRODUCT((E1070:Q1070)*1)=0,0,E1070*INDEX(Hours!M:M,MATCH(C1070,Hours!$A:$A,0))+F1070*INDEX(Hours!B:B,MATCH(C1070,Hours!$A:$A,0))+G1070*INDEX(Hours!C:C,MATCH(C1070,Hours!$A:$A,0))+H1070*INDEX(Hours!D:D,MATCH(C1070,Hours!$A:$A,0))+I1070*INDEX(Hours!E:E,MATCH(C1070,Hours!$A:$A,0))+J1070*INDEX(Hours!F:F,MATCH(C1070,Hours!$A:$A,0)))</f>
        <v>0</v>
      </c>
      <c r="S1070" s="19">
        <f t="shared" si="33"/>
        <v>0</v>
      </c>
    </row>
    <row r="1071" spans="1:19" x14ac:dyDescent="0.25">
      <c r="A1071" s="11" t="str">
        <f>'Bldgs &amp; Rooms'!$A$30</f>
        <v>Main Bldg.</v>
      </c>
      <c r="B1071" s="11">
        <f>'Bldgs &amp; Rooms'!$B$30</f>
        <v>0</v>
      </c>
      <c r="C1071" s="10" t="str">
        <f>Hours!$A$35</f>
        <v>HVAC Equipment (Large)</v>
      </c>
      <c r="D1071" s="11">
        <f t="shared" si="32"/>
        <v>0</v>
      </c>
      <c r="E1071" s="16">
        <f>IF('Components Yr 1'!E1071=0,0,'Components Yr 1'!E1071)</f>
        <v>0</v>
      </c>
      <c r="F1071" s="17">
        <f>IF('Components Yr 1'!F1071=0,0,'Components Yr 1'!F1071)</f>
        <v>0</v>
      </c>
      <c r="G1071" s="17">
        <f>IF('Components Yr 1'!G1071=0,0,'Components Yr 1'!G1071)</f>
        <v>0</v>
      </c>
      <c r="H1071" s="17">
        <f>IF('Components Yr 1'!H1071=0,0,'Components Yr 1'!H1071)</f>
        <v>0</v>
      </c>
      <c r="I1071" s="17">
        <f>IF('Components Yr 1'!I1071=0,0,'Components Yr 1'!I1071)</f>
        <v>0</v>
      </c>
      <c r="J1071" s="17">
        <f>IF('Components Yr 1'!J1071=0,0,'Components Yr 1'!J1071)</f>
        <v>0</v>
      </c>
      <c r="K1071" s="12"/>
      <c r="L1071" s="12"/>
      <c r="M1071" s="12"/>
      <c r="N1071" s="12"/>
      <c r="O1071" s="12"/>
      <c r="P1071" s="12"/>
      <c r="Q1071" s="17"/>
      <c r="R1071" s="18">
        <f>IF(SUMPRODUCT((E1071:Q1071)*1)=0,0,E1071*INDEX(Hours!M:M,MATCH(C1071,Hours!$A:$A,0))+F1071*INDEX(Hours!B:B,MATCH(C1071,Hours!$A:$A,0))+G1071*INDEX(Hours!C:C,MATCH(C1071,Hours!$A:$A,0))+H1071*INDEX(Hours!D:D,MATCH(C1071,Hours!$A:$A,0))+I1071*INDEX(Hours!E:E,MATCH(C1071,Hours!$A:$A,0))+J1071*INDEX(Hours!F:F,MATCH(C1071,Hours!$A:$A,0)))</f>
        <v>0</v>
      </c>
      <c r="S1071" s="19">
        <f t="shared" si="33"/>
        <v>0</v>
      </c>
    </row>
    <row r="1072" spans="1:19" x14ac:dyDescent="0.25">
      <c r="A1072" s="11" t="str">
        <f>'Bldgs &amp; Rooms'!$A$30</f>
        <v>Main Bldg.</v>
      </c>
      <c r="B1072" s="11">
        <f>'Bldgs &amp; Rooms'!$B$30</f>
        <v>0</v>
      </c>
      <c r="C1072" s="10" t="str">
        <f>Hours!$A$36</f>
        <v>HVAC Equipment (Small)</v>
      </c>
      <c r="D1072" s="11">
        <f t="shared" si="32"/>
        <v>0</v>
      </c>
      <c r="E1072" s="16">
        <f>IF('Components Yr 1'!E1072=0,0,'Components Yr 1'!E1072)</f>
        <v>0</v>
      </c>
      <c r="F1072" s="17">
        <f>IF('Components Yr 1'!F1072=0,0,'Components Yr 1'!F1072)</f>
        <v>0</v>
      </c>
      <c r="G1072" s="17">
        <f>IF('Components Yr 1'!G1072=0,0,'Components Yr 1'!G1072)</f>
        <v>0</v>
      </c>
      <c r="H1072" s="17">
        <f>IF('Components Yr 1'!H1072=0,0,'Components Yr 1'!H1072)</f>
        <v>0</v>
      </c>
      <c r="I1072" s="17">
        <f>IF('Components Yr 1'!I1072=0,0,'Components Yr 1'!I1072)</f>
        <v>0</v>
      </c>
      <c r="J1072" s="17">
        <f>IF('Components Yr 1'!J1072=0,0,'Components Yr 1'!J1072)</f>
        <v>0</v>
      </c>
      <c r="K1072" s="12"/>
      <c r="L1072" s="12"/>
      <c r="M1072" s="12"/>
      <c r="N1072" s="12"/>
      <c r="O1072" s="12"/>
      <c r="P1072" s="12"/>
      <c r="Q1072" s="17"/>
      <c r="R1072" s="18">
        <f>IF(SUMPRODUCT((E1072:Q1072)*1)=0,0,E1072*INDEX(Hours!M:M,MATCH(C1072,Hours!$A:$A,0))+F1072*INDEX(Hours!B:B,MATCH(C1072,Hours!$A:$A,0))+G1072*INDEX(Hours!C:C,MATCH(C1072,Hours!$A:$A,0))+H1072*INDEX(Hours!D:D,MATCH(C1072,Hours!$A:$A,0))+I1072*INDEX(Hours!E:E,MATCH(C1072,Hours!$A:$A,0))+J1072*INDEX(Hours!F:F,MATCH(C1072,Hours!$A:$A,0)))</f>
        <v>0</v>
      </c>
      <c r="S1072" s="19">
        <f t="shared" si="33"/>
        <v>0</v>
      </c>
    </row>
    <row r="1073" spans="1:19" x14ac:dyDescent="0.25">
      <c r="A1073" s="11" t="str">
        <f>'Bldgs &amp; Rooms'!$A$30</f>
        <v>Main Bldg.</v>
      </c>
      <c r="B1073" s="11">
        <f>'Bldgs &amp; Rooms'!$B$30</f>
        <v>0</v>
      </c>
      <c r="C1073" s="10" t="str">
        <f>Hours!$A$37</f>
        <v>Uninterruptible Power Supply (UPS) &lt; 50kVA</v>
      </c>
      <c r="D1073" s="11">
        <f t="shared" si="32"/>
        <v>0</v>
      </c>
      <c r="E1073" s="16">
        <f>IF('Components Yr 1'!E1073=0,0,'Components Yr 1'!E1073)</f>
        <v>0</v>
      </c>
      <c r="F1073" s="17">
        <f>IF('Components Yr 1'!F1073=0,0,'Components Yr 1'!F1073)</f>
        <v>0</v>
      </c>
      <c r="G1073" s="17">
        <f>IF('Components Yr 1'!G1073=0,0,'Components Yr 1'!G1073)</f>
        <v>0</v>
      </c>
      <c r="H1073" s="17">
        <f>IF('Components Yr 1'!H1073=0,0,'Components Yr 1'!H1073)</f>
        <v>0</v>
      </c>
      <c r="I1073" s="17">
        <f>IF('Components Yr 1'!I1073=0,0,'Components Yr 1'!I1073)</f>
        <v>0</v>
      </c>
      <c r="J1073" s="17">
        <f>IF('Components Yr 1'!J1073=0,0,'Components Yr 1'!J1073)</f>
        <v>0</v>
      </c>
      <c r="K1073" s="12"/>
      <c r="L1073" s="12"/>
      <c r="M1073" s="12"/>
      <c r="N1073" s="12"/>
      <c r="O1073" s="12"/>
      <c r="P1073" s="12"/>
      <c r="Q1073" s="17"/>
      <c r="R1073" s="18">
        <f>IF(SUMPRODUCT((E1073:Q1073)*1)=0,0,E1073*INDEX(Hours!M:M,MATCH(C1073,Hours!$A:$A,0))+F1073*INDEX(Hours!B:B,MATCH(C1073,Hours!$A:$A,0))+G1073*INDEX(Hours!C:C,MATCH(C1073,Hours!$A:$A,0))+H1073*INDEX(Hours!D:D,MATCH(C1073,Hours!$A:$A,0))+I1073*INDEX(Hours!E:E,MATCH(C1073,Hours!$A:$A,0))+J1073*INDEX(Hours!F:F,MATCH(C1073,Hours!$A:$A,0)))</f>
        <v>0</v>
      </c>
      <c r="S1073" s="19">
        <f t="shared" si="33"/>
        <v>0</v>
      </c>
    </row>
    <row r="1074" spans="1:19" x14ac:dyDescent="0.25">
      <c r="A1074" s="11" t="str">
        <f>'Bldgs &amp; Rooms'!$A$30</f>
        <v>Main Bldg.</v>
      </c>
      <c r="B1074" s="11">
        <f>'Bldgs &amp; Rooms'!$B$30</f>
        <v>0</v>
      </c>
      <c r="C1074" s="10" t="str">
        <f>Hours!$A$38</f>
        <v>Uninterruptible Power Supply (UPS) &gt; 50kVA</v>
      </c>
      <c r="D1074" s="11">
        <f t="shared" si="32"/>
        <v>0</v>
      </c>
      <c r="E1074" s="16">
        <f>IF('Components Yr 1'!E1074=0,0,'Components Yr 1'!E1074)</f>
        <v>0</v>
      </c>
      <c r="F1074" s="17">
        <f>IF('Components Yr 1'!F1074=0,0,'Components Yr 1'!F1074)</f>
        <v>0</v>
      </c>
      <c r="G1074" s="17">
        <f>IF('Components Yr 1'!G1074=0,0,'Components Yr 1'!G1074)</f>
        <v>0</v>
      </c>
      <c r="H1074" s="17">
        <f>IF('Components Yr 1'!H1074=0,0,'Components Yr 1'!H1074)</f>
        <v>0</v>
      </c>
      <c r="I1074" s="17">
        <f>IF('Components Yr 1'!I1074=0,0,'Components Yr 1'!I1074)</f>
        <v>0</v>
      </c>
      <c r="J1074" s="17">
        <f>IF('Components Yr 1'!J1074=0,0,'Components Yr 1'!J1074)</f>
        <v>0</v>
      </c>
      <c r="K1074" s="12"/>
      <c r="L1074" s="12"/>
      <c r="M1074" s="12"/>
      <c r="N1074" s="12"/>
      <c r="O1074" s="12"/>
      <c r="P1074" s="12"/>
      <c r="Q1074" s="17"/>
      <c r="R1074" s="18">
        <f>IF(SUMPRODUCT((E1074:Q1074)*1)=0,0,E1074*INDEX(Hours!M:M,MATCH(C1074,Hours!$A:$A,0))+F1074*INDEX(Hours!B:B,MATCH(C1074,Hours!$A:$A,0))+G1074*INDEX(Hours!C:C,MATCH(C1074,Hours!$A:$A,0))+H1074*INDEX(Hours!D:D,MATCH(C1074,Hours!$A:$A,0))+I1074*INDEX(Hours!E:E,MATCH(C1074,Hours!$A:$A,0))+J1074*INDEX(Hours!F:F,MATCH(C1074,Hours!$A:$A,0)))</f>
        <v>0</v>
      </c>
      <c r="S1074" s="19">
        <f t="shared" si="33"/>
        <v>0</v>
      </c>
    </row>
    <row r="1075" spans="1:19" x14ac:dyDescent="0.25">
      <c r="A1075" s="15" t="str">
        <f>'Bldgs &amp; Rooms'!$A$31</f>
        <v>Main Bldg.</v>
      </c>
      <c r="B1075" s="15">
        <f>'Bldgs &amp; Rooms'!$B$31</f>
        <v>0</v>
      </c>
      <c r="C1075" s="14" t="str">
        <f>Hours!$A$2</f>
        <v>Switchgear - Incoming Main Service (Per Section)</v>
      </c>
      <c r="D1075" s="15">
        <f t="shared" si="32"/>
        <v>0</v>
      </c>
      <c r="E1075" s="16">
        <f>IF('Components Yr 1'!E1075=0,0,'Components Yr 1'!E1075)</f>
        <v>0</v>
      </c>
      <c r="F1075" s="17">
        <f>IF('Components Yr 1'!F1075=0,0,'Components Yr 1'!F1075)</f>
        <v>0</v>
      </c>
      <c r="G1075" s="17">
        <f>IF('Components Yr 1'!G1075=0,0,'Components Yr 1'!G1075)</f>
        <v>0</v>
      </c>
      <c r="H1075" s="17">
        <f>IF('Components Yr 1'!H1075=0,0,'Components Yr 1'!H1075)</f>
        <v>0</v>
      </c>
      <c r="I1075" s="17">
        <f>IF('Components Yr 1'!I1075=0,0,'Components Yr 1'!I1075)</f>
        <v>0</v>
      </c>
      <c r="J1075" s="17">
        <f>IF('Components Yr 1'!J1075=0,0,'Components Yr 1'!J1075)</f>
        <v>0</v>
      </c>
      <c r="K1075" s="17">
        <f>IF('Components Yr 1'!K1075=0,0,'Components Yr 1'!K1075)</f>
        <v>0</v>
      </c>
      <c r="L1075" s="17">
        <f>IF('Components Yr 1'!L1075=0,0,'Components Yr 1'!L1075)</f>
        <v>0</v>
      </c>
      <c r="M1075" s="12"/>
      <c r="N1075" s="12"/>
      <c r="O1075" s="17">
        <f>IF('Components Yr 1'!O1075=0,0,'Components Yr 1'!O1075)</f>
        <v>0</v>
      </c>
      <c r="P1075" s="12"/>
      <c r="Q1075" s="17"/>
      <c r="R1075" s="18">
        <f>IF(SUMPRODUCT((E1075:Q1075)*1)=0,0,E1075*INDEX(Hours!M:M,MATCH(C1075,Hours!$A:$A,0))+F1075*INDEX(Hours!B:B,MATCH(C1075,Hours!$A:$A,0))+G1075*INDEX(Hours!C:C,MATCH(C1075,Hours!$A:$A,0))+H1075*INDEX(Hours!D:D,MATCH(C1075,Hours!$A:$A,0))+I1075*INDEX(Hours!E:E,MATCH(C1075,Hours!$A:$A,0))+J1075*INDEX(Hours!F:F,MATCH(C1075,Hours!$A:$A,0))+K1075*INDEX(Hours!G:G,MATCH(C1075,Hours!$A:$A,0))+L1075*INDEX(Hours!H:H,MATCH(C1075,Hours!$A:$A,0))+O1075*INDEX(Hours!K:K,MATCH(C1075,Hours!$A:$A,0)))</f>
        <v>0</v>
      </c>
      <c r="S1075" s="19">
        <f t="shared" si="33"/>
        <v>0</v>
      </c>
    </row>
    <row r="1076" spans="1:19" x14ac:dyDescent="0.25">
      <c r="A1076" s="15" t="str">
        <f>'Bldgs &amp; Rooms'!$A$31</f>
        <v>Main Bldg.</v>
      </c>
      <c r="B1076" s="15">
        <f>'Bldgs &amp; Rooms'!$B$31</f>
        <v>0</v>
      </c>
      <c r="C1076" s="14" t="str">
        <f>Hours!$A$3</f>
        <v xml:space="preserve">  Switchgear Insulated Case Breakers (Bus Mounted)</v>
      </c>
      <c r="D1076" s="15">
        <f t="shared" si="32"/>
        <v>0</v>
      </c>
      <c r="E1076" s="16">
        <f>IF('Components Yr 1'!E1076=0,0,'Components Yr 1'!E1076)</f>
        <v>0</v>
      </c>
      <c r="F1076" s="17">
        <f>IF('Components Yr 1'!F1076=0,0,'Components Yr 1'!F1076)</f>
        <v>0</v>
      </c>
      <c r="G1076" s="17">
        <f>IF('Components Yr 1'!G1076=0,0,'Components Yr 1'!G1076)</f>
        <v>0</v>
      </c>
      <c r="H1076" s="17">
        <f>IF('Components Yr 1'!H1076=0,0,'Components Yr 1'!H1076)</f>
        <v>0</v>
      </c>
      <c r="I1076" s="17">
        <f>IF('Components Yr 1'!I1076=0,0,'Components Yr 1'!I1076)</f>
        <v>0</v>
      </c>
      <c r="J1076" s="17">
        <f>IF('Components Yr 1'!J1076=0,0,'Components Yr 1'!J1076)</f>
        <v>0</v>
      </c>
      <c r="K1076" s="17">
        <f>IF('Components Yr 1'!K1076=0,0,'Components Yr 1'!K1076)</f>
        <v>0</v>
      </c>
      <c r="L1076" s="12"/>
      <c r="M1076" s="12"/>
      <c r="N1076" s="12"/>
      <c r="O1076" s="12"/>
      <c r="P1076" s="12"/>
      <c r="Q1076" s="17"/>
      <c r="R1076" s="18">
        <f>IF(SUMPRODUCT((E1076:Q1076)*1)=0,0,E1076*INDEX(Hours!M:M,MATCH(C1076,Hours!$A:$A,0))+F1076*INDEX(Hours!B:B,MATCH(C1076,Hours!$A:$A,0))+G1076*INDEX(Hours!C:C,MATCH(C1076,Hours!$A:$A,0))+H1076*INDEX(Hours!D:D,MATCH(C1076,Hours!$A:$A,0))+I1076*INDEX(Hours!E:E,MATCH(C1076,Hours!$A:$A,0))+J1076*INDEX(Hours!F:F,MATCH(C1076,Hours!$A:$A,0))+K1076*INDEX(Hours!G:G,MATCH(C1076,Hours!$A:$A,0)))</f>
        <v>0</v>
      </c>
      <c r="S1076" s="19">
        <f t="shared" si="33"/>
        <v>0</v>
      </c>
    </row>
    <row r="1077" spans="1:19" x14ac:dyDescent="0.25">
      <c r="A1077" s="15" t="str">
        <f>'Bldgs &amp; Rooms'!$A$31</f>
        <v>Main Bldg.</v>
      </c>
      <c r="B1077" s="15">
        <f>'Bldgs &amp; Rooms'!$B$31</f>
        <v>0</v>
      </c>
      <c r="C1077" s="14" t="str">
        <f>Hours!$A$4</f>
        <v xml:space="preserve">  SwitchGear Drawout Breakers</v>
      </c>
      <c r="D1077" s="15">
        <f t="shared" si="32"/>
        <v>0</v>
      </c>
      <c r="E1077" s="16">
        <f>IF('Components Yr 1'!E1077=0,0,'Components Yr 1'!E1077)</f>
        <v>0</v>
      </c>
      <c r="F1077" s="17">
        <f>IF('Components Yr 1'!F1077=0,0,'Components Yr 1'!F1077)</f>
        <v>0</v>
      </c>
      <c r="G1077" s="17">
        <f>IF('Components Yr 1'!G1077=0,0,'Components Yr 1'!G1077)</f>
        <v>0</v>
      </c>
      <c r="H1077" s="17">
        <f>IF('Components Yr 1'!H1077=0,0,'Components Yr 1'!H1077)</f>
        <v>0</v>
      </c>
      <c r="I1077" s="17">
        <f>IF('Components Yr 1'!I1077=0,0,'Components Yr 1'!I1077)</f>
        <v>0</v>
      </c>
      <c r="J1077" s="17">
        <f>IF('Components Yr 1'!J1077=0,0,'Components Yr 1'!J1077)</f>
        <v>0</v>
      </c>
      <c r="K1077" s="12"/>
      <c r="L1077" s="17">
        <f>IF('Components Yr 1'!L1077=0,0,'Components Yr 1'!L1077)</f>
        <v>0</v>
      </c>
      <c r="M1077" s="12"/>
      <c r="N1077" s="12"/>
      <c r="O1077" s="12"/>
      <c r="P1077" s="12"/>
      <c r="Q1077" s="17"/>
      <c r="R1077" s="18">
        <f>IF(SUMPRODUCT((E1077:Q1077)*1)=0,0,E1077*INDEX(Hours!M:M,MATCH(C1077,Hours!$A:$A,0))+F1077*INDEX(Hours!B:B,MATCH(C1077,Hours!$A:$A,0))+G1077*INDEX(Hours!C:C,MATCH(C1077,Hours!$A:$A,0))+H1077*INDEX(Hours!D:D,MATCH(C1077,Hours!$A:$A,0))+I1077*INDEX(Hours!E:E,MATCH(C1077,Hours!$A:$A,0))+J1077*INDEX(Hours!F:F,MATCH(C1077,Hours!$A:$A,0))+L1077*INDEX(Hours!H:H,MATCH(C1077,Hours!$A:$A,0)))</f>
        <v>0</v>
      </c>
      <c r="S1077" s="19">
        <f t="shared" si="33"/>
        <v>0</v>
      </c>
    </row>
    <row r="1078" spans="1:19" x14ac:dyDescent="0.25">
      <c r="A1078" s="15" t="str">
        <f>'Bldgs &amp; Rooms'!$A$31</f>
        <v>Main Bldg.</v>
      </c>
      <c r="B1078" s="15">
        <f>'Bldgs &amp; Rooms'!$B$31</f>
        <v>0</v>
      </c>
      <c r="C1078" s="14" t="str">
        <f>Hours!$A$5</f>
        <v>Distribution Switchboard Multi Cover (Per Section)</v>
      </c>
      <c r="D1078" s="15">
        <f t="shared" si="32"/>
        <v>0</v>
      </c>
      <c r="E1078" s="16">
        <f>IF('Components Yr 1'!E1078=0,0,'Components Yr 1'!E1078)</f>
        <v>0</v>
      </c>
      <c r="F1078" s="17">
        <f>IF('Components Yr 1'!F1078=0,0,'Components Yr 1'!F1078)</f>
        <v>0</v>
      </c>
      <c r="G1078" s="17">
        <f>IF('Components Yr 1'!G1078=0,0,'Components Yr 1'!G1078)</f>
        <v>0</v>
      </c>
      <c r="H1078" s="17">
        <f>IF('Components Yr 1'!H1078=0,0,'Components Yr 1'!H1078)</f>
        <v>0</v>
      </c>
      <c r="I1078" s="17">
        <f>IF('Components Yr 1'!I1078=0,0,'Components Yr 1'!I1078)</f>
        <v>0</v>
      </c>
      <c r="J1078" s="17">
        <f>IF('Components Yr 1'!J1078=0,0,'Components Yr 1'!J1078)</f>
        <v>0</v>
      </c>
      <c r="K1078" s="17">
        <f>IF('Components Yr 1'!K1078=0,0,'Components Yr 1'!K1078)</f>
        <v>0</v>
      </c>
      <c r="L1078" s="12"/>
      <c r="M1078" s="12"/>
      <c r="N1078" s="12"/>
      <c r="O1078" s="17">
        <f>IF('Components Yr 1'!O1078=0,0,'Components Yr 1'!O1078)</f>
        <v>0</v>
      </c>
      <c r="P1078" s="12"/>
      <c r="Q1078" s="17"/>
      <c r="R1078" s="18">
        <f>IF(SUMPRODUCT((E1078:Q1078)*1)=0,0,E1078*INDEX(Hours!M:M,MATCH(C1078,Hours!$A:$A,0))+F1078*INDEX(Hours!B:B,MATCH(C1078,Hours!$A:$A,0))+G1078*INDEX(Hours!C:C,MATCH(C1078,Hours!$A:$A,0))+H1078*INDEX(Hours!D:D,MATCH(C1078,Hours!$A:$A,0))+I1078*INDEX(Hours!E:E,MATCH(C1078,Hours!$A:$A,0))+J1078*INDEX(Hours!F:F,MATCH(C1078,Hours!$A:$A,0))+K1078*INDEX(Hours!G:G,MATCH(C1078,Hours!$A:$A,0))+O1078*INDEX(Hours!K:K,MATCH(C1078,Hours!$A:$A,0)))</f>
        <v>0</v>
      </c>
      <c r="S1078" s="19">
        <f t="shared" si="33"/>
        <v>0</v>
      </c>
    </row>
    <row r="1079" spans="1:19" x14ac:dyDescent="0.25">
      <c r="A1079" s="15" t="str">
        <f>'Bldgs &amp; Rooms'!$A$31</f>
        <v>Main Bldg.</v>
      </c>
      <c r="B1079" s="15">
        <f>'Bldgs &amp; Rooms'!$B$31</f>
        <v>0</v>
      </c>
      <c r="C1079" s="14" t="str">
        <f>Hours!$A$6</f>
        <v xml:space="preserve">  Switchboard Disconnects</v>
      </c>
      <c r="D1079" s="15">
        <f t="shared" si="32"/>
        <v>0</v>
      </c>
      <c r="E1079" s="16">
        <f>IF('Components Yr 1'!E1079=0,0,'Components Yr 1'!E1079)</f>
        <v>0</v>
      </c>
      <c r="F1079" s="17">
        <f>IF('Components Yr 1'!F1079=0,0,'Components Yr 1'!F1079)</f>
        <v>0</v>
      </c>
      <c r="G1079" s="17">
        <f>IF('Components Yr 1'!G1079=0,0,'Components Yr 1'!G1079)</f>
        <v>0</v>
      </c>
      <c r="H1079" s="17">
        <f>IF('Components Yr 1'!H1079=0,0,'Components Yr 1'!H1079)</f>
        <v>0</v>
      </c>
      <c r="I1079" s="17">
        <f>IF('Components Yr 1'!I1079=0,0,'Components Yr 1'!I1079)</f>
        <v>0</v>
      </c>
      <c r="J1079" s="17">
        <f>IF('Components Yr 1'!J1079=0,0,'Components Yr 1'!J1079)</f>
        <v>0</v>
      </c>
      <c r="K1079" s="12"/>
      <c r="L1079" s="12"/>
      <c r="M1079" s="12"/>
      <c r="N1079" s="12"/>
      <c r="O1079" s="12"/>
      <c r="P1079" s="12"/>
      <c r="Q1079" s="17"/>
      <c r="R1079" s="18">
        <f>IF(SUMPRODUCT((E1079:Q1079)*1)=0,0,E1079*INDEX(Hours!M:M,MATCH(C1079,Hours!$A:$A,0))+F1079*INDEX(Hours!B:B,MATCH(C1079,Hours!$A:$A,0))+G1079*INDEX(Hours!C:C,MATCH(C1079,Hours!$A:$A,0))+H1079*INDEX(Hours!D:D,MATCH(C1079,Hours!$A:$A,0))+I1079*INDEX(Hours!E:E,MATCH(C1079,Hours!$A:$A,0))+J1079*INDEX(Hours!F:F,MATCH(C1079,Hours!$A:$A,0)))</f>
        <v>0</v>
      </c>
      <c r="S1079" s="19">
        <f t="shared" si="33"/>
        <v>0</v>
      </c>
    </row>
    <row r="1080" spans="1:19" x14ac:dyDescent="0.25">
      <c r="A1080" s="15" t="str">
        <f>'Bldgs &amp; Rooms'!$A$31</f>
        <v>Main Bldg.</v>
      </c>
      <c r="B1080" s="15">
        <f>'Bldgs &amp; Rooms'!$B$31</f>
        <v>0</v>
      </c>
      <c r="C1080" s="14" t="str">
        <f>Hours!$A$7</f>
        <v xml:space="preserve">  Switchboard Molded Case Breakers</v>
      </c>
      <c r="D1080" s="15">
        <f t="shared" si="32"/>
        <v>0</v>
      </c>
      <c r="E1080" s="16">
        <f>IF('Components Yr 1'!E1080=0,0,'Components Yr 1'!E1080)</f>
        <v>0</v>
      </c>
      <c r="F1080" s="17">
        <f>IF('Components Yr 1'!F1080=0,0,'Components Yr 1'!F1080)</f>
        <v>0</v>
      </c>
      <c r="G1080" s="17">
        <f>IF('Components Yr 1'!G1080=0,0,'Components Yr 1'!G1080)</f>
        <v>0</v>
      </c>
      <c r="H1080" s="17">
        <f>IF('Components Yr 1'!H1080=0,0,'Components Yr 1'!H1080)</f>
        <v>0</v>
      </c>
      <c r="I1080" s="17">
        <f>IF('Components Yr 1'!I1080=0,0,'Components Yr 1'!I1080)</f>
        <v>0</v>
      </c>
      <c r="J1080" s="17">
        <f>IF('Components Yr 1'!J1080=0,0,'Components Yr 1'!J1080)</f>
        <v>0</v>
      </c>
      <c r="K1080" s="17">
        <f>IF('Components Yr 1'!K1080=0,0,'Components Yr 1'!K1080)</f>
        <v>0</v>
      </c>
      <c r="L1080" s="12"/>
      <c r="M1080" s="12"/>
      <c r="N1080" s="12"/>
      <c r="O1080" s="12"/>
      <c r="P1080" s="12"/>
      <c r="Q1080" s="17"/>
      <c r="R1080" s="18">
        <f>IF(SUMPRODUCT((E1080:Q1080)*1)=0,0,E1080*INDEX(Hours!M:M,MATCH(C1080,Hours!$A:$A,0))+F1080*INDEX(Hours!B:B,MATCH(C1080,Hours!$A:$A,0))+G1080*INDEX(Hours!C:C,MATCH(C1080,Hours!$A:$A,0))+H1080*INDEX(Hours!D:D,MATCH(C1080,Hours!$A:$A,0))+I1080*INDEX(Hours!E:E,MATCH(C1080,Hours!$A:$A,0))+J1080*INDEX(Hours!F:F,MATCH(C1080,Hours!$A:$A,0))+K1080*INDEX(Hours!G:G,MATCH(C1080,Hours!$A:$A,0)))</f>
        <v>0</v>
      </c>
      <c r="S1080" s="19">
        <f t="shared" si="33"/>
        <v>0</v>
      </c>
    </row>
    <row r="1081" spans="1:19" x14ac:dyDescent="0.25">
      <c r="A1081" s="15" t="str">
        <f>'Bldgs &amp; Rooms'!$A$31</f>
        <v>Main Bldg.</v>
      </c>
      <c r="B1081" s="15">
        <f>'Bldgs &amp; Rooms'!$B$31</f>
        <v>0</v>
      </c>
      <c r="C1081" s="14" t="str">
        <f>Hours!$A$8</f>
        <v>Panelboard-Single Cover &gt; 400A (Distribution Panel)</v>
      </c>
      <c r="D1081" s="15">
        <f t="shared" si="32"/>
        <v>0</v>
      </c>
      <c r="E1081" s="16">
        <f>IF('Components Yr 1'!E1081=0,0,'Components Yr 1'!E1081)</f>
        <v>0</v>
      </c>
      <c r="F1081" s="17">
        <f>IF('Components Yr 1'!F1081=0,0,'Components Yr 1'!F1081)</f>
        <v>0</v>
      </c>
      <c r="G1081" s="17">
        <f>IF('Components Yr 1'!G1081=0,0,'Components Yr 1'!G1081)</f>
        <v>0</v>
      </c>
      <c r="H1081" s="17">
        <f>IF('Components Yr 1'!H1081=0,0,'Components Yr 1'!H1081)</f>
        <v>0</v>
      </c>
      <c r="I1081" s="17">
        <f>IF('Components Yr 1'!I1081=0,0,'Components Yr 1'!I1081)</f>
        <v>0</v>
      </c>
      <c r="J1081" s="17">
        <f>IF('Components Yr 1'!J1081=0,0,'Components Yr 1'!J1081)</f>
        <v>0</v>
      </c>
      <c r="K1081" s="17">
        <f>IF('Components Yr 1'!K1081=0,0,'Components Yr 1'!K1081)</f>
        <v>0</v>
      </c>
      <c r="L1081" s="12"/>
      <c r="M1081" s="12"/>
      <c r="N1081" s="12"/>
      <c r="O1081" s="17">
        <f>IF('Components Yr 1'!O1081=0,0,'Components Yr 1'!O1081)</f>
        <v>0</v>
      </c>
      <c r="P1081" s="12"/>
      <c r="Q1081" s="17"/>
      <c r="R1081" s="18">
        <f>IF(SUMPRODUCT((E1081:Q1081)*1)=0,0,E1081*INDEX(Hours!M:M,MATCH(C1081,Hours!$A:$A,0))+F1081*INDEX(Hours!B:B,MATCH(C1081,Hours!$A:$A,0))+G1081*INDEX(Hours!C:C,MATCH(C1081,Hours!$A:$A,0))+H1081*INDEX(Hours!D:D,MATCH(C1081,Hours!$A:$A,0))+I1081*INDEX(Hours!E:E,MATCH(C1081,Hours!$A:$A,0))+J1081*INDEX(Hours!F:F,MATCH(C1081,Hours!$A:$A,0))+K1081*INDEX(Hours!G:G,MATCH(C1081,Hours!$A:$A,0))+O1081*INDEX(Hours!K:K,MATCH(C1081,Hours!$A:$A,0)))</f>
        <v>0</v>
      </c>
      <c r="S1081" s="19">
        <f t="shared" si="33"/>
        <v>0</v>
      </c>
    </row>
    <row r="1082" spans="1:19" x14ac:dyDescent="0.25">
      <c r="A1082" s="15" t="str">
        <f>'Bldgs &amp; Rooms'!$A$31</f>
        <v>Main Bldg.</v>
      </c>
      <c r="B1082" s="15">
        <f>'Bldgs &amp; Rooms'!$B$31</f>
        <v>0</v>
      </c>
      <c r="C1082" s="14" t="str">
        <f>Hours!$A$9</f>
        <v>Panelboard-Single Cover &lt; 400A (Branch Ckt Panel)</v>
      </c>
      <c r="D1082" s="15">
        <f t="shared" si="32"/>
        <v>0</v>
      </c>
      <c r="E1082" s="16">
        <f>IF('Components Yr 1'!E1082=0,0,'Components Yr 1'!E1082)</f>
        <v>0</v>
      </c>
      <c r="F1082" s="17">
        <f>IF('Components Yr 1'!F1082=0,0,'Components Yr 1'!F1082)</f>
        <v>0</v>
      </c>
      <c r="G1082" s="17">
        <f>IF('Components Yr 1'!G1082=0,0,'Components Yr 1'!G1082)</f>
        <v>0</v>
      </c>
      <c r="H1082" s="17">
        <f>IF('Components Yr 1'!H1082=0,0,'Components Yr 1'!H1082)</f>
        <v>0</v>
      </c>
      <c r="I1082" s="17">
        <f>IF('Components Yr 1'!I1082=0,0,'Components Yr 1'!I1082)</f>
        <v>0</v>
      </c>
      <c r="J1082" s="17">
        <f>IF('Components Yr 1'!J1082=0,0,'Components Yr 1'!J1082)</f>
        <v>0</v>
      </c>
      <c r="K1082" s="12"/>
      <c r="L1082" s="12"/>
      <c r="M1082" s="12"/>
      <c r="N1082" s="12"/>
      <c r="O1082" s="17">
        <f>IF('Components Yr 1'!O1082=0,0,'Components Yr 1'!O1082)</f>
        <v>0</v>
      </c>
      <c r="P1082" s="12"/>
      <c r="Q1082" s="17"/>
      <c r="R1082" s="18">
        <f>IF(SUMPRODUCT((E1082:Q1082)*1)=0,0,E1082*INDEX(Hours!M:M,MATCH(C1082,Hours!$A:$A,0))+F1082*INDEX(Hours!B:B,MATCH(C1082,Hours!$A:$A,0))+G1082*INDEX(Hours!C:C,MATCH(C1082,Hours!$A:$A,0))+H1082*INDEX(Hours!D:D,MATCH(C1082,Hours!$A:$A,0))+I1082*INDEX(Hours!E:E,MATCH(C1082,Hours!$A:$A,0))+J1082*INDEX(Hours!F:F,MATCH(C1082,Hours!$A:$A,0))+O1082*INDEX(Hours!K:K,MATCH(C1082,Hours!$A:$A,0)))</f>
        <v>0</v>
      </c>
      <c r="S1082" s="19">
        <f t="shared" si="33"/>
        <v>0</v>
      </c>
    </row>
    <row r="1083" spans="1:19" x14ac:dyDescent="0.25">
      <c r="A1083" s="15" t="str">
        <f>'Bldgs &amp; Rooms'!$A$31</f>
        <v>Main Bldg.</v>
      </c>
      <c r="B1083" s="15">
        <f>'Bldgs &amp; Rooms'!$B$31</f>
        <v>0</v>
      </c>
      <c r="C1083" s="14" t="str">
        <f>Hours!$A$10</f>
        <v>Motor Control Center (MCC-Per Vertical Section)</v>
      </c>
      <c r="D1083" s="15">
        <f t="shared" si="32"/>
        <v>0</v>
      </c>
      <c r="E1083" s="16">
        <f>IF('Components Yr 1'!E1083=0,0,'Components Yr 1'!E1083)</f>
        <v>0</v>
      </c>
      <c r="F1083" s="17">
        <f>IF('Components Yr 1'!F1083=0,0,'Components Yr 1'!F1083)</f>
        <v>0</v>
      </c>
      <c r="G1083" s="17">
        <f>IF('Components Yr 1'!G1083=0,0,'Components Yr 1'!G1083)</f>
        <v>0</v>
      </c>
      <c r="H1083" s="17">
        <f>IF('Components Yr 1'!H1083=0,0,'Components Yr 1'!H1083)</f>
        <v>0</v>
      </c>
      <c r="I1083" s="17">
        <f>IF('Components Yr 1'!I1083=0,0,'Components Yr 1'!I1083)</f>
        <v>0</v>
      </c>
      <c r="J1083" s="17">
        <f>IF('Components Yr 1'!J1083=0,0,'Components Yr 1'!J1083)</f>
        <v>0</v>
      </c>
      <c r="K1083" s="12"/>
      <c r="L1083" s="12"/>
      <c r="M1083" s="12"/>
      <c r="N1083" s="12"/>
      <c r="O1083" s="17">
        <f>IF('Components Yr 1'!O1083=0,0,'Components Yr 1'!O1083)</f>
        <v>0</v>
      </c>
      <c r="P1083" s="12"/>
      <c r="Q1083" s="17"/>
      <c r="R1083" s="18">
        <f>IF(SUMPRODUCT((E1083:Q1083)*1)=0,0,E1083*INDEX(Hours!M:M,MATCH(C1083,Hours!$A:$A,0))+F1083*INDEX(Hours!B:B,MATCH(C1083,Hours!$A:$A,0))+G1083*INDEX(Hours!C:C,MATCH(C1083,Hours!$A:$A,0))+H1083*INDEX(Hours!D:D,MATCH(C1083,Hours!$A:$A,0))+I1083*INDEX(Hours!E:E,MATCH(C1083,Hours!$A:$A,0))+J1083*INDEX(Hours!F:F,MATCH(C1083,Hours!$A:$A,0))+O1083*INDEX(Hours!K:K,MATCH(C1083,Hours!$A:$A,0)))</f>
        <v>0</v>
      </c>
      <c r="S1083" s="19">
        <f t="shared" si="33"/>
        <v>0</v>
      </c>
    </row>
    <row r="1084" spans="1:19" x14ac:dyDescent="0.25">
      <c r="A1084" s="15" t="str">
        <f>'Bldgs &amp; Rooms'!$A$31</f>
        <v>Main Bldg.</v>
      </c>
      <c r="B1084" s="15">
        <f>'Bldgs &amp; Rooms'!$B$31</f>
        <v>0</v>
      </c>
      <c r="C1084" s="14" t="str">
        <f>Hours!$A$11</f>
        <v xml:space="preserve">  MCC: Combination Motor Starters</v>
      </c>
      <c r="D1084" s="15">
        <f t="shared" si="32"/>
        <v>0</v>
      </c>
      <c r="E1084" s="16">
        <f>IF('Components Yr 1'!E1084=0,0,'Components Yr 1'!E1084)</f>
        <v>0</v>
      </c>
      <c r="F1084" s="17">
        <f>IF('Components Yr 1'!F1084=0,0,'Components Yr 1'!F1084)</f>
        <v>0</v>
      </c>
      <c r="G1084" s="17">
        <f>IF('Components Yr 1'!G1084=0,0,'Components Yr 1'!G1084)</f>
        <v>0</v>
      </c>
      <c r="H1084" s="17">
        <f>IF('Components Yr 1'!H1084=0,0,'Components Yr 1'!H1084)</f>
        <v>0</v>
      </c>
      <c r="I1084" s="17">
        <f>IF('Components Yr 1'!I1084=0,0,'Components Yr 1'!I1084)</f>
        <v>0</v>
      </c>
      <c r="J1084" s="17">
        <f>IF('Components Yr 1'!J1084=0,0,'Components Yr 1'!J1084)</f>
        <v>0</v>
      </c>
      <c r="K1084" s="17">
        <f>IF('Components Yr 1'!K1084=0,0,'Components Yr 1'!K1084)</f>
        <v>0</v>
      </c>
      <c r="L1084" s="12"/>
      <c r="M1084" s="12"/>
      <c r="N1084" s="12"/>
      <c r="O1084" s="17">
        <f>IF('Components Yr 1'!O1084=0,0,'Components Yr 1'!O1084)</f>
        <v>0</v>
      </c>
      <c r="P1084" s="12"/>
      <c r="Q1084" s="17"/>
      <c r="R1084" s="18">
        <f>IF(SUMPRODUCT((E1084:Q1084)*1)=0,0,E1084*INDEX(Hours!M:M,MATCH(C1084,Hours!$A:$A,0))+F1084*INDEX(Hours!B:B,MATCH(C1084,Hours!$A:$A,0))+G1084*INDEX(Hours!C:C,MATCH(C1084,Hours!$A:$A,0))+H1084*INDEX(Hours!D:D,MATCH(C1084,Hours!$A:$A,0))+I1084*INDEX(Hours!E:E,MATCH(C1084,Hours!$A:$A,0))+J1084*INDEX(Hours!F:F,MATCH(C1084,Hours!$A:$A,0))+K1084*INDEX(Hours!G:G,MATCH(C1084,Hours!$A:$A,0))+O1084*INDEX(Hours!K:K,MATCH(C1084,Hours!$A:$A,0)))</f>
        <v>0</v>
      </c>
      <c r="S1084" s="19">
        <f t="shared" si="33"/>
        <v>0</v>
      </c>
    </row>
    <row r="1085" spans="1:19" x14ac:dyDescent="0.25">
      <c r="A1085" s="15" t="str">
        <f>'Bldgs &amp; Rooms'!$A$31</f>
        <v>Main Bldg.</v>
      </c>
      <c r="B1085" s="15">
        <f>'Bldgs &amp; Rooms'!$B$31</f>
        <v>0</v>
      </c>
      <c r="C1085" s="14" t="str">
        <f>Hours!$A$12</f>
        <v xml:space="preserve">  MCC: Molded Case Breaker</v>
      </c>
      <c r="D1085" s="15">
        <f t="shared" si="32"/>
        <v>0</v>
      </c>
      <c r="E1085" s="16">
        <f>IF('Components Yr 1'!E1085=0,0,'Components Yr 1'!E1085)</f>
        <v>0</v>
      </c>
      <c r="F1085" s="17">
        <f>IF('Components Yr 1'!F1085=0,0,'Components Yr 1'!F1085)</f>
        <v>0</v>
      </c>
      <c r="G1085" s="17">
        <f>IF('Components Yr 1'!G1085=0,0,'Components Yr 1'!G1085)</f>
        <v>0</v>
      </c>
      <c r="H1085" s="17">
        <f>IF('Components Yr 1'!H1085=0,0,'Components Yr 1'!H1085)</f>
        <v>0</v>
      </c>
      <c r="I1085" s="17">
        <f>IF('Components Yr 1'!I1085=0,0,'Components Yr 1'!I1085)</f>
        <v>0</v>
      </c>
      <c r="J1085" s="17">
        <f>IF('Components Yr 1'!J1085=0,0,'Components Yr 1'!J1085)</f>
        <v>0</v>
      </c>
      <c r="K1085" s="17">
        <f>IF('Components Yr 1'!K1085=0,0,'Components Yr 1'!K1085)</f>
        <v>0</v>
      </c>
      <c r="L1085" s="12"/>
      <c r="M1085" s="12"/>
      <c r="N1085" s="12"/>
      <c r="O1085" s="12"/>
      <c r="P1085" s="12"/>
      <c r="Q1085" s="17"/>
      <c r="R1085" s="18">
        <f>IF(SUMPRODUCT((E1085:Q1085)*1)=0,0,E1085*INDEX(Hours!M:M,MATCH(C1085,Hours!$A:$A,0))+F1085*INDEX(Hours!B:B,MATCH(C1085,Hours!$A:$A,0))+G1085*INDEX(Hours!C:C,MATCH(C1085,Hours!$A:$A,0))+H1085*INDEX(Hours!D:D,MATCH(C1085,Hours!$A:$A,0))+I1085*INDEX(Hours!E:E,MATCH(C1085,Hours!$A:$A,0))+J1085*INDEX(Hours!F:F,MATCH(C1085,Hours!$A:$A,0))+K1085*INDEX(Hours!G:G,MATCH(C1085,Hours!$A:$A,0)))</f>
        <v>0</v>
      </c>
      <c r="S1085" s="19">
        <f t="shared" si="33"/>
        <v>0</v>
      </c>
    </row>
    <row r="1086" spans="1:19" x14ac:dyDescent="0.25">
      <c r="A1086" s="15" t="str">
        <f>'Bldgs &amp; Rooms'!$A$31</f>
        <v>Main Bldg.</v>
      </c>
      <c r="B1086" s="15">
        <f>'Bldgs &amp; Rooms'!$B$31</f>
        <v>0</v>
      </c>
      <c r="C1086" s="14" t="str">
        <f>Hours!$A$13</f>
        <v xml:space="preserve">  MCC: Individual Disconnect Switch</v>
      </c>
      <c r="D1086" s="15">
        <f t="shared" si="32"/>
        <v>0</v>
      </c>
      <c r="E1086" s="16">
        <f>IF('Components Yr 1'!E1086=0,0,'Components Yr 1'!E1086)</f>
        <v>0</v>
      </c>
      <c r="F1086" s="17">
        <f>IF('Components Yr 1'!F1086=0,0,'Components Yr 1'!F1086)</f>
        <v>0</v>
      </c>
      <c r="G1086" s="17">
        <f>IF('Components Yr 1'!G1086=0,0,'Components Yr 1'!G1086)</f>
        <v>0</v>
      </c>
      <c r="H1086" s="17">
        <f>IF('Components Yr 1'!H1086=0,0,'Components Yr 1'!H1086)</f>
        <v>0</v>
      </c>
      <c r="I1086" s="17">
        <f>IF('Components Yr 1'!I1086=0,0,'Components Yr 1'!I1086)</f>
        <v>0</v>
      </c>
      <c r="J1086" s="17">
        <f>IF('Components Yr 1'!J1086=0,0,'Components Yr 1'!J1086)</f>
        <v>0</v>
      </c>
      <c r="K1086" s="12"/>
      <c r="L1086" s="12"/>
      <c r="M1086" s="12"/>
      <c r="N1086" s="12"/>
      <c r="O1086" s="12"/>
      <c r="P1086" s="12"/>
      <c r="Q1086" s="17"/>
      <c r="R1086" s="18">
        <f>IF(SUMPRODUCT((E1086:Q1086)*1)=0,0,E1086*INDEX(Hours!M:M,MATCH(C1086,Hours!$A:$A,0))+F1086*INDEX(Hours!B:B,MATCH(C1086,Hours!$A:$A,0))+G1086*INDEX(Hours!C:C,MATCH(C1086,Hours!$A:$A,0))+H1086*INDEX(Hours!D:D,MATCH(C1086,Hours!$A:$A,0))+I1086*INDEX(Hours!E:E,MATCH(C1086,Hours!$A:$A,0))+J1086*INDEX(Hours!F:F,MATCH(C1086,Hours!$A:$A,0)))</f>
        <v>0</v>
      </c>
      <c r="S1086" s="19">
        <f t="shared" si="33"/>
        <v>0</v>
      </c>
    </row>
    <row r="1087" spans="1:19" x14ac:dyDescent="0.25">
      <c r="A1087" s="15" t="str">
        <f>'Bldgs &amp; Rooms'!$A$31</f>
        <v>Main Bldg.</v>
      </c>
      <c r="B1087" s="15">
        <f>'Bldgs &amp; Rooms'!$B$31</f>
        <v>0</v>
      </c>
      <c r="C1087" s="14" t="str">
        <f>Hours!$A$14</f>
        <v>Motor Control Panel (MCP)</v>
      </c>
      <c r="D1087" s="15">
        <f t="shared" si="32"/>
        <v>0</v>
      </c>
      <c r="E1087" s="16">
        <f>IF('Components Yr 1'!E1087=0,0,'Components Yr 1'!E1087)</f>
        <v>0</v>
      </c>
      <c r="F1087" s="17">
        <f>IF('Components Yr 1'!F1087=0,0,'Components Yr 1'!F1087)</f>
        <v>0</v>
      </c>
      <c r="G1087" s="17">
        <f>IF('Components Yr 1'!G1087=0,0,'Components Yr 1'!G1087)</f>
        <v>0</v>
      </c>
      <c r="H1087" s="17">
        <f>IF('Components Yr 1'!H1087=0,0,'Components Yr 1'!H1087)</f>
        <v>0</v>
      </c>
      <c r="I1087" s="17">
        <f>IF('Components Yr 1'!I1087=0,0,'Components Yr 1'!I1087)</f>
        <v>0</v>
      </c>
      <c r="J1087" s="17">
        <f>IF('Components Yr 1'!J1087=0,0,'Components Yr 1'!J1087)</f>
        <v>0</v>
      </c>
      <c r="K1087" s="12"/>
      <c r="L1087" s="12"/>
      <c r="M1087" s="12"/>
      <c r="N1087" s="12"/>
      <c r="O1087" s="17">
        <f>IF('Components Yr 1'!O1087=0,0,'Components Yr 1'!O1087)</f>
        <v>0</v>
      </c>
      <c r="P1087" s="12"/>
      <c r="Q1087" s="17"/>
      <c r="R1087" s="18">
        <f>IF(SUMPRODUCT((E1087:Q1087)*1)=0,0,E1087*INDEX(Hours!M:M,MATCH(C1087,Hours!$A:$A,0))+F1087*INDEX(Hours!B:B,MATCH(C1087,Hours!$A:$A,0))+G1087*INDEX(Hours!C:C,MATCH(C1087,Hours!$A:$A,0))+H1087*INDEX(Hours!D:D,MATCH(C1087,Hours!$A:$A,0))+I1087*INDEX(Hours!E:E,MATCH(C1087,Hours!$A:$A,0))+J1087*INDEX(Hours!F:F,MATCH(C1087,Hours!$A:$A,0))+O1087*INDEX(Hours!K:K,MATCH(C1087,Hours!$A:$A,0)))</f>
        <v>0</v>
      </c>
      <c r="S1087" s="19">
        <f t="shared" si="33"/>
        <v>0</v>
      </c>
    </row>
    <row r="1088" spans="1:19" x14ac:dyDescent="0.25">
      <c r="A1088" s="15" t="str">
        <f>'Bldgs &amp; Rooms'!$A$31</f>
        <v>Main Bldg.</v>
      </c>
      <c r="B1088" s="15">
        <f>'Bldgs &amp; Rooms'!$B$31</f>
        <v>0</v>
      </c>
      <c r="C1088" s="14" t="str">
        <f>Hours!$A$15</f>
        <v>VFD Motor Control Panel (VFD-MCP)</v>
      </c>
      <c r="D1088" s="15">
        <f t="shared" si="32"/>
        <v>0</v>
      </c>
      <c r="E1088" s="16">
        <f>IF('Components Yr 1'!E1088=0,0,'Components Yr 1'!E1088)</f>
        <v>0</v>
      </c>
      <c r="F1088" s="17">
        <f>IF('Components Yr 1'!F1088=0,0,'Components Yr 1'!F1088)</f>
        <v>0</v>
      </c>
      <c r="G1088" s="17">
        <f>IF('Components Yr 1'!G1088=0,0,'Components Yr 1'!G1088)</f>
        <v>0</v>
      </c>
      <c r="H1088" s="17">
        <f>IF('Components Yr 1'!H1088=0,0,'Components Yr 1'!H1088)</f>
        <v>0</v>
      </c>
      <c r="I1088" s="17">
        <f>IF('Components Yr 1'!I1088=0,0,'Components Yr 1'!I1088)</f>
        <v>0</v>
      </c>
      <c r="J1088" s="17">
        <f>IF('Components Yr 1'!J1088=0,0,'Components Yr 1'!J1088)</f>
        <v>0</v>
      </c>
      <c r="K1088" s="12"/>
      <c r="L1088" s="12"/>
      <c r="M1088" s="12"/>
      <c r="N1088" s="12"/>
      <c r="O1088" s="17">
        <f>IF('Components Yr 1'!O1088=0,0,'Components Yr 1'!O1088)</f>
        <v>0</v>
      </c>
      <c r="P1088" s="12"/>
      <c r="Q1088" s="17"/>
      <c r="R1088" s="18">
        <f>IF(SUMPRODUCT((E1088:Q1088)*1)=0,0,E1088*INDEX(Hours!M:M,MATCH(C1088,Hours!$A:$A,0))+F1088*INDEX(Hours!B:B,MATCH(C1088,Hours!$A:$A,0))+G1088*INDEX(Hours!C:C,MATCH(C1088,Hours!$A:$A,0))+H1088*INDEX(Hours!D:D,MATCH(C1088,Hours!$A:$A,0))+I1088*INDEX(Hours!E:E,MATCH(C1088,Hours!$A:$A,0))+J1088*INDEX(Hours!F:F,MATCH(C1088,Hours!$A:$A,0))+O1088*INDEX(Hours!K:K,MATCH(C1088,Hours!$A:$A,0)))</f>
        <v>0</v>
      </c>
      <c r="S1088" s="19">
        <f t="shared" si="33"/>
        <v>0</v>
      </c>
    </row>
    <row r="1089" spans="1:19" x14ac:dyDescent="0.25">
      <c r="A1089" s="15" t="str">
        <f>'Bldgs &amp; Rooms'!$A$31</f>
        <v>Main Bldg.</v>
      </c>
      <c r="B1089" s="15">
        <f>'Bldgs &amp; Rooms'!$B$31</f>
        <v>0</v>
      </c>
      <c r="C1089" s="14" t="str">
        <f>Hours!$A$16</f>
        <v>Individual Disconnect Switch &gt; 100A</v>
      </c>
      <c r="D1089" s="15">
        <f t="shared" si="32"/>
        <v>0</v>
      </c>
      <c r="E1089" s="16">
        <f>IF('Components Yr 1'!E1089=0,0,'Components Yr 1'!E1089)</f>
        <v>0</v>
      </c>
      <c r="F1089" s="17">
        <f>IF('Components Yr 1'!F1089=0,0,'Components Yr 1'!F1089)</f>
        <v>0</v>
      </c>
      <c r="G1089" s="17">
        <f>IF('Components Yr 1'!G1089=0,0,'Components Yr 1'!G1089)</f>
        <v>0</v>
      </c>
      <c r="H1089" s="17">
        <f>IF('Components Yr 1'!H1089=0,0,'Components Yr 1'!H1089)</f>
        <v>0</v>
      </c>
      <c r="I1089" s="17">
        <f>IF('Components Yr 1'!I1089=0,0,'Components Yr 1'!I1089)</f>
        <v>0</v>
      </c>
      <c r="J1089" s="17">
        <f>IF('Components Yr 1'!J1089=0,0,'Components Yr 1'!J1089)</f>
        <v>0</v>
      </c>
      <c r="K1089" s="17">
        <f>IF('Components Yr 1'!K1089=0,0,'Components Yr 1'!K1089)</f>
        <v>0</v>
      </c>
      <c r="L1089" s="12"/>
      <c r="M1089" s="12"/>
      <c r="N1089" s="12"/>
      <c r="O1089" s="12"/>
      <c r="P1089" s="12"/>
      <c r="Q1089" s="17"/>
      <c r="R1089" s="18">
        <f>IF(SUMPRODUCT((E1089:Q1089)*1)=0,0,E1089*INDEX(Hours!M:M,MATCH(C1089,Hours!$A:$A,0))+F1089*INDEX(Hours!B:B,MATCH(C1089,Hours!$A:$A,0))+G1089*INDEX(Hours!C:C,MATCH(C1089,Hours!$A:$A,0))+H1089*INDEX(Hours!D:D,MATCH(C1089,Hours!$A:$A,0))+I1089*INDEX(Hours!E:E,MATCH(C1089,Hours!$A:$A,0))+J1089*INDEX(Hours!F:F,MATCH(C1089,Hours!$A:$A,0))+K1089*INDEX(Hours!G:G,MATCH(C1089,Hours!$A:$A,0)))</f>
        <v>0</v>
      </c>
      <c r="S1089" s="19">
        <f t="shared" si="33"/>
        <v>0</v>
      </c>
    </row>
    <row r="1090" spans="1:19" x14ac:dyDescent="0.25">
      <c r="A1090" s="15" t="str">
        <f>'Bldgs &amp; Rooms'!$A$31</f>
        <v>Main Bldg.</v>
      </c>
      <c r="B1090" s="15">
        <f>'Bldgs &amp; Rooms'!$B$31</f>
        <v>0</v>
      </c>
      <c r="C1090" s="14" t="str">
        <f>Hours!$A$17</f>
        <v>Individual Molded Case Breaker &gt; 100A</v>
      </c>
      <c r="D1090" s="15">
        <f t="shared" ref="D1090:D1153" si="34">MAX(E1090+F1090,G1090,H1090,I1090,J1090,K1090,L1090,M1090,N1090,O1090,P1090,Q1090)</f>
        <v>0</v>
      </c>
      <c r="E1090" s="16">
        <f>IF('Components Yr 1'!E1090=0,0,'Components Yr 1'!E1090)</f>
        <v>0</v>
      </c>
      <c r="F1090" s="17">
        <f>IF('Components Yr 1'!F1090=0,0,'Components Yr 1'!F1090)</f>
        <v>0</v>
      </c>
      <c r="G1090" s="17">
        <f>IF('Components Yr 1'!G1090=0,0,'Components Yr 1'!G1090)</f>
        <v>0</v>
      </c>
      <c r="H1090" s="17">
        <f>IF('Components Yr 1'!H1090=0,0,'Components Yr 1'!H1090)</f>
        <v>0</v>
      </c>
      <c r="I1090" s="17">
        <f>IF('Components Yr 1'!I1090=0,0,'Components Yr 1'!I1090)</f>
        <v>0</v>
      </c>
      <c r="J1090" s="17">
        <f>IF('Components Yr 1'!J1090=0,0,'Components Yr 1'!J1090)</f>
        <v>0</v>
      </c>
      <c r="K1090" s="17">
        <f>IF('Components Yr 1'!K1090=0,0,'Components Yr 1'!K1090)</f>
        <v>0</v>
      </c>
      <c r="L1090" s="12"/>
      <c r="M1090" s="12"/>
      <c r="N1090" s="12"/>
      <c r="O1090" s="12"/>
      <c r="P1090" s="12"/>
      <c r="Q1090" s="17"/>
      <c r="R1090" s="18">
        <f>IF(SUMPRODUCT((E1090:Q1090)*1)=0,0,E1090*INDEX(Hours!M:M,MATCH(C1090,Hours!$A:$A,0))+F1090*INDEX(Hours!B:B,MATCH(C1090,Hours!$A:$A,0))+G1090*INDEX(Hours!C:C,MATCH(C1090,Hours!$A:$A,0))+H1090*INDEX(Hours!D:D,MATCH(C1090,Hours!$A:$A,0))+I1090*INDEX(Hours!E:E,MATCH(C1090,Hours!$A:$A,0))+J1090*INDEX(Hours!F:F,MATCH(C1090,Hours!$A:$A,0))+K1090*INDEX(Hours!G:G,MATCH(C1090,Hours!$A:$A,0)))</f>
        <v>0</v>
      </c>
      <c r="S1090" s="19">
        <f t="shared" ref="S1090:S1111" si="35">MAX(E1090+F1090,G1090,H1090,I1090,J1090,K1090,L1090,M1090,N1090,O1090,P1090,Q1090)</f>
        <v>0</v>
      </c>
    </row>
    <row r="1091" spans="1:19" x14ac:dyDescent="0.25">
      <c r="A1091" s="15" t="str">
        <f>'Bldgs &amp; Rooms'!$A$31</f>
        <v>Main Bldg.</v>
      </c>
      <c r="B1091" s="15">
        <f>'Bldgs &amp; Rooms'!$B$31</f>
        <v>0</v>
      </c>
      <c r="C1091" s="14" t="str">
        <f>Hours!$A$18</f>
        <v>Individual Combination Motor Starter &gt; 100A</v>
      </c>
      <c r="D1091" s="15">
        <f t="shared" si="34"/>
        <v>0</v>
      </c>
      <c r="E1091" s="16">
        <f>IF('Components Yr 1'!E1091=0,0,'Components Yr 1'!E1091)</f>
        <v>0</v>
      </c>
      <c r="F1091" s="17">
        <f>IF('Components Yr 1'!F1091=0,0,'Components Yr 1'!F1091)</f>
        <v>0</v>
      </c>
      <c r="G1091" s="17">
        <f>IF('Components Yr 1'!G1091=0,0,'Components Yr 1'!G1091)</f>
        <v>0</v>
      </c>
      <c r="H1091" s="17">
        <f>IF('Components Yr 1'!H1091=0,0,'Components Yr 1'!H1091)</f>
        <v>0</v>
      </c>
      <c r="I1091" s="17">
        <f>IF('Components Yr 1'!I1091=0,0,'Components Yr 1'!I1091)</f>
        <v>0</v>
      </c>
      <c r="J1091" s="17">
        <f>IF('Components Yr 1'!J1091=0,0,'Components Yr 1'!J1091)</f>
        <v>0</v>
      </c>
      <c r="K1091" s="17">
        <f>IF('Components Yr 1'!K1091=0,0,'Components Yr 1'!K1091)</f>
        <v>0</v>
      </c>
      <c r="L1091" s="12"/>
      <c r="M1091" s="12"/>
      <c r="N1091" s="12"/>
      <c r="O1091" s="12"/>
      <c r="P1091" s="12"/>
      <c r="Q1091" s="17"/>
      <c r="R1091" s="18">
        <f>IF(SUMPRODUCT((E1091:Q1091)*1)=0,0,E1091*INDEX(Hours!M:M,MATCH(C1091,Hours!$A:$A,0))+F1091*INDEX(Hours!B:B,MATCH(C1091,Hours!$A:$A,0))+G1091*INDEX(Hours!C:C,MATCH(C1091,Hours!$A:$A,0))+H1091*INDEX(Hours!D:D,MATCH(C1091,Hours!$A:$A,0))+I1091*INDEX(Hours!E:E,MATCH(C1091,Hours!$A:$A,0))+J1091*INDEX(Hours!F:F,MATCH(C1091,Hours!$A:$A,0))+K1091*INDEX(Hours!G:G,MATCH(C1091,Hours!$A:$A,0)))</f>
        <v>0</v>
      </c>
      <c r="S1091" s="19">
        <f t="shared" si="35"/>
        <v>0</v>
      </c>
    </row>
    <row r="1092" spans="1:19" x14ac:dyDescent="0.25">
      <c r="A1092" s="15" t="str">
        <f>'Bldgs &amp; Rooms'!$A$31</f>
        <v>Main Bldg.</v>
      </c>
      <c r="B1092" s="15">
        <f>'Bldgs &amp; Rooms'!$B$31</f>
        <v>0</v>
      </c>
      <c r="C1092" s="14" t="str">
        <f>Hours!$A$19</f>
        <v>Oil Filled Transformer - 5kV-15kV Primary - Any Size (Pad Mounted)</v>
      </c>
      <c r="D1092" s="15">
        <f t="shared" si="34"/>
        <v>0</v>
      </c>
      <c r="E1092" s="16">
        <f>IF('Components Yr 1'!E1092=0,0,'Components Yr 1'!E1092)</f>
        <v>0</v>
      </c>
      <c r="F1092" s="17">
        <f>IF('Components Yr 1'!F1092=0,0,'Components Yr 1'!F1092)</f>
        <v>0</v>
      </c>
      <c r="G1092" s="17">
        <f>IF('Components Yr 1'!G1092=0,0,'Components Yr 1'!G1092)</f>
        <v>0</v>
      </c>
      <c r="H1092" s="17">
        <f>IF('Components Yr 1'!H1092=0,0,'Components Yr 1'!H1092)</f>
        <v>0</v>
      </c>
      <c r="I1092" s="17">
        <f>IF('Components Yr 1'!I1092=0,0,'Components Yr 1'!I1092)</f>
        <v>0</v>
      </c>
      <c r="J1092" s="17">
        <f>IF('Components Yr 1'!J1092=0,0,'Components Yr 1'!J1092)</f>
        <v>0</v>
      </c>
      <c r="K1092" s="12"/>
      <c r="L1092" s="12"/>
      <c r="M1092" s="17">
        <f>IF('Components Yr 1'!M1092=0,0,'Components Yr 1'!M1092)</f>
        <v>0</v>
      </c>
      <c r="N1092" s="17">
        <f>IF('Components Yr 1'!N1092=0,0,'Components Yr 1'!N1092)</f>
        <v>0</v>
      </c>
      <c r="O1092" s="12"/>
      <c r="P1092" s="17">
        <f>IF('Components Yr 1'!P1092=0,0,'Components Yr 1'!P1092)</f>
        <v>0</v>
      </c>
      <c r="Q1092" s="17"/>
      <c r="R1092" s="18">
        <f>IF(SUMPRODUCT((E1092:Q1092)*1)=0,0,E1092*INDEX(Hours!M:M,MATCH(C1092,Hours!$A:$A,0))+F1092*INDEX(Hours!B:B,MATCH(C1092,Hours!$A:$A,0))+G1092*INDEX(Hours!C:C,MATCH(C1092,Hours!$A:$A,0))+H1092*INDEX(Hours!D:D,MATCH(C1092,Hours!$A:$A,0))+I1092*INDEX(Hours!E:E,MATCH(C1092,Hours!$A:$A,0))+J1092*INDEX(Hours!F:F,MATCH(C1092,Hours!$A:$A,0))+M1092*INDEX(Hours!I:I,MATCH(C1092,Hours!$A:$A,0))+N1092*INDEX(Hours!J:J,MATCH(C1092,Hours!$A:$A,0))+P1092*INDEX(Hours!L:L,MATCH(C1092,Hours!$A:$A,0)))</f>
        <v>0</v>
      </c>
      <c r="S1092" s="19">
        <f t="shared" si="35"/>
        <v>0</v>
      </c>
    </row>
    <row r="1093" spans="1:19" x14ac:dyDescent="0.25">
      <c r="A1093" s="15" t="str">
        <f>'Bldgs &amp; Rooms'!$A$31</f>
        <v>Main Bldg.</v>
      </c>
      <c r="B1093" s="15">
        <f>'Bldgs &amp; Rooms'!$B$31</f>
        <v>0</v>
      </c>
      <c r="C1093" s="14" t="str">
        <f>Hours!$A$20</f>
        <v>Oil Filled Transformer - &gt; 15kV Primary (Substation Class)</v>
      </c>
      <c r="D1093" s="15">
        <f t="shared" si="34"/>
        <v>0</v>
      </c>
      <c r="E1093" s="16">
        <f>IF('Components Yr 1'!E1093=0,0,'Components Yr 1'!E1093)</f>
        <v>0</v>
      </c>
      <c r="F1093" s="17">
        <f>IF('Components Yr 1'!F1093=0,0,'Components Yr 1'!F1093)</f>
        <v>0</v>
      </c>
      <c r="G1093" s="17">
        <f>IF('Components Yr 1'!G1093=0,0,'Components Yr 1'!G1093)</f>
        <v>0</v>
      </c>
      <c r="H1093" s="17">
        <f>IF('Components Yr 1'!H1093=0,0,'Components Yr 1'!H1093)</f>
        <v>0</v>
      </c>
      <c r="I1093" s="17">
        <f>IF('Components Yr 1'!I1093=0,0,'Components Yr 1'!I1093)</f>
        <v>0</v>
      </c>
      <c r="J1093" s="17">
        <f>IF('Components Yr 1'!J1093=0,0,'Components Yr 1'!J1093)</f>
        <v>0</v>
      </c>
      <c r="K1093" s="12"/>
      <c r="L1093" s="12"/>
      <c r="M1093" s="17">
        <f>IF('Components Yr 1'!M1093=0,0,'Components Yr 1'!M1093)</f>
        <v>0</v>
      </c>
      <c r="N1093" s="17">
        <f>IF('Components Yr 1'!N1093=0,0,'Components Yr 1'!N1093)</f>
        <v>0</v>
      </c>
      <c r="O1093" s="12"/>
      <c r="P1093" s="17">
        <f>IF('Components Yr 1'!P1093=0,0,'Components Yr 1'!P1093)</f>
        <v>0</v>
      </c>
      <c r="Q1093" s="17"/>
      <c r="R1093" s="18">
        <f>IF(SUMPRODUCT((E1093:Q1093)*1)=0,0,E1093*INDEX(Hours!M:M,MATCH(C1093,Hours!$A:$A,0))+F1093*INDEX(Hours!B:B,MATCH(C1093,Hours!$A:$A,0))+G1093*INDEX(Hours!C:C,MATCH(C1093,Hours!$A:$A,0))+H1093*INDEX(Hours!D:D,MATCH(C1093,Hours!$A:$A,0))+I1093*INDEX(Hours!E:E,MATCH(C1093,Hours!$A:$A,0))+J1093*INDEX(Hours!F:F,MATCH(C1093,Hours!$A:$A,0))+M1093*INDEX(Hours!I:I,MATCH(C1093,Hours!$A:$A,0))+N1093*INDEX(Hours!J:J,MATCH(C1093,Hours!$A:$A,0))+P1093*INDEX(Hours!L:L,MATCH(C1093,Hours!$A:$A,0)))</f>
        <v>0</v>
      </c>
      <c r="S1093" s="19">
        <f t="shared" si="35"/>
        <v>0</v>
      </c>
    </row>
    <row r="1094" spans="1:19" x14ac:dyDescent="0.25">
      <c r="A1094" s="15" t="str">
        <f>'Bldgs &amp; Rooms'!$A$31</f>
        <v>Main Bldg.</v>
      </c>
      <c r="B1094" s="15">
        <f>'Bldgs &amp; Rooms'!$B$31</f>
        <v>0</v>
      </c>
      <c r="C1094" s="14" t="str">
        <f>Hours!$A$21</f>
        <v>Dry Type Transformer - &lt; 480V Primary - Any Size kVA</v>
      </c>
      <c r="D1094" s="15">
        <f t="shared" si="34"/>
        <v>0</v>
      </c>
      <c r="E1094" s="16">
        <f>IF('Components Yr 1'!E1094=0,0,'Components Yr 1'!E1094)</f>
        <v>0</v>
      </c>
      <c r="F1094" s="17">
        <f>IF('Components Yr 1'!F1094=0,0,'Components Yr 1'!F1094)</f>
        <v>0</v>
      </c>
      <c r="G1094" s="17">
        <f>IF('Components Yr 1'!G1094=0,0,'Components Yr 1'!G1094)</f>
        <v>0</v>
      </c>
      <c r="H1094" s="17">
        <f>IF('Components Yr 1'!H1094=0,0,'Components Yr 1'!H1094)</f>
        <v>0</v>
      </c>
      <c r="I1094" s="17">
        <f>IF('Components Yr 1'!I1094=0,0,'Components Yr 1'!I1094)</f>
        <v>0</v>
      </c>
      <c r="J1094" s="17">
        <f>IF('Components Yr 1'!J1094=0,0,'Components Yr 1'!J1094)</f>
        <v>0</v>
      </c>
      <c r="K1094" s="12"/>
      <c r="L1094" s="12"/>
      <c r="M1094" s="17">
        <f>IF('Components Yr 1'!M1094=0,0,'Components Yr 1'!M1094)</f>
        <v>0</v>
      </c>
      <c r="N1094" s="17">
        <f>IF('Components Yr 1'!N1094=0,0,'Components Yr 1'!N1094)</f>
        <v>0</v>
      </c>
      <c r="O1094" s="12"/>
      <c r="P1094" s="12"/>
      <c r="Q1094" s="17"/>
      <c r="R1094" s="18">
        <f>IF(SUMPRODUCT((E1094:Q1094)*1)=0,0,E1094*INDEX(Hours!M:M,MATCH(C1094,Hours!$A:$A,0))+F1094*INDEX(Hours!B:B,MATCH(C1094,Hours!$A:$A,0))+G1094*INDEX(Hours!C:C,MATCH(C1094,Hours!$A:$A,0))+H1094*INDEX(Hours!D:D,MATCH(C1094,Hours!$A:$A,0))+I1094*INDEX(Hours!E:E,MATCH(C1094,Hours!$A:$A,0))+J1094*INDEX(Hours!F:F,MATCH(C1094,Hours!$A:$A,0))+M1094*INDEX(Hours!I:I,MATCH(C1094,Hours!$A:$A,0))+N1094*INDEX(Hours!J:J,MATCH(C1094,Hours!$A:$A,0)))</f>
        <v>0</v>
      </c>
      <c r="S1094" s="19">
        <f t="shared" si="35"/>
        <v>0</v>
      </c>
    </row>
    <row r="1095" spans="1:19" x14ac:dyDescent="0.25">
      <c r="A1095" s="15" t="str">
        <f>'Bldgs &amp; Rooms'!$A$31</f>
        <v>Main Bldg.</v>
      </c>
      <c r="B1095" s="15">
        <f>'Bldgs &amp; Rooms'!$B$31</f>
        <v>0</v>
      </c>
      <c r="C1095" s="14" t="str">
        <f>Hours!$A$22</f>
        <v>Power Factor Correction Capacitors</v>
      </c>
      <c r="D1095" s="15">
        <f t="shared" si="34"/>
        <v>0</v>
      </c>
      <c r="E1095" s="16">
        <f>IF('Components Yr 1'!E1095=0,0,'Components Yr 1'!E1095)</f>
        <v>0</v>
      </c>
      <c r="F1095" s="17">
        <f>IF('Components Yr 1'!F1095=0,0,'Components Yr 1'!F1095)</f>
        <v>0</v>
      </c>
      <c r="G1095" s="17">
        <f>IF('Components Yr 1'!G1095=0,0,'Components Yr 1'!G1095)</f>
        <v>0</v>
      </c>
      <c r="H1095" s="17">
        <f>IF('Components Yr 1'!H1095=0,0,'Components Yr 1'!H1095)</f>
        <v>0</v>
      </c>
      <c r="I1095" s="17">
        <f>IF('Components Yr 1'!I1095=0,0,'Components Yr 1'!I1095)</f>
        <v>0</v>
      </c>
      <c r="J1095" s="17">
        <f>IF('Components Yr 1'!J1095=0,0,'Components Yr 1'!J1095)</f>
        <v>0</v>
      </c>
      <c r="K1095" s="12"/>
      <c r="L1095" s="12"/>
      <c r="M1095" s="12"/>
      <c r="N1095" s="12"/>
      <c r="O1095" s="12"/>
      <c r="P1095" s="12"/>
      <c r="Q1095" s="17"/>
      <c r="R1095" s="18">
        <f>IF(SUMPRODUCT((E1095:Q1095)*1)=0,0,E1095*INDEX(Hours!M:M,MATCH(C1095,Hours!$A:$A,0))+F1095*INDEX(Hours!B:B,MATCH(C1095,Hours!$A:$A,0))+G1095*INDEX(Hours!C:C,MATCH(C1095,Hours!$A:$A,0))+H1095*INDEX(Hours!D:D,MATCH(C1095,Hours!$A:$A,0))+I1095*INDEX(Hours!E:E,MATCH(C1095,Hours!$A:$A,0))+J1095*INDEX(Hours!F:F,MATCH(C1095,Hours!$A:$A,0)))</f>
        <v>0</v>
      </c>
      <c r="S1095" s="19">
        <f t="shared" si="35"/>
        <v>0</v>
      </c>
    </row>
    <row r="1096" spans="1:19" x14ac:dyDescent="0.25">
      <c r="A1096" s="15" t="str">
        <f>'Bldgs &amp; Rooms'!$A$31</f>
        <v>Main Bldg.</v>
      </c>
      <c r="B1096" s="15">
        <f>'Bldgs &amp; Rooms'!$B$31</f>
        <v>0</v>
      </c>
      <c r="C1096" s="14" t="str">
        <f>Hours!$A$23</f>
        <v>Lighting Contactor &gt; 100A</v>
      </c>
      <c r="D1096" s="15">
        <f t="shared" si="34"/>
        <v>0</v>
      </c>
      <c r="E1096" s="16">
        <f>IF('Components Yr 1'!E1096=0,0,'Components Yr 1'!E1096)</f>
        <v>0</v>
      </c>
      <c r="F1096" s="17">
        <f>IF('Components Yr 1'!F1096=0,0,'Components Yr 1'!F1096)</f>
        <v>0</v>
      </c>
      <c r="G1096" s="17">
        <f>IF('Components Yr 1'!G1096=0,0,'Components Yr 1'!G1096)</f>
        <v>0</v>
      </c>
      <c r="H1096" s="17">
        <f>IF('Components Yr 1'!H1096=0,0,'Components Yr 1'!H1096)</f>
        <v>0</v>
      </c>
      <c r="I1096" s="17">
        <f>IF('Components Yr 1'!I1096=0,0,'Components Yr 1'!I1096)</f>
        <v>0</v>
      </c>
      <c r="J1096" s="17">
        <f>IF('Components Yr 1'!J1096=0,0,'Components Yr 1'!J1096)</f>
        <v>0</v>
      </c>
      <c r="K1096" s="12"/>
      <c r="L1096" s="12"/>
      <c r="M1096" s="12"/>
      <c r="N1096" s="12"/>
      <c r="O1096" s="12"/>
      <c r="P1096" s="12"/>
      <c r="Q1096" s="17"/>
      <c r="R1096" s="18">
        <f>IF(SUMPRODUCT((E1096:Q1096)*1)=0,0,E1096*INDEX(Hours!M:M,MATCH(C1096,Hours!$A:$A,0))+F1096*INDEX(Hours!B:B,MATCH(C1096,Hours!$A:$A,0))+G1096*INDEX(Hours!C:C,MATCH(C1096,Hours!$A:$A,0))+H1096*INDEX(Hours!D:D,MATCH(C1096,Hours!$A:$A,0))+I1096*INDEX(Hours!E:E,MATCH(C1096,Hours!$A:$A,0))+J1096*INDEX(Hours!F:F,MATCH(C1096,Hours!$A:$A,0)))</f>
        <v>0</v>
      </c>
      <c r="S1096" s="19">
        <f t="shared" si="35"/>
        <v>0</v>
      </c>
    </row>
    <row r="1097" spans="1:19" x14ac:dyDescent="0.25">
      <c r="A1097" s="15" t="str">
        <f>'Bldgs &amp; Rooms'!$A$31</f>
        <v>Main Bldg.</v>
      </c>
      <c r="B1097" s="15">
        <f>'Bldgs &amp; Rooms'!$B$31</f>
        <v>0</v>
      </c>
      <c r="C1097" s="14" t="str">
        <f>Hours!$A$24</f>
        <v>Power Distribution Unit (PDU)</v>
      </c>
      <c r="D1097" s="15">
        <f t="shared" si="34"/>
        <v>0</v>
      </c>
      <c r="E1097" s="16">
        <f>IF('Components Yr 1'!E1097=0,0,'Components Yr 1'!E1097)</f>
        <v>0</v>
      </c>
      <c r="F1097" s="17">
        <f>IF('Components Yr 1'!F1097=0,0,'Components Yr 1'!F1097)</f>
        <v>0</v>
      </c>
      <c r="G1097" s="17">
        <f>IF('Components Yr 1'!G1097=0,0,'Components Yr 1'!G1097)</f>
        <v>0</v>
      </c>
      <c r="H1097" s="17">
        <f>IF('Components Yr 1'!H1097=0,0,'Components Yr 1'!H1097)</f>
        <v>0</v>
      </c>
      <c r="I1097" s="17">
        <f>IF('Components Yr 1'!I1097=0,0,'Components Yr 1'!I1097)</f>
        <v>0</v>
      </c>
      <c r="J1097" s="17">
        <f>IF('Components Yr 1'!J1097=0,0,'Components Yr 1'!J1097)</f>
        <v>0</v>
      </c>
      <c r="K1097" s="12"/>
      <c r="L1097" s="12"/>
      <c r="M1097" s="12"/>
      <c r="N1097" s="12"/>
      <c r="O1097" s="12"/>
      <c r="P1097" s="12"/>
      <c r="Q1097" s="17"/>
      <c r="R1097" s="18">
        <f>IF(SUMPRODUCT((E1097:Q1097)*1)=0,0,E1097*INDEX(Hours!M:M,MATCH(C1097,Hours!$A:$A,0))+F1097*INDEX(Hours!B:B,MATCH(C1097,Hours!$A:$A,0))+G1097*INDEX(Hours!C:C,MATCH(C1097,Hours!$A:$A,0))+H1097*INDEX(Hours!D:D,MATCH(C1097,Hours!$A:$A,0))+I1097*INDEX(Hours!E:E,MATCH(C1097,Hours!$A:$A,0))+J1097*INDEX(Hours!F:F,MATCH(C1097,Hours!$A:$A,0)))</f>
        <v>0</v>
      </c>
      <c r="S1097" s="19">
        <f t="shared" si="35"/>
        <v>0</v>
      </c>
    </row>
    <row r="1098" spans="1:19" x14ac:dyDescent="0.25">
      <c r="A1098" s="15" t="str">
        <f>'Bldgs &amp; Rooms'!$A$31</f>
        <v>Main Bldg.</v>
      </c>
      <c r="B1098" s="15">
        <f>'Bldgs &amp; Rooms'!$B$31</f>
        <v>0</v>
      </c>
      <c r="C1098" s="14" t="str">
        <f>Hours!$A$25</f>
        <v>Wire Trough, Gutter, or Large Junction Boxes</v>
      </c>
      <c r="D1098" s="15">
        <f t="shared" si="34"/>
        <v>0</v>
      </c>
      <c r="E1098" s="16">
        <f>IF('Components Yr 1'!E1098=0,0,'Components Yr 1'!E1098)</f>
        <v>0</v>
      </c>
      <c r="F1098" s="17">
        <f>IF('Components Yr 1'!F1098=0,0,'Components Yr 1'!F1098)</f>
        <v>0</v>
      </c>
      <c r="G1098" s="17">
        <f>IF('Components Yr 1'!G1098=0,0,'Components Yr 1'!G1098)</f>
        <v>0</v>
      </c>
      <c r="H1098" s="17">
        <f>IF('Components Yr 1'!H1098=0,0,'Components Yr 1'!H1098)</f>
        <v>0</v>
      </c>
      <c r="I1098" s="17">
        <f>IF('Components Yr 1'!I1098=0,0,'Components Yr 1'!I1098)</f>
        <v>0</v>
      </c>
      <c r="J1098" s="17">
        <f>IF('Components Yr 1'!J1098=0,0,'Components Yr 1'!J1098)</f>
        <v>0</v>
      </c>
      <c r="K1098" s="12"/>
      <c r="L1098" s="12"/>
      <c r="M1098" s="12"/>
      <c r="N1098" s="12"/>
      <c r="O1098" s="12"/>
      <c r="P1098" s="12"/>
      <c r="Q1098" s="17"/>
      <c r="R1098" s="18">
        <f>IF(SUMPRODUCT((E1098:Q1098)*1)=0,0,E1098*INDEX(Hours!M:M,MATCH(C1098,Hours!$A:$A,0))+F1098*INDEX(Hours!B:B,MATCH(C1098,Hours!$A:$A,0))+G1098*INDEX(Hours!C:C,MATCH(C1098,Hours!$A:$A,0))+H1098*INDEX(Hours!D:D,MATCH(C1098,Hours!$A:$A,0))+I1098*INDEX(Hours!E:E,MATCH(C1098,Hours!$A:$A,0))+J1098*INDEX(Hours!F:F,MATCH(C1098,Hours!$A:$A,0)))</f>
        <v>0</v>
      </c>
      <c r="S1098" s="19">
        <f t="shared" si="35"/>
        <v>0</v>
      </c>
    </row>
    <row r="1099" spans="1:19" x14ac:dyDescent="0.25">
      <c r="A1099" s="15" t="str">
        <f>'Bldgs &amp; Rooms'!$A$31</f>
        <v>Main Bldg.</v>
      </c>
      <c r="B1099" s="15">
        <f>'Bldgs &amp; Rooms'!$B$31</f>
        <v>0</v>
      </c>
      <c r="C1099" s="14" t="str">
        <f>Hours!$A$26</f>
        <v>Bus Duct - Vertical or Horizontal (Per 10' section)</v>
      </c>
      <c r="D1099" s="15">
        <f t="shared" si="34"/>
        <v>0</v>
      </c>
      <c r="E1099" s="16">
        <f>IF('Components Yr 1'!E1099=0,0,'Components Yr 1'!E1099)</f>
        <v>0</v>
      </c>
      <c r="F1099" s="17">
        <f>IF('Components Yr 1'!F1099=0,0,'Components Yr 1'!F1099)</f>
        <v>0</v>
      </c>
      <c r="G1099" s="17">
        <f>IF('Components Yr 1'!G1099=0,0,'Components Yr 1'!G1099)</f>
        <v>0</v>
      </c>
      <c r="H1099" s="17">
        <f>IF('Components Yr 1'!H1099=0,0,'Components Yr 1'!H1099)</f>
        <v>0</v>
      </c>
      <c r="I1099" s="17">
        <f>IF('Components Yr 1'!I1099=0,0,'Components Yr 1'!I1099)</f>
        <v>0</v>
      </c>
      <c r="J1099" s="17">
        <f>IF('Components Yr 1'!J1099=0,0,'Components Yr 1'!J1099)</f>
        <v>0</v>
      </c>
      <c r="K1099" s="12"/>
      <c r="L1099" s="12"/>
      <c r="M1099" s="12"/>
      <c r="N1099" s="12"/>
      <c r="O1099" s="12"/>
      <c r="P1099" s="12"/>
      <c r="Q1099" s="17"/>
      <c r="R1099" s="18">
        <f>IF(SUMPRODUCT((E1099:Q1099)*1)=0,0,E1099*INDEX(Hours!M:M,MATCH(C1099,Hours!$A:$A,0))+F1099*INDEX(Hours!B:B,MATCH(C1099,Hours!$A:$A,0))+G1099*INDEX(Hours!C:C,MATCH(C1099,Hours!$A:$A,0))+H1099*INDEX(Hours!D:D,MATCH(C1099,Hours!$A:$A,0))+I1099*INDEX(Hours!E:E,MATCH(C1099,Hours!$A:$A,0))+J1099*INDEX(Hours!F:F,MATCH(C1099,Hours!$A:$A,0)))</f>
        <v>0</v>
      </c>
      <c r="S1099" s="19">
        <f t="shared" si="35"/>
        <v>0</v>
      </c>
    </row>
    <row r="1100" spans="1:19" x14ac:dyDescent="0.25">
      <c r="A1100" s="15" t="str">
        <f>'Bldgs &amp; Rooms'!$A$31</f>
        <v>Main Bldg.</v>
      </c>
      <c r="B1100" s="15">
        <f>'Bldgs &amp; Rooms'!$B$31</f>
        <v>0</v>
      </c>
      <c r="C1100" s="14" t="str">
        <f>Hours!$A$27</f>
        <v>Automatic Transfer Switch (ATS) &gt; 100A</v>
      </c>
      <c r="D1100" s="15">
        <f t="shared" si="34"/>
        <v>0</v>
      </c>
      <c r="E1100" s="16">
        <f>IF('Components Yr 1'!E1100=0,0,'Components Yr 1'!E1100)</f>
        <v>0</v>
      </c>
      <c r="F1100" s="17">
        <f>IF('Components Yr 1'!F1100=0,0,'Components Yr 1'!F1100)</f>
        <v>0</v>
      </c>
      <c r="G1100" s="17">
        <f>IF('Components Yr 1'!G1100=0,0,'Components Yr 1'!G1100)</f>
        <v>0</v>
      </c>
      <c r="H1100" s="17">
        <f>IF('Components Yr 1'!H1100=0,0,'Components Yr 1'!H1100)</f>
        <v>0</v>
      </c>
      <c r="I1100" s="17">
        <f>IF('Components Yr 1'!I1100=0,0,'Components Yr 1'!I1100)</f>
        <v>0</v>
      </c>
      <c r="J1100" s="17">
        <f>IF('Components Yr 1'!J1100=0,0,'Components Yr 1'!J1100)</f>
        <v>0</v>
      </c>
      <c r="K1100" s="12"/>
      <c r="L1100" s="12"/>
      <c r="M1100" s="12"/>
      <c r="N1100" s="12"/>
      <c r="O1100" s="12"/>
      <c r="P1100" s="12"/>
      <c r="Q1100" s="17"/>
      <c r="R1100" s="18">
        <f>IF(SUMPRODUCT((E1100:Q1100)*1)=0,0,E1100*INDEX(Hours!M:M,MATCH(C1100,Hours!$A:$A,0))+F1100*INDEX(Hours!B:B,MATCH(C1100,Hours!$A:$A,0))+G1100*INDEX(Hours!C:C,MATCH(C1100,Hours!$A:$A,0))+H1100*INDEX(Hours!D:D,MATCH(C1100,Hours!$A:$A,0))+I1100*INDEX(Hours!E:E,MATCH(C1100,Hours!$A:$A,0))+J1100*INDEX(Hours!F:F,MATCH(C1100,Hours!$A:$A,0)))</f>
        <v>0</v>
      </c>
      <c r="S1100" s="19">
        <f t="shared" si="35"/>
        <v>0</v>
      </c>
    </row>
    <row r="1101" spans="1:19" x14ac:dyDescent="0.25">
      <c r="A1101" s="15" t="str">
        <f>'Bldgs &amp; Rooms'!$A$31</f>
        <v>Main Bldg.</v>
      </c>
      <c r="B1101" s="15">
        <f>'Bldgs &amp; Rooms'!$B$31</f>
        <v>0</v>
      </c>
      <c r="C1101" s="14" t="str">
        <f>Hours!$A$28</f>
        <v>Manual Transfer Switch (MTS) &gt; 100A</v>
      </c>
      <c r="D1101" s="15">
        <f t="shared" si="34"/>
        <v>0</v>
      </c>
      <c r="E1101" s="16">
        <f>IF('Components Yr 1'!E1101=0,0,'Components Yr 1'!E1101)</f>
        <v>0</v>
      </c>
      <c r="F1101" s="17">
        <f>IF('Components Yr 1'!F1101=0,0,'Components Yr 1'!F1101)</f>
        <v>0</v>
      </c>
      <c r="G1101" s="17">
        <f>IF('Components Yr 1'!G1101=0,0,'Components Yr 1'!G1101)</f>
        <v>0</v>
      </c>
      <c r="H1101" s="17">
        <f>IF('Components Yr 1'!H1101=0,0,'Components Yr 1'!H1101)</f>
        <v>0</v>
      </c>
      <c r="I1101" s="17">
        <f>IF('Components Yr 1'!I1101=0,0,'Components Yr 1'!I1101)</f>
        <v>0</v>
      </c>
      <c r="J1101" s="17">
        <f>IF('Components Yr 1'!J1101=0,0,'Components Yr 1'!J1101)</f>
        <v>0</v>
      </c>
      <c r="K1101" s="12"/>
      <c r="L1101" s="12"/>
      <c r="M1101" s="12"/>
      <c r="N1101" s="12"/>
      <c r="O1101" s="12"/>
      <c r="P1101" s="12"/>
      <c r="Q1101" s="17"/>
      <c r="R1101" s="18">
        <f>IF(SUMPRODUCT((E1101:Q1101)*1)=0,0,E1101*INDEX(Hours!M:M,MATCH(C1101,Hours!$A:$A,0))+F1101*INDEX(Hours!B:B,MATCH(C1101,Hours!$A:$A,0))+G1101*INDEX(Hours!C:C,MATCH(C1101,Hours!$A:$A,0))+H1101*INDEX(Hours!D:D,MATCH(C1101,Hours!$A:$A,0))+I1101*INDEX(Hours!E:E,MATCH(C1101,Hours!$A:$A,0))+J1101*INDEX(Hours!F:F,MATCH(C1101,Hours!$A:$A,0)))</f>
        <v>0</v>
      </c>
      <c r="S1101" s="19">
        <f t="shared" si="35"/>
        <v>0</v>
      </c>
    </row>
    <row r="1102" spans="1:19" x14ac:dyDescent="0.25">
      <c r="A1102" s="15" t="str">
        <f>'Bldgs &amp; Rooms'!$A$31</f>
        <v>Main Bldg.</v>
      </c>
      <c r="B1102" s="15">
        <f>'Bldgs &amp; Rooms'!$B$31</f>
        <v>0</v>
      </c>
      <c r="C1102" s="14" t="str">
        <f>Hours!$A$29</f>
        <v>Variable Frequency Drives (VFD) &lt; 50 HP</v>
      </c>
      <c r="D1102" s="15">
        <f t="shared" si="34"/>
        <v>0</v>
      </c>
      <c r="E1102" s="16">
        <f>IF('Components Yr 1'!E1102=0,0,'Components Yr 1'!E1102)</f>
        <v>0</v>
      </c>
      <c r="F1102" s="17">
        <f>IF('Components Yr 1'!F1102=0,0,'Components Yr 1'!F1102)</f>
        <v>0</v>
      </c>
      <c r="G1102" s="17">
        <f>IF('Components Yr 1'!G1102=0,0,'Components Yr 1'!G1102)</f>
        <v>0</v>
      </c>
      <c r="H1102" s="17">
        <f>IF('Components Yr 1'!H1102=0,0,'Components Yr 1'!H1102)</f>
        <v>0</v>
      </c>
      <c r="I1102" s="17">
        <f>IF('Components Yr 1'!I1102=0,0,'Components Yr 1'!I1102)</f>
        <v>0</v>
      </c>
      <c r="J1102" s="17">
        <f>IF('Components Yr 1'!J1102=0,0,'Components Yr 1'!J1102)</f>
        <v>0</v>
      </c>
      <c r="K1102" s="12"/>
      <c r="L1102" s="12"/>
      <c r="M1102" s="12"/>
      <c r="N1102" s="12"/>
      <c r="O1102" s="12"/>
      <c r="P1102" s="12"/>
      <c r="Q1102" s="17"/>
      <c r="R1102" s="18">
        <f>IF(SUMPRODUCT((E1102:Q1102)*1)=0,0,E1102*INDEX(Hours!M:M,MATCH(C1102,Hours!$A:$A,0))+F1102*INDEX(Hours!B:B,MATCH(C1102,Hours!$A:$A,0))+G1102*INDEX(Hours!C:C,MATCH(C1102,Hours!$A:$A,0))+H1102*INDEX(Hours!D:D,MATCH(C1102,Hours!$A:$A,0))+I1102*INDEX(Hours!E:E,MATCH(C1102,Hours!$A:$A,0))+J1102*INDEX(Hours!F:F,MATCH(C1102,Hours!$A:$A,0)))</f>
        <v>0</v>
      </c>
      <c r="S1102" s="19">
        <f t="shared" si="35"/>
        <v>0</v>
      </c>
    </row>
    <row r="1103" spans="1:19" x14ac:dyDescent="0.25">
      <c r="A1103" s="15" t="str">
        <f>'Bldgs &amp; Rooms'!$A$31</f>
        <v>Main Bldg.</v>
      </c>
      <c r="B1103" s="15">
        <f>'Bldgs &amp; Rooms'!$B$31</f>
        <v>0</v>
      </c>
      <c r="C1103" s="14" t="str">
        <f>Hours!$A$30</f>
        <v>Variable Frequency Drives (VFD) 51-200 HP</v>
      </c>
      <c r="D1103" s="15">
        <f t="shared" si="34"/>
        <v>0</v>
      </c>
      <c r="E1103" s="16">
        <f>IF('Components Yr 1'!E1103=0,0,'Components Yr 1'!E1103)</f>
        <v>0</v>
      </c>
      <c r="F1103" s="17">
        <f>IF('Components Yr 1'!F1103=0,0,'Components Yr 1'!F1103)</f>
        <v>0</v>
      </c>
      <c r="G1103" s="17">
        <f>IF('Components Yr 1'!G1103=0,0,'Components Yr 1'!G1103)</f>
        <v>0</v>
      </c>
      <c r="H1103" s="17">
        <f>IF('Components Yr 1'!H1103=0,0,'Components Yr 1'!H1103)</f>
        <v>0</v>
      </c>
      <c r="I1103" s="17">
        <f>IF('Components Yr 1'!I1103=0,0,'Components Yr 1'!I1103)</f>
        <v>0</v>
      </c>
      <c r="J1103" s="17">
        <f>IF('Components Yr 1'!J1103=0,0,'Components Yr 1'!J1103)</f>
        <v>0</v>
      </c>
      <c r="K1103" s="12"/>
      <c r="L1103" s="12"/>
      <c r="M1103" s="12"/>
      <c r="N1103" s="12"/>
      <c r="O1103" s="12"/>
      <c r="P1103" s="12"/>
      <c r="Q1103" s="17"/>
      <c r="R1103" s="18">
        <f>IF(SUMPRODUCT((E1103:Q1103)*1)=0,0,E1103*INDEX(Hours!M:M,MATCH(C1103,Hours!$A:$A,0))+F1103*INDEX(Hours!B:B,MATCH(C1103,Hours!$A:$A,0))+G1103*INDEX(Hours!C:C,MATCH(C1103,Hours!$A:$A,0))+H1103*INDEX(Hours!D:D,MATCH(C1103,Hours!$A:$A,0))+I1103*INDEX(Hours!E:E,MATCH(C1103,Hours!$A:$A,0))+J1103*INDEX(Hours!F:F,MATCH(C1103,Hours!$A:$A,0)))</f>
        <v>0</v>
      </c>
      <c r="S1103" s="19">
        <f t="shared" si="35"/>
        <v>0</v>
      </c>
    </row>
    <row r="1104" spans="1:19" x14ac:dyDescent="0.25">
      <c r="A1104" s="15" t="str">
        <f>'Bldgs &amp; Rooms'!$A$31</f>
        <v>Main Bldg.</v>
      </c>
      <c r="B1104" s="15">
        <f>'Bldgs &amp; Rooms'!$B$31</f>
        <v>0</v>
      </c>
      <c r="C1104" s="14" t="str">
        <f>Hours!$A$31</f>
        <v>Motors &lt; 50 HP</v>
      </c>
      <c r="D1104" s="15">
        <f t="shared" si="34"/>
        <v>0</v>
      </c>
      <c r="E1104" s="16">
        <f>IF('Components Yr 1'!E1104=0,0,'Components Yr 1'!E1104)</f>
        <v>0</v>
      </c>
      <c r="F1104" s="17">
        <f>IF('Components Yr 1'!F1104=0,0,'Components Yr 1'!F1104)</f>
        <v>0</v>
      </c>
      <c r="G1104" s="17">
        <f>IF('Components Yr 1'!G1104=0,0,'Components Yr 1'!G1104)</f>
        <v>0</v>
      </c>
      <c r="H1104" s="17">
        <f>IF('Components Yr 1'!H1104=0,0,'Components Yr 1'!H1104)</f>
        <v>0</v>
      </c>
      <c r="I1104" s="17">
        <f>IF('Components Yr 1'!I1104=0,0,'Components Yr 1'!I1104)</f>
        <v>0</v>
      </c>
      <c r="J1104" s="17">
        <f>IF('Components Yr 1'!J1104=0,0,'Components Yr 1'!J1104)</f>
        <v>0</v>
      </c>
      <c r="K1104" s="12"/>
      <c r="L1104" s="12"/>
      <c r="M1104" s="12"/>
      <c r="N1104" s="12"/>
      <c r="O1104" s="12"/>
      <c r="P1104" s="12"/>
      <c r="Q1104" s="17"/>
      <c r="R1104" s="18">
        <f>IF(SUMPRODUCT((E1104:Q1104)*1)=0,0,E1104*INDEX(Hours!M:M,MATCH(C1104,Hours!$A:$A,0))+F1104*INDEX(Hours!B:B,MATCH(C1104,Hours!$A:$A,0))+G1104*INDEX(Hours!C:C,MATCH(C1104,Hours!$A:$A,0))+H1104*INDEX(Hours!D:D,MATCH(C1104,Hours!$A:$A,0))+I1104*INDEX(Hours!E:E,MATCH(C1104,Hours!$A:$A,0))+J1104*INDEX(Hours!F:F,MATCH(C1104,Hours!$A:$A,0)))</f>
        <v>0</v>
      </c>
      <c r="S1104" s="19">
        <f t="shared" si="35"/>
        <v>0</v>
      </c>
    </row>
    <row r="1105" spans="1:19" x14ac:dyDescent="0.25">
      <c r="A1105" s="15" t="str">
        <f>'Bldgs &amp; Rooms'!$A$31</f>
        <v>Main Bldg.</v>
      </c>
      <c r="B1105" s="15">
        <f>'Bldgs &amp; Rooms'!$B$31</f>
        <v>0</v>
      </c>
      <c r="C1105" s="14" t="str">
        <f>Hours!$A$32</f>
        <v>Motors 51-200 HP</v>
      </c>
      <c r="D1105" s="15">
        <f t="shared" si="34"/>
        <v>0</v>
      </c>
      <c r="E1105" s="16">
        <f>IF('Components Yr 1'!E1105=0,0,'Components Yr 1'!E1105)</f>
        <v>0</v>
      </c>
      <c r="F1105" s="17">
        <f>IF('Components Yr 1'!F1105=0,0,'Components Yr 1'!F1105)</f>
        <v>0</v>
      </c>
      <c r="G1105" s="17">
        <f>IF('Components Yr 1'!G1105=0,0,'Components Yr 1'!G1105)</f>
        <v>0</v>
      </c>
      <c r="H1105" s="17">
        <f>IF('Components Yr 1'!H1105=0,0,'Components Yr 1'!H1105)</f>
        <v>0</v>
      </c>
      <c r="I1105" s="17">
        <f>IF('Components Yr 1'!I1105=0,0,'Components Yr 1'!I1105)</f>
        <v>0</v>
      </c>
      <c r="J1105" s="17">
        <f>IF('Components Yr 1'!J1105=0,0,'Components Yr 1'!J1105)</f>
        <v>0</v>
      </c>
      <c r="K1105" s="12"/>
      <c r="L1105" s="12"/>
      <c r="M1105" s="12"/>
      <c r="N1105" s="12"/>
      <c r="O1105" s="12"/>
      <c r="P1105" s="12"/>
      <c r="Q1105" s="17"/>
      <c r="R1105" s="18">
        <f>IF(SUMPRODUCT((E1105:Q1105)*1)=0,0,E1105*INDEX(Hours!M:M,MATCH(C1105,Hours!$A:$A,0))+F1105*INDEX(Hours!B:B,MATCH(C1105,Hours!$A:$A,0))+G1105*INDEX(Hours!C:C,MATCH(C1105,Hours!$A:$A,0))+H1105*INDEX(Hours!D:D,MATCH(C1105,Hours!$A:$A,0))+I1105*INDEX(Hours!E:E,MATCH(C1105,Hours!$A:$A,0))+J1105*INDEX(Hours!F:F,MATCH(C1105,Hours!$A:$A,0)))</f>
        <v>0</v>
      </c>
      <c r="S1105" s="19">
        <f t="shared" si="35"/>
        <v>0</v>
      </c>
    </row>
    <row r="1106" spans="1:19" x14ac:dyDescent="0.25">
      <c r="A1106" s="15" t="str">
        <f>'Bldgs &amp; Rooms'!$A$31</f>
        <v>Main Bldg.</v>
      </c>
      <c r="B1106" s="15">
        <f>'Bldgs &amp; Rooms'!$B$31</f>
        <v>0</v>
      </c>
      <c r="C1106" s="14" t="str">
        <f>Hours!$A$33</f>
        <v>Motors 201-500 HP</v>
      </c>
      <c r="D1106" s="15">
        <f t="shared" si="34"/>
        <v>0</v>
      </c>
      <c r="E1106" s="16">
        <f>IF('Components Yr 1'!E1106=0,0,'Components Yr 1'!E1106)</f>
        <v>0</v>
      </c>
      <c r="F1106" s="17">
        <f>IF('Components Yr 1'!F1106=0,0,'Components Yr 1'!F1106)</f>
        <v>0</v>
      </c>
      <c r="G1106" s="17">
        <f>IF('Components Yr 1'!G1106=0,0,'Components Yr 1'!G1106)</f>
        <v>0</v>
      </c>
      <c r="H1106" s="17">
        <f>IF('Components Yr 1'!H1106=0,0,'Components Yr 1'!H1106)</f>
        <v>0</v>
      </c>
      <c r="I1106" s="17">
        <f>IF('Components Yr 1'!I1106=0,0,'Components Yr 1'!I1106)</f>
        <v>0</v>
      </c>
      <c r="J1106" s="17">
        <f>IF('Components Yr 1'!J1106=0,0,'Components Yr 1'!J1106)</f>
        <v>0</v>
      </c>
      <c r="K1106" s="12"/>
      <c r="L1106" s="12"/>
      <c r="M1106" s="12"/>
      <c r="N1106" s="12"/>
      <c r="O1106" s="12"/>
      <c r="P1106" s="12"/>
      <c r="Q1106" s="17"/>
      <c r="R1106" s="18">
        <f>IF(SUMPRODUCT((E1106:Q1106)*1)=0,0,E1106*INDEX(Hours!M:M,MATCH(C1106,Hours!$A:$A,0))+F1106*INDEX(Hours!B:B,MATCH(C1106,Hours!$A:$A,0))+G1106*INDEX(Hours!C:C,MATCH(C1106,Hours!$A:$A,0))+H1106*INDEX(Hours!D:D,MATCH(C1106,Hours!$A:$A,0))+I1106*INDEX(Hours!E:E,MATCH(C1106,Hours!$A:$A,0))+J1106*INDEX(Hours!F:F,MATCH(C1106,Hours!$A:$A,0)))</f>
        <v>0</v>
      </c>
      <c r="S1106" s="19">
        <f t="shared" si="35"/>
        <v>0</v>
      </c>
    </row>
    <row r="1107" spans="1:19" x14ac:dyDescent="0.25">
      <c r="A1107" s="15" t="str">
        <f>'Bldgs &amp; Rooms'!$A$31</f>
        <v>Main Bldg.</v>
      </c>
      <c r="B1107" s="15">
        <f>'Bldgs &amp; Rooms'!$B$31</f>
        <v>0</v>
      </c>
      <c r="C1107" s="14" t="str">
        <f>Hours!$A$34</f>
        <v>Compressed Air Equipment</v>
      </c>
      <c r="D1107" s="15">
        <f t="shared" si="34"/>
        <v>0</v>
      </c>
      <c r="E1107" s="16">
        <f>IF('Components Yr 1'!E1107=0,0,'Components Yr 1'!E1107)</f>
        <v>0</v>
      </c>
      <c r="F1107" s="17">
        <f>IF('Components Yr 1'!F1107=0,0,'Components Yr 1'!F1107)</f>
        <v>0</v>
      </c>
      <c r="G1107" s="17">
        <f>IF('Components Yr 1'!G1107=0,0,'Components Yr 1'!G1107)</f>
        <v>0</v>
      </c>
      <c r="H1107" s="17">
        <f>IF('Components Yr 1'!H1107=0,0,'Components Yr 1'!H1107)</f>
        <v>0</v>
      </c>
      <c r="I1107" s="17">
        <f>IF('Components Yr 1'!I1107=0,0,'Components Yr 1'!I1107)</f>
        <v>0</v>
      </c>
      <c r="J1107" s="17">
        <f>IF('Components Yr 1'!J1107=0,0,'Components Yr 1'!J1107)</f>
        <v>0</v>
      </c>
      <c r="K1107" s="12"/>
      <c r="L1107" s="12"/>
      <c r="M1107" s="12"/>
      <c r="N1107" s="12"/>
      <c r="O1107" s="12"/>
      <c r="P1107" s="12"/>
      <c r="Q1107" s="17"/>
      <c r="R1107" s="18">
        <f>IF(SUMPRODUCT((E1107:Q1107)*1)=0,0,E1107*INDEX(Hours!M:M,MATCH(C1107,Hours!$A:$A,0))+F1107*INDEX(Hours!B:B,MATCH(C1107,Hours!$A:$A,0))+G1107*INDEX(Hours!C:C,MATCH(C1107,Hours!$A:$A,0))+H1107*INDEX(Hours!D:D,MATCH(C1107,Hours!$A:$A,0))+I1107*INDEX(Hours!E:E,MATCH(C1107,Hours!$A:$A,0))+J1107*INDEX(Hours!F:F,MATCH(C1107,Hours!$A:$A,0)))</f>
        <v>0</v>
      </c>
      <c r="S1107" s="19">
        <f t="shared" si="35"/>
        <v>0</v>
      </c>
    </row>
    <row r="1108" spans="1:19" x14ac:dyDescent="0.25">
      <c r="A1108" s="15" t="str">
        <f>'Bldgs &amp; Rooms'!$A$31</f>
        <v>Main Bldg.</v>
      </c>
      <c r="B1108" s="15">
        <f>'Bldgs &amp; Rooms'!$B$31</f>
        <v>0</v>
      </c>
      <c r="C1108" s="14" t="str">
        <f>Hours!$A$35</f>
        <v>HVAC Equipment (Large)</v>
      </c>
      <c r="D1108" s="15">
        <f t="shared" si="34"/>
        <v>0</v>
      </c>
      <c r="E1108" s="16">
        <f>IF('Components Yr 1'!E1108=0,0,'Components Yr 1'!E1108)</f>
        <v>0</v>
      </c>
      <c r="F1108" s="17">
        <f>IF('Components Yr 1'!F1108=0,0,'Components Yr 1'!F1108)</f>
        <v>0</v>
      </c>
      <c r="G1108" s="17">
        <f>IF('Components Yr 1'!G1108=0,0,'Components Yr 1'!G1108)</f>
        <v>0</v>
      </c>
      <c r="H1108" s="17">
        <f>IF('Components Yr 1'!H1108=0,0,'Components Yr 1'!H1108)</f>
        <v>0</v>
      </c>
      <c r="I1108" s="17">
        <f>IF('Components Yr 1'!I1108=0,0,'Components Yr 1'!I1108)</f>
        <v>0</v>
      </c>
      <c r="J1108" s="17">
        <f>IF('Components Yr 1'!J1108=0,0,'Components Yr 1'!J1108)</f>
        <v>0</v>
      </c>
      <c r="K1108" s="12"/>
      <c r="L1108" s="12"/>
      <c r="M1108" s="12"/>
      <c r="N1108" s="12"/>
      <c r="O1108" s="12"/>
      <c r="P1108" s="12"/>
      <c r="Q1108" s="17"/>
      <c r="R1108" s="18">
        <f>IF(SUMPRODUCT((E1108:Q1108)*1)=0,0,E1108*INDEX(Hours!M:M,MATCH(C1108,Hours!$A:$A,0))+F1108*INDEX(Hours!B:B,MATCH(C1108,Hours!$A:$A,0))+G1108*INDEX(Hours!C:C,MATCH(C1108,Hours!$A:$A,0))+H1108*INDEX(Hours!D:D,MATCH(C1108,Hours!$A:$A,0))+I1108*INDEX(Hours!E:E,MATCH(C1108,Hours!$A:$A,0))+J1108*INDEX(Hours!F:F,MATCH(C1108,Hours!$A:$A,0)))</f>
        <v>0</v>
      </c>
      <c r="S1108" s="19">
        <f t="shared" si="35"/>
        <v>0</v>
      </c>
    </row>
    <row r="1109" spans="1:19" x14ac:dyDescent="0.25">
      <c r="A1109" s="15" t="str">
        <f>'Bldgs &amp; Rooms'!$A$31</f>
        <v>Main Bldg.</v>
      </c>
      <c r="B1109" s="15">
        <f>'Bldgs &amp; Rooms'!$B$31</f>
        <v>0</v>
      </c>
      <c r="C1109" s="14" t="str">
        <f>Hours!$A$36</f>
        <v>HVAC Equipment (Small)</v>
      </c>
      <c r="D1109" s="15">
        <f t="shared" si="34"/>
        <v>0</v>
      </c>
      <c r="E1109" s="16">
        <f>IF('Components Yr 1'!E1109=0,0,'Components Yr 1'!E1109)</f>
        <v>0</v>
      </c>
      <c r="F1109" s="17">
        <f>IF('Components Yr 1'!F1109=0,0,'Components Yr 1'!F1109)</f>
        <v>0</v>
      </c>
      <c r="G1109" s="17">
        <f>IF('Components Yr 1'!G1109=0,0,'Components Yr 1'!G1109)</f>
        <v>0</v>
      </c>
      <c r="H1109" s="17">
        <f>IF('Components Yr 1'!H1109=0,0,'Components Yr 1'!H1109)</f>
        <v>0</v>
      </c>
      <c r="I1109" s="17">
        <f>IF('Components Yr 1'!I1109=0,0,'Components Yr 1'!I1109)</f>
        <v>0</v>
      </c>
      <c r="J1109" s="17">
        <f>IF('Components Yr 1'!J1109=0,0,'Components Yr 1'!J1109)</f>
        <v>0</v>
      </c>
      <c r="K1109" s="12"/>
      <c r="L1109" s="12"/>
      <c r="M1109" s="12"/>
      <c r="N1109" s="12"/>
      <c r="O1109" s="12"/>
      <c r="P1109" s="12"/>
      <c r="Q1109" s="17"/>
      <c r="R1109" s="18">
        <f>IF(SUMPRODUCT((E1109:Q1109)*1)=0,0,E1109*INDEX(Hours!M:M,MATCH(C1109,Hours!$A:$A,0))+F1109*INDEX(Hours!B:B,MATCH(C1109,Hours!$A:$A,0))+G1109*INDEX(Hours!C:C,MATCH(C1109,Hours!$A:$A,0))+H1109*INDEX(Hours!D:D,MATCH(C1109,Hours!$A:$A,0))+I1109*INDEX(Hours!E:E,MATCH(C1109,Hours!$A:$A,0))+J1109*INDEX(Hours!F:F,MATCH(C1109,Hours!$A:$A,0)))</f>
        <v>0</v>
      </c>
      <c r="S1109" s="19">
        <f t="shared" si="35"/>
        <v>0</v>
      </c>
    </row>
    <row r="1110" spans="1:19" x14ac:dyDescent="0.25">
      <c r="A1110" s="15" t="str">
        <f>'Bldgs &amp; Rooms'!$A$31</f>
        <v>Main Bldg.</v>
      </c>
      <c r="B1110" s="15">
        <f>'Bldgs &amp; Rooms'!$B$31</f>
        <v>0</v>
      </c>
      <c r="C1110" s="14" t="str">
        <f>Hours!$A$37</f>
        <v>Uninterruptible Power Supply (UPS) &lt; 50kVA</v>
      </c>
      <c r="D1110" s="15">
        <f t="shared" si="34"/>
        <v>0</v>
      </c>
      <c r="E1110" s="16">
        <f>IF('Components Yr 1'!E1110=0,0,'Components Yr 1'!E1110)</f>
        <v>0</v>
      </c>
      <c r="F1110" s="17">
        <f>IF('Components Yr 1'!F1110=0,0,'Components Yr 1'!F1110)</f>
        <v>0</v>
      </c>
      <c r="G1110" s="17">
        <f>IF('Components Yr 1'!G1110=0,0,'Components Yr 1'!G1110)</f>
        <v>0</v>
      </c>
      <c r="H1110" s="17">
        <f>IF('Components Yr 1'!H1110=0,0,'Components Yr 1'!H1110)</f>
        <v>0</v>
      </c>
      <c r="I1110" s="17">
        <f>IF('Components Yr 1'!I1110=0,0,'Components Yr 1'!I1110)</f>
        <v>0</v>
      </c>
      <c r="J1110" s="17">
        <f>IF('Components Yr 1'!J1110=0,0,'Components Yr 1'!J1110)</f>
        <v>0</v>
      </c>
      <c r="K1110" s="12"/>
      <c r="L1110" s="12"/>
      <c r="M1110" s="12"/>
      <c r="N1110" s="12"/>
      <c r="O1110" s="12"/>
      <c r="P1110" s="12"/>
      <c r="Q1110" s="17"/>
      <c r="R1110" s="18">
        <f>IF(SUMPRODUCT((E1110:Q1110)*1)=0,0,E1110*INDEX(Hours!M:M,MATCH(C1110,Hours!$A:$A,0))+F1110*INDEX(Hours!B:B,MATCH(C1110,Hours!$A:$A,0))+G1110*INDEX(Hours!C:C,MATCH(C1110,Hours!$A:$A,0))+H1110*INDEX(Hours!D:D,MATCH(C1110,Hours!$A:$A,0))+I1110*INDEX(Hours!E:E,MATCH(C1110,Hours!$A:$A,0))+J1110*INDEX(Hours!F:F,MATCH(C1110,Hours!$A:$A,0)))</f>
        <v>0</v>
      </c>
      <c r="S1110" s="19">
        <f t="shared" si="35"/>
        <v>0</v>
      </c>
    </row>
    <row r="1111" spans="1:19" x14ac:dyDescent="0.25">
      <c r="A1111" s="15" t="str">
        <f>'Bldgs &amp; Rooms'!$A$31</f>
        <v>Main Bldg.</v>
      </c>
      <c r="B1111" s="15">
        <f>'Bldgs &amp; Rooms'!$B$31</f>
        <v>0</v>
      </c>
      <c r="C1111" s="14" t="str">
        <f>Hours!$A$38</f>
        <v>Uninterruptible Power Supply (UPS) &gt; 50kVA</v>
      </c>
      <c r="D1111" s="15">
        <f t="shared" si="34"/>
        <v>0</v>
      </c>
      <c r="E1111" s="16">
        <f>IF('Components Yr 1'!E1111=0,0,'Components Yr 1'!E1111)</f>
        <v>0</v>
      </c>
      <c r="F1111" s="17">
        <f>IF('Components Yr 1'!F1111=0,0,'Components Yr 1'!F1111)</f>
        <v>0</v>
      </c>
      <c r="G1111" s="17">
        <f>IF('Components Yr 1'!G1111=0,0,'Components Yr 1'!G1111)</f>
        <v>0</v>
      </c>
      <c r="H1111" s="17">
        <f>IF('Components Yr 1'!H1111=0,0,'Components Yr 1'!H1111)</f>
        <v>0</v>
      </c>
      <c r="I1111" s="17">
        <f>IF('Components Yr 1'!I1111=0,0,'Components Yr 1'!I1111)</f>
        <v>0</v>
      </c>
      <c r="J1111" s="17">
        <f>IF('Components Yr 1'!J1111=0,0,'Components Yr 1'!J1111)</f>
        <v>0</v>
      </c>
      <c r="K1111" s="12"/>
      <c r="L1111" s="12"/>
      <c r="M1111" s="12"/>
      <c r="N1111" s="12"/>
      <c r="O1111" s="12"/>
      <c r="P1111" s="12"/>
      <c r="Q1111" s="17"/>
      <c r="R1111" s="18">
        <f>IF(SUMPRODUCT((E1111:Q1111)*1)=0,0,E1111*INDEX(Hours!M:M,MATCH(C1111,Hours!$A:$A,0))+F1111*INDEX(Hours!B:B,MATCH(C1111,Hours!$A:$A,0))+G1111*INDEX(Hours!C:C,MATCH(C1111,Hours!$A:$A,0))+H1111*INDEX(Hours!D:D,MATCH(C1111,Hours!$A:$A,0))+I1111*INDEX(Hours!E:E,MATCH(C1111,Hours!$A:$A,0))+J1111*INDEX(Hours!F:F,MATCH(C1111,Hours!$A:$A,0)))</f>
        <v>0</v>
      </c>
      <c r="S1111" s="19">
        <f t="shared" si="35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11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3" sqref="E3"/>
    </sheetView>
  </sheetViews>
  <sheetFormatPr defaultColWidth="8.7109375" defaultRowHeight="15" x14ac:dyDescent="0.25"/>
  <cols>
    <col min="1" max="2" width="14" customWidth="1"/>
    <col min="3" max="3" width="52" customWidth="1"/>
    <col min="4" max="4" width="14" customWidth="1"/>
    <col min="5" max="6" width="12" customWidth="1"/>
    <col min="7" max="7" width="16" customWidth="1"/>
    <col min="8" max="8" width="10" customWidth="1"/>
    <col min="9" max="9" width="12" customWidth="1"/>
    <col min="10" max="10" width="16" customWidth="1"/>
    <col min="11" max="11" width="12" customWidth="1"/>
    <col min="12" max="12" width="13" customWidth="1"/>
    <col min="13" max="13" width="14" customWidth="1"/>
    <col min="14" max="14" width="16" customWidth="1"/>
    <col min="15" max="16" width="12" customWidth="1"/>
    <col min="17" max="17" width="10" customWidth="1"/>
    <col min="18" max="18" width="14" customWidth="1"/>
    <col min="19" max="19" width="16" customWidth="1"/>
  </cols>
  <sheetData>
    <row r="1" spans="1:19" ht="45" customHeight="1" x14ac:dyDescent="0.25">
      <c r="A1" s="8" t="s">
        <v>52</v>
      </c>
      <c r="B1" s="8" t="s">
        <v>53</v>
      </c>
      <c r="C1" s="8" t="s">
        <v>2</v>
      </c>
      <c r="D1" s="8" t="s">
        <v>54</v>
      </c>
      <c r="E1" s="9" t="s">
        <v>14</v>
      </c>
      <c r="F1" s="8" t="s">
        <v>3</v>
      </c>
      <c r="G1" s="8" t="s">
        <v>55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56</v>
      </c>
      <c r="R1" s="8" t="s">
        <v>57</v>
      </c>
      <c r="S1" s="8" t="s">
        <v>58</v>
      </c>
    </row>
    <row r="2" spans="1:19" x14ac:dyDescent="0.25">
      <c r="A2" s="11" t="str">
        <f>'Bldgs &amp; Rooms'!$A$2</f>
        <v>Main Bldg.</v>
      </c>
      <c r="B2" s="11">
        <f>'Bldgs &amp; Rooms'!$B$2</f>
        <v>0</v>
      </c>
      <c r="C2" s="10" t="str">
        <f>Hours!$A$2</f>
        <v>Switchgear - Incoming Main Service (Per Section)</v>
      </c>
      <c r="D2" s="11">
        <f t="shared" ref="D2:D65" si="0">MAX(E2+F2,G2,H2,I2,J2,K2,L2,M2,N2,O2,P2,Q2)</f>
        <v>0</v>
      </c>
      <c r="E2" s="16">
        <f>IF('Components Yr 1'!E2=0,0,'Components Yr 1'!E2)</f>
        <v>0</v>
      </c>
      <c r="F2" s="17">
        <f>IF('Components Yr 1'!F2=0,0,'Components Yr 1'!F2)</f>
        <v>0</v>
      </c>
      <c r="G2" s="17">
        <f>IF('Components Yr 1'!G2=0,0,'Components Yr 1'!G2)</f>
        <v>0</v>
      </c>
      <c r="H2" s="17">
        <f>IF('Components Yr 1'!H2=0,0,'Components Yr 1'!H2)</f>
        <v>0</v>
      </c>
      <c r="I2" s="17">
        <f>IF('Components Yr 1'!I2=0,0,'Components Yr 1'!I2)</f>
        <v>0</v>
      </c>
      <c r="J2" s="17">
        <f>IF('Components Yr 1'!J2=0,0,'Components Yr 1'!J2)</f>
        <v>0</v>
      </c>
      <c r="K2" s="17">
        <f>IF('Components Yr 1'!K2=0,0,'Components Yr 1'!K2)</f>
        <v>0</v>
      </c>
      <c r="L2" s="17">
        <f>IF('Components Yr 1'!L2=0,0,'Components Yr 1'!L2)</f>
        <v>0</v>
      </c>
      <c r="M2" s="12"/>
      <c r="N2" s="12"/>
      <c r="O2" s="17">
        <f>IF('Components Yr 1'!O2=0,0,'Components Yr 1'!O2)</f>
        <v>0</v>
      </c>
      <c r="P2" s="12"/>
      <c r="Q2" s="17"/>
      <c r="R2" s="18">
        <f>IF(SUMPRODUCT((E2:Q2)*1)=0,0,E2*INDEX(Hours!M:M,MATCH(C2,Hours!$A:$A,0))+F2*INDEX(Hours!B:B,MATCH(C2,Hours!$A:$A,0))+G2*INDEX(Hours!C:C,MATCH(C2,Hours!$A:$A,0))+H2*INDEX(Hours!D:D,MATCH(C2,Hours!$A:$A,0))+I2*INDEX(Hours!E:E,MATCH(C2,Hours!$A:$A,0))+J2*INDEX(Hours!F:F,MATCH(C2,Hours!$A:$A,0))+K2*INDEX(Hours!G:G,MATCH(C2,Hours!$A:$A,0))+L2*INDEX(Hours!H:H,MATCH(C2,Hours!$A:$A,0))+O2*INDEX(Hours!K:K,MATCH(C2,Hours!$A:$A,0)))</f>
        <v>0</v>
      </c>
      <c r="S2" s="19">
        <f t="shared" ref="S2:S65" si="1">MAX(E2+F2,G2,H2,I2,J2,K2,L2,M2,N2,O2,P2,Q2)</f>
        <v>0</v>
      </c>
    </row>
    <row r="3" spans="1:19" x14ac:dyDescent="0.25">
      <c r="A3" s="11" t="str">
        <f>'Bldgs &amp; Rooms'!$A$2</f>
        <v>Main Bldg.</v>
      </c>
      <c r="B3" s="11">
        <f>'Bldgs &amp; Rooms'!$B$2</f>
        <v>0</v>
      </c>
      <c r="C3" s="10" t="str">
        <f>Hours!$A$3</f>
        <v xml:space="preserve">  Switchgear Insulated Case Breakers (Bus Mounted)</v>
      </c>
      <c r="D3" s="11">
        <f t="shared" si="0"/>
        <v>0</v>
      </c>
      <c r="E3" s="16">
        <f>IF('Components Yr 1'!E3=0,0,'Components Yr 1'!E3)</f>
        <v>0</v>
      </c>
      <c r="F3" s="17">
        <f>IF('Components Yr 1'!F3=0,0,'Components Yr 1'!F3)</f>
        <v>0</v>
      </c>
      <c r="G3" s="17">
        <f>IF('Components Yr 1'!G3=0,0,'Components Yr 1'!G3)</f>
        <v>0</v>
      </c>
      <c r="H3" s="17">
        <f>IF('Components Yr 1'!H3=0,0,'Components Yr 1'!H3)</f>
        <v>0</v>
      </c>
      <c r="I3" s="17">
        <f>IF('Components Yr 1'!I3=0,0,'Components Yr 1'!I3)</f>
        <v>0</v>
      </c>
      <c r="J3" s="17">
        <f>IF('Components Yr 1'!J3=0,0,'Components Yr 1'!J3)</f>
        <v>0</v>
      </c>
      <c r="K3" s="17">
        <f>IF('Components Yr 1'!K3=0,0,'Components Yr 1'!K3)</f>
        <v>0</v>
      </c>
      <c r="L3" s="12"/>
      <c r="M3" s="12"/>
      <c r="N3" s="12"/>
      <c r="O3" s="12"/>
      <c r="P3" s="12"/>
      <c r="Q3" s="17"/>
      <c r="R3" s="18">
        <f>IF(SUMPRODUCT((E3:Q3)*1)=0,0,E3*INDEX(Hours!M:M,MATCH(C3,Hours!$A:$A,0))+F3*INDEX(Hours!B:B,MATCH(C3,Hours!$A:$A,0))+G3*INDEX(Hours!C:C,MATCH(C3,Hours!$A:$A,0))+H3*INDEX(Hours!D:D,MATCH(C3,Hours!$A:$A,0))+I3*INDEX(Hours!E:E,MATCH(C3,Hours!$A:$A,0))+J3*INDEX(Hours!F:F,MATCH(C3,Hours!$A:$A,0))+K3*INDEX(Hours!G:G,MATCH(C3,Hours!$A:$A,0)))</f>
        <v>0</v>
      </c>
      <c r="S3" s="19">
        <f t="shared" si="1"/>
        <v>0</v>
      </c>
    </row>
    <row r="4" spans="1:19" x14ac:dyDescent="0.25">
      <c r="A4" s="11" t="str">
        <f>'Bldgs &amp; Rooms'!$A$2</f>
        <v>Main Bldg.</v>
      </c>
      <c r="B4" s="11">
        <f>'Bldgs &amp; Rooms'!$B$2</f>
        <v>0</v>
      </c>
      <c r="C4" s="10" t="str">
        <f>Hours!$A$4</f>
        <v xml:space="preserve">  SwitchGear Drawout Breakers</v>
      </c>
      <c r="D4" s="11">
        <f t="shared" si="0"/>
        <v>0</v>
      </c>
      <c r="E4" s="16">
        <f>IF('Components Yr 1'!E4=0,0,'Components Yr 1'!E4)</f>
        <v>0</v>
      </c>
      <c r="F4" s="17">
        <f>IF('Components Yr 1'!F4=0,0,'Components Yr 1'!F4)</f>
        <v>0</v>
      </c>
      <c r="G4" s="17">
        <f>IF('Components Yr 1'!G4=0,0,'Components Yr 1'!G4)</f>
        <v>0</v>
      </c>
      <c r="H4" s="17">
        <f>IF('Components Yr 1'!H4=0,0,'Components Yr 1'!H4)</f>
        <v>0</v>
      </c>
      <c r="I4" s="17">
        <f>IF('Components Yr 1'!I4=0,0,'Components Yr 1'!I4)</f>
        <v>0</v>
      </c>
      <c r="J4" s="17">
        <f>IF('Components Yr 1'!J4=0,0,'Components Yr 1'!J4)</f>
        <v>0</v>
      </c>
      <c r="K4" s="12"/>
      <c r="L4" s="17">
        <f>IF('Components Yr 1'!L4=0,0,'Components Yr 1'!L4)</f>
        <v>0</v>
      </c>
      <c r="M4" s="12"/>
      <c r="N4" s="12"/>
      <c r="O4" s="12"/>
      <c r="P4" s="12"/>
      <c r="Q4" s="17"/>
      <c r="R4" s="18">
        <f>IF(SUMPRODUCT((E4:Q4)*1)=0,0,E4*INDEX(Hours!M:M,MATCH(C4,Hours!$A:$A,0))+F4*INDEX(Hours!B:B,MATCH(C4,Hours!$A:$A,0))+G4*INDEX(Hours!C:C,MATCH(C4,Hours!$A:$A,0))+H4*INDEX(Hours!D:D,MATCH(C4,Hours!$A:$A,0))+I4*INDEX(Hours!E:E,MATCH(C4,Hours!$A:$A,0))+J4*INDEX(Hours!F:F,MATCH(C4,Hours!$A:$A,0))+L4*INDEX(Hours!H:H,MATCH(C4,Hours!$A:$A,0)))</f>
        <v>0</v>
      </c>
      <c r="S4" s="19">
        <f t="shared" si="1"/>
        <v>0</v>
      </c>
    </row>
    <row r="5" spans="1:19" x14ac:dyDescent="0.25">
      <c r="A5" s="11" t="str">
        <f>'Bldgs &amp; Rooms'!$A$2</f>
        <v>Main Bldg.</v>
      </c>
      <c r="B5" s="11">
        <f>'Bldgs &amp; Rooms'!$B$2</f>
        <v>0</v>
      </c>
      <c r="C5" s="10" t="str">
        <f>Hours!$A$5</f>
        <v>Distribution Switchboard Multi Cover (Per Section)</v>
      </c>
      <c r="D5" s="11">
        <f t="shared" si="0"/>
        <v>0</v>
      </c>
      <c r="E5" s="16">
        <f>IF('Components Yr 1'!E5=0,0,'Components Yr 1'!E5)</f>
        <v>0</v>
      </c>
      <c r="F5" s="17">
        <f>IF('Components Yr 1'!F5=0,0,'Components Yr 1'!F5)</f>
        <v>0</v>
      </c>
      <c r="G5" s="17">
        <f>IF('Components Yr 1'!G5=0,0,'Components Yr 1'!G5)</f>
        <v>0</v>
      </c>
      <c r="H5" s="17">
        <f>IF('Components Yr 1'!H5=0,0,'Components Yr 1'!H5)</f>
        <v>0</v>
      </c>
      <c r="I5" s="17">
        <f>IF('Components Yr 1'!I5=0,0,'Components Yr 1'!I5)</f>
        <v>0</v>
      </c>
      <c r="J5" s="17">
        <f>IF('Components Yr 1'!J5=0,0,'Components Yr 1'!J5)</f>
        <v>0</v>
      </c>
      <c r="K5" s="17">
        <f>IF('Components Yr 1'!K5=0,0,'Components Yr 1'!K5)</f>
        <v>0</v>
      </c>
      <c r="L5" s="12"/>
      <c r="M5" s="12"/>
      <c r="N5" s="12"/>
      <c r="O5" s="17">
        <f>IF('Components Yr 1'!O5=0,0,'Components Yr 1'!O5)</f>
        <v>0</v>
      </c>
      <c r="P5" s="12"/>
      <c r="Q5" s="17"/>
      <c r="R5" s="18">
        <f>IF(SUMPRODUCT((E5:Q5)*1)=0,0,E5*INDEX(Hours!M:M,MATCH(C5,Hours!$A:$A,0))+F5*INDEX(Hours!B:B,MATCH(C5,Hours!$A:$A,0))+G5*INDEX(Hours!C:C,MATCH(C5,Hours!$A:$A,0))+H5*INDEX(Hours!D:D,MATCH(C5,Hours!$A:$A,0))+I5*INDEX(Hours!E:E,MATCH(C5,Hours!$A:$A,0))+J5*INDEX(Hours!F:F,MATCH(C5,Hours!$A:$A,0))+K5*INDEX(Hours!G:G,MATCH(C5,Hours!$A:$A,0))+O5*INDEX(Hours!K:K,MATCH(C5,Hours!$A:$A,0)))</f>
        <v>0</v>
      </c>
      <c r="S5" s="19">
        <f t="shared" si="1"/>
        <v>0</v>
      </c>
    </row>
    <row r="6" spans="1:19" x14ac:dyDescent="0.25">
      <c r="A6" s="11" t="str">
        <f>'Bldgs &amp; Rooms'!$A$2</f>
        <v>Main Bldg.</v>
      </c>
      <c r="B6" s="11">
        <f>'Bldgs &amp; Rooms'!$B$2</f>
        <v>0</v>
      </c>
      <c r="C6" s="10" t="str">
        <f>Hours!$A$6</f>
        <v xml:space="preserve">  Switchboard Disconnects</v>
      </c>
      <c r="D6" s="11">
        <f t="shared" si="0"/>
        <v>0</v>
      </c>
      <c r="E6" s="16">
        <f>IF('Components Yr 1'!E6=0,0,'Components Yr 1'!E6)</f>
        <v>0</v>
      </c>
      <c r="F6" s="17">
        <f>IF('Components Yr 1'!F6=0,0,'Components Yr 1'!F6)</f>
        <v>0</v>
      </c>
      <c r="G6" s="17">
        <f>IF('Components Yr 1'!G6=0,0,'Components Yr 1'!G6)</f>
        <v>0</v>
      </c>
      <c r="H6" s="17">
        <f>IF('Components Yr 1'!H6=0,0,'Components Yr 1'!H6)</f>
        <v>0</v>
      </c>
      <c r="I6" s="17">
        <f>IF('Components Yr 1'!I6=0,0,'Components Yr 1'!I6)</f>
        <v>0</v>
      </c>
      <c r="J6" s="17">
        <f>IF('Components Yr 1'!J6=0,0,'Components Yr 1'!J6)</f>
        <v>0</v>
      </c>
      <c r="K6" s="12"/>
      <c r="L6" s="12"/>
      <c r="M6" s="12"/>
      <c r="N6" s="12"/>
      <c r="O6" s="12"/>
      <c r="P6" s="12"/>
      <c r="Q6" s="17"/>
      <c r="R6" s="18">
        <f>IF(SUMPRODUCT((E6:Q6)*1)=0,0,E6*INDEX(Hours!M:M,MATCH(C6,Hours!$A:$A,0))+F6*INDEX(Hours!B:B,MATCH(C6,Hours!$A:$A,0))+G6*INDEX(Hours!C:C,MATCH(C6,Hours!$A:$A,0))+H6*INDEX(Hours!D:D,MATCH(C6,Hours!$A:$A,0))+I6*INDEX(Hours!E:E,MATCH(C6,Hours!$A:$A,0))+J6*INDEX(Hours!F:F,MATCH(C6,Hours!$A:$A,0)))</f>
        <v>0</v>
      </c>
      <c r="S6" s="19">
        <f t="shared" si="1"/>
        <v>0</v>
      </c>
    </row>
    <row r="7" spans="1:19" x14ac:dyDescent="0.25">
      <c r="A7" s="11" t="str">
        <f>'Bldgs &amp; Rooms'!$A$2</f>
        <v>Main Bldg.</v>
      </c>
      <c r="B7" s="11">
        <f>'Bldgs &amp; Rooms'!$B$2</f>
        <v>0</v>
      </c>
      <c r="C7" s="10" t="str">
        <f>Hours!$A$7</f>
        <v xml:space="preserve">  Switchboard Molded Case Breakers</v>
      </c>
      <c r="D7" s="11">
        <f t="shared" si="0"/>
        <v>0</v>
      </c>
      <c r="E7" s="16">
        <f>IF('Components Yr 1'!E7=0,0,'Components Yr 1'!E7)</f>
        <v>0</v>
      </c>
      <c r="F7" s="17">
        <f>IF('Components Yr 1'!F7=0,0,'Components Yr 1'!F7)</f>
        <v>0</v>
      </c>
      <c r="G7" s="17">
        <f>IF('Components Yr 1'!G7=0,0,'Components Yr 1'!G7)</f>
        <v>0</v>
      </c>
      <c r="H7" s="17">
        <f>IF('Components Yr 1'!H7=0,0,'Components Yr 1'!H7)</f>
        <v>0</v>
      </c>
      <c r="I7" s="17">
        <f>IF('Components Yr 1'!I7=0,0,'Components Yr 1'!I7)</f>
        <v>0</v>
      </c>
      <c r="J7" s="17">
        <f>IF('Components Yr 1'!J7=0,0,'Components Yr 1'!J7)</f>
        <v>0</v>
      </c>
      <c r="K7" s="17">
        <f>IF('Components Yr 1'!K7=0,0,'Components Yr 1'!K7)</f>
        <v>0</v>
      </c>
      <c r="L7" s="12"/>
      <c r="M7" s="12"/>
      <c r="N7" s="12"/>
      <c r="O7" s="12"/>
      <c r="P7" s="12"/>
      <c r="Q7" s="17"/>
      <c r="R7" s="18">
        <f>IF(SUMPRODUCT((E7:Q7)*1)=0,0,E7*INDEX(Hours!M:M,MATCH(C7,Hours!$A:$A,0))+F7*INDEX(Hours!B:B,MATCH(C7,Hours!$A:$A,0))+G7*INDEX(Hours!C:C,MATCH(C7,Hours!$A:$A,0))+H7*INDEX(Hours!D:D,MATCH(C7,Hours!$A:$A,0))+I7*INDEX(Hours!E:E,MATCH(C7,Hours!$A:$A,0))+J7*INDEX(Hours!F:F,MATCH(C7,Hours!$A:$A,0))+K7*INDEX(Hours!G:G,MATCH(C7,Hours!$A:$A,0)))</f>
        <v>0</v>
      </c>
      <c r="S7" s="19">
        <f t="shared" si="1"/>
        <v>0</v>
      </c>
    </row>
    <row r="8" spans="1:19" x14ac:dyDescent="0.25">
      <c r="A8" s="11" t="str">
        <f>'Bldgs &amp; Rooms'!$A$2</f>
        <v>Main Bldg.</v>
      </c>
      <c r="B8" s="11">
        <f>'Bldgs &amp; Rooms'!$B$2</f>
        <v>0</v>
      </c>
      <c r="C8" s="10" t="str">
        <f>Hours!$A$8</f>
        <v>Panelboard-Single Cover &gt; 400A (Distribution Panel)</v>
      </c>
      <c r="D8" s="11">
        <f t="shared" si="0"/>
        <v>0</v>
      </c>
      <c r="E8" s="16">
        <f>IF('Components Yr 1'!E8=0,0,'Components Yr 1'!E8)</f>
        <v>0</v>
      </c>
      <c r="F8" s="17">
        <f>IF('Components Yr 1'!F8=0,0,'Components Yr 1'!F8)</f>
        <v>0</v>
      </c>
      <c r="G8" s="17">
        <f>IF('Components Yr 1'!G8=0,0,'Components Yr 1'!G8)</f>
        <v>0</v>
      </c>
      <c r="H8" s="17">
        <f>IF('Components Yr 1'!H8=0,0,'Components Yr 1'!H8)</f>
        <v>0</v>
      </c>
      <c r="I8" s="17">
        <f>IF('Components Yr 1'!I8=0,0,'Components Yr 1'!I8)</f>
        <v>0</v>
      </c>
      <c r="J8" s="17">
        <f>IF('Components Yr 1'!J8=0,0,'Components Yr 1'!J8)</f>
        <v>0</v>
      </c>
      <c r="K8" s="17">
        <f>IF('Components Yr 1'!K8=0,0,'Components Yr 1'!K8)</f>
        <v>0</v>
      </c>
      <c r="L8" s="12"/>
      <c r="M8" s="12"/>
      <c r="N8" s="12"/>
      <c r="O8" s="17">
        <f>IF('Components Yr 1'!O8=0,0,'Components Yr 1'!O8)</f>
        <v>0</v>
      </c>
      <c r="P8" s="12"/>
      <c r="Q8" s="17"/>
      <c r="R8" s="18">
        <f>IF(SUMPRODUCT((E8:Q8)*1)=0,0,E8*INDEX(Hours!M:M,MATCH(C8,Hours!$A:$A,0))+F8*INDEX(Hours!B:B,MATCH(C8,Hours!$A:$A,0))+G8*INDEX(Hours!C:C,MATCH(C8,Hours!$A:$A,0))+H8*INDEX(Hours!D:D,MATCH(C8,Hours!$A:$A,0))+I8*INDEX(Hours!E:E,MATCH(C8,Hours!$A:$A,0))+J8*INDEX(Hours!F:F,MATCH(C8,Hours!$A:$A,0))+K8*INDEX(Hours!G:G,MATCH(C8,Hours!$A:$A,0))+O8*INDEX(Hours!K:K,MATCH(C8,Hours!$A:$A,0)))</f>
        <v>0</v>
      </c>
      <c r="S8" s="19">
        <f t="shared" si="1"/>
        <v>0</v>
      </c>
    </row>
    <row r="9" spans="1:19" x14ac:dyDescent="0.25">
      <c r="A9" s="11" t="str">
        <f>'Bldgs &amp; Rooms'!$A$2</f>
        <v>Main Bldg.</v>
      </c>
      <c r="B9" s="11">
        <f>'Bldgs &amp; Rooms'!$B$2</f>
        <v>0</v>
      </c>
      <c r="C9" s="10" t="str">
        <f>Hours!$A$9</f>
        <v>Panelboard-Single Cover &lt; 400A (Branch Ckt Panel)</v>
      </c>
      <c r="D9" s="11">
        <f t="shared" si="0"/>
        <v>0</v>
      </c>
      <c r="E9" s="16">
        <f>IF('Components Yr 1'!E9=0,0,'Components Yr 1'!E9)</f>
        <v>0</v>
      </c>
      <c r="F9" s="17">
        <f>IF('Components Yr 1'!F9=0,0,'Components Yr 1'!F9)</f>
        <v>0</v>
      </c>
      <c r="G9" s="17">
        <f>IF('Components Yr 1'!G9=0,0,'Components Yr 1'!G9)</f>
        <v>0</v>
      </c>
      <c r="H9" s="17">
        <f>IF('Components Yr 1'!H9=0,0,'Components Yr 1'!H9)</f>
        <v>0</v>
      </c>
      <c r="I9" s="17">
        <f>IF('Components Yr 1'!I9=0,0,'Components Yr 1'!I9)</f>
        <v>0</v>
      </c>
      <c r="J9" s="17">
        <f>IF('Components Yr 1'!J9=0,0,'Components Yr 1'!J9)</f>
        <v>0</v>
      </c>
      <c r="K9" s="12"/>
      <c r="L9" s="12"/>
      <c r="M9" s="12"/>
      <c r="N9" s="12"/>
      <c r="O9" s="17">
        <f>IF('Components Yr 1'!O9=0,0,'Components Yr 1'!O9)</f>
        <v>0</v>
      </c>
      <c r="P9" s="12"/>
      <c r="Q9" s="17"/>
      <c r="R9" s="18">
        <f>IF(SUMPRODUCT((E9:Q9)*1)=0,0,E9*INDEX(Hours!M:M,MATCH(C9,Hours!$A:$A,0))+F9*INDEX(Hours!B:B,MATCH(C9,Hours!$A:$A,0))+G9*INDEX(Hours!C:C,MATCH(C9,Hours!$A:$A,0))+H9*INDEX(Hours!D:D,MATCH(C9,Hours!$A:$A,0))+I9*INDEX(Hours!E:E,MATCH(C9,Hours!$A:$A,0))+J9*INDEX(Hours!F:F,MATCH(C9,Hours!$A:$A,0))+O9*INDEX(Hours!K:K,MATCH(C9,Hours!$A:$A,0)))</f>
        <v>0</v>
      </c>
      <c r="S9" s="19">
        <f t="shared" si="1"/>
        <v>0</v>
      </c>
    </row>
    <row r="10" spans="1:19" x14ac:dyDescent="0.25">
      <c r="A10" s="11" t="str">
        <f>'Bldgs &amp; Rooms'!$A$2</f>
        <v>Main Bldg.</v>
      </c>
      <c r="B10" s="11">
        <f>'Bldgs &amp; Rooms'!$B$2</f>
        <v>0</v>
      </c>
      <c r="C10" s="10" t="str">
        <f>Hours!$A$10</f>
        <v>Motor Control Center (MCC-Per Vertical Section)</v>
      </c>
      <c r="D10" s="11">
        <f t="shared" si="0"/>
        <v>0</v>
      </c>
      <c r="E10" s="16">
        <f>IF('Components Yr 1'!E10=0,0,'Components Yr 1'!E10)</f>
        <v>0</v>
      </c>
      <c r="F10" s="17">
        <f>IF('Components Yr 1'!F10=0,0,'Components Yr 1'!F10)</f>
        <v>0</v>
      </c>
      <c r="G10" s="17">
        <f>IF('Components Yr 1'!G10=0,0,'Components Yr 1'!G10)</f>
        <v>0</v>
      </c>
      <c r="H10" s="17">
        <f>IF('Components Yr 1'!H10=0,0,'Components Yr 1'!H10)</f>
        <v>0</v>
      </c>
      <c r="I10" s="17">
        <f>IF('Components Yr 1'!I10=0,0,'Components Yr 1'!I10)</f>
        <v>0</v>
      </c>
      <c r="J10" s="17">
        <f>IF('Components Yr 1'!J10=0,0,'Components Yr 1'!J10)</f>
        <v>0</v>
      </c>
      <c r="K10" s="12"/>
      <c r="L10" s="12"/>
      <c r="M10" s="12"/>
      <c r="N10" s="12"/>
      <c r="O10" s="17">
        <f>IF('Components Yr 1'!O10=0,0,'Components Yr 1'!O10)</f>
        <v>0</v>
      </c>
      <c r="P10" s="12"/>
      <c r="Q10" s="17"/>
      <c r="R10" s="18">
        <f>IF(SUMPRODUCT((E10:Q10)*1)=0,0,E10*INDEX(Hours!M:M,MATCH(C10,Hours!$A:$A,0))+F10*INDEX(Hours!B:B,MATCH(C10,Hours!$A:$A,0))+G10*INDEX(Hours!C:C,MATCH(C10,Hours!$A:$A,0))+H10*INDEX(Hours!D:D,MATCH(C10,Hours!$A:$A,0))+I10*INDEX(Hours!E:E,MATCH(C10,Hours!$A:$A,0))+J10*INDEX(Hours!F:F,MATCH(C10,Hours!$A:$A,0))+O10*INDEX(Hours!K:K,MATCH(C10,Hours!$A:$A,0)))</f>
        <v>0</v>
      </c>
      <c r="S10" s="19">
        <f t="shared" si="1"/>
        <v>0</v>
      </c>
    </row>
    <row r="11" spans="1:19" x14ac:dyDescent="0.25">
      <c r="A11" s="11" t="str">
        <f>'Bldgs &amp; Rooms'!$A$2</f>
        <v>Main Bldg.</v>
      </c>
      <c r="B11" s="11">
        <f>'Bldgs &amp; Rooms'!$B$2</f>
        <v>0</v>
      </c>
      <c r="C11" s="10" t="str">
        <f>Hours!$A$11</f>
        <v xml:space="preserve">  MCC: Combination Motor Starters</v>
      </c>
      <c r="D11" s="11">
        <f t="shared" si="0"/>
        <v>0</v>
      </c>
      <c r="E11" s="16">
        <f>IF('Components Yr 1'!E11=0,0,'Components Yr 1'!E11)</f>
        <v>0</v>
      </c>
      <c r="F11" s="17">
        <f>IF('Components Yr 1'!F11=0,0,'Components Yr 1'!F11)</f>
        <v>0</v>
      </c>
      <c r="G11" s="17">
        <f>IF('Components Yr 1'!G11=0,0,'Components Yr 1'!G11)</f>
        <v>0</v>
      </c>
      <c r="H11" s="17">
        <f>IF('Components Yr 1'!H11=0,0,'Components Yr 1'!H11)</f>
        <v>0</v>
      </c>
      <c r="I11" s="17">
        <f>IF('Components Yr 1'!I11=0,0,'Components Yr 1'!I11)</f>
        <v>0</v>
      </c>
      <c r="J11" s="17">
        <f>IF('Components Yr 1'!J11=0,0,'Components Yr 1'!J11)</f>
        <v>0</v>
      </c>
      <c r="K11" s="17">
        <f>IF('Components Yr 1'!K11=0,0,'Components Yr 1'!K11)</f>
        <v>0</v>
      </c>
      <c r="L11" s="12"/>
      <c r="M11" s="12"/>
      <c r="N11" s="12"/>
      <c r="O11" s="17">
        <f>IF('Components Yr 1'!O11=0,0,'Components Yr 1'!O11)</f>
        <v>0</v>
      </c>
      <c r="P11" s="12"/>
      <c r="Q11" s="17"/>
      <c r="R11" s="18">
        <f>IF(SUMPRODUCT((E11:Q11)*1)=0,0,E11*INDEX(Hours!M:M,MATCH(C11,Hours!$A:$A,0))+F11*INDEX(Hours!B:B,MATCH(C11,Hours!$A:$A,0))+G11*INDEX(Hours!C:C,MATCH(C11,Hours!$A:$A,0))+H11*INDEX(Hours!D:D,MATCH(C11,Hours!$A:$A,0))+I11*INDEX(Hours!E:E,MATCH(C11,Hours!$A:$A,0))+J11*INDEX(Hours!F:F,MATCH(C11,Hours!$A:$A,0))+K11*INDEX(Hours!G:G,MATCH(C11,Hours!$A:$A,0))+O11*INDEX(Hours!K:K,MATCH(C11,Hours!$A:$A,0)))</f>
        <v>0</v>
      </c>
      <c r="S11" s="19">
        <f t="shared" si="1"/>
        <v>0</v>
      </c>
    </row>
    <row r="12" spans="1:19" x14ac:dyDescent="0.25">
      <c r="A12" s="11" t="str">
        <f>'Bldgs &amp; Rooms'!$A$2</f>
        <v>Main Bldg.</v>
      </c>
      <c r="B12" s="11">
        <f>'Bldgs &amp; Rooms'!$B$2</f>
        <v>0</v>
      </c>
      <c r="C12" s="10" t="str">
        <f>Hours!$A$12</f>
        <v xml:space="preserve">  MCC: Molded Case Breaker</v>
      </c>
      <c r="D12" s="11">
        <f t="shared" si="0"/>
        <v>0</v>
      </c>
      <c r="E12" s="16">
        <f>IF('Components Yr 1'!E12=0,0,'Components Yr 1'!E12)</f>
        <v>0</v>
      </c>
      <c r="F12" s="17">
        <f>IF('Components Yr 1'!F12=0,0,'Components Yr 1'!F12)</f>
        <v>0</v>
      </c>
      <c r="G12" s="17">
        <f>IF('Components Yr 1'!G12=0,0,'Components Yr 1'!G12)</f>
        <v>0</v>
      </c>
      <c r="H12" s="17">
        <f>IF('Components Yr 1'!H12=0,0,'Components Yr 1'!H12)</f>
        <v>0</v>
      </c>
      <c r="I12" s="17">
        <f>IF('Components Yr 1'!I12=0,0,'Components Yr 1'!I12)</f>
        <v>0</v>
      </c>
      <c r="J12" s="17">
        <f>IF('Components Yr 1'!J12=0,0,'Components Yr 1'!J12)</f>
        <v>0</v>
      </c>
      <c r="K12" s="17">
        <f>IF('Components Yr 1'!K12=0,0,'Components Yr 1'!K12)</f>
        <v>0</v>
      </c>
      <c r="L12" s="12"/>
      <c r="M12" s="12"/>
      <c r="N12" s="12"/>
      <c r="O12" s="12"/>
      <c r="P12" s="12"/>
      <c r="Q12" s="17"/>
      <c r="R12" s="18">
        <f>IF(SUMPRODUCT((E12:Q12)*1)=0,0,E12*INDEX(Hours!M:M,MATCH(C12,Hours!$A:$A,0))+F12*INDEX(Hours!B:B,MATCH(C12,Hours!$A:$A,0))+G12*INDEX(Hours!C:C,MATCH(C12,Hours!$A:$A,0))+H12*INDEX(Hours!D:D,MATCH(C12,Hours!$A:$A,0))+I12*INDEX(Hours!E:E,MATCH(C12,Hours!$A:$A,0))+J12*INDEX(Hours!F:F,MATCH(C12,Hours!$A:$A,0))+K12*INDEX(Hours!G:G,MATCH(C12,Hours!$A:$A,0)))</f>
        <v>0</v>
      </c>
      <c r="S12" s="19">
        <f t="shared" si="1"/>
        <v>0</v>
      </c>
    </row>
    <row r="13" spans="1:19" x14ac:dyDescent="0.25">
      <c r="A13" s="11" t="str">
        <f>'Bldgs &amp; Rooms'!$A$2</f>
        <v>Main Bldg.</v>
      </c>
      <c r="B13" s="11">
        <f>'Bldgs &amp; Rooms'!$B$2</f>
        <v>0</v>
      </c>
      <c r="C13" s="10" t="str">
        <f>Hours!$A$13</f>
        <v xml:space="preserve">  MCC: Individual Disconnect Switch</v>
      </c>
      <c r="D13" s="11">
        <f t="shared" si="0"/>
        <v>0</v>
      </c>
      <c r="E13" s="16">
        <f>IF('Components Yr 1'!E13=0,0,'Components Yr 1'!E13)</f>
        <v>0</v>
      </c>
      <c r="F13" s="17">
        <f>IF('Components Yr 1'!F13=0,0,'Components Yr 1'!F13)</f>
        <v>0</v>
      </c>
      <c r="G13" s="17">
        <f>IF('Components Yr 1'!G13=0,0,'Components Yr 1'!G13)</f>
        <v>0</v>
      </c>
      <c r="H13" s="17">
        <f>IF('Components Yr 1'!H13=0,0,'Components Yr 1'!H13)</f>
        <v>0</v>
      </c>
      <c r="I13" s="17">
        <f>IF('Components Yr 1'!I13=0,0,'Components Yr 1'!I13)</f>
        <v>0</v>
      </c>
      <c r="J13" s="17">
        <f>IF('Components Yr 1'!J13=0,0,'Components Yr 1'!J13)</f>
        <v>0</v>
      </c>
      <c r="K13" s="12"/>
      <c r="L13" s="12"/>
      <c r="M13" s="12"/>
      <c r="N13" s="12"/>
      <c r="O13" s="12"/>
      <c r="P13" s="12"/>
      <c r="Q13" s="17"/>
      <c r="R13" s="18">
        <f>IF(SUMPRODUCT((E13:Q13)*1)=0,0,E13*INDEX(Hours!M:M,MATCH(C13,Hours!$A:$A,0))+F13*INDEX(Hours!B:B,MATCH(C13,Hours!$A:$A,0))+G13*INDEX(Hours!C:C,MATCH(C13,Hours!$A:$A,0))+H13*INDEX(Hours!D:D,MATCH(C13,Hours!$A:$A,0))+I13*INDEX(Hours!E:E,MATCH(C13,Hours!$A:$A,0))+J13*INDEX(Hours!F:F,MATCH(C13,Hours!$A:$A,0)))</f>
        <v>0</v>
      </c>
      <c r="S13" s="19">
        <f t="shared" si="1"/>
        <v>0</v>
      </c>
    </row>
    <row r="14" spans="1:19" x14ac:dyDescent="0.25">
      <c r="A14" s="11" t="str">
        <f>'Bldgs &amp; Rooms'!$A$2</f>
        <v>Main Bldg.</v>
      </c>
      <c r="B14" s="11">
        <f>'Bldgs &amp; Rooms'!$B$2</f>
        <v>0</v>
      </c>
      <c r="C14" s="10" t="str">
        <f>Hours!$A$14</f>
        <v>Motor Control Panel (MCP)</v>
      </c>
      <c r="D14" s="11">
        <f t="shared" si="0"/>
        <v>0</v>
      </c>
      <c r="E14" s="16">
        <f>IF('Components Yr 1'!E14=0,0,'Components Yr 1'!E14)</f>
        <v>0</v>
      </c>
      <c r="F14" s="17">
        <f>IF('Components Yr 1'!F14=0,0,'Components Yr 1'!F14)</f>
        <v>0</v>
      </c>
      <c r="G14" s="17">
        <f>IF('Components Yr 1'!G14=0,0,'Components Yr 1'!G14)</f>
        <v>0</v>
      </c>
      <c r="H14" s="17">
        <f>IF('Components Yr 1'!H14=0,0,'Components Yr 1'!H14)</f>
        <v>0</v>
      </c>
      <c r="I14" s="17">
        <f>IF('Components Yr 1'!I14=0,0,'Components Yr 1'!I14)</f>
        <v>0</v>
      </c>
      <c r="J14" s="17">
        <f>IF('Components Yr 1'!J14=0,0,'Components Yr 1'!J14)</f>
        <v>0</v>
      </c>
      <c r="K14" s="12"/>
      <c r="L14" s="12"/>
      <c r="M14" s="12"/>
      <c r="N14" s="12"/>
      <c r="O14" s="17">
        <f>IF('Components Yr 1'!O14=0,0,'Components Yr 1'!O14)</f>
        <v>0</v>
      </c>
      <c r="P14" s="12"/>
      <c r="Q14" s="17"/>
      <c r="R14" s="18">
        <f>IF(SUMPRODUCT((E14:Q14)*1)=0,0,E14*INDEX(Hours!M:M,MATCH(C14,Hours!$A:$A,0))+F14*INDEX(Hours!B:B,MATCH(C14,Hours!$A:$A,0))+G14*INDEX(Hours!C:C,MATCH(C14,Hours!$A:$A,0))+H14*INDEX(Hours!D:D,MATCH(C14,Hours!$A:$A,0))+I14*INDEX(Hours!E:E,MATCH(C14,Hours!$A:$A,0))+J14*INDEX(Hours!F:F,MATCH(C14,Hours!$A:$A,0))+O14*INDEX(Hours!K:K,MATCH(C14,Hours!$A:$A,0)))</f>
        <v>0</v>
      </c>
      <c r="S14" s="19">
        <f t="shared" si="1"/>
        <v>0</v>
      </c>
    </row>
    <row r="15" spans="1:19" x14ac:dyDescent="0.25">
      <c r="A15" s="11" t="str">
        <f>'Bldgs &amp; Rooms'!$A$2</f>
        <v>Main Bldg.</v>
      </c>
      <c r="B15" s="11">
        <f>'Bldgs &amp; Rooms'!$B$2</f>
        <v>0</v>
      </c>
      <c r="C15" s="10" t="str">
        <f>Hours!$A$15</f>
        <v>VFD Motor Control Panel (VFD-MCP)</v>
      </c>
      <c r="D15" s="11">
        <f t="shared" si="0"/>
        <v>0</v>
      </c>
      <c r="E15" s="16">
        <f>IF('Components Yr 1'!E15=0,0,'Components Yr 1'!E15)</f>
        <v>0</v>
      </c>
      <c r="F15" s="17">
        <f>IF('Components Yr 1'!F15=0,0,'Components Yr 1'!F15)</f>
        <v>0</v>
      </c>
      <c r="G15" s="17">
        <f>IF('Components Yr 1'!G15=0,0,'Components Yr 1'!G15)</f>
        <v>0</v>
      </c>
      <c r="H15" s="17">
        <f>IF('Components Yr 1'!H15=0,0,'Components Yr 1'!H15)</f>
        <v>0</v>
      </c>
      <c r="I15" s="17">
        <f>IF('Components Yr 1'!I15=0,0,'Components Yr 1'!I15)</f>
        <v>0</v>
      </c>
      <c r="J15" s="17">
        <f>IF('Components Yr 1'!J15=0,0,'Components Yr 1'!J15)</f>
        <v>0</v>
      </c>
      <c r="K15" s="12"/>
      <c r="L15" s="12"/>
      <c r="M15" s="12"/>
      <c r="N15" s="12"/>
      <c r="O15" s="17">
        <f>IF('Components Yr 1'!O15=0,0,'Components Yr 1'!O15)</f>
        <v>0</v>
      </c>
      <c r="P15" s="12"/>
      <c r="Q15" s="17"/>
      <c r="R15" s="18">
        <f>IF(SUMPRODUCT((E15:Q15)*1)=0,0,E15*INDEX(Hours!M:M,MATCH(C15,Hours!$A:$A,0))+F15*INDEX(Hours!B:B,MATCH(C15,Hours!$A:$A,0))+G15*INDEX(Hours!C:C,MATCH(C15,Hours!$A:$A,0))+H15*INDEX(Hours!D:D,MATCH(C15,Hours!$A:$A,0))+I15*INDEX(Hours!E:E,MATCH(C15,Hours!$A:$A,0))+J15*INDEX(Hours!F:F,MATCH(C15,Hours!$A:$A,0))+O15*INDEX(Hours!K:K,MATCH(C15,Hours!$A:$A,0)))</f>
        <v>0</v>
      </c>
      <c r="S15" s="19">
        <f t="shared" si="1"/>
        <v>0</v>
      </c>
    </row>
    <row r="16" spans="1:19" x14ac:dyDescent="0.25">
      <c r="A16" s="11" t="str">
        <f>'Bldgs &amp; Rooms'!$A$2</f>
        <v>Main Bldg.</v>
      </c>
      <c r="B16" s="11">
        <f>'Bldgs &amp; Rooms'!$B$2</f>
        <v>0</v>
      </c>
      <c r="C16" s="10" t="str">
        <f>Hours!$A$16</f>
        <v>Individual Disconnect Switch &gt; 100A</v>
      </c>
      <c r="D16" s="11">
        <f t="shared" si="0"/>
        <v>0</v>
      </c>
      <c r="E16" s="16">
        <f>IF('Components Yr 1'!E16=0,0,'Components Yr 1'!E16)</f>
        <v>0</v>
      </c>
      <c r="F16" s="17">
        <f>IF('Components Yr 1'!F16=0,0,'Components Yr 1'!F16)</f>
        <v>0</v>
      </c>
      <c r="G16" s="17">
        <f>IF('Components Yr 1'!G16=0,0,'Components Yr 1'!G16)</f>
        <v>0</v>
      </c>
      <c r="H16" s="17">
        <f>IF('Components Yr 1'!H16=0,0,'Components Yr 1'!H16)</f>
        <v>0</v>
      </c>
      <c r="I16" s="17">
        <f>IF('Components Yr 1'!I16=0,0,'Components Yr 1'!I16)</f>
        <v>0</v>
      </c>
      <c r="J16" s="17">
        <f>IF('Components Yr 1'!J16=0,0,'Components Yr 1'!J16)</f>
        <v>0</v>
      </c>
      <c r="K16" s="17">
        <f>IF('Components Yr 1'!K16=0,0,'Components Yr 1'!K16)</f>
        <v>0</v>
      </c>
      <c r="L16" s="12"/>
      <c r="M16" s="12"/>
      <c r="N16" s="12"/>
      <c r="O16" s="12"/>
      <c r="P16" s="12"/>
      <c r="Q16" s="17"/>
      <c r="R16" s="18">
        <f>IF(SUMPRODUCT((E16:Q16)*1)=0,0,E16*INDEX(Hours!M:M,MATCH(C16,Hours!$A:$A,0))+F16*INDEX(Hours!B:B,MATCH(C16,Hours!$A:$A,0))+G16*INDEX(Hours!C:C,MATCH(C16,Hours!$A:$A,0))+H16*INDEX(Hours!D:D,MATCH(C16,Hours!$A:$A,0))+I16*INDEX(Hours!E:E,MATCH(C16,Hours!$A:$A,0))+J16*INDEX(Hours!F:F,MATCH(C16,Hours!$A:$A,0))+K16*INDEX(Hours!G:G,MATCH(C16,Hours!$A:$A,0)))</f>
        <v>0</v>
      </c>
      <c r="S16" s="19">
        <f t="shared" si="1"/>
        <v>0</v>
      </c>
    </row>
    <row r="17" spans="1:19" x14ac:dyDescent="0.25">
      <c r="A17" s="11" t="str">
        <f>'Bldgs &amp; Rooms'!$A$2</f>
        <v>Main Bldg.</v>
      </c>
      <c r="B17" s="11">
        <f>'Bldgs &amp; Rooms'!$B$2</f>
        <v>0</v>
      </c>
      <c r="C17" s="10" t="str">
        <f>Hours!$A$17</f>
        <v>Individual Molded Case Breaker &gt; 100A</v>
      </c>
      <c r="D17" s="11">
        <f t="shared" si="0"/>
        <v>0</v>
      </c>
      <c r="E17" s="16">
        <f>IF('Components Yr 1'!E17=0,0,'Components Yr 1'!E17)</f>
        <v>0</v>
      </c>
      <c r="F17" s="17">
        <f>IF('Components Yr 1'!F17=0,0,'Components Yr 1'!F17)</f>
        <v>0</v>
      </c>
      <c r="G17" s="17">
        <f>IF('Components Yr 1'!G17=0,0,'Components Yr 1'!G17)</f>
        <v>0</v>
      </c>
      <c r="H17" s="17">
        <f>IF('Components Yr 1'!H17=0,0,'Components Yr 1'!H17)</f>
        <v>0</v>
      </c>
      <c r="I17" s="17">
        <f>IF('Components Yr 1'!I17=0,0,'Components Yr 1'!I17)</f>
        <v>0</v>
      </c>
      <c r="J17" s="17">
        <f>IF('Components Yr 1'!J17=0,0,'Components Yr 1'!J17)</f>
        <v>0</v>
      </c>
      <c r="K17" s="17">
        <f>IF('Components Yr 1'!K17=0,0,'Components Yr 1'!K17)</f>
        <v>0</v>
      </c>
      <c r="L17" s="12"/>
      <c r="M17" s="12"/>
      <c r="N17" s="12"/>
      <c r="O17" s="12"/>
      <c r="P17" s="12"/>
      <c r="Q17" s="17"/>
      <c r="R17" s="18">
        <f>IF(SUMPRODUCT((E17:Q17)*1)=0,0,E17*INDEX(Hours!M:M,MATCH(C17,Hours!$A:$A,0))+F17*INDEX(Hours!B:B,MATCH(C17,Hours!$A:$A,0))+G17*INDEX(Hours!C:C,MATCH(C17,Hours!$A:$A,0))+H17*INDEX(Hours!D:D,MATCH(C17,Hours!$A:$A,0))+I17*INDEX(Hours!E:E,MATCH(C17,Hours!$A:$A,0))+J17*INDEX(Hours!F:F,MATCH(C17,Hours!$A:$A,0))+K17*INDEX(Hours!G:G,MATCH(C17,Hours!$A:$A,0)))</f>
        <v>0</v>
      </c>
      <c r="S17" s="19">
        <f t="shared" si="1"/>
        <v>0</v>
      </c>
    </row>
    <row r="18" spans="1:19" x14ac:dyDescent="0.25">
      <c r="A18" s="11" t="str">
        <f>'Bldgs &amp; Rooms'!$A$2</f>
        <v>Main Bldg.</v>
      </c>
      <c r="B18" s="11">
        <f>'Bldgs &amp; Rooms'!$B$2</f>
        <v>0</v>
      </c>
      <c r="C18" s="10" t="str">
        <f>Hours!$A$18</f>
        <v>Individual Combination Motor Starter &gt; 100A</v>
      </c>
      <c r="D18" s="11">
        <f t="shared" si="0"/>
        <v>0</v>
      </c>
      <c r="E18" s="16">
        <f>IF('Components Yr 1'!E18=0,0,'Components Yr 1'!E18)</f>
        <v>0</v>
      </c>
      <c r="F18" s="17">
        <f>IF('Components Yr 1'!F18=0,0,'Components Yr 1'!F18)</f>
        <v>0</v>
      </c>
      <c r="G18" s="17">
        <f>IF('Components Yr 1'!G18=0,0,'Components Yr 1'!G18)</f>
        <v>0</v>
      </c>
      <c r="H18" s="17">
        <f>IF('Components Yr 1'!H18=0,0,'Components Yr 1'!H18)</f>
        <v>0</v>
      </c>
      <c r="I18" s="17">
        <f>IF('Components Yr 1'!I18=0,0,'Components Yr 1'!I18)</f>
        <v>0</v>
      </c>
      <c r="J18" s="17">
        <f>IF('Components Yr 1'!J18=0,0,'Components Yr 1'!J18)</f>
        <v>0</v>
      </c>
      <c r="K18" s="17">
        <f>IF('Components Yr 1'!K18=0,0,'Components Yr 1'!K18)</f>
        <v>0</v>
      </c>
      <c r="L18" s="12"/>
      <c r="M18" s="12"/>
      <c r="N18" s="12"/>
      <c r="O18" s="12"/>
      <c r="P18" s="12"/>
      <c r="Q18" s="17"/>
      <c r="R18" s="18">
        <f>IF(SUMPRODUCT((E18:Q18)*1)=0,0,E18*INDEX(Hours!M:M,MATCH(C18,Hours!$A:$A,0))+F18*INDEX(Hours!B:B,MATCH(C18,Hours!$A:$A,0))+G18*INDEX(Hours!C:C,MATCH(C18,Hours!$A:$A,0))+H18*INDEX(Hours!D:D,MATCH(C18,Hours!$A:$A,0))+I18*INDEX(Hours!E:E,MATCH(C18,Hours!$A:$A,0))+J18*INDEX(Hours!F:F,MATCH(C18,Hours!$A:$A,0))+K18*INDEX(Hours!G:G,MATCH(C18,Hours!$A:$A,0)))</f>
        <v>0</v>
      </c>
      <c r="S18" s="19">
        <f t="shared" si="1"/>
        <v>0</v>
      </c>
    </row>
    <row r="19" spans="1:19" x14ac:dyDescent="0.25">
      <c r="A19" s="11" t="str">
        <f>'Bldgs &amp; Rooms'!$A$2</f>
        <v>Main Bldg.</v>
      </c>
      <c r="B19" s="11">
        <f>'Bldgs &amp; Rooms'!$B$2</f>
        <v>0</v>
      </c>
      <c r="C19" s="10" t="str">
        <f>Hours!$A$19</f>
        <v>Oil Filled Transformer - 5kV-15kV Primary - Any Size (Pad Mounted)</v>
      </c>
      <c r="D19" s="11">
        <f t="shared" si="0"/>
        <v>0</v>
      </c>
      <c r="E19" s="16">
        <f>IF('Components Yr 1'!E19=0,0,'Components Yr 1'!E19)</f>
        <v>0</v>
      </c>
      <c r="F19" s="17">
        <f>IF('Components Yr 1'!F19=0,0,'Components Yr 1'!F19)</f>
        <v>0</v>
      </c>
      <c r="G19" s="17">
        <f>IF('Components Yr 1'!G19=0,0,'Components Yr 1'!G19)</f>
        <v>0</v>
      </c>
      <c r="H19" s="17">
        <f>IF('Components Yr 1'!H19=0,0,'Components Yr 1'!H19)</f>
        <v>0</v>
      </c>
      <c r="I19" s="17">
        <f>IF('Components Yr 1'!I19=0,0,'Components Yr 1'!I19)</f>
        <v>0</v>
      </c>
      <c r="J19" s="17">
        <f>IF('Components Yr 1'!J19=0,0,'Components Yr 1'!J19)</f>
        <v>0</v>
      </c>
      <c r="K19" s="12"/>
      <c r="L19" s="12"/>
      <c r="M19" s="17">
        <f>IF('Components Yr 1'!M19=0,0,'Components Yr 1'!M19)</f>
        <v>0</v>
      </c>
      <c r="N19" s="17">
        <f>IF('Components Yr 1'!N19=0,0,'Components Yr 1'!N19)</f>
        <v>0</v>
      </c>
      <c r="O19" s="12"/>
      <c r="P19" s="17">
        <f>IF('Components Yr 1'!P19=0,0,'Components Yr 1'!P19)</f>
        <v>0</v>
      </c>
      <c r="Q19" s="17"/>
      <c r="R19" s="18">
        <f>IF(SUMPRODUCT((E19:Q19)*1)=0,0,E19*INDEX(Hours!M:M,MATCH(C19,Hours!$A:$A,0))+F19*INDEX(Hours!B:B,MATCH(C19,Hours!$A:$A,0))+G19*INDEX(Hours!C:C,MATCH(C19,Hours!$A:$A,0))+H19*INDEX(Hours!D:D,MATCH(C19,Hours!$A:$A,0))+I19*INDEX(Hours!E:E,MATCH(C19,Hours!$A:$A,0))+J19*INDEX(Hours!F:F,MATCH(C19,Hours!$A:$A,0))+M19*INDEX(Hours!I:I,MATCH(C19,Hours!$A:$A,0))+N19*INDEX(Hours!J:J,MATCH(C19,Hours!$A:$A,0))+P19*INDEX(Hours!L:L,MATCH(C19,Hours!$A:$A,0)))</f>
        <v>0</v>
      </c>
      <c r="S19" s="19">
        <f t="shared" si="1"/>
        <v>0</v>
      </c>
    </row>
    <row r="20" spans="1:19" x14ac:dyDescent="0.25">
      <c r="A20" s="11" t="str">
        <f>'Bldgs &amp; Rooms'!$A$2</f>
        <v>Main Bldg.</v>
      </c>
      <c r="B20" s="11">
        <f>'Bldgs &amp; Rooms'!$B$2</f>
        <v>0</v>
      </c>
      <c r="C20" s="10" t="str">
        <f>Hours!$A$20</f>
        <v>Oil Filled Transformer - &gt; 15kV Primary (Substation Class)</v>
      </c>
      <c r="D20" s="11">
        <f t="shared" si="0"/>
        <v>0</v>
      </c>
      <c r="E20" s="16">
        <f>IF('Components Yr 1'!E20=0,0,'Components Yr 1'!E20)</f>
        <v>0</v>
      </c>
      <c r="F20" s="17">
        <f>IF('Components Yr 1'!F20=0,0,'Components Yr 1'!F20)</f>
        <v>0</v>
      </c>
      <c r="G20" s="17">
        <f>IF('Components Yr 1'!G20=0,0,'Components Yr 1'!G20)</f>
        <v>0</v>
      </c>
      <c r="H20" s="17">
        <f>IF('Components Yr 1'!H20=0,0,'Components Yr 1'!H20)</f>
        <v>0</v>
      </c>
      <c r="I20" s="17">
        <f>IF('Components Yr 1'!I20=0,0,'Components Yr 1'!I20)</f>
        <v>0</v>
      </c>
      <c r="J20" s="17">
        <f>IF('Components Yr 1'!J20=0,0,'Components Yr 1'!J20)</f>
        <v>0</v>
      </c>
      <c r="K20" s="12"/>
      <c r="L20" s="12"/>
      <c r="M20" s="17">
        <f>IF('Components Yr 1'!M20=0,0,'Components Yr 1'!M20)</f>
        <v>0</v>
      </c>
      <c r="N20" s="17">
        <f>IF('Components Yr 1'!N20=0,0,'Components Yr 1'!N20)</f>
        <v>0</v>
      </c>
      <c r="O20" s="12"/>
      <c r="P20" s="17">
        <f>IF('Components Yr 1'!P20=0,0,'Components Yr 1'!P20)</f>
        <v>0</v>
      </c>
      <c r="Q20" s="17"/>
      <c r="R20" s="18">
        <f>IF(SUMPRODUCT((E20:Q20)*1)=0,0,E20*INDEX(Hours!M:M,MATCH(C20,Hours!$A:$A,0))+F20*INDEX(Hours!B:B,MATCH(C20,Hours!$A:$A,0))+G20*INDEX(Hours!C:C,MATCH(C20,Hours!$A:$A,0))+H20*INDEX(Hours!D:D,MATCH(C20,Hours!$A:$A,0))+I20*INDEX(Hours!E:E,MATCH(C20,Hours!$A:$A,0))+J20*INDEX(Hours!F:F,MATCH(C20,Hours!$A:$A,0))+M20*INDEX(Hours!I:I,MATCH(C20,Hours!$A:$A,0))+N20*INDEX(Hours!J:J,MATCH(C20,Hours!$A:$A,0))+P20*INDEX(Hours!L:L,MATCH(C20,Hours!$A:$A,0)))</f>
        <v>0</v>
      </c>
      <c r="S20" s="19">
        <f t="shared" si="1"/>
        <v>0</v>
      </c>
    </row>
    <row r="21" spans="1:19" x14ac:dyDescent="0.25">
      <c r="A21" s="11" t="str">
        <f>'Bldgs &amp; Rooms'!$A$2</f>
        <v>Main Bldg.</v>
      </c>
      <c r="B21" s="11">
        <f>'Bldgs &amp; Rooms'!$B$2</f>
        <v>0</v>
      </c>
      <c r="C21" s="10" t="str">
        <f>Hours!$A$21</f>
        <v>Dry Type Transformer - &lt; 480V Primary - Any Size kVA</v>
      </c>
      <c r="D21" s="11">
        <f t="shared" si="0"/>
        <v>0</v>
      </c>
      <c r="E21" s="16">
        <f>IF('Components Yr 1'!E21=0,0,'Components Yr 1'!E21)</f>
        <v>0</v>
      </c>
      <c r="F21" s="17">
        <f>IF('Components Yr 1'!F21=0,0,'Components Yr 1'!F21)</f>
        <v>0</v>
      </c>
      <c r="G21" s="17">
        <f>IF('Components Yr 1'!G21=0,0,'Components Yr 1'!G21)</f>
        <v>0</v>
      </c>
      <c r="H21" s="17">
        <f>IF('Components Yr 1'!H21=0,0,'Components Yr 1'!H21)</f>
        <v>0</v>
      </c>
      <c r="I21" s="17">
        <f>IF('Components Yr 1'!I21=0,0,'Components Yr 1'!I21)</f>
        <v>0</v>
      </c>
      <c r="J21" s="17">
        <f>IF('Components Yr 1'!J21=0,0,'Components Yr 1'!J21)</f>
        <v>0</v>
      </c>
      <c r="K21" s="12"/>
      <c r="L21" s="12"/>
      <c r="M21" s="17">
        <f>IF('Components Yr 1'!M21=0,0,'Components Yr 1'!M21)</f>
        <v>0</v>
      </c>
      <c r="N21" s="17">
        <f>IF('Components Yr 1'!N21=0,0,'Components Yr 1'!N21)</f>
        <v>0</v>
      </c>
      <c r="O21" s="12"/>
      <c r="P21" s="12"/>
      <c r="Q21" s="17"/>
      <c r="R21" s="18">
        <f>IF(SUMPRODUCT((E21:Q21)*1)=0,0,E21*INDEX(Hours!M:M,MATCH(C21,Hours!$A:$A,0))+F21*INDEX(Hours!B:B,MATCH(C21,Hours!$A:$A,0))+G21*INDEX(Hours!C:C,MATCH(C21,Hours!$A:$A,0))+H21*INDEX(Hours!D:D,MATCH(C21,Hours!$A:$A,0))+I21*INDEX(Hours!E:E,MATCH(C21,Hours!$A:$A,0))+J21*INDEX(Hours!F:F,MATCH(C21,Hours!$A:$A,0))+M21*INDEX(Hours!I:I,MATCH(C21,Hours!$A:$A,0))+N21*INDEX(Hours!J:J,MATCH(C21,Hours!$A:$A,0)))</f>
        <v>0</v>
      </c>
      <c r="S21" s="19">
        <f t="shared" si="1"/>
        <v>0</v>
      </c>
    </row>
    <row r="22" spans="1:19" x14ac:dyDescent="0.25">
      <c r="A22" s="11" t="str">
        <f>'Bldgs &amp; Rooms'!$A$2</f>
        <v>Main Bldg.</v>
      </c>
      <c r="B22" s="11">
        <f>'Bldgs &amp; Rooms'!$B$2</f>
        <v>0</v>
      </c>
      <c r="C22" s="10" t="str">
        <f>Hours!$A$22</f>
        <v>Power Factor Correction Capacitors</v>
      </c>
      <c r="D22" s="11">
        <f t="shared" si="0"/>
        <v>0</v>
      </c>
      <c r="E22" s="16">
        <f>IF('Components Yr 1'!E22=0,0,'Components Yr 1'!E22)</f>
        <v>0</v>
      </c>
      <c r="F22" s="17">
        <f>IF('Components Yr 1'!F22=0,0,'Components Yr 1'!F22)</f>
        <v>0</v>
      </c>
      <c r="G22" s="17">
        <f>IF('Components Yr 1'!G22=0,0,'Components Yr 1'!G22)</f>
        <v>0</v>
      </c>
      <c r="H22" s="17">
        <f>IF('Components Yr 1'!H22=0,0,'Components Yr 1'!H22)</f>
        <v>0</v>
      </c>
      <c r="I22" s="17">
        <f>IF('Components Yr 1'!I22=0,0,'Components Yr 1'!I22)</f>
        <v>0</v>
      </c>
      <c r="J22" s="17">
        <f>IF('Components Yr 1'!J22=0,0,'Components Yr 1'!J22)</f>
        <v>0</v>
      </c>
      <c r="K22" s="12"/>
      <c r="L22" s="12"/>
      <c r="M22" s="12"/>
      <c r="N22" s="12"/>
      <c r="O22" s="12"/>
      <c r="P22" s="12"/>
      <c r="Q22" s="17"/>
      <c r="R22" s="18">
        <f>IF(SUMPRODUCT((E22:Q22)*1)=0,0,E22*INDEX(Hours!M:M,MATCH(C22,Hours!$A:$A,0))+F22*INDEX(Hours!B:B,MATCH(C22,Hours!$A:$A,0))+G22*INDEX(Hours!C:C,MATCH(C22,Hours!$A:$A,0))+H22*INDEX(Hours!D:D,MATCH(C22,Hours!$A:$A,0))+I22*INDEX(Hours!E:E,MATCH(C22,Hours!$A:$A,0))+J22*INDEX(Hours!F:F,MATCH(C22,Hours!$A:$A,0)))</f>
        <v>0</v>
      </c>
      <c r="S22" s="19">
        <f t="shared" si="1"/>
        <v>0</v>
      </c>
    </row>
    <row r="23" spans="1:19" x14ac:dyDescent="0.25">
      <c r="A23" s="11" t="str">
        <f>'Bldgs &amp; Rooms'!$A$2</f>
        <v>Main Bldg.</v>
      </c>
      <c r="B23" s="11">
        <f>'Bldgs &amp; Rooms'!$B$2</f>
        <v>0</v>
      </c>
      <c r="C23" s="10" t="str">
        <f>Hours!$A$23</f>
        <v>Lighting Contactor &gt; 100A</v>
      </c>
      <c r="D23" s="11">
        <f t="shared" si="0"/>
        <v>0</v>
      </c>
      <c r="E23" s="16">
        <f>IF('Components Yr 1'!E23=0,0,'Components Yr 1'!E23)</f>
        <v>0</v>
      </c>
      <c r="F23" s="17">
        <f>IF('Components Yr 1'!F23=0,0,'Components Yr 1'!F23)</f>
        <v>0</v>
      </c>
      <c r="G23" s="17">
        <f>IF('Components Yr 1'!G23=0,0,'Components Yr 1'!G23)</f>
        <v>0</v>
      </c>
      <c r="H23" s="17">
        <f>IF('Components Yr 1'!H23=0,0,'Components Yr 1'!H23)</f>
        <v>0</v>
      </c>
      <c r="I23" s="17">
        <f>IF('Components Yr 1'!I23=0,0,'Components Yr 1'!I23)</f>
        <v>0</v>
      </c>
      <c r="J23" s="17">
        <f>IF('Components Yr 1'!J23=0,0,'Components Yr 1'!J23)</f>
        <v>0</v>
      </c>
      <c r="K23" s="12"/>
      <c r="L23" s="12"/>
      <c r="M23" s="12"/>
      <c r="N23" s="12"/>
      <c r="O23" s="12"/>
      <c r="P23" s="12"/>
      <c r="Q23" s="17"/>
      <c r="R23" s="18">
        <f>IF(SUMPRODUCT((E23:Q23)*1)=0,0,E23*INDEX(Hours!M:M,MATCH(C23,Hours!$A:$A,0))+F23*INDEX(Hours!B:B,MATCH(C23,Hours!$A:$A,0))+G23*INDEX(Hours!C:C,MATCH(C23,Hours!$A:$A,0))+H23*INDEX(Hours!D:D,MATCH(C23,Hours!$A:$A,0))+I23*INDEX(Hours!E:E,MATCH(C23,Hours!$A:$A,0))+J23*INDEX(Hours!F:F,MATCH(C23,Hours!$A:$A,0)))</f>
        <v>0</v>
      </c>
      <c r="S23" s="19">
        <f t="shared" si="1"/>
        <v>0</v>
      </c>
    </row>
    <row r="24" spans="1:19" x14ac:dyDescent="0.25">
      <c r="A24" s="11" t="str">
        <f>'Bldgs &amp; Rooms'!$A$2</f>
        <v>Main Bldg.</v>
      </c>
      <c r="B24" s="11">
        <f>'Bldgs &amp; Rooms'!$B$2</f>
        <v>0</v>
      </c>
      <c r="C24" s="10" t="str">
        <f>Hours!$A$24</f>
        <v>Power Distribution Unit (PDU)</v>
      </c>
      <c r="D24" s="11">
        <f t="shared" si="0"/>
        <v>0</v>
      </c>
      <c r="E24" s="16">
        <f>IF('Components Yr 1'!E24=0,0,'Components Yr 1'!E24)</f>
        <v>0</v>
      </c>
      <c r="F24" s="17">
        <f>IF('Components Yr 1'!F24=0,0,'Components Yr 1'!F24)</f>
        <v>0</v>
      </c>
      <c r="G24" s="17">
        <f>IF('Components Yr 1'!G24=0,0,'Components Yr 1'!G24)</f>
        <v>0</v>
      </c>
      <c r="H24" s="17">
        <f>IF('Components Yr 1'!H24=0,0,'Components Yr 1'!H24)</f>
        <v>0</v>
      </c>
      <c r="I24" s="17">
        <f>IF('Components Yr 1'!I24=0,0,'Components Yr 1'!I24)</f>
        <v>0</v>
      </c>
      <c r="J24" s="17">
        <f>IF('Components Yr 1'!J24=0,0,'Components Yr 1'!J24)</f>
        <v>0</v>
      </c>
      <c r="K24" s="12"/>
      <c r="L24" s="12"/>
      <c r="M24" s="12"/>
      <c r="N24" s="12"/>
      <c r="O24" s="12"/>
      <c r="P24" s="12"/>
      <c r="Q24" s="17"/>
      <c r="R24" s="18">
        <f>IF(SUMPRODUCT((E24:Q24)*1)=0,0,E24*INDEX(Hours!M:M,MATCH(C24,Hours!$A:$A,0))+F24*INDEX(Hours!B:B,MATCH(C24,Hours!$A:$A,0))+G24*INDEX(Hours!C:C,MATCH(C24,Hours!$A:$A,0))+H24*INDEX(Hours!D:D,MATCH(C24,Hours!$A:$A,0))+I24*INDEX(Hours!E:E,MATCH(C24,Hours!$A:$A,0))+J24*INDEX(Hours!F:F,MATCH(C24,Hours!$A:$A,0)))</f>
        <v>0</v>
      </c>
      <c r="S24" s="19">
        <f t="shared" si="1"/>
        <v>0</v>
      </c>
    </row>
    <row r="25" spans="1:19" x14ac:dyDescent="0.25">
      <c r="A25" s="11" t="str">
        <f>'Bldgs &amp; Rooms'!$A$2</f>
        <v>Main Bldg.</v>
      </c>
      <c r="B25" s="11">
        <f>'Bldgs &amp; Rooms'!$B$2</f>
        <v>0</v>
      </c>
      <c r="C25" s="10" t="str">
        <f>Hours!$A$25</f>
        <v>Wire Trough, Gutter, or Large Junction Boxes</v>
      </c>
      <c r="D25" s="11">
        <f t="shared" si="0"/>
        <v>0</v>
      </c>
      <c r="E25" s="16">
        <f>IF('Components Yr 1'!E25=0,0,'Components Yr 1'!E25)</f>
        <v>0</v>
      </c>
      <c r="F25" s="17">
        <f>IF('Components Yr 1'!F25=0,0,'Components Yr 1'!F25)</f>
        <v>0</v>
      </c>
      <c r="G25" s="17">
        <f>IF('Components Yr 1'!G25=0,0,'Components Yr 1'!G25)</f>
        <v>0</v>
      </c>
      <c r="H25" s="17">
        <f>IF('Components Yr 1'!H25=0,0,'Components Yr 1'!H25)</f>
        <v>0</v>
      </c>
      <c r="I25" s="17">
        <f>IF('Components Yr 1'!I25=0,0,'Components Yr 1'!I25)</f>
        <v>0</v>
      </c>
      <c r="J25" s="17">
        <f>IF('Components Yr 1'!J25=0,0,'Components Yr 1'!J25)</f>
        <v>0</v>
      </c>
      <c r="K25" s="12"/>
      <c r="L25" s="12"/>
      <c r="M25" s="12"/>
      <c r="N25" s="12"/>
      <c r="O25" s="12"/>
      <c r="P25" s="12"/>
      <c r="Q25" s="17"/>
      <c r="R25" s="18">
        <f>IF(SUMPRODUCT((E25:Q25)*1)=0,0,E25*INDEX(Hours!M:M,MATCH(C25,Hours!$A:$A,0))+F25*INDEX(Hours!B:B,MATCH(C25,Hours!$A:$A,0))+G25*INDEX(Hours!C:C,MATCH(C25,Hours!$A:$A,0))+H25*INDEX(Hours!D:D,MATCH(C25,Hours!$A:$A,0))+I25*INDEX(Hours!E:E,MATCH(C25,Hours!$A:$A,0))+J25*INDEX(Hours!F:F,MATCH(C25,Hours!$A:$A,0)))</f>
        <v>0</v>
      </c>
      <c r="S25" s="19">
        <f t="shared" si="1"/>
        <v>0</v>
      </c>
    </row>
    <row r="26" spans="1:19" x14ac:dyDescent="0.25">
      <c r="A26" s="11" t="str">
        <f>'Bldgs &amp; Rooms'!$A$2</f>
        <v>Main Bldg.</v>
      </c>
      <c r="B26" s="11">
        <f>'Bldgs &amp; Rooms'!$B$2</f>
        <v>0</v>
      </c>
      <c r="C26" s="10" t="str">
        <f>Hours!$A$26</f>
        <v>Bus Duct - Vertical or Horizontal (Per 10' section)</v>
      </c>
      <c r="D26" s="11">
        <f t="shared" si="0"/>
        <v>0</v>
      </c>
      <c r="E26" s="16">
        <f>IF('Components Yr 1'!E26=0,0,'Components Yr 1'!E26)</f>
        <v>0</v>
      </c>
      <c r="F26" s="17">
        <f>IF('Components Yr 1'!F26=0,0,'Components Yr 1'!F26)</f>
        <v>0</v>
      </c>
      <c r="G26" s="17">
        <f>IF('Components Yr 1'!G26=0,0,'Components Yr 1'!G26)</f>
        <v>0</v>
      </c>
      <c r="H26" s="17">
        <f>IF('Components Yr 1'!H26=0,0,'Components Yr 1'!H26)</f>
        <v>0</v>
      </c>
      <c r="I26" s="17">
        <f>IF('Components Yr 1'!I26=0,0,'Components Yr 1'!I26)</f>
        <v>0</v>
      </c>
      <c r="J26" s="17">
        <f>IF('Components Yr 1'!J26=0,0,'Components Yr 1'!J26)</f>
        <v>0</v>
      </c>
      <c r="K26" s="12"/>
      <c r="L26" s="12"/>
      <c r="M26" s="12"/>
      <c r="N26" s="12"/>
      <c r="O26" s="12"/>
      <c r="P26" s="12"/>
      <c r="Q26" s="17"/>
      <c r="R26" s="18">
        <f>IF(SUMPRODUCT((E26:Q26)*1)=0,0,E26*INDEX(Hours!M:M,MATCH(C26,Hours!$A:$A,0))+F26*INDEX(Hours!B:B,MATCH(C26,Hours!$A:$A,0))+G26*INDEX(Hours!C:C,MATCH(C26,Hours!$A:$A,0))+H26*INDEX(Hours!D:D,MATCH(C26,Hours!$A:$A,0))+I26*INDEX(Hours!E:E,MATCH(C26,Hours!$A:$A,0))+J26*INDEX(Hours!F:F,MATCH(C26,Hours!$A:$A,0)))</f>
        <v>0</v>
      </c>
      <c r="S26" s="19">
        <f t="shared" si="1"/>
        <v>0</v>
      </c>
    </row>
    <row r="27" spans="1:19" x14ac:dyDescent="0.25">
      <c r="A27" s="11" t="str">
        <f>'Bldgs &amp; Rooms'!$A$2</f>
        <v>Main Bldg.</v>
      </c>
      <c r="B27" s="11">
        <f>'Bldgs &amp; Rooms'!$B$2</f>
        <v>0</v>
      </c>
      <c r="C27" s="10" t="str">
        <f>Hours!$A$27</f>
        <v>Automatic Transfer Switch (ATS) &gt; 100A</v>
      </c>
      <c r="D27" s="11">
        <f t="shared" si="0"/>
        <v>0</v>
      </c>
      <c r="E27" s="16">
        <f>IF('Components Yr 1'!E27=0,0,'Components Yr 1'!E27)</f>
        <v>0</v>
      </c>
      <c r="F27" s="17">
        <f>IF('Components Yr 1'!F27=0,0,'Components Yr 1'!F27)</f>
        <v>0</v>
      </c>
      <c r="G27" s="17">
        <f>IF('Components Yr 1'!G27=0,0,'Components Yr 1'!G27)</f>
        <v>0</v>
      </c>
      <c r="H27" s="17">
        <f>IF('Components Yr 1'!H27=0,0,'Components Yr 1'!H27)</f>
        <v>0</v>
      </c>
      <c r="I27" s="17">
        <f>IF('Components Yr 1'!I27=0,0,'Components Yr 1'!I27)</f>
        <v>0</v>
      </c>
      <c r="J27" s="17">
        <f>IF('Components Yr 1'!J27=0,0,'Components Yr 1'!J27)</f>
        <v>0</v>
      </c>
      <c r="K27" s="12"/>
      <c r="L27" s="12"/>
      <c r="M27" s="12"/>
      <c r="N27" s="12"/>
      <c r="O27" s="12"/>
      <c r="P27" s="12"/>
      <c r="Q27" s="17"/>
      <c r="R27" s="18">
        <f>IF(SUMPRODUCT((E27:Q27)*1)=0,0,E27*INDEX(Hours!M:M,MATCH(C27,Hours!$A:$A,0))+F27*INDEX(Hours!B:B,MATCH(C27,Hours!$A:$A,0))+G27*INDEX(Hours!C:C,MATCH(C27,Hours!$A:$A,0))+H27*INDEX(Hours!D:D,MATCH(C27,Hours!$A:$A,0))+I27*INDEX(Hours!E:E,MATCH(C27,Hours!$A:$A,0))+J27*INDEX(Hours!F:F,MATCH(C27,Hours!$A:$A,0)))</f>
        <v>0</v>
      </c>
      <c r="S27" s="19">
        <f t="shared" si="1"/>
        <v>0</v>
      </c>
    </row>
    <row r="28" spans="1:19" x14ac:dyDescent="0.25">
      <c r="A28" s="11" t="str">
        <f>'Bldgs &amp; Rooms'!$A$2</f>
        <v>Main Bldg.</v>
      </c>
      <c r="B28" s="11">
        <f>'Bldgs &amp; Rooms'!$B$2</f>
        <v>0</v>
      </c>
      <c r="C28" s="10" t="str">
        <f>Hours!$A$28</f>
        <v>Manual Transfer Switch (MTS) &gt; 100A</v>
      </c>
      <c r="D28" s="11">
        <f t="shared" si="0"/>
        <v>0</v>
      </c>
      <c r="E28" s="16">
        <f>IF('Components Yr 1'!E28=0,0,'Components Yr 1'!E28)</f>
        <v>0</v>
      </c>
      <c r="F28" s="17">
        <f>IF('Components Yr 1'!F28=0,0,'Components Yr 1'!F28)</f>
        <v>0</v>
      </c>
      <c r="G28" s="17">
        <f>IF('Components Yr 1'!G28=0,0,'Components Yr 1'!G28)</f>
        <v>0</v>
      </c>
      <c r="H28" s="17">
        <f>IF('Components Yr 1'!H28=0,0,'Components Yr 1'!H28)</f>
        <v>0</v>
      </c>
      <c r="I28" s="17">
        <f>IF('Components Yr 1'!I28=0,0,'Components Yr 1'!I28)</f>
        <v>0</v>
      </c>
      <c r="J28" s="17">
        <f>IF('Components Yr 1'!J28=0,0,'Components Yr 1'!J28)</f>
        <v>0</v>
      </c>
      <c r="K28" s="12"/>
      <c r="L28" s="12"/>
      <c r="M28" s="12"/>
      <c r="N28" s="12"/>
      <c r="O28" s="12"/>
      <c r="P28" s="12"/>
      <c r="Q28" s="17"/>
      <c r="R28" s="18">
        <f>IF(SUMPRODUCT((E28:Q28)*1)=0,0,E28*INDEX(Hours!M:M,MATCH(C28,Hours!$A:$A,0))+F28*INDEX(Hours!B:B,MATCH(C28,Hours!$A:$A,0))+G28*INDEX(Hours!C:C,MATCH(C28,Hours!$A:$A,0))+H28*INDEX(Hours!D:D,MATCH(C28,Hours!$A:$A,0))+I28*INDEX(Hours!E:E,MATCH(C28,Hours!$A:$A,0))+J28*INDEX(Hours!F:F,MATCH(C28,Hours!$A:$A,0)))</f>
        <v>0</v>
      </c>
      <c r="S28" s="19">
        <f t="shared" si="1"/>
        <v>0</v>
      </c>
    </row>
    <row r="29" spans="1:19" x14ac:dyDescent="0.25">
      <c r="A29" s="11" t="str">
        <f>'Bldgs &amp; Rooms'!$A$2</f>
        <v>Main Bldg.</v>
      </c>
      <c r="B29" s="11">
        <f>'Bldgs &amp; Rooms'!$B$2</f>
        <v>0</v>
      </c>
      <c r="C29" s="10" t="str">
        <f>Hours!$A$29</f>
        <v>Variable Frequency Drives (VFD) &lt; 50 HP</v>
      </c>
      <c r="D29" s="11">
        <f t="shared" si="0"/>
        <v>0</v>
      </c>
      <c r="E29" s="16">
        <f>IF('Components Yr 1'!E29=0,0,'Components Yr 1'!E29)</f>
        <v>0</v>
      </c>
      <c r="F29" s="17">
        <f>IF('Components Yr 1'!F29=0,0,'Components Yr 1'!F29)</f>
        <v>0</v>
      </c>
      <c r="G29" s="17">
        <f>IF('Components Yr 1'!G29=0,0,'Components Yr 1'!G29)</f>
        <v>0</v>
      </c>
      <c r="H29" s="17">
        <f>IF('Components Yr 1'!H29=0,0,'Components Yr 1'!H29)</f>
        <v>0</v>
      </c>
      <c r="I29" s="17">
        <f>IF('Components Yr 1'!I29=0,0,'Components Yr 1'!I29)</f>
        <v>0</v>
      </c>
      <c r="J29" s="17">
        <f>IF('Components Yr 1'!J29=0,0,'Components Yr 1'!J29)</f>
        <v>0</v>
      </c>
      <c r="K29" s="12"/>
      <c r="L29" s="12"/>
      <c r="M29" s="12"/>
      <c r="N29" s="12"/>
      <c r="O29" s="12"/>
      <c r="P29" s="12"/>
      <c r="Q29" s="17"/>
      <c r="R29" s="18">
        <f>IF(SUMPRODUCT((E29:Q29)*1)=0,0,E29*INDEX(Hours!M:M,MATCH(C29,Hours!$A:$A,0))+F29*INDEX(Hours!B:B,MATCH(C29,Hours!$A:$A,0))+G29*INDEX(Hours!C:C,MATCH(C29,Hours!$A:$A,0))+H29*INDEX(Hours!D:D,MATCH(C29,Hours!$A:$A,0))+I29*INDEX(Hours!E:E,MATCH(C29,Hours!$A:$A,0))+J29*INDEX(Hours!F:F,MATCH(C29,Hours!$A:$A,0)))</f>
        <v>0</v>
      </c>
      <c r="S29" s="19">
        <f t="shared" si="1"/>
        <v>0</v>
      </c>
    </row>
    <row r="30" spans="1:19" x14ac:dyDescent="0.25">
      <c r="A30" s="11" t="str">
        <f>'Bldgs &amp; Rooms'!$A$2</f>
        <v>Main Bldg.</v>
      </c>
      <c r="B30" s="11">
        <f>'Bldgs &amp; Rooms'!$B$2</f>
        <v>0</v>
      </c>
      <c r="C30" s="10" t="str">
        <f>Hours!$A$30</f>
        <v>Variable Frequency Drives (VFD) 51-200 HP</v>
      </c>
      <c r="D30" s="11">
        <f t="shared" si="0"/>
        <v>0</v>
      </c>
      <c r="E30" s="16">
        <f>IF('Components Yr 1'!E30=0,0,'Components Yr 1'!E30)</f>
        <v>0</v>
      </c>
      <c r="F30" s="17">
        <f>IF('Components Yr 1'!F30=0,0,'Components Yr 1'!F30)</f>
        <v>0</v>
      </c>
      <c r="G30" s="17">
        <f>IF('Components Yr 1'!G30=0,0,'Components Yr 1'!G30)</f>
        <v>0</v>
      </c>
      <c r="H30" s="17">
        <f>IF('Components Yr 1'!H30=0,0,'Components Yr 1'!H30)</f>
        <v>0</v>
      </c>
      <c r="I30" s="17">
        <f>IF('Components Yr 1'!I30=0,0,'Components Yr 1'!I30)</f>
        <v>0</v>
      </c>
      <c r="J30" s="17">
        <f>IF('Components Yr 1'!J30=0,0,'Components Yr 1'!J30)</f>
        <v>0</v>
      </c>
      <c r="K30" s="12"/>
      <c r="L30" s="12"/>
      <c r="M30" s="12"/>
      <c r="N30" s="12"/>
      <c r="O30" s="12"/>
      <c r="P30" s="12"/>
      <c r="Q30" s="17"/>
      <c r="R30" s="18">
        <f>IF(SUMPRODUCT((E30:Q30)*1)=0,0,E30*INDEX(Hours!M:M,MATCH(C30,Hours!$A:$A,0))+F30*INDEX(Hours!B:B,MATCH(C30,Hours!$A:$A,0))+G30*INDEX(Hours!C:C,MATCH(C30,Hours!$A:$A,0))+H30*INDEX(Hours!D:D,MATCH(C30,Hours!$A:$A,0))+I30*INDEX(Hours!E:E,MATCH(C30,Hours!$A:$A,0))+J30*INDEX(Hours!F:F,MATCH(C30,Hours!$A:$A,0)))</f>
        <v>0</v>
      </c>
      <c r="S30" s="19">
        <f t="shared" si="1"/>
        <v>0</v>
      </c>
    </row>
    <row r="31" spans="1:19" x14ac:dyDescent="0.25">
      <c r="A31" s="11" t="str">
        <f>'Bldgs &amp; Rooms'!$A$2</f>
        <v>Main Bldg.</v>
      </c>
      <c r="B31" s="11">
        <f>'Bldgs &amp; Rooms'!$B$2</f>
        <v>0</v>
      </c>
      <c r="C31" s="10" t="str">
        <f>Hours!$A$31</f>
        <v>Motors &lt; 50 HP</v>
      </c>
      <c r="D31" s="11">
        <f t="shared" si="0"/>
        <v>0</v>
      </c>
      <c r="E31" s="16">
        <f>IF('Components Yr 1'!E31=0,0,'Components Yr 1'!E31)</f>
        <v>0</v>
      </c>
      <c r="F31" s="17">
        <f>IF('Components Yr 1'!F31=0,0,'Components Yr 1'!F31)</f>
        <v>0</v>
      </c>
      <c r="G31" s="17">
        <f>IF('Components Yr 1'!G31=0,0,'Components Yr 1'!G31)</f>
        <v>0</v>
      </c>
      <c r="H31" s="17">
        <f>IF('Components Yr 1'!H31=0,0,'Components Yr 1'!H31)</f>
        <v>0</v>
      </c>
      <c r="I31" s="17">
        <f>IF('Components Yr 1'!I31=0,0,'Components Yr 1'!I31)</f>
        <v>0</v>
      </c>
      <c r="J31" s="17">
        <f>IF('Components Yr 1'!J31=0,0,'Components Yr 1'!J31)</f>
        <v>0</v>
      </c>
      <c r="K31" s="12"/>
      <c r="L31" s="12"/>
      <c r="M31" s="12"/>
      <c r="N31" s="12"/>
      <c r="O31" s="12"/>
      <c r="P31" s="12"/>
      <c r="Q31" s="17"/>
      <c r="R31" s="18">
        <f>IF(SUMPRODUCT((E31:Q31)*1)=0,0,E31*INDEX(Hours!M:M,MATCH(C31,Hours!$A:$A,0))+F31*INDEX(Hours!B:B,MATCH(C31,Hours!$A:$A,0))+G31*INDEX(Hours!C:C,MATCH(C31,Hours!$A:$A,0))+H31*INDEX(Hours!D:D,MATCH(C31,Hours!$A:$A,0))+I31*INDEX(Hours!E:E,MATCH(C31,Hours!$A:$A,0))+J31*INDEX(Hours!F:F,MATCH(C31,Hours!$A:$A,0)))</f>
        <v>0</v>
      </c>
      <c r="S31" s="19">
        <f t="shared" si="1"/>
        <v>0</v>
      </c>
    </row>
    <row r="32" spans="1:19" x14ac:dyDescent="0.25">
      <c r="A32" s="11" t="str">
        <f>'Bldgs &amp; Rooms'!$A$2</f>
        <v>Main Bldg.</v>
      </c>
      <c r="B32" s="11">
        <f>'Bldgs &amp; Rooms'!$B$2</f>
        <v>0</v>
      </c>
      <c r="C32" s="10" t="str">
        <f>Hours!$A$32</f>
        <v>Motors 51-200 HP</v>
      </c>
      <c r="D32" s="11">
        <f t="shared" si="0"/>
        <v>0</v>
      </c>
      <c r="E32" s="16">
        <f>IF('Components Yr 1'!E32=0,0,'Components Yr 1'!E32)</f>
        <v>0</v>
      </c>
      <c r="F32" s="17">
        <f>IF('Components Yr 1'!F32=0,0,'Components Yr 1'!F32)</f>
        <v>0</v>
      </c>
      <c r="G32" s="17">
        <f>IF('Components Yr 1'!G32=0,0,'Components Yr 1'!G32)</f>
        <v>0</v>
      </c>
      <c r="H32" s="17">
        <f>IF('Components Yr 1'!H32=0,0,'Components Yr 1'!H32)</f>
        <v>0</v>
      </c>
      <c r="I32" s="17">
        <f>IF('Components Yr 1'!I32=0,0,'Components Yr 1'!I32)</f>
        <v>0</v>
      </c>
      <c r="J32" s="17">
        <f>IF('Components Yr 1'!J32=0,0,'Components Yr 1'!J32)</f>
        <v>0</v>
      </c>
      <c r="K32" s="12"/>
      <c r="L32" s="12"/>
      <c r="M32" s="12"/>
      <c r="N32" s="12"/>
      <c r="O32" s="12"/>
      <c r="P32" s="12"/>
      <c r="Q32" s="17"/>
      <c r="R32" s="18">
        <f>IF(SUMPRODUCT((E32:Q32)*1)=0,0,E32*INDEX(Hours!M:M,MATCH(C32,Hours!$A:$A,0))+F32*INDEX(Hours!B:B,MATCH(C32,Hours!$A:$A,0))+G32*INDEX(Hours!C:C,MATCH(C32,Hours!$A:$A,0))+H32*INDEX(Hours!D:D,MATCH(C32,Hours!$A:$A,0))+I32*INDEX(Hours!E:E,MATCH(C32,Hours!$A:$A,0))+J32*INDEX(Hours!F:F,MATCH(C32,Hours!$A:$A,0)))</f>
        <v>0</v>
      </c>
      <c r="S32" s="19">
        <f t="shared" si="1"/>
        <v>0</v>
      </c>
    </row>
    <row r="33" spans="1:19" x14ac:dyDescent="0.25">
      <c r="A33" s="11" t="str">
        <f>'Bldgs &amp; Rooms'!$A$2</f>
        <v>Main Bldg.</v>
      </c>
      <c r="B33" s="11">
        <f>'Bldgs &amp; Rooms'!$B$2</f>
        <v>0</v>
      </c>
      <c r="C33" s="10" t="str">
        <f>Hours!$A$33</f>
        <v>Motors 201-500 HP</v>
      </c>
      <c r="D33" s="11">
        <f t="shared" si="0"/>
        <v>0</v>
      </c>
      <c r="E33" s="16">
        <f>IF('Components Yr 1'!E33=0,0,'Components Yr 1'!E33)</f>
        <v>0</v>
      </c>
      <c r="F33" s="17">
        <f>IF('Components Yr 1'!F33=0,0,'Components Yr 1'!F33)</f>
        <v>0</v>
      </c>
      <c r="G33" s="17">
        <f>IF('Components Yr 1'!G33=0,0,'Components Yr 1'!G33)</f>
        <v>0</v>
      </c>
      <c r="H33" s="17">
        <f>IF('Components Yr 1'!H33=0,0,'Components Yr 1'!H33)</f>
        <v>0</v>
      </c>
      <c r="I33" s="17">
        <f>IF('Components Yr 1'!I33=0,0,'Components Yr 1'!I33)</f>
        <v>0</v>
      </c>
      <c r="J33" s="17">
        <f>IF('Components Yr 1'!J33=0,0,'Components Yr 1'!J33)</f>
        <v>0</v>
      </c>
      <c r="K33" s="12"/>
      <c r="L33" s="12"/>
      <c r="M33" s="12"/>
      <c r="N33" s="12"/>
      <c r="O33" s="12"/>
      <c r="P33" s="12"/>
      <c r="Q33" s="17"/>
      <c r="R33" s="18">
        <f>IF(SUMPRODUCT((E33:Q33)*1)=0,0,E33*INDEX(Hours!M:M,MATCH(C33,Hours!$A:$A,0))+F33*INDEX(Hours!B:B,MATCH(C33,Hours!$A:$A,0))+G33*INDEX(Hours!C:C,MATCH(C33,Hours!$A:$A,0))+H33*INDEX(Hours!D:D,MATCH(C33,Hours!$A:$A,0))+I33*INDEX(Hours!E:E,MATCH(C33,Hours!$A:$A,0))+J33*INDEX(Hours!F:F,MATCH(C33,Hours!$A:$A,0)))</f>
        <v>0</v>
      </c>
      <c r="S33" s="19">
        <f t="shared" si="1"/>
        <v>0</v>
      </c>
    </row>
    <row r="34" spans="1:19" x14ac:dyDescent="0.25">
      <c r="A34" s="11" t="str">
        <f>'Bldgs &amp; Rooms'!$A$2</f>
        <v>Main Bldg.</v>
      </c>
      <c r="B34" s="11">
        <f>'Bldgs &amp; Rooms'!$B$2</f>
        <v>0</v>
      </c>
      <c r="C34" s="10" t="str">
        <f>Hours!$A$34</f>
        <v>Compressed Air Equipment</v>
      </c>
      <c r="D34" s="11">
        <f t="shared" si="0"/>
        <v>0</v>
      </c>
      <c r="E34" s="16">
        <f>IF('Components Yr 1'!E34=0,0,'Components Yr 1'!E34)</f>
        <v>0</v>
      </c>
      <c r="F34" s="17">
        <f>IF('Components Yr 1'!F34=0,0,'Components Yr 1'!F34)</f>
        <v>0</v>
      </c>
      <c r="G34" s="17">
        <f>IF('Components Yr 1'!G34=0,0,'Components Yr 1'!G34)</f>
        <v>0</v>
      </c>
      <c r="H34" s="17">
        <f>IF('Components Yr 1'!H34=0,0,'Components Yr 1'!H34)</f>
        <v>0</v>
      </c>
      <c r="I34" s="17">
        <f>IF('Components Yr 1'!I34=0,0,'Components Yr 1'!I34)</f>
        <v>0</v>
      </c>
      <c r="J34" s="17">
        <f>IF('Components Yr 1'!J34=0,0,'Components Yr 1'!J34)</f>
        <v>0</v>
      </c>
      <c r="K34" s="12"/>
      <c r="L34" s="12"/>
      <c r="M34" s="12"/>
      <c r="N34" s="12"/>
      <c r="O34" s="12"/>
      <c r="P34" s="12"/>
      <c r="Q34" s="17"/>
      <c r="R34" s="18">
        <f>IF(SUMPRODUCT((E34:Q34)*1)=0,0,E34*INDEX(Hours!M:M,MATCH(C34,Hours!$A:$A,0))+F34*INDEX(Hours!B:B,MATCH(C34,Hours!$A:$A,0))+G34*INDEX(Hours!C:C,MATCH(C34,Hours!$A:$A,0))+H34*INDEX(Hours!D:D,MATCH(C34,Hours!$A:$A,0))+I34*INDEX(Hours!E:E,MATCH(C34,Hours!$A:$A,0))+J34*INDEX(Hours!F:F,MATCH(C34,Hours!$A:$A,0)))</f>
        <v>0</v>
      </c>
      <c r="S34" s="19">
        <f t="shared" si="1"/>
        <v>0</v>
      </c>
    </row>
    <row r="35" spans="1:19" x14ac:dyDescent="0.25">
      <c r="A35" s="11" t="str">
        <f>'Bldgs &amp; Rooms'!$A$2</f>
        <v>Main Bldg.</v>
      </c>
      <c r="B35" s="11">
        <f>'Bldgs &amp; Rooms'!$B$2</f>
        <v>0</v>
      </c>
      <c r="C35" s="10" t="str">
        <f>Hours!$A$35</f>
        <v>HVAC Equipment (Large)</v>
      </c>
      <c r="D35" s="11">
        <f t="shared" si="0"/>
        <v>0</v>
      </c>
      <c r="E35" s="16">
        <f>IF('Components Yr 1'!E35=0,0,'Components Yr 1'!E35)</f>
        <v>0</v>
      </c>
      <c r="F35" s="17">
        <f>IF('Components Yr 1'!F35=0,0,'Components Yr 1'!F35)</f>
        <v>0</v>
      </c>
      <c r="G35" s="17">
        <f>IF('Components Yr 1'!G35=0,0,'Components Yr 1'!G35)</f>
        <v>0</v>
      </c>
      <c r="H35" s="17">
        <f>IF('Components Yr 1'!H35=0,0,'Components Yr 1'!H35)</f>
        <v>0</v>
      </c>
      <c r="I35" s="17">
        <f>IF('Components Yr 1'!I35=0,0,'Components Yr 1'!I35)</f>
        <v>0</v>
      </c>
      <c r="J35" s="17">
        <f>IF('Components Yr 1'!J35=0,0,'Components Yr 1'!J35)</f>
        <v>0</v>
      </c>
      <c r="K35" s="12"/>
      <c r="L35" s="12"/>
      <c r="M35" s="12"/>
      <c r="N35" s="12"/>
      <c r="O35" s="12"/>
      <c r="P35" s="12"/>
      <c r="Q35" s="17"/>
      <c r="R35" s="18">
        <f>IF(SUMPRODUCT((E35:Q35)*1)=0,0,E35*INDEX(Hours!M:M,MATCH(C35,Hours!$A:$A,0))+F35*INDEX(Hours!B:B,MATCH(C35,Hours!$A:$A,0))+G35*INDEX(Hours!C:C,MATCH(C35,Hours!$A:$A,0))+H35*INDEX(Hours!D:D,MATCH(C35,Hours!$A:$A,0))+I35*INDEX(Hours!E:E,MATCH(C35,Hours!$A:$A,0))+J35*INDEX(Hours!F:F,MATCH(C35,Hours!$A:$A,0)))</f>
        <v>0</v>
      </c>
      <c r="S35" s="19">
        <f t="shared" si="1"/>
        <v>0</v>
      </c>
    </row>
    <row r="36" spans="1:19" x14ac:dyDescent="0.25">
      <c r="A36" s="11" t="str">
        <f>'Bldgs &amp; Rooms'!$A$2</f>
        <v>Main Bldg.</v>
      </c>
      <c r="B36" s="11">
        <f>'Bldgs &amp; Rooms'!$B$2</f>
        <v>0</v>
      </c>
      <c r="C36" s="10" t="str">
        <f>Hours!$A$36</f>
        <v>HVAC Equipment (Small)</v>
      </c>
      <c r="D36" s="11">
        <f t="shared" si="0"/>
        <v>0</v>
      </c>
      <c r="E36" s="16">
        <f>IF('Components Yr 1'!E36=0,0,'Components Yr 1'!E36)</f>
        <v>0</v>
      </c>
      <c r="F36" s="17">
        <f>IF('Components Yr 1'!F36=0,0,'Components Yr 1'!F36)</f>
        <v>0</v>
      </c>
      <c r="G36" s="17">
        <f>IF('Components Yr 1'!G36=0,0,'Components Yr 1'!G36)</f>
        <v>0</v>
      </c>
      <c r="H36" s="17">
        <f>IF('Components Yr 1'!H36=0,0,'Components Yr 1'!H36)</f>
        <v>0</v>
      </c>
      <c r="I36" s="17">
        <f>IF('Components Yr 1'!I36=0,0,'Components Yr 1'!I36)</f>
        <v>0</v>
      </c>
      <c r="J36" s="17">
        <f>IF('Components Yr 1'!J36=0,0,'Components Yr 1'!J36)</f>
        <v>0</v>
      </c>
      <c r="K36" s="12"/>
      <c r="L36" s="12"/>
      <c r="M36" s="12"/>
      <c r="N36" s="12"/>
      <c r="O36" s="12"/>
      <c r="P36" s="12"/>
      <c r="Q36" s="17"/>
      <c r="R36" s="18">
        <f>IF(SUMPRODUCT((E36:Q36)*1)=0,0,E36*INDEX(Hours!M:M,MATCH(C36,Hours!$A:$A,0))+F36*INDEX(Hours!B:B,MATCH(C36,Hours!$A:$A,0))+G36*INDEX(Hours!C:C,MATCH(C36,Hours!$A:$A,0))+H36*INDEX(Hours!D:D,MATCH(C36,Hours!$A:$A,0))+I36*INDEX(Hours!E:E,MATCH(C36,Hours!$A:$A,0))+J36*INDEX(Hours!F:F,MATCH(C36,Hours!$A:$A,0)))</f>
        <v>0</v>
      </c>
      <c r="S36" s="19">
        <f t="shared" si="1"/>
        <v>0</v>
      </c>
    </row>
    <row r="37" spans="1:19" x14ac:dyDescent="0.25">
      <c r="A37" s="11" t="str">
        <f>'Bldgs &amp; Rooms'!$A$2</f>
        <v>Main Bldg.</v>
      </c>
      <c r="B37" s="11">
        <f>'Bldgs &amp; Rooms'!$B$2</f>
        <v>0</v>
      </c>
      <c r="C37" s="10" t="str">
        <f>Hours!$A$37</f>
        <v>Uninterruptible Power Supply (UPS) &lt; 50kVA</v>
      </c>
      <c r="D37" s="11">
        <f t="shared" si="0"/>
        <v>0</v>
      </c>
      <c r="E37" s="16">
        <f>IF('Components Yr 1'!E37=0,0,'Components Yr 1'!E37)</f>
        <v>0</v>
      </c>
      <c r="F37" s="17">
        <f>IF('Components Yr 1'!F37=0,0,'Components Yr 1'!F37)</f>
        <v>0</v>
      </c>
      <c r="G37" s="17">
        <f>IF('Components Yr 1'!G37=0,0,'Components Yr 1'!G37)</f>
        <v>0</v>
      </c>
      <c r="H37" s="17">
        <f>IF('Components Yr 1'!H37=0,0,'Components Yr 1'!H37)</f>
        <v>0</v>
      </c>
      <c r="I37" s="17">
        <f>IF('Components Yr 1'!I37=0,0,'Components Yr 1'!I37)</f>
        <v>0</v>
      </c>
      <c r="J37" s="17">
        <f>IF('Components Yr 1'!J37=0,0,'Components Yr 1'!J37)</f>
        <v>0</v>
      </c>
      <c r="K37" s="12"/>
      <c r="L37" s="12"/>
      <c r="M37" s="12"/>
      <c r="N37" s="12"/>
      <c r="O37" s="12"/>
      <c r="P37" s="12"/>
      <c r="Q37" s="17"/>
      <c r="R37" s="18">
        <f>IF(SUMPRODUCT((E37:Q37)*1)=0,0,E37*INDEX(Hours!M:M,MATCH(C37,Hours!$A:$A,0))+F37*INDEX(Hours!B:B,MATCH(C37,Hours!$A:$A,0))+G37*INDEX(Hours!C:C,MATCH(C37,Hours!$A:$A,0))+H37*INDEX(Hours!D:D,MATCH(C37,Hours!$A:$A,0))+I37*INDEX(Hours!E:E,MATCH(C37,Hours!$A:$A,0))+J37*INDEX(Hours!F:F,MATCH(C37,Hours!$A:$A,0)))</f>
        <v>0</v>
      </c>
      <c r="S37" s="19">
        <f t="shared" si="1"/>
        <v>0</v>
      </c>
    </row>
    <row r="38" spans="1:19" x14ac:dyDescent="0.25">
      <c r="A38" s="11" t="str">
        <f>'Bldgs &amp; Rooms'!$A$2</f>
        <v>Main Bldg.</v>
      </c>
      <c r="B38" s="11">
        <f>'Bldgs &amp; Rooms'!$B$2</f>
        <v>0</v>
      </c>
      <c r="C38" s="10" t="str">
        <f>Hours!$A$38</f>
        <v>Uninterruptible Power Supply (UPS) &gt; 50kVA</v>
      </c>
      <c r="D38" s="11">
        <f t="shared" si="0"/>
        <v>0</v>
      </c>
      <c r="E38" s="16">
        <f>IF('Components Yr 1'!E38=0,0,'Components Yr 1'!E38)</f>
        <v>0</v>
      </c>
      <c r="F38" s="17">
        <f>IF('Components Yr 1'!F38=0,0,'Components Yr 1'!F38)</f>
        <v>0</v>
      </c>
      <c r="G38" s="17">
        <f>IF('Components Yr 1'!G38=0,0,'Components Yr 1'!G38)</f>
        <v>0</v>
      </c>
      <c r="H38" s="17">
        <f>IF('Components Yr 1'!H38=0,0,'Components Yr 1'!H38)</f>
        <v>0</v>
      </c>
      <c r="I38" s="17">
        <f>IF('Components Yr 1'!I38=0,0,'Components Yr 1'!I38)</f>
        <v>0</v>
      </c>
      <c r="J38" s="17">
        <f>IF('Components Yr 1'!J38=0,0,'Components Yr 1'!J38)</f>
        <v>0</v>
      </c>
      <c r="K38" s="12"/>
      <c r="L38" s="12"/>
      <c r="M38" s="12"/>
      <c r="N38" s="12"/>
      <c r="O38" s="12"/>
      <c r="P38" s="12"/>
      <c r="Q38" s="17"/>
      <c r="R38" s="18">
        <f>IF(SUMPRODUCT((E38:Q38)*1)=0,0,E38*INDEX(Hours!M:M,MATCH(C38,Hours!$A:$A,0))+F38*INDEX(Hours!B:B,MATCH(C38,Hours!$A:$A,0))+G38*INDEX(Hours!C:C,MATCH(C38,Hours!$A:$A,0))+H38*INDEX(Hours!D:D,MATCH(C38,Hours!$A:$A,0))+I38*INDEX(Hours!E:E,MATCH(C38,Hours!$A:$A,0))+J38*INDEX(Hours!F:F,MATCH(C38,Hours!$A:$A,0)))</f>
        <v>0</v>
      </c>
      <c r="S38" s="19">
        <f t="shared" si="1"/>
        <v>0</v>
      </c>
    </row>
    <row r="39" spans="1:19" x14ac:dyDescent="0.25">
      <c r="A39" s="15" t="str">
        <f>'Bldgs &amp; Rooms'!$A$3</f>
        <v>Main Bldg.</v>
      </c>
      <c r="B39" s="15">
        <f>'Bldgs &amp; Rooms'!$B$3</f>
        <v>0</v>
      </c>
      <c r="C39" s="14" t="str">
        <f>Hours!$A$2</f>
        <v>Switchgear - Incoming Main Service (Per Section)</v>
      </c>
      <c r="D39" s="15">
        <f t="shared" si="0"/>
        <v>0</v>
      </c>
      <c r="E39" s="16">
        <f>IF('Components Yr 1'!E39=0,0,'Components Yr 1'!E39)</f>
        <v>0</v>
      </c>
      <c r="F39" s="17">
        <f>IF('Components Yr 1'!F39=0,0,'Components Yr 1'!F39)</f>
        <v>0</v>
      </c>
      <c r="G39" s="17">
        <f>IF('Components Yr 1'!G39=0,0,'Components Yr 1'!G39)</f>
        <v>0</v>
      </c>
      <c r="H39" s="17">
        <f>IF('Components Yr 1'!H39=0,0,'Components Yr 1'!H39)</f>
        <v>0</v>
      </c>
      <c r="I39" s="17">
        <f>IF('Components Yr 1'!I39=0,0,'Components Yr 1'!I39)</f>
        <v>0</v>
      </c>
      <c r="J39" s="17">
        <f>IF('Components Yr 1'!J39=0,0,'Components Yr 1'!J39)</f>
        <v>0</v>
      </c>
      <c r="K39" s="17">
        <f>IF('Components Yr 1'!K39=0,0,'Components Yr 1'!K39)</f>
        <v>0</v>
      </c>
      <c r="L39" s="17">
        <f>IF('Components Yr 1'!L39=0,0,'Components Yr 1'!L39)</f>
        <v>0</v>
      </c>
      <c r="M39" s="12"/>
      <c r="N39" s="12"/>
      <c r="O39" s="17">
        <f>IF('Components Yr 1'!O39=0,0,'Components Yr 1'!O39)</f>
        <v>0</v>
      </c>
      <c r="P39" s="12"/>
      <c r="Q39" s="17"/>
      <c r="R39" s="18">
        <f>IF(SUMPRODUCT((E39:Q39)*1)=0,0,E39*INDEX(Hours!M:M,MATCH(C39,Hours!$A:$A,0))+F39*INDEX(Hours!B:B,MATCH(C39,Hours!$A:$A,0))+G39*INDEX(Hours!C:C,MATCH(C39,Hours!$A:$A,0))+H39*INDEX(Hours!D:D,MATCH(C39,Hours!$A:$A,0))+I39*INDEX(Hours!E:E,MATCH(C39,Hours!$A:$A,0))+J39*INDEX(Hours!F:F,MATCH(C39,Hours!$A:$A,0))+K39*INDEX(Hours!G:G,MATCH(C39,Hours!$A:$A,0))+L39*INDEX(Hours!H:H,MATCH(C39,Hours!$A:$A,0))+O39*INDEX(Hours!K:K,MATCH(C39,Hours!$A:$A,0)))</f>
        <v>0</v>
      </c>
      <c r="S39" s="19">
        <f t="shared" si="1"/>
        <v>0</v>
      </c>
    </row>
    <row r="40" spans="1:19" x14ac:dyDescent="0.25">
      <c r="A40" s="15" t="str">
        <f>'Bldgs &amp; Rooms'!$A$3</f>
        <v>Main Bldg.</v>
      </c>
      <c r="B40" s="15">
        <f>'Bldgs &amp; Rooms'!$B$3</f>
        <v>0</v>
      </c>
      <c r="C40" s="14" t="str">
        <f>Hours!$A$3</f>
        <v xml:space="preserve">  Switchgear Insulated Case Breakers (Bus Mounted)</v>
      </c>
      <c r="D40" s="15">
        <f t="shared" si="0"/>
        <v>0</v>
      </c>
      <c r="E40" s="16">
        <f>IF('Components Yr 1'!E40=0,0,'Components Yr 1'!E40)</f>
        <v>0</v>
      </c>
      <c r="F40" s="17">
        <f>IF('Components Yr 1'!F40=0,0,'Components Yr 1'!F40)</f>
        <v>0</v>
      </c>
      <c r="G40" s="17">
        <f>IF('Components Yr 1'!G40=0,0,'Components Yr 1'!G40)</f>
        <v>0</v>
      </c>
      <c r="H40" s="17">
        <f>IF('Components Yr 1'!H40=0,0,'Components Yr 1'!H40)</f>
        <v>0</v>
      </c>
      <c r="I40" s="17">
        <f>IF('Components Yr 1'!I40=0,0,'Components Yr 1'!I40)</f>
        <v>0</v>
      </c>
      <c r="J40" s="17">
        <f>IF('Components Yr 1'!J40=0,0,'Components Yr 1'!J40)</f>
        <v>0</v>
      </c>
      <c r="K40" s="17">
        <f>IF('Components Yr 1'!K40=0,0,'Components Yr 1'!K40)</f>
        <v>0</v>
      </c>
      <c r="L40" s="12"/>
      <c r="M40" s="12"/>
      <c r="N40" s="12"/>
      <c r="O40" s="12"/>
      <c r="P40" s="12"/>
      <c r="Q40" s="17"/>
      <c r="R40" s="18">
        <f>IF(SUMPRODUCT((E40:Q40)*1)=0,0,E40*INDEX(Hours!M:M,MATCH(C40,Hours!$A:$A,0))+F40*INDEX(Hours!B:B,MATCH(C40,Hours!$A:$A,0))+G40*INDEX(Hours!C:C,MATCH(C40,Hours!$A:$A,0))+H40*INDEX(Hours!D:D,MATCH(C40,Hours!$A:$A,0))+I40*INDEX(Hours!E:E,MATCH(C40,Hours!$A:$A,0))+J40*INDEX(Hours!F:F,MATCH(C40,Hours!$A:$A,0))+K40*INDEX(Hours!G:G,MATCH(C40,Hours!$A:$A,0)))</f>
        <v>0</v>
      </c>
      <c r="S40" s="19">
        <f t="shared" si="1"/>
        <v>0</v>
      </c>
    </row>
    <row r="41" spans="1:19" x14ac:dyDescent="0.25">
      <c r="A41" s="15" t="str">
        <f>'Bldgs &amp; Rooms'!$A$3</f>
        <v>Main Bldg.</v>
      </c>
      <c r="B41" s="15">
        <f>'Bldgs &amp; Rooms'!$B$3</f>
        <v>0</v>
      </c>
      <c r="C41" s="14" t="str">
        <f>Hours!$A$4</f>
        <v xml:space="preserve">  SwitchGear Drawout Breakers</v>
      </c>
      <c r="D41" s="15">
        <f t="shared" si="0"/>
        <v>0</v>
      </c>
      <c r="E41" s="16">
        <f>IF('Components Yr 1'!E41=0,0,'Components Yr 1'!E41)</f>
        <v>0</v>
      </c>
      <c r="F41" s="17">
        <f>IF('Components Yr 1'!F41=0,0,'Components Yr 1'!F41)</f>
        <v>0</v>
      </c>
      <c r="G41" s="17">
        <f>IF('Components Yr 1'!G41=0,0,'Components Yr 1'!G41)</f>
        <v>0</v>
      </c>
      <c r="H41" s="17">
        <f>IF('Components Yr 1'!H41=0,0,'Components Yr 1'!H41)</f>
        <v>0</v>
      </c>
      <c r="I41" s="17">
        <f>IF('Components Yr 1'!I41=0,0,'Components Yr 1'!I41)</f>
        <v>0</v>
      </c>
      <c r="J41" s="17">
        <f>IF('Components Yr 1'!J41=0,0,'Components Yr 1'!J41)</f>
        <v>0</v>
      </c>
      <c r="K41" s="12"/>
      <c r="L41" s="17">
        <f>IF('Components Yr 1'!L41=0,0,'Components Yr 1'!L41)</f>
        <v>0</v>
      </c>
      <c r="M41" s="12"/>
      <c r="N41" s="12"/>
      <c r="O41" s="12"/>
      <c r="P41" s="12"/>
      <c r="Q41" s="17"/>
      <c r="R41" s="18">
        <f>IF(SUMPRODUCT((E41:Q41)*1)=0,0,E41*INDEX(Hours!M:M,MATCH(C41,Hours!$A:$A,0))+F41*INDEX(Hours!B:B,MATCH(C41,Hours!$A:$A,0))+G41*INDEX(Hours!C:C,MATCH(C41,Hours!$A:$A,0))+H41*INDEX(Hours!D:D,MATCH(C41,Hours!$A:$A,0))+I41*INDEX(Hours!E:E,MATCH(C41,Hours!$A:$A,0))+J41*INDEX(Hours!F:F,MATCH(C41,Hours!$A:$A,0))+L41*INDEX(Hours!H:H,MATCH(C41,Hours!$A:$A,0)))</f>
        <v>0</v>
      </c>
      <c r="S41" s="19">
        <f t="shared" si="1"/>
        <v>0</v>
      </c>
    </row>
    <row r="42" spans="1:19" x14ac:dyDescent="0.25">
      <c r="A42" s="15" t="str">
        <f>'Bldgs &amp; Rooms'!$A$3</f>
        <v>Main Bldg.</v>
      </c>
      <c r="B42" s="15">
        <f>'Bldgs &amp; Rooms'!$B$3</f>
        <v>0</v>
      </c>
      <c r="C42" s="14" t="str">
        <f>Hours!$A$5</f>
        <v>Distribution Switchboard Multi Cover (Per Section)</v>
      </c>
      <c r="D42" s="15">
        <f t="shared" si="0"/>
        <v>0</v>
      </c>
      <c r="E42" s="16">
        <f>IF('Components Yr 1'!E42=0,0,'Components Yr 1'!E42)</f>
        <v>0</v>
      </c>
      <c r="F42" s="17">
        <f>IF('Components Yr 1'!F42=0,0,'Components Yr 1'!F42)</f>
        <v>0</v>
      </c>
      <c r="G42" s="17">
        <f>IF('Components Yr 1'!G42=0,0,'Components Yr 1'!G42)</f>
        <v>0</v>
      </c>
      <c r="H42" s="17">
        <f>IF('Components Yr 1'!H42=0,0,'Components Yr 1'!H42)</f>
        <v>0</v>
      </c>
      <c r="I42" s="17">
        <f>IF('Components Yr 1'!I42=0,0,'Components Yr 1'!I42)</f>
        <v>0</v>
      </c>
      <c r="J42" s="17">
        <f>IF('Components Yr 1'!J42=0,0,'Components Yr 1'!J42)</f>
        <v>0</v>
      </c>
      <c r="K42" s="17">
        <f>IF('Components Yr 1'!K42=0,0,'Components Yr 1'!K42)</f>
        <v>0</v>
      </c>
      <c r="L42" s="12"/>
      <c r="M42" s="12"/>
      <c r="N42" s="12"/>
      <c r="O42" s="17">
        <f>IF('Components Yr 1'!O42=0,0,'Components Yr 1'!O42)</f>
        <v>0</v>
      </c>
      <c r="P42" s="12"/>
      <c r="Q42" s="17"/>
      <c r="R42" s="18">
        <f>IF(SUMPRODUCT((E42:Q42)*1)=0,0,E42*INDEX(Hours!M:M,MATCH(C42,Hours!$A:$A,0))+F42*INDEX(Hours!B:B,MATCH(C42,Hours!$A:$A,0))+G42*INDEX(Hours!C:C,MATCH(C42,Hours!$A:$A,0))+H42*INDEX(Hours!D:D,MATCH(C42,Hours!$A:$A,0))+I42*INDEX(Hours!E:E,MATCH(C42,Hours!$A:$A,0))+J42*INDEX(Hours!F:F,MATCH(C42,Hours!$A:$A,0))+K42*INDEX(Hours!G:G,MATCH(C42,Hours!$A:$A,0))+O42*INDEX(Hours!K:K,MATCH(C42,Hours!$A:$A,0)))</f>
        <v>0</v>
      </c>
      <c r="S42" s="19">
        <f t="shared" si="1"/>
        <v>0</v>
      </c>
    </row>
    <row r="43" spans="1:19" x14ac:dyDescent="0.25">
      <c r="A43" s="15" t="str">
        <f>'Bldgs &amp; Rooms'!$A$3</f>
        <v>Main Bldg.</v>
      </c>
      <c r="B43" s="15">
        <f>'Bldgs &amp; Rooms'!$B$3</f>
        <v>0</v>
      </c>
      <c r="C43" s="14" t="str">
        <f>Hours!$A$6</f>
        <v xml:space="preserve">  Switchboard Disconnects</v>
      </c>
      <c r="D43" s="15">
        <f t="shared" si="0"/>
        <v>0</v>
      </c>
      <c r="E43" s="16">
        <f>IF('Components Yr 1'!E43=0,0,'Components Yr 1'!E43)</f>
        <v>0</v>
      </c>
      <c r="F43" s="17">
        <f>IF('Components Yr 1'!F43=0,0,'Components Yr 1'!F43)</f>
        <v>0</v>
      </c>
      <c r="G43" s="17">
        <f>IF('Components Yr 1'!G43=0,0,'Components Yr 1'!G43)</f>
        <v>0</v>
      </c>
      <c r="H43" s="17">
        <f>IF('Components Yr 1'!H43=0,0,'Components Yr 1'!H43)</f>
        <v>0</v>
      </c>
      <c r="I43" s="17">
        <f>IF('Components Yr 1'!I43=0,0,'Components Yr 1'!I43)</f>
        <v>0</v>
      </c>
      <c r="J43" s="17">
        <f>IF('Components Yr 1'!J43=0,0,'Components Yr 1'!J43)</f>
        <v>0</v>
      </c>
      <c r="K43" s="12"/>
      <c r="L43" s="12"/>
      <c r="M43" s="12"/>
      <c r="N43" s="12"/>
      <c r="O43" s="12"/>
      <c r="P43" s="12"/>
      <c r="Q43" s="17"/>
      <c r="R43" s="18">
        <f>IF(SUMPRODUCT((E43:Q43)*1)=0,0,E43*INDEX(Hours!M:M,MATCH(C43,Hours!$A:$A,0))+F43*INDEX(Hours!B:B,MATCH(C43,Hours!$A:$A,0))+G43*INDEX(Hours!C:C,MATCH(C43,Hours!$A:$A,0))+H43*INDEX(Hours!D:D,MATCH(C43,Hours!$A:$A,0))+I43*INDEX(Hours!E:E,MATCH(C43,Hours!$A:$A,0))+J43*INDEX(Hours!F:F,MATCH(C43,Hours!$A:$A,0)))</f>
        <v>0</v>
      </c>
      <c r="S43" s="19">
        <f t="shared" si="1"/>
        <v>0</v>
      </c>
    </row>
    <row r="44" spans="1:19" x14ac:dyDescent="0.25">
      <c r="A44" s="15" t="str">
        <f>'Bldgs &amp; Rooms'!$A$3</f>
        <v>Main Bldg.</v>
      </c>
      <c r="B44" s="15">
        <f>'Bldgs &amp; Rooms'!$B$3</f>
        <v>0</v>
      </c>
      <c r="C44" s="14" t="str">
        <f>Hours!$A$7</f>
        <v xml:space="preserve">  Switchboard Molded Case Breakers</v>
      </c>
      <c r="D44" s="15">
        <f t="shared" si="0"/>
        <v>0</v>
      </c>
      <c r="E44" s="16">
        <f>IF('Components Yr 1'!E44=0,0,'Components Yr 1'!E44)</f>
        <v>0</v>
      </c>
      <c r="F44" s="17">
        <f>IF('Components Yr 1'!F44=0,0,'Components Yr 1'!F44)</f>
        <v>0</v>
      </c>
      <c r="G44" s="17">
        <f>IF('Components Yr 1'!G44=0,0,'Components Yr 1'!G44)</f>
        <v>0</v>
      </c>
      <c r="H44" s="17">
        <f>IF('Components Yr 1'!H44=0,0,'Components Yr 1'!H44)</f>
        <v>0</v>
      </c>
      <c r="I44" s="17">
        <f>IF('Components Yr 1'!I44=0,0,'Components Yr 1'!I44)</f>
        <v>0</v>
      </c>
      <c r="J44" s="17">
        <f>IF('Components Yr 1'!J44=0,0,'Components Yr 1'!J44)</f>
        <v>0</v>
      </c>
      <c r="K44" s="17">
        <f>IF('Components Yr 1'!K44=0,0,'Components Yr 1'!K44)</f>
        <v>0</v>
      </c>
      <c r="L44" s="12"/>
      <c r="M44" s="12"/>
      <c r="N44" s="12"/>
      <c r="O44" s="12"/>
      <c r="P44" s="12"/>
      <c r="Q44" s="17"/>
      <c r="R44" s="18">
        <f>IF(SUMPRODUCT((E44:Q44)*1)=0,0,E44*INDEX(Hours!M:M,MATCH(C44,Hours!$A:$A,0))+F44*INDEX(Hours!B:B,MATCH(C44,Hours!$A:$A,0))+G44*INDEX(Hours!C:C,MATCH(C44,Hours!$A:$A,0))+H44*INDEX(Hours!D:D,MATCH(C44,Hours!$A:$A,0))+I44*INDEX(Hours!E:E,MATCH(C44,Hours!$A:$A,0))+J44*INDEX(Hours!F:F,MATCH(C44,Hours!$A:$A,0))+K44*INDEX(Hours!G:G,MATCH(C44,Hours!$A:$A,0)))</f>
        <v>0</v>
      </c>
      <c r="S44" s="19">
        <f t="shared" si="1"/>
        <v>0</v>
      </c>
    </row>
    <row r="45" spans="1:19" x14ac:dyDescent="0.25">
      <c r="A45" s="15" t="str">
        <f>'Bldgs &amp; Rooms'!$A$3</f>
        <v>Main Bldg.</v>
      </c>
      <c r="B45" s="15">
        <f>'Bldgs &amp; Rooms'!$B$3</f>
        <v>0</v>
      </c>
      <c r="C45" s="14" t="str">
        <f>Hours!$A$8</f>
        <v>Panelboard-Single Cover &gt; 400A (Distribution Panel)</v>
      </c>
      <c r="D45" s="15">
        <f t="shared" si="0"/>
        <v>0</v>
      </c>
      <c r="E45" s="16">
        <f>IF('Components Yr 1'!E45=0,0,'Components Yr 1'!E45)</f>
        <v>0</v>
      </c>
      <c r="F45" s="17">
        <f>IF('Components Yr 1'!F45=0,0,'Components Yr 1'!F45)</f>
        <v>0</v>
      </c>
      <c r="G45" s="17">
        <f>IF('Components Yr 1'!G45=0,0,'Components Yr 1'!G45)</f>
        <v>0</v>
      </c>
      <c r="H45" s="17">
        <f>IF('Components Yr 1'!H45=0,0,'Components Yr 1'!H45)</f>
        <v>0</v>
      </c>
      <c r="I45" s="17">
        <f>IF('Components Yr 1'!I45=0,0,'Components Yr 1'!I45)</f>
        <v>0</v>
      </c>
      <c r="J45" s="17">
        <f>IF('Components Yr 1'!J45=0,0,'Components Yr 1'!J45)</f>
        <v>0</v>
      </c>
      <c r="K45" s="17">
        <f>IF('Components Yr 1'!K45=0,0,'Components Yr 1'!K45)</f>
        <v>0</v>
      </c>
      <c r="L45" s="12"/>
      <c r="M45" s="12"/>
      <c r="N45" s="12"/>
      <c r="O45" s="17">
        <f>IF('Components Yr 1'!O45=0,0,'Components Yr 1'!O45)</f>
        <v>0</v>
      </c>
      <c r="P45" s="12"/>
      <c r="Q45" s="17"/>
      <c r="R45" s="18">
        <f>IF(SUMPRODUCT((E45:Q45)*1)=0,0,E45*INDEX(Hours!M:M,MATCH(C45,Hours!$A:$A,0))+F45*INDEX(Hours!B:B,MATCH(C45,Hours!$A:$A,0))+G45*INDEX(Hours!C:C,MATCH(C45,Hours!$A:$A,0))+H45*INDEX(Hours!D:D,MATCH(C45,Hours!$A:$A,0))+I45*INDEX(Hours!E:E,MATCH(C45,Hours!$A:$A,0))+J45*INDEX(Hours!F:F,MATCH(C45,Hours!$A:$A,0))+K45*INDEX(Hours!G:G,MATCH(C45,Hours!$A:$A,0))+O45*INDEX(Hours!K:K,MATCH(C45,Hours!$A:$A,0)))</f>
        <v>0</v>
      </c>
      <c r="S45" s="19">
        <f t="shared" si="1"/>
        <v>0</v>
      </c>
    </row>
    <row r="46" spans="1:19" x14ac:dyDescent="0.25">
      <c r="A46" s="15" t="str">
        <f>'Bldgs &amp; Rooms'!$A$3</f>
        <v>Main Bldg.</v>
      </c>
      <c r="B46" s="15">
        <f>'Bldgs &amp; Rooms'!$B$3</f>
        <v>0</v>
      </c>
      <c r="C46" s="14" t="str">
        <f>Hours!$A$9</f>
        <v>Panelboard-Single Cover &lt; 400A (Branch Ckt Panel)</v>
      </c>
      <c r="D46" s="15">
        <f t="shared" si="0"/>
        <v>0</v>
      </c>
      <c r="E46" s="16">
        <f>IF('Components Yr 1'!E46=0,0,'Components Yr 1'!E46)</f>
        <v>0</v>
      </c>
      <c r="F46" s="17">
        <f>IF('Components Yr 1'!F46=0,0,'Components Yr 1'!F46)</f>
        <v>0</v>
      </c>
      <c r="G46" s="17">
        <f>IF('Components Yr 1'!G46=0,0,'Components Yr 1'!G46)</f>
        <v>0</v>
      </c>
      <c r="H46" s="17">
        <f>IF('Components Yr 1'!H46=0,0,'Components Yr 1'!H46)</f>
        <v>0</v>
      </c>
      <c r="I46" s="17">
        <f>IF('Components Yr 1'!I46=0,0,'Components Yr 1'!I46)</f>
        <v>0</v>
      </c>
      <c r="J46" s="17">
        <f>IF('Components Yr 1'!J46=0,0,'Components Yr 1'!J46)</f>
        <v>0</v>
      </c>
      <c r="K46" s="12"/>
      <c r="L46" s="12"/>
      <c r="M46" s="12"/>
      <c r="N46" s="12"/>
      <c r="O46" s="17">
        <f>IF('Components Yr 1'!O46=0,0,'Components Yr 1'!O46)</f>
        <v>0</v>
      </c>
      <c r="P46" s="12"/>
      <c r="Q46" s="17"/>
      <c r="R46" s="18">
        <f>IF(SUMPRODUCT((E46:Q46)*1)=0,0,E46*INDEX(Hours!M:M,MATCH(C46,Hours!$A:$A,0))+F46*INDEX(Hours!B:B,MATCH(C46,Hours!$A:$A,0))+G46*INDEX(Hours!C:C,MATCH(C46,Hours!$A:$A,0))+H46*INDEX(Hours!D:D,MATCH(C46,Hours!$A:$A,0))+I46*INDEX(Hours!E:E,MATCH(C46,Hours!$A:$A,0))+J46*INDEX(Hours!F:F,MATCH(C46,Hours!$A:$A,0))+O46*INDEX(Hours!K:K,MATCH(C46,Hours!$A:$A,0)))</f>
        <v>0</v>
      </c>
      <c r="S46" s="19">
        <f t="shared" si="1"/>
        <v>0</v>
      </c>
    </row>
    <row r="47" spans="1:19" x14ac:dyDescent="0.25">
      <c r="A47" s="15" t="str">
        <f>'Bldgs &amp; Rooms'!$A$3</f>
        <v>Main Bldg.</v>
      </c>
      <c r="B47" s="15">
        <f>'Bldgs &amp; Rooms'!$B$3</f>
        <v>0</v>
      </c>
      <c r="C47" s="14" t="str">
        <f>Hours!$A$10</f>
        <v>Motor Control Center (MCC-Per Vertical Section)</v>
      </c>
      <c r="D47" s="15">
        <f t="shared" si="0"/>
        <v>0</v>
      </c>
      <c r="E47" s="16">
        <f>IF('Components Yr 1'!E47=0,0,'Components Yr 1'!E47)</f>
        <v>0</v>
      </c>
      <c r="F47" s="17">
        <f>IF('Components Yr 1'!F47=0,0,'Components Yr 1'!F47)</f>
        <v>0</v>
      </c>
      <c r="G47" s="17">
        <f>IF('Components Yr 1'!G47=0,0,'Components Yr 1'!G47)</f>
        <v>0</v>
      </c>
      <c r="H47" s="17">
        <f>IF('Components Yr 1'!H47=0,0,'Components Yr 1'!H47)</f>
        <v>0</v>
      </c>
      <c r="I47" s="17">
        <f>IF('Components Yr 1'!I47=0,0,'Components Yr 1'!I47)</f>
        <v>0</v>
      </c>
      <c r="J47" s="17">
        <f>IF('Components Yr 1'!J47=0,0,'Components Yr 1'!J47)</f>
        <v>0</v>
      </c>
      <c r="K47" s="12"/>
      <c r="L47" s="12"/>
      <c r="M47" s="12"/>
      <c r="N47" s="12"/>
      <c r="O47" s="17">
        <f>IF('Components Yr 1'!O47=0,0,'Components Yr 1'!O47)</f>
        <v>0</v>
      </c>
      <c r="P47" s="12"/>
      <c r="Q47" s="17"/>
      <c r="R47" s="18">
        <f>IF(SUMPRODUCT((E47:Q47)*1)=0,0,E47*INDEX(Hours!M:M,MATCH(C47,Hours!$A:$A,0))+F47*INDEX(Hours!B:B,MATCH(C47,Hours!$A:$A,0))+G47*INDEX(Hours!C:C,MATCH(C47,Hours!$A:$A,0))+H47*INDEX(Hours!D:D,MATCH(C47,Hours!$A:$A,0))+I47*INDEX(Hours!E:E,MATCH(C47,Hours!$A:$A,0))+J47*INDEX(Hours!F:F,MATCH(C47,Hours!$A:$A,0))+O47*INDEX(Hours!K:K,MATCH(C47,Hours!$A:$A,0)))</f>
        <v>0</v>
      </c>
      <c r="S47" s="19">
        <f t="shared" si="1"/>
        <v>0</v>
      </c>
    </row>
    <row r="48" spans="1:19" x14ac:dyDescent="0.25">
      <c r="A48" s="15" t="str">
        <f>'Bldgs &amp; Rooms'!$A$3</f>
        <v>Main Bldg.</v>
      </c>
      <c r="B48" s="15">
        <f>'Bldgs &amp; Rooms'!$B$3</f>
        <v>0</v>
      </c>
      <c r="C48" s="14" t="str">
        <f>Hours!$A$11</f>
        <v xml:space="preserve">  MCC: Combination Motor Starters</v>
      </c>
      <c r="D48" s="15">
        <f t="shared" si="0"/>
        <v>0</v>
      </c>
      <c r="E48" s="16">
        <f>IF('Components Yr 1'!E48=0,0,'Components Yr 1'!E48)</f>
        <v>0</v>
      </c>
      <c r="F48" s="17">
        <f>IF('Components Yr 1'!F48=0,0,'Components Yr 1'!F48)</f>
        <v>0</v>
      </c>
      <c r="G48" s="17">
        <f>IF('Components Yr 1'!G48=0,0,'Components Yr 1'!G48)</f>
        <v>0</v>
      </c>
      <c r="H48" s="17">
        <f>IF('Components Yr 1'!H48=0,0,'Components Yr 1'!H48)</f>
        <v>0</v>
      </c>
      <c r="I48" s="17">
        <f>IF('Components Yr 1'!I48=0,0,'Components Yr 1'!I48)</f>
        <v>0</v>
      </c>
      <c r="J48" s="17">
        <f>IF('Components Yr 1'!J48=0,0,'Components Yr 1'!J48)</f>
        <v>0</v>
      </c>
      <c r="K48" s="17">
        <f>IF('Components Yr 1'!K48=0,0,'Components Yr 1'!K48)</f>
        <v>0</v>
      </c>
      <c r="L48" s="12"/>
      <c r="M48" s="12"/>
      <c r="N48" s="12"/>
      <c r="O48" s="17">
        <f>IF('Components Yr 1'!O48=0,0,'Components Yr 1'!O48)</f>
        <v>0</v>
      </c>
      <c r="P48" s="12"/>
      <c r="Q48" s="17"/>
      <c r="R48" s="18">
        <f>IF(SUMPRODUCT((E48:Q48)*1)=0,0,E48*INDEX(Hours!M:M,MATCH(C48,Hours!$A:$A,0))+F48*INDEX(Hours!B:B,MATCH(C48,Hours!$A:$A,0))+G48*INDEX(Hours!C:C,MATCH(C48,Hours!$A:$A,0))+H48*INDEX(Hours!D:D,MATCH(C48,Hours!$A:$A,0))+I48*INDEX(Hours!E:E,MATCH(C48,Hours!$A:$A,0))+J48*INDEX(Hours!F:F,MATCH(C48,Hours!$A:$A,0))+K48*INDEX(Hours!G:G,MATCH(C48,Hours!$A:$A,0))+O48*INDEX(Hours!K:K,MATCH(C48,Hours!$A:$A,0)))</f>
        <v>0</v>
      </c>
      <c r="S48" s="19">
        <f t="shared" si="1"/>
        <v>0</v>
      </c>
    </row>
    <row r="49" spans="1:19" x14ac:dyDescent="0.25">
      <c r="A49" s="15" t="str">
        <f>'Bldgs &amp; Rooms'!$A$3</f>
        <v>Main Bldg.</v>
      </c>
      <c r="B49" s="15">
        <f>'Bldgs &amp; Rooms'!$B$3</f>
        <v>0</v>
      </c>
      <c r="C49" s="14" t="str">
        <f>Hours!$A$12</f>
        <v xml:space="preserve">  MCC: Molded Case Breaker</v>
      </c>
      <c r="D49" s="15">
        <f t="shared" si="0"/>
        <v>0</v>
      </c>
      <c r="E49" s="16">
        <f>IF('Components Yr 1'!E49=0,0,'Components Yr 1'!E49)</f>
        <v>0</v>
      </c>
      <c r="F49" s="17">
        <f>IF('Components Yr 1'!F49=0,0,'Components Yr 1'!F49)</f>
        <v>0</v>
      </c>
      <c r="G49" s="17">
        <f>IF('Components Yr 1'!G49=0,0,'Components Yr 1'!G49)</f>
        <v>0</v>
      </c>
      <c r="H49" s="17">
        <f>IF('Components Yr 1'!H49=0,0,'Components Yr 1'!H49)</f>
        <v>0</v>
      </c>
      <c r="I49" s="17">
        <f>IF('Components Yr 1'!I49=0,0,'Components Yr 1'!I49)</f>
        <v>0</v>
      </c>
      <c r="J49" s="17">
        <f>IF('Components Yr 1'!J49=0,0,'Components Yr 1'!J49)</f>
        <v>0</v>
      </c>
      <c r="K49" s="17">
        <f>IF('Components Yr 1'!K49=0,0,'Components Yr 1'!K49)</f>
        <v>0</v>
      </c>
      <c r="L49" s="12"/>
      <c r="M49" s="12"/>
      <c r="N49" s="12"/>
      <c r="O49" s="12"/>
      <c r="P49" s="12"/>
      <c r="Q49" s="17"/>
      <c r="R49" s="18">
        <f>IF(SUMPRODUCT((E49:Q49)*1)=0,0,E49*INDEX(Hours!M:M,MATCH(C49,Hours!$A:$A,0))+F49*INDEX(Hours!B:B,MATCH(C49,Hours!$A:$A,0))+G49*INDEX(Hours!C:C,MATCH(C49,Hours!$A:$A,0))+H49*INDEX(Hours!D:D,MATCH(C49,Hours!$A:$A,0))+I49*INDEX(Hours!E:E,MATCH(C49,Hours!$A:$A,0))+J49*INDEX(Hours!F:F,MATCH(C49,Hours!$A:$A,0))+K49*INDEX(Hours!G:G,MATCH(C49,Hours!$A:$A,0)))</f>
        <v>0</v>
      </c>
      <c r="S49" s="19">
        <f t="shared" si="1"/>
        <v>0</v>
      </c>
    </row>
    <row r="50" spans="1:19" x14ac:dyDescent="0.25">
      <c r="A50" s="15" t="str">
        <f>'Bldgs &amp; Rooms'!$A$3</f>
        <v>Main Bldg.</v>
      </c>
      <c r="B50" s="15">
        <f>'Bldgs &amp; Rooms'!$B$3</f>
        <v>0</v>
      </c>
      <c r="C50" s="14" t="str">
        <f>Hours!$A$13</f>
        <v xml:space="preserve">  MCC: Individual Disconnect Switch</v>
      </c>
      <c r="D50" s="15">
        <f t="shared" si="0"/>
        <v>0</v>
      </c>
      <c r="E50" s="16">
        <f>IF('Components Yr 1'!E50=0,0,'Components Yr 1'!E50)</f>
        <v>0</v>
      </c>
      <c r="F50" s="17">
        <f>IF('Components Yr 1'!F50=0,0,'Components Yr 1'!F50)</f>
        <v>0</v>
      </c>
      <c r="G50" s="17">
        <f>IF('Components Yr 1'!G50=0,0,'Components Yr 1'!G50)</f>
        <v>0</v>
      </c>
      <c r="H50" s="17">
        <f>IF('Components Yr 1'!H50=0,0,'Components Yr 1'!H50)</f>
        <v>0</v>
      </c>
      <c r="I50" s="17">
        <f>IF('Components Yr 1'!I50=0,0,'Components Yr 1'!I50)</f>
        <v>0</v>
      </c>
      <c r="J50" s="17">
        <f>IF('Components Yr 1'!J50=0,0,'Components Yr 1'!J50)</f>
        <v>0</v>
      </c>
      <c r="K50" s="12"/>
      <c r="L50" s="12"/>
      <c r="M50" s="12"/>
      <c r="N50" s="12"/>
      <c r="O50" s="12"/>
      <c r="P50" s="12"/>
      <c r="Q50" s="17"/>
      <c r="R50" s="18">
        <f>IF(SUMPRODUCT((E50:Q50)*1)=0,0,E50*INDEX(Hours!M:M,MATCH(C50,Hours!$A:$A,0))+F50*INDEX(Hours!B:B,MATCH(C50,Hours!$A:$A,0))+G50*INDEX(Hours!C:C,MATCH(C50,Hours!$A:$A,0))+H50*INDEX(Hours!D:D,MATCH(C50,Hours!$A:$A,0))+I50*INDEX(Hours!E:E,MATCH(C50,Hours!$A:$A,0))+J50*INDEX(Hours!F:F,MATCH(C50,Hours!$A:$A,0)))</f>
        <v>0</v>
      </c>
      <c r="S50" s="19">
        <f t="shared" si="1"/>
        <v>0</v>
      </c>
    </row>
    <row r="51" spans="1:19" x14ac:dyDescent="0.25">
      <c r="A51" s="15" t="str">
        <f>'Bldgs &amp; Rooms'!$A$3</f>
        <v>Main Bldg.</v>
      </c>
      <c r="B51" s="15">
        <f>'Bldgs &amp; Rooms'!$B$3</f>
        <v>0</v>
      </c>
      <c r="C51" s="14" t="str">
        <f>Hours!$A$14</f>
        <v>Motor Control Panel (MCP)</v>
      </c>
      <c r="D51" s="15">
        <f t="shared" si="0"/>
        <v>0</v>
      </c>
      <c r="E51" s="16">
        <f>IF('Components Yr 1'!E51=0,0,'Components Yr 1'!E51)</f>
        <v>0</v>
      </c>
      <c r="F51" s="17">
        <f>IF('Components Yr 1'!F51=0,0,'Components Yr 1'!F51)</f>
        <v>0</v>
      </c>
      <c r="G51" s="17">
        <f>IF('Components Yr 1'!G51=0,0,'Components Yr 1'!G51)</f>
        <v>0</v>
      </c>
      <c r="H51" s="17">
        <f>IF('Components Yr 1'!H51=0,0,'Components Yr 1'!H51)</f>
        <v>0</v>
      </c>
      <c r="I51" s="17">
        <f>IF('Components Yr 1'!I51=0,0,'Components Yr 1'!I51)</f>
        <v>0</v>
      </c>
      <c r="J51" s="17">
        <f>IF('Components Yr 1'!J51=0,0,'Components Yr 1'!J51)</f>
        <v>0</v>
      </c>
      <c r="K51" s="12"/>
      <c r="L51" s="12"/>
      <c r="M51" s="12"/>
      <c r="N51" s="12"/>
      <c r="O51" s="17">
        <f>IF('Components Yr 1'!O51=0,0,'Components Yr 1'!O51)</f>
        <v>0</v>
      </c>
      <c r="P51" s="12"/>
      <c r="Q51" s="17"/>
      <c r="R51" s="18">
        <f>IF(SUMPRODUCT((E51:Q51)*1)=0,0,E51*INDEX(Hours!M:M,MATCH(C51,Hours!$A:$A,0))+F51*INDEX(Hours!B:B,MATCH(C51,Hours!$A:$A,0))+G51*INDEX(Hours!C:C,MATCH(C51,Hours!$A:$A,0))+H51*INDEX(Hours!D:D,MATCH(C51,Hours!$A:$A,0))+I51*INDEX(Hours!E:E,MATCH(C51,Hours!$A:$A,0))+J51*INDEX(Hours!F:F,MATCH(C51,Hours!$A:$A,0))+O51*INDEX(Hours!K:K,MATCH(C51,Hours!$A:$A,0)))</f>
        <v>0</v>
      </c>
      <c r="S51" s="19">
        <f t="shared" si="1"/>
        <v>0</v>
      </c>
    </row>
    <row r="52" spans="1:19" x14ac:dyDescent="0.25">
      <c r="A52" s="15" t="str">
        <f>'Bldgs &amp; Rooms'!$A$3</f>
        <v>Main Bldg.</v>
      </c>
      <c r="B52" s="15">
        <f>'Bldgs &amp; Rooms'!$B$3</f>
        <v>0</v>
      </c>
      <c r="C52" s="14" t="str">
        <f>Hours!$A$15</f>
        <v>VFD Motor Control Panel (VFD-MCP)</v>
      </c>
      <c r="D52" s="15">
        <f t="shared" si="0"/>
        <v>0</v>
      </c>
      <c r="E52" s="16">
        <f>IF('Components Yr 1'!E52=0,0,'Components Yr 1'!E52)</f>
        <v>0</v>
      </c>
      <c r="F52" s="17">
        <f>IF('Components Yr 1'!F52=0,0,'Components Yr 1'!F52)</f>
        <v>0</v>
      </c>
      <c r="G52" s="17">
        <f>IF('Components Yr 1'!G52=0,0,'Components Yr 1'!G52)</f>
        <v>0</v>
      </c>
      <c r="H52" s="17">
        <f>IF('Components Yr 1'!H52=0,0,'Components Yr 1'!H52)</f>
        <v>0</v>
      </c>
      <c r="I52" s="17">
        <f>IF('Components Yr 1'!I52=0,0,'Components Yr 1'!I52)</f>
        <v>0</v>
      </c>
      <c r="J52" s="17">
        <f>IF('Components Yr 1'!J52=0,0,'Components Yr 1'!J52)</f>
        <v>0</v>
      </c>
      <c r="K52" s="12"/>
      <c r="L52" s="12"/>
      <c r="M52" s="12"/>
      <c r="N52" s="12"/>
      <c r="O52" s="17">
        <f>IF('Components Yr 1'!O52=0,0,'Components Yr 1'!O52)</f>
        <v>0</v>
      </c>
      <c r="P52" s="12"/>
      <c r="Q52" s="17"/>
      <c r="R52" s="18">
        <f>IF(SUMPRODUCT((E52:Q52)*1)=0,0,E52*INDEX(Hours!M:M,MATCH(C52,Hours!$A:$A,0))+F52*INDEX(Hours!B:B,MATCH(C52,Hours!$A:$A,0))+G52*INDEX(Hours!C:C,MATCH(C52,Hours!$A:$A,0))+H52*INDEX(Hours!D:D,MATCH(C52,Hours!$A:$A,0))+I52*INDEX(Hours!E:E,MATCH(C52,Hours!$A:$A,0))+J52*INDEX(Hours!F:F,MATCH(C52,Hours!$A:$A,0))+O52*INDEX(Hours!K:K,MATCH(C52,Hours!$A:$A,0)))</f>
        <v>0</v>
      </c>
      <c r="S52" s="19">
        <f t="shared" si="1"/>
        <v>0</v>
      </c>
    </row>
    <row r="53" spans="1:19" x14ac:dyDescent="0.25">
      <c r="A53" s="15" t="str">
        <f>'Bldgs &amp; Rooms'!$A$3</f>
        <v>Main Bldg.</v>
      </c>
      <c r="B53" s="15">
        <f>'Bldgs &amp; Rooms'!$B$3</f>
        <v>0</v>
      </c>
      <c r="C53" s="14" t="str">
        <f>Hours!$A$16</f>
        <v>Individual Disconnect Switch &gt; 100A</v>
      </c>
      <c r="D53" s="15">
        <f t="shared" si="0"/>
        <v>0</v>
      </c>
      <c r="E53" s="16">
        <f>IF('Components Yr 1'!E53=0,0,'Components Yr 1'!E53)</f>
        <v>0</v>
      </c>
      <c r="F53" s="17">
        <f>IF('Components Yr 1'!F53=0,0,'Components Yr 1'!F53)</f>
        <v>0</v>
      </c>
      <c r="G53" s="17">
        <f>IF('Components Yr 1'!G53=0,0,'Components Yr 1'!G53)</f>
        <v>0</v>
      </c>
      <c r="H53" s="17">
        <f>IF('Components Yr 1'!H53=0,0,'Components Yr 1'!H53)</f>
        <v>0</v>
      </c>
      <c r="I53" s="17">
        <f>IF('Components Yr 1'!I53=0,0,'Components Yr 1'!I53)</f>
        <v>0</v>
      </c>
      <c r="J53" s="17">
        <f>IF('Components Yr 1'!J53=0,0,'Components Yr 1'!J53)</f>
        <v>0</v>
      </c>
      <c r="K53" s="17">
        <f>IF('Components Yr 1'!K53=0,0,'Components Yr 1'!K53)</f>
        <v>0</v>
      </c>
      <c r="L53" s="12"/>
      <c r="M53" s="12"/>
      <c r="N53" s="12"/>
      <c r="O53" s="12"/>
      <c r="P53" s="12"/>
      <c r="Q53" s="17"/>
      <c r="R53" s="18">
        <f>IF(SUMPRODUCT((E53:Q53)*1)=0,0,E53*INDEX(Hours!M:M,MATCH(C53,Hours!$A:$A,0))+F53*INDEX(Hours!B:B,MATCH(C53,Hours!$A:$A,0))+G53*INDEX(Hours!C:C,MATCH(C53,Hours!$A:$A,0))+H53*INDEX(Hours!D:D,MATCH(C53,Hours!$A:$A,0))+I53*INDEX(Hours!E:E,MATCH(C53,Hours!$A:$A,0))+J53*INDEX(Hours!F:F,MATCH(C53,Hours!$A:$A,0))+K53*INDEX(Hours!G:G,MATCH(C53,Hours!$A:$A,0)))</f>
        <v>0</v>
      </c>
      <c r="S53" s="19">
        <f t="shared" si="1"/>
        <v>0</v>
      </c>
    </row>
    <row r="54" spans="1:19" x14ac:dyDescent="0.25">
      <c r="A54" s="15" t="str">
        <f>'Bldgs &amp; Rooms'!$A$3</f>
        <v>Main Bldg.</v>
      </c>
      <c r="B54" s="15">
        <f>'Bldgs &amp; Rooms'!$B$3</f>
        <v>0</v>
      </c>
      <c r="C54" s="14" t="str">
        <f>Hours!$A$17</f>
        <v>Individual Molded Case Breaker &gt; 100A</v>
      </c>
      <c r="D54" s="15">
        <f t="shared" si="0"/>
        <v>0</v>
      </c>
      <c r="E54" s="16">
        <f>IF('Components Yr 1'!E54=0,0,'Components Yr 1'!E54)</f>
        <v>0</v>
      </c>
      <c r="F54" s="17">
        <f>IF('Components Yr 1'!F54=0,0,'Components Yr 1'!F54)</f>
        <v>0</v>
      </c>
      <c r="G54" s="17">
        <f>IF('Components Yr 1'!G54=0,0,'Components Yr 1'!G54)</f>
        <v>0</v>
      </c>
      <c r="H54" s="17">
        <f>IF('Components Yr 1'!H54=0,0,'Components Yr 1'!H54)</f>
        <v>0</v>
      </c>
      <c r="I54" s="17">
        <f>IF('Components Yr 1'!I54=0,0,'Components Yr 1'!I54)</f>
        <v>0</v>
      </c>
      <c r="J54" s="17">
        <f>IF('Components Yr 1'!J54=0,0,'Components Yr 1'!J54)</f>
        <v>0</v>
      </c>
      <c r="K54" s="17">
        <f>IF('Components Yr 1'!K54=0,0,'Components Yr 1'!K54)</f>
        <v>0</v>
      </c>
      <c r="L54" s="12"/>
      <c r="M54" s="12"/>
      <c r="N54" s="12"/>
      <c r="O54" s="12"/>
      <c r="P54" s="12"/>
      <c r="Q54" s="17"/>
      <c r="R54" s="18">
        <f>IF(SUMPRODUCT((E54:Q54)*1)=0,0,E54*INDEX(Hours!M:M,MATCH(C54,Hours!$A:$A,0))+F54*INDEX(Hours!B:B,MATCH(C54,Hours!$A:$A,0))+G54*INDEX(Hours!C:C,MATCH(C54,Hours!$A:$A,0))+H54*INDEX(Hours!D:D,MATCH(C54,Hours!$A:$A,0))+I54*INDEX(Hours!E:E,MATCH(C54,Hours!$A:$A,0))+J54*INDEX(Hours!F:F,MATCH(C54,Hours!$A:$A,0))+K54*INDEX(Hours!G:G,MATCH(C54,Hours!$A:$A,0)))</f>
        <v>0</v>
      </c>
      <c r="S54" s="19">
        <f t="shared" si="1"/>
        <v>0</v>
      </c>
    </row>
    <row r="55" spans="1:19" x14ac:dyDescent="0.25">
      <c r="A55" s="15" t="str">
        <f>'Bldgs &amp; Rooms'!$A$3</f>
        <v>Main Bldg.</v>
      </c>
      <c r="B55" s="15">
        <f>'Bldgs &amp; Rooms'!$B$3</f>
        <v>0</v>
      </c>
      <c r="C55" s="14" t="str">
        <f>Hours!$A$18</f>
        <v>Individual Combination Motor Starter &gt; 100A</v>
      </c>
      <c r="D55" s="15">
        <f t="shared" si="0"/>
        <v>0</v>
      </c>
      <c r="E55" s="16">
        <f>IF('Components Yr 1'!E55=0,0,'Components Yr 1'!E55)</f>
        <v>0</v>
      </c>
      <c r="F55" s="17">
        <f>IF('Components Yr 1'!F55=0,0,'Components Yr 1'!F55)</f>
        <v>0</v>
      </c>
      <c r="G55" s="17">
        <f>IF('Components Yr 1'!G55=0,0,'Components Yr 1'!G55)</f>
        <v>0</v>
      </c>
      <c r="H55" s="17">
        <f>IF('Components Yr 1'!H55=0,0,'Components Yr 1'!H55)</f>
        <v>0</v>
      </c>
      <c r="I55" s="17">
        <f>IF('Components Yr 1'!I55=0,0,'Components Yr 1'!I55)</f>
        <v>0</v>
      </c>
      <c r="J55" s="17">
        <f>IF('Components Yr 1'!J55=0,0,'Components Yr 1'!J55)</f>
        <v>0</v>
      </c>
      <c r="K55" s="17">
        <f>IF('Components Yr 1'!K55=0,0,'Components Yr 1'!K55)</f>
        <v>0</v>
      </c>
      <c r="L55" s="12"/>
      <c r="M55" s="12"/>
      <c r="N55" s="12"/>
      <c r="O55" s="12"/>
      <c r="P55" s="12"/>
      <c r="Q55" s="17"/>
      <c r="R55" s="18">
        <f>IF(SUMPRODUCT((E55:Q55)*1)=0,0,E55*INDEX(Hours!M:M,MATCH(C55,Hours!$A:$A,0))+F55*INDEX(Hours!B:B,MATCH(C55,Hours!$A:$A,0))+G55*INDEX(Hours!C:C,MATCH(C55,Hours!$A:$A,0))+H55*INDEX(Hours!D:D,MATCH(C55,Hours!$A:$A,0))+I55*INDEX(Hours!E:E,MATCH(C55,Hours!$A:$A,0))+J55*INDEX(Hours!F:F,MATCH(C55,Hours!$A:$A,0))+K55*INDEX(Hours!G:G,MATCH(C55,Hours!$A:$A,0)))</f>
        <v>0</v>
      </c>
      <c r="S55" s="19">
        <f t="shared" si="1"/>
        <v>0</v>
      </c>
    </row>
    <row r="56" spans="1:19" x14ac:dyDescent="0.25">
      <c r="A56" s="15" t="str">
        <f>'Bldgs &amp; Rooms'!$A$3</f>
        <v>Main Bldg.</v>
      </c>
      <c r="B56" s="15">
        <f>'Bldgs &amp; Rooms'!$B$3</f>
        <v>0</v>
      </c>
      <c r="C56" s="14" t="str">
        <f>Hours!$A$19</f>
        <v>Oil Filled Transformer - 5kV-15kV Primary - Any Size (Pad Mounted)</v>
      </c>
      <c r="D56" s="15">
        <f t="shared" si="0"/>
        <v>0</v>
      </c>
      <c r="E56" s="16">
        <f>IF('Components Yr 1'!E56=0,0,'Components Yr 1'!E56)</f>
        <v>0</v>
      </c>
      <c r="F56" s="17">
        <f>IF('Components Yr 1'!F56=0,0,'Components Yr 1'!F56)</f>
        <v>0</v>
      </c>
      <c r="G56" s="17">
        <f>IF('Components Yr 1'!G56=0,0,'Components Yr 1'!G56)</f>
        <v>0</v>
      </c>
      <c r="H56" s="17">
        <f>IF('Components Yr 1'!H56=0,0,'Components Yr 1'!H56)</f>
        <v>0</v>
      </c>
      <c r="I56" s="17">
        <f>IF('Components Yr 1'!I56=0,0,'Components Yr 1'!I56)</f>
        <v>0</v>
      </c>
      <c r="J56" s="17">
        <f>IF('Components Yr 1'!J56=0,0,'Components Yr 1'!J56)</f>
        <v>0</v>
      </c>
      <c r="K56" s="12"/>
      <c r="L56" s="12"/>
      <c r="M56" s="17">
        <f>IF('Components Yr 1'!M56=0,0,'Components Yr 1'!M56)</f>
        <v>0</v>
      </c>
      <c r="N56" s="17">
        <f>IF('Components Yr 1'!N56=0,0,'Components Yr 1'!N56)</f>
        <v>0</v>
      </c>
      <c r="O56" s="12"/>
      <c r="P56" s="17">
        <f>IF('Components Yr 1'!P56=0,0,'Components Yr 1'!P56)</f>
        <v>0</v>
      </c>
      <c r="Q56" s="17"/>
      <c r="R56" s="18">
        <f>IF(SUMPRODUCT((E56:Q56)*1)=0,0,E56*INDEX(Hours!M:M,MATCH(C56,Hours!$A:$A,0))+F56*INDEX(Hours!B:B,MATCH(C56,Hours!$A:$A,0))+G56*INDEX(Hours!C:C,MATCH(C56,Hours!$A:$A,0))+H56*INDEX(Hours!D:D,MATCH(C56,Hours!$A:$A,0))+I56*INDEX(Hours!E:E,MATCH(C56,Hours!$A:$A,0))+J56*INDEX(Hours!F:F,MATCH(C56,Hours!$A:$A,0))+M56*INDEX(Hours!I:I,MATCH(C56,Hours!$A:$A,0))+N56*INDEX(Hours!J:J,MATCH(C56,Hours!$A:$A,0))+P56*INDEX(Hours!L:L,MATCH(C56,Hours!$A:$A,0)))</f>
        <v>0</v>
      </c>
      <c r="S56" s="19">
        <f t="shared" si="1"/>
        <v>0</v>
      </c>
    </row>
    <row r="57" spans="1:19" x14ac:dyDescent="0.25">
      <c r="A57" s="15" t="str">
        <f>'Bldgs &amp; Rooms'!$A$3</f>
        <v>Main Bldg.</v>
      </c>
      <c r="B57" s="15">
        <f>'Bldgs &amp; Rooms'!$B$3</f>
        <v>0</v>
      </c>
      <c r="C57" s="14" t="str">
        <f>Hours!$A$20</f>
        <v>Oil Filled Transformer - &gt; 15kV Primary (Substation Class)</v>
      </c>
      <c r="D57" s="15">
        <f t="shared" si="0"/>
        <v>0</v>
      </c>
      <c r="E57" s="16">
        <f>IF('Components Yr 1'!E57=0,0,'Components Yr 1'!E57)</f>
        <v>0</v>
      </c>
      <c r="F57" s="17">
        <f>IF('Components Yr 1'!F57=0,0,'Components Yr 1'!F57)</f>
        <v>0</v>
      </c>
      <c r="G57" s="17">
        <f>IF('Components Yr 1'!G57=0,0,'Components Yr 1'!G57)</f>
        <v>0</v>
      </c>
      <c r="H57" s="17">
        <f>IF('Components Yr 1'!H57=0,0,'Components Yr 1'!H57)</f>
        <v>0</v>
      </c>
      <c r="I57" s="17">
        <f>IF('Components Yr 1'!I57=0,0,'Components Yr 1'!I57)</f>
        <v>0</v>
      </c>
      <c r="J57" s="17">
        <f>IF('Components Yr 1'!J57=0,0,'Components Yr 1'!J57)</f>
        <v>0</v>
      </c>
      <c r="K57" s="12"/>
      <c r="L57" s="12"/>
      <c r="M57" s="17">
        <f>IF('Components Yr 1'!M57=0,0,'Components Yr 1'!M57)</f>
        <v>0</v>
      </c>
      <c r="N57" s="17">
        <f>IF('Components Yr 1'!N57=0,0,'Components Yr 1'!N57)</f>
        <v>0</v>
      </c>
      <c r="O57" s="12"/>
      <c r="P57" s="17">
        <f>IF('Components Yr 1'!P57=0,0,'Components Yr 1'!P57)</f>
        <v>0</v>
      </c>
      <c r="Q57" s="17"/>
      <c r="R57" s="18">
        <f>IF(SUMPRODUCT((E57:Q57)*1)=0,0,E57*INDEX(Hours!M:M,MATCH(C57,Hours!$A:$A,0))+F57*INDEX(Hours!B:B,MATCH(C57,Hours!$A:$A,0))+G57*INDEX(Hours!C:C,MATCH(C57,Hours!$A:$A,0))+H57*INDEX(Hours!D:D,MATCH(C57,Hours!$A:$A,0))+I57*INDEX(Hours!E:E,MATCH(C57,Hours!$A:$A,0))+J57*INDEX(Hours!F:F,MATCH(C57,Hours!$A:$A,0))+M57*INDEX(Hours!I:I,MATCH(C57,Hours!$A:$A,0))+N57*INDEX(Hours!J:J,MATCH(C57,Hours!$A:$A,0))+P57*INDEX(Hours!L:L,MATCH(C57,Hours!$A:$A,0)))</f>
        <v>0</v>
      </c>
      <c r="S57" s="19">
        <f t="shared" si="1"/>
        <v>0</v>
      </c>
    </row>
    <row r="58" spans="1:19" x14ac:dyDescent="0.25">
      <c r="A58" s="15" t="str">
        <f>'Bldgs &amp; Rooms'!$A$3</f>
        <v>Main Bldg.</v>
      </c>
      <c r="B58" s="15">
        <f>'Bldgs &amp; Rooms'!$B$3</f>
        <v>0</v>
      </c>
      <c r="C58" s="14" t="str">
        <f>Hours!$A$21</f>
        <v>Dry Type Transformer - &lt; 480V Primary - Any Size kVA</v>
      </c>
      <c r="D58" s="15">
        <f t="shared" si="0"/>
        <v>0</v>
      </c>
      <c r="E58" s="16">
        <f>IF('Components Yr 1'!E58=0,0,'Components Yr 1'!E58)</f>
        <v>0</v>
      </c>
      <c r="F58" s="17">
        <f>IF('Components Yr 1'!F58=0,0,'Components Yr 1'!F58)</f>
        <v>0</v>
      </c>
      <c r="G58" s="17">
        <f>IF('Components Yr 1'!G58=0,0,'Components Yr 1'!G58)</f>
        <v>0</v>
      </c>
      <c r="H58" s="17">
        <f>IF('Components Yr 1'!H58=0,0,'Components Yr 1'!H58)</f>
        <v>0</v>
      </c>
      <c r="I58" s="17">
        <f>IF('Components Yr 1'!I58=0,0,'Components Yr 1'!I58)</f>
        <v>0</v>
      </c>
      <c r="J58" s="17">
        <f>IF('Components Yr 1'!J58=0,0,'Components Yr 1'!J58)</f>
        <v>0</v>
      </c>
      <c r="K58" s="12"/>
      <c r="L58" s="12"/>
      <c r="M58" s="17">
        <f>IF('Components Yr 1'!M58=0,0,'Components Yr 1'!M58)</f>
        <v>0</v>
      </c>
      <c r="N58" s="17">
        <f>IF('Components Yr 1'!N58=0,0,'Components Yr 1'!N58)</f>
        <v>0</v>
      </c>
      <c r="O58" s="12"/>
      <c r="P58" s="12"/>
      <c r="Q58" s="17"/>
      <c r="R58" s="18">
        <f>IF(SUMPRODUCT((E58:Q58)*1)=0,0,E58*INDEX(Hours!M:M,MATCH(C58,Hours!$A:$A,0))+F58*INDEX(Hours!B:B,MATCH(C58,Hours!$A:$A,0))+G58*INDEX(Hours!C:C,MATCH(C58,Hours!$A:$A,0))+H58*INDEX(Hours!D:D,MATCH(C58,Hours!$A:$A,0))+I58*INDEX(Hours!E:E,MATCH(C58,Hours!$A:$A,0))+J58*INDEX(Hours!F:F,MATCH(C58,Hours!$A:$A,0))+M58*INDEX(Hours!I:I,MATCH(C58,Hours!$A:$A,0))+N58*INDEX(Hours!J:J,MATCH(C58,Hours!$A:$A,0)))</f>
        <v>0</v>
      </c>
      <c r="S58" s="19">
        <f t="shared" si="1"/>
        <v>0</v>
      </c>
    </row>
    <row r="59" spans="1:19" x14ac:dyDescent="0.25">
      <c r="A59" s="15" t="str">
        <f>'Bldgs &amp; Rooms'!$A$3</f>
        <v>Main Bldg.</v>
      </c>
      <c r="B59" s="15">
        <f>'Bldgs &amp; Rooms'!$B$3</f>
        <v>0</v>
      </c>
      <c r="C59" s="14" t="str">
        <f>Hours!$A$22</f>
        <v>Power Factor Correction Capacitors</v>
      </c>
      <c r="D59" s="15">
        <f t="shared" si="0"/>
        <v>0</v>
      </c>
      <c r="E59" s="16">
        <f>IF('Components Yr 1'!E59=0,0,'Components Yr 1'!E59)</f>
        <v>0</v>
      </c>
      <c r="F59" s="17">
        <f>IF('Components Yr 1'!F59=0,0,'Components Yr 1'!F59)</f>
        <v>0</v>
      </c>
      <c r="G59" s="17">
        <f>IF('Components Yr 1'!G59=0,0,'Components Yr 1'!G59)</f>
        <v>0</v>
      </c>
      <c r="H59" s="17">
        <f>IF('Components Yr 1'!H59=0,0,'Components Yr 1'!H59)</f>
        <v>0</v>
      </c>
      <c r="I59" s="17">
        <f>IF('Components Yr 1'!I59=0,0,'Components Yr 1'!I59)</f>
        <v>0</v>
      </c>
      <c r="J59" s="17">
        <f>IF('Components Yr 1'!J59=0,0,'Components Yr 1'!J59)</f>
        <v>0</v>
      </c>
      <c r="K59" s="12"/>
      <c r="L59" s="12"/>
      <c r="M59" s="12"/>
      <c r="N59" s="12"/>
      <c r="O59" s="12"/>
      <c r="P59" s="12"/>
      <c r="Q59" s="17"/>
      <c r="R59" s="18">
        <f>IF(SUMPRODUCT((E59:Q59)*1)=0,0,E59*INDEX(Hours!M:M,MATCH(C59,Hours!$A:$A,0))+F59*INDEX(Hours!B:B,MATCH(C59,Hours!$A:$A,0))+G59*INDEX(Hours!C:C,MATCH(C59,Hours!$A:$A,0))+H59*INDEX(Hours!D:D,MATCH(C59,Hours!$A:$A,0))+I59*INDEX(Hours!E:E,MATCH(C59,Hours!$A:$A,0))+J59*INDEX(Hours!F:F,MATCH(C59,Hours!$A:$A,0)))</f>
        <v>0</v>
      </c>
      <c r="S59" s="19">
        <f t="shared" si="1"/>
        <v>0</v>
      </c>
    </row>
    <row r="60" spans="1:19" x14ac:dyDescent="0.25">
      <c r="A60" s="15" t="str">
        <f>'Bldgs &amp; Rooms'!$A$3</f>
        <v>Main Bldg.</v>
      </c>
      <c r="B60" s="15">
        <f>'Bldgs &amp; Rooms'!$B$3</f>
        <v>0</v>
      </c>
      <c r="C60" s="14" t="str">
        <f>Hours!$A$23</f>
        <v>Lighting Contactor &gt; 100A</v>
      </c>
      <c r="D60" s="15">
        <f t="shared" si="0"/>
        <v>0</v>
      </c>
      <c r="E60" s="16">
        <f>IF('Components Yr 1'!E60=0,0,'Components Yr 1'!E60)</f>
        <v>0</v>
      </c>
      <c r="F60" s="17">
        <f>IF('Components Yr 1'!F60=0,0,'Components Yr 1'!F60)</f>
        <v>0</v>
      </c>
      <c r="G60" s="17">
        <f>IF('Components Yr 1'!G60=0,0,'Components Yr 1'!G60)</f>
        <v>0</v>
      </c>
      <c r="H60" s="17">
        <f>IF('Components Yr 1'!H60=0,0,'Components Yr 1'!H60)</f>
        <v>0</v>
      </c>
      <c r="I60" s="17">
        <f>IF('Components Yr 1'!I60=0,0,'Components Yr 1'!I60)</f>
        <v>0</v>
      </c>
      <c r="J60" s="17">
        <f>IF('Components Yr 1'!J60=0,0,'Components Yr 1'!J60)</f>
        <v>0</v>
      </c>
      <c r="K60" s="12"/>
      <c r="L60" s="12"/>
      <c r="M60" s="12"/>
      <c r="N60" s="12"/>
      <c r="O60" s="12"/>
      <c r="P60" s="12"/>
      <c r="Q60" s="17"/>
      <c r="R60" s="18">
        <f>IF(SUMPRODUCT((E60:Q60)*1)=0,0,E60*INDEX(Hours!M:M,MATCH(C60,Hours!$A:$A,0))+F60*INDEX(Hours!B:B,MATCH(C60,Hours!$A:$A,0))+G60*INDEX(Hours!C:C,MATCH(C60,Hours!$A:$A,0))+H60*INDEX(Hours!D:D,MATCH(C60,Hours!$A:$A,0))+I60*INDEX(Hours!E:E,MATCH(C60,Hours!$A:$A,0))+J60*INDEX(Hours!F:F,MATCH(C60,Hours!$A:$A,0)))</f>
        <v>0</v>
      </c>
      <c r="S60" s="19">
        <f t="shared" si="1"/>
        <v>0</v>
      </c>
    </row>
    <row r="61" spans="1:19" x14ac:dyDescent="0.25">
      <c r="A61" s="15" t="str">
        <f>'Bldgs &amp; Rooms'!$A$3</f>
        <v>Main Bldg.</v>
      </c>
      <c r="B61" s="15">
        <f>'Bldgs &amp; Rooms'!$B$3</f>
        <v>0</v>
      </c>
      <c r="C61" s="14" t="str">
        <f>Hours!$A$24</f>
        <v>Power Distribution Unit (PDU)</v>
      </c>
      <c r="D61" s="15">
        <f t="shared" si="0"/>
        <v>0</v>
      </c>
      <c r="E61" s="16">
        <f>IF('Components Yr 1'!E61=0,0,'Components Yr 1'!E61)</f>
        <v>0</v>
      </c>
      <c r="F61" s="17">
        <f>IF('Components Yr 1'!F61=0,0,'Components Yr 1'!F61)</f>
        <v>0</v>
      </c>
      <c r="G61" s="17">
        <f>IF('Components Yr 1'!G61=0,0,'Components Yr 1'!G61)</f>
        <v>0</v>
      </c>
      <c r="H61" s="17">
        <f>IF('Components Yr 1'!H61=0,0,'Components Yr 1'!H61)</f>
        <v>0</v>
      </c>
      <c r="I61" s="17">
        <f>IF('Components Yr 1'!I61=0,0,'Components Yr 1'!I61)</f>
        <v>0</v>
      </c>
      <c r="J61" s="17">
        <f>IF('Components Yr 1'!J61=0,0,'Components Yr 1'!J61)</f>
        <v>0</v>
      </c>
      <c r="K61" s="12"/>
      <c r="L61" s="12"/>
      <c r="M61" s="12"/>
      <c r="N61" s="12"/>
      <c r="O61" s="12"/>
      <c r="P61" s="12"/>
      <c r="Q61" s="17"/>
      <c r="R61" s="18">
        <f>IF(SUMPRODUCT((E61:Q61)*1)=0,0,E61*INDEX(Hours!M:M,MATCH(C61,Hours!$A:$A,0))+F61*INDEX(Hours!B:B,MATCH(C61,Hours!$A:$A,0))+G61*INDEX(Hours!C:C,MATCH(C61,Hours!$A:$A,0))+H61*INDEX(Hours!D:D,MATCH(C61,Hours!$A:$A,0))+I61*INDEX(Hours!E:E,MATCH(C61,Hours!$A:$A,0))+J61*INDEX(Hours!F:F,MATCH(C61,Hours!$A:$A,0)))</f>
        <v>0</v>
      </c>
      <c r="S61" s="19">
        <f t="shared" si="1"/>
        <v>0</v>
      </c>
    </row>
    <row r="62" spans="1:19" x14ac:dyDescent="0.25">
      <c r="A62" s="15" t="str">
        <f>'Bldgs &amp; Rooms'!$A$3</f>
        <v>Main Bldg.</v>
      </c>
      <c r="B62" s="15">
        <f>'Bldgs &amp; Rooms'!$B$3</f>
        <v>0</v>
      </c>
      <c r="C62" s="14" t="str">
        <f>Hours!$A$25</f>
        <v>Wire Trough, Gutter, or Large Junction Boxes</v>
      </c>
      <c r="D62" s="15">
        <f t="shared" si="0"/>
        <v>0</v>
      </c>
      <c r="E62" s="16">
        <f>IF('Components Yr 1'!E62=0,0,'Components Yr 1'!E62)</f>
        <v>0</v>
      </c>
      <c r="F62" s="17">
        <f>IF('Components Yr 1'!F62=0,0,'Components Yr 1'!F62)</f>
        <v>0</v>
      </c>
      <c r="G62" s="17">
        <f>IF('Components Yr 1'!G62=0,0,'Components Yr 1'!G62)</f>
        <v>0</v>
      </c>
      <c r="H62" s="17">
        <f>IF('Components Yr 1'!H62=0,0,'Components Yr 1'!H62)</f>
        <v>0</v>
      </c>
      <c r="I62" s="17">
        <f>IF('Components Yr 1'!I62=0,0,'Components Yr 1'!I62)</f>
        <v>0</v>
      </c>
      <c r="J62" s="17">
        <f>IF('Components Yr 1'!J62=0,0,'Components Yr 1'!J62)</f>
        <v>0</v>
      </c>
      <c r="K62" s="12"/>
      <c r="L62" s="12"/>
      <c r="M62" s="12"/>
      <c r="N62" s="12"/>
      <c r="O62" s="12"/>
      <c r="P62" s="12"/>
      <c r="Q62" s="17"/>
      <c r="R62" s="18">
        <f>IF(SUMPRODUCT((E62:Q62)*1)=0,0,E62*INDEX(Hours!M:M,MATCH(C62,Hours!$A:$A,0))+F62*INDEX(Hours!B:B,MATCH(C62,Hours!$A:$A,0))+G62*INDEX(Hours!C:C,MATCH(C62,Hours!$A:$A,0))+H62*INDEX(Hours!D:D,MATCH(C62,Hours!$A:$A,0))+I62*INDEX(Hours!E:E,MATCH(C62,Hours!$A:$A,0))+J62*INDEX(Hours!F:F,MATCH(C62,Hours!$A:$A,0)))</f>
        <v>0</v>
      </c>
      <c r="S62" s="19">
        <f t="shared" si="1"/>
        <v>0</v>
      </c>
    </row>
    <row r="63" spans="1:19" x14ac:dyDescent="0.25">
      <c r="A63" s="15" t="str">
        <f>'Bldgs &amp; Rooms'!$A$3</f>
        <v>Main Bldg.</v>
      </c>
      <c r="B63" s="15">
        <f>'Bldgs &amp; Rooms'!$B$3</f>
        <v>0</v>
      </c>
      <c r="C63" s="14" t="str">
        <f>Hours!$A$26</f>
        <v>Bus Duct - Vertical or Horizontal (Per 10' section)</v>
      </c>
      <c r="D63" s="15">
        <f t="shared" si="0"/>
        <v>0</v>
      </c>
      <c r="E63" s="16">
        <f>IF('Components Yr 1'!E63=0,0,'Components Yr 1'!E63)</f>
        <v>0</v>
      </c>
      <c r="F63" s="17">
        <f>IF('Components Yr 1'!F63=0,0,'Components Yr 1'!F63)</f>
        <v>0</v>
      </c>
      <c r="G63" s="17">
        <f>IF('Components Yr 1'!G63=0,0,'Components Yr 1'!G63)</f>
        <v>0</v>
      </c>
      <c r="H63" s="17">
        <f>IF('Components Yr 1'!H63=0,0,'Components Yr 1'!H63)</f>
        <v>0</v>
      </c>
      <c r="I63" s="17">
        <f>IF('Components Yr 1'!I63=0,0,'Components Yr 1'!I63)</f>
        <v>0</v>
      </c>
      <c r="J63" s="17">
        <f>IF('Components Yr 1'!J63=0,0,'Components Yr 1'!J63)</f>
        <v>0</v>
      </c>
      <c r="K63" s="12"/>
      <c r="L63" s="12"/>
      <c r="M63" s="12"/>
      <c r="N63" s="12"/>
      <c r="O63" s="12"/>
      <c r="P63" s="12"/>
      <c r="Q63" s="17"/>
      <c r="R63" s="18">
        <f>IF(SUMPRODUCT((E63:Q63)*1)=0,0,E63*INDEX(Hours!M:M,MATCH(C63,Hours!$A:$A,0))+F63*INDEX(Hours!B:B,MATCH(C63,Hours!$A:$A,0))+G63*INDEX(Hours!C:C,MATCH(C63,Hours!$A:$A,0))+H63*INDEX(Hours!D:D,MATCH(C63,Hours!$A:$A,0))+I63*INDEX(Hours!E:E,MATCH(C63,Hours!$A:$A,0))+J63*INDEX(Hours!F:F,MATCH(C63,Hours!$A:$A,0)))</f>
        <v>0</v>
      </c>
      <c r="S63" s="19">
        <f t="shared" si="1"/>
        <v>0</v>
      </c>
    </row>
    <row r="64" spans="1:19" x14ac:dyDescent="0.25">
      <c r="A64" s="15" t="str">
        <f>'Bldgs &amp; Rooms'!$A$3</f>
        <v>Main Bldg.</v>
      </c>
      <c r="B64" s="15">
        <f>'Bldgs &amp; Rooms'!$B$3</f>
        <v>0</v>
      </c>
      <c r="C64" s="14" t="str">
        <f>Hours!$A$27</f>
        <v>Automatic Transfer Switch (ATS) &gt; 100A</v>
      </c>
      <c r="D64" s="15">
        <f t="shared" si="0"/>
        <v>0</v>
      </c>
      <c r="E64" s="16">
        <f>IF('Components Yr 1'!E64=0,0,'Components Yr 1'!E64)</f>
        <v>0</v>
      </c>
      <c r="F64" s="17">
        <f>IF('Components Yr 1'!F64=0,0,'Components Yr 1'!F64)</f>
        <v>0</v>
      </c>
      <c r="G64" s="17">
        <f>IF('Components Yr 1'!G64=0,0,'Components Yr 1'!G64)</f>
        <v>0</v>
      </c>
      <c r="H64" s="17">
        <f>IF('Components Yr 1'!H64=0,0,'Components Yr 1'!H64)</f>
        <v>0</v>
      </c>
      <c r="I64" s="17">
        <f>IF('Components Yr 1'!I64=0,0,'Components Yr 1'!I64)</f>
        <v>0</v>
      </c>
      <c r="J64" s="17">
        <f>IF('Components Yr 1'!J64=0,0,'Components Yr 1'!J64)</f>
        <v>0</v>
      </c>
      <c r="K64" s="12"/>
      <c r="L64" s="12"/>
      <c r="M64" s="12"/>
      <c r="N64" s="12"/>
      <c r="O64" s="12"/>
      <c r="P64" s="12"/>
      <c r="Q64" s="17"/>
      <c r="R64" s="18">
        <f>IF(SUMPRODUCT((E64:Q64)*1)=0,0,E64*INDEX(Hours!M:M,MATCH(C64,Hours!$A:$A,0))+F64*INDEX(Hours!B:B,MATCH(C64,Hours!$A:$A,0))+G64*INDEX(Hours!C:C,MATCH(C64,Hours!$A:$A,0))+H64*INDEX(Hours!D:D,MATCH(C64,Hours!$A:$A,0))+I64*INDEX(Hours!E:E,MATCH(C64,Hours!$A:$A,0))+J64*INDEX(Hours!F:F,MATCH(C64,Hours!$A:$A,0)))</f>
        <v>0</v>
      </c>
      <c r="S64" s="19">
        <f t="shared" si="1"/>
        <v>0</v>
      </c>
    </row>
    <row r="65" spans="1:19" x14ac:dyDescent="0.25">
      <c r="A65" s="15" t="str">
        <f>'Bldgs &amp; Rooms'!$A$3</f>
        <v>Main Bldg.</v>
      </c>
      <c r="B65" s="15">
        <f>'Bldgs &amp; Rooms'!$B$3</f>
        <v>0</v>
      </c>
      <c r="C65" s="14" t="str">
        <f>Hours!$A$28</f>
        <v>Manual Transfer Switch (MTS) &gt; 100A</v>
      </c>
      <c r="D65" s="15">
        <f t="shared" si="0"/>
        <v>0</v>
      </c>
      <c r="E65" s="16">
        <f>IF('Components Yr 1'!E65=0,0,'Components Yr 1'!E65)</f>
        <v>0</v>
      </c>
      <c r="F65" s="17">
        <f>IF('Components Yr 1'!F65=0,0,'Components Yr 1'!F65)</f>
        <v>0</v>
      </c>
      <c r="G65" s="17">
        <f>IF('Components Yr 1'!G65=0,0,'Components Yr 1'!G65)</f>
        <v>0</v>
      </c>
      <c r="H65" s="17">
        <f>IF('Components Yr 1'!H65=0,0,'Components Yr 1'!H65)</f>
        <v>0</v>
      </c>
      <c r="I65" s="17">
        <f>IF('Components Yr 1'!I65=0,0,'Components Yr 1'!I65)</f>
        <v>0</v>
      </c>
      <c r="J65" s="17">
        <f>IF('Components Yr 1'!J65=0,0,'Components Yr 1'!J65)</f>
        <v>0</v>
      </c>
      <c r="K65" s="12"/>
      <c r="L65" s="12"/>
      <c r="M65" s="12"/>
      <c r="N65" s="12"/>
      <c r="O65" s="12"/>
      <c r="P65" s="12"/>
      <c r="Q65" s="17"/>
      <c r="R65" s="18">
        <f>IF(SUMPRODUCT((E65:Q65)*1)=0,0,E65*INDEX(Hours!M:M,MATCH(C65,Hours!$A:$A,0))+F65*INDEX(Hours!B:B,MATCH(C65,Hours!$A:$A,0))+G65*INDEX(Hours!C:C,MATCH(C65,Hours!$A:$A,0))+H65*INDEX(Hours!D:D,MATCH(C65,Hours!$A:$A,0))+I65*INDEX(Hours!E:E,MATCH(C65,Hours!$A:$A,0))+J65*INDEX(Hours!F:F,MATCH(C65,Hours!$A:$A,0)))</f>
        <v>0</v>
      </c>
      <c r="S65" s="19">
        <f t="shared" si="1"/>
        <v>0</v>
      </c>
    </row>
    <row r="66" spans="1:19" x14ac:dyDescent="0.25">
      <c r="A66" s="15" t="str">
        <f>'Bldgs &amp; Rooms'!$A$3</f>
        <v>Main Bldg.</v>
      </c>
      <c r="B66" s="15">
        <f>'Bldgs &amp; Rooms'!$B$3</f>
        <v>0</v>
      </c>
      <c r="C66" s="14" t="str">
        <f>Hours!$A$29</f>
        <v>Variable Frequency Drives (VFD) &lt; 50 HP</v>
      </c>
      <c r="D66" s="15">
        <f t="shared" ref="D66:D129" si="2">MAX(E66+F66,G66,H66,I66,J66,K66,L66,M66,N66,O66,P66,Q66)</f>
        <v>0</v>
      </c>
      <c r="E66" s="16">
        <f>IF('Components Yr 1'!E66=0,0,'Components Yr 1'!E66)</f>
        <v>0</v>
      </c>
      <c r="F66" s="17">
        <f>IF('Components Yr 1'!F66=0,0,'Components Yr 1'!F66)</f>
        <v>0</v>
      </c>
      <c r="G66" s="17">
        <f>IF('Components Yr 1'!G66=0,0,'Components Yr 1'!G66)</f>
        <v>0</v>
      </c>
      <c r="H66" s="17">
        <f>IF('Components Yr 1'!H66=0,0,'Components Yr 1'!H66)</f>
        <v>0</v>
      </c>
      <c r="I66" s="17">
        <f>IF('Components Yr 1'!I66=0,0,'Components Yr 1'!I66)</f>
        <v>0</v>
      </c>
      <c r="J66" s="17">
        <f>IF('Components Yr 1'!J66=0,0,'Components Yr 1'!J66)</f>
        <v>0</v>
      </c>
      <c r="K66" s="12"/>
      <c r="L66" s="12"/>
      <c r="M66" s="12"/>
      <c r="N66" s="12"/>
      <c r="O66" s="12"/>
      <c r="P66" s="12"/>
      <c r="Q66" s="17"/>
      <c r="R66" s="18">
        <f>IF(SUMPRODUCT((E66:Q66)*1)=0,0,E66*INDEX(Hours!M:M,MATCH(C66,Hours!$A:$A,0))+F66*INDEX(Hours!B:B,MATCH(C66,Hours!$A:$A,0))+G66*INDEX(Hours!C:C,MATCH(C66,Hours!$A:$A,0))+H66*INDEX(Hours!D:D,MATCH(C66,Hours!$A:$A,0))+I66*INDEX(Hours!E:E,MATCH(C66,Hours!$A:$A,0))+J66*INDEX(Hours!F:F,MATCH(C66,Hours!$A:$A,0)))</f>
        <v>0</v>
      </c>
      <c r="S66" s="19">
        <f t="shared" ref="S66:S129" si="3">MAX(E66+F66,G66,H66,I66,J66,K66,L66,M66,N66,O66,P66,Q66)</f>
        <v>0</v>
      </c>
    </row>
    <row r="67" spans="1:19" x14ac:dyDescent="0.25">
      <c r="A67" s="15" t="str">
        <f>'Bldgs &amp; Rooms'!$A$3</f>
        <v>Main Bldg.</v>
      </c>
      <c r="B67" s="15">
        <f>'Bldgs &amp; Rooms'!$B$3</f>
        <v>0</v>
      </c>
      <c r="C67" s="14" t="str">
        <f>Hours!$A$30</f>
        <v>Variable Frequency Drives (VFD) 51-200 HP</v>
      </c>
      <c r="D67" s="15">
        <f t="shared" si="2"/>
        <v>0</v>
      </c>
      <c r="E67" s="16">
        <f>IF('Components Yr 1'!E67=0,0,'Components Yr 1'!E67)</f>
        <v>0</v>
      </c>
      <c r="F67" s="17">
        <f>IF('Components Yr 1'!F67=0,0,'Components Yr 1'!F67)</f>
        <v>0</v>
      </c>
      <c r="G67" s="17">
        <f>IF('Components Yr 1'!G67=0,0,'Components Yr 1'!G67)</f>
        <v>0</v>
      </c>
      <c r="H67" s="17">
        <f>IF('Components Yr 1'!H67=0,0,'Components Yr 1'!H67)</f>
        <v>0</v>
      </c>
      <c r="I67" s="17">
        <f>IF('Components Yr 1'!I67=0,0,'Components Yr 1'!I67)</f>
        <v>0</v>
      </c>
      <c r="J67" s="17">
        <f>IF('Components Yr 1'!J67=0,0,'Components Yr 1'!J67)</f>
        <v>0</v>
      </c>
      <c r="K67" s="12"/>
      <c r="L67" s="12"/>
      <c r="M67" s="12"/>
      <c r="N67" s="12"/>
      <c r="O67" s="12"/>
      <c r="P67" s="12"/>
      <c r="Q67" s="17"/>
      <c r="R67" s="18">
        <f>IF(SUMPRODUCT((E67:Q67)*1)=0,0,E67*INDEX(Hours!M:M,MATCH(C67,Hours!$A:$A,0))+F67*INDEX(Hours!B:B,MATCH(C67,Hours!$A:$A,0))+G67*INDEX(Hours!C:C,MATCH(C67,Hours!$A:$A,0))+H67*INDEX(Hours!D:D,MATCH(C67,Hours!$A:$A,0))+I67*INDEX(Hours!E:E,MATCH(C67,Hours!$A:$A,0))+J67*INDEX(Hours!F:F,MATCH(C67,Hours!$A:$A,0)))</f>
        <v>0</v>
      </c>
      <c r="S67" s="19">
        <f t="shared" si="3"/>
        <v>0</v>
      </c>
    </row>
    <row r="68" spans="1:19" x14ac:dyDescent="0.25">
      <c r="A68" s="15" t="str">
        <f>'Bldgs &amp; Rooms'!$A$3</f>
        <v>Main Bldg.</v>
      </c>
      <c r="B68" s="15">
        <f>'Bldgs &amp; Rooms'!$B$3</f>
        <v>0</v>
      </c>
      <c r="C68" s="14" t="str">
        <f>Hours!$A$31</f>
        <v>Motors &lt; 50 HP</v>
      </c>
      <c r="D68" s="15">
        <f t="shared" si="2"/>
        <v>0</v>
      </c>
      <c r="E68" s="16">
        <f>IF('Components Yr 1'!E68=0,0,'Components Yr 1'!E68)</f>
        <v>0</v>
      </c>
      <c r="F68" s="17">
        <f>IF('Components Yr 1'!F68=0,0,'Components Yr 1'!F68)</f>
        <v>0</v>
      </c>
      <c r="G68" s="17">
        <f>IF('Components Yr 1'!G68=0,0,'Components Yr 1'!G68)</f>
        <v>0</v>
      </c>
      <c r="H68" s="17">
        <f>IF('Components Yr 1'!H68=0,0,'Components Yr 1'!H68)</f>
        <v>0</v>
      </c>
      <c r="I68" s="17">
        <f>IF('Components Yr 1'!I68=0,0,'Components Yr 1'!I68)</f>
        <v>0</v>
      </c>
      <c r="J68" s="17">
        <f>IF('Components Yr 1'!J68=0,0,'Components Yr 1'!J68)</f>
        <v>0</v>
      </c>
      <c r="K68" s="12"/>
      <c r="L68" s="12"/>
      <c r="M68" s="12"/>
      <c r="N68" s="12"/>
      <c r="O68" s="12"/>
      <c r="P68" s="12"/>
      <c r="Q68" s="17"/>
      <c r="R68" s="18">
        <f>IF(SUMPRODUCT((E68:Q68)*1)=0,0,E68*INDEX(Hours!M:M,MATCH(C68,Hours!$A:$A,0))+F68*INDEX(Hours!B:B,MATCH(C68,Hours!$A:$A,0))+G68*INDEX(Hours!C:C,MATCH(C68,Hours!$A:$A,0))+H68*INDEX(Hours!D:D,MATCH(C68,Hours!$A:$A,0))+I68*INDEX(Hours!E:E,MATCH(C68,Hours!$A:$A,0))+J68*INDEX(Hours!F:F,MATCH(C68,Hours!$A:$A,0)))</f>
        <v>0</v>
      </c>
      <c r="S68" s="19">
        <f t="shared" si="3"/>
        <v>0</v>
      </c>
    </row>
    <row r="69" spans="1:19" x14ac:dyDescent="0.25">
      <c r="A69" s="15" t="str">
        <f>'Bldgs &amp; Rooms'!$A$3</f>
        <v>Main Bldg.</v>
      </c>
      <c r="B69" s="15">
        <f>'Bldgs &amp; Rooms'!$B$3</f>
        <v>0</v>
      </c>
      <c r="C69" s="14" t="str">
        <f>Hours!$A$32</f>
        <v>Motors 51-200 HP</v>
      </c>
      <c r="D69" s="15">
        <f t="shared" si="2"/>
        <v>0</v>
      </c>
      <c r="E69" s="16">
        <f>IF('Components Yr 1'!E69=0,0,'Components Yr 1'!E69)</f>
        <v>0</v>
      </c>
      <c r="F69" s="17">
        <f>IF('Components Yr 1'!F69=0,0,'Components Yr 1'!F69)</f>
        <v>0</v>
      </c>
      <c r="G69" s="17">
        <f>IF('Components Yr 1'!G69=0,0,'Components Yr 1'!G69)</f>
        <v>0</v>
      </c>
      <c r="H69" s="17">
        <f>IF('Components Yr 1'!H69=0,0,'Components Yr 1'!H69)</f>
        <v>0</v>
      </c>
      <c r="I69" s="17">
        <f>IF('Components Yr 1'!I69=0,0,'Components Yr 1'!I69)</f>
        <v>0</v>
      </c>
      <c r="J69" s="17">
        <f>IF('Components Yr 1'!J69=0,0,'Components Yr 1'!J69)</f>
        <v>0</v>
      </c>
      <c r="K69" s="12"/>
      <c r="L69" s="12"/>
      <c r="M69" s="12"/>
      <c r="N69" s="12"/>
      <c r="O69" s="12"/>
      <c r="P69" s="12"/>
      <c r="Q69" s="17"/>
      <c r="R69" s="18">
        <f>IF(SUMPRODUCT((E69:Q69)*1)=0,0,E69*INDEX(Hours!M:M,MATCH(C69,Hours!$A:$A,0))+F69*INDEX(Hours!B:B,MATCH(C69,Hours!$A:$A,0))+G69*INDEX(Hours!C:C,MATCH(C69,Hours!$A:$A,0))+H69*INDEX(Hours!D:D,MATCH(C69,Hours!$A:$A,0))+I69*INDEX(Hours!E:E,MATCH(C69,Hours!$A:$A,0))+J69*INDEX(Hours!F:F,MATCH(C69,Hours!$A:$A,0)))</f>
        <v>0</v>
      </c>
      <c r="S69" s="19">
        <f t="shared" si="3"/>
        <v>0</v>
      </c>
    </row>
    <row r="70" spans="1:19" x14ac:dyDescent="0.25">
      <c r="A70" s="15" t="str">
        <f>'Bldgs &amp; Rooms'!$A$3</f>
        <v>Main Bldg.</v>
      </c>
      <c r="B70" s="15">
        <f>'Bldgs &amp; Rooms'!$B$3</f>
        <v>0</v>
      </c>
      <c r="C70" s="14" t="str">
        <f>Hours!$A$33</f>
        <v>Motors 201-500 HP</v>
      </c>
      <c r="D70" s="15">
        <f t="shared" si="2"/>
        <v>0</v>
      </c>
      <c r="E70" s="16">
        <f>IF('Components Yr 1'!E70=0,0,'Components Yr 1'!E70)</f>
        <v>0</v>
      </c>
      <c r="F70" s="17">
        <f>IF('Components Yr 1'!F70=0,0,'Components Yr 1'!F70)</f>
        <v>0</v>
      </c>
      <c r="G70" s="17">
        <f>IF('Components Yr 1'!G70=0,0,'Components Yr 1'!G70)</f>
        <v>0</v>
      </c>
      <c r="H70" s="17">
        <f>IF('Components Yr 1'!H70=0,0,'Components Yr 1'!H70)</f>
        <v>0</v>
      </c>
      <c r="I70" s="17">
        <f>IF('Components Yr 1'!I70=0,0,'Components Yr 1'!I70)</f>
        <v>0</v>
      </c>
      <c r="J70" s="17">
        <f>IF('Components Yr 1'!J70=0,0,'Components Yr 1'!J70)</f>
        <v>0</v>
      </c>
      <c r="K70" s="12"/>
      <c r="L70" s="12"/>
      <c r="M70" s="12"/>
      <c r="N70" s="12"/>
      <c r="O70" s="12"/>
      <c r="P70" s="12"/>
      <c r="Q70" s="17"/>
      <c r="R70" s="18">
        <f>IF(SUMPRODUCT((E70:Q70)*1)=0,0,E70*INDEX(Hours!M:M,MATCH(C70,Hours!$A:$A,0))+F70*INDEX(Hours!B:B,MATCH(C70,Hours!$A:$A,0))+G70*INDEX(Hours!C:C,MATCH(C70,Hours!$A:$A,0))+H70*INDEX(Hours!D:D,MATCH(C70,Hours!$A:$A,0))+I70*INDEX(Hours!E:E,MATCH(C70,Hours!$A:$A,0))+J70*INDEX(Hours!F:F,MATCH(C70,Hours!$A:$A,0)))</f>
        <v>0</v>
      </c>
      <c r="S70" s="19">
        <f t="shared" si="3"/>
        <v>0</v>
      </c>
    </row>
    <row r="71" spans="1:19" x14ac:dyDescent="0.25">
      <c r="A71" s="15" t="str">
        <f>'Bldgs &amp; Rooms'!$A$3</f>
        <v>Main Bldg.</v>
      </c>
      <c r="B71" s="15">
        <f>'Bldgs &amp; Rooms'!$B$3</f>
        <v>0</v>
      </c>
      <c r="C71" s="14" t="str">
        <f>Hours!$A$34</f>
        <v>Compressed Air Equipment</v>
      </c>
      <c r="D71" s="15">
        <f t="shared" si="2"/>
        <v>0</v>
      </c>
      <c r="E71" s="16">
        <f>IF('Components Yr 1'!E71=0,0,'Components Yr 1'!E71)</f>
        <v>0</v>
      </c>
      <c r="F71" s="17">
        <f>IF('Components Yr 1'!F71=0,0,'Components Yr 1'!F71)</f>
        <v>0</v>
      </c>
      <c r="G71" s="17">
        <f>IF('Components Yr 1'!G71=0,0,'Components Yr 1'!G71)</f>
        <v>0</v>
      </c>
      <c r="H71" s="17">
        <f>IF('Components Yr 1'!H71=0,0,'Components Yr 1'!H71)</f>
        <v>0</v>
      </c>
      <c r="I71" s="17">
        <f>IF('Components Yr 1'!I71=0,0,'Components Yr 1'!I71)</f>
        <v>0</v>
      </c>
      <c r="J71" s="17">
        <f>IF('Components Yr 1'!J71=0,0,'Components Yr 1'!J71)</f>
        <v>0</v>
      </c>
      <c r="K71" s="12"/>
      <c r="L71" s="12"/>
      <c r="M71" s="12"/>
      <c r="N71" s="12"/>
      <c r="O71" s="12"/>
      <c r="P71" s="12"/>
      <c r="Q71" s="17"/>
      <c r="R71" s="18">
        <f>IF(SUMPRODUCT((E71:Q71)*1)=0,0,E71*INDEX(Hours!M:M,MATCH(C71,Hours!$A:$A,0))+F71*INDEX(Hours!B:B,MATCH(C71,Hours!$A:$A,0))+G71*INDEX(Hours!C:C,MATCH(C71,Hours!$A:$A,0))+H71*INDEX(Hours!D:D,MATCH(C71,Hours!$A:$A,0))+I71*INDEX(Hours!E:E,MATCH(C71,Hours!$A:$A,0))+J71*INDEX(Hours!F:F,MATCH(C71,Hours!$A:$A,0)))</f>
        <v>0</v>
      </c>
      <c r="S71" s="19">
        <f t="shared" si="3"/>
        <v>0</v>
      </c>
    </row>
    <row r="72" spans="1:19" x14ac:dyDescent="0.25">
      <c r="A72" s="15" t="str">
        <f>'Bldgs &amp; Rooms'!$A$3</f>
        <v>Main Bldg.</v>
      </c>
      <c r="B72" s="15">
        <f>'Bldgs &amp; Rooms'!$B$3</f>
        <v>0</v>
      </c>
      <c r="C72" s="14" t="str">
        <f>Hours!$A$35</f>
        <v>HVAC Equipment (Large)</v>
      </c>
      <c r="D72" s="15">
        <f t="shared" si="2"/>
        <v>0</v>
      </c>
      <c r="E72" s="16">
        <f>IF('Components Yr 1'!E72=0,0,'Components Yr 1'!E72)</f>
        <v>0</v>
      </c>
      <c r="F72" s="17">
        <f>IF('Components Yr 1'!F72=0,0,'Components Yr 1'!F72)</f>
        <v>0</v>
      </c>
      <c r="G72" s="17">
        <f>IF('Components Yr 1'!G72=0,0,'Components Yr 1'!G72)</f>
        <v>0</v>
      </c>
      <c r="H72" s="17">
        <f>IF('Components Yr 1'!H72=0,0,'Components Yr 1'!H72)</f>
        <v>0</v>
      </c>
      <c r="I72" s="17">
        <f>IF('Components Yr 1'!I72=0,0,'Components Yr 1'!I72)</f>
        <v>0</v>
      </c>
      <c r="J72" s="17">
        <f>IF('Components Yr 1'!J72=0,0,'Components Yr 1'!J72)</f>
        <v>0</v>
      </c>
      <c r="K72" s="12"/>
      <c r="L72" s="12"/>
      <c r="M72" s="12"/>
      <c r="N72" s="12"/>
      <c r="O72" s="12"/>
      <c r="P72" s="12"/>
      <c r="Q72" s="17"/>
      <c r="R72" s="18">
        <f>IF(SUMPRODUCT((E72:Q72)*1)=0,0,E72*INDEX(Hours!M:M,MATCH(C72,Hours!$A:$A,0))+F72*INDEX(Hours!B:B,MATCH(C72,Hours!$A:$A,0))+G72*INDEX(Hours!C:C,MATCH(C72,Hours!$A:$A,0))+H72*INDEX(Hours!D:D,MATCH(C72,Hours!$A:$A,0))+I72*INDEX(Hours!E:E,MATCH(C72,Hours!$A:$A,0))+J72*INDEX(Hours!F:F,MATCH(C72,Hours!$A:$A,0)))</f>
        <v>0</v>
      </c>
      <c r="S72" s="19">
        <f t="shared" si="3"/>
        <v>0</v>
      </c>
    </row>
    <row r="73" spans="1:19" x14ac:dyDescent="0.25">
      <c r="A73" s="15" t="str">
        <f>'Bldgs &amp; Rooms'!$A$3</f>
        <v>Main Bldg.</v>
      </c>
      <c r="B73" s="15">
        <f>'Bldgs &amp; Rooms'!$B$3</f>
        <v>0</v>
      </c>
      <c r="C73" s="14" t="str">
        <f>Hours!$A$36</f>
        <v>HVAC Equipment (Small)</v>
      </c>
      <c r="D73" s="15">
        <f t="shared" si="2"/>
        <v>0</v>
      </c>
      <c r="E73" s="16">
        <f>IF('Components Yr 1'!E73=0,0,'Components Yr 1'!E73)</f>
        <v>0</v>
      </c>
      <c r="F73" s="17">
        <f>IF('Components Yr 1'!F73=0,0,'Components Yr 1'!F73)</f>
        <v>0</v>
      </c>
      <c r="G73" s="17">
        <f>IF('Components Yr 1'!G73=0,0,'Components Yr 1'!G73)</f>
        <v>0</v>
      </c>
      <c r="H73" s="17">
        <f>IF('Components Yr 1'!H73=0,0,'Components Yr 1'!H73)</f>
        <v>0</v>
      </c>
      <c r="I73" s="17">
        <f>IF('Components Yr 1'!I73=0,0,'Components Yr 1'!I73)</f>
        <v>0</v>
      </c>
      <c r="J73" s="17">
        <f>IF('Components Yr 1'!J73=0,0,'Components Yr 1'!J73)</f>
        <v>0</v>
      </c>
      <c r="K73" s="12"/>
      <c r="L73" s="12"/>
      <c r="M73" s="12"/>
      <c r="N73" s="12"/>
      <c r="O73" s="12"/>
      <c r="P73" s="12"/>
      <c r="Q73" s="17"/>
      <c r="R73" s="18">
        <f>IF(SUMPRODUCT((E73:Q73)*1)=0,0,E73*INDEX(Hours!M:M,MATCH(C73,Hours!$A:$A,0))+F73*INDEX(Hours!B:B,MATCH(C73,Hours!$A:$A,0))+G73*INDEX(Hours!C:C,MATCH(C73,Hours!$A:$A,0))+H73*INDEX(Hours!D:D,MATCH(C73,Hours!$A:$A,0))+I73*INDEX(Hours!E:E,MATCH(C73,Hours!$A:$A,0))+J73*INDEX(Hours!F:F,MATCH(C73,Hours!$A:$A,0)))</f>
        <v>0</v>
      </c>
      <c r="S73" s="19">
        <f t="shared" si="3"/>
        <v>0</v>
      </c>
    </row>
    <row r="74" spans="1:19" x14ac:dyDescent="0.25">
      <c r="A74" s="15" t="str">
        <f>'Bldgs &amp; Rooms'!$A$3</f>
        <v>Main Bldg.</v>
      </c>
      <c r="B74" s="15">
        <f>'Bldgs &amp; Rooms'!$B$3</f>
        <v>0</v>
      </c>
      <c r="C74" s="14" t="str">
        <f>Hours!$A$37</f>
        <v>Uninterruptible Power Supply (UPS) &lt; 50kVA</v>
      </c>
      <c r="D74" s="15">
        <f t="shared" si="2"/>
        <v>0</v>
      </c>
      <c r="E74" s="16">
        <f>IF('Components Yr 1'!E74=0,0,'Components Yr 1'!E74)</f>
        <v>0</v>
      </c>
      <c r="F74" s="17">
        <f>IF('Components Yr 1'!F74=0,0,'Components Yr 1'!F74)</f>
        <v>0</v>
      </c>
      <c r="G74" s="17">
        <f>IF('Components Yr 1'!G74=0,0,'Components Yr 1'!G74)</f>
        <v>0</v>
      </c>
      <c r="H74" s="17">
        <f>IF('Components Yr 1'!H74=0,0,'Components Yr 1'!H74)</f>
        <v>0</v>
      </c>
      <c r="I74" s="17">
        <f>IF('Components Yr 1'!I74=0,0,'Components Yr 1'!I74)</f>
        <v>0</v>
      </c>
      <c r="J74" s="17">
        <f>IF('Components Yr 1'!J74=0,0,'Components Yr 1'!J74)</f>
        <v>0</v>
      </c>
      <c r="K74" s="12"/>
      <c r="L74" s="12"/>
      <c r="M74" s="12"/>
      <c r="N74" s="12"/>
      <c r="O74" s="12"/>
      <c r="P74" s="12"/>
      <c r="Q74" s="17"/>
      <c r="R74" s="18">
        <f>IF(SUMPRODUCT((E74:Q74)*1)=0,0,E74*INDEX(Hours!M:M,MATCH(C74,Hours!$A:$A,0))+F74*INDEX(Hours!B:B,MATCH(C74,Hours!$A:$A,0))+G74*INDEX(Hours!C:C,MATCH(C74,Hours!$A:$A,0))+H74*INDEX(Hours!D:D,MATCH(C74,Hours!$A:$A,0))+I74*INDEX(Hours!E:E,MATCH(C74,Hours!$A:$A,0))+J74*INDEX(Hours!F:F,MATCH(C74,Hours!$A:$A,0)))</f>
        <v>0</v>
      </c>
      <c r="S74" s="19">
        <f t="shared" si="3"/>
        <v>0</v>
      </c>
    </row>
    <row r="75" spans="1:19" x14ac:dyDescent="0.25">
      <c r="A75" s="15" t="str">
        <f>'Bldgs &amp; Rooms'!$A$3</f>
        <v>Main Bldg.</v>
      </c>
      <c r="B75" s="15">
        <f>'Bldgs &amp; Rooms'!$B$3</f>
        <v>0</v>
      </c>
      <c r="C75" s="14" t="str">
        <f>Hours!$A$38</f>
        <v>Uninterruptible Power Supply (UPS) &gt; 50kVA</v>
      </c>
      <c r="D75" s="15">
        <f t="shared" si="2"/>
        <v>0</v>
      </c>
      <c r="E75" s="16">
        <f>IF('Components Yr 1'!E75=0,0,'Components Yr 1'!E75)</f>
        <v>0</v>
      </c>
      <c r="F75" s="17">
        <f>IF('Components Yr 1'!F75=0,0,'Components Yr 1'!F75)</f>
        <v>0</v>
      </c>
      <c r="G75" s="17">
        <f>IF('Components Yr 1'!G75=0,0,'Components Yr 1'!G75)</f>
        <v>0</v>
      </c>
      <c r="H75" s="17">
        <f>IF('Components Yr 1'!H75=0,0,'Components Yr 1'!H75)</f>
        <v>0</v>
      </c>
      <c r="I75" s="17">
        <f>IF('Components Yr 1'!I75=0,0,'Components Yr 1'!I75)</f>
        <v>0</v>
      </c>
      <c r="J75" s="17">
        <f>IF('Components Yr 1'!J75=0,0,'Components Yr 1'!J75)</f>
        <v>0</v>
      </c>
      <c r="K75" s="12"/>
      <c r="L75" s="12"/>
      <c r="M75" s="12"/>
      <c r="N75" s="12"/>
      <c r="O75" s="12"/>
      <c r="P75" s="12"/>
      <c r="Q75" s="17"/>
      <c r="R75" s="18">
        <f>IF(SUMPRODUCT((E75:Q75)*1)=0,0,E75*INDEX(Hours!M:M,MATCH(C75,Hours!$A:$A,0))+F75*INDEX(Hours!B:B,MATCH(C75,Hours!$A:$A,0))+G75*INDEX(Hours!C:C,MATCH(C75,Hours!$A:$A,0))+H75*INDEX(Hours!D:D,MATCH(C75,Hours!$A:$A,0))+I75*INDEX(Hours!E:E,MATCH(C75,Hours!$A:$A,0))+J75*INDEX(Hours!F:F,MATCH(C75,Hours!$A:$A,0)))</f>
        <v>0</v>
      </c>
      <c r="S75" s="19">
        <f t="shared" si="3"/>
        <v>0</v>
      </c>
    </row>
    <row r="76" spans="1:19" x14ac:dyDescent="0.25">
      <c r="A76" s="11" t="str">
        <f>'Bldgs &amp; Rooms'!$A$4</f>
        <v>Main Bldg.</v>
      </c>
      <c r="B76" s="11">
        <f>'Bldgs &amp; Rooms'!$B$4</f>
        <v>0</v>
      </c>
      <c r="C76" s="10" t="str">
        <f>Hours!$A$2</f>
        <v>Switchgear - Incoming Main Service (Per Section)</v>
      </c>
      <c r="D76" s="11">
        <f t="shared" si="2"/>
        <v>0</v>
      </c>
      <c r="E76" s="16">
        <f>IF('Components Yr 1'!E76=0,0,'Components Yr 1'!E76)</f>
        <v>0</v>
      </c>
      <c r="F76" s="17">
        <f>IF('Components Yr 1'!F76=0,0,'Components Yr 1'!F76)</f>
        <v>0</v>
      </c>
      <c r="G76" s="17">
        <f>IF('Components Yr 1'!G76=0,0,'Components Yr 1'!G76)</f>
        <v>0</v>
      </c>
      <c r="H76" s="17">
        <f>IF('Components Yr 1'!H76=0,0,'Components Yr 1'!H76)</f>
        <v>0</v>
      </c>
      <c r="I76" s="17">
        <f>IF('Components Yr 1'!I76=0,0,'Components Yr 1'!I76)</f>
        <v>0</v>
      </c>
      <c r="J76" s="17">
        <f>IF('Components Yr 1'!J76=0,0,'Components Yr 1'!J76)</f>
        <v>0</v>
      </c>
      <c r="K76" s="17">
        <f>IF('Components Yr 1'!K76=0,0,'Components Yr 1'!K76)</f>
        <v>0</v>
      </c>
      <c r="L76" s="17">
        <f>IF('Components Yr 1'!L76=0,0,'Components Yr 1'!L76)</f>
        <v>0</v>
      </c>
      <c r="M76" s="12"/>
      <c r="N76" s="12"/>
      <c r="O76" s="17">
        <f>IF('Components Yr 1'!O76=0,0,'Components Yr 1'!O76)</f>
        <v>0</v>
      </c>
      <c r="P76" s="12"/>
      <c r="Q76" s="17"/>
      <c r="R76" s="18">
        <f>IF(SUMPRODUCT((E76:Q76)*1)=0,0,E76*INDEX(Hours!M:M,MATCH(C76,Hours!$A:$A,0))+F76*INDEX(Hours!B:B,MATCH(C76,Hours!$A:$A,0))+G76*INDEX(Hours!C:C,MATCH(C76,Hours!$A:$A,0))+H76*INDEX(Hours!D:D,MATCH(C76,Hours!$A:$A,0))+I76*INDEX(Hours!E:E,MATCH(C76,Hours!$A:$A,0))+J76*INDEX(Hours!F:F,MATCH(C76,Hours!$A:$A,0))+K76*INDEX(Hours!G:G,MATCH(C76,Hours!$A:$A,0))+L76*INDEX(Hours!H:H,MATCH(C76,Hours!$A:$A,0))+O76*INDEX(Hours!K:K,MATCH(C76,Hours!$A:$A,0)))</f>
        <v>0</v>
      </c>
      <c r="S76" s="19">
        <f t="shared" si="3"/>
        <v>0</v>
      </c>
    </row>
    <row r="77" spans="1:19" x14ac:dyDescent="0.25">
      <c r="A77" s="11" t="str">
        <f>'Bldgs &amp; Rooms'!$A$4</f>
        <v>Main Bldg.</v>
      </c>
      <c r="B77" s="11">
        <f>'Bldgs &amp; Rooms'!$B$4</f>
        <v>0</v>
      </c>
      <c r="C77" s="10" t="str">
        <f>Hours!$A$3</f>
        <v xml:space="preserve">  Switchgear Insulated Case Breakers (Bus Mounted)</v>
      </c>
      <c r="D77" s="11">
        <f t="shared" si="2"/>
        <v>0</v>
      </c>
      <c r="E77" s="16">
        <f>IF('Components Yr 1'!E77=0,0,'Components Yr 1'!E77)</f>
        <v>0</v>
      </c>
      <c r="F77" s="17">
        <f>IF('Components Yr 1'!F77=0,0,'Components Yr 1'!F77)</f>
        <v>0</v>
      </c>
      <c r="G77" s="17">
        <f>IF('Components Yr 1'!G77=0,0,'Components Yr 1'!G77)</f>
        <v>0</v>
      </c>
      <c r="H77" s="17">
        <f>IF('Components Yr 1'!H77=0,0,'Components Yr 1'!H77)</f>
        <v>0</v>
      </c>
      <c r="I77" s="17">
        <f>IF('Components Yr 1'!I77=0,0,'Components Yr 1'!I77)</f>
        <v>0</v>
      </c>
      <c r="J77" s="17">
        <f>IF('Components Yr 1'!J77=0,0,'Components Yr 1'!J77)</f>
        <v>0</v>
      </c>
      <c r="K77" s="17">
        <f>IF('Components Yr 1'!K77=0,0,'Components Yr 1'!K77)</f>
        <v>0</v>
      </c>
      <c r="L77" s="12"/>
      <c r="M77" s="12"/>
      <c r="N77" s="12"/>
      <c r="O77" s="12"/>
      <c r="P77" s="12"/>
      <c r="Q77" s="17"/>
      <c r="R77" s="18">
        <f>IF(SUMPRODUCT((E77:Q77)*1)=0,0,E77*INDEX(Hours!M:M,MATCH(C77,Hours!$A:$A,0))+F77*INDEX(Hours!B:B,MATCH(C77,Hours!$A:$A,0))+G77*INDEX(Hours!C:C,MATCH(C77,Hours!$A:$A,0))+H77*INDEX(Hours!D:D,MATCH(C77,Hours!$A:$A,0))+I77*INDEX(Hours!E:E,MATCH(C77,Hours!$A:$A,0))+J77*INDEX(Hours!F:F,MATCH(C77,Hours!$A:$A,0))+K77*INDEX(Hours!G:G,MATCH(C77,Hours!$A:$A,0)))</f>
        <v>0</v>
      </c>
      <c r="S77" s="19">
        <f t="shared" si="3"/>
        <v>0</v>
      </c>
    </row>
    <row r="78" spans="1:19" x14ac:dyDescent="0.25">
      <c r="A78" s="11" t="str">
        <f>'Bldgs &amp; Rooms'!$A$4</f>
        <v>Main Bldg.</v>
      </c>
      <c r="B78" s="11">
        <f>'Bldgs &amp; Rooms'!$B$4</f>
        <v>0</v>
      </c>
      <c r="C78" s="10" t="str">
        <f>Hours!$A$4</f>
        <v xml:space="preserve">  SwitchGear Drawout Breakers</v>
      </c>
      <c r="D78" s="11">
        <f t="shared" si="2"/>
        <v>0</v>
      </c>
      <c r="E78" s="16">
        <f>IF('Components Yr 1'!E78=0,0,'Components Yr 1'!E78)</f>
        <v>0</v>
      </c>
      <c r="F78" s="17">
        <f>IF('Components Yr 1'!F78=0,0,'Components Yr 1'!F78)</f>
        <v>0</v>
      </c>
      <c r="G78" s="17">
        <f>IF('Components Yr 1'!G78=0,0,'Components Yr 1'!G78)</f>
        <v>0</v>
      </c>
      <c r="H78" s="17">
        <f>IF('Components Yr 1'!H78=0,0,'Components Yr 1'!H78)</f>
        <v>0</v>
      </c>
      <c r="I78" s="17">
        <f>IF('Components Yr 1'!I78=0,0,'Components Yr 1'!I78)</f>
        <v>0</v>
      </c>
      <c r="J78" s="17">
        <f>IF('Components Yr 1'!J78=0,0,'Components Yr 1'!J78)</f>
        <v>0</v>
      </c>
      <c r="K78" s="12"/>
      <c r="L78" s="17">
        <f>IF('Components Yr 1'!L78=0,0,'Components Yr 1'!L78)</f>
        <v>0</v>
      </c>
      <c r="M78" s="12"/>
      <c r="N78" s="12"/>
      <c r="O78" s="12"/>
      <c r="P78" s="12"/>
      <c r="Q78" s="17"/>
      <c r="R78" s="18">
        <f>IF(SUMPRODUCT((E78:Q78)*1)=0,0,E78*INDEX(Hours!M:M,MATCH(C78,Hours!$A:$A,0))+F78*INDEX(Hours!B:B,MATCH(C78,Hours!$A:$A,0))+G78*INDEX(Hours!C:C,MATCH(C78,Hours!$A:$A,0))+H78*INDEX(Hours!D:D,MATCH(C78,Hours!$A:$A,0))+I78*INDEX(Hours!E:E,MATCH(C78,Hours!$A:$A,0))+J78*INDEX(Hours!F:F,MATCH(C78,Hours!$A:$A,0))+L78*INDEX(Hours!H:H,MATCH(C78,Hours!$A:$A,0)))</f>
        <v>0</v>
      </c>
      <c r="S78" s="19">
        <f t="shared" si="3"/>
        <v>0</v>
      </c>
    </row>
    <row r="79" spans="1:19" x14ac:dyDescent="0.25">
      <c r="A79" s="11" t="str">
        <f>'Bldgs &amp; Rooms'!$A$4</f>
        <v>Main Bldg.</v>
      </c>
      <c r="B79" s="11">
        <f>'Bldgs &amp; Rooms'!$B$4</f>
        <v>0</v>
      </c>
      <c r="C79" s="10" t="str">
        <f>Hours!$A$5</f>
        <v>Distribution Switchboard Multi Cover (Per Section)</v>
      </c>
      <c r="D79" s="11">
        <f t="shared" si="2"/>
        <v>0</v>
      </c>
      <c r="E79" s="16">
        <f>IF('Components Yr 1'!E79=0,0,'Components Yr 1'!E79)</f>
        <v>0</v>
      </c>
      <c r="F79" s="17">
        <f>IF('Components Yr 1'!F79=0,0,'Components Yr 1'!F79)</f>
        <v>0</v>
      </c>
      <c r="G79" s="17">
        <f>IF('Components Yr 1'!G79=0,0,'Components Yr 1'!G79)</f>
        <v>0</v>
      </c>
      <c r="H79" s="17">
        <f>IF('Components Yr 1'!H79=0,0,'Components Yr 1'!H79)</f>
        <v>0</v>
      </c>
      <c r="I79" s="17">
        <f>IF('Components Yr 1'!I79=0,0,'Components Yr 1'!I79)</f>
        <v>0</v>
      </c>
      <c r="J79" s="17">
        <f>IF('Components Yr 1'!J79=0,0,'Components Yr 1'!J79)</f>
        <v>0</v>
      </c>
      <c r="K79" s="17">
        <f>IF('Components Yr 1'!K79=0,0,'Components Yr 1'!K79)</f>
        <v>0</v>
      </c>
      <c r="L79" s="12"/>
      <c r="M79" s="12"/>
      <c r="N79" s="12"/>
      <c r="O79" s="17">
        <f>IF('Components Yr 1'!O79=0,0,'Components Yr 1'!O79)</f>
        <v>0</v>
      </c>
      <c r="P79" s="12"/>
      <c r="Q79" s="17"/>
      <c r="R79" s="18">
        <f>IF(SUMPRODUCT((E79:Q79)*1)=0,0,E79*INDEX(Hours!M:M,MATCH(C79,Hours!$A:$A,0))+F79*INDEX(Hours!B:B,MATCH(C79,Hours!$A:$A,0))+G79*INDEX(Hours!C:C,MATCH(C79,Hours!$A:$A,0))+H79*INDEX(Hours!D:D,MATCH(C79,Hours!$A:$A,0))+I79*INDEX(Hours!E:E,MATCH(C79,Hours!$A:$A,0))+J79*INDEX(Hours!F:F,MATCH(C79,Hours!$A:$A,0))+K79*INDEX(Hours!G:G,MATCH(C79,Hours!$A:$A,0))+O79*INDEX(Hours!K:K,MATCH(C79,Hours!$A:$A,0)))</f>
        <v>0</v>
      </c>
      <c r="S79" s="19">
        <f t="shared" si="3"/>
        <v>0</v>
      </c>
    </row>
    <row r="80" spans="1:19" x14ac:dyDescent="0.25">
      <c r="A80" s="11" t="str">
        <f>'Bldgs &amp; Rooms'!$A$4</f>
        <v>Main Bldg.</v>
      </c>
      <c r="B80" s="11">
        <f>'Bldgs &amp; Rooms'!$B$4</f>
        <v>0</v>
      </c>
      <c r="C80" s="10" t="str">
        <f>Hours!$A$6</f>
        <v xml:space="preserve">  Switchboard Disconnects</v>
      </c>
      <c r="D80" s="11">
        <f t="shared" si="2"/>
        <v>0</v>
      </c>
      <c r="E80" s="16">
        <f>IF('Components Yr 1'!E80=0,0,'Components Yr 1'!E80)</f>
        <v>0</v>
      </c>
      <c r="F80" s="17">
        <f>IF('Components Yr 1'!F80=0,0,'Components Yr 1'!F80)</f>
        <v>0</v>
      </c>
      <c r="G80" s="17">
        <f>IF('Components Yr 1'!G80=0,0,'Components Yr 1'!G80)</f>
        <v>0</v>
      </c>
      <c r="H80" s="17">
        <f>IF('Components Yr 1'!H80=0,0,'Components Yr 1'!H80)</f>
        <v>0</v>
      </c>
      <c r="I80" s="17">
        <f>IF('Components Yr 1'!I80=0,0,'Components Yr 1'!I80)</f>
        <v>0</v>
      </c>
      <c r="J80" s="17">
        <f>IF('Components Yr 1'!J80=0,0,'Components Yr 1'!J80)</f>
        <v>0</v>
      </c>
      <c r="K80" s="12"/>
      <c r="L80" s="12"/>
      <c r="M80" s="12"/>
      <c r="N80" s="12"/>
      <c r="O80" s="12"/>
      <c r="P80" s="12"/>
      <c r="Q80" s="17"/>
      <c r="R80" s="18">
        <f>IF(SUMPRODUCT((E80:Q80)*1)=0,0,E80*INDEX(Hours!M:M,MATCH(C80,Hours!$A:$A,0))+F80*INDEX(Hours!B:B,MATCH(C80,Hours!$A:$A,0))+G80*INDEX(Hours!C:C,MATCH(C80,Hours!$A:$A,0))+H80*INDEX(Hours!D:D,MATCH(C80,Hours!$A:$A,0))+I80*INDEX(Hours!E:E,MATCH(C80,Hours!$A:$A,0))+J80*INDEX(Hours!F:F,MATCH(C80,Hours!$A:$A,0)))</f>
        <v>0</v>
      </c>
      <c r="S80" s="19">
        <f t="shared" si="3"/>
        <v>0</v>
      </c>
    </row>
    <row r="81" spans="1:19" x14ac:dyDescent="0.25">
      <c r="A81" s="11" t="str">
        <f>'Bldgs &amp; Rooms'!$A$4</f>
        <v>Main Bldg.</v>
      </c>
      <c r="B81" s="11">
        <f>'Bldgs &amp; Rooms'!$B$4</f>
        <v>0</v>
      </c>
      <c r="C81" s="10" t="str">
        <f>Hours!$A$7</f>
        <v xml:space="preserve">  Switchboard Molded Case Breakers</v>
      </c>
      <c r="D81" s="11">
        <f t="shared" si="2"/>
        <v>0</v>
      </c>
      <c r="E81" s="16">
        <f>IF('Components Yr 1'!E81=0,0,'Components Yr 1'!E81)</f>
        <v>0</v>
      </c>
      <c r="F81" s="17">
        <f>IF('Components Yr 1'!F81=0,0,'Components Yr 1'!F81)</f>
        <v>0</v>
      </c>
      <c r="G81" s="17">
        <f>IF('Components Yr 1'!G81=0,0,'Components Yr 1'!G81)</f>
        <v>0</v>
      </c>
      <c r="H81" s="17">
        <f>IF('Components Yr 1'!H81=0,0,'Components Yr 1'!H81)</f>
        <v>0</v>
      </c>
      <c r="I81" s="17">
        <f>IF('Components Yr 1'!I81=0,0,'Components Yr 1'!I81)</f>
        <v>0</v>
      </c>
      <c r="J81" s="17">
        <f>IF('Components Yr 1'!J81=0,0,'Components Yr 1'!J81)</f>
        <v>0</v>
      </c>
      <c r="K81" s="17">
        <f>IF('Components Yr 1'!K81=0,0,'Components Yr 1'!K81)</f>
        <v>0</v>
      </c>
      <c r="L81" s="12"/>
      <c r="M81" s="12"/>
      <c r="N81" s="12"/>
      <c r="O81" s="12"/>
      <c r="P81" s="12"/>
      <c r="Q81" s="17"/>
      <c r="R81" s="18">
        <f>IF(SUMPRODUCT((E81:Q81)*1)=0,0,E81*INDEX(Hours!M:M,MATCH(C81,Hours!$A:$A,0))+F81*INDEX(Hours!B:B,MATCH(C81,Hours!$A:$A,0))+G81*INDEX(Hours!C:C,MATCH(C81,Hours!$A:$A,0))+H81*INDEX(Hours!D:D,MATCH(C81,Hours!$A:$A,0))+I81*INDEX(Hours!E:E,MATCH(C81,Hours!$A:$A,0))+J81*INDEX(Hours!F:F,MATCH(C81,Hours!$A:$A,0))+K81*INDEX(Hours!G:G,MATCH(C81,Hours!$A:$A,0)))</f>
        <v>0</v>
      </c>
      <c r="S81" s="19">
        <f t="shared" si="3"/>
        <v>0</v>
      </c>
    </row>
    <row r="82" spans="1:19" x14ac:dyDescent="0.25">
      <c r="A82" s="11" t="str">
        <f>'Bldgs &amp; Rooms'!$A$4</f>
        <v>Main Bldg.</v>
      </c>
      <c r="B82" s="11">
        <f>'Bldgs &amp; Rooms'!$B$4</f>
        <v>0</v>
      </c>
      <c r="C82" s="10" t="str">
        <f>Hours!$A$8</f>
        <v>Panelboard-Single Cover &gt; 400A (Distribution Panel)</v>
      </c>
      <c r="D82" s="11">
        <f t="shared" si="2"/>
        <v>0</v>
      </c>
      <c r="E82" s="16">
        <f>IF('Components Yr 1'!E82=0,0,'Components Yr 1'!E82)</f>
        <v>0</v>
      </c>
      <c r="F82" s="17">
        <f>IF('Components Yr 1'!F82=0,0,'Components Yr 1'!F82)</f>
        <v>0</v>
      </c>
      <c r="G82" s="17">
        <f>IF('Components Yr 1'!G82=0,0,'Components Yr 1'!G82)</f>
        <v>0</v>
      </c>
      <c r="H82" s="17">
        <f>IF('Components Yr 1'!H82=0,0,'Components Yr 1'!H82)</f>
        <v>0</v>
      </c>
      <c r="I82" s="17">
        <f>IF('Components Yr 1'!I82=0,0,'Components Yr 1'!I82)</f>
        <v>0</v>
      </c>
      <c r="J82" s="17">
        <f>IF('Components Yr 1'!J82=0,0,'Components Yr 1'!J82)</f>
        <v>0</v>
      </c>
      <c r="K82" s="17">
        <f>IF('Components Yr 1'!K82=0,0,'Components Yr 1'!K82)</f>
        <v>0</v>
      </c>
      <c r="L82" s="12"/>
      <c r="M82" s="12"/>
      <c r="N82" s="12"/>
      <c r="O82" s="17">
        <f>IF('Components Yr 1'!O82=0,0,'Components Yr 1'!O82)</f>
        <v>0</v>
      </c>
      <c r="P82" s="12"/>
      <c r="Q82" s="17"/>
      <c r="R82" s="18">
        <f>IF(SUMPRODUCT((E82:Q82)*1)=0,0,E82*INDEX(Hours!M:M,MATCH(C82,Hours!$A:$A,0))+F82*INDEX(Hours!B:B,MATCH(C82,Hours!$A:$A,0))+G82*INDEX(Hours!C:C,MATCH(C82,Hours!$A:$A,0))+H82*INDEX(Hours!D:D,MATCH(C82,Hours!$A:$A,0))+I82*INDEX(Hours!E:E,MATCH(C82,Hours!$A:$A,0))+J82*INDEX(Hours!F:F,MATCH(C82,Hours!$A:$A,0))+K82*INDEX(Hours!G:G,MATCH(C82,Hours!$A:$A,0))+O82*INDEX(Hours!K:K,MATCH(C82,Hours!$A:$A,0)))</f>
        <v>0</v>
      </c>
      <c r="S82" s="19">
        <f t="shared" si="3"/>
        <v>0</v>
      </c>
    </row>
    <row r="83" spans="1:19" x14ac:dyDescent="0.25">
      <c r="A83" s="11" t="str">
        <f>'Bldgs &amp; Rooms'!$A$4</f>
        <v>Main Bldg.</v>
      </c>
      <c r="B83" s="11">
        <f>'Bldgs &amp; Rooms'!$B$4</f>
        <v>0</v>
      </c>
      <c r="C83" s="10" t="str">
        <f>Hours!$A$9</f>
        <v>Panelboard-Single Cover &lt; 400A (Branch Ckt Panel)</v>
      </c>
      <c r="D83" s="11">
        <f t="shared" si="2"/>
        <v>0</v>
      </c>
      <c r="E83" s="16">
        <f>IF('Components Yr 1'!E83=0,0,'Components Yr 1'!E83)</f>
        <v>0</v>
      </c>
      <c r="F83" s="17">
        <f>IF('Components Yr 1'!F83=0,0,'Components Yr 1'!F83)</f>
        <v>0</v>
      </c>
      <c r="G83" s="17">
        <f>IF('Components Yr 1'!G83=0,0,'Components Yr 1'!G83)</f>
        <v>0</v>
      </c>
      <c r="H83" s="17">
        <f>IF('Components Yr 1'!H83=0,0,'Components Yr 1'!H83)</f>
        <v>0</v>
      </c>
      <c r="I83" s="17">
        <f>IF('Components Yr 1'!I83=0,0,'Components Yr 1'!I83)</f>
        <v>0</v>
      </c>
      <c r="J83" s="17">
        <f>IF('Components Yr 1'!J83=0,0,'Components Yr 1'!J83)</f>
        <v>0</v>
      </c>
      <c r="K83" s="12"/>
      <c r="L83" s="12"/>
      <c r="M83" s="12"/>
      <c r="N83" s="12"/>
      <c r="O83" s="17">
        <f>IF('Components Yr 1'!O83=0,0,'Components Yr 1'!O83)</f>
        <v>0</v>
      </c>
      <c r="P83" s="12"/>
      <c r="Q83" s="17"/>
      <c r="R83" s="18">
        <f>IF(SUMPRODUCT((E83:Q83)*1)=0,0,E83*INDEX(Hours!M:M,MATCH(C83,Hours!$A:$A,0))+F83*INDEX(Hours!B:B,MATCH(C83,Hours!$A:$A,0))+G83*INDEX(Hours!C:C,MATCH(C83,Hours!$A:$A,0))+H83*INDEX(Hours!D:D,MATCH(C83,Hours!$A:$A,0))+I83*INDEX(Hours!E:E,MATCH(C83,Hours!$A:$A,0))+J83*INDEX(Hours!F:F,MATCH(C83,Hours!$A:$A,0))+O83*INDEX(Hours!K:K,MATCH(C83,Hours!$A:$A,0)))</f>
        <v>0</v>
      </c>
      <c r="S83" s="19">
        <f t="shared" si="3"/>
        <v>0</v>
      </c>
    </row>
    <row r="84" spans="1:19" x14ac:dyDescent="0.25">
      <c r="A84" s="11" t="str">
        <f>'Bldgs &amp; Rooms'!$A$4</f>
        <v>Main Bldg.</v>
      </c>
      <c r="B84" s="11">
        <f>'Bldgs &amp; Rooms'!$B$4</f>
        <v>0</v>
      </c>
      <c r="C84" s="10" t="str">
        <f>Hours!$A$10</f>
        <v>Motor Control Center (MCC-Per Vertical Section)</v>
      </c>
      <c r="D84" s="11">
        <f t="shared" si="2"/>
        <v>0</v>
      </c>
      <c r="E84" s="16">
        <f>IF('Components Yr 1'!E84=0,0,'Components Yr 1'!E84)</f>
        <v>0</v>
      </c>
      <c r="F84" s="17">
        <f>IF('Components Yr 1'!F84=0,0,'Components Yr 1'!F84)</f>
        <v>0</v>
      </c>
      <c r="G84" s="17">
        <f>IF('Components Yr 1'!G84=0,0,'Components Yr 1'!G84)</f>
        <v>0</v>
      </c>
      <c r="H84" s="17">
        <f>IF('Components Yr 1'!H84=0,0,'Components Yr 1'!H84)</f>
        <v>0</v>
      </c>
      <c r="I84" s="17">
        <f>IF('Components Yr 1'!I84=0,0,'Components Yr 1'!I84)</f>
        <v>0</v>
      </c>
      <c r="J84" s="17">
        <f>IF('Components Yr 1'!J84=0,0,'Components Yr 1'!J84)</f>
        <v>0</v>
      </c>
      <c r="K84" s="12"/>
      <c r="L84" s="12"/>
      <c r="M84" s="12"/>
      <c r="N84" s="12"/>
      <c r="O84" s="17">
        <f>IF('Components Yr 1'!O84=0,0,'Components Yr 1'!O84)</f>
        <v>0</v>
      </c>
      <c r="P84" s="12"/>
      <c r="Q84" s="17"/>
      <c r="R84" s="18">
        <f>IF(SUMPRODUCT((E84:Q84)*1)=0,0,E84*INDEX(Hours!M:M,MATCH(C84,Hours!$A:$A,0))+F84*INDEX(Hours!B:B,MATCH(C84,Hours!$A:$A,0))+G84*INDEX(Hours!C:C,MATCH(C84,Hours!$A:$A,0))+H84*INDEX(Hours!D:D,MATCH(C84,Hours!$A:$A,0))+I84*INDEX(Hours!E:E,MATCH(C84,Hours!$A:$A,0))+J84*INDEX(Hours!F:F,MATCH(C84,Hours!$A:$A,0))+O84*INDEX(Hours!K:K,MATCH(C84,Hours!$A:$A,0)))</f>
        <v>0</v>
      </c>
      <c r="S84" s="19">
        <f t="shared" si="3"/>
        <v>0</v>
      </c>
    </row>
    <row r="85" spans="1:19" x14ac:dyDescent="0.25">
      <c r="A85" s="11" t="str">
        <f>'Bldgs &amp; Rooms'!$A$4</f>
        <v>Main Bldg.</v>
      </c>
      <c r="B85" s="11">
        <f>'Bldgs &amp; Rooms'!$B$4</f>
        <v>0</v>
      </c>
      <c r="C85" s="10" t="str">
        <f>Hours!$A$11</f>
        <v xml:space="preserve">  MCC: Combination Motor Starters</v>
      </c>
      <c r="D85" s="11">
        <f t="shared" si="2"/>
        <v>0</v>
      </c>
      <c r="E85" s="16">
        <f>IF('Components Yr 1'!E85=0,0,'Components Yr 1'!E85)</f>
        <v>0</v>
      </c>
      <c r="F85" s="17">
        <f>IF('Components Yr 1'!F85=0,0,'Components Yr 1'!F85)</f>
        <v>0</v>
      </c>
      <c r="G85" s="17">
        <f>IF('Components Yr 1'!G85=0,0,'Components Yr 1'!G85)</f>
        <v>0</v>
      </c>
      <c r="H85" s="17">
        <f>IF('Components Yr 1'!H85=0,0,'Components Yr 1'!H85)</f>
        <v>0</v>
      </c>
      <c r="I85" s="17">
        <f>IF('Components Yr 1'!I85=0,0,'Components Yr 1'!I85)</f>
        <v>0</v>
      </c>
      <c r="J85" s="17">
        <f>IF('Components Yr 1'!J85=0,0,'Components Yr 1'!J85)</f>
        <v>0</v>
      </c>
      <c r="K85" s="17">
        <f>IF('Components Yr 1'!K85=0,0,'Components Yr 1'!K85)</f>
        <v>0</v>
      </c>
      <c r="L85" s="12"/>
      <c r="M85" s="12"/>
      <c r="N85" s="12"/>
      <c r="O85" s="17">
        <f>IF('Components Yr 1'!O85=0,0,'Components Yr 1'!O85)</f>
        <v>0</v>
      </c>
      <c r="P85" s="12"/>
      <c r="Q85" s="17"/>
      <c r="R85" s="18">
        <f>IF(SUMPRODUCT((E85:Q85)*1)=0,0,E85*INDEX(Hours!M:M,MATCH(C85,Hours!$A:$A,0))+F85*INDEX(Hours!B:B,MATCH(C85,Hours!$A:$A,0))+G85*INDEX(Hours!C:C,MATCH(C85,Hours!$A:$A,0))+H85*INDEX(Hours!D:D,MATCH(C85,Hours!$A:$A,0))+I85*INDEX(Hours!E:E,MATCH(C85,Hours!$A:$A,0))+J85*INDEX(Hours!F:F,MATCH(C85,Hours!$A:$A,0))+K85*INDEX(Hours!G:G,MATCH(C85,Hours!$A:$A,0))+O85*INDEX(Hours!K:K,MATCH(C85,Hours!$A:$A,0)))</f>
        <v>0</v>
      </c>
      <c r="S85" s="19">
        <f t="shared" si="3"/>
        <v>0</v>
      </c>
    </row>
    <row r="86" spans="1:19" x14ac:dyDescent="0.25">
      <c r="A86" s="11" t="str">
        <f>'Bldgs &amp; Rooms'!$A$4</f>
        <v>Main Bldg.</v>
      </c>
      <c r="B86" s="11">
        <f>'Bldgs &amp; Rooms'!$B$4</f>
        <v>0</v>
      </c>
      <c r="C86" s="10" t="str">
        <f>Hours!$A$12</f>
        <v xml:space="preserve">  MCC: Molded Case Breaker</v>
      </c>
      <c r="D86" s="11">
        <f t="shared" si="2"/>
        <v>0</v>
      </c>
      <c r="E86" s="16">
        <f>IF('Components Yr 1'!E86=0,0,'Components Yr 1'!E86)</f>
        <v>0</v>
      </c>
      <c r="F86" s="17">
        <f>IF('Components Yr 1'!F86=0,0,'Components Yr 1'!F86)</f>
        <v>0</v>
      </c>
      <c r="G86" s="17">
        <f>IF('Components Yr 1'!G86=0,0,'Components Yr 1'!G86)</f>
        <v>0</v>
      </c>
      <c r="H86" s="17">
        <f>IF('Components Yr 1'!H86=0,0,'Components Yr 1'!H86)</f>
        <v>0</v>
      </c>
      <c r="I86" s="17">
        <f>IF('Components Yr 1'!I86=0,0,'Components Yr 1'!I86)</f>
        <v>0</v>
      </c>
      <c r="J86" s="17">
        <f>IF('Components Yr 1'!J86=0,0,'Components Yr 1'!J86)</f>
        <v>0</v>
      </c>
      <c r="K86" s="17">
        <f>IF('Components Yr 1'!K86=0,0,'Components Yr 1'!K86)</f>
        <v>0</v>
      </c>
      <c r="L86" s="12"/>
      <c r="M86" s="12"/>
      <c r="N86" s="12"/>
      <c r="O86" s="12"/>
      <c r="P86" s="12"/>
      <c r="Q86" s="17"/>
      <c r="R86" s="18">
        <f>IF(SUMPRODUCT((E86:Q86)*1)=0,0,E86*INDEX(Hours!M:M,MATCH(C86,Hours!$A:$A,0))+F86*INDEX(Hours!B:B,MATCH(C86,Hours!$A:$A,0))+G86*INDEX(Hours!C:C,MATCH(C86,Hours!$A:$A,0))+H86*INDEX(Hours!D:D,MATCH(C86,Hours!$A:$A,0))+I86*INDEX(Hours!E:E,MATCH(C86,Hours!$A:$A,0))+J86*INDEX(Hours!F:F,MATCH(C86,Hours!$A:$A,0))+K86*INDEX(Hours!G:G,MATCH(C86,Hours!$A:$A,0)))</f>
        <v>0</v>
      </c>
      <c r="S86" s="19">
        <f t="shared" si="3"/>
        <v>0</v>
      </c>
    </row>
    <row r="87" spans="1:19" x14ac:dyDescent="0.25">
      <c r="A87" s="11" t="str">
        <f>'Bldgs &amp; Rooms'!$A$4</f>
        <v>Main Bldg.</v>
      </c>
      <c r="B87" s="11">
        <f>'Bldgs &amp; Rooms'!$B$4</f>
        <v>0</v>
      </c>
      <c r="C87" s="10" t="str">
        <f>Hours!$A$13</f>
        <v xml:space="preserve">  MCC: Individual Disconnect Switch</v>
      </c>
      <c r="D87" s="11">
        <f t="shared" si="2"/>
        <v>0</v>
      </c>
      <c r="E87" s="16">
        <f>IF('Components Yr 1'!E87=0,0,'Components Yr 1'!E87)</f>
        <v>0</v>
      </c>
      <c r="F87" s="17">
        <f>IF('Components Yr 1'!F87=0,0,'Components Yr 1'!F87)</f>
        <v>0</v>
      </c>
      <c r="G87" s="17">
        <f>IF('Components Yr 1'!G87=0,0,'Components Yr 1'!G87)</f>
        <v>0</v>
      </c>
      <c r="H87" s="17">
        <f>IF('Components Yr 1'!H87=0,0,'Components Yr 1'!H87)</f>
        <v>0</v>
      </c>
      <c r="I87" s="17">
        <f>IF('Components Yr 1'!I87=0,0,'Components Yr 1'!I87)</f>
        <v>0</v>
      </c>
      <c r="J87" s="17">
        <f>IF('Components Yr 1'!J87=0,0,'Components Yr 1'!J87)</f>
        <v>0</v>
      </c>
      <c r="K87" s="12"/>
      <c r="L87" s="12"/>
      <c r="M87" s="12"/>
      <c r="N87" s="12"/>
      <c r="O87" s="12"/>
      <c r="P87" s="12"/>
      <c r="Q87" s="17"/>
      <c r="R87" s="18">
        <f>IF(SUMPRODUCT((E87:Q87)*1)=0,0,E87*INDEX(Hours!M:M,MATCH(C87,Hours!$A:$A,0))+F87*INDEX(Hours!B:B,MATCH(C87,Hours!$A:$A,0))+G87*INDEX(Hours!C:C,MATCH(C87,Hours!$A:$A,0))+H87*INDEX(Hours!D:D,MATCH(C87,Hours!$A:$A,0))+I87*INDEX(Hours!E:E,MATCH(C87,Hours!$A:$A,0))+J87*INDEX(Hours!F:F,MATCH(C87,Hours!$A:$A,0)))</f>
        <v>0</v>
      </c>
      <c r="S87" s="19">
        <f t="shared" si="3"/>
        <v>0</v>
      </c>
    </row>
    <row r="88" spans="1:19" x14ac:dyDescent="0.25">
      <c r="A88" s="11" t="str">
        <f>'Bldgs &amp; Rooms'!$A$4</f>
        <v>Main Bldg.</v>
      </c>
      <c r="B88" s="11">
        <f>'Bldgs &amp; Rooms'!$B$4</f>
        <v>0</v>
      </c>
      <c r="C88" s="10" t="str">
        <f>Hours!$A$14</f>
        <v>Motor Control Panel (MCP)</v>
      </c>
      <c r="D88" s="11">
        <f t="shared" si="2"/>
        <v>0</v>
      </c>
      <c r="E88" s="16">
        <f>IF('Components Yr 1'!E88=0,0,'Components Yr 1'!E88)</f>
        <v>0</v>
      </c>
      <c r="F88" s="17">
        <f>IF('Components Yr 1'!F88=0,0,'Components Yr 1'!F88)</f>
        <v>0</v>
      </c>
      <c r="G88" s="17">
        <f>IF('Components Yr 1'!G88=0,0,'Components Yr 1'!G88)</f>
        <v>0</v>
      </c>
      <c r="H88" s="17">
        <f>IF('Components Yr 1'!H88=0,0,'Components Yr 1'!H88)</f>
        <v>0</v>
      </c>
      <c r="I88" s="17">
        <f>IF('Components Yr 1'!I88=0,0,'Components Yr 1'!I88)</f>
        <v>0</v>
      </c>
      <c r="J88" s="17">
        <f>IF('Components Yr 1'!J88=0,0,'Components Yr 1'!J88)</f>
        <v>0</v>
      </c>
      <c r="K88" s="12"/>
      <c r="L88" s="12"/>
      <c r="M88" s="12"/>
      <c r="N88" s="12"/>
      <c r="O88" s="17">
        <f>IF('Components Yr 1'!O88=0,0,'Components Yr 1'!O88)</f>
        <v>0</v>
      </c>
      <c r="P88" s="12"/>
      <c r="Q88" s="17"/>
      <c r="R88" s="18">
        <f>IF(SUMPRODUCT((E88:Q88)*1)=0,0,E88*INDEX(Hours!M:M,MATCH(C88,Hours!$A:$A,0))+F88*INDEX(Hours!B:B,MATCH(C88,Hours!$A:$A,0))+G88*INDEX(Hours!C:C,MATCH(C88,Hours!$A:$A,0))+H88*INDEX(Hours!D:D,MATCH(C88,Hours!$A:$A,0))+I88*INDEX(Hours!E:E,MATCH(C88,Hours!$A:$A,0))+J88*INDEX(Hours!F:F,MATCH(C88,Hours!$A:$A,0))+O88*INDEX(Hours!K:K,MATCH(C88,Hours!$A:$A,0)))</f>
        <v>0</v>
      </c>
      <c r="S88" s="19">
        <f t="shared" si="3"/>
        <v>0</v>
      </c>
    </row>
    <row r="89" spans="1:19" x14ac:dyDescent="0.25">
      <c r="A89" s="11" t="str">
        <f>'Bldgs &amp; Rooms'!$A$4</f>
        <v>Main Bldg.</v>
      </c>
      <c r="B89" s="11">
        <f>'Bldgs &amp; Rooms'!$B$4</f>
        <v>0</v>
      </c>
      <c r="C89" s="10" t="str">
        <f>Hours!$A$15</f>
        <v>VFD Motor Control Panel (VFD-MCP)</v>
      </c>
      <c r="D89" s="11">
        <f t="shared" si="2"/>
        <v>0</v>
      </c>
      <c r="E89" s="16">
        <f>IF('Components Yr 1'!E89=0,0,'Components Yr 1'!E89)</f>
        <v>0</v>
      </c>
      <c r="F89" s="17">
        <f>IF('Components Yr 1'!F89=0,0,'Components Yr 1'!F89)</f>
        <v>0</v>
      </c>
      <c r="G89" s="17">
        <f>IF('Components Yr 1'!G89=0,0,'Components Yr 1'!G89)</f>
        <v>0</v>
      </c>
      <c r="H89" s="17">
        <f>IF('Components Yr 1'!H89=0,0,'Components Yr 1'!H89)</f>
        <v>0</v>
      </c>
      <c r="I89" s="17">
        <f>IF('Components Yr 1'!I89=0,0,'Components Yr 1'!I89)</f>
        <v>0</v>
      </c>
      <c r="J89" s="17">
        <f>IF('Components Yr 1'!J89=0,0,'Components Yr 1'!J89)</f>
        <v>0</v>
      </c>
      <c r="K89" s="12"/>
      <c r="L89" s="12"/>
      <c r="M89" s="12"/>
      <c r="N89" s="12"/>
      <c r="O89" s="17">
        <f>IF('Components Yr 1'!O89=0,0,'Components Yr 1'!O89)</f>
        <v>0</v>
      </c>
      <c r="P89" s="12"/>
      <c r="Q89" s="17"/>
      <c r="R89" s="18">
        <f>IF(SUMPRODUCT((E89:Q89)*1)=0,0,E89*INDEX(Hours!M:M,MATCH(C89,Hours!$A:$A,0))+F89*INDEX(Hours!B:B,MATCH(C89,Hours!$A:$A,0))+G89*INDEX(Hours!C:C,MATCH(C89,Hours!$A:$A,0))+H89*INDEX(Hours!D:D,MATCH(C89,Hours!$A:$A,0))+I89*INDEX(Hours!E:E,MATCH(C89,Hours!$A:$A,0))+J89*INDEX(Hours!F:F,MATCH(C89,Hours!$A:$A,0))+O89*INDEX(Hours!K:K,MATCH(C89,Hours!$A:$A,0)))</f>
        <v>0</v>
      </c>
      <c r="S89" s="19">
        <f t="shared" si="3"/>
        <v>0</v>
      </c>
    </row>
    <row r="90" spans="1:19" x14ac:dyDescent="0.25">
      <c r="A90" s="11" t="str">
        <f>'Bldgs &amp; Rooms'!$A$4</f>
        <v>Main Bldg.</v>
      </c>
      <c r="B90" s="11">
        <f>'Bldgs &amp; Rooms'!$B$4</f>
        <v>0</v>
      </c>
      <c r="C90" s="10" t="str">
        <f>Hours!$A$16</f>
        <v>Individual Disconnect Switch &gt; 100A</v>
      </c>
      <c r="D90" s="11">
        <f t="shared" si="2"/>
        <v>0</v>
      </c>
      <c r="E90" s="16">
        <f>IF('Components Yr 1'!E90=0,0,'Components Yr 1'!E90)</f>
        <v>0</v>
      </c>
      <c r="F90" s="17">
        <f>IF('Components Yr 1'!F90=0,0,'Components Yr 1'!F90)</f>
        <v>0</v>
      </c>
      <c r="G90" s="17">
        <f>IF('Components Yr 1'!G90=0,0,'Components Yr 1'!G90)</f>
        <v>0</v>
      </c>
      <c r="H90" s="17">
        <f>IF('Components Yr 1'!H90=0,0,'Components Yr 1'!H90)</f>
        <v>0</v>
      </c>
      <c r="I90" s="17">
        <f>IF('Components Yr 1'!I90=0,0,'Components Yr 1'!I90)</f>
        <v>0</v>
      </c>
      <c r="J90" s="17">
        <f>IF('Components Yr 1'!J90=0,0,'Components Yr 1'!J90)</f>
        <v>0</v>
      </c>
      <c r="K90" s="17">
        <f>IF('Components Yr 1'!K90=0,0,'Components Yr 1'!K90)</f>
        <v>0</v>
      </c>
      <c r="L90" s="12"/>
      <c r="M90" s="12"/>
      <c r="N90" s="12"/>
      <c r="O90" s="12"/>
      <c r="P90" s="12"/>
      <c r="Q90" s="17"/>
      <c r="R90" s="18">
        <f>IF(SUMPRODUCT((E90:Q90)*1)=0,0,E90*INDEX(Hours!M:M,MATCH(C90,Hours!$A:$A,0))+F90*INDEX(Hours!B:B,MATCH(C90,Hours!$A:$A,0))+G90*INDEX(Hours!C:C,MATCH(C90,Hours!$A:$A,0))+H90*INDEX(Hours!D:D,MATCH(C90,Hours!$A:$A,0))+I90*INDEX(Hours!E:E,MATCH(C90,Hours!$A:$A,0))+J90*INDEX(Hours!F:F,MATCH(C90,Hours!$A:$A,0))+K90*INDEX(Hours!G:G,MATCH(C90,Hours!$A:$A,0)))</f>
        <v>0</v>
      </c>
      <c r="S90" s="19">
        <f t="shared" si="3"/>
        <v>0</v>
      </c>
    </row>
    <row r="91" spans="1:19" x14ac:dyDescent="0.25">
      <c r="A91" s="11" t="str">
        <f>'Bldgs &amp; Rooms'!$A$4</f>
        <v>Main Bldg.</v>
      </c>
      <c r="B91" s="11">
        <f>'Bldgs &amp; Rooms'!$B$4</f>
        <v>0</v>
      </c>
      <c r="C91" s="10" t="str">
        <f>Hours!$A$17</f>
        <v>Individual Molded Case Breaker &gt; 100A</v>
      </c>
      <c r="D91" s="11">
        <f t="shared" si="2"/>
        <v>0</v>
      </c>
      <c r="E91" s="16">
        <f>IF('Components Yr 1'!E91=0,0,'Components Yr 1'!E91)</f>
        <v>0</v>
      </c>
      <c r="F91" s="17">
        <f>IF('Components Yr 1'!F91=0,0,'Components Yr 1'!F91)</f>
        <v>0</v>
      </c>
      <c r="G91" s="17">
        <f>IF('Components Yr 1'!G91=0,0,'Components Yr 1'!G91)</f>
        <v>0</v>
      </c>
      <c r="H91" s="17">
        <f>IF('Components Yr 1'!H91=0,0,'Components Yr 1'!H91)</f>
        <v>0</v>
      </c>
      <c r="I91" s="17">
        <f>IF('Components Yr 1'!I91=0,0,'Components Yr 1'!I91)</f>
        <v>0</v>
      </c>
      <c r="J91" s="17">
        <f>IF('Components Yr 1'!J91=0,0,'Components Yr 1'!J91)</f>
        <v>0</v>
      </c>
      <c r="K91" s="17">
        <f>IF('Components Yr 1'!K91=0,0,'Components Yr 1'!K91)</f>
        <v>0</v>
      </c>
      <c r="L91" s="12"/>
      <c r="M91" s="12"/>
      <c r="N91" s="12"/>
      <c r="O91" s="12"/>
      <c r="P91" s="12"/>
      <c r="Q91" s="17"/>
      <c r="R91" s="18">
        <f>IF(SUMPRODUCT((E91:Q91)*1)=0,0,E91*INDEX(Hours!M:M,MATCH(C91,Hours!$A:$A,0))+F91*INDEX(Hours!B:B,MATCH(C91,Hours!$A:$A,0))+G91*INDEX(Hours!C:C,MATCH(C91,Hours!$A:$A,0))+H91*INDEX(Hours!D:D,MATCH(C91,Hours!$A:$A,0))+I91*INDEX(Hours!E:E,MATCH(C91,Hours!$A:$A,0))+J91*INDEX(Hours!F:F,MATCH(C91,Hours!$A:$A,0))+K91*INDEX(Hours!G:G,MATCH(C91,Hours!$A:$A,0)))</f>
        <v>0</v>
      </c>
      <c r="S91" s="19">
        <f t="shared" si="3"/>
        <v>0</v>
      </c>
    </row>
    <row r="92" spans="1:19" x14ac:dyDescent="0.25">
      <c r="A92" s="11" t="str">
        <f>'Bldgs &amp; Rooms'!$A$4</f>
        <v>Main Bldg.</v>
      </c>
      <c r="B92" s="11">
        <f>'Bldgs &amp; Rooms'!$B$4</f>
        <v>0</v>
      </c>
      <c r="C92" s="10" t="str">
        <f>Hours!$A$18</f>
        <v>Individual Combination Motor Starter &gt; 100A</v>
      </c>
      <c r="D92" s="11">
        <f t="shared" si="2"/>
        <v>0</v>
      </c>
      <c r="E92" s="16">
        <f>IF('Components Yr 1'!E92=0,0,'Components Yr 1'!E92)</f>
        <v>0</v>
      </c>
      <c r="F92" s="17">
        <f>IF('Components Yr 1'!F92=0,0,'Components Yr 1'!F92)</f>
        <v>0</v>
      </c>
      <c r="G92" s="17">
        <f>IF('Components Yr 1'!G92=0,0,'Components Yr 1'!G92)</f>
        <v>0</v>
      </c>
      <c r="H92" s="17">
        <f>IF('Components Yr 1'!H92=0,0,'Components Yr 1'!H92)</f>
        <v>0</v>
      </c>
      <c r="I92" s="17">
        <f>IF('Components Yr 1'!I92=0,0,'Components Yr 1'!I92)</f>
        <v>0</v>
      </c>
      <c r="J92" s="17">
        <f>IF('Components Yr 1'!J92=0,0,'Components Yr 1'!J92)</f>
        <v>0</v>
      </c>
      <c r="K92" s="17">
        <f>IF('Components Yr 1'!K92=0,0,'Components Yr 1'!K92)</f>
        <v>0</v>
      </c>
      <c r="L92" s="12"/>
      <c r="M92" s="12"/>
      <c r="N92" s="12"/>
      <c r="O92" s="12"/>
      <c r="P92" s="12"/>
      <c r="Q92" s="17"/>
      <c r="R92" s="18">
        <f>IF(SUMPRODUCT((E92:Q92)*1)=0,0,E92*INDEX(Hours!M:M,MATCH(C92,Hours!$A:$A,0))+F92*INDEX(Hours!B:B,MATCH(C92,Hours!$A:$A,0))+G92*INDEX(Hours!C:C,MATCH(C92,Hours!$A:$A,0))+H92*INDEX(Hours!D:D,MATCH(C92,Hours!$A:$A,0))+I92*INDEX(Hours!E:E,MATCH(C92,Hours!$A:$A,0))+J92*INDEX(Hours!F:F,MATCH(C92,Hours!$A:$A,0))+K92*INDEX(Hours!G:G,MATCH(C92,Hours!$A:$A,0)))</f>
        <v>0</v>
      </c>
      <c r="S92" s="19">
        <f t="shared" si="3"/>
        <v>0</v>
      </c>
    </row>
    <row r="93" spans="1:19" x14ac:dyDescent="0.25">
      <c r="A93" s="11" t="str">
        <f>'Bldgs &amp; Rooms'!$A$4</f>
        <v>Main Bldg.</v>
      </c>
      <c r="B93" s="11">
        <f>'Bldgs &amp; Rooms'!$B$4</f>
        <v>0</v>
      </c>
      <c r="C93" s="10" t="str">
        <f>Hours!$A$19</f>
        <v>Oil Filled Transformer - 5kV-15kV Primary - Any Size (Pad Mounted)</v>
      </c>
      <c r="D93" s="11">
        <f t="shared" si="2"/>
        <v>0</v>
      </c>
      <c r="E93" s="16">
        <f>IF('Components Yr 1'!E93=0,0,'Components Yr 1'!E93)</f>
        <v>0</v>
      </c>
      <c r="F93" s="17">
        <f>IF('Components Yr 1'!F93=0,0,'Components Yr 1'!F93)</f>
        <v>0</v>
      </c>
      <c r="G93" s="17">
        <f>IF('Components Yr 1'!G93=0,0,'Components Yr 1'!G93)</f>
        <v>0</v>
      </c>
      <c r="H93" s="17">
        <f>IF('Components Yr 1'!H93=0,0,'Components Yr 1'!H93)</f>
        <v>0</v>
      </c>
      <c r="I93" s="17">
        <f>IF('Components Yr 1'!I93=0,0,'Components Yr 1'!I93)</f>
        <v>0</v>
      </c>
      <c r="J93" s="17">
        <f>IF('Components Yr 1'!J93=0,0,'Components Yr 1'!J93)</f>
        <v>0</v>
      </c>
      <c r="K93" s="12"/>
      <c r="L93" s="12"/>
      <c r="M93" s="17">
        <f>IF('Components Yr 1'!M93=0,0,'Components Yr 1'!M93)</f>
        <v>0</v>
      </c>
      <c r="N93" s="17">
        <f>IF('Components Yr 1'!N93=0,0,'Components Yr 1'!N93)</f>
        <v>0</v>
      </c>
      <c r="O93" s="12"/>
      <c r="P93" s="17">
        <f>IF('Components Yr 1'!P93=0,0,'Components Yr 1'!P93)</f>
        <v>0</v>
      </c>
      <c r="Q93" s="17"/>
      <c r="R93" s="18">
        <f>IF(SUMPRODUCT((E93:Q93)*1)=0,0,E93*INDEX(Hours!M:M,MATCH(C93,Hours!$A:$A,0))+F93*INDEX(Hours!B:B,MATCH(C93,Hours!$A:$A,0))+G93*INDEX(Hours!C:C,MATCH(C93,Hours!$A:$A,0))+H93*INDEX(Hours!D:D,MATCH(C93,Hours!$A:$A,0))+I93*INDEX(Hours!E:E,MATCH(C93,Hours!$A:$A,0))+J93*INDEX(Hours!F:F,MATCH(C93,Hours!$A:$A,0))+M93*INDEX(Hours!I:I,MATCH(C93,Hours!$A:$A,0))+N93*INDEX(Hours!J:J,MATCH(C93,Hours!$A:$A,0))+P93*INDEX(Hours!L:L,MATCH(C93,Hours!$A:$A,0)))</f>
        <v>0</v>
      </c>
      <c r="S93" s="19">
        <f t="shared" si="3"/>
        <v>0</v>
      </c>
    </row>
    <row r="94" spans="1:19" x14ac:dyDescent="0.25">
      <c r="A94" s="11" t="str">
        <f>'Bldgs &amp; Rooms'!$A$4</f>
        <v>Main Bldg.</v>
      </c>
      <c r="B94" s="11">
        <f>'Bldgs &amp; Rooms'!$B$4</f>
        <v>0</v>
      </c>
      <c r="C94" s="10" t="str">
        <f>Hours!$A$20</f>
        <v>Oil Filled Transformer - &gt; 15kV Primary (Substation Class)</v>
      </c>
      <c r="D94" s="11">
        <f t="shared" si="2"/>
        <v>0</v>
      </c>
      <c r="E94" s="16">
        <f>IF('Components Yr 1'!E94=0,0,'Components Yr 1'!E94)</f>
        <v>0</v>
      </c>
      <c r="F94" s="17">
        <f>IF('Components Yr 1'!F94=0,0,'Components Yr 1'!F94)</f>
        <v>0</v>
      </c>
      <c r="G94" s="17">
        <f>IF('Components Yr 1'!G94=0,0,'Components Yr 1'!G94)</f>
        <v>0</v>
      </c>
      <c r="H94" s="17">
        <f>IF('Components Yr 1'!H94=0,0,'Components Yr 1'!H94)</f>
        <v>0</v>
      </c>
      <c r="I94" s="17">
        <f>IF('Components Yr 1'!I94=0,0,'Components Yr 1'!I94)</f>
        <v>0</v>
      </c>
      <c r="J94" s="17">
        <f>IF('Components Yr 1'!J94=0,0,'Components Yr 1'!J94)</f>
        <v>0</v>
      </c>
      <c r="K94" s="12"/>
      <c r="L94" s="12"/>
      <c r="M94" s="17">
        <f>IF('Components Yr 1'!M94=0,0,'Components Yr 1'!M94)</f>
        <v>0</v>
      </c>
      <c r="N94" s="17">
        <f>IF('Components Yr 1'!N94=0,0,'Components Yr 1'!N94)</f>
        <v>0</v>
      </c>
      <c r="O94" s="12"/>
      <c r="P94" s="17">
        <f>IF('Components Yr 1'!P94=0,0,'Components Yr 1'!P94)</f>
        <v>0</v>
      </c>
      <c r="Q94" s="17"/>
      <c r="R94" s="18">
        <f>IF(SUMPRODUCT((E94:Q94)*1)=0,0,E94*INDEX(Hours!M:M,MATCH(C94,Hours!$A:$A,0))+F94*INDEX(Hours!B:B,MATCH(C94,Hours!$A:$A,0))+G94*INDEX(Hours!C:C,MATCH(C94,Hours!$A:$A,0))+H94*INDEX(Hours!D:D,MATCH(C94,Hours!$A:$A,0))+I94*INDEX(Hours!E:E,MATCH(C94,Hours!$A:$A,0))+J94*INDEX(Hours!F:F,MATCH(C94,Hours!$A:$A,0))+M94*INDEX(Hours!I:I,MATCH(C94,Hours!$A:$A,0))+N94*INDEX(Hours!J:J,MATCH(C94,Hours!$A:$A,0))+P94*INDEX(Hours!L:L,MATCH(C94,Hours!$A:$A,0)))</f>
        <v>0</v>
      </c>
      <c r="S94" s="19">
        <f t="shared" si="3"/>
        <v>0</v>
      </c>
    </row>
    <row r="95" spans="1:19" x14ac:dyDescent="0.25">
      <c r="A95" s="11" t="str">
        <f>'Bldgs &amp; Rooms'!$A$4</f>
        <v>Main Bldg.</v>
      </c>
      <c r="B95" s="11">
        <f>'Bldgs &amp; Rooms'!$B$4</f>
        <v>0</v>
      </c>
      <c r="C95" s="10" t="str">
        <f>Hours!$A$21</f>
        <v>Dry Type Transformer - &lt; 480V Primary - Any Size kVA</v>
      </c>
      <c r="D95" s="11">
        <f t="shared" si="2"/>
        <v>0</v>
      </c>
      <c r="E95" s="16">
        <f>IF('Components Yr 1'!E95=0,0,'Components Yr 1'!E95)</f>
        <v>0</v>
      </c>
      <c r="F95" s="17">
        <f>IF('Components Yr 1'!F95=0,0,'Components Yr 1'!F95)</f>
        <v>0</v>
      </c>
      <c r="G95" s="17">
        <f>IF('Components Yr 1'!G95=0,0,'Components Yr 1'!G95)</f>
        <v>0</v>
      </c>
      <c r="H95" s="17">
        <f>IF('Components Yr 1'!H95=0,0,'Components Yr 1'!H95)</f>
        <v>0</v>
      </c>
      <c r="I95" s="17">
        <f>IF('Components Yr 1'!I95=0,0,'Components Yr 1'!I95)</f>
        <v>0</v>
      </c>
      <c r="J95" s="17">
        <f>IF('Components Yr 1'!J95=0,0,'Components Yr 1'!J95)</f>
        <v>0</v>
      </c>
      <c r="K95" s="12"/>
      <c r="L95" s="12"/>
      <c r="M95" s="17">
        <f>IF('Components Yr 1'!M95=0,0,'Components Yr 1'!M95)</f>
        <v>0</v>
      </c>
      <c r="N95" s="17">
        <f>IF('Components Yr 1'!N95=0,0,'Components Yr 1'!N95)</f>
        <v>0</v>
      </c>
      <c r="O95" s="12"/>
      <c r="P95" s="12"/>
      <c r="Q95" s="17"/>
      <c r="R95" s="18">
        <f>IF(SUMPRODUCT((E95:Q95)*1)=0,0,E95*INDEX(Hours!M:M,MATCH(C95,Hours!$A:$A,0))+F95*INDEX(Hours!B:B,MATCH(C95,Hours!$A:$A,0))+G95*INDEX(Hours!C:C,MATCH(C95,Hours!$A:$A,0))+H95*INDEX(Hours!D:D,MATCH(C95,Hours!$A:$A,0))+I95*INDEX(Hours!E:E,MATCH(C95,Hours!$A:$A,0))+J95*INDEX(Hours!F:F,MATCH(C95,Hours!$A:$A,0))+M95*INDEX(Hours!I:I,MATCH(C95,Hours!$A:$A,0))+N95*INDEX(Hours!J:J,MATCH(C95,Hours!$A:$A,0)))</f>
        <v>0</v>
      </c>
      <c r="S95" s="19">
        <f t="shared" si="3"/>
        <v>0</v>
      </c>
    </row>
    <row r="96" spans="1:19" x14ac:dyDescent="0.25">
      <c r="A96" s="11" t="str">
        <f>'Bldgs &amp; Rooms'!$A$4</f>
        <v>Main Bldg.</v>
      </c>
      <c r="B96" s="11">
        <f>'Bldgs &amp; Rooms'!$B$4</f>
        <v>0</v>
      </c>
      <c r="C96" s="10" t="str">
        <f>Hours!$A$22</f>
        <v>Power Factor Correction Capacitors</v>
      </c>
      <c r="D96" s="11">
        <f t="shared" si="2"/>
        <v>0</v>
      </c>
      <c r="E96" s="16">
        <f>IF('Components Yr 1'!E96=0,0,'Components Yr 1'!E96)</f>
        <v>0</v>
      </c>
      <c r="F96" s="17">
        <f>IF('Components Yr 1'!F96=0,0,'Components Yr 1'!F96)</f>
        <v>0</v>
      </c>
      <c r="G96" s="17">
        <f>IF('Components Yr 1'!G96=0,0,'Components Yr 1'!G96)</f>
        <v>0</v>
      </c>
      <c r="H96" s="17">
        <f>IF('Components Yr 1'!H96=0,0,'Components Yr 1'!H96)</f>
        <v>0</v>
      </c>
      <c r="I96" s="17">
        <f>IF('Components Yr 1'!I96=0,0,'Components Yr 1'!I96)</f>
        <v>0</v>
      </c>
      <c r="J96" s="17">
        <f>IF('Components Yr 1'!J96=0,0,'Components Yr 1'!J96)</f>
        <v>0</v>
      </c>
      <c r="K96" s="12"/>
      <c r="L96" s="12"/>
      <c r="M96" s="12"/>
      <c r="N96" s="12"/>
      <c r="O96" s="12"/>
      <c r="P96" s="12"/>
      <c r="Q96" s="17"/>
      <c r="R96" s="18">
        <f>IF(SUMPRODUCT((E96:Q96)*1)=0,0,E96*INDEX(Hours!M:M,MATCH(C96,Hours!$A:$A,0))+F96*INDEX(Hours!B:B,MATCH(C96,Hours!$A:$A,0))+G96*INDEX(Hours!C:C,MATCH(C96,Hours!$A:$A,0))+H96*INDEX(Hours!D:D,MATCH(C96,Hours!$A:$A,0))+I96*INDEX(Hours!E:E,MATCH(C96,Hours!$A:$A,0))+J96*INDEX(Hours!F:F,MATCH(C96,Hours!$A:$A,0)))</f>
        <v>0</v>
      </c>
      <c r="S96" s="19">
        <f t="shared" si="3"/>
        <v>0</v>
      </c>
    </row>
    <row r="97" spans="1:19" x14ac:dyDescent="0.25">
      <c r="A97" s="11" t="str">
        <f>'Bldgs &amp; Rooms'!$A$4</f>
        <v>Main Bldg.</v>
      </c>
      <c r="B97" s="11">
        <f>'Bldgs &amp; Rooms'!$B$4</f>
        <v>0</v>
      </c>
      <c r="C97" s="10" t="str">
        <f>Hours!$A$23</f>
        <v>Lighting Contactor &gt; 100A</v>
      </c>
      <c r="D97" s="11">
        <f t="shared" si="2"/>
        <v>0</v>
      </c>
      <c r="E97" s="16">
        <f>IF('Components Yr 1'!E97=0,0,'Components Yr 1'!E97)</f>
        <v>0</v>
      </c>
      <c r="F97" s="17">
        <f>IF('Components Yr 1'!F97=0,0,'Components Yr 1'!F97)</f>
        <v>0</v>
      </c>
      <c r="G97" s="17">
        <f>IF('Components Yr 1'!G97=0,0,'Components Yr 1'!G97)</f>
        <v>0</v>
      </c>
      <c r="H97" s="17">
        <f>IF('Components Yr 1'!H97=0,0,'Components Yr 1'!H97)</f>
        <v>0</v>
      </c>
      <c r="I97" s="17">
        <f>IF('Components Yr 1'!I97=0,0,'Components Yr 1'!I97)</f>
        <v>0</v>
      </c>
      <c r="J97" s="17">
        <f>IF('Components Yr 1'!J97=0,0,'Components Yr 1'!J97)</f>
        <v>0</v>
      </c>
      <c r="K97" s="12"/>
      <c r="L97" s="12"/>
      <c r="M97" s="12"/>
      <c r="N97" s="12"/>
      <c r="O97" s="12"/>
      <c r="P97" s="12"/>
      <c r="Q97" s="17"/>
      <c r="R97" s="18">
        <f>IF(SUMPRODUCT((E97:Q97)*1)=0,0,E97*INDEX(Hours!M:M,MATCH(C97,Hours!$A:$A,0))+F97*INDEX(Hours!B:B,MATCH(C97,Hours!$A:$A,0))+G97*INDEX(Hours!C:C,MATCH(C97,Hours!$A:$A,0))+H97*INDEX(Hours!D:D,MATCH(C97,Hours!$A:$A,0))+I97*INDEX(Hours!E:E,MATCH(C97,Hours!$A:$A,0))+J97*INDEX(Hours!F:F,MATCH(C97,Hours!$A:$A,0)))</f>
        <v>0</v>
      </c>
      <c r="S97" s="19">
        <f t="shared" si="3"/>
        <v>0</v>
      </c>
    </row>
    <row r="98" spans="1:19" x14ac:dyDescent="0.25">
      <c r="A98" s="11" t="str">
        <f>'Bldgs &amp; Rooms'!$A$4</f>
        <v>Main Bldg.</v>
      </c>
      <c r="B98" s="11">
        <f>'Bldgs &amp; Rooms'!$B$4</f>
        <v>0</v>
      </c>
      <c r="C98" s="10" t="str">
        <f>Hours!$A$24</f>
        <v>Power Distribution Unit (PDU)</v>
      </c>
      <c r="D98" s="11">
        <f t="shared" si="2"/>
        <v>0</v>
      </c>
      <c r="E98" s="16">
        <f>IF('Components Yr 1'!E98=0,0,'Components Yr 1'!E98)</f>
        <v>0</v>
      </c>
      <c r="F98" s="17">
        <f>IF('Components Yr 1'!F98=0,0,'Components Yr 1'!F98)</f>
        <v>0</v>
      </c>
      <c r="G98" s="17">
        <f>IF('Components Yr 1'!G98=0,0,'Components Yr 1'!G98)</f>
        <v>0</v>
      </c>
      <c r="H98" s="17">
        <f>IF('Components Yr 1'!H98=0,0,'Components Yr 1'!H98)</f>
        <v>0</v>
      </c>
      <c r="I98" s="17">
        <f>IF('Components Yr 1'!I98=0,0,'Components Yr 1'!I98)</f>
        <v>0</v>
      </c>
      <c r="J98" s="17">
        <f>IF('Components Yr 1'!J98=0,0,'Components Yr 1'!J98)</f>
        <v>0</v>
      </c>
      <c r="K98" s="12"/>
      <c r="L98" s="12"/>
      <c r="M98" s="12"/>
      <c r="N98" s="12"/>
      <c r="O98" s="12"/>
      <c r="P98" s="12"/>
      <c r="Q98" s="17"/>
      <c r="R98" s="18">
        <f>IF(SUMPRODUCT((E98:Q98)*1)=0,0,E98*INDEX(Hours!M:M,MATCH(C98,Hours!$A:$A,0))+F98*INDEX(Hours!B:B,MATCH(C98,Hours!$A:$A,0))+G98*INDEX(Hours!C:C,MATCH(C98,Hours!$A:$A,0))+H98*INDEX(Hours!D:D,MATCH(C98,Hours!$A:$A,0))+I98*INDEX(Hours!E:E,MATCH(C98,Hours!$A:$A,0))+J98*INDEX(Hours!F:F,MATCH(C98,Hours!$A:$A,0)))</f>
        <v>0</v>
      </c>
      <c r="S98" s="19">
        <f t="shared" si="3"/>
        <v>0</v>
      </c>
    </row>
    <row r="99" spans="1:19" x14ac:dyDescent="0.25">
      <c r="A99" s="11" t="str">
        <f>'Bldgs &amp; Rooms'!$A$4</f>
        <v>Main Bldg.</v>
      </c>
      <c r="B99" s="11">
        <f>'Bldgs &amp; Rooms'!$B$4</f>
        <v>0</v>
      </c>
      <c r="C99" s="10" t="str">
        <f>Hours!$A$25</f>
        <v>Wire Trough, Gutter, or Large Junction Boxes</v>
      </c>
      <c r="D99" s="11">
        <f t="shared" si="2"/>
        <v>0</v>
      </c>
      <c r="E99" s="16">
        <f>IF('Components Yr 1'!E99=0,0,'Components Yr 1'!E99)</f>
        <v>0</v>
      </c>
      <c r="F99" s="17">
        <f>IF('Components Yr 1'!F99=0,0,'Components Yr 1'!F99)</f>
        <v>0</v>
      </c>
      <c r="G99" s="17">
        <f>IF('Components Yr 1'!G99=0,0,'Components Yr 1'!G99)</f>
        <v>0</v>
      </c>
      <c r="H99" s="17">
        <f>IF('Components Yr 1'!H99=0,0,'Components Yr 1'!H99)</f>
        <v>0</v>
      </c>
      <c r="I99" s="17">
        <f>IF('Components Yr 1'!I99=0,0,'Components Yr 1'!I99)</f>
        <v>0</v>
      </c>
      <c r="J99" s="17">
        <f>IF('Components Yr 1'!J99=0,0,'Components Yr 1'!J99)</f>
        <v>0</v>
      </c>
      <c r="K99" s="12"/>
      <c r="L99" s="12"/>
      <c r="M99" s="12"/>
      <c r="N99" s="12"/>
      <c r="O99" s="12"/>
      <c r="P99" s="12"/>
      <c r="Q99" s="17"/>
      <c r="R99" s="18">
        <f>IF(SUMPRODUCT((E99:Q99)*1)=0,0,E99*INDEX(Hours!M:M,MATCH(C99,Hours!$A:$A,0))+F99*INDEX(Hours!B:B,MATCH(C99,Hours!$A:$A,0))+G99*INDEX(Hours!C:C,MATCH(C99,Hours!$A:$A,0))+H99*INDEX(Hours!D:D,MATCH(C99,Hours!$A:$A,0))+I99*INDEX(Hours!E:E,MATCH(C99,Hours!$A:$A,0))+J99*INDEX(Hours!F:F,MATCH(C99,Hours!$A:$A,0)))</f>
        <v>0</v>
      </c>
      <c r="S99" s="19">
        <f t="shared" si="3"/>
        <v>0</v>
      </c>
    </row>
    <row r="100" spans="1:19" x14ac:dyDescent="0.25">
      <c r="A100" s="11" t="str">
        <f>'Bldgs &amp; Rooms'!$A$4</f>
        <v>Main Bldg.</v>
      </c>
      <c r="B100" s="11">
        <f>'Bldgs &amp; Rooms'!$B$4</f>
        <v>0</v>
      </c>
      <c r="C100" s="10" t="str">
        <f>Hours!$A$26</f>
        <v>Bus Duct - Vertical or Horizontal (Per 10' section)</v>
      </c>
      <c r="D100" s="11">
        <f t="shared" si="2"/>
        <v>0</v>
      </c>
      <c r="E100" s="16">
        <f>IF('Components Yr 1'!E100=0,0,'Components Yr 1'!E100)</f>
        <v>0</v>
      </c>
      <c r="F100" s="17">
        <f>IF('Components Yr 1'!F100=0,0,'Components Yr 1'!F100)</f>
        <v>0</v>
      </c>
      <c r="G100" s="17">
        <f>IF('Components Yr 1'!G100=0,0,'Components Yr 1'!G100)</f>
        <v>0</v>
      </c>
      <c r="H100" s="17">
        <f>IF('Components Yr 1'!H100=0,0,'Components Yr 1'!H100)</f>
        <v>0</v>
      </c>
      <c r="I100" s="17">
        <f>IF('Components Yr 1'!I100=0,0,'Components Yr 1'!I100)</f>
        <v>0</v>
      </c>
      <c r="J100" s="17">
        <f>IF('Components Yr 1'!J100=0,0,'Components Yr 1'!J100)</f>
        <v>0</v>
      </c>
      <c r="K100" s="12"/>
      <c r="L100" s="12"/>
      <c r="M100" s="12"/>
      <c r="N100" s="12"/>
      <c r="O100" s="12"/>
      <c r="P100" s="12"/>
      <c r="Q100" s="17"/>
      <c r="R100" s="18">
        <f>IF(SUMPRODUCT((E100:Q100)*1)=0,0,E100*INDEX(Hours!M:M,MATCH(C100,Hours!$A:$A,0))+F100*INDEX(Hours!B:B,MATCH(C100,Hours!$A:$A,0))+G100*INDEX(Hours!C:C,MATCH(C100,Hours!$A:$A,0))+H100*INDEX(Hours!D:D,MATCH(C100,Hours!$A:$A,0))+I100*INDEX(Hours!E:E,MATCH(C100,Hours!$A:$A,0))+J100*INDEX(Hours!F:F,MATCH(C100,Hours!$A:$A,0)))</f>
        <v>0</v>
      </c>
      <c r="S100" s="19">
        <f t="shared" si="3"/>
        <v>0</v>
      </c>
    </row>
    <row r="101" spans="1:19" x14ac:dyDescent="0.25">
      <c r="A101" s="11" t="str">
        <f>'Bldgs &amp; Rooms'!$A$4</f>
        <v>Main Bldg.</v>
      </c>
      <c r="B101" s="11">
        <f>'Bldgs &amp; Rooms'!$B$4</f>
        <v>0</v>
      </c>
      <c r="C101" s="10" t="str">
        <f>Hours!$A$27</f>
        <v>Automatic Transfer Switch (ATS) &gt; 100A</v>
      </c>
      <c r="D101" s="11">
        <f t="shared" si="2"/>
        <v>0</v>
      </c>
      <c r="E101" s="16">
        <f>IF('Components Yr 1'!E101=0,0,'Components Yr 1'!E101)</f>
        <v>0</v>
      </c>
      <c r="F101" s="17">
        <f>IF('Components Yr 1'!F101=0,0,'Components Yr 1'!F101)</f>
        <v>0</v>
      </c>
      <c r="G101" s="17">
        <f>IF('Components Yr 1'!G101=0,0,'Components Yr 1'!G101)</f>
        <v>0</v>
      </c>
      <c r="H101" s="17">
        <f>IF('Components Yr 1'!H101=0,0,'Components Yr 1'!H101)</f>
        <v>0</v>
      </c>
      <c r="I101" s="17">
        <f>IF('Components Yr 1'!I101=0,0,'Components Yr 1'!I101)</f>
        <v>0</v>
      </c>
      <c r="J101" s="17">
        <f>IF('Components Yr 1'!J101=0,0,'Components Yr 1'!J101)</f>
        <v>0</v>
      </c>
      <c r="K101" s="12"/>
      <c r="L101" s="12"/>
      <c r="M101" s="12"/>
      <c r="N101" s="12"/>
      <c r="O101" s="12"/>
      <c r="P101" s="12"/>
      <c r="Q101" s="17"/>
      <c r="R101" s="18">
        <f>IF(SUMPRODUCT((E101:Q101)*1)=0,0,E101*INDEX(Hours!M:M,MATCH(C101,Hours!$A:$A,0))+F101*INDEX(Hours!B:B,MATCH(C101,Hours!$A:$A,0))+G101*INDEX(Hours!C:C,MATCH(C101,Hours!$A:$A,0))+H101*INDEX(Hours!D:D,MATCH(C101,Hours!$A:$A,0))+I101*INDEX(Hours!E:E,MATCH(C101,Hours!$A:$A,0))+J101*INDEX(Hours!F:F,MATCH(C101,Hours!$A:$A,0)))</f>
        <v>0</v>
      </c>
      <c r="S101" s="19">
        <f t="shared" si="3"/>
        <v>0</v>
      </c>
    </row>
    <row r="102" spans="1:19" x14ac:dyDescent="0.25">
      <c r="A102" s="11" t="str">
        <f>'Bldgs &amp; Rooms'!$A$4</f>
        <v>Main Bldg.</v>
      </c>
      <c r="B102" s="11">
        <f>'Bldgs &amp; Rooms'!$B$4</f>
        <v>0</v>
      </c>
      <c r="C102" s="10" t="str">
        <f>Hours!$A$28</f>
        <v>Manual Transfer Switch (MTS) &gt; 100A</v>
      </c>
      <c r="D102" s="11">
        <f t="shared" si="2"/>
        <v>0</v>
      </c>
      <c r="E102" s="16">
        <f>IF('Components Yr 1'!E102=0,0,'Components Yr 1'!E102)</f>
        <v>0</v>
      </c>
      <c r="F102" s="17">
        <f>IF('Components Yr 1'!F102=0,0,'Components Yr 1'!F102)</f>
        <v>0</v>
      </c>
      <c r="G102" s="17">
        <f>IF('Components Yr 1'!G102=0,0,'Components Yr 1'!G102)</f>
        <v>0</v>
      </c>
      <c r="H102" s="17">
        <f>IF('Components Yr 1'!H102=0,0,'Components Yr 1'!H102)</f>
        <v>0</v>
      </c>
      <c r="I102" s="17">
        <f>IF('Components Yr 1'!I102=0,0,'Components Yr 1'!I102)</f>
        <v>0</v>
      </c>
      <c r="J102" s="17">
        <f>IF('Components Yr 1'!J102=0,0,'Components Yr 1'!J102)</f>
        <v>0</v>
      </c>
      <c r="K102" s="12"/>
      <c r="L102" s="12"/>
      <c r="M102" s="12"/>
      <c r="N102" s="12"/>
      <c r="O102" s="12"/>
      <c r="P102" s="12"/>
      <c r="Q102" s="17"/>
      <c r="R102" s="18">
        <f>IF(SUMPRODUCT((E102:Q102)*1)=0,0,E102*INDEX(Hours!M:M,MATCH(C102,Hours!$A:$A,0))+F102*INDEX(Hours!B:B,MATCH(C102,Hours!$A:$A,0))+G102*INDEX(Hours!C:C,MATCH(C102,Hours!$A:$A,0))+H102*INDEX(Hours!D:D,MATCH(C102,Hours!$A:$A,0))+I102*INDEX(Hours!E:E,MATCH(C102,Hours!$A:$A,0))+J102*INDEX(Hours!F:F,MATCH(C102,Hours!$A:$A,0)))</f>
        <v>0</v>
      </c>
      <c r="S102" s="19">
        <f t="shared" si="3"/>
        <v>0</v>
      </c>
    </row>
    <row r="103" spans="1:19" x14ac:dyDescent="0.25">
      <c r="A103" s="11" t="str">
        <f>'Bldgs &amp; Rooms'!$A$4</f>
        <v>Main Bldg.</v>
      </c>
      <c r="B103" s="11">
        <f>'Bldgs &amp; Rooms'!$B$4</f>
        <v>0</v>
      </c>
      <c r="C103" s="10" t="str">
        <f>Hours!$A$29</f>
        <v>Variable Frequency Drives (VFD) &lt; 50 HP</v>
      </c>
      <c r="D103" s="11">
        <f t="shared" si="2"/>
        <v>0</v>
      </c>
      <c r="E103" s="16">
        <f>IF('Components Yr 1'!E103=0,0,'Components Yr 1'!E103)</f>
        <v>0</v>
      </c>
      <c r="F103" s="17">
        <f>IF('Components Yr 1'!F103=0,0,'Components Yr 1'!F103)</f>
        <v>0</v>
      </c>
      <c r="G103" s="17">
        <f>IF('Components Yr 1'!G103=0,0,'Components Yr 1'!G103)</f>
        <v>0</v>
      </c>
      <c r="H103" s="17">
        <f>IF('Components Yr 1'!H103=0,0,'Components Yr 1'!H103)</f>
        <v>0</v>
      </c>
      <c r="I103" s="17">
        <f>IF('Components Yr 1'!I103=0,0,'Components Yr 1'!I103)</f>
        <v>0</v>
      </c>
      <c r="J103" s="17">
        <f>IF('Components Yr 1'!J103=0,0,'Components Yr 1'!J103)</f>
        <v>0</v>
      </c>
      <c r="K103" s="12"/>
      <c r="L103" s="12"/>
      <c r="M103" s="12"/>
      <c r="N103" s="12"/>
      <c r="O103" s="12"/>
      <c r="P103" s="12"/>
      <c r="Q103" s="17"/>
      <c r="R103" s="18">
        <f>IF(SUMPRODUCT((E103:Q103)*1)=0,0,E103*INDEX(Hours!M:M,MATCH(C103,Hours!$A:$A,0))+F103*INDEX(Hours!B:B,MATCH(C103,Hours!$A:$A,0))+G103*INDEX(Hours!C:C,MATCH(C103,Hours!$A:$A,0))+H103*INDEX(Hours!D:D,MATCH(C103,Hours!$A:$A,0))+I103*INDEX(Hours!E:E,MATCH(C103,Hours!$A:$A,0))+J103*INDEX(Hours!F:F,MATCH(C103,Hours!$A:$A,0)))</f>
        <v>0</v>
      </c>
      <c r="S103" s="19">
        <f t="shared" si="3"/>
        <v>0</v>
      </c>
    </row>
    <row r="104" spans="1:19" x14ac:dyDescent="0.25">
      <c r="A104" s="11" t="str">
        <f>'Bldgs &amp; Rooms'!$A$4</f>
        <v>Main Bldg.</v>
      </c>
      <c r="B104" s="11">
        <f>'Bldgs &amp; Rooms'!$B$4</f>
        <v>0</v>
      </c>
      <c r="C104" s="10" t="str">
        <f>Hours!$A$30</f>
        <v>Variable Frequency Drives (VFD) 51-200 HP</v>
      </c>
      <c r="D104" s="11">
        <f t="shared" si="2"/>
        <v>0</v>
      </c>
      <c r="E104" s="16">
        <f>IF('Components Yr 1'!E104=0,0,'Components Yr 1'!E104)</f>
        <v>0</v>
      </c>
      <c r="F104" s="17">
        <f>IF('Components Yr 1'!F104=0,0,'Components Yr 1'!F104)</f>
        <v>0</v>
      </c>
      <c r="G104" s="17">
        <f>IF('Components Yr 1'!G104=0,0,'Components Yr 1'!G104)</f>
        <v>0</v>
      </c>
      <c r="H104" s="17">
        <f>IF('Components Yr 1'!H104=0,0,'Components Yr 1'!H104)</f>
        <v>0</v>
      </c>
      <c r="I104" s="17">
        <f>IF('Components Yr 1'!I104=0,0,'Components Yr 1'!I104)</f>
        <v>0</v>
      </c>
      <c r="J104" s="17">
        <f>IF('Components Yr 1'!J104=0,0,'Components Yr 1'!J104)</f>
        <v>0</v>
      </c>
      <c r="K104" s="12"/>
      <c r="L104" s="12"/>
      <c r="M104" s="12"/>
      <c r="N104" s="12"/>
      <c r="O104" s="12"/>
      <c r="P104" s="12"/>
      <c r="Q104" s="17"/>
      <c r="R104" s="18">
        <f>IF(SUMPRODUCT((E104:Q104)*1)=0,0,E104*INDEX(Hours!M:M,MATCH(C104,Hours!$A:$A,0))+F104*INDEX(Hours!B:B,MATCH(C104,Hours!$A:$A,0))+G104*INDEX(Hours!C:C,MATCH(C104,Hours!$A:$A,0))+H104*INDEX(Hours!D:D,MATCH(C104,Hours!$A:$A,0))+I104*INDEX(Hours!E:E,MATCH(C104,Hours!$A:$A,0))+J104*INDEX(Hours!F:F,MATCH(C104,Hours!$A:$A,0)))</f>
        <v>0</v>
      </c>
      <c r="S104" s="19">
        <f t="shared" si="3"/>
        <v>0</v>
      </c>
    </row>
    <row r="105" spans="1:19" x14ac:dyDescent="0.25">
      <c r="A105" s="11" t="str">
        <f>'Bldgs &amp; Rooms'!$A$4</f>
        <v>Main Bldg.</v>
      </c>
      <c r="B105" s="11">
        <f>'Bldgs &amp; Rooms'!$B$4</f>
        <v>0</v>
      </c>
      <c r="C105" s="10" t="str">
        <f>Hours!$A$31</f>
        <v>Motors &lt; 50 HP</v>
      </c>
      <c r="D105" s="11">
        <f t="shared" si="2"/>
        <v>0</v>
      </c>
      <c r="E105" s="16">
        <f>IF('Components Yr 1'!E105=0,0,'Components Yr 1'!E105)</f>
        <v>0</v>
      </c>
      <c r="F105" s="17">
        <f>IF('Components Yr 1'!F105=0,0,'Components Yr 1'!F105)</f>
        <v>0</v>
      </c>
      <c r="G105" s="17">
        <f>IF('Components Yr 1'!G105=0,0,'Components Yr 1'!G105)</f>
        <v>0</v>
      </c>
      <c r="H105" s="17">
        <f>IF('Components Yr 1'!H105=0,0,'Components Yr 1'!H105)</f>
        <v>0</v>
      </c>
      <c r="I105" s="17">
        <f>IF('Components Yr 1'!I105=0,0,'Components Yr 1'!I105)</f>
        <v>0</v>
      </c>
      <c r="J105" s="17">
        <f>IF('Components Yr 1'!J105=0,0,'Components Yr 1'!J105)</f>
        <v>0</v>
      </c>
      <c r="K105" s="12"/>
      <c r="L105" s="12"/>
      <c r="M105" s="12"/>
      <c r="N105" s="12"/>
      <c r="O105" s="12"/>
      <c r="P105" s="12"/>
      <c r="Q105" s="17"/>
      <c r="R105" s="18">
        <f>IF(SUMPRODUCT((E105:Q105)*1)=0,0,E105*INDEX(Hours!M:M,MATCH(C105,Hours!$A:$A,0))+F105*INDEX(Hours!B:B,MATCH(C105,Hours!$A:$A,0))+G105*INDEX(Hours!C:C,MATCH(C105,Hours!$A:$A,0))+H105*INDEX(Hours!D:D,MATCH(C105,Hours!$A:$A,0))+I105*INDEX(Hours!E:E,MATCH(C105,Hours!$A:$A,0))+J105*INDEX(Hours!F:F,MATCH(C105,Hours!$A:$A,0)))</f>
        <v>0</v>
      </c>
      <c r="S105" s="19">
        <f t="shared" si="3"/>
        <v>0</v>
      </c>
    </row>
    <row r="106" spans="1:19" x14ac:dyDescent="0.25">
      <c r="A106" s="11" t="str">
        <f>'Bldgs &amp; Rooms'!$A$4</f>
        <v>Main Bldg.</v>
      </c>
      <c r="B106" s="11">
        <f>'Bldgs &amp; Rooms'!$B$4</f>
        <v>0</v>
      </c>
      <c r="C106" s="10" t="str">
        <f>Hours!$A$32</f>
        <v>Motors 51-200 HP</v>
      </c>
      <c r="D106" s="11">
        <f t="shared" si="2"/>
        <v>0</v>
      </c>
      <c r="E106" s="16">
        <f>IF('Components Yr 1'!E106=0,0,'Components Yr 1'!E106)</f>
        <v>0</v>
      </c>
      <c r="F106" s="17">
        <f>IF('Components Yr 1'!F106=0,0,'Components Yr 1'!F106)</f>
        <v>0</v>
      </c>
      <c r="G106" s="17">
        <f>IF('Components Yr 1'!G106=0,0,'Components Yr 1'!G106)</f>
        <v>0</v>
      </c>
      <c r="H106" s="17">
        <f>IF('Components Yr 1'!H106=0,0,'Components Yr 1'!H106)</f>
        <v>0</v>
      </c>
      <c r="I106" s="17">
        <f>IF('Components Yr 1'!I106=0,0,'Components Yr 1'!I106)</f>
        <v>0</v>
      </c>
      <c r="J106" s="17">
        <f>IF('Components Yr 1'!J106=0,0,'Components Yr 1'!J106)</f>
        <v>0</v>
      </c>
      <c r="K106" s="12"/>
      <c r="L106" s="12"/>
      <c r="M106" s="12"/>
      <c r="N106" s="12"/>
      <c r="O106" s="12"/>
      <c r="P106" s="12"/>
      <c r="Q106" s="17"/>
      <c r="R106" s="18">
        <f>IF(SUMPRODUCT((E106:Q106)*1)=0,0,E106*INDEX(Hours!M:M,MATCH(C106,Hours!$A:$A,0))+F106*INDEX(Hours!B:B,MATCH(C106,Hours!$A:$A,0))+G106*INDEX(Hours!C:C,MATCH(C106,Hours!$A:$A,0))+H106*INDEX(Hours!D:D,MATCH(C106,Hours!$A:$A,0))+I106*INDEX(Hours!E:E,MATCH(C106,Hours!$A:$A,0))+J106*INDEX(Hours!F:F,MATCH(C106,Hours!$A:$A,0)))</f>
        <v>0</v>
      </c>
      <c r="S106" s="19">
        <f t="shared" si="3"/>
        <v>0</v>
      </c>
    </row>
    <row r="107" spans="1:19" x14ac:dyDescent="0.25">
      <c r="A107" s="11" t="str">
        <f>'Bldgs &amp; Rooms'!$A$4</f>
        <v>Main Bldg.</v>
      </c>
      <c r="B107" s="11">
        <f>'Bldgs &amp; Rooms'!$B$4</f>
        <v>0</v>
      </c>
      <c r="C107" s="10" t="str">
        <f>Hours!$A$33</f>
        <v>Motors 201-500 HP</v>
      </c>
      <c r="D107" s="11">
        <f t="shared" si="2"/>
        <v>0</v>
      </c>
      <c r="E107" s="16">
        <f>IF('Components Yr 1'!E107=0,0,'Components Yr 1'!E107)</f>
        <v>0</v>
      </c>
      <c r="F107" s="17">
        <f>IF('Components Yr 1'!F107=0,0,'Components Yr 1'!F107)</f>
        <v>0</v>
      </c>
      <c r="G107" s="17">
        <f>IF('Components Yr 1'!G107=0,0,'Components Yr 1'!G107)</f>
        <v>0</v>
      </c>
      <c r="H107" s="17">
        <f>IF('Components Yr 1'!H107=0,0,'Components Yr 1'!H107)</f>
        <v>0</v>
      </c>
      <c r="I107" s="17">
        <f>IF('Components Yr 1'!I107=0,0,'Components Yr 1'!I107)</f>
        <v>0</v>
      </c>
      <c r="J107" s="17">
        <f>IF('Components Yr 1'!J107=0,0,'Components Yr 1'!J107)</f>
        <v>0</v>
      </c>
      <c r="K107" s="12"/>
      <c r="L107" s="12"/>
      <c r="M107" s="12"/>
      <c r="N107" s="12"/>
      <c r="O107" s="12"/>
      <c r="P107" s="12"/>
      <c r="Q107" s="17"/>
      <c r="R107" s="18">
        <f>IF(SUMPRODUCT((E107:Q107)*1)=0,0,E107*INDEX(Hours!M:M,MATCH(C107,Hours!$A:$A,0))+F107*INDEX(Hours!B:B,MATCH(C107,Hours!$A:$A,0))+G107*INDEX(Hours!C:C,MATCH(C107,Hours!$A:$A,0))+H107*INDEX(Hours!D:D,MATCH(C107,Hours!$A:$A,0))+I107*INDEX(Hours!E:E,MATCH(C107,Hours!$A:$A,0))+J107*INDEX(Hours!F:F,MATCH(C107,Hours!$A:$A,0)))</f>
        <v>0</v>
      </c>
      <c r="S107" s="19">
        <f t="shared" si="3"/>
        <v>0</v>
      </c>
    </row>
    <row r="108" spans="1:19" x14ac:dyDescent="0.25">
      <c r="A108" s="11" t="str">
        <f>'Bldgs &amp; Rooms'!$A$4</f>
        <v>Main Bldg.</v>
      </c>
      <c r="B108" s="11">
        <f>'Bldgs &amp; Rooms'!$B$4</f>
        <v>0</v>
      </c>
      <c r="C108" s="10" t="str">
        <f>Hours!$A$34</f>
        <v>Compressed Air Equipment</v>
      </c>
      <c r="D108" s="11">
        <f t="shared" si="2"/>
        <v>0</v>
      </c>
      <c r="E108" s="16">
        <f>IF('Components Yr 1'!E108=0,0,'Components Yr 1'!E108)</f>
        <v>0</v>
      </c>
      <c r="F108" s="17">
        <f>IF('Components Yr 1'!F108=0,0,'Components Yr 1'!F108)</f>
        <v>0</v>
      </c>
      <c r="G108" s="17">
        <f>IF('Components Yr 1'!G108=0,0,'Components Yr 1'!G108)</f>
        <v>0</v>
      </c>
      <c r="H108" s="17">
        <f>IF('Components Yr 1'!H108=0,0,'Components Yr 1'!H108)</f>
        <v>0</v>
      </c>
      <c r="I108" s="17">
        <f>IF('Components Yr 1'!I108=0,0,'Components Yr 1'!I108)</f>
        <v>0</v>
      </c>
      <c r="J108" s="17">
        <f>IF('Components Yr 1'!J108=0,0,'Components Yr 1'!J108)</f>
        <v>0</v>
      </c>
      <c r="K108" s="12"/>
      <c r="L108" s="12"/>
      <c r="M108" s="12"/>
      <c r="N108" s="12"/>
      <c r="O108" s="12"/>
      <c r="P108" s="12"/>
      <c r="Q108" s="17"/>
      <c r="R108" s="18">
        <f>IF(SUMPRODUCT((E108:Q108)*1)=0,0,E108*INDEX(Hours!M:M,MATCH(C108,Hours!$A:$A,0))+F108*INDEX(Hours!B:B,MATCH(C108,Hours!$A:$A,0))+G108*INDEX(Hours!C:C,MATCH(C108,Hours!$A:$A,0))+H108*INDEX(Hours!D:D,MATCH(C108,Hours!$A:$A,0))+I108*INDEX(Hours!E:E,MATCH(C108,Hours!$A:$A,0))+J108*INDEX(Hours!F:F,MATCH(C108,Hours!$A:$A,0)))</f>
        <v>0</v>
      </c>
      <c r="S108" s="19">
        <f t="shared" si="3"/>
        <v>0</v>
      </c>
    </row>
    <row r="109" spans="1:19" x14ac:dyDescent="0.25">
      <c r="A109" s="11" t="str">
        <f>'Bldgs &amp; Rooms'!$A$4</f>
        <v>Main Bldg.</v>
      </c>
      <c r="B109" s="11">
        <f>'Bldgs &amp; Rooms'!$B$4</f>
        <v>0</v>
      </c>
      <c r="C109" s="10" t="str">
        <f>Hours!$A$35</f>
        <v>HVAC Equipment (Large)</v>
      </c>
      <c r="D109" s="11">
        <f t="shared" si="2"/>
        <v>0</v>
      </c>
      <c r="E109" s="16">
        <f>IF('Components Yr 1'!E109=0,0,'Components Yr 1'!E109)</f>
        <v>0</v>
      </c>
      <c r="F109" s="17">
        <f>IF('Components Yr 1'!F109=0,0,'Components Yr 1'!F109)</f>
        <v>0</v>
      </c>
      <c r="G109" s="17">
        <f>IF('Components Yr 1'!G109=0,0,'Components Yr 1'!G109)</f>
        <v>0</v>
      </c>
      <c r="H109" s="17">
        <f>IF('Components Yr 1'!H109=0,0,'Components Yr 1'!H109)</f>
        <v>0</v>
      </c>
      <c r="I109" s="17">
        <f>IF('Components Yr 1'!I109=0,0,'Components Yr 1'!I109)</f>
        <v>0</v>
      </c>
      <c r="J109" s="17">
        <f>IF('Components Yr 1'!J109=0,0,'Components Yr 1'!J109)</f>
        <v>0</v>
      </c>
      <c r="K109" s="12"/>
      <c r="L109" s="12"/>
      <c r="M109" s="12"/>
      <c r="N109" s="12"/>
      <c r="O109" s="12"/>
      <c r="P109" s="12"/>
      <c r="Q109" s="17"/>
      <c r="R109" s="18">
        <f>IF(SUMPRODUCT((E109:Q109)*1)=0,0,E109*INDEX(Hours!M:M,MATCH(C109,Hours!$A:$A,0))+F109*INDEX(Hours!B:B,MATCH(C109,Hours!$A:$A,0))+G109*INDEX(Hours!C:C,MATCH(C109,Hours!$A:$A,0))+H109*INDEX(Hours!D:D,MATCH(C109,Hours!$A:$A,0))+I109*INDEX(Hours!E:E,MATCH(C109,Hours!$A:$A,0))+J109*INDEX(Hours!F:F,MATCH(C109,Hours!$A:$A,0)))</f>
        <v>0</v>
      </c>
      <c r="S109" s="19">
        <f t="shared" si="3"/>
        <v>0</v>
      </c>
    </row>
    <row r="110" spans="1:19" x14ac:dyDescent="0.25">
      <c r="A110" s="11" t="str">
        <f>'Bldgs &amp; Rooms'!$A$4</f>
        <v>Main Bldg.</v>
      </c>
      <c r="B110" s="11">
        <f>'Bldgs &amp; Rooms'!$B$4</f>
        <v>0</v>
      </c>
      <c r="C110" s="10" t="str">
        <f>Hours!$A$36</f>
        <v>HVAC Equipment (Small)</v>
      </c>
      <c r="D110" s="11">
        <f t="shared" si="2"/>
        <v>0</v>
      </c>
      <c r="E110" s="16">
        <f>IF('Components Yr 1'!E110=0,0,'Components Yr 1'!E110)</f>
        <v>0</v>
      </c>
      <c r="F110" s="17">
        <f>IF('Components Yr 1'!F110=0,0,'Components Yr 1'!F110)</f>
        <v>0</v>
      </c>
      <c r="G110" s="17">
        <f>IF('Components Yr 1'!G110=0,0,'Components Yr 1'!G110)</f>
        <v>0</v>
      </c>
      <c r="H110" s="17">
        <f>IF('Components Yr 1'!H110=0,0,'Components Yr 1'!H110)</f>
        <v>0</v>
      </c>
      <c r="I110" s="17">
        <f>IF('Components Yr 1'!I110=0,0,'Components Yr 1'!I110)</f>
        <v>0</v>
      </c>
      <c r="J110" s="17">
        <f>IF('Components Yr 1'!J110=0,0,'Components Yr 1'!J110)</f>
        <v>0</v>
      </c>
      <c r="K110" s="12"/>
      <c r="L110" s="12"/>
      <c r="M110" s="12"/>
      <c r="N110" s="12"/>
      <c r="O110" s="12"/>
      <c r="P110" s="12"/>
      <c r="Q110" s="17"/>
      <c r="R110" s="18">
        <f>IF(SUMPRODUCT((E110:Q110)*1)=0,0,E110*INDEX(Hours!M:M,MATCH(C110,Hours!$A:$A,0))+F110*INDEX(Hours!B:B,MATCH(C110,Hours!$A:$A,0))+G110*INDEX(Hours!C:C,MATCH(C110,Hours!$A:$A,0))+H110*INDEX(Hours!D:D,MATCH(C110,Hours!$A:$A,0))+I110*INDEX(Hours!E:E,MATCH(C110,Hours!$A:$A,0))+J110*INDEX(Hours!F:F,MATCH(C110,Hours!$A:$A,0)))</f>
        <v>0</v>
      </c>
      <c r="S110" s="19">
        <f t="shared" si="3"/>
        <v>0</v>
      </c>
    </row>
    <row r="111" spans="1:19" x14ac:dyDescent="0.25">
      <c r="A111" s="11" t="str">
        <f>'Bldgs &amp; Rooms'!$A$4</f>
        <v>Main Bldg.</v>
      </c>
      <c r="B111" s="11">
        <f>'Bldgs &amp; Rooms'!$B$4</f>
        <v>0</v>
      </c>
      <c r="C111" s="10" t="str">
        <f>Hours!$A$37</f>
        <v>Uninterruptible Power Supply (UPS) &lt; 50kVA</v>
      </c>
      <c r="D111" s="11">
        <f t="shared" si="2"/>
        <v>0</v>
      </c>
      <c r="E111" s="16">
        <f>IF('Components Yr 1'!E111=0,0,'Components Yr 1'!E111)</f>
        <v>0</v>
      </c>
      <c r="F111" s="17">
        <f>IF('Components Yr 1'!F111=0,0,'Components Yr 1'!F111)</f>
        <v>0</v>
      </c>
      <c r="G111" s="17">
        <f>IF('Components Yr 1'!G111=0,0,'Components Yr 1'!G111)</f>
        <v>0</v>
      </c>
      <c r="H111" s="17">
        <f>IF('Components Yr 1'!H111=0,0,'Components Yr 1'!H111)</f>
        <v>0</v>
      </c>
      <c r="I111" s="17">
        <f>IF('Components Yr 1'!I111=0,0,'Components Yr 1'!I111)</f>
        <v>0</v>
      </c>
      <c r="J111" s="17">
        <f>IF('Components Yr 1'!J111=0,0,'Components Yr 1'!J111)</f>
        <v>0</v>
      </c>
      <c r="K111" s="12"/>
      <c r="L111" s="12"/>
      <c r="M111" s="12"/>
      <c r="N111" s="12"/>
      <c r="O111" s="12"/>
      <c r="P111" s="12"/>
      <c r="Q111" s="17"/>
      <c r="R111" s="18">
        <f>IF(SUMPRODUCT((E111:Q111)*1)=0,0,E111*INDEX(Hours!M:M,MATCH(C111,Hours!$A:$A,0))+F111*INDEX(Hours!B:B,MATCH(C111,Hours!$A:$A,0))+G111*INDEX(Hours!C:C,MATCH(C111,Hours!$A:$A,0))+H111*INDEX(Hours!D:D,MATCH(C111,Hours!$A:$A,0))+I111*INDEX(Hours!E:E,MATCH(C111,Hours!$A:$A,0))+J111*INDEX(Hours!F:F,MATCH(C111,Hours!$A:$A,0)))</f>
        <v>0</v>
      </c>
      <c r="S111" s="19">
        <f t="shared" si="3"/>
        <v>0</v>
      </c>
    </row>
    <row r="112" spans="1:19" x14ac:dyDescent="0.25">
      <c r="A112" s="11" t="str">
        <f>'Bldgs &amp; Rooms'!$A$4</f>
        <v>Main Bldg.</v>
      </c>
      <c r="B112" s="11">
        <f>'Bldgs &amp; Rooms'!$B$4</f>
        <v>0</v>
      </c>
      <c r="C112" s="10" t="str">
        <f>Hours!$A$38</f>
        <v>Uninterruptible Power Supply (UPS) &gt; 50kVA</v>
      </c>
      <c r="D112" s="11">
        <f t="shared" si="2"/>
        <v>0</v>
      </c>
      <c r="E112" s="16">
        <f>IF('Components Yr 1'!E112=0,0,'Components Yr 1'!E112)</f>
        <v>0</v>
      </c>
      <c r="F112" s="17">
        <f>IF('Components Yr 1'!F112=0,0,'Components Yr 1'!F112)</f>
        <v>0</v>
      </c>
      <c r="G112" s="17">
        <f>IF('Components Yr 1'!G112=0,0,'Components Yr 1'!G112)</f>
        <v>0</v>
      </c>
      <c r="H112" s="17">
        <f>IF('Components Yr 1'!H112=0,0,'Components Yr 1'!H112)</f>
        <v>0</v>
      </c>
      <c r="I112" s="17">
        <f>IF('Components Yr 1'!I112=0,0,'Components Yr 1'!I112)</f>
        <v>0</v>
      </c>
      <c r="J112" s="17">
        <f>IF('Components Yr 1'!J112=0,0,'Components Yr 1'!J112)</f>
        <v>0</v>
      </c>
      <c r="K112" s="12"/>
      <c r="L112" s="12"/>
      <c r="M112" s="12"/>
      <c r="N112" s="12"/>
      <c r="O112" s="12"/>
      <c r="P112" s="12"/>
      <c r="Q112" s="17"/>
      <c r="R112" s="18">
        <f>IF(SUMPRODUCT((E112:Q112)*1)=0,0,E112*INDEX(Hours!M:M,MATCH(C112,Hours!$A:$A,0))+F112*INDEX(Hours!B:B,MATCH(C112,Hours!$A:$A,0))+G112*INDEX(Hours!C:C,MATCH(C112,Hours!$A:$A,0))+H112*INDEX(Hours!D:D,MATCH(C112,Hours!$A:$A,0))+I112*INDEX(Hours!E:E,MATCH(C112,Hours!$A:$A,0))+J112*INDEX(Hours!F:F,MATCH(C112,Hours!$A:$A,0)))</f>
        <v>0</v>
      </c>
      <c r="S112" s="19">
        <f t="shared" si="3"/>
        <v>0</v>
      </c>
    </row>
    <row r="113" spans="1:19" x14ac:dyDescent="0.25">
      <c r="A113" s="15" t="str">
        <f>'Bldgs &amp; Rooms'!$A$5</f>
        <v>Main Bldg.</v>
      </c>
      <c r="B113" s="15">
        <f>'Bldgs &amp; Rooms'!$B$5</f>
        <v>0</v>
      </c>
      <c r="C113" s="14" t="str">
        <f>Hours!$A$2</f>
        <v>Switchgear - Incoming Main Service (Per Section)</v>
      </c>
      <c r="D113" s="15">
        <f t="shared" si="2"/>
        <v>0</v>
      </c>
      <c r="E113" s="16">
        <f>IF('Components Yr 1'!E113=0,0,'Components Yr 1'!E113)</f>
        <v>0</v>
      </c>
      <c r="F113" s="17">
        <f>IF('Components Yr 1'!F113=0,0,'Components Yr 1'!F113)</f>
        <v>0</v>
      </c>
      <c r="G113" s="17">
        <f>IF('Components Yr 1'!G113=0,0,'Components Yr 1'!G113)</f>
        <v>0</v>
      </c>
      <c r="H113" s="17">
        <f>IF('Components Yr 1'!H113=0,0,'Components Yr 1'!H113)</f>
        <v>0</v>
      </c>
      <c r="I113" s="17">
        <f>IF('Components Yr 1'!I113=0,0,'Components Yr 1'!I113)</f>
        <v>0</v>
      </c>
      <c r="J113" s="17">
        <f>IF('Components Yr 1'!J113=0,0,'Components Yr 1'!J113)</f>
        <v>0</v>
      </c>
      <c r="K113" s="17">
        <f>IF('Components Yr 1'!K113=0,0,'Components Yr 1'!K113)</f>
        <v>0</v>
      </c>
      <c r="L113" s="17">
        <f>IF('Components Yr 1'!L113=0,0,'Components Yr 1'!L113)</f>
        <v>0</v>
      </c>
      <c r="M113" s="12"/>
      <c r="N113" s="12"/>
      <c r="O113" s="17">
        <f>IF('Components Yr 1'!O113=0,0,'Components Yr 1'!O113)</f>
        <v>0</v>
      </c>
      <c r="P113" s="12"/>
      <c r="Q113" s="17"/>
      <c r="R113" s="18">
        <f>IF(SUMPRODUCT((E113:Q113)*1)=0,0,E113*INDEX(Hours!M:M,MATCH(C113,Hours!$A:$A,0))+F113*INDEX(Hours!B:B,MATCH(C113,Hours!$A:$A,0))+G113*INDEX(Hours!C:C,MATCH(C113,Hours!$A:$A,0))+H113*INDEX(Hours!D:D,MATCH(C113,Hours!$A:$A,0))+I113*INDEX(Hours!E:E,MATCH(C113,Hours!$A:$A,0))+J113*INDEX(Hours!F:F,MATCH(C113,Hours!$A:$A,0))+K113*INDEX(Hours!G:G,MATCH(C113,Hours!$A:$A,0))+L113*INDEX(Hours!H:H,MATCH(C113,Hours!$A:$A,0))+O113*INDEX(Hours!K:K,MATCH(C113,Hours!$A:$A,0)))</f>
        <v>0</v>
      </c>
      <c r="S113" s="19">
        <f t="shared" si="3"/>
        <v>0</v>
      </c>
    </row>
    <row r="114" spans="1:19" x14ac:dyDescent="0.25">
      <c r="A114" s="15" t="str">
        <f>'Bldgs &amp; Rooms'!$A$5</f>
        <v>Main Bldg.</v>
      </c>
      <c r="B114" s="15">
        <f>'Bldgs &amp; Rooms'!$B$5</f>
        <v>0</v>
      </c>
      <c r="C114" s="14" t="str">
        <f>Hours!$A$3</f>
        <v xml:space="preserve">  Switchgear Insulated Case Breakers (Bus Mounted)</v>
      </c>
      <c r="D114" s="15">
        <f t="shared" si="2"/>
        <v>0</v>
      </c>
      <c r="E114" s="16">
        <f>IF('Components Yr 1'!E114=0,0,'Components Yr 1'!E114)</f>
        <v>0</v>
      </c>
      <c r="F114" s="17">
        <f>IF('Components Yr 1'!F114=0,0,'Components Yr 1'!F114)</f>
        <v>0</v>
      </c>
      <c r="G114" s="17">
        <f>IF('Components Yr 1'!G114=0,0,'Components Yr 1'!G114)</f>
        <v>0</v>
      </c>
      <c r="H114" s="17">
        <f>IF('Components Yr 1'!H114=0,0,'Components Yr 1'!H114)</f>
        <v>0</v>
      </c>
      <c r="I114" s="17">
        <f>IF('Components Yr 1'!I114=0,0,'Components Yr 1'!I114)</f>
        <v>0</v>
      </c>
      <c r="J114" s="17">
        <f>IF('Components Yr 1'!J114=0,0,'Components Yr 1'!J114)</f>
        <v>0</v>
      </c>
      <c r="K114" s="17">
        <f>IF('Components Yr 1'!K114=0,0,'Components Yr 1'!K114)</f>
        <v>0</v>
      </c>
      <c r="L114" s="12"/>
      <c r="M114" s="12"/>
      <c r="N114" s="12"/>
      <c r="O114" s="12"/>
      <c r="P114" s="12"/>
      <c r="Q114" s="17"/>
      <c r="R114" s="18">
        <f>IF(SUMPRODUCT((E114:Q114)*1)=0,0,E114*INDEX(Hours!M:M,MATCH(C114,Hours!$A:$A,0))+F114*INDEX(Hours!B:B,MATCH(C114,Hours!$A:$A,0))+G114*INDEX(Hours!C:C,MATCH(C114,Hours!$A:$A,0))+H114*INDEX(Hours!D:D,MATCH(C114,Hours!$A:$A,0))+I114*INDEX(Hours!E:E,MATCH(C114,Hours!$A:$A,0))+J114*INDEX(Hours!F:F,MATCH(C114,Hours!$A:$A,0))+K114*INDEX(Hours!G:G,MATCH(C114,Hours!$A:$A,0)))</f>
        <v>0</v>
      </c>
      <c r="S114" s="19">
        <f t="shared" si="3"/>
        <v>0</v>
      </c>
    </row>
    <row r="115" spans="1:19" x14ac:dyDescent="0.25">
      <c r="A115" s="15" t="str">
        <f>'Bldgs &amp; Rooms'!$A$5</f>
        <v>Main Bldg.</v>
      </c>
      <c r="B115" s="15">
        <f>'Bldgs &amp; Rooms'!$B$5</f>
        <v>0</v>
      </c>
      <c r="C115" s="14" t="str">
        <f>Hours!$A$4</f>
        <v xml:space="preserve">  SwitchGear Drawout Breakers</v>
      </c>
      <c r="D115" s="15">
        <f t="shared" si="2"/>
        <v>0</v>
      </c>
      <c r="E115" s="16">
        <f>IF('Components Yr 1'!E115=0,0,'Components Yr 1'!E115)</f>
        <v>0</v>
      </c>
      <c r="F115" s="17">
        <f>IF('Components Yr 1'!F115=0,0,'Components Yr 1'!F115)</f>
        <v>0</v>
      </c>
      <c r="G115" s="17">
        <f>IF('Components Yr 1'!G115=0,0,'Components Yr 1'!G115)</f>
        <v>0</v>
      </c>
      <c r="H115" s="17">
        <f>IF('Components Yr 1'!H115=0,0,'Components Yr 1'!H115)</f>
        <v>0</v>
      </c>
      <c r="I115" s="17">
        <f>IF('Components Yr 1'!I115=0,0,'Components Yr 1'!I115)</f>
        <v>0</v>
      </c>
      <c r="J115" s="17">
        <f>IF('Components Yr 1'!J115=0,0,'Components Yr 1'!J115)</f>
        <v>0</v>
      </c>
      <c r="K115" s="12"/>
      <c r="L115" s="17">
        <f>IF('Components Yr 1'!L115=0,0,'Components Yr 1'!L115)</f>
        <v>0</v>
      </c>
      <c r="M115" s="12"/>
      <c r="N115" s="12"/>
      <c r="O115" s="12"/>
      <c r="P115" s="12"/>
      <c r="Q115" s="17"/>
      <c r="R115" s="18">
        <f>IF(SUMPRODUCT((E115:Q115)*1)=0,0,E115*INDEX(Hours!M:M,MATCH(C115,Hours!$A:$A,0))+F115*INDEX(Hours!B:B,MATCH(C115,Hours!$A:$A,0))+G115*INDEX(Hours!C:C,MATCH(C115,Hours!$A:$A,0))+H115*INDEX(Hours!D:D,MATCH(C115,Hours!$A:$A,0))+I115*INDEX(Hours!E:E,MATCH(C115,Hours!$A:$A,0))+J115*INDEX(Hours!F:F,MATCH(C115,Hours!$A:$A,0))+L115*INDEX(Hours!H:H,MATCH(C115,Hours!$A:$A,0)))</f>
        <v>0</v>
      </c>
      <c r="S115" s="19">
        <f t="shared" si="3"/>
        <v>0</v>
      </c>
    </row>
    <row r="116" spans="1:19" x14ac:dyDescent="0.25">
      <c r="A116" s="15" t="str">
        <f>'Bldgs &amp; Rooms'!$A$5</f>
        <v>Main Bldg.</v>
      </c>
      <c r="B116" s="15">
        <f>'Bldgs &amp; Rooms'!$B$5</f>
        <v>0</v>
      </c>
      <c r="C116" s="14" t="str">
        <f>Hours!$A$5</f>
        <v>Distribution Switchboard Multi Cover (Per Section)</v>
      </c>
      <c r="D116" s="15">
        <f t="shared" si="2"/>
        <v>0</v>
      </c>
      <c r="E116" s="16">
        <f>IF('Components Yr 1'!E116=0,0,'Components Yr 1'!E116)</f>
        <v>0</v>
      </c>
      <c r="F116" s="17">
        <f>IF('Components Yr 1'!F116=0,0,'Components Yr 1'!F116)</f>
        <v>0</v>
      </c>
      <c r="G116" s="17">
        <f>IF('Components Yr 1'!G116=0,0,'Components Yr 1'!G116)</f>
        <v>0</v>
      </c>
      <c r="H116" s="17">
        <f>IF('Components Yr 1'!H116=0,0,'Components Yr 1'!H116)</f>
        <v>0</v>
      </c>
      <c r="I116" s="17">
        <f>IF('Components Yr 1'!I116=0,0,'Components Yr 1'!I116)</f>
        <v>0</v>
      </c>
      <c r="J116" s="17">
        <f>IF('Components Yr 1'!J116=0,0,'Components Yr 1'!J116)</f>
        <v>0</v>
      </c>
      <c r="K116" s="17">
        <f>IF('Components Yr 1'!K116=0,0,'Components Yr 1'!K116)</f>
        <v>0</v>
      </c>
      <c r="L116" s="12"/>
      <c r="M116" s="12"/>
      <c r="N116" s="12"/>
      <c r="O116" s="17">
        <f>IF('Components Yr 1'!O116=0,0,'Components Yr 1'!O116)</f>
        <v>0</v>
      </c>
      <c r="P116" s="12"/>
      <c r="Q116" s="17"/>
      <c r="R116" s="18">
        <f>IF(SUMPRODUCT((E116:Q116)*1)=0,0,E116*INDEX(Hours!M:M,MATCH(C116,Hours!$A:$A,0))+F116*INDEX(Hours!B:B,MATCH(C116,Hours!$A:$A,0))+G116*INDEX(Hours!C:C,MATCH(C116,Hours!$A:$A,0))+H116*INDEX(Hours!D:D,MATCH(C116,Hours!$A:$A,0))+I116*INDEX(Hours!E:E,MATCH(C116,Hours!$A:$A,0))+J116*INDEX(Hours!F:F,MATCH(C116,Hours!$A:$A,0))+K116*INDEX(Hours!G:G,MATCH(C116,Hours!$A:$A,0))+O116*INDEX(Hours!K:K,MATCH(C116,Hours!$A:$A,0)))</f>
        <v>0</v>
      </c>
      <c r="S116" s="19">
        <f t="shared" si="3"/>
        <v>0</v>
      </c>
    </row>
    <row r="117" spans="1:19" x14ac:dyDescent="0.25">
      <c r="A117" s="15" t="str">
        <f>'Bldgs &amp; Rooms'!$A$5</f>
        <v>Main Bldg.</v>
      </c>
      <c r="B117" s="15">
        <f>'Bldgs &amp; Rooms'!$B$5</f>
        <v>0</v>
      </c>
      <c r="C117" s="14" t="str">
        <f>Hours!$A$6</f>
        <v xml:space="preserve">  Switchboard Disconnects</v>
      </c>
      <c r="D117" s="15">
        <f t="shared" si="2"/>
        <v>0</v>
      </c>
      <c r="E117" s="16">
        <f>IF('Components Yr 1'!E117=0,0,'Components Yr 1'!E117)</f>
        <v>0</v>
      </c>
      <c r="F117" s="17">
        <f>IF('Components Yr 1'!F117=0,0,'Components Yr 1'!F117)</f>
        <v>0</v>
      </c>
      <c r="G117" s="17">
        <f>IF('Components Yr 1'!G117=0,0,'Components Yr 1'!G117)</f>
        <v>0</v>
      </c>
      <c r="H117" s="17">
        <f>IF('Components Yr 1'!H117=0,0,'Components Yr 1'!H117)</f>
        <v>0</v>
      </c>
      <c r="I117" s="17">
        <f>IF('Components Yr 1'!I117=0,0,'Components Yr 1'!I117)</f>
        <v>0</v>
      </c>
      <c r="J117" s="17">
        <f>IF('Components Yr 1'!J117=0,0,'Components Yr 1'!J117)</f>
        <v>0</v>
      </c>
      <c r="K117" s="12"/>
      <c r="L117" s="12"/>
      <c r="M117" s="12"/>
      <c r="N117" s="12"/>
      <c r="O117" s="12"/>
      <c r="P117" s="12"/>
      <c r="Q117" s="17"/>
      <c r="R117" s="18">
        <f>IF(SUMPRODUCT((E117:Q117)*1)=0,0,E117*INDEX(Hours!M:M,MATCH(C117,Hours!$A:$A,0))+F117*INDEX(Hours!B:B,MATCH(C117,Hours!$A:$A,0))+G117*INDEX(Hours!C:C,MATCH(C117,Hours!$A:$A,0))+H117*INDEX(Hours!D:D,MATCH(C117,Hours!$A:$A,0))+I117*INDEX(Hours!E:E,MATCH(C117,Hours!$A:$A,0))+J117*INDEX(Hours!F:F,MATCH(C117,Hours!$A:$A,0)))</f>
        <v>0</v>
      </c>
      <c r="S117" s="19">
        <f t="shared" si="3"/>
        <v>0</v>
      </c>
    </row>
    <row r="118" spans="1:19" x14ac:dyDescent="0.25">
      <c r="A118" s="15" t="str">
        <f>'Bldgs &amp; Rooms'!$A$5</f>
        <v>Main Bldg.</v>
      </c>
      <c r="B118" s="15">
        <f>'Bldgs &amp; Rooms'!$B$5</f>
        <v>0</v>
      </c>
      <c r="C118" s="14" t="str">
        <f>Hours!$A$7</f>
        <v xml:space="preserve">  Switchboard Molded Case Breakers</v>
      </c>
      <c r="D118" s="15">
        <f t="shared" si="2"/>
        <v>0</v>
      </c>
      <c r="E118" s="16">
        <f>IF('Components Yr 1'!E118=0,0,'Components Yr 1'!E118)</f>
        <v>0</v>
      </c>
      <c r="F118" s="17">
        <f>IF('Components Yr 1'!F118=0,0,'Components Yr 1'!F118)</f>
        <v>0</v>
      </c>
      <c r="G118" s="17">
        <f>IF('Components Yr 1'!G118=0,0,'Components Yr 1'!G118)</f>
        <v>0</v>
      </c>
      <c r="H118" s="17">
        <f>IF('Components Yr 1'!H118=0,0,'Components Yr 1'!H118)</f>
        <v>0</v>
      </c>
      <c r="I118" s="17">
        <f>IF('Components Yr 1'!I118=0,0,'Components Yr 1'!I118)</f>
        <v>0</v>
      </c>
      <c r="J118" s="17">
        <f>IF('Components Yr 1'!J118=0,0,'Components Yr 1'!J118)</f>
        <v>0</v>
      </c>
      <c r="K118" s="17">
        <f>IF('Components Yr 1'!K118=0,0,'Components Yr 1'!K118)</f>
        <v>0</v>
      </c>
      <c r="L118" s="12"/>
      <c r="M118" s="12"/>
      <c r="N118" s="12"/>
      <c r="O118" s="12"/>
      <c r="P118" s="12"/>
      <c r="Q118" s="17"/>
      <c r="R118" s="18">
        <f>IF(SUMPRODUCT((E118:Q118)*1)=0,0,E118*INDEX(Hours!M:M,MATCH(C118,Hours!$A:$A,0))+F118*INDEX(Hours!B:B,MATCH(C118,Hours!$A:$A,0))+G118*INDEX(Hours!C:C,MATCH(C118,Hours!$A:$A,0))+H118*INDEX(Hours!D:D,MATCH(C118,Hours!$A:$A,0))+I118*INDEX(Hours!E:E,MATCH(C118,Hours!$A:$A,0))+J118*INDEX(Hours!F:F,MATCH(C118,Hours!$A:$A,0))+K118*INDEX(Hours!G:G,MATCH(C118,Hours!$A:$A,0)))</f>
        <v>0</v>
      </c>
      <c r="S118" s="19">
        <f t="shared" si="3"/>
        <v>0</v>
      </c>
    </row>
    <row r="119" spans="1:19" x14ac:dyDescent="0.25">
      <c r="A119" s="15" t="str">
        <f>'Bldgs &amp; Rooms'!$A$5</f>
        <v>Main Bldg.</v>
      </c>
      <c r="B119" s="15">
        <f>'Bldgs &amp; Rooms'!$B$5</f>
        <v>0</v>
      </c>
      <c r="C119" s="14" t="str">
        <f>Hours!$A$8</f>
        <v>Panelboard-Single Cover &gt; 400A (Distribution Panel)</v>
      </c>
      <c r="D119" s="15">
        <f t="shared" si="2"/>
        <v>0</v>
      </c>
      <c r="E119" s="16">
        <f>IF('Components Yr 1'!E119=0,0,'Components Yr 1'!E119)</f>
        <v>0</v>
      </c>
      <c r="F119" s="17">
        <f>IF('Components Yr 1'!F119=0,0,'Components Yr 1'!F119)</f>
        <v>0</v>
      </c>
      <c r="G119" s="17">
        <f>IF('Components Yr 1'!G119=0,0,'Components Yr 1'!G119)</f>
        <v>0</v>
      </c>
      <c r="H119" s="17">
        <f>IF('Components Yr 1'!H119=0,0,'Components Yr 1'!H119)</f>
        <v>0</v>
      </c>
      <c r="I119" s="17">
        <f>IF('Components Yr 1'!I119=0,0,'Components Yr 1'!I119)</f>
        <v>0</v>
      </c>
      <c r="J119" s="17">
        <f>IF('Components Yr 1'!J119=0,0,'Components Yr 1'!J119)</f>
        <v>0</v>
      </c>
      <c r="K119" s="17">
        <f>IF('Components Yr 1'!K119=0,0,'Components Yr 1'!K119)</f>
        <v>0</v>
      </c>
      <c r="L119" s="12"/>
      <c r="M119" s="12"/>
      <c r="N119" s="12"/>
      <c r="O119" s="17">
        <f>IF('Components Yr 1'!O119=0,0,'Components Yr 1'!O119)</f>
        <v>0</v>
      </c>
      <c r="P119" s="12"/>
      <c r="Q119" s="17"/>
      <c r="R119" s="18">
        <f>IF(SUMPRODUCT((E119:Q119)*1)=0,0,E119*INDEX(Hours!M:M,MATCH(C119,Hours!$A:$A,0))+F119*INDEX(Hours!B:B,MATCH(C119,Hours!$A:$A,0))+G119*INDEX(Hours!C:C,MATCH(C119,Hours!$A:$A,0))+H119*INDEX(Hours!D:D,MATCH(C119,Hours!$A:$A,0))+I119*INDEX(Hours!E:E,MATCH(C119,Hours!$A:$A,0))+J119*INDEX(Hours!F:F,MATCH(C119,Hours!$A:$A,0))+K119*INDEX(Hours!G:G,MATCH(C119,Hours!$A:$A,0))+O119*INDEX(Hours!K:K,MATCH(C119,Hours!$A:$A,0)))</f>
        <v>0</v>
      </c>
      <c r="S119" s="19">
        <f t="shared" si="3"/>
        <v>0</v>
      </c>
    </row>
    <row r="120" spans="1:19" x14ac:dyDescent="0.25">
      <c r="A120" s="15" t="str">
        <f>'Bldgs &amp; Rooms'!$A$5</f>
        <v>Main Bldg.</v>
      </c>
      <c r="B120" s="15">
        <f>'Bldgs &amp; Rooms'!$B$5</f>
        <v>0</v>
      </c>
      <c r="C120" s="14" t="str">
        <f>Hours!$A$9</f>
        <v>Panelboard-Single Cover &lt; 400A (Branch Ckt Panel)</v>
      </c>
      <c r="D120" s="15">
        <f t="shared" si="2"/>
        <v>0</v>
      </c>
      <c r="E120" s="16">
        <f>IF('Components Yr 1'!E120=0,0,'Components Yr 1'!E120)</f>
        <v>0</v>
      </c>
      <c r="F120" s="17">
        <f>IF('Components Yr 1'!F120=0,0,'Components Yr 1'!F120)</f>
        <v>0</v>
      </c>
      <c r="G120" s="17">
        <f>IF('Components Yr 1'!G120=0,0,'Components Yr 1'!G120)</f>
        <v>0</v>
      </c>
      <c r="H120" s="17">
        <f>IF('Components Yr 1'!H120=0,0,'Components Yr 1'!H120)</f>
        <v>0</v>
      </c>
      <c r="I120" s="17">
        <f>IF('Components Yr 1'!I120=0,0,'Components Yr 1'!I120)</f>
        <v>0</v>
      </c>
      <c r="J120" s="17">
        <f>IF('Components Yr 1'!J120=0,0,'Components Yr 1'!J120)</f>
        <v>0</v>
      </c>
      <c r="K120" s="12"/>
      <c r="L120" s="12"/>
      <c r="M120" s="12"/>
      <c r="N120" s="12"/>
      <c r="O120" s="17">
        <f>IF('Components Yr 1'!O120=0,0,'Components Yr 1'!O120)</f>
        <v>0</v>
      </c>
      <c r="P120" s="12"/>
      <c r="Q120" s="17"/>
      <c r="R120" s="18">
        <f>IF(SUMPRODUCT((E120:Q120)*1)=0,0,E120*INDEX(Hours!M:M,MATCH(C120,Hours!$A:$A,0))+F120*INDEX(Hours!B:B,MATCH(C120,Hours!$A:$A,0))+G120*INDEX(Hours!C:C,MATCH(C120,Hours!$A:$A,0))+H120*INDEX(Hours!D:D,MATCH(C120,Hours!$A:$A,0))+I120*INDEX(Hours!E:E,MATCH(C120,Hours!$A:$A,0))+J120*INDEX(Hours!F:F,MATCH(C120,Hours!$A:$A,0))+O120*INDEX(Hours!K:K,MATCH(C120,Hours!$A:$A,0)))</f>
        <v>0</v>
      </c>
      <c r="S120" s="19">
        <f t="shared" si="3"/>
        <v>0</v>
      </c>
    </row>
    <row r="121" spans="1:19" x14ac:dyDescent="0.25">
      <c r="A121" s="15" t="str">
        <f>'Bldgs &amp; Rooms'!$A$5</f>
        <v>Main Bldg.</v>
      </c>
      <c r="B121" s="15">
        <f>'Bldgs &amp; Rooms'!$B$5</f>
        <v>0</v>
      </c>
      <c r="C121" s="14" t="str">
        <f>Hours!$A$10</f>
        <v>Motor Control Center (MCC-Per Vertical Section)</v>
      </c>
      <c r="D121" s="15">
        <f t="shared" si="2"/>
        <v>0</v>
      </c>
      <c r="E121" s="16">
        <f>IF('Components Yr 1'!E121=0,0,'Components Yr 1'!E121)</f>
        <v>0</v>
      </c>
      <c r="F121" s="17">
        <f>IF('Components Yr 1'!F121=0,0,'Components Yr 1'!F121)</f>
        <v>0</v>
      </c>
      <c r="G121" s="17">
        <f>IF('Components Yr 1'!G121=0,0,'Components Yr 1'!G121)</f>
        <v>0</v>
      </c>
      <c r="H121" s="17">
        <f>IF('Components Yr 1'!H121=0,0,'Components Yr 1'!H121)</f>
        <v>0</v>
      </c>
      <c r="I121" s="17">
        <f>IF('Components Yr 1'!I121=0,0,'Components Yr 1'!I121)</f>
        <v>0</v>
      </c>
      <c r="J121" s="17">
        <f>IF('Components Yr 1'!J121=0,0,'Components Yr 1'!J121)</f>
        <v>0</v>
      </c>
      <c r="K121" s="12"/>
      <c r="L121" s="12"/>
      <c r="M121" s="12"/>
      <c r="N121" s="12"/>
      <c r="O121" s="17">
        <f>IF('Components Yr 1'!O121=0,0,'Components Yr 1'!O121)</f>
        <v>0</v>
      </c>
      <c r="P121" s="12"/>
      <c r="Q121" s="17"/>
      <c r="R121" s="18">
        <f>IF(SUMPRODUCT((E121:Q121)*1)=0,0,E121*INDEX(Hours!M:M,MATCH(C121,Hours!$A:$A,0))+F121*INDEX(Hours!B:B,MATCH(C121,Hours!$A:$A,0))+G121*INDEX(Hours!C:C,MATCH(C121,Hours!$A:$A,0))+H121*INDEX(Hours!D:D,MATCH(C121,Hours!$A:$A,0))+I121*INDEX(Hours!E:E,MATCH(C121,Hours!$A:$A,0))+J121*INDEX(Hours!F:F,MATCH(C121,Hours!$A:$A,0))+O121*INDEX(Hours!K:K,MATCH(C121,Hours!$A:$A,0)))</f>
        <v>0</v>
      </c>
      <c r="S121" s="19">
        <f t="shared" si="3"/>
        <v>0</v>
      </c>
    </row>
    <row r="122" spans="1:19" x14ac:dyDescent="0.25">
      <c r="A122" s="15" t="str">
        <f>'Bldgs &amp; Rooms'!$A$5</f>
        <v>Main Bldg.</v>
      </c>
      <c r="B122" s="15">
        <f>'Bldgs &amp; Rooms'!$B$5</f>
        <v>0</v>
      </c>
      <c r="C122" s="14" t="str">
        <f>Hours!$A$11</f>
        <v xml:space="preserve">  MCC: Combination Motor Starters</v>
      </c>
      <c r="D122" s="15">
        <f t="shared" si="2"/>
        <v>0</v>
      </c>
      <c r="E122" s="16">
        <f>IF('Components Yr 1'!E122=0,0,'Components Yr 1'!E122)</f>
        <v>0</v>
      </c>
      <c r="F122" s="17">
        <f>IF('Components Yr 1'!F122=0,0,'Components Yr 1'!F122)</f>
        <v>0</v>
      </c>
      <c r="G122" s="17">
        <f>IF('Components Yr 1'!G122=0,0,'Components Yr 1'!G122)</f>
        <v>0</v>
      </c>
      <c r="H122" s="17">
        <f>IF('Components Yr 1'!H122=0,0,'Components Yr 1'!H122)</f>
        <v>0</v>
      </c>
      <c r="I122" s="17">
        <f>IF('Components Yr 1'!I122=0,0,'Components Yr 1'!I122)</f>
        <v>0</v>
      </c>
      <c r="J122" s="17">
        <f>IF('Components Yr 1'!J122=0,0,'Components Yr 1'!J122)</f>
        <v>0</v>
      </c>
      <c r="K122" s="17">
        <f>IF('Components Yr 1'!K122=0,0,'Components Yr 1'!K122)</f>
        <v>0</v>
      </c>
      <c r="L122" s="12"/>
      <c r="M122" s="12"/>
      <c r="N122" s="12"/>
      <c r="O122" s="17">
        <f>IF('Components Yr 1'!O122=0,0,'Components Yr 1'!O122)</f>
        <v>0</v>
      </c>
      <c r="P122" s="12"/>
      <c r="Q122" s="17"/>
      <c r="R122" s="18">
        <f>IF(SUMPRODUCT((E122:Q122)*1)=0,0,E122*INDEX(Hours!M:M,MATCH(C122,Hours!$A:$A,0))+F122*INDEX(Hours!B:B,MATCH(C122,Hours!$A:$A,0))+G122*INDEX(Hours!C:C,MATCH(C122,Hours!$A:$A,0))+H122*INDEX(Hours!D:D,MATCH(C122,Hours!$A:$A,0))+I122*INDEX(Hours!E:E,MATCH(C122,Hours!$A:$A,0))+J122*INDEX(Hours!F:F,MATCH(C122,Hours!$A:$A,0))+K122*INDEX(Hours!G:G,MATCH(C122,Hours!$A:$A,0))+O122*INDEX(Hours!K:K,MATCH(C122,Hours!$A:$A,0)))</f>
        <v>0</v>
      </c>
      <c r="S122" s="19">
        <f t="shared" si="3"/>
        <v>0</v>
      </c>
    </row>
    <row r="123" spans="1:19" x14ac:dyDescent="0.25">
      <c r="A123" s="15" t="str">
        <f>'Bldgs &amp; Rooms'!$A$5</f>
        <v>Main Bldg.</v>
      </c>
      <c r="B123" s="15">
        <f>'Bldgs &amp; Rooms'!$B$5</f>
        <v>0</v>
      </c>
      <c r="C123" s="14" t="str">
        <f>Hours!$A$12</f>
        <v xml:space="preserve">  MCC: Molded Case Breaker</v>
      </c>
      <c r="D123" s="15">
        <f t="shared" si="2"/>
        <v>0</v>
      </c>
      <c r="E123" s="16">
        <f>IF('Components Yr 1'!E123=0,0,'Components Yr 1'!E123)</f>
        <v>0</v>
      </c>
      <c r="F123" s="17">
        <f>IF('Components Yr 1'!F123=0,0,'Components Yr 1'!F123)</f>
        <v>0</v>
      </c>
      <c r="G123" s="17">
        <f>IF('Components Yr 1'!G123=0,0,'Components Yr 1'!G123)</f>
        <v>0</v>
      </c>
      <c r="H123" s="17">
        <f>IF('Components Yr 1'!H123=0,0,'Components Yr 1'!H123)</f>
        <v>0</v>
      </c>
      <c r="I123" s="17">
        <f>IF('Components Yr 1'!I123=0,0,'Components Yr 1'!I123)</f>
        <v>0</v>
      </c>
      <c r="J123" s="17">
        <f>IF('Components Yr 1'!J123=0,0,'Components Yr 1'!J123)</f>
        <v>0</v>
      </c>
      <c r="K123" s="17">
        <f>IF('Components Yr 1'!K123=0,0,'Components Yr 1'!K123)</f>
        <v>0</v>
      </c>
      <c r="L123" s="12"/>
      <c r="M123" s="12"/>
      <c r="N123" s="12"/>
      <c r="O123" s="12"/>
      <c r="P123" s="12"/>
      <c r="Q123" s="17"/>
      <c r="R123" s="18">
        <f>IF(SUMPRODUCT((E123:Q123)*1)=0,0,E123*INDEX(Hours!M:M,MATCH(C123,Hours!$A:$A,0))+F123*INDEX(Hours!B:B,MATCH(C123,Hours!$A:$A,0))+G123*INDEX(Hours!C:C,MATCH(C123,Hours!$A:$A,0))+H123*INDEX(Hours!D:D,MATCH(C123,Hours!$A:$A,0))+I123*INDEX(Hours!E:E,MATCH(C123,Hours!$A:$A,0))+J123*INDEX(Hours!F:F,MATCH(C123,Hours!$A:$A,0))+K123*INDEX(Hours!G:G,MATCH(C123,Hours!$A:$A,0)))</f>
        <v>0</v>
      </c>
      <c r="S123" s="19">
        <f t="shared" si="3"/>
        <v>0</v>
      </c>
    </row>
    <row r="124" spans="1:19" x14ac:dyDescent="0.25">
      <c r="A124" s="15" t="str">
        <f>'Bldgs &amp; Rooms'!$A$5</f>
        <v>Main Bldg.</v>
      </c>
      <c r="B124" s="15">
        <f>'Bldgs &amp; Rooms'!$B$5</f>
        <v>0</v>
      </c>
      <c r="C124" s="14" t="str">
        <f>Hours!$A$13</f>
        <v xml:space="preserve">  MCC: Individual Disconnect Switch</v>
      </c>
      <c r="D124" s="15">
        <f t="shared" si="2"/>
        <v>0</v>
      </c>
      <c r="E124" s="16">
        <f>IF('Components Yr 1'!E124=0,0,'Components Yr 1'!E124)</f>
        <v>0</v>
      </c>
      <c r="F124" s="17">
        <f>IF('Components Yr 1'!F124=0,0,'Components Yr 1'!F124)</f>
        <v>0</v>
      </c>
      <c r="G124" s="17">
        <f>IF('Components Yr 1'!G124=0,0,'Components Yr 1'!G124)</f>
        <v>0</v>
      </c>
      <c r="H124" s="17">
        <f>IF('Components Yr 1'!H124=0,0,'Components Yr 1'!H124)</f>
        <v>0</v>
      </c>
      <c r="I124" s="17">
        <f>IF('Components Yr 1'!I124=0,0,'Components Yr 1'!I124)</f>
        <v>0</v>
      </c>
      <c r="J124" s="17">
        <f>IF('Components Yr 1'!J124=0,0,'Components Yr 1'!J124)</f>
        <v>0</v>
      </c>
      <c r="K124" s="12"/>
      <c r="L124" s="12"/>
      <c r="M124" s="12"/>
      <c r="N124" s="12"/>
      <c r="O124" s="12"/>
      <c r="P124" s="12"/>
      <c r="Q124" s="17"/>
      <c r="R124" s="18">
        <f>IF(SUMPRODUCT((E124:Q124)*1)=0,0,E124*INDEX(Hours!M:M,MATCH(C124,Hours!$A:$A,0))+F124*INDEX(Hours!B:B,MATCH(C124,Hours!$A:$A,0))+G124*INDEX(Hours!C:C,MATCH(C124,Hours!$A:$A,0))+H124*INDEX(Hours!D:D,MATCH(C124,Hours!$A:$A,0))+I124*INDEX(Hours!E:E,MATCH(C124,Hours!$A:$A,0))+J124*INDEX(Hours!F:F,MATCH(C124,Hours!$A:$A,0)))</f>
        <v>0</v>
      </c>
      <c r="S124" s="19">
        <f t="shared" si="3"/>
        <v>0</v>
      </c>
    </row>
    <row r="125" spans="1:19" x14ac:dyDescent="0.25">
      <c r="A125" s="15" t="str">
        <f>'Bldgs &amp; Rooms'!$A$5</f>
        <v>Main Bldg.</v>
      </c>
      <c r="B125" s="15">
        <f>'Bldgs &amp; Rooms'!$B$5</f>
        <v>0</v>
      </c>
      <c r="C125" s="14" t="str">
        <f>Hours!$A$14</f>
        <v>Motor Control Panel (MCP)</v>
      </c>
      <c r="D125" s="15">
        <f t="shared" si="2"/>
        <v>0</v>
      </c>
      <c r="E125" s="16">
        <f>IF('Components Yr 1'!E125=0,0,'Components Yr 1'!E125)</f>
        <v>0</v>
      </c>
      <c r="F125" s="17">
        <f>IF('Components Yr 1'!F125=0,0,'Components Yr 1'!F125)</f>
        <v>0</v>
      </c>
      <c r="G125" s="17">
        <f>IF('Components Yr 1'!G125=0,0,'Components Yr 1'!G125)</f>
        <v>0</v>
      </c>
      <c r="H125" s="17">
        <f>IF('Components Yr 1'!H125=0,0,'Components Yr 1'!H125)</f>
        <v>0</v>
      </c>
      <c r="I125" s="17">
        <f>IF('Components Yr 1'!I125=0,0,'Components Yr 1'!I125)</f>
        <v>0</v>
      </c>
      <c r="J125" s="17">
        <f>IF('Components Yr 1'!J125=0,0,'Components Yr 1'!J125)</f>
        <v>0</v>
      </c>
      <c r="K125" s="12"/>
      <c r="L125" s="12"/>
      <c r="M125" s="12"/>
      <c r="N125" s="12"/>
      <c r="O125" s="17">
        <f>IF('Components Yr 1'!O125=0,0,'Components Yr 1'!O125)</f>
        <v>0</v>
      </c>
      <c r="P125" s="12"/>
      <c r="Q125" s="17"/>
      <c r="R125" s="18">
        <f>IF(SUMPRODUCT((E125:Q125)*1)=0,0,E125*INDEX(Hours!M:M,MATCH(C125,Hours!$A:$A,0))+F125*INDEX(Hours!B:B,MATCH(C125,Hours!$A:$A,0))+G125*INDEX(Hours!C:C,MATCH(C125,Hours!$A:$A,0))+H125*INDEX(Hours!D:D,MATCH(C125,Hours!$A:$A,0))+I125*INDEX(Hours!E:E,MATCH(C125,Hours!$A:$A,0))+J125*INDEX(Hours!F:F,MATCH(C125,Hours!$A:$A,0))+O125*INDEX(Hours!K:K,MATCH(C125,Hours!$A:$A,0)))</f>
        <v>0</v>
      </c>
      <c r="S125" s="19">
        <f t="shared" si="3"/>
        <v>0</v>
      </c>
    </row>
    <row r="126" spans="1:19" x14ac:dyDescent="0.25">
      <c r="A126" s="15" t="str">
        <f>'Bldgs &amp; Rooms'!$A$5</f>
        <v>Main Bldg.</v>
      </c>
      <c r="B126" s="15">
        <f>'Bldgs &amp; Rooms'!$B$5</f>
        <v>0</v>
      </c>
      <c r="C126" s="14" t="str">
        <f>Hours!$A$15</f>
        <v>VFD Motor Control Panel (VFD-MCP)</v>
      </c>
      <c r="D126" s="15">
        <f t="shared" si="2"/>
        <v>0</v>
      </c>
      <c r="E126" s="16">
        <f>IF('Components Yr 1'!E126=0,0,'Components Yr 1'!E126)</f>
        <v>0</v>
      </c>
      <c r="F126" s="17">
        <f>IF('Components Yr 1'!F126=0,0,'Components Yr 1'!F126)</f>
        <v>0</v>
      </c>
      <c r="G126" s="17">
        <f>IF('Components Yr 1'!G126=0,0,'Components Yr 1'!G126)</f>
        <v>0</v>
      </c>
      <c r="H126" s="17">
        <f>IF('Components Yr 1'!H126=0,0,'Components Yr 1'!H126)</f>
        <v>0</v>
      </c>
      <c r="I126" s="17">
        <f>IF('Components Yr 1'!I126=0,0,'Components Yr 1'!I126)</f>
        <v>0</v>
      </c>
      <c r="J126" s="17">
        <f>IF('Components Yr 1'!J126=0,0,'Components Yr 1'!J126)</f>
        <v>0</v>
      </c>
      <c r="K126" s="12"/>
      <c r="L126" s="12"/>
      <c r="M126" s="12"/>
      <c r="N126" s="12"/>
      <c r="O126" s="17">
        <f>IF('Components Yr 1'!O126=0,0,'Components Yr 1'!O126)</f>
        <v>0</v>
      </c>
      <c r="P126" s="12"/>
      <c r="Q126" s="17"/>
      <c r="R126" s="18">
        <f>IF(SUMPRODUCT((E126:Q126)*1)=0,0,E126*INDEX(Hours!M:M,MATCH(C126,Hours!$A:$A,0))+F126*INDEX(Hours!B:B,MATCH(C126,Hours!$A:$A,0))+G126*INDEX(Hours!C:C,MATCH(C126,Hours!$A:$A,0))+H126*INDEX(Hours!D:D,MATCH(C126,Hours!$A:$A,0))+I126*INDEX(Hours!E:E,MATCH(C126,Hours!$A:$A,0))+J126*INDEX(Hours!F:F,MATCH(C126,Hours!$A:$A,0))+O126*INDEX(Hours!K:K,MATCH(C126,Hours!$A:$A,0)))</f>
        <v>0</v>
      </c>
      <c r="S126" s="19">
        <f t="shared" si="3"/>
        <v>0</v>
      </c>
    </row>
    <row r="127" spans="1:19" x14ac:dyDescent="0.25">
      <c r="A127" s="15" t="str">
        <f>'Bldgs &amp; Rooms'!$A$5</f>
        <v>Main Bldg.</v>
      </c>
      <c r="B127" s="15">
        <f>'Bldgs &amp; Rooms'!$B$5</f>
        <v>0</v>
      </c>
      <c r="C127" s="14" t="str">
        <f>Hours!$A$16</f>
        <v>Individual Disconnect Switch &gt; 100A</v>
      </c>
      <c r="D127" s="15">
        <f t="shared" si="2"/>
        <v>0</v>
      </c>
      <c r="E127" s="16">
        <f>IF('Components Yr 1'!E127=0,0,'Components Yr 1'!E127)</f>
        <v>0</v>
      </c>
      <c r="F127" s="17">
        <f>IF('Components Yr 1'!F127=0,0,'Components Yr 1'!F127)</f>
        <v>0</v>
      </c>
      <c r="G127" s="17">
        <f>IF('Components Yr 1'!G127=0,0,'Components Yr 1'!G127)</f>
        <v>0</v>
      </c>
      <c r="H127" s="17">
        <f>IF('Components Yr 1'!H127=0,0,'Components Yr 1'!H127)</f>
        <v>0</v>
      </c>
      <c r="I127" s="17">
        <f>IF('Components Yr 1'!I127=0,0,'Components Yr 1'!I127)</f>
        <v>0</v>
      </c>
      <c r="J127" s="17">
        <f>IF('Components Yr 1'!J127=0,0,'Components Yr 1'!J127)</f>
        <v>0</v>
      </c>
      <c r="K127" s="17">
        <f>IF('Components Yr 1'!K127=0,0,'Components Yr 1'!K127)</f>
        <v>0</v>
      </c>
      <c r="L127" s="12"/>
      <c r="M127" s="12"/>
      <c r="N127" s="12"/>
      <c r="O127" s="12"/>
      <c r="P127" s="12"/>
      <c r="Q127" s="17"/>
      <c r="R127" s="18">
        <f>IF(SUMPRODUCT((E127:Q127)*1)=0,0,E127*INDEX(Hours!M:M,MATCH(C127,Hours!$A:$A,0))+F127*INDEX(Hours!B:B,MATCH(C127,Hours!$A:$A,0))+G127*INDEX(Hours!C:C,MATCH(C127,Hours!$A:$A,0))+H127*INDEX(Hours!D:D,MATCH(C127,Hours!$A:$A,0))+I127*INDEX(Hours!E:E,MATCH(C127,Hours!$A:$A,0))+J127*INDEX(Hours!F:F,MATCH(C127,Hours!$A:$A,0))+K127*INDEX(Hours!G:G,MATCH(C127,Hours!$A:$A,0)))</f>
        <v>0</v>
      </c>
      <c r="S127" s="19">
        <f t="shared" si="3"/>
        <v>0</v>
      </c>
    </row>
    <row r="128" spans="1:19" x14ac:dyDescent="0.25">
      <c r="A128" s="15" t="str">
        <f>'Bldgs &amp; Rooms'!$A$5</f>
        <v>Main Bldg.</v>
      </c>
      <c r="B128" s="15">
        <f>'Bldgs &amp; Rooms'!$B$5</f>
        <v>0</v>
      </c>
      <c r="C128" s="14" t="str">
        <f>Hours!$A$17</f>
        <v>Individual Molded Case Breaker &gt; 100A</v>
      </c>
      <c r="D128" s="15">
        <f t="shared" si="2"/>
        <v>0</v>
      </c>
      <c r="E128" s="16">
        <f>IF('Components Yr 1'!E128=0,0,'Components Yr 1'!E128)</f>
        <v>0</v>
      </c>
      <c r="F128" s="17">
        <f>IF('Components Yr 1'!F128=0,0,'Components Yr 1'!F128)</f>
        <v>0</v>
      </c>
      <c r="G128" s="17">
        <f>IF('Components Yr 1'!G128=0,0,'Components Yr 1'!G128)</f>
        <v>0</v>
      </c>
      <c r="H128" s="17">
        <f>IF('Components Yr 1'!H128=0,0,'Components Yr 1'!H128)</f>
        <v>0</v>
      </c>
      <c r="I128" s="17">
        <f>IF('Components Yr 1'!I128=0,0,'Components Yr 1'!I128)</f>
        <v>0</v>
      </c>
      <c r="J128" s="17">
        <f>IF('Components Yr 1'!J128=0,0,'Components Yr 1'!J128)</f>
        <v>0</v>
      </c>
      <c r="K128" s="17">
        <f>IF('Components Yr 1'!K128=0,0,'Components Yr 1'!K128)</f>
        <v>0</v>
      </c>
      <c r="L128" s="12"/>
      <c r="M128" s="12"/>
      <c r="N128" s="12"/>
      <c r="O128" s="12"/>
      <c r="P128" s="12"/>
      <c r="Q128" s="17"/>
      <c r="R128" s="18">
        <f>IF(SUMPRODUCT((E128:Q128)*1)=0,0,E128*INDEX(Hours!M:M,MATCH(C128,Hours!$A:$A,0))+F128*INDEX(Hours!B:B,MATCH(C128,Hours!$A:$A,0))+G128*INDEX(Hours!C:C,MATCH(C128,Hours!$A:$A,0))+H128*INDEX(Hours!D:D,MATCH(C128,Hours!$A:$A,0))+I128*INDEX(Hours!E:E,MATCH(C128,Hours!$A:$A,0))+J128*INDEX(Hours!F:F,MATCH(C128,Hours!$A:$A,0))+K128*INDEX(Hours!G:G,MATCH(C128,Hours!$A:$A,0)))</f>
        <v>0</v>
      </c>
      <c r="S128" s="19">
        <f t="shared" si="3"/>
        <v>0</v>
      </c>
    </row>
    <row r="129" spans="1:19" x14ac:dyDescent="0.25">
      <c r="A129" s="15" t="str">
        <f>'Bldgs &amp; Rooms'!$A$5</f>
        <v>Main Bldg.</v>
      </c>
      <c r="B129" s="15">
        <f>'Bldgs &amp; Rooms'!$B$5</f>
        <v>0</v>
      </c>
      <c r="C129" s="14" t="str">
        <f>Hours!$A$18</f>
        <v>Individual Combination Motor Starter &gt; 100A</v>
      </c>
      <c r="D129" s="15">
        <f t="shared" si="2"/>
        <v>0</v>
      </c>
      <c r="E129" s="16">
        <f>IF('Components Yr 1'!E129=0,0,'Components Yr 1'!E129)</f>
        <v>0</v>
      </c>
      <c r="F129" s="17">
        <f>IF('Components Yr 1'!F129=0,0,'Components Yr 1'!F129)</f>
        <v>0</v>
      </c>
      <c r="G129" s="17">
        <f>IF('Components Yr 1'!G129=0,0,'Components Yr 1'!G129)</f>
        <v>0</v>
      </c>
      <c r="H129" s="17">
        <f>IF('Components Yr 1'!H129=0,0,'Components Yr 1'!H129)</f>
        <v>0</v>
      </c>
      <c r="I129" s="17">
        <f>IF('Components Yr 1'!I129=0,0,'Components Yr 1'!I129)</f>
        <v>0</v>
      </c>
      <c r="J129" s="17">
        <f>IF('Components Yr 1'!J129=0,0,'Components Yr 1'!J129)</f>
        <v>0</v>
      </c>
      <c r="K129" s="17">
        <f>IF('Components Yr 1'!K129=0,0,'Components Yr 1'!K129)</f>
        <v>0</v>
      </c>
      <c r="L129" s="12"/>
      <c r="M129" s="12"/>
      <c r="N129" s="12"/>
      <c r="O129" s="12"/>
      <c r="P129" s="12"/>
      <c r="Q129" s="17"/>
      <c r="R129" s="18">
        <f>IF(SUMPRODUCT((E129:Q129)*1)=0,0,E129*INDEX(Hours!M:M,MATCH(C129,Hours!$A:$A,0))+F129*INDEX(Hours!B:B,MATCH(C129,Hours!$A:$A,0))+G129*INDEX(Hours!C:C,MATCH(C129,Hours!$A:$A,0))+H129*INDEX(Hours!D:D,MATCH(C129,Hours!$A:$A,0))+I129*INDEX(Hours!E:E,MATCH(C129,Hours!$A:$A,0))+J129*INDEX(Hours!F:F,MATCH(C129,Hours!$A:$A,0))+K129*INDEX(Hours!G:G,MATCH(C129,Hours!$A:$A,0)))</f>
        <v>0</v>
      </c>
      <c r="S129" s="19">
        <f t="shared" si="3"/>
        <v>0</v>
      </c>
    </row>
    <row r="130" spans="1:19" x14ac:dyDescent="0.25">
      <c r="A130" s="15" t="str">
        <f>'Bldgs &amp; Rooms'!$A$5</f>
        <v>Main Bldg.</v>
      </c>
      <c r="B130" s="15">
        <f>'Bldgs &amp; Rooms'!$B$5</f>
        <v>0</v>
      </c>
      <c r="C130" s="14" t="str">
        <f>Hours!$A$19</f>
        <v>Oil Filled Transformer - 5kV-15kV Primary - Any Size (Pad Mounted)</v>
      </c>
      <c r="D130" s="15">
        <f t="shared" ref="D130:D193" si="4">MAX(E130+F130,G130,H130,I130,J130,K130,L130,M130,N130,O130,P130,Q130)</f>
        <v>0</v>
      </c>
      <c r="E130" s="16">
        <f>IF('Components Yr 1'!E130=0,0,'Components Yr 1'!E130)</f>
        <v>0</v>
      </c>
      <c r="F130" s="17">
        <f>IF('Components Yr 1'!F130=0,0,'Components Yr 1'!F130)</f>
        <v>0</v>
      </c>
      <c r="G130" s="17">
        <f>IF('Components Yr 1'!G130=0,0,'Components Yr 1'!G130)</f>
        <v>0</v>
      </c>
      <c r="H130" s="17">
        <f>IF('Components Yr 1'!H130=0,0,'Components Yr 1'!H130)</f>
        <v>0</v>
      </c>
      <c r="I130" s="17">
        <f>IF('Components Yr 1'!I130=0,0,'Components Yr 1'!I130)</f>
        <v>0</v>
      </c>
      <c r="J130" s="17">
        <f>IF('Components Yr 1'!J130=0,0,'Components Yr 1'!J130)</f>
        <v>0</v>
      </c>
      <c r="K130" s="12"/>
      <c r="L130" s="12"/>
      <c r="M130" s="17">
        <f>IF('Components Yr 1'!M130=0,0,'Components Yr 1'!M130)</f>
        <v>0</v>
      </c>
      <c r="N130" s="17">
        <f>IF('Components Yr 1'!N130=0,0,'Components Yr 1'!N130)</f>
        <v>0</v>
      </c>
      <c r="O130" s="12"/>
      <c r="P130" s="17">
        <f>IF('Components Yr 1'!P130=0,0,'Components Yr 1'!P130)</f>
        <v>0</v>
      </c>
      <c r="Q130" s="17"/>
      <c r="R130" s="18">
        <f>IF(SUMPRODUCT((E130:Q130)*1)=0,0,E130*INDEX(Hours!M:M,MATCH(C130,Hours!$A:$A,0))+F130*INDEX(Hours!B:B,MATCH(C130,Hours!$A:$A,0))+G130*INDEX(Hours!C:C,MATCH(C130,Hours!$A:$A,0))+H130*INDEX(Hours!D:D,MATCH(C130,Hours!$A:$A,0))+I130*INDEX(Hours!E:E,MATCH(C130,Hours!$A:$A,0))+J130*INDEX(Hours!F:F,MATCH(C130,Hours!$A:$A,0))+M130*INDEX(Hours!I:I,MATCH(C130,Hours!$A:$A,0))+N130*INDEX(Hours!J:J,MATCH(C130,Hours!$A:$A,0))+P130*INDEX(Hours!L:L,MATCH(C130,Hours!$A:$A,0)))</f>
        <v>0</v>
      </c>
      <c r="S130" s="19">
        <f t="shared" ref="S130:S193" si="5">MAX(E130+F130,G130,H130,I130,J130,K130,L130,M130,N130,O130,P130,Q130)</f>
        <v>0</v>
      </c>
    </row>
    <row r="131" spans="1:19" x14ac:dyDescent="0.25">
      <c r="A131" s="15" t="str">
        <f>'Bldgs &amp; Rooms'!$A$5</f>
        <v>Main Bldg.</v>
      </c>
      <c r="B131" s="15">
        <f>'Bldgs &amp; Rooms'!$B$5</f>
        <v>0</v>
      </c>
      <c r="C131" s="14" t="str">
        <f>Hours!$A$20</f>
        <v>Oil Filled Transformer - &gt; 15kV Primary (Substation Class)</v>
      </c>
      <c r="D131" s="15">
        <f t="shared" si="4"/>
        <v>0</v>
      </c>
      <c r="E131" s="16">
        <f>IF('Components Yr 1'!E131=0,0,'Components Yr 1'!E131)</f>
        <v>0</v>
      </c>
      <c r="F131" s="17">
        <f>IF('Components Yr 1'!F131=0,0,'Components Yr 1'!F131)</f>
        <v>0</v>
      </c>
      <c r="G131" s="17">
        <f>IF('Components Yr 1'!G131=0,0,'Components Yr 1'!G131)</f>
        <v>0</v>
      </c>
      <c r="H131" s="17">
        <f>IF('Components Yr 1'!H131=0,0,'Components Yr 1'!H131)</f>
        <v>0</v>
      </c>
      <c r="I131" s="17">
        <f>IF('Components Yr 1'!I131=0,0,'Components Yr 1'!I131)</f>
        <v>0</v>
      </c>
      <c r="J131" s="17">
        <f>IF('Components Yr 1'!J131=0,0,'Components Yr 1'!J131)</f>
        <v>0</v>
      </c>
      <c r="K131" s="12"/>
      <c r="L131" s="12"/>
      <c r="M131" s="17">
        <f>IF('Components Yr 1'!M131=0,0,'Components Yr 1'!M131)</f>
        <v>0</v>
      </c>
      <c r="N131" s="17">
        <f>IF('Components Yr 1'!N131=0,0,'Components Yr 1'!N131)</f>
        <v>0</v>
      </c>
      <c r="O131" s="12"/>
      <c r="P131" s="17">
        <f>IF('Components Yr 1'!P131=0,0,'Components Yr 1'!P131)</f>
        <v>0</v>
      </c>
      <c r="Q131" s="17"/>
      <c r="R131" s="18">
        <f>IF(SUMPRODUCT((E131:Q131)*1)=0,0,E131*INDEX(Hours!M:M,MATCH(C131,Hours!$A:$A,0))+F131*INDEX(Hours!B:B,MATCH(C131,Hours!$A:$A,0))+G131*INDEX(Hours!C:C,MATCH(C131,Hours!$A:$A,0))+H131*INDEX(Hours!D:D,MATCH(C131,Hours!$A:$A,0))+I131*INDEX(Hours!E:E,MATCH(C131,Hours!$A:$A,0))+J131*INDEX(Hours!F:F,MATCH(C131,Hours!$A:$A,0))+M131*INDEX(Hours!I:I,MATCH(C131,Hours!$A:$A,0))+N131*INDEX(Hours!J:J,MATCH(C131,Hours!$A:$A,0))+P131*INDEX(Hours!L:L,MATCH(C131,Hours!$A:$A,0)))</f>
        <v>0</v>
      </c>
      <c r="S131" s="19">
        <f t="shared" si="5"/>
        <v>0</v>
      </c>
    </row>
    <row r="132" spans="1:19" x14ac:dyDescent="0.25">
      <c r="A132" s="15" t="str">
        <f>'Bldgs &amp; Rooms'!$A$5</f>
        <v>Main Bldg.</v>
      </c>
      <c r="B132" s="15">
        <f>'Bldgs &amp; Rooms'!$B$5</f>
        <v>0</v>
      </c>
      <c r="C132" s="14" t="str">
        <f>Hours!$A$21</f>
        <v>Dry Type Transformer - &lt; 480V Primary - Any Size kVA</v>
      </c>
      <c r="D132" s="15">
        <f t="shared" si="4"/>
        <v>0</v>
      </c>
      <c r="E132" s="16">
        <f>IF('Components Yr 1'!E132=0,0,'Components Yr 1'!E132)</f>
        <v>0</v>
      </c>
      <c r="F132" s="17">
        <f>IF('Components Yr 1'!F132=0,0,'Components Yr 1'!F132)</f>
        <v>0</v>
      </c>
      <c r="G132" s="17">
        <f>IF('Components Yr 1'!G132=0,0,'Components Yr 1'!G132)</f>
        <v>0</v>
      </c>
      <c r="H132" s="17">
        <f>IF('Components Yr 1'!H132=0,0,'Components Yr 1'!H132)</f>
        <v>0</v>
      </c>
      <c r="I132" s="17">
        <f>IF('Components Yr 1'!I132=0,0,'Components Yr 1'!I132)</f>
        <v>0</v>
      </c>
      <c r="J132" s="17">
        <f>IF('Components Yr 1'!J132=0,0,'Components Yr 1'!J132)</f>
        <v>0</v>
      </c>
      <c r="K132" s="12"/>
      <c r="L132" s="12"/>
      <c r="M132" s="17">
        <f>IF('Components Yr 1'!M132=0,0,'Components Yr 1'!M132)</f>
        <v>0</v>
      </c>
      <c r="N132" s="17">
        <f>IF('Components Yr 1'!N132=0,0,'Components Yr 1'!N132)</f>
        <v>0</v>
      </c>
      <c r="O132" s="12"/>
      <c r="P132" s="12"/>
      <c r="Q132" s="17"/>
      <c r="R132" s="18">
        <f>IF(SUMPRODUCT((E132:Q132)*1)=0,0,E132*INDEX(Hours!M:M,MATCH(C132,Hours!$A:$A,0))+F132*INDEX(Hours!B:B,MATCH(C132,Hours!$A:$A,0))+G132*INDEX(Hours!C:C,MATCH(C132,Hours!$A:$A,0))+H132*INDEX(Hours!D:D,MATCH(C132,Hours!$A:$A,0))+I132*INDEX(Hours!E:E,MATCH(C132,Hours!$A:$A,0))+J132*INDEX(Hours!F:F,MATCH(C132,Hours!$A:$A,0))+M132*INDEX(Hours!I:I,MATCH(C132,Hours!$A:$A,0))+N132*INDEX(Hours!J:J,MATCH(C132,Hours!$A:$A,0)))</f>
        <v>0</v>
      </c>
      <c r="S132" s="19">
        <f t="shared" si="5"/>
        <v>0</v>
      </c>
    </row>
    <row r="133" spans="1:19" x14ac:dyDescent="0.25">
      <c r="A133" s="15" t="str">
        <f>'Bldgs &amp; Rooms'!$A$5</f>
        <v>Main Bldg.</v>
      </c>
      <c r="B133" s="15">
        <f>'Bldgs &amp; Rooms'!$B$5</f>
        <v>0</v>
      </c>
      <c r="C133" s="14" t="str">
        <f>Hours!$A$22</f>
        <v>Power Factor Correction Capacitors</v>
      </c>
      <c r="D133" s="15">
        <f t="shared" si="4"/>
        <v>0</v>
      </c>
      <c r="E133" s="16">
        <f>IF('Components Yr 1'!E133=0,0,'Components Yr 1'!E133)</f>
        <v>0</v>
      </c>
      <c r="F133" s="17">
        <f>IF('Components Yr 1'!F133=0,0,'Components Yr 1'!F133)</f>
        <v>0</v>
      </c>
      <c r="G133" s="17">
        <f>IF('Components Yr 1'!G133=0,0,'Components Yr 1'!G133)</f>
        <v>0</v>
      </c>
      <c r="H133" s="17">
        <f>IF('Components Yr 1'!H133=0,0,'Components Yr 1'!H133)</f>
        <v>0</v>
      </c>
      <c r="I133" s="17">
        <f>IF('Components Yr 1'!I133=0,0,'Components Yr 1'!I133)</f>
        <v>0</v>
      </c>
      <c r="J133" s="17">
        <f>IF('Components Yr 1'!J133=0,0,'Components Yr 1'!J133)</f>
        <v>0</v>
      </c>
      <c r="K133" s="12"/>
      <c r="L133" s="12"/>
      <c r="M133" s="12"/>
      <c r="N133" s="12"/>
      <c r="O133" s="12"/>
      <c r="P133" s="12"/>
      <c r="Q133" s="17"/>
      <c r="R133" s="18">
        <f>IF(SUMPRODUCT((E133:Q133)*1)=0,0,E133*INDEX(Hours!M:M,MATCH(C133,Hours!$A:$A,0))+F133*INDEX(Hours!B:B,MATCH(C133,Hours!$A:$A,0))+G133*INDEX(Hours!C:C,MATCH(C133,Hours!$A:$A,0))+H133*INDEX(Hours!D:D,MATCH(C133,Hours!$A:$A,0))+I133*INDEX(Hours!E:E,MATCH(C133,Hours!$A:$A,0))+J133*INDEX(Hours!F:F,MATCH(C133,Hours!$A:$A,0)))</f>
        <v>0</v>
      </c>
      <c r="S133" s="19">
        <f t="shared" si="5"/>
        <v>0</v>
      </c>
    </row>
    <row r="134" spans="1:19" x14ac:dyDescent="0.25">
      <c r="A134" s="15" t="str">
        <f>'Bldgs &amp; Rooms'!$A$5</f>
        <v>Main Bldg.</v>
      </c>
      <c r="B134" s="15">
        <f>'Bldgs &amp; Rooms'!$B$5</f>
        <v>0</v>
      </c>
      <c r="C134" s="14" t="str">
        <f>Hours!$A$23</f>
        <v>Lighting Contactor &gt; 100A</v>
      </c>
      <c r="D134" s="15">
        <f t="shared" si="4"/>
        <v>0</v>
      </c>
      <c r="E134" s="16">
        <f>IF('Components Yr 1'!E134=0,0,'Components Yr 1'!E134)</f>
        <v>0</v>
      </c>
      <c r="F134" s="17">
        <f>IF('Components Yr 1'!F134=0,0,'Components Yr 1'!F134)</f>
        <v>0</v>
      </c>
      <c r="G134" s="17">
        <f>IF('Components Yr 1'!G134=0,0,'Components Yr 1'!G134)</f>
        <v>0</v>
      </c>
      <c r="H134" s="17">
        <f>IF('Components Yr 1'!H134=0,0,'Components Yr 1'!H134)</f>
        <v>0</v>
      </c>
      <c r="I134" s="17">
        <f>IF('Components Yr 1'!I134=0,0,'Components Yr 1'!I134)</f>
        <v>0</v>
      </c>
      <c r="J134" s="17">
        <f>IF('Components Yr 1'!J134=0,0,'Components Yr 1'!J134)</f>
        <v>0</v>
      </c>
      <c r="K134" s="12"/>
      <c r="L134" s="12"/>
      <c r="M134" s="12"/>
      <c r="N134" s="12"/>
      <c r="O134" s="12"/>
      <c r="P134" s="12"/>
      <c r="Q134" s="17"/>
      <c r="R134" s="18">
        <f>IF(SUMPRODUCT((E134:Q134)*1)=0,0,E134*INDEX(Hours!M:M,MATCH(C134,Hours!$A:$A,0))+F134*INDEX(Hours!B:B,MATCH(C134,Hours!$A:$A,0))+G134*INDEX(Hours!C:C,MATCH(C134,Hours!$A:$A,0))+H134*INDEX(Hours!D:D,MATCH(C134,Hours!$A:$A,0))+I134*INDEX(Hours!E:E,MATCH(C134,Hours!$A:$A,0))+J134*INDEX(Hours!F:F,MATCH(C134,Hours!$A:$A,0)))</f>
        <v>0</v>
      </c>
      <c r="S134" s="19">
        <f t="shared" si="5"/>
        <v>0</v>
      </c>
    </row>
    <row r="135" spans="1:19" x14ac:dyDescent="0.25">
      <c r="A135" s="15" t="str">
        <f>'Bldgs &amp; Rooms'!$A$5</f>
        <v>Main Bldg.</v>
      </c>
      <c r="B135" s="15">
        <f>'Bldgs &amp; Rooms'!$B$5</f>
        <v>0</v>
      </c>
      <c r="C135" s="14" t="str">
        <f>Hours!$A$24</f>
        <v>Power Distribution Unit (PDU)</v>
      </c>
      <c r="D135" s="15">
        <f t="shared" si="4"/>
        <v>0</v>
      </c>
      <c r="E135" s="16">
        <f>IF('Components Yr 1'!E135=0,0,'Components Yr 1'!E135)</f>
        <v>0</v>
      </c>
      <c r="F135" s="17">
        <f>IF('Components Yr 1'!F135=0,0,'Components Yr 1'!F135)</f>
        <v>0</v>
      </c>
      <c r="G135" s="17">
        <f>IF('Components Yr 1'!G135=0,0,'Components Yr 1'!G135)</f>
        <v>0</v>
      </c>
      <c r="H135" s="17">
        <f>IF('Components Yr 1'!H135=0,0,'Components Yr 1'!H135)</f>
        <v>0</v>
      </c>
      <c r="I135" s="17">
        <f>IF('Components Yr 1'!I135=0,0,'Components Yr 1'!I135)</f>
        <v>0</v>
      </c>
      <c r="J135" s="17">
        <f>IF('Components Yr 1'!J135=0,0,'Components Yr 1'!J135)</f>
        <v>0</v>
      </c>
      <c r="K135" s="12"/>
      <c r="L135" s="12"/>
      <c r="M135" s="12"/>
      <c r="N135" s="12"/>
      <c r="O135" s="12"/>
      <c r="P135" s="12"/>
      <c r="Q135" s="17"/>
      <c r="R135" s="18">
        <f>IF(SUMPRODUCT((E135:Q135)*1)=0,0,E135*INDEX(Hours!M:M,MATCH(C135,Hours!$A:$A,0))+F135*INDEX(Hours!B:B,MATCH(C135,Hours!$A:$A,0))+G135*INDEX(Hours!C:C,MATCH(C135,Hours!$A:$A,0))+H135*INDEX(Hours!D:D,MATCH(C135,Hours!$A:$A,0))+I135*INDEX(Hours!E:E,MATCH(C135,Hours!$A:$A,0))+J135*INDEX(Hours!F:F,MATCH(C135,Hours!$A:$A,0)))</f>
        <v>0</v>
      </c>
      <c r="S135" s="19">
        <f t="shared" si="5"/>
        <v>0</v>
      </c>
    </row>
    <row r="136" spans="1:19" x14ac:dyDescent="0.25">
      <c r="A136" s="15" t="str">
        <f>'Bldgs &amp; Rooms'!$A$5</f>
        <v>Main Bldg.</v>
      </c>
      <c r="B136" s="15">
        <f>'Bldgs &amp; Rooms'!$B$5</f>
        <v>0</v>
      </c>
      <c r="C136" s="14" t="str">
        <f>Hours!$A$25</f>
        <v>Wire Trough, Gutter, or Large Junction Boxes</v>
      </c>
      <c r="D136" s="15">
        <f t="shared" si="4"/>
        <v>0</v>
      </c>
      <c r="E136" s="16">
        <f>IF('Components Yr 1'!E136=0,0,'Components Yr 1'!E136)</f>
        <v>0</v>
      </c>
      <c r="F136" s="17">
        <f>IF('Components Yr 1'!F136=0,0,'Components Yr 1'!F136)</f>
        <v>0</v>
      </c>
      <c r="G136" s="17">
        <f>IF('Components Yr 1'!G136=0,0,'Components Yr 1'!G136)</f>
        <v>0</v>
      </c>
      <c r="H136" s="17">
        <f>IF('Components Yr 1'!H136=0,0,'Components Yr 1'!H136)</f>
        <v>0</v>
      </c>
      <c r="I136" s="17">
        <f>IF('Components Yr 1'!I136=0,0,'Components Yr 1'!I136)</f>
        <v>0</v>
      </c>
      <c r="J136" s="17">
        <f>IF('Components Yr 1'!J136=0,0,'Components Yr 1'!J136)</f>
        <v>0</v>
      </c>
      <c r="K136" s="12"/>
      <c r="L136" s="12"/>
      <c r="M136" s="12"/>
      <c r="N136" s="12"/>
      <c r="O136" s="12"/>
      <c r="P136" s="12"/>
      <c r="Q136" s="17"/>
      <c r="R136" s="18">
        <f>IF(SUMPRODUCT((E136:Q136)*1)=0,0,E136*INDEX(Hours!M:M,MATCH(C136,Hours!$A:$A,0))+F136*INDEX(Hours!B:B,MATCH(C136,Hours!$A:$A,0))+G136*INDEX(Hours!C:C,MATCH(C136,Hours!$A:$A,0))+H136*INDEX(Hours!D:D,MATCH(C136,Hours!$A:$A,0))+I136*INDEX(Hours!E:E,MATCH(C136,Hours!$A:$A,0))+J136*INDEX(Hours!F:F,MATCH(C136,Hours!$A:$A,0)))</f>
        <v>0</v>
      </c>
      <c r="S136" s="19">
        <f t="shared" si="5"/>
        <v>0</v>
      </c>
    </row>
    <row r="137" spans="1:19" x14ac:dyDescent="0.25">
      <c r="A137" s="15" t="str">
        <f>'Bldgs &amp; Rooms'!$A$5</f>
        <v>Main Bldg.</v>
      </c>
      <c r="B137" s="15">
        <f>'Bldgs &amp; Rooms'!$B$5</f>
        <v>0</v>
      </c>
      <c r="C137" s="14" t="str">
        <f>Hours!$A$26</f>
        <v>Bus Duct - Vertical or Horizontal (Per 10' section)</v>
      </c>
      <c r="D137" s="15">
        <f t="shared" si="4"/>
        <v>0</v>
      </c>
      <c r="E137" s="16">
        <f>IF('Components Yr 1'!E137=0,0,'Components Yr 1'!E137)</f>
        <v>0</v>
      </c>
      <c r="F137" s="17">
        <f>IF('Components Yr 1'!F137=0,0,'Components Yr 1'!F137)</f>
        <v>0</v>
      </c>
      <c r="G137" s="17">
        <f>IF('Components Yr 1'!G137=0,0,'Components Yr 1'!G137)</f>
        <v>0</v>
      </c>
      <c r="H137" s="17">
        <f>IF('Components Yr 1'!H137=0,0,'Components Yr 1'!H137)</f>
        <v>0</v>
      </c>
      <c r="I137" s="17">
        <f>IF('Components Yr 1'!I137=0,0,'Components Yr 1'!I137)</f>
        <v>0</v>
      </c>
      <c r="J137" s="17">
        <f>IF('Components Yr 1'!J137=0,0,'Components Yr 1'!J137)</f>
        <v>0</v>
      </c>
      <c r="K137" s="12"/>
      <c r="L137" s="12"/>
      <c r="M137" s="12"/>
      <c r="N137" s="12"/>
      <c r="O137" s="12"/>
      <c r="P137" s="12"/>
      <c r="Q137" s="17"/>
      <c r="R137" s="18">
        <f>IF(SUMPRODUCT((E137:Q137)*1)=0,0,E137*INDEX(Hours!M:M,MATCH(C137,Hours!$A:$A,0))+F137*INDEX(Hours!B:B,MATCH(C137,Hours!$A:$A,0))+G137*INDEX(Hours!C:C,MATCH(C137,Hours!$A:$A,0))+H137*INDEX(Hours!D:D,MATCH(C137,Hours!$A:$A,0))+I137*INDEX(Hours!E:E,MATCH(C137,Hours!$A:$A,0))+J137*INDEX(Hours!F:F,MATCH(C137,Hours!$A:$A,0)))</f>
        <v>0</v>
      </c>
      <c r="S137" s="19">
        <f t="shared" si="5"/>
        <v>0</v>
      </c>
    </row>
    <row r="138" spans="1:19" x14ac:dyDescent="0.25">
      <c r="A138" s="15" t="str">
        <f>'Bldgs &amp; Rooms'!$A$5</f>
        <v>Main Bldg.</v>
      </c>
      <c r="B138" s="15">
        <f>'Bldgs &amp; Rooms'!$B$5</f>
        <v>0</v>
      </c>
      <c r="C138" s="14" t="str">
        <f>Hours!$A$27</f>
        <v>Automatic Transfer Switch (ATS) &gt; 100A</v>
      </c>
      <c r="D138" s="15">
        <f t="shared" si="4"/>
        <v>0</v>
      </c>
      <c r="E138" s="16">
        <f>IF('Components Yr 1'!E138=0,0,'Components Yr 1'!E138)</f>
        <v>0</v>
      </c>
      <c r="F138" s="17">
        <f>IF('Components Yr 1'!F138=0,0,'Components Yr 1'!F138)</f>
        <v>0</v>
      </c>
      <c r="G138" s="17">
        <f>IF('Components Yr 1'!G138=0,0,'Components Yr 1'!G138)</f>
        <v>0</v>
      </c>
      <c r="H138" s="17">
        <f>IF('Components Yr 1'!H138=0,0,'Components Yr 1'!H138)</f>
        <v>0</v>
      </c>
      <c r="I138" s="17">
        <f>IF('Components Yr 1'!I138=0,0,'Components Yr 1'!I138)</f>
        <v>0</v>
      </c>
      <c r="J138" s="17">
        <f>IF('Components Yr 1'!J138=0,0,'Components Yr 1'!J138)</f>
        <v>0</v>
      </c>
      <c r="K138" s="12"/>
      <c r="L138" s="12"/>
      <c r="M138" s="12"/>
      <c r="N138" s="12"/>
      <c r="O138" s="12"/>
      <c r="P138" s="12"/>
      <c r="Q138" s="17"/>
      <c r="R138" s="18">
        <f>IF(SUMPRODUCT((E138:Q138)*1)=0,0,E138*INDEX(Hours!M:M,MATCH(C138,Hours!$A:$A,0))+F138*INDEX(Hours!B:B,MATCH(C138,Hours!$A:$A,0))+G138*INDEX(Hours!C:C,MATCH(C138,Hours!$A:$A,0))+H138*INDEX(Hours!D:D,MATCH(C138,Hours!$A:$A,0))+I138*INDEX(Hours!E:E,MATCH(C138,Hours!$A:$A,0))+J138*INDEX(Hours!F:F,MATCH(C138,Hours!$A:$A,0)))</f>
        <v>0</v>
      </c>
      <c r="S138" s="19">
        <f t="shared" si="5"/>
        <v>0</v>
      </c>
    </row>
    <row r="139" spans="1:19" x14ac:dyDescent="0.25">
      <c r="A139" s="15" t="str">
        <f>'Bldgs &amp; Rooms'!$A$5</f>
        <v>Main Bldg.</v>
      </c>
      <c r="B139" s="15">
        <f>'Bldgs &amp; Rooms'!$B$5</f>
        <v>0</v>
      </c>
      <c r="C139" s="14" t="str">
        <f>Hours!$A$28</f>
        <v>Manual Transfer Switch (MTS) &gt; 100A</v>
      </c>
      <c r="D139" s="15">
        <f t="shared" si="4"/>
        <v>0</v>
      </c>
      <c r="E139" s="16">
        <f>IF('Components Yr 1'!E139=0,0,'Components Yr 1'!E139)</f>
        <v>0</v>
      </c>
      <c r="F139" s="17">
        <f>IF('Components Yr 1'!F139=0,0,'Components Yr 1'!F139)</f>
        <v>0</v>
      </c>
      <c r="G139" s="17">
        <f>IF('Components Yr 1'!G139=0,0,'Components Yr 1'!G139)</f>
        <v>0</v>
      </c>
      <c r="H139" s="17">
        <f>IF('Components Yr 1'!H139=0,0,'Components Yr 1'!H139)</f>
        <v>0</v>
      </c>
      <c r="I139" s="17">
        <f>IF('Components Yr 1'!I139=0,0,'Components Yr 1'!I139)</f>
        <v>0</v>
      </c>
      <c r="J139" s="17">
        <f>IF('Components Yr 1'!J139=0,0,'Components Yr 1'!J139)</f>
        <v>0</v>
      </c>
      <c r="K139" s="12"/>
      <c r="L139" s="12"/>
      <c r="M139" s="12"/>
      <c r="N139" s="12"/>
      <c r="O139" s="12"/>
      <c r="P139" s="12"/>
      <c r="Q139" s="17"/>
      <c r="R139" s="18">
        <f>IF(SUMPRODUCT((E139:Q139)*1)=0,0,E139*INDEX(Hours!M:M,MATCH(C139,Hours!$A:$A,0))+F139*INDEX(Hours!B:B,MATCH(C139,Hours!$A:$A,0))+G139*INDEX(Hours!C:C,MATCH(C139,Hours!$A:$A,0))+H139*INDEX(Hours!D:D,MATCH(C139,Hours!$A:$A,0))+I139*INDEX(Hours!E:E,MATCH(C139,Hours!$A:$A,0))+J139*INDEX(Hours!F:F,MATCH(C139,Hours!$A:$A,0)))</f>
        <v>0</v>
      </c>
      <c r="S139" s="19">
        <f t="shared" si="5"/>
        <v>0</v>
      </c>
    </row>
    <row r="140" spans="1:19" x14ac:dyDescent="0.25">
      <c r="A140" s="15" t="str">
        <f>'Bldgs &amp; Rooms'!$A$5</f>
        <v>Main Bldg.</v>
      </c>
      <c r="B140" s="15">
        <f>'Bldgs &amp; Rooms'!$B$5</f>
        <v>0</v>
      </c>
      <c r="C140" s="14" t="str">
        <f>Hours!$A$29</f>
        <v>Variable Frequency Drives (VFD) &lt; 50 HP</v>
      </c>
      <c r="D140" s="15">
        <f t="shared" si="4"/>
        <v>0</v>
      </c>
      <c r="E140" s="16">
        <f>IF('Components Yr 1'!E140=0,0,'Components Yr 1'!E140)</f>
        <v>0</v>
      </c>
      <c r="F140" s="17">
        <f>IF('Components Yr 1'!F140=0,0,'Components Yr 1'!F140)</f>
        <v>0</v>
      </c>
      <c r="G140" s="17">
        <f>IF('Components Yr 1'!G140=0,0,'Components Yr 1'!G140)</f>
        <v>0</v>
      </c>
      <c r="H140" s="17">
        <f>IF('Components Yr 1'!H140=0,0,'Components Yr 1'!H140)</f>
        <v>0</v>
      </c>
      <c r="I140" s="17">
        <f>IF('Components Yr 1'!I140=0,0,'Components Yr 1'!I140)</f>
        <v>0</v>
      </c>
      <c r="J140" s="17">
        <f>IF('Components Yr 1'!J140=0,0,'Components Yr 1'!J140)</f>
        <v>0</v>
      </c>
      <c r="K140" s="12"/>
      <c r="L140" s="12"/>
      <c r="M140" s="12"/>
      <c r="N140" s="12"/>
      <c r="O140" s="12"/>
      <c r="P140" s="12"/>
      <c r="Q140" s="17"/>
      <c r="R140" s="18">
        <f>IF(SUMPRODUCT((E140:Q140)*1)=0,0,E140*INDEX(Hours!M:M,MATCH(C140,Hours!$A:$A,0))+F140*INDEX(Hours!B:B,MATCH(C140,Hours!$A:$A,0))+G140*INDEX(Hours!C:C,MATCH(C140,Hours!$A:$A,0))+H140*INDEX(Hours!D:D,MATCH(C140,Hours!$A:$A,0))+I140*INDEX(Hours!E:E,MATCH(C140,Hours!$A:$A,0))+J140*INDEX(Hours!F:F,MATCH(C140,Hours!$A:$A,0)))</f>
        <v>0</v>
      </c>
      <c r="S140" s="19">
        <f t="shared" si="5"/>
        <v>0</v>
      </c>
    </row>
    <row r="141" spans="1:19" x14ac:dyDescent="0.25">
      <c r="A141" s="15" t="str">
        <f>'Bldgs &amp; Rooms'!$A$5</f>
        <v>Main Bldg.</v>
      </c>
      <c r="B141" s="15">
        <f>'Bldgs &amp; Rooms'!$B$5</f>
        <v>0</v>
      </c>
      <c r="C141" s="14" t="str">
        <f>Hours!$A$30</f>
        <v>Variable Frequency Drives (VFD) 51-200 HP</v>
      </c>
      <c r="D141" s="15">
        <f t="shared" si="4"/>
        <v>0</v>
      </c>
      <c r="E141" s="16">
        <f>IF('Components Yr 1'!E141=0,0,'Components Yr 1'!E141)</f>
        <v>0</v>
      </c>
      <c r="F141" s="17">
        <f>IF('Components Yr 1'!F141=0,0,'Components Yr 1'!F141)</f>
        <v>0</v>
      </c>
      <c r="G141" s="17">
        <f>IF('Components Yr 1'!G141=0,0,'Components Yr 1'!G141)</f>
        <v>0</v>
      </c>
      <c r="H141" s="17">
        <f>IF('Components Yr 1'!H141=0,0,'Components Yr 1'!H141)</f>
        <v>0</v>
      </c>
      <c r="I141" s="17">
        <f>IF('Components Yr 1'!I141=0,0,'Components Yr 1'!I141)</f>
        <v>0</v>
      </c>
      <c r="J141" s="17">
        <f>IF('Components Yr 1'!J141=0,0,'Components Yr 1'!J141)</f>
        <v>0</v>
      </c>
      <c r="K141" s="12"/>
      <c r="L141" s="12"/>
      <c r="M141" s="12"/>
      <c r="N141" s="12"/>
      <c r="O141" s="12"/>
      <c r="P141" s="12"/>
      <c r="Q141" s="17"/>
      <c r="R141" s="18">
        <f>IF(SUMPRODUCT((E141:Q141)*1)=0,0,E141*INDEX(Hours!M:M,MATCH(C141,Hours!$A:$A,0))+F141*INDEX(Hours!B:B,MATCH(C141,Hours!$A:$A,0))+G141*INDEX(Hours!C:C,MATCH(C141,Hours!$A:$A,0))+H141*INDEX(Hours!D:D,MATCH(C141,Hours!$A:$A,0))+I141*INDEX(Hours!E:E,MATCH(C141,Hours!$A:$A,0))+J141*INDEX(Hours!F:F,MATCH(C141,Hours!$A:$A,0)))</f>
        <v>0</v>
      </c>
      <c r="S141" s="19">
        <f t="shared" si="5"/>
        <v>0</v>
      </c>
    </row>
    <row r="142" spans="1:19" x14ac:dyDescent="0.25">
      <c r="A142" s="15" t="str">
        <f>'Bldgs &amp; Rooms'!$A$5</f>
        <v>Main Bldg.</v>
      </c>
      <c r="B142" s="15">
        <f>'Bldgs &amp; Rooms'!$B$5</f>
        <v>0</v>
      </c>
      <c r="C142" s="14" t="str">
        <f>Hours!$A$31</f>
        <v>Motors &lt; 50 HP</v>
      </c>
      <c r="D142" s="15">
        <f t="shared" si="4"/>
        <v>0</v>
      </c>
      <c r="E142" s="16">
        <f>IF('Components Yr 1'!E142=0,0,'Components Yr 1'!E142)</f>
        <v>0</v>
      </c>
      <c r="F142" s="17">
        <f>IF('Components Yr 1'!F142=0,0,'Components Yr 1'!F142)</f>
        <v>0</v>
      </c>
      <c r="G142" s="17">
        <f>IF('Components Yr 1'!G142=0,0,'Components Yr 1'!G142)</f>
        <v>0</v>
      </c>
      <c r="H142" s="17">
        <f>IF('Components Yr 1'!H142=0,0,'Components Yr 1'!H142)</f>
        <v>0</v>
      </c>
      <c r="I142" s="17">
        <f>IF('Components Yr 1'!I142=0,0,'Components Yr 1'!I142)</f>
        <v>0</v>
      </c>
      <c r="J142" s="17">
        <f>IF('Components Yr 1'!J142=0,0,'Components Yr 1'!J142)</f>
        <v>0</v>
      </c>
      <c r="K142" s="12"/>
      <c r="L142" s="12"/>
      <c r="M142" s="12"/>
      <c r="N142" s="12"/>
      <c r="O142" s="12"/>
      <c r="P142" s="12"/>
      <c r="Q142" s="17"/>
      <c r="R142" s="18">
        <f>IF(SUMPRODUCT((E142:Q142)*1)=0,0,E142*INDEX(Hours!M:M,MATCH(C142,Hours!$A:$A,0))+F142*INDEX(Hours!B:B,MATCH(C142,Hours!$A:$A,0))+G142*INDEX(Hours!C:C,MATCH(C142,Hours!$A:$A,0))+H142*INDEX(Hours!D:D,MATCH(C142,Hours!$A:$A,0))+I142*INDEX(Hours!E:E,MATCH(C142,Hours!$A:$A,0))+J142*INDEX(Hours!F:F,MATCH(C142,Hours!$A:$A,0)))</f>
        <v>0</v>
      </c>
      <c r="S142" s="19">
        <f t="shared" si="5"/>
        <v>0</v>
      </c>
    </row>
    <row r="143" spans="1:19" x14ac:dyDescent="0.25">
      <c r="A143" s="15" t="str">
        <f>'Bldgs &amp; Rooms'!$A$5</f>
        <v>Main Bldg.</v>
      </c>
      <c r="B143" s="15">
        <f>'Bldgs &amp; Rooms'!$B$5</f>
        <v>0</v>
      </c>
      <c r="C143" s="14" t="str">
        <f>Hours!$A$32</f>
        <v>Motors 51-200 HP</v>
      </c>
      <c r="D143" s="15">
        <f t="shared" si="4"/>
        <v>0</v>
      </c>
      <c r="E143" s="16">
        <f>IF('Components Yr 1'!E143=0,0,'Components Yr 1'!E143)</f>
        <v>0</v>
      </c>
      <c r="F143" s="17">
        <f>IF('Components Yr 1'!F143=0,0,'Components Yr 1'!F143)</f>
        <v>0</v>
      </c>
      <c r="G143" s="17">
        <f>IF('Components Yr 1'!G143=0,0,'Components Yr 1'!G143)</f>
        <v>0</v>
      </c>
      <c r="H143" s="17">
        <f>IF('Components Yr 1'!H143=0,0,'Components Yr 1'!H143)</f>
        <v>0</v>
      </c>
      <c r="I143" s="17">
        <f>IF('Components Yr 1'!I143=0,0,'Components Yr 1'!I143)</f>
        <v>0</v>
      </c>
      <c r="J143" s="17">
        <f>IF('Components Yr 1'!J143=0,0,'Components Yr 1'!J143)</f>
        <v>0</v>
      </c>
      <c r="K143" s="12"/>
      <c r="L143" s="12"/>
      <c r="M143" s="12"/>
      <c r="N143" s="12"/>
      <c r="O143" s="12"/>
      <c r="P143" s="12"/>
      <c r="Q143" s="17"/>
      <c r="R143" s="18">
        <f>IF(SUMPRODUCT((E143:Q143)*1)=0,0,E143*INDEX(Hours!M:M,MATCH(C143,Hours!$A:$A,0))+F143*INDEX(Hours!B:B,MATCH(C143,Hours!$A:$A,0))+G143*INDEX(Hours!C:C,MATCH(C143,Hours!$A:$A,0))+H143*INDEX(Hours!D:D,MATCH(C143,Hours!$A:$A,0))+I143*INDEX(Hours!E:E,MATCH(C143,Hours!$A:$A,0))+J143*INDEX(Hours!F:F,MATCH(C143,Hours!$A:$A,0)))</f>
        <v>0</v>
      </c>
      <c r="S143" s="19">
        <f t="shared" si="5"/>
        <v>0</v>
      </c>
    </row>
    <row r="144" spans="1:19" x14ac:dyDescent="0.25">
      <c r="A144" s="15" t="str">
        <f>'Bldgs &amp; Rooms'!$A$5</f>
        <v>Main Bldg.</v>
      </c>
      <c r="B144" s="15">
        <f>'Bldgs &amp; Rooms'!$B$5</f>
        <v>0</v>
      </c>
      <c r="C144" s="14" t="str">
        <f>Hours!$A$33</f>
        <v>Motors 201-500 HP</v>
      </c>
      <c r="D144" s="15">
        <f t="shared" si="4"/>
        <v>0</v>
      </c>
      <c r="E144" s="16">
        <f>IF('Components Yr 1'!E144=0,0,'Components Yr 1'!E144)</f>
        <v>0</v>
      </c>
      <c r="F144" s="17">
        <f>IF('Components Yr 1'!F144=0,0,'Components Yr 1'!F144)</f>
        <v>0</v>
      </c>
      <c r="G144" s="17">
        <f>IF('Components Yr 1'!G144=0,0,'Components Yr 1'!G144)</f>
        <v>0</v>
      </c>
      <c r="H144" s="17">
        <f>IF('Components Yr 1'!H144=0,0,'Components Yr 1'!H144)</f>
        <v>0</v>
      </c>
      <c r="I144" s="17">
        <f>IF('Components Yr 1'!I144=0,0,'Components Yr 1'!I144)</f>
        <v>0</v>
      </c>
      <c r="J144" s="17">
        <f>IF('Components Yr 1'!J144=0,0,'Components Yr 1'!J144)</f>
        <v>0</v>
      </c>
      <c r="K144" s="12"/>
      <c r="L144" s="12"/>
      <c r="M144" s="12"/>
      <c r="N144" s="12"/>
      <c r="O144" s="12"/>
      <c r="P144" s="12"/>
      <c r="Q144" s="17"/>
      <c r="R144" s="18">
        <f>IF(SUMPRODUCT((E144:Q144)*1)=0,0,E144*INDEX(Hours!M:M,MATCH(C144,Hours!$A:$A,0))+F144*INDEX(Hours!B:B,MATCH(C144,Hours!$A:$A,0))+G144*INDEX(Hours!C:C,MATCH(C144,Hours!$A:$A,0))+H144*INDEX(Hours!D:D,MATCH(C144,Hours!$A:$A,0))+I144*INDEX(Hours!E:E,MATCH(C144,Hours!$A:$A,0))+J144*INDEX(Hours!F:F,MATCH(C144,Hours!$A:$A,0)))</f>
        <v>0</v>
      </c>
      <c r="S144" s="19">
        <f t="shared" si="5"/>
        <v>0</v>
      </c>
    </row>
    <row r="145" spans="1:19" x14ac:dyDescent="0.25">
      <c r="A145" s="15" t="str">
        <f>'Bldgs &amp; Rooms'!$A$5</f>
        <v>Main Bldg.</v>
      </c>
      <c r="B145" s="15">
        <f>'Bldgs &amp; Rooms'!$B$5</f>
        <v>0</v>
      </c>
      <c r="C145" s="14" t="str">
        <f>Hours!$A$34</f>
        <v>Compressed Air Equipment</v>
      </c>
      <c r="D145" s="15">
        <f t="shared" si="4"/>
        <v>0</v>
      </c>
      <c r="E145" s="16">
        <f>IF('Components Yr 1'!E145=0,0,'Components Yr 1'!E145)</f>
        <v>0</v>
      </c>
      <c r="F145" s="17">
        <f>IF('Components Yr 1'!F145=0,0,'Components Yr 1'!F145)</f>
        <v>0</v>
      </c>
      <c r="G145" s="17">
        <f>IF('Components Yr 1'!G145=0,0,'Components Yr 1'!G145)</f>
        <v>0</v>
      </c>
      <c r="H145" s="17">
        <f>IF('Components Yr 1'!H145=0,0,'Components Yr 1'!H145)</f>
        <v>0</v>
      </c>
      <c r="I145" s="17">
        <f>IF('Components Yr 1'!I145=0,0,'Components Yr 1'!I145)</f>
        <v>0</v>
      </c>
      <c r="J145" s="17">
        <f>IF('Components Yr 1'!J145=0,0,'Components Yr 1'!J145)</f>
        <v>0</v>
      </c>
      <c r="K145" s="12"/>
      <c r="L145" s="12"/>
      <c r="M145" s="12"/>
      <c r="N145" s="12"/>
      <c r="O145" s="12"/>
      <c r="P145" s="12"/>
      <c r="Q145" s="17"/>
      <c r="R145" s="18">
        <f>IF(SUMPRODUCT((E145:Q145)*1)=0,0,E145*INDEX(Hours!M:M,MATCH(C145,Hours!$A:$A,0))+F145*INDEX(Hours!B:B,MATCH(C145,Hours!$A:$A,0))+G145*INDEX(Hours!C:C,MATCH(C145,Hours!$A:$A,0))+H145*INDEX(Hours!D:D,MATCH(C145,Hours!$A:$A,0))+I145*INDEX(Hours!E:E,MATCH(C145,Hours!$A:$A,0))+J145*INDEX(Hours!F:F,MATCH(C145,Hours!$A:$A,0)))</f>
        <v>0</v>
      </c>
      <c r="S145" s="19">
        <f t="shared" si="5"/>
        <v>0</v>
      </c>
    </row>
    <row r="146" spans="1:19" x14ac:dyDescent="0.25">
      <c r="A146" s="15" t="str">
        <f>'Bldgs &amp; Rooms'!$A$5</f>
        <v>Main Bldg.</v>
      </c>
      <c r="B146" s="15">
        <f>'Bldgs &amp; Rooms'!$B$5</f>
        <v>0</v>
      </c>
      <c r="C146" s="14" t="str">
        <f>Hours!$A$35</f>
        <v>HVAC Equipment (Large)</v>
      </c>
      <c r="D146" s="15">
        <f t="shared" si="4"/>
        <v>0</v>
      </c>
      <c r="E146" s="16">
        <f>IF('Components Yr 1'!E146=0,0,'Components Yr 1'!E146)</f>
        <v>0</v>
      </c>
      <c r="F146" s="17">
        <f>IF('Components Yr 1'!F146=0,0,'Components Yr 1'!F146)</f>
        <v>0</v>
      </c>
      <c r="G146" s="17">
        <f>IF('Components Yr 1'!G146=0,0,'Components Yr 1'!G146)</f>
        <v>0</v>
      </c>
      <c r="H146" s="17">
        <f>IF('Components Yr 1'!H146=0,0,'Components Yr 1'!H146)</f>
        <v>0</v>
      </c>
      <c r="I146" s="17">
        <f>IF('Components Yr 1'!I146=0,0,'Components Yr 1'!I146)</f>
        <v>0</v>
      </c>
      <c r="J146" s="17">
        <f>IF('Components Yr 1'!J146=0,0,'Components Yr 1'!J146)</f>
        <v>0</v>
      </c>
      <c r="K146" s="12"/>
      <c r="L146" s="12"/>
      <c r="M146" s="12"/>
      <c r="N146" s="12"/>
      <c r="O146" s="12"/>
      <c r="P146" s="12"/>
      <c r="Q146" s="17"/>
      <c r="R146" s="18">
        <f>IF(SUMPRODUCT((E146:Q146)*1)=0,0,E146*INDEX(Hours!M:M,MATCH(C146,Hours!$A:$A,0))+F146*INDEX(Hours!B:B,MATCH(C146,Hours!$A:$A,0))+G146*INDEX(Hours!C:C,MATCH(C146,Hours!$A:$A,0))+H146*INDEX(Hours!D:D,MATCH(C146,Hours!$A:$A,0))+I146*INDEX(Hours!E:E,MATCH(C146,Hours!$A:$A,0))+J146*INDEX(Hours!F:F,MATCH(C146,Hours!$A:$A,0)))</f>
        <v>0</v>
      </c>
      <c r="S146" s="19">
        <f t="shared" si="5"/>
        <v>0</v>
      </c>
    </row>
    <row r="147" spans="1:19" x14ac:dyDescent="0.25">
      <c r="A147" s="15" t="str">
        <f>'Bldgs &amp; Rooms'!$A$5</f>
        <v>Main Bldg.</v>
      </c>
      <c r="B147" s="15">
        <f>'Bldgs &amp; Rooms'!$B$5</f>
        <v>0</v>
      </c>
      <c r="C147" s="14" t="str">
        <f>Hours!$A$36</f>
        <v>HVAC Equipment (Small)</v>
      </c>
      <c r="D147" s="15">
        <f t="shared" si="4"/>
        <v>0</v>
      </c>
      <c r="E147" s="16">
        <f>IF('Components Yr 1'!E147=0,0,'Components Yr 1'!E147)</f>
        <v>0</v>
      </c>
      <c r="F147" s="17">
        <f>IF('Components Yr 1'!F147=0,0,'Components Yr 1'!F147)</f>
        <v>0</v>
      </c>
      <c r="G147" s="17">
        <f>IF('Components Yr 1'!G147=0,0,'Components Yr 1'!G147)</f>
        <v>0</v>
      </c>
      <c r="H147" s="17">
        <f>IF('Components Yr 1'!H147=0,0,'Components Yr 1'!H147)</f>
        <v>0</v>
      </c>
      <c r="I147" s="17">
        <f>IF('Components Yr 1'!I147=0,0,'Components Yr 1'!I147)</f>
        <v>0</v>
      </c>
      <c r="J147" s="17">
        <f>IF('Components Yr 1'!J147=0,0,'Components Yr 1'!J147)</f>
        <v>0</v>
      </c>
      <c r="K147" s="12"/>
      <c r="L147" s="12"/>
      <c r="M147" s="12"/>
      <c r="N147" s="12"/>
      <c r="O147" s="12"/>
      <c r="P147" s="12"/>
      <c r="Q147" s="17"/>
      <c r="R147" s="18">
        <f>IF(SUMPRODUCT((E147:Q147)*1)=0,0,E147*INDEX(Hours!M:M,MATCH(C147,Hours!$A:$A,0))+F147*INDEX(Hours!B:B,MATCH(C147,Hours!$A:$A,0))+G147*INDEX(Hours!C:C,MATCH(C147,Hours!$A:$A,0))+H147*INDEX(Hours!D:D,MATCH(C147,Hours!$A:$A,0))+I147*INDEX(Hours!E:E,MATCH(C147,Hours!$A:$A,0))+J147*INDEX(Hours!F:F,MATCH(C147,Hours!$A:$A,0)))</f>
        <v>0</v>
      </c>
      <c r="S147" s="19">
        <f t="shared" si="5"/>
        <v>0</v>
      </c>
    </row>
    <row r="148" spans="1:19" x14ac:dyDescent="0.25">
      <c r="A148" s="15" t="str">
        <f>'Bldgs &amp; Rooms'!$A$5</f>
        <v>Main Bldg.</v>
      </c>
      <c r="B148" s="15">
        <f>'Bldgs &amp; Rooms'!$B$5</f>
        <v>0</v>
      </c>
      <c r="C148" s="14" t="str">
        <f>Hours!$A$37</f>
        <v>Uninterruptible Power Supply (UPS) &lt; 50kVA</v>
      </c>
      <c r="D148" s="15">
        <f t="shared" si="4"/>
        <v>0</v>
      </c>
      <c r="E148" s="16">
        <f>IF('Components Yr 1'!E148=0,0,'Components Yr 1'!E148)</f>
        <v>0</v>
      </c>
      <c r="F148" s="17">
        <f>IF('Components Yr 1'!F148=0,0,'Components Yr 1'!F148)</f>
        <v>0</v>
      </c>
      <c r="G148" s="17">
        <f>IF('Components Yr 1'!G148=0,0,'Components Yr 1'!G148)</f>
        <v>0</v>
      </c>
      <c r="H148" s="17">
        <f>IF('Components Yr 1'!H148=0,0,'Components Yr 1'!H148)</f>
        <v>0</v>
      </c>
      <c r="I148" s="17">
        <f>IF('Components Yr 1'!I148=0,0,'Components Yr 1'!I148)</f>
        <v>0</v>
      </c>
      <c r="J148" s="17">
        <f>IF('Components Yr 1'!J148=0,0,'Components Yr 1'!J148)</f>
        <v>0</v>
      </c>
      <c r="K148" s="12"/>
      <c r="L148" s="12"/>
      <c r="M148" s="12"/>
      <c r="N148" s="12"/>
      <c r="O148" s="12"/>
      <c r="P148" s="12"/>
      <c r="Q148" s="17"/>
      <c r="R148" s="18">
        <f>IF(SUMPRODUCT((E148:Q148)*1)=0,0,E148*INDEX(Hours!M:M,MATCH(C148,Hours!$A:$A,0))+F148*INDEX(Hours!B:B,MATCH(C148,Hours!$A:$A,0))+G148*INDEX(Hours!C:C,MATCH(C148,Hours!$A:$A,0))+H148*INDEX(Hours!D:D,MATCH(C148,Hours!$A:$A,0))+I148*INDEX(Hours!E:E,MATCH(C148,Hours!$A:$A,0))+J148*INDEX(Hours!F:F,MATCH(C148,Hours!$A:$A,0)))</f>
        <v>0</v>
      </c>
      <c r="S148" s="19">
        <f t="shared" si="5"/>
        <v>0</v>
      </c>
    </row>
    <row r="149" spans="1:19" x14ac:dyDescent="0.25">
      <c r="A149" s="15" t="str">
        <f>'Bldgs &amp; Rooms'!$A$5</f>
        <v>Main Bldg.</v>
      </c>
      <c r="B149" s="15">
        <f>'Bldgs &amp; Rooms'!$B$5</f>
        <v>0</v>
      </c>
      <c r="C149" s="14" t="str">
        <f>Hours!$A$38</f>
        <v>Uninterruptible Power Supply (UPS) &gt; 50kVA</v>
      </c>
      <c r="D149" s="15">
        <f t="shared" si="4"/>
        <v>0</v>
      </c>
      <c r="E149" s="16">
        <f>IF('Components Yr 1'!E149=0,0,'Components Yr 1'!E149)</f>
        <v>0</v>
      </c>
      <c r="F149" s="17">
        <f>IF('Components Yr 1'!F149=0,0,'Components Yr 1'!F149)</f>
        <v>0</v>
      </c>
      <c r="G149" s="17">
        <f>IF('Components Yr 1'!G149=0,0,'Components Yr 1'!G149)</f>
        <v>0</v>
      </c>
      <c r="H149" s="17">
        <f>IF('Components Yr 1'!H149=0,0,'Components Yr 1'!H149)</f>
        <v>0</v>
      </c>
      <c r="I149" s="17">
        <f>IF('Components Yr 1'!I149=0,0,'Components Yr 1'!I149)</f>
        <v>0</v>
      </c>
      <c r="J149" s="17">
        <f>IF('Components Yr 1'!J149=0,0,'Components Yr 1'!J149)</f>
        <v>0</v>
      </c>
      <c r="K149" s="12"/>
      <c r="L149" s="12"/>
      <c r="M149" s="12"/>
      <c r="N149" s="12"/>
      <c r="O149" s="12"/>
      <c r="P149" s="12"/>
      <c r="Q149" s="17"/>
      <c r="R149" s="18">
        <f>IF(SUMPRODUCT((E149:Q149)*1)=0,0,E149*INDEX(Hours!M:M,MATCH(C149,Hours!$A:$A,0))+F149*INDEX(Hours!B:B,MATCH(C149,Hours!$A:$A,0))+G149*INDEX(Hours!C:C,MATCH(C149,Hours!$A:$A,0))+H149*INDEX(Hours!D:D,MATCH(C149,Hours!$A:$A,0))+I149*INDEX(Hours!E:E,MATCH(C149,Hours!$A:$A,0))+J149*INDEX(Hours!F:F,MATCH(C149,Hours!$A:$A,0)))</f>
        <v>0</v>
      </c>
      <c r="S149" s="19">
        <f t="shared" si="5"/>
        <v>0</v>
      </c>
    </row>
    <row r="150" spans="1:19" x14ac:dyDescent="0.25">
      <c r="A150" s="11" t="str">
        <f>'Bldgs &amp; Rooms'!$A$6</f>
        <v>Main Bldg.</v>
      </c>
      <c r="B150" s="11">
        <f>'Bldgs &amp; Rooms'!$B$6</f>
        <v>0</v>
      </c>
      <c r="C150" s="10" t="str">
        <f>Hours!$A$2</f>
        <v>Switchgear - Incoming Main Service (Per Section)</v>
      </c>
      <c r="D150" s="11">
        <f t="shared" si="4"/>
        <v>0</v>
      </c>
      <c r="E150" s="16">
        <f>IF('Components Yr 1'!E150=0,0,'Components Yr 1'!E150)</f>
        <v>0</v>
      </c>
      <c r="F150" s="17">
        <f>IF('Components Yr 1'!F150=0,0,'Components Yr 1'!F150)</f>
        <v>0</v>
      </c>
      <c r="G150" s="17">
        <f>IF('Components Yr 1'!G150=0,0,'Components Yr 1'!G150)</f>
        <v>0</v>
      </c>
      <c r="H150" s="17">
        <f>IF('Components Yr 1'!H150=0,0,'Components Yr 1'!H150)</f>
        <v>0</v>
      </c>
      <c r="I150" s="17">
        <f>IF('Components Yr 1'!I150=0,0,'Components Yr 1'!I150)</f>
        <v>0</v>
      </c>
      <c r="J150" s="17">
        <f>IF('Components Yr 1'!J150=0,0,'Components Yr 1'!J150)</f>
        <v>0</v>
      </c>
      <c r="K150" s="17">
        <f>IF('Components Yr 1'!K150=0,0,'Components Yr 1'!K150)</f>
        <v>0</v>
      </c>
      <c r="L150" s="17">
        <f>IF('Components Yr 1'!L150=0,0,'Components Yr 1'!L150)</f>
        <v>0</v>
      </c>
      <c r="M150" s="12"/>
      <c r="N150" s="12"/>
      <c r="O150" s="17">
        <f>IF('Components Yr 1'!O150=0,0,'Components Yr 1'!O150)</f>
        <v>0</v>
      </c>
      <c r="P150" s="12"/>
      <c r="Q150" s="17"/>
      <c r="R150" s="18">
        <f>IF(SUMPRODUCT((E150:Q150)*1)=0,0,E150*INDEX(Hours!M:M,MATCH(C150,Hours!$A:$A,0))+F150*INDEX(Hours!B:B,MATCH(C150,Hours!$A:$A,0))+G150*INDEX(Hours!C:C,MATCH(C150,Hours!$A:$A,0))+H150*INDEX(Hours!D:D,MATCH(C150,Hours!$A:$A,0))+I150*INDEX(Hours!E:E,MATCH(C150,Hours!$A:$A,0))+J150*INDEX(Hours!F:F,MATCH(C150,Hours!$A:$A,0))+K150*INDEX(Hours!G:G,MATCH(C150,Hours!$A:$A,0))+L150*INDEX(Hours!H:H,MATCH(C150,Hours!$A:$A,0))+O150*INDEX(Hours!K:K,MATCH(C150,Hours!$A:$A,0)))</f>
        <v>0</v>
      </c>
      <c r="S150" s="19">
        <f t="shared" si="5"/>
        <v>0</v>
      </c>
    </row>
    <row r="151" spans="1:19" x14ac:dyDescent="0.25">
      <c r="A151" s="11" t="str">
        <f>'Bldgs &amp; Rooms'!$A$6</f>
        <v>Main Bldg.</v>
      </c>
      <c r="B151" s="11">
        <f>'Bldgs &amp; Rooms'!$B$6</f>
        <v>0</v>
      </c>
      <c r="C151" s="10" t="str">
        <f>Hours!$A$3</f>
        <v xml:space="preserve">  Switchgear Insulated Case Breakers (Bus Mounted)</v>
      </c>
      <c r="D151" s="11">
        <f t="shared" si="4"/>
        <v>0</v>
      </c>
      <c r="E151" s="16">
        <f>IF('Components Yr 1'!E151=0,0,'Components Yr 1'!E151)</f>
        <v>0</v>
      </c>
      <c r="F151" s="17">
        <f>IF('Components Yr 1'!F151=0,0,'Components Yr 1'!F151)</f>
        <v>0</v>
      </c>
      <c r="G151" s="17">
        <f>IF('Components Yr 1'!G151=0,0,'Components Yr 1'!G151)</f>
        <v>0</v>
      </c>
      <c r="H151" s="17">
        <f>IF('Components Yr 1'!H151=0,0,'Components Yr 1'!H151)</f>
        <v>0</v>
      </c>
      <c r="I151" s="17">
        <f>IF('Components Yr 1'!I151=0,0,'Components Yr 1'!I151)</f>
        <v>0</v>
      </c>
      <c r="J151" s="17">
        <f>IF('Components Yr 1'!J151=0,0,'Components Yr 1'!J151)</f>
        <v>0</v>
      </c>
      <c r="K151" s="17">
        <f>IF('Components Yr 1'!K151=0,0,'Components Yr 1'!K151)</f>
        <v>0</v>
      </c>
      <c r="L151" s="12"/>
      <c r="M151" s="12"/>
      <c r="N151" s="12"/>
      <c r="O151" s="12"/>
      <c r="P151" s="12"/>
      <c r="Q151" s="17"/>
      <c r="R151" s="18">
        <f>IF(SUMPRODUCT((E151:Q151)*1)=0,0,E151*INDEX(Hours!M:M,MATCH(C151,Hours!$A:$A,0))+F151*INDEX(Hours!B:B,MATCH(C151,Hours!$A:$A,0))+G151*INDEX(Hours!C:C,MATCH(C151,Hours!$A:$A,0))+H151*INDEX(Hours!D:D,MATCH(C151,Hours!$A:$A,0))+I151*INDEX(Hours!E:E,MATCH(C151,Hours!$A:$A,0))+J151*INDEX(Hours!F:F,MATCH(C151,Hours!$A:$A,0))+K151*INDEX(Hours!G:G,MATCH(C151,Hours!$A:$A,0)))</f>
        <v>0</v>
      </c>
      <c r="S151" s="19">
        <f t="shared" si="5"/>
        <v>0</v>
      </c>
    </row>
    <row r="152" spans="1:19" x14ac:dyDescent="0.25">
      <c r="A152" s="11" t="str">
        <f>'Bldgs &amp; Rooms'!$A$6</f>
        <v>Main Bldg.</v>
      </c>
      <c r="B152" s="11">
        <f>'Bldgs &amp; Rooms'!$B$6</f>
        <v>0</v>
      </c>
      <c r="C152" s="10" t="str">
        <f>Hours!$A$4</f>
        <v xml:space="preserve">  SwitchGear Drawout Breakers</v>
      </c>
      <c r="D152" s="11">
        <f t="shared" si="4"/>
        <v>0</v>
      </c>
      <c r="E152" s="16">
        <f>IF('Components Yr 1'!E152=0,0,'Components Yr 1'!E152)</f>
        <v>0</v>
      </c>
      <c r="F152" s="17">
        <f>IF('Components Yr 1'!F152=0,0,'Components Yr 1'!F152)</f>
        <v>0</v>
      </c>
      <c r="G152" s="17">
        <f>IF('Components Yr 1'!G152=0,0,'Components Yr 1'!G152)</f>
        <v>0</v>
      </c>
      <c r="H152" s="17">
        <f>IF('Components Yr 1'!H152=0,0,'Components Yr 1'!H152)</f>
        <v>0</v>
      </c>
      <c r="I152" s="17">
        <f>IF('Components Yr 1'!I152=0,0,'Components Yr 1'!I152)</f>
        <v>0</v>
      </c>
      <c r="J152" s="17">
        <f>IF('Components Yr 1'!J152=0,0,'Components Yr 1'!J152)</f>
        <v>0</v>
      </c>
      <c r="K152" s="12"/>
      <c r="L152" s="17">
        <f>IF('Components Yr 1'!L152=0,0,'Components Yr 1'!L152)</f>
        <v>0</v>
      </c>
      <c r="M152" s="12"/>
      <c r="N152" s="12"/>
      <c r="O152" s="12"/>
      <c r="P152" s="12"/>
      <c r="Q152" s="17"/>
      <c r="R152" s="18">
        <f>IF(SUMPRODUCT((E152:Q152)*1)=0,0,E152*INDEX(Hours!M:M,MATCH(C152,Hours!$A:$A,0))+F152*INDEX(Hours!B:B,MATCH(C152,Hours!$A:$A,0))+G152*INDEX(Hours!C:C,MATCH(C152,Hours!$A:$A,0))+H152*INDEX(Hours!D:D,MATCH(C152,Hours!$A:$A,0))+I152*INDEX(Hours!E:E,MATCH(C152,Hours!$A:$A,0))+J152*INDEX(Hours!F:F,MATCH(C152,Hours!$A:$A,0))+L152*INDEX(Hours!H:H,MATCH(C152,Hours!$A:$A,0)))</f>
        <v>0</v>
      </c>
      <c r="S152" s="19">
        <f t="shared" si="5"/>
        <v>0</v>
      </c>
    </row>
    <row r="153" spans="1:19" x14ac:dyDescent="0.25">
      <c r="A153" s="11" t="str">
        <f>'Bldgs &amp; Rooms'!$A$6</f>
        <v>Main Bldg.</v>
      </c>
      <c r="B153" s="11">
        <f>'Bldgs &amp; Rooms'!$B$6</f>
        <v>0</v>
      </c>
      <c r="C153" s="10" t="str">
        <f>Hours!$A$5</f>
        <v>Distribution Switchboard Multi Cover (Per Section)</v>
      </c>
      <c r="D153" s="11">
        <f t="shared" si="4"/>
        <v>0</v>
      </c>
      <c r="E153" s="16">
        <f>IF('Components Yr 1'!E153=0,0,'Components Yr 1'!E153)</f>
        <v>0</v>
      </c>
      <c r="F153" s="17">
        <f>IF('Components Yr 1'!F153=0,0,'Components Yr 1'!F153)</f>
        <v>0</v>
      </c>
      <c r="G153" s="17">
        <f>IF('Components Yr 1'!G153=0,0,'Components Yr 1'!G153)</f>
        <v>0</v>
      </c>
      <c r="H153" s="17">
        <f>IF('Components Yr 1'!H153=0,0,'Components Yr 1'!H153)</f>
        <v>0</v>
      </c>
      <c r="I153" s="17">
        <f>IF('Components Yr 1'!I153=0,0,'Components Yr 1'!I153)</f>
        <v>0</v>
      </c>
      <c r="J153" s="17">
        <f>IF('Components Yr 1'!J153=0,0,'Components Yr 1'!J153)</f>
        <v>0</v>
      </c>
      <c r="K153" s="17">
        <f>IF('Components Yr 1'!K153=0,0,'Components Yr 1'!K153)</f>
        <v>0</v>
      </c>
      <c r="L153" s="12"/>
      <c r="M153" s="12"/>
      <c r="N153" s="12"/>
      <c r="O153" s="17">
        <f>IF('Components Yr 1'!O153=0,0,'Components Yr 1'!O153)</f>
        <v>0</v>
      </c>
      <c r="P153" s="12"/>
      <c r="Q153" s="17"/>
      <c r="R153" s="18">
        <f>IF(SUMPRODUCT((E153:Q153)*1)=0,0,E153*INDEX(Hours!M:M,MATCH(C153,Hours!$A:$A,0))+F153*INDEX(Hours!B:B,MATCH(C153,Hours!$A:$A,0))+G153*INDEX(Hours!C:C,MATCH(C153,Hours!$A:$A,0))+H153*INDEX(Hours!D:D,MATCH(C153,Hours!$A:$A,0))+I153*INDEX(Hours!E:E,MATCH(C153,Hours!$A:$A,0))+J153*INDEX(Hours!F:F,MATCH(C153,Hours!$A:$A,0))+K153*INDEX(Hours!G:G,MATCH(C153,Hours!$A:$A,0))+O153*INDEX(Hours!K:K,MATCH(C153,Hours!$A:$A,0)))</f>
        <v>0</v>
      </c>
      <c r="S153" s="19">
        <f t="shared" si="5"/>
        <v>0</v>
      </c>
    </row>
    <row r="154" spans="1:19" x14ac:dyDescent="0.25">
      <c r="A154" s="11" t="str">
        <f>'Bldgs &amp; Rooms'!$A$6</f>
        <v>Main Bldg.</v>
      </c>
      <c r="B154" s="11">
        <f>'Bldgs &amp; Rooms'!$B$6</f>
        <v>0</v>
      </c>
      <c r="C154" s="10" t="str">
        <f>Hours!$A$6</f>
        <v xml:space="preserve">  Switchboard Disconnects</v>
      </c>
      <c r="D154" s="11">
        <f t="shared" si="4"/>
        <v>0</v>
      </c>
      <c r="E154" s="16">
        <f>IF('Components Yr 1'!E154=0,0,'Components Yr 1'!E154)</f>
        <v>0</v>
      </c>
      <c r="F154" s="17">
        <f>IF('Components Yr 1'!F154=0,0,'Components Yr 1'!F154)</f>
        <v>0</v>
      </c>
      <c r="G154" s="17">
        <f>IF('Components Yr 1'!G154=0,0,'Components Yr 1'!G154)</f>
        <v>0</v>
      </c>
      <c r="H154" s="17">
        <f>IF('Components Yr 1'!H154=0,0,'Components Yr 1'!H154)</f>
        <v>0</v>
      </c>
      <c r="I154" s="17">
        <f>IF('Components Yr 1'!I154=0,0,'Components Yr 1'!I154)</f>
        <v>0</v>
      </c>
      <c r="J154" s="17">
        <f>IF('Components Yr 1'!J154=0,0,'Components Yr 1'!J154)</f>
        <v>0</v>
      </c>
      <c r="K154" s="12"/>
      <c r="L154" s="12"/>
      <c r="M154" s="12"/>
      <c r="N154" s="12"/>
      <c r="O154" s="12"/>
      <c r="P154" s="12"/>
      <c r="Q154" s="17"/>
      <c r="R154" s="18">
        <f>IF(SUMPRODUCT((E154:Q154)*1)=0,0,E154*INDEX(Hours!M:M,MATCH(C154,Hours!$A:$A,0))+F154*INDEX(Hours!B:B,MATCH(C154,Hours!$A:$A,0))+G154*INDEX(Hours!C:C,MATCH(C154,Hours!$A:$A,0))+H154*INDEX(Hours!D:D,MATCH(C154,Hours!$A:$A,0))+I154*INDEX(Hours!E:E,MATCH(C154,Hours!$A:$A,0))+J154*INDEX(Hours!F:F,MATCH(C154,Hours!$A:$A,0)))</f>
        <v>0</v>
      </c>
      <c r="S154" s="19">
        <f t="shared" si="5"/>
        <v>0</v>
      </c>
    </row>
    <row r="155" spans="1:19" x14ac:dyDescent="0.25">
      <c r="A155" s="11" t="str">
        <f>'Bldgs &amp; Rooms'!$A$6</f>
        <v>Main Bldg.</v>
      </c>
      <c r="B155" s="11">
        <f>'Bldgs &amp; Rooms'!$B$6</f>
        <v>0</v>
      </c>
      <c r="C155" s="10" t="str">
        <f>Hours!$A$7</f>
        <v xml:space="preserve">  Switchboard Molded Case Breakers</v>
      </c>
      <c r="D155" s="11">
        <f t="shared" si="4"/>
        <v>0</v>
      </c>
      <c r="E155" s="16">
        <f>IF('Components Yr 1'!E155=0,0,'Components Yr 1'!E155)</f>
        <v>0</v>
      </c>
      <c r="F155" s="17">
        <f>IF('Components Yr 1'!F155=0,0,'Components Yr 1'!F155)</f>
        <v>0</v>
      </c>
      <c r="G155" s="17">
        <f>IF('Components Yr 1'!G155=0,0,'Components Yr 1'!G155)</f>
        <v>0</v>
      </c>
      <c r="H155" s="17">
        <f>IF('Components Yr 1'!H155=0,0,'Components Yr 1'!H155)</f>
        <v>0</v>
      </c>
      <c r="I155" s="17">
        <f>IF('Components Yr 1'!I155=0,0,'Components Yr 1'!I155)</f>
        <v>0</v>
      </c>
      <c r="J155" s="17">
        <f>IF('Components Yr 1'!J155=0,0,'Components Yr 1'!J155)</f>
        <v>0</v>
      </c>
      <c r="K155" s="17">
        <f>IF('Components Yr 1'!K155=0,0,'Components Yr 1'!K155)</f>
        <v>0</v>
      </c>
      <c r="L155" s="12"/>
      <c r="M155" s="12"/>
      <c r="N155" s="12"/>
      <c r="O155" s="12"/>
      <c r="P155" s="12"/>
      <c r="Q155" s="17"/>
      <c r="R155" s="18">
        <f>IF(SUMPRODUCT((E155:Q155)*1)=0,0,E155*INDEX(Hours!M:M,MATCH(C155,Hours!$A:$A,0))+F155*INDEX(Hours!B:B,MATCH(C155,Hours!$A:$A,0))+G155*INDEX(Hours!C:C,MATCH(C155,Hours!$A:$A,0))+H155*INDEX(Hours!D:D,MATCH(C155,Hours!$A:$A,0))+I155*INDEX(Hours!E:E,MATCH(C155,Hours!$A:$A,0))+J155*INDEX(Hours!F:F,MATCH(C155,Hours!$A:$A,0))+K155*INDEX(Hours!G:G,MATCH(C155,Hours!$A:$A,0)))</f>
        <v>0</v>
      </c>
      <c r="S155" s="19">
        <f t="shared" si="5"/>
        <v>0</v>
      </c>
    </row>
    <row r="156" spans="1:19" x14ac:dyDescent="0.25">
      <c r="A156" s="11" t="str">
        <f>'Bldgs &amp; Rooms'!$A$6</f>
        <v>Main Bldg.</v>
      </c>
      <c r="B156" s="11">
        <f>'Bldgs &amp; Rooms'!$B$6</f>
        <v>0</v>
      </c>
      <c r="C156" s="10" t="str">
        <f>Hours!$A$8</f>
        <v>Panelboard-Single Cover &gt; 400A (Distribution Panel)</v>
      </c>
      <c r="D156" s="11">
        <f t="shared" si="4"/>
        <v>0</v>
      </c>
      <c r="E156" s="16">
        <f>IF('Components Yr 1'!E156=0,0,'Components Yr 1'!E156)</f>
        <v>0</v>
      </c>
      <c r="F156" s="17">
        <f>IF('Components Yr 1'!F156=0,0,'Components Yr 1'!F156)</f>
        <v>0</v>
      </c>
      <c r="G156" s="17">
        <f>IF('Components Yr 1'!G156=0,0,'Components Yr 1'!G156)</f>
        <v>0</v>
      </c>
      <c r="H156" s="17">
        <f>IF('Components Yr 1'!H156=0,0,'Components Yr 1'!H156)</f>
        <v>0</v>
      </c>
      <c r="I156" s="17">
        <f>IF('Components Yr 1'!I156=0,0,'Components Yr 1'!I156)</f>
        <v>0</v>
      </c>
      <c r="J156" s="17">
        <f>IF('Components Yr 1'!J156=0,0,'Components Yr 1'!J156)</f>
        <v>0</v>
      </c>
      <c r="K156" s="17">
        <f>IF('Components Yr 1'!K156=0,0,'Components Yr 1'!K156)</f>
        <v>0</v>
      </c>
      <c r="L156" s="12"/>
      <c r="M156" s="12"/>
      <c r="N156" s="12"/>
      <c r="O156" s="17">
        <f>IF('Components Yr 1'!O156=0,0,'Components Yr 1'!O156)</f>
        <v>0</v>
      </c>
      <c r="P156" s="12"/>
      <c r="Q156" s="17"/>
      <c r="R156" s="18">
        <f>IF(SUMPRODUCT((E156:Q156)*1)=0,0,E156*INDEX(Hours!M:M,MATCH(C156,Hours!$A:$A,0))+F156*INDEX(Hours!B:B,MATCH(C156,Hours!$A:$A,0))+G156*INDEX(Hours!C:C,MATCH(C156,Hours!$A:$A,0))+H156*INDEX(Hours!D:D,MATCH(C156,Hours!$A:$A,0))+I156*INDEX(Hours!E:E,MATCH(C156,Hours!$A:$A,0))+J156*INDEX(Hours!F:F,MATCH(C156,Hours!$A:$A,0))+K156*INDEX(Hours!G:G,MATCH(C156,Hours!$A:$A,0))+O156*INDEX(Hours!K:K,MATCH(C156,Hours!$A:$A,0)))</f>
        <v>0</v>
      </c>
      <c r="S156" s="19">
        <f t="shared" si="5"/>
        <v>0</v>
      </c>
    </row>
    <row r="157" spans="1:19" x14ac:dyDescent="0.25">
      <c r="A157" s="11" t="str">
        <f>'Bldgs &amp; Rooms'!$A$6</f>
        <v>Main Bldg.</v>
      </c>
      <c r="B157" s="11">
        <f>'Bldgs &amp; Rooms'!$B$6</f>
        <v>0</v>
      </c>
      <c r="C157" s="10" t="str">
        <f>Hours!$A$9</f>
        <v>Panelboard-Single Cover &lt; 400A (Branch Ckt Panel)</v>
      </c>
      <c r="D157" s="11">
        <f t="shared" si="4"/>
        <v>0</v>
      </c>
      <c r="E157" s="16">
        <f>IF('Components Yr 1'!E157=0,0,'Components Yr 1'!E157)</f>
        <v>0</v>
      </c>
      <c r="F157" s="17">
        <f>IF('Components Yr 1'!F157=0,0,'Components Yr 1'!F157)</f>
        <v>0</v>
      </c>
      <c r="G157" s="17">
        <f>IF('Components Yr 1'!G157=0,0,'Components Yr 1'!G157)</f>
        <v>0</v>
      </c>
      <c r="H157" s="17">
        <f>IF('Components Yr 1'!H157=0,0,'Components Yr 1'!H157)</f>
        <v>0</v>
      </c>
      <c r="I157" s="17">
        <f>IF('Components Yr 1'!I157=0,0,'Components Yr 1'!I157)</f>
        <v>0</v>
      </c>
      <c r="J157" s="17">
        <f>IF('Components Yr 1'!J157=0,0,'Components Yr 1'!J157)</f>
        <v>0</v>
      </c>
      <c r="K157" s="12"/>
      <c r="L157" s="12"/>
      <c r="M157" s="12"/>
      <c r="N157" s="12"/>
      <c r="O157" s="17">
        <f>IF('Components Yr 1'!O157=0,0,'Components Yr 1'!O157)</f>
        <v>0</v>
      </c>
      <c r="P157" s="12"/>
      <c r="Q157" s="17"/>
      <c r="R157" s="18">
        <f>IF(SUMPRODUCT((E157:Q157)*1)=0,0,E157*INDEX(Hours!M:M,MATCH(C157,Hours!$A:$A,0))+F157*INDEX(Hours!B:B,MATCH(C157,Hours!$A:$A,0))+G157*INDEX(Hours!C:C,MATCH(C157,Hours!$A:$A,0))+H157*INDEX(Hours!D:D,MATCH(C157,Hours!$A:$A,0))+I157*INDEX(Hours!E:E,MATCH(C157,Hours!$A:$A,0))+J157*INDEX(Hours!F:F,MATCH(C157,Hours!$A:$A,0))+O157*INDEX(Hours!K:K,MATCH(C157,Hours!$A:$A,0)))</f>
        <v>0</v>
      </c>
      <c r="S157" s="19">
        <f t="shared" si="5"/>
        <v>0</v>
      </c>
    </row>
    <row r="158" spans="1:19" x14ac:dyDescent="0.25">
      <c r="A158" s="11" t="str">
        <f>'Bldgs &amp; Rooms'!$A$6</f>
        <v>Main Bldg.</v>
      </c>
      <c r="B158" s="11">
        <f>'Bldgs &amp; Rooms'!$B$6</f>
        <v>0</v>
      </c>
      <c r="C158" s="10" t="str">
        <f>Hours!$A$10</f>
        <v>Motor Control Center (MCC-Per Vertical Section)</v>
      </c>
      <c r="D158" s="11">
        <f t="shared" si="4"/>
        <v>0</v>
      </c>
      <c r="E158" s="16">
        <f>IF('Components Yr 1'!E158=0,0,'Components Yr 1'!E158)</f>
        <v>0</v>
      </c>
      <c r="F158" s="17">
        <f>IF('Components Yr 1'!F158=0,0,'Components Yr 1'!F158)</f>
        <v>0</v>
      </c>
      <c r="G158" s="17">
        <f>IF('Components Yr 1'!G158=0,0,'Components Yr 1'!G158)</f>
        <v>0</v>
      </c>
      <c r="H158" s="17">
        <f>IF('Components Yr 1'!H158=0,0,'Components Yr 1'!H158)</f>
        <v>0</v>
      </c>
      <c r="I158" s="17">
        <f>IF('Components Yr 1'!I158=0,0,'Components Yr 1'!I158)</f>
        <v>0</v>
      </c>
      <c r="J158" s="17">
        <f>IF('Components Yr 1'!J158=0,0,'Components Yr 1'!J158)</f>
        <v>0</v>
      </c>
      <c r="K158" s="12"/>
      <c r="L158" s="12"/>
      <c r="M158" s="12"/>
      <c r="N158" s="12"/>
      <c r="O158" s="17">
        <f>IF('Components Yr 1'!O158=0,0,'Components Yr 1'!O158)</f>
        <v>0</v>
      </c>
      <c r="P158" s="12"/>
      <c r="Q158" s="17"/>
      <c r="R158" s="18">
        <f>IF(SUMPRODUCT((E158:Q158)*1)=0,0,E158*INDEX(Hours!M:M,MATCH(C158,Hours!$A:$A,0))+F158*INDEX(Hours!B:B,MATCH(C158,Hours!$A:$A,0))+G158*INDEX(Hours!C:C,MATCH(C158,Hours!$A:$A,0))+H158*INDEX(Hours!D:D,MATCH(C158,Hours!$A:$A,0))+I158*INDEX(Hours!E:E,MATCH(C158,Hours!$A:$A,0))+J158*INDEX(Hours!F:F,MATCH(C158,Hours!$A:$A,0))+O158*INDEX(Hours!K:K,MATCH(C158,Hours!$A:$A,0)))</f>
        <v>0</v>
      </c>
      <c r="S158" s="19">
        <f t="shared" si="5"/>
        <v>0</v>
      </c>
    </row>
    <row r="159" spans="1:19" x14ac:dyDescent="0.25">
      <c r="A159" s="11" t="str">
        <f>'Bldgs &amp; Rooms'!$A$6</f>
        <v>Main Bldg.</v>
      </c>
      <c r="B159" s="11">
        <f>'Bldgs &amp; Rooms'!$B$6</f>
        <v>0</v>
      </c>
      <c r="C159" s="10" t="str">
        <f>Hours!$A$11</f>
        <v xml:space="preserve">  MCC: Combination Motor Starters</v>
      </c>
      <c r="D159" s="11">
        <f t="shared" si="4"/>
        <v>0</v>
      </c>
      <c r="E159" s="16">
        <f>IF('Components Yr 1'!E159=0,0,'Components Yr 1'!E159)</f>
        <v>0</v>
      </c>
      <c r="F159" s="17">
        <f>IF('Components Yr 1'!F159=0,0,'Components Yr 1'!F159)</f>
        <v>0</v>
      </c>
      <c r="G159" s="17">
        <f>IF('Components Yr 1'!G159=0,0,'Components Yr 1'!G159)</f>
        <v>0</v>
      </c>
      <c r="H159" s="17">
        <f>IF('Components Yr 1'!H159=0,0,'Components Yr 1'!H159)</f>
        <v>0</v>
      </c>
      <c r="I159" s="17">
        <f>IF('Components Yr 1'!I159=0,0,'Components Yr 1'!I159)</f>
        <v>0</v>
      </c>
      <c r="J159" s="17">
        <f>IF('Components Yr 1'!J159=0,0,'Components Yr 1'!J159)</f>
        <v>0</v>
      </c>
      <c r="K159" s="17">
        <f>IF('Components Yr 1'!K159=0,0,'Components Yr 1'!K159)</f>
        <v>0</v>
      </c>
      <c r="L159" s="12"/>
      <c r="M159" s="12"/>
      <c r="N159" s="12"/>
      <c r="O159" s="17">
        <f>IF('Components Yr 1'!O159=0,0,'Components Yr 1'!O159)</f>
        <v>0</v>
      </c>
      <c r="P159" s="12"/>
      <c r="Q159" s="17"/>
      <c r="R159" s="18">
        <f>IF(SUMPRODUCT((E159:Q159)*1)=0,0,E159*INDEX(Hours!M:M,MATCH(C159,Hours!$A:$A,0))+F159*INDEX(Hours!B:B,MATCH(C159,Hours!$A:$A,0))+G159*INDEX(Hours!C:C,MATCH(C159,Hours!$A:$A,0))+H159*INDEX(Hours!D:D,MATCH(C159,Hours!$A:$A,0))+I159*INDEX(Hours!E:E,MATCH(C159,Hours!$A:$A,0))+J159*INDEX(Hours!F:F,MATCH(C159,Hours!$A:$A,0))+K159*INDEX(Hours!G:G,MATCH(C159,Hours!$A:$A,0))+O159*INDEX(Hours!K:K,MATCH(C159,Hours!$A:$A,0)))</f>
        <v>0</v>
      </c>
      <c r="S159" s="19">
        <f t="shared" si="5"/>
        <v>0</v>
      </c>
    </row>
    <row r="160" spans="1:19" x14ac:dyDescent="0.25">
      <c r="A160" s="11" t="str">
        <f>'Bldgs &amp; Rooms'!$A$6</f>
        <v>Main Bldg.</v>
      </c>
      <c r="B160" s="11">
        <f>'Bldgs &amp; Rooms'!$B$6</f>
        <v>0</v>
      </c>
      <c r="C160" s="10" t="str">
        <f>Hours!$A$12</f>
        <v xml:space="preserve">  MCC: Molded Case Breaker</v>
      </c>
      <c r="D160" s="11">
        <f t="shared" si="4"/>
        <v>0</v>
      </c>
      <c r="E160" s="16">
        <f>IF('Components Yr 1'!E160=0,0,'Components Yr 1'!E160)</f>
        <v>0</v>
      </c>
      <c r="F160" s="17">
        <f>IF('Components Yr 1'!F160=0,0,'Components Yr 1'!F160)</f>
        <v>0</v>
      </c>
      <c r="G160" s="17">
        <f>IF('Components Yr 1'!G160=0,0,'Components Yr 1'!G160)</f>
        <v>0</v>
      </c>
      <c r="H160" s="17">
        <f>IF('Components Yr 1'!H160=0,0,'Components Yr 1'!H160)</f>
        <v>0</v>
      </c>
      <c r="I160" s="17">
        <f>IF('Components Yr 1'!I160=0,0,'Components Yr 1'!I160)</f>
        <v>0</v>
      </c>
      <c r="J160" s="17">
        <f>IF('Components Yr 1'!J160=0,0,'Components Yr 1'!J160)</f>
        <v>0</v>
      </c>
      <c r="K160" s="17">
        <f>IF('Components Yr 1'!K160=0,0,'Components Yr 1'!K160)</f>
        <v>0</v>
      </c>
      <c r="L160" s="12"/>
      <c r="M160" s="12"/>
      <c r="N160" s="12"/>
      <c r="O160" s="12"/>
      <c r="P160" s="12"/>
      <c r="Q160" s="17"/>
      <c r="R160" s="18">
        <f>IF(SUMPRODUCT((E160:Q160)*1)=0,0,E160*INDEX(Hours!M:M,MATCH(C160,Hours!$A:$A,0))+F160*INDEX(Hours!B:B,MATCH(C160,Hours!$A:$A,0))+G160*INDEX(Hours!C:C,MATCH(C160,Hours!$A:$A,0))+H160*INDEX(Hours!D:D,MATCH(C160,Hours!$A:$A,0))+I160*INDEX(Hours!E:E,MATCH(C160,Hours!$A:$A,0))+J160*INDEX(Hours!F:F,MATCH(C160,Hours!$A:$A,0))+K160*INDEX(Hours!G:G,MATCH(C160,Hours!$A:$A,0)))</f>
        <v>0</v>
      </c>
      <c r="S160" s="19">
        <f t="shared" si="5"/>
        <v>0</v>
      </c>
    </row>
    <row r="161" spans="1:19" x14ac:dyDescent="0.25">
      <c r="A161" s="11" t="str">
        <f>'Bldgs &amp; Rooms'!$A$6</f>
        <v>Main Bldg.</v>
      </c>
      <c r="B161" s="11">
        <f>'Bldgs &amp; Rooms'!$B$6</f>
        <v>0</v>
      </c>
      <c r="C161" s="10" t="str">
        <f>Hours!$A$13</f>
        <v xml:space="preserve">  MCC: Individual Disconnect Switch</v>
      </c>
      <c r="D161" s="11">
        <f t="shared" si="4"/>
        <v>0</v>
      </c>
      <c r="E161" s="16">
        <f>IF('Components Yr 1'!E161=0,0,'Components Yr 1'!E161)</f>
        <v>0</v>
      </c>
      <c r="F161" s="17">
        <f>IF('Components Yr 1'!F161=0,0,'Components Yr 1'!F161)</f>
        <v>0</v>
      </c>
      <c r="G161" s="17">
        <f>IF('Components Yr 1'!G161=0,0,'Components Yr 1'!G161)</f>
        <v>0</v>
      </c>
      <c r="H161" s="17">
        <f>IF('Components Yr 1'!H161=0,0,'Components Yr 1'!H161)</f>
        <v>0</v>
      </c>
      <c r="I161" s="17">
        <f>IF('Components Yr 1'!I161=0,0,'Components Yr 1'!I161)</f>
        <v>0</v>
      </c>
      <c r="J161" s="17">
        <f>IF('Components Yr 1'!J161=0,0,'Components Yr 1'!J161)</f>
        <v>0</v>
      </c>
      <c r="K161" s="12"/>
      <c r="L161" s="12"/>
      <c r="M161" s="12"/>
      <c r="N161" s="12"/>
      <c r="O161" s="12"/>
      <c r="P161" s="12"/>
      <c r="Q161" s="17"/>
      <c r="R161" s="18">
        <f>IF(SUMPRODUCT((E161:Q161)*1)=0,0,E161*INDEX(Hours!M:M,MATCH(C161,Hours!$A:$A,0))+F161*INDEX(Hours!B:B,MATCH(C161,Hours!$A:$A,0))+G161*INDEX(Hours!C:C,MATCH(C161,Hours!$A:$A,0))+H161*INDEX(Hours!D:D,MATCH(C161,Hours!$A:$A,0))+I161*INDEX(Hours!E:E,MATCH(C161,Hours!$A:$A,0))+J161*INDEX(Hours!F:F,MATCH(C161,Hours!$A:$A,0)))</f>
        <v>0</v>
      </c>
      <c r="S161" s="19">
        <f t="shared" si="5"/>
        <v>0</v>
      </c>
    </row>
    <row r="162" spans="1:19" x14ac:dyDescent="0.25">
      <c r="A162" s="11" t="str">
        <f>'Bldgs &amp; Rooms'!$A$6</f>
        <v>Main Bldg.</v>
      </c>
      <c r="B162" s="11">
        <f>'Bldgs &amp; Rooms'!$B$6</f>
        <v>0</v>
      </c>
      <c r="C162" s="10" t="str">
        <f>Hours!$A$14</f>
        <v>Motor Control Panel (MCP)</v>
      </c>
      <c r="D162" s="11">
        <f t="shared" si="4"/>
        <v>0</v>
      </c>
      <c r="E162" s="16">
        <f>IF('Components Yr 1'!E162=0,0,'Components Yr 1'!E162)</f>
        <v>0</v>
      </c>
      <c r="F162" s="17">
        <f>IF('Components Yr 1'!F162=0,0,'Components Yr 1'!F162)</f>
        <v>0</v>
      </c>
      <c r="G162" s="17">
        <f>IF('Components Yr 1'!G162=0,0,'Components Yr 1'!G162)</f>
        <v>0</v>
      </c>
      <c r="H162" s="17">
        <f>IF('Components Yr 1'!H162=0,0,'Components Yr 1'!H162)</f>
        <v>0</v>
      </c>
      <c r="I162" s="17">
        <f>IF('Components Yr 1'!I162=0,0,'Components Yr 1'!I162)</f>
        <v>0</v>
      </c>
      <c r="J162" s="17">
        <f>IF('Components Yr 1'!J162=0,0,'Components Yr 1'!J162)</f>
        <v>0</v>
      </c>
      <c r="K162" s="12"/>
      <c r="L162" s="12"/>
      <c r="M162" s="12"/>
      <c r="N162" s="12"/>
      <c r="O162" s="17">
        <f>IF('Components Yr 1'!O162=0,0,'Components Yr 1'!O162)</f>
        <v>0</v>
      </c>
      <c r="P162" s="12"/>
      <c r="Q162" s="17"/>
      <c r="R162" s="18">
        <f>IF(SUMPRODUCT((E162:Q162)*1)=0,0,E162*INDEX(Hours!M:M,MATCH(C162,Hours!$A:$A,0))+F162*INDEX(Hours!B:B,MATCH(C162,Hours!$A:$A,0))+G162*INDEX(Hours!C:C,MATCH(C162,Hours!$A:$A,0))+H162*INDEX(Hours!D:D,MATCH(C162,Hours!$A:$A,0))+I162*INDEX(Hours!E:E,MATCH(C162,Hours!$A:$A,0))+J162*INDEX(Hours!F:F,MATCH(C162,Hours!$A:$A,0))+O162*INDEX(Hours!K:K,MATCH(C162,Hours!$A:$A,0)))</f>
        <v>0</v>
      </c>
      <c r="S162" s="19">
        <f t="shared" si="5"/>
        <v>0</v>
      </c>
    </row>
    <row r="163" spans="1:19" x14ac:dyDescent="0.25">
      <c r="A163" s="11" t="str">
        <f>'Bldgs &amp; Rooms'!$A$6</f>
        <v>Main Bldg.</v>
      </c>
      <c r="B163" s="11">
        <f>'Bldgs &amp; Rooms'!$B$6</f>
        <v>0</v>
      </c>
      <c r="C163" s="10" t="str">
        <f>Hours!$A$15</f>
        <v>VFD Motor Control Panel (VFD-MCP)</v>
      </c>
      <c r="D163" s="11">
        <f t="shared" si="4"/>
        <v>0</v>
      </c>
      <c r="E163" s="16">
        <f>IF('Components Yr 1'!E163=0,0,'Components Yr 1'!E163)</f>
        <v>0</v>
      </c>
      <c r="F163" s="17">
        <f>IF('Components Yr 1'!F163=0,0,'Components Yr 1'!F163)</f>
        <v>0</v>
      </c>
      <c r="G163" s="17">
        <f>IF('Components Yr 1'!G163=0,0,'Components Yr 1'!G163)</f>
        <v>0</v>
      </c>
      <c r="H163" s="17">
        <f>IF('Components Yr 1'!H163=0,0,'Components Yr 1'!H163)</f>
        <v>0</v>
      </c>
      <c r="I163" s="17">
        <f>IF('Components Yr 1'!I163=0,0,'Components Yr 1'!I163)</f>
        <v>0</v>
      </c>
      <c r="J163" s="17">
        <f>IF('Components Yr 1'!J163=0,0,'Components Yr 1'!J163)</f>
        <v>0</v>
      </c>
      <c r="K163" s="12"/>
      <c r="L163" s="12"/>
      <c r="M163" s="12"/>
      <c r="N163" s="12"/>
      <c r="O163" s="17">
        <f>IF('Components Yr 1'!O163=0,0,'Components Yr 1'!O163)</f>
        <v>0</v>
      </c>
      <c r="P163" s="12"/>
      <c r="Q163" s="17"/>
      <c r="R163" s="18">
        <f>IF(SUMPRODUCT((E163:Q163)*1)=0,0,E163*INDEX(Hours!M:M,MATCH(C163,Hours!$A:$A,0))+F163*INDEX(Hours!B:B,MATCH(C163,Hours!$A:$A,0))+G163*INDEX(Hours!C:C,MATCH(C163,Hours!$A:$A,0))+H163*INDEX(Hours!D:D,MATCH(C163,Hours!$A:$A,0))+I163*INDEX(Hours!E:E,MATCH(C163,Hours!$A:$A,0))+J163*INDEX(Hours!F:F,MATCH(C163,Hours!$A:$A,0))+O163*INDEX(Hours!K:K,MATCH(C163,Hours!$A:$A,0)))</f>
        <v>0</v>
      </c>
      <c r="S163" s="19">
        <f t="shared" si="5"/>
        <v>0</v>
      </c>
    </row>
    <row r="164" spans="1:19" x14ac:dyDescent="0.25">
      <c r="A164" s="11" t="str">
        <f>'Bldgs &amp; Rooms'!$A$6</f>
        <v>Main Bldg.</v>
      </c>
      <c r="B164" s="11">
        <f>'Bldgs &amp; Rooms'!$B$6</f>
        <v>0</v>
      </c>
      <c r="C164" s="10" t="str">
        <f>Hours!$A$16</f>
        <v>Individual Disconnect Switch &gt; 100A</v>
      </c>
      <c r="D164" s="11">
        <f t="shared" si="4"/>
        <v>0</v>
      </c>
      <c r="E164" s="16">
        <f>IF('Components Yr 1'!E164=0,0,'Components Yr 1'!E164)</f>
        <v>0</v>
      </c>
      <c r="F164" s="17">
        <f>IF('Components Yr 1'!F164=0,0,'Components Yr 1'!F164)</f>
        <v>0</v>
      </c>
      <c r="G164" s="17">
        <f>IF('Components Yr 1'!G164=0,0,'Components Yr 1'!G164)</f>
        <v>0</v>
      </c>
      <c r="H164" s="17">
        <f>IF('Components Yr 1'!H164=0,0,'Components Yr 1'!H164)</f>
        <v>0</v>
      </c>
      <c r="I164" s="17">
        <f>IF('Components Yr 1'!I164=0,0,'Components Yr 1'!I164)</f>
        <v>0</v>
      </c>
      <c r="J164" s="17">
        <f>IF('Components Yr 1'!J164=0,0,'Components Yr 1'!J164)</f>
        <v>0</v>
      </c>
      <c r="K164" s="17">
        <f>IF('Components Yr 1'!K164=0,0,'Components Yr 1'!K164)</f>
        <v>0</v>
      </c>
      <c r="L164" s="12"/>
      <c r="M164" s="12"/>
      <c r="N164" s="12"/>
      <c r="O164" s="12"/>
      <c r="P164" s="12"/>
      <c r="Q164" s="17"/>
      <c r="R164" s="18">
        <f>IF(SUMPRODUCT((E164:Q164)*1)=0,0,E164*INDEX(Hours!M:M,MATCH(C164,Hours!$A:$A,0))+F164*INDEX(Hours!B:B,MATCH(C164,Hours!$A:$A,0))+G164*INDEX(Hours!C:C,MATCH(C164,Hours!$A:$A,0))+H164*INDEX(Hours!D:D,MATCH(C164,Hours!$A:$A,0))+I164*INDEX(Hours!E:E,MATCH(C164,Hours!$A:$A,0))+J164*INDEX(Hours!F:F,MATCH(C164,Hours!$A:$A,0))+K164*INDEX(Hours!G:G,MATCH(C164,Hours!$A:$A,0)))</f>
        <v>0</v>
      </c>
      <c r="S164" s="19">
        <f t="shared" si="5"/>
        <v>0</v>
      </c>
    </row>
    <row r="165" spans="1:19" x14ac:dyDescent="0.25">
      <c r="A165" s="11" t="str">
        <f>'Bldgs &amp; Rooms'!$A$6</f>
        <v>Main Bldg.</v>
      </c>
      <c r="B165" s="11">
        <f>'Bldgs &amp; Rooms'!$B$6</f>
        <v>0</v>
      </c>
      <c r="C165" s="10" t="str">
        <f>Hours!$A$17</f>
        <v>Individual Molded Case Breaker &gt; 100A</v>
      </c>
      <c r="D165" s="11">
        <f t="shared" si="4"/>
        <v>0</v>
      </c>
      <c r="E165" s="16">
        <f>IF('Components Yr 1'!E165=0,0,'Components Yr 1'!E165)</f>
        <v>0</v>
      </c>
      <c r="F165" s="17">
        <f>IF('Components Yr 1'!F165=0,0,'Components Yr 1'!F165)</f>
        <v>0</v>
      </c>
      <c r="G165" s="17">
        <f>IF('Components Yr 1'!G165=0,0,'Components Yr 1'!G165)</f>
        <v>0</v>
      </c>
      <c r="H165" s="17">
        <f>IF('Components Yr 1'!H165=0,0,'Components Yr 1'!H165)</f>
        <v>0</v>
      </c>
      <c r="I165" s="17">
        <f>IF('Components Yr 1'!I165=0,0,'Components Yr 1'!I165)</f>
        <v>0</v>
      </c>
      <c r="J165" s="17">
        <f>IF('Components Yr 1'!J165=0,0,'Components Yr 1'!J165)</f>
        <v>0</v>
      </c>
      <c r="K165" s="17">
        <f>IF('Components Yr 1'!K165=0,0,'Components Yr 1'!K165)</f>
        <v>0</v>
      </c>
      <c r="L165" s="12"/>
      <c r="M165" s="12"/>
      <c r="N165" s="12"/>
      <c r="O165" s="12"/>
      <c r="P165" s="12"/>
      <c r="Q165" s="17"/>
      <c r="R165" s="18">
        <f>IF(SUMPRODUCT((E165:Q165)*1)=0,0,E165*INDEX(Hours!M:M,MATCH(C165,Hours!$A:$A,0))+F165*INDEX(Hours!B:B,MATCH(C165,Hours!$A:$A,0))+G165*INDEX(Hours!C:C,MATCH(C165,Hours!$A:$A,0))+H165*INDEX(Hours!D:D,MATCH(C165,Hours!$A:$A,0))+I165*INDEX(Hours!E:E,MATCH(C165,Hours!$A:$A,0))+J165*INDEX(Hours!F:F,MATCH(C165,Hours!$A:$A,0))+K165*INDEX(Hours!G:G,MATCH(C165,Hours!$A:$A,0)))</f>
        <v>0</v>
      </c>
      <c r="S165" s="19">
        <f t="shared" si="5"/>
        <v>0</v>
      </c>
    </row>
    <row r="166" spans="1:19" x14ac:dyDescent="0.25">
      <c r="A166" s="11" t="str">
        <f>'Bldgs &amp; Rooms'!$A$6</f>
        <v>Main Bldg.</v>
      </c>
      <c r="B166" s="11">
        <f>'Bldgs &amp; Rooms'!$B$6</f>
        <v>0</v>
      </c>
      <c r="C166" s="10" t="str">
        <f>Hours!$A$18</f>
        <v>Individual Combination Motor Starter &gt; 100A</v>
      </c>
      <c r="D166" s="11">
        <f t="shared" si="4"/>
        <v>0</v>
      </c>
      <c r="E166" s="16">
        <f>IF('Components Yr 1'!E166=0,0,'Components Yr 1'!E166)</f>
        <v>0</v>
      </c>
      <c r="F166" s="17">
        <f>IF('Components Yr 1'!F166=0,0,'Components Yr 1'!F166)</f>
        <v>0</v>
      </c>
      <c r="G166" s="17">
        <f>IF('Components Yr 1'!G166=0,0,'Components Yr 1'!G166)</f>
        <v>0</v>
      </c>
      <c r="H166" s="17">
        <f>IF('Components Yr 1'!H166=0,0,'Components Yr 1'!H166)</f>
        <v>0</v>
      </c>
      <c r="I166" s="17">
        <f>IF('Components Yr 1'!I166=0,0,'Components Yr 1'!I166)</f>
        <v>0</v>
      </c>
      <c r="J166" s="17">
        <f>IF('Components Yr 1'!J166=0,0,'Components Yr 1'!J166)</f>
        <v>0</v>
      </c>
      <c r="K166" s="17">
        <f>IF('Components Yr 1'!K166=0,0,'Components Yr 1'!K166)</f>
        <v>0</v>
      </c>
      <c r="L166" s="12"/>
      <c r="M166" s="12"/>
      <c r="N166" s="12"/>
      <c r="O166" s="12"/>
      <c r="P166" s="12"/>
      <c r="Q166" s="17"/>
      <c r="R166" s="18">
        <f>IF(SUMPRODUCT((E166:Q166)*1)=0,0,E166*INDEX(Hours!M:M,MATCH(C166,Hours!$A:$A,0))+F166*INDEX(Hours!B:B,MATCH(C166,Hours!$A:$A,0))+G166*INDEX(Hours!C:C,MATCH(C166,Hours!$A:$A,0))+H166*INDEX(Hours!D:D,MATCH(C166,Hours!$A:$A,0))+I166*INDEX(Hours!E:E,MATCH(C166,Hours!$A:$A,0))+J166*INDEX(Hours!F:F,MATCH(C166,Hours!$A:$A,0))+K166*INDEX(Hours!G:G,MATCH(C166,Hours!$A:$A,0)))</f>
        <v>0</v>
      </c>
      <c r="S166" s="19">
        <f t="shared" si="5"/>
        <v>0</v>
      </c>
    </row>
    <row r="167" spans="1:19" x14ac:dyDescent="0.25">
      <c r="A167" s="11" t="str">
        <f>'Bldgs &amp; Rooms'!$A$6</f>
        <v>Main Bldg.</v>
      </c>
      <c r="B167" s="11">
        <f>'Bldgs &amp; Rooms'!$B$6</f>
        <v>0</v>
      </c>
      <c r="C167" s="10" t="str">
        <f>Hours!$A$19</f>
        <v>Oil Filled Transformer - 5kV-15kV Primary - Any Size (Pad Mounted)</v>
      </c>
      <c r="D167" s="11">
        <f t="shared" si="4"/>
        <v>0</v>
      </c>
      <c r="E167" s="16">
        <f>IF('Components Yr 1'!E167=0,0,'Components Yr 1'!E167)</f>
        <v>0</v>
      </c>
      <c r="F167" s="17">
        <f>IF('Components Yr 1'!F167=0,0,'Components Yr 1'!F167)</f>
        <v>0</v>
      </c>
      <c r="G167" s="17">
        <f>IF('Components Yr 1'!G167=0,0,'Components Yr 1'!G167)</f>
        <v>0</v>
      </c>
      <c r="H167" s="17">
        <f>IF('Components Yr 1'!H167=0,0,'Components Yr 1'!H167)</f>
        <v>0</v>
      </c>
      <c r="I167" s="17">
        <f>IF('Components Yr 1'!I167=0,0,'Components Yr 1'!I167)</f>
        <v>0</v>
      </c>
      <c r="J167" s="17">
        <f>IF('Components Yr 1'!J167=0,0,'Components Yr 1'!J167)</f>
        <v>0</v>
      </c>
      <c r="K167" s="12"/>
      <c r="L167" s="12"/>
      <c r="M167" s="17">
        <f>IF('Components Yr 1'!M167=0,0,'Components Yr 1'!M167)</f>
        <v>0</v>
      </c>
      <c r="N167" s="17">
        <f>IF('Components Yr 1'!N167=0,0,'Components Yr 1'!N167)</f>
        <v>0</v>
      </c>
      <c r="O167" s="12"/>
      <c r="P167" s="17">
        <f>IF('Components Yr 1'!P167=0,0,'Components Yr 1'!P167)</f>
        <v>0</v>
      </c>
      <c r="Q167" s="17"/>
      <c r="R167" s="18">
        <f>IF(SUMPRODUCT((E167:Q167)*1)=0,0,E167*INDEX(Hours!M:M,MATCH(C167,Hours!$A:$A,0))+F167*INDEX(Hours!B:B,MATCH(C167,Hours!$A:$A,0))+G167*INDEX(Hours!C:C,MATCH(C167,Hours!$A:$A,0))+H167*INDEX(Hours!D:D,MATCH(C167,Hours!$A:$A,0))+I167*INDEX(Hours!E:E,MATCH(C167,Hours!$A:$A,0))+J167*INDEX(Hours!F:F,MATCH(C167,Hours!$A:$A,0))+M167*INDEX(Hours!I:I,MATCH(C167,Hours!$A:$A,0))+N167*INDEX(Hours!J:J,MATCH(C167,Hours!$A:$A,0))+P167*INDEX(Hours!L:L,MATCH(C167,Hours!$A:$A,0)))</f>
        <v>0</v>
      </c>
      <c r="S167" s="19">
        <f t="shared" si="5"/>
        <v>0</v>
      </c>
    </row>
    <row r="168" spans="1:19" x14ac:dyDescent="0.25">
      <c r="A168" s="11" t="str">
        <f>'Bldgs &amp; Rooms'!$A$6</f>
        <v>Main Bldg.</v>
      </c>
      <c r="B168" s="11">
        <f>'Bldgs &amp; Rooms'!$B$6</f>
        <v>0</v>
      </c>
      <c r="C168" s="10" t="str">
        <f>Hours!$A$20</f>
        <v>Oil Filled Transformer - &gt; 15kV Primary (Substation Class)</v>
      </c>
      <c r="D168" s="11">
        <f t="shared" si="4"/>
        <v>0</v>
      </c>
      <c r="E168" s="16">
        <f>IF('Components Yr 1'!E168=0,0,'Components Yr 1'!E168)</f>
        <v>0</v>
      </c>
      <c r="F168" s="17">
        <f>IF('Components Yr 1'!F168=0,0,'Components Yr 1'!F168)</f>
        <v>0</v>
      </c>
      <c r="G168" s="17">
        <f>IF('Components Yr 1'!G168=0,0,'Components Yr 1'!G168)</f>
        <v>0</v>
      </c>
      <c r="H168" s="17">
        <f>IF('Components Yr 1'!H168=0,0,'Components Yr 1'!H168)</f>
        <v>0</v>
      </c>
      <c r="I168" s="17">
        <f>IF('Components Yr 1'!I168=0,0,'Components Yr 1'!I168)</f>
        <v>0</v>
      </c>
      <c r="J168" s="17">
        <f>IF('Components Yr 1'!J168=0,0,'Components Yr 1'!J168)</f>
        <v>0</v>
      </c>
      <c r="K168" s="12"/>
      <c r="L168" s="12"/>
      <c r="M168" s="17">
        <f>IF('Components Yr 1'!M168=0,0,'Components Yr 1'!M168)</f>
        <v>0</v>
      </c>
      <c r="N168" s="17">
        <f>IF('Components Yr 1'!N168=0,0,'Components Yr 1'!N168)</f>
        <v>0</v>
      </c>
      <c r="O168" s="12"/>
      <c r="P168" s="17">
        <f>IF('Components Yr 1'!P168=0,0,'Components Yr 1'!P168)</f>
        <v>0</v>
      </c>
      <c r="Q168" s="17"/>
      <c r="R168" s="18">
        <f>IF(SUMPRODUCT((E168:Q168)*1)=0,0,E168*INDEX(Hours!M:M,MATCH(C168,Hours!$A:$A,0))+F168*INDEX(Hours!B:B,MATCH(C168,Hours!$A:$A,0))+G168*INDEX(Hours!C:C,MATCH(C168,Hours!$A:$A,0))+H168*INDEX(Hours!D:D,MATCH(C168,Hours!$A:$A,0))+I168*INDEX(Hours!E:E,MATCH(C168,Hours!$A:$A,0))+J168*INDEX(Hours!F:F,MATCH(C168,Hours!$A:$A,0))+M168*INDEX(Hours!I:I,MATCH(C168,Hours!$A:$A,0))+N168*INDEX(Hours!J:J,MATCH(C168,Hours!$A:$A,0))+P168*INDEX(Hours!L:L,MATCH(C168,Hours!$A:$A,0)))</f>
        <v>0</v>
      </c>
      <c r="S168" s="19">
        <f t="shared" si="5"/>
        <v>0</v>
      </c>
    </row>
    <row r="169" spans="1:19" x14ac:dyDescent="0.25">
      <c r="A169" s="11" t="str">
        <f>'Bldgs &amp; Rooms'!$A$6</f>
        <v>Main Bldg.</v>
      </c>
      <c r="B169" s="11">
        <f>'Bldgs &amp; Rooms'!$B$6</f>
        <v>0</v>
      </c>
      <c r="C169" s="10" t="str">
        <f>Hours!$A$21</f>
        <v>Dry Type Transformer - &lt; 480V Primary - Any Size kVA</v>
      </c>
      <c r="D169" s="11">
        <f t="shared" si="4"/>
        <v>0</v>
      </c>
      <c r="E169" s="16">
        <f>IF('Components Yr 1'!E169=0,0,'Components Yr 1'!E169)</f>
        <v>0</v>
      </c>
      <c r="F169" s="17">
        <f>IF('Components Yr 1'!F169=0,0,'Components Yr 1'!F169)</f>
        <v>0</v>
      </c>
      <c r="G169" s="17">
        <f>IF('Components Yr 1'!G169=0,0,'Components Yr 1'!G169)</f>
        <v>0</v>
      </c>
      <c r="H169" s="17">
        <f>IF('Components Yr 1'!H169=0,0,'Components Yr 1'!H169)</f>
        <v>0</v>
      </c>
      <c r="I169" s="17">
        <f>IF('Components Yr 1'!I169=0,0,'Components Yr 1'!I169)</f>
        <v>0</v>
      </c>
      <c r="J169" s="17">
        <f>IF('Components Yr 1'!J169=0,0,'Components Yr 1'!J169)</f>
        <v>0</v>
      </c>
      <c r="K169" s="12"/>
      <c r="L169" s="12"/>
      <c r="M169" s="17">
        <f>IF('Components Yr 1'!M169=0,0,'Components Yr 1'!M169)</f>
        <v>0</v>
      </c>
      <c r="N169" s="17">
        <f>IF('Components Yr 1'!N169=0,0,'Components Yr 1'!N169)</f>
        <v>0</v>
      </c>
      <c r="O169" s="12"/>
      <c r="P169" s="12"/>
      <c r="Q169" s="17"/>
      <c r="R169" s="18">
        <f>IF(SUMPRODUCT((E169:Q169)*1)=0,0,E169*INDEX(Hours!M:M,MATCH(C169,Hours!$A:$A,0))+F169*INDEX(Hours!B:B,MATCH(C169,Hours!$A:$A,0))+G169*INDEX(Hours!C:C,MATCH(C169,Hours!$A:$A,0))+H169*INDEX(Hours!D:D,MATCH(C169,Hours!$A:$A,0))+I169*INDEX(Hours!E:E,MATCH(C169,Hours!$A:$A,0))+J169*INDEX(Hours!F:F,MATCH(C169,Hours!$A:$A,0))+M169*INDEX(Hours!I:I,MATCH(C169,Hours!$A:$A,0))+N169*INDEX(Hours!J:J,MATCH(C169,Hours!$A:$A,0)))</f>
        <v>0</v>
      </c>
      <c r="S169" s="19">
        <f t="shared" si="5"/>
        <v>0</v>
      </c>
    </row>
    <row r="170" spans="1:19" x14ac:dyDescent="0.25">
      <c r="A170" s="11" t="str">
        <f>'Bldgs &amp; Rooms'!$A$6</f>
        <v>Main Bldg.</v>
      </c>
      <c r="B170" s="11">
        <f>'Bldgs &amp; Rooms'!$B$6</f>
        <v>0</v>
      </c>
      <c r="C170" s="10" t="str">
        <f>Hours!$A$22</f>
        <v>Power Factor Correction Capacitors</v>
      </c>
      <c r="D170" s="11">
        <f t="shared" si="4"/>
        <v>0</v>
      </c>
      <c r="E170" s="16">
        <f>IF('Components Yr 1'!E170=0,0,'Components Yr 1'!E170)</f>
        <v>0</v>
      </c>
      <c r="F170" s="17">
        <f>IF('Components Yr 1'!F170=0,0,'Components Yr 1'!F170)</f>
        <v>0</v>
      </c>
      <c r="G170" s="17">
        <f>IF('Components Yr 1'!G170=0,0,'Components Yr 1'!G170)</f>
        <v>0</v>
      </c>
      <c r="H170" s="17">
        <f>IF('Components Yr 1'!H170=0,0,'Components Yr 1'!H170)</f>
        <v>0</v>
      </c>
      <c r="I170" s="17">
        <f>IF('Components Yr 1'!I170=0,0,'Components Yr 1'!I170)</f>
        <v>0</v>
      </c>
      <c r="J170" s="17">
        <f>IF('Components Yr 1'!J170=0,0,'Components Yr 1'!J170)</f>
        <v>0</v>
      </c>
      <c r="K170" s="12"/>
      <c r="L170" s="12"/>
      <c r="M170" s="12"/>
      <c r="N170" s="12"/>
      <c r="O170" s="12"/>
      <c r="P170" s="12"/>
      <c r="Q170" s="17"/>
      <c r="R170" s="18">
        <f>IF(SUMPRODUCT((E170:Q170)*1)=0,0,E170*INDEX(Hours!M:M,MATCH(C170,Hours!$A:$A,0))+F170*INDEX(Hours!B:B,MATCH(C170,Hours!$A:$A,0))+G170*INDEX(Hours!C:C,MATCH(C170,Hours!$A:$A,0))+H170*INDEX(Hours!D:D,MATCH(C170,Hours!$A:$A,0))+I170*INDEX(Hours!E:E,MATCH(C170,Hours!$A:$A,0))+J170*INDEX(Hours!F:F,MATCH(C170,Hours!$A:$A,0)))</f>
        <v>0</v>
      </c>
      <c r="S170" s="19">
        <f t="shared" si="5"/>
        <v>0</v>
      </c>
    </row>
    <row r="171" spans="1:19" x14ac:dyDescent="0.25">
      <c r="A171" s="11" t="str">
        <f>'Bldgs &amp; Rooms'!$A$6</f>
        <v>Main Bldg.</v>
      </c>
      <c r="B171" s="11">
        <f>'Bldgs &amp; Rooms'!$B$6</f>
        <v>0</v>
      </c>
      <c r="C171" s="10" t="str">
        <f>Hours!$A$23</f>
        <v>Lighting Contactor &gt; 100A</v>
      </c>
      <c r="D171" s="11">
        <f t="shared" si="4"/>
        <v>0</v>
      </c>
      <c r="E171" s="16">
        <f>IF('Components Yr 1'!E171=0,0,'Components Yr 1'!E171)</f>
        <v>0</v>
      </c>
      <c r="F171" s="17">
        <f>IF('Components Yr 1'!F171=0,0,'Components Yr 1'!F171)</f>
        <v>0</v>
      </c>
      <c r="G171" s="17">
        <f>IF('Components Yr 1'!G171=0,0,'Components Yr 1'!G171)</f>
        <v>0</v>
      </c>
      <c r="H171" s="17">
        <f>IF('Components Yr 1'!H171=0,0,'Components Yr 1'!H171)</f>
        <v>0</v>
      </c>
      <c r="I171" s="17">
        <f>IF('Components Yr 1'!I171=0,0,'Components Yr 1'!I171)</f>
        <v>0</v>
      </c>
      <c r="J171" s="17">
        <f>IF('Components Yr 1'!J171=0,0,'Components Yr 1'!J171)</f>
        <v>0</v>
      </c>
      <c r="K171" s="12"/>
      <c r="L171" s="12"/>
      <c r="M171" s="12"/>
      <c r="N171" s="12"/>
      <c r="O171" s="12"/>
      <c r="P171" s="12"/>
      <c r="Q171" s="17"/>
      <c r="R171" s="18">
        <f>IF(SUMPRODUCT((E171:Q171)*1)=0,0,E171*INDEX(Hours!M:M,MATCH(C171,Hours!$A:$A,0))+F171*INDEX(Hours!B:B,MATCH(C171,Hours!$A:$A,0))+G171*INDEX(Hours!C:C,MATCH(C171,Hours!$A:$A,0))+H171*INDEX(Hours!D:D,MATCH(C171,Hours!$A:$A,0))+I171*INDEX(Hours!E:E,MATCH(C171,Hours!$A:$A,0))+J171*INDEX(Hours!F:F,MATCH(C171,Hours!$A:$A,0)))</f>
        <v>0</v>
      </c>
      <c r="S171" s="19">
        <f t="shared" si="5"/>
        <v>0</v>
      </c>
    </row>
    <row r="172" spans="1:19" x14ac:dyDescent="0.25">
      <c r="A172" s="11" t="str">
        <f>'Bldgs &amp; Rooms'!$A$6</f>
        <v>Main Bldg.</v>
      </c>
      <c r="B172" s="11">
        <f>'Bldgs &amp; Rooms'!$B$6</f>
        <v>0</v>
      </c>
      <c r="C172" s="10" t="str">
        <f>Hours!$A$24</f>
        <v>Power Distribution Unit (PDU)</v>
      </c>
      <c r="D172" s="11">
        <f t="shared" si="4"/>
        <v>0</v>
      </c>
      <c r="E172" s="16">
        <f>IF('Components Yr 1'!E172=0,0,'Components Yr 1'!E172)</f>
        <v>0</v>
      </c>
      <c r="F172" s="17">
        <f>IF('Components Yr 1'!F172=0,0,'Components Yr 1'!F172)</f>
        <v>0</v>
      </c>
      <c r="G172" s="17">
        <f>IF('Components Yr 1'!G172=0,0,'Components Yr 1'!G172)</f>
        <v>0</v>
      </c>
      <c r="H172" s="17">
        <f>IF('Components Yr 1'!H172=0,0,'Components Yr 1'!H172)</f>
        <v>0</v>
      </c>
      <c r="I172" s="17">
        <f>IF('Components Yr 1'!I172=0,0,'Components Yr 1'!I172)</f>
        <v>0</v>
      </c>
      <c r="J172" s="17">
        <f>IF('Components Yr 1'!J172=0,0,'Components Yr 1'!J172)</f>
        <v>0</v>
      </c>
      <c r="K172" s="12"/>
      <c r="L172" s="12"/>
      <c r="M172" s="12"/>
      <c r="N172" s="12"/>
      <c r="O172" s="12"/>
      <c r="P172" s="12"/>
      <c r="Q172" s="17"/>
      <c r="R172" s="18">
        <f>IF(SUMPRODUCT((E172:Q172)*1)=0,0,E172*INDEX(Hours!M:M,MATCH(C172,Hours!$A:$A,0))+F172*INDEX(Hours!B:B,MATCH(C172,Hours!$A:$A,0))+G172*INDEX(Hours!C:C,MATCH(C172,Hours!$A:$A,0))+H172*INDEX(Hours!D:D,MATCH(C172,Hours!$A:$A,0))+I172*INDEX(Hours!E:E,MATCH(C172,Hours!$A:$A,0))+J172*INDEX(Hours!F:F,MATCH(C172,Hours!$A:$A,0)))</f>
        <v>0</v>
      </c>
      <c r="S172" s="19">
        <f t="shared" si="5"/>
        <v>0</v>
      </c>
    </row>
    <row r="173" spans="1:19" x14ac:dyDescent="0.25">
      <c r="A173" s="11" t="str">
        <f>'Bldgs &amp; Rooms'!$A$6</f>
        <v>Main Bldg.</v>
      </c>
      <c r="B173" s="11">
        <f>'Bldgs &amp; Rooms'!$B$6</f>
        <v>0</v>
      </c>
      <c r="C173" s="10" t="str">
        <f>Hours!$A$25</f>
        <v>Wire Trough, Gutter, or Large Junction Boxes</v>
      </c>
      <c r="D173" s="11">
        <f t="shared" si="4"/>
        <v>0</v>
      </c>
      <c r="E173" s="16">
        <f>IF('Components Yr 1'!E173=0,0,'Components Yr 1'!E173)</f>
        <v>0</v>
      </c>
      <c r="F173" s="17">
        <f>IF('Components Yr 1'!F173=0,0,'Components Yr 1'!F173)</f>
        <v>0</v>
      </c>
      <c r="G173" s="17">
        <f>IF('Components Yr 1'!G173=0,0,'Components Yr 1'!G173)</f>
        <v>0</v>
      </c>
      <c r="H173" s="17">
        <f>IF('Components Yr 1'!H173=0,0,'Components Yr 1'!H173)</f>
        <v>0</v>
      </c>
      <c r="I173" s="17">
        <f>IF('Components Yr 1'!I173=0,0,'Components Yr 1'!I173)</f>
        <v>0</v>
      </c>
      <c r="J173" s="17">
        <f>IF('Components Yr 1'!J173=0,0,'Components Yr 1'!J173)</f>
        <v>0</v>
      </c>
      <c r="K173" s="12"/>
      <c r="L173" s="12"/>
      <c r="M173" s="12"/>
      <c r="N173" s="12"/>
      <c r="O173" s="12"/>
      <c r="P173" s="12"/>
      <c r="Q173" s="17"/>
      <c r="R173" s="18">
        <f>IF(SUMPRODUCT((E173:Q173)*1)=0,0,E173*INDEX(Hours!M:M,MATCH(C173,Hours!$A:$A,0))+F173*INDEX(Hours!B:B,MATCH(C173,Hours!$A:$A,0))+G173*INDEX(Hours!C:C,MATCH(C173,Hours!$A:$A,0))+H173*INDEX(Hours!D:D,MATCH(C173,Hours!$A:$A,0))+I173*INDEX(Hours!E:E,MATCH(C173,Hours!$A:$A,0))+J173*INDEX(Hours!F:F,MATCH(C173,Hours!$A:$A,0)))</f>
        <v>0</v>
      </c>
      <c r="S173" s="19">
        <f t="shared" si="5"/>
        <v>0</v>
      </c>
    </row>
    <row r="174" spans="1:19" x14ac:dyDescent="0.25">
      <c r="A174" s="11" t="str">
        <f>'Bldgs &amp; Rooms'!$A$6</f>
        <v>Main Bldg.</v>
      </c>
      <c r="B174" s="11">
        <f>'Bldgs &amp; Rooms'!$B$6</f>
        <v>0</v>
      </c>
      <c r="C174" s="10" t="str">
        <f>Hours!$A$26</f>
        <v>Bus Duct - Vertical or Horizontal (Per 10' section)</v>
      </c>
      <c r="D174" s="11">
        <f t="shared" si="4"/>
        <v>0</v>
      </c>
      <c r="E174" s="16">
        <f>IF('Components Yr 1'!E174=0,0,'Components Yr 1'!E174)</f>
        <v>0</v>
      </c>
      <c r="F174" s="17">
        <f>IF('Components Yr 1'!F174=0,0,'Components Yr 1'!F174)</f>
        <v>0</v>
      </c>
      <c r="G174" s="17">
        <f>IF('Components Yr 1'!G174=0,0,'Components Yr 1'!G174)</f>
        <v>0</v>
      </c>
      <c r="H174" s="17">
        <f>IF('Components Yr 1'!H174=0,0,'Components Yr 1'!H174)</f>
        <v>0</v>
      </c>
      <c r="I174" s="17">
        <f>IF('Components Yr 1'!I174=0,0,'Components Yr 1'!I174)</f>
        <v>0</v>
      </c>
      <c r="J174" s="17">
        <f>IF('Components Yr 1'!J174=0,0,'Components Yr 1'!J174)</f>
        <v>0</v>
      </c>
      <c r="K174" s="12"/>
      <c r="L174" s="12"/>
      <c r="M174" s="12"/>
      <c r="N174" s="12"/>
      <c r="O174" s="12"/>
      <c r="P174" s="12"/>
      <c r="Q174" s="17"/>
      <c r="R174" s="18">
        <f>IF(SUMPRODUCT((E174:Q174)*1)=0,0,E174*INDEX(Hours!M:M,MATCH(C174,Hours!$A:$A,0))+F174*INDEX(Hours!B:B,MATCH(C174,Hours!$A:$A,0))+G174*INDEX(Hours!C:C,MATCH(C174,Hours!$A:$A,0))+H174*INDEX(Hours!D:D,MATCH(C174,Hours!$A:$A,0))+I174*INDEX(Hours!E:E,MATCH(C174,Hours!$A:$A,0))+J174*INDEX(Hours!F:F,MATCH(C174,Hours!$A:$A,0)))</f>
        <v>0</v>
      </c>
      <c r="S174" s="19">
        <f t="shared" si="5"/>
        <v>0</v>
      </c>
    </row>
    <row r="175" spans="1:19" x14ac:dyDescent="0.25">
      <c r="A175" s="11" t="str">
        <f>'Bldgs &amp; Rooms'!$A$6</f>
        <v>Main Bldg.</v>
      </c>
      <c r="B175" s="11">
        <f>'Bldgs &amp; Rooms'!$B$6</f>
        <v>0</v>
      </c>
      <c r="C175" s="10" t="str">
        <f>Hours!$A$27</f>
        <v>Automatic Transfer Switch (ATS) &gt; 100A</v>
      </c>
      <c r="D175" s="11">
        <f t="shared" si="4"/>
        <v>0</v>
      </c>
      <c r="E175" s="16">
        <f>IF('Components Yr 1'!E175=0,0,'Components Yr 1'!E175)</f>
        <v>0</v>
      </c>
      <c r="F175" s="17">
        <f>IF('Components Yr 1'!F175=0,0,'Components Yr 1'!F175)</f>
        <v>0</v>
      </c>
      <c r="G175" s="17">
        <f>IF('Components Yr 1'!G175=0,0,'Components Yr 1'!G175)</f>
        <v>0</v>
      </c>
      <c r="H175" s="17">
        <f>IF('Components Yr 1'!H175=0,0,'Components Yr 1'!H175)</f>
        <v>0</v>
      </c>
      <c r="I175" s="17">
        <f>IF('Components Yr 1'!I175=0,0,'Components Yr 1'!I175)</f>
        <v>0</v>
      </c>
      <c r="J175" s="17">
        <f>IF('Components Yr 1'!J175=0,0,'Components Yr 1'!J175)</f>
        <v>0</v>
      </c>
      <c r="K175" s="12"/>
      <c r="L175" s="12"/>
      <c r="M175" s="12"/>
      <c r="N175" s="12"/>
      <c r="O175" s="12"/>
      <c r="P175" s="12"/>
      <c r="Q175" s="17"/>
      <c r="R175" s="18">
        <f>IF(SUMPRODUCT((E175:Q175)*1)=0,0,E175*INDEX(Hours!M:M,MATCH(C175,Hours!$A:$A,0))+F175*INDEX(Hours!B:B,MATCH(C175,Hours!$A:$A,0))+G175*INDEX(Hours!C:C,MATCH(C175,Hours!$A:$A,0))+H175*INDEX(Hours!D:D,MATCH(C175,Hours!$A:$A,0))+I175*INDEX(Hours!E:E,MATCH(C175,Hours!$A:$A,0))+J175*INDEX(Hours!F:F,MATCH(C175,Hours!$A:$A,0)))</f>
        <v>0</v>
      </c>
      <c r="S175" s="19">
        <f t="shared" si="5"/>
        <v>0</v>
      </c>
    </row>
    <row r="176" spans="1:19" x14ac:dyDescent="0.25">
      <c r="A176" s="11" t="str">
        <f>'Bldgs &amp; Rooms'!$A$6</f>
        <v>Main Bldg.</v>
      </c>
      <c r="B176" s="11">
        <f>'Bldgs &amp; Rooms'!$B$6</f>
        <v>0</v>
      </c>
      <c r="C176" s="10" t="str">
        <f>Hours!$A$28</f>
        <v>Manual Transfer Switch (MTS) &gt; 100A</v>
      </c>
      <c r="D176" s="11">
        <f t="shared" si="4"/>
        <v>0</v>
      </c>
      <c r="E176" s="16">
        <f>IF('Components Yr 1'!E176=0,0,'Components Yr 1'!E176)</f>
        <v>0</v>
      </c>
      <c r="F176" s="17">
        <f>IF('Components Yr 1'!F176=0,0,'Components Yr 1'!F176)</f>
        <v>0</v>
      </c>
      <c r="G176" s="17">
        <f>IF('Components Yr 1'!G176=0,0,'Components Yr 1'!G176)</f>
        <v>0</v>
      </c>
      <c r="H176" s="17">
        <f>IF('Components Yr 1'!H176=0,0,'Components Yr 1'!H176)</f>
        <v>0</v>
      </c>
      <c r="I176" s="17">
        <f>IF('Components Yr 1'!I176=0,0,'Components Yr 1'!I176)</f>
        <v>0</v>
      </c>
      <c r="J176" s="17">
        <f>IF('Components Yr 1'!J176=0,0,'Components Yr 1'!J176)</f>
        <v>0</v>
      </c>
      <c r="K176" s="12"/>
      <c r="L176" s="12"/>
      <c r="M176" s="12"/>
      <c r="N176" s="12"/>
      <c r="O176" s="12"/>
      <c r="P176" s="12"/>
      <c r="Q176" s="17"/>
      <c r="R176" s="18">
        <f>IF(SUMPRODUCT((E176:Q176)*1)=0,0,E176*INDEX(Hours!M:M,MATCH(C176,Hours!$A:$A,0))+F176*INDEX(Hours!B:B,MATCH(C176,Hours!$A:$A,0))+G176*INDEX(Hours!C:C,MATCH(C176,Hours!$A:$A,0))+H176*INDEX(Hours!D:D,MATCH(C176,Hours!$A:$A,0))+I176*INDEX(Hours!E:E,MATCH(C176,Hours!$A:$A,0))+J176*INDEX(Hours!F:F,MATCH(C176,Hours!$A:$A,0)))</f>
        <v>0</v>
      </c>
      <c r="S176" s="19">
        <f t="shared" si="5"/>
        <v>0</v>
      </c>
    </row>
    <row r="177" spans="1:19" x14ac:dyDescent="0.25">
      <c r="A177" s="11" t="str">
        <f>'Bldgs &amp; Rooms'!$A$6</f>
        <v>Main Bldg.</v>
      </c>
      <c r="B177" s="11">
        <f>'Bldgs &amp; Rooms'!$B$6</f>
        <v>0</v>
      </c>
      <c r="C177" s="10" t="str">
        <f>Hours!$A$29</f>
        <v>Variable Frequency Drives (VFD) &lt; 50 HP</v>
      </c>
      <c r="D177" s="11">
        <f t="shared" si="4"/>
        <v>0</v>
      </c>
      <c r="E177" s="16">
        <f>IF('Components Yr 1'!E177=0,0,'Components Yr 1'!E177)</f>
        <v>0</v>
      </c>
      <c r="F177" s="17">
        <f>IF('Components Yr 1'!F177=0,0,'Components Yr 1'!F177)</f>
        <v>0</v>
      </c>
      <c r="G177" s="17">
        <f>IF('Components Yr 1'!G177=0,0,'Components Yr 1'!G177)</f>
        <v>0</v>
      </c>
      <c r="H177" s="17">
        <f>IF('Components Yr 1'!H177=0,0,'Components Yr 1'!H177)</f>
        <v>0</v>
      </c>
      <c r="I177" s="17">
        <f>IF('Components Yr 1'!I177=0,0,'Components Yr 1'!I177)</f>
        <v>0</v>
      </c>
      <c r="J177" s="17">
        <f>IF('Components Yr 1'!J177=0,0,'Components Yr 1'!J177)</f>
        <v>0</v>
      </c>
      <c r="K177" s="12"/>
      <c r="L177" s="12"/>
      <c r="M177" s="12"/>
      <c r="N177" s="12"/>
      <c r="O177" s="12"/>
      <c r="P177" s="12"/>
      <c r="Q177" s="17"/>
      <c r="R177" s="18">
        <f>IF(SUMPRODUCT((E177:Q177)*1)=0,0,E177*INDEX(Hours!M:M,MATCH(C177,Hours!$A:$A,0))+F177*INDEX(Hours!B:B,MATCH(C177,Hours!$A:$A,0))+G177*INDEX(Hours!C:C,MATCH(C177,Hours!$A:$A,0))+H177*INDEX(Hours!D:D,MATCH(C177,Hours!$A:$A,0))+I177*INDEX(Hours!E:E,MATCH(C177,Hours!$A:$A,0))+J177*INDEX(Hours!F:F,MATCH(C177,Hours!$A:$A,0)))</f>
        <v>0</v>
      </c>
      <c r="S177" s="19">
        <f t="shared" si="5"/>
        <v>0</v>
      </c>
    </row>
    <row r="178" spans="1:19" x14ac:dyDescent="0.25">
      <c r="A178" s="11" t="str">
        <f>'Bldgs &amp; Rooms'!$A$6</f>
        <v>Main Bldg.</v>
      </c>
      <c r="B178" s="11">
        <f>'Bldgs &amp; Rooms'!$B$6</f>
        <v>0</v>
      </c>
      <c r="C178" s="10" t="str">
        <f>Hours!$A$30</f>
        <v>Variable Frequency Drives (VFD) 51-200 HP</v>
      </c>
      <c r="D178" s="11">
        <f t="shared" si="4"/>
        <v>0</v>
      </c>
      <c r="E178" s="16">
        <f>IF('Components Yr 1'!E178=0,0,'Components Yr 1'!E178)</f>
        <v>0</v>
      </c>
      <c r="F178" s="17">
        <f>IF('Components Yr 1'!F178=0,0,'Components Yr 1'!F178)</f>
        <v>0</v>
      </c>
      <c r="G178" s="17">
        <f>IF('Components Yr 1'!G178=0,0,'Components Yr 1'!G178)</f>
        <v>0</v>
      </c>
      <c r="H178" s="17">
        <f>IF('Components Yr 1'!H178=0,0,'Components Yr 1'!H178)</f>
        <v>0</v>
      </c>
      <c r="I178" s="17">
        <f>IF('Components Yr 1'!I178=0,0,'Components Yr 1'!I178)</f>
        <v>0</v>
      </c>
      <c r="J178" s="17">
        <f>IF('Components Yr 1'!J178=0,0,'Components Yr 1'!J178)</f>
        <v>0</v>
      </c>
      <c r="K178" s="12"/>
      <c r="L178" s="12"/>
      <c r="M178" s="12"/>
      <c r="N178" s="12"/>
      <c r="O178" s="12"/>
      <c r="P178" s="12"/>
      <c r="Q178" s="17"/>
      <c r="R178" s="18">
        <f>IF(SUMPRODUCT((E178:Q178)*1)=0,0,E178*INDEX(Hours!M:M,MATCH(C178,Hours!$A:$A,0))+F178*INDEX(Hours!B:B,MATCH(C178,Hours!$A:$A,0))+G178*INDEX(Hours!C:C,MATCH(C178,Hours!$A:$A,0))+H178*INDEX(Hours!D:D,MATCH(C178,Hours!$A:$A,0))+I178*INDEX(Hours!E:E,MATCH(C178,Hours!$A:$A,0))+J178*INDEX(Hours!F:F,MATCH(C178,Hours!$A:$A,0)))</f>
        <v>0</v>
      </c>
      <c r="S178" s="19">
        <f t="shared" si="5"/>
        <v>0</v>
      </c>
    </row>
    <row r="179" spans="1:19" x14ac:dyDescent="0.25">
      <c r="A179" s="11" t="str">
        <f>'Bldgs &amp; Rooms'!$A$6</f>
        <v>Main Bldg.</v>
      </c>
      <c r="B179" s="11">
        <f>'Bldgs &amp; Rooms'!$B$6</f>
        <v>0</v>
      </c>
      <c r="C179" s="10" t="str">
        <f>Hours!$A$31</f>
        <v>Motors &lt; 50 HP</v>
      </c>
      <c r="D179" s="11">
        <f t="shared" si="4"/>
        <v>0</v>
      </c>
      <c r="E179" s="16">
        <f>IF('Components Yr 1'!E179=0,0,'Components Yr 1'!E179)</f>
        <v>0</v>
      </c>
      <c r="F179" s="17">
        <f>IF('Components Yr 1'!F179=0,0,'Components Yr 1'!F179)</f>
        <v>0</v>
      </c>
      <c r="G179" s="17">
        <f>IF('Components Yr 1'!G179=0,0,'Components Yr 1'!G179)</f>
        <v>0</v>
      </c>
      <c r="H179" s="17">
        <f>IF('Components Yr 1'!H179=0,0,'Components Yr 1'!H179)</f>
        <v>0</v>
      </c>
      <c r="I179" s="17">
        <f>IF('Components Yr 1'!I179=0,0,'Components Yr 1'!I179)</f>
        <v>0</v>
      </c>
      <c r="J179" s="17">
        <f>IF('Components Yr 1'!J179=0,0,'Components Yr 1'!J179)</f>
        <v>0</v>
      </c>
      <c r="K179" s="12"/>
      <c r="L179" s="12"/>
      <c r="M179" s="12"/>
      <c r="N179" s="12"/>
      <c r="O179" s="12"/>
      <c r="P179" s="12"/>
      <c r="Q179" s="17"/>
      <c r="R179" s="18">
        <f>IF(SUMPRODUCT((E179:Q179)*1)=0,0,E179*INDEX(Hours!M:M,MATCH(C179,Hours!$A:$A,0))+F179*INDEX(Hours!B:B,MATCH(C179,Hours!$A:$A,0))+G179*INDEX(Hours!C:C,MATCH(C179,Hours!$A:$A,0))+H179*INDEX(Hours!D:D,MATCH(C179,Hours!$A:$A,0))+I179*INDEX(Hours!E:E,MATCH(C179,Hours!$A:$A,0))+J179*INDEX(Hours!F:F,MATCH(C179,Hours!$A:$A,0)))</f>
        <v>0</v>
      </c>
      <c r="S179" s="19">
        <f t="shared" si="5"/>
        <v>0</v>
      </c>
    </row>
    <row r="180" spans="1:19" x14ac:dyDescent="0.25">
      <c r="A180" s="11" t="str">
        <f>'Bldgs &amp; Rooms'!$A$6</f>
        <v>Main Bldg.</v>
      </c>
      <c r="B180" s="11">
        <f>'Bldgs &amp; Rooms'!$B$6</f>
        <v>0</v>
      </c>
      <c r="C180" s="10" t="str">
        <f>Hours!$A$32</f>
        <v>Motors 51-200 HP</v>
      </c>
      <c r="D180" s="11">
        <f t="shared" si="4"/>
        <v>0</v>
      </c>
      <c r="E180" s="16">
        <f>IF('Components Yr 1'!E180=0,0,'Components Yr 1'!E180)</f>
        <v>0</v>
      </c>
      <c r="F180" s="17">
        <f>IF('Components Yr 1'!F180=0,0,'Components Yr 1'!F180)</f>
        <v>0</v>
      </c>
      <c r="G180" s="17">
        <f>IF('Components Yr 1'!G180=0,0,'Components Yr 1'!G180)</f>
        <v>0</v>
      </c>
      <c r="H180" s="17">
        <f>IF('Components Yr 1'!H180=0,0,'Components Yr 1'!H180)</f>
        <v>0</v>
      </c>
      <c r="I180" s="17">
        <f>IF('Components Yr 1'!I180=0,0,'Components Yr 1'!I180)</f>
        <v>0</v>
      </c>
      <c r="J180" s="17">
        <f>IF('Components Yr 1'!J180=0,0,'Components Yr 1'!J180)</f>
        <v>0</v>
      </c>
      <c r="K180" s="12"/>
      <c r="L180" s="12"/>
      <c r="M180" s="12"/>
      <c r="N180" s="12"/>
      <c r="O180" s="12"/>
      <c r="P180" s="12"/>
      <c r="Q180" s="17"/>
      <c r="R180" s="18">
        <f>IF(SUMPRODUCT((E180:Q180)*1)=0,0,E180*INDEX(Hours!M:M,MATCH(C180,Hours!$A:$A,0))+F180*INDEX(Hours!B:B,MATCH(C180,Hours!$A:$A,0))+G180*INDEX(Hours!C:C,MATCH(C180,Hours!$A:$A,0))+H180*INDEX(Hours!D:D,MATCH(C180,Hours!$A:$A,0))+I180*INDEX(Hours!E:E,MATCH(C180,Hours!$A:$A,0))+J180*INDEX(Hours!F:F,MATCH(C180,Hours!$A:$A,0)))</f>
        <v>0</v>
      </c>
      <c r="S180" s="19">
        <f t="shared" si="5"/>
        <v>0</v>
      </c>
    </row>
    <row r="181" spans="1:19" x14ac:dyDescent="0.25">
      <c r="A181" s="11" t="str">
        <f>'Bldgs &amp; Rooms'!$A$6</f>
        <v>Main Bldg.</v>
      </c>
      <c r="B181" s="11">
        <f>'Bldgs &amp; Rooms'!$B$6</f>
        <v>0</v>
      </c>
      <c r="C181" s="10" t="str">
        <f>Hours!$A$33</f>
        <v>Motors 201-500 HP</v>
      </c>
      <c r="D181" s="11">
        <f t="shared" si="4"/>
        <v>0</v>
      </c>
      <c r="E181" s="16">
        <f>IF('Components Yr 1'!E181=0,0,'Components Yr 1'!E181)</f>
        <v>0</v>
      </c>
      <c r="F181" s="17">
        <f>IF('Components Yr 1'!F181=0,0,'Components Yr 1'!F181)</f>
        <v>0</v>
      </c>
      <c r="G181" s="17">
        <f>IF('Components Yr 1'!G181=0,0,'Components Yr 1'!G181)</f>
        <v>0</v>
      </c>
      <c r="H181" s="17">
        <f>IF('Components Yr 1'!H181=0,0,'Components Yr 1'!H181)</f>
        <v>0</v>
      </c>
      <c r="I181" s="17">
        <f>IF('Components Yr 1'!I181=0,0,'Components Yr 1'!I181)</f>
        <v>0</v>
      </c>
      <c r="J181" s="17">
        <f>IF('Components Yr 1'!J181=0,0,'Components Yr 1'!J181)</f>
        <v>0</v>
      </c>
      <c r="K181" s="12"/>
      <c r="L181" s="12"/>
      <c r="M181" s="12"/>
      <c r="N181" s="12"/>
      <c r="O181" s="12"/>
      <c r="P181" s="12"/>
      <c r="Q181" s="17"/>
      <c r="R181" s="18">
        <f>IF(SUMPRODUCT((E181:Q181)*1)=0,0,E181*INDEX(Hours!M:M,MATCH(C181,Hours!$A:$A,0))+F181*INDEX(Hours!B:B,MATCH(C181,Hours!$A:$A,0))+G181*INDEX(Hours!C:C,MATCH(C181,Hours!$A:$A,0))+H181*INDEX(Hours!D:D,MATCH(C181,Hours!$A:$A,0))+I181*INDEX(Hours!E:E,MATCH(C181,Hours!$A:$A,0))+J181*INDEX(Hours!F:F,MATCH(C181,Hours!$A:$A,0)))</f>
        <v>0</v>
      </c>
      <c r="S181" s="19">
        <f t="shared" si="5"/>
        <v>0</v>
      </c>
    </row>
    <row r="182" spans="1:19" x14ac:dyDescent="0.25">
      <c r="A182" s="11" t="str">
        <f>'Bldgs &amp; Rooms'!$A$6</f>
        <v>Main Bldg.</v>
      </c>
      <c r="B182" s="11">
        <f>'Bldgs &amp; Rooms'!$B$6</f>
        <v>0</v>
      </c>
      <c r="C182" s="10" t="str">
        <f>Hours!$A$34</f>
        <v>Compressed Air Equipment</v>
      </c>
      <c r="D182" s="11">
        <f t="shared" si="4"/>
        <v>0</v>
      </c>
      <c r="E182" s="16">
        <f>IF('Components Yr 1'!E182=0,0,'Components Yr 1'!E182)</f>
        <v>0</v>
      </c>
      <c r="F182" s="17">
        <f>IF('Components Yr 1'!F182=0,0,'Components Yr 1'!F182)</f>
        <v>0</v>
      </c>
      <c r="G182" s="17">
        <f>IF('Components Yr 1'!G182=0,0,'Components Yr 1'!G182)</f>
        <v>0</v>
      </c>
      <c r="H182" s="17">
        <f>IF('Components Yr 1'!H182=0,0,'Components Yr 1'!H182)</f>
        <v>0</v>
      </c>
      <c r="I182" s="17">
        <f>IF('Components Yr 1'!I182=0,0,'Components Yr 1'!I182)</f>
        <v>0</v>
      </c>
      <c r="J182" s="17">
        <f>IF('Components Yr 1'!J182=0,0,'Components Yr 1'!J182)</f>
        <v>0</v>
      </c>
      <c r="K182" s="12"/>
      <c r="L182" s="12"/>
      <c r="M182" s="12"/>
      <c r="N182" s="12"/>
      <c r="O182" s="12"/>
      <c r="P182" s="12"/>
      <c r="Q182" s="17"/>
      <c r="R182" s="18">
        <f>IF(SUMPRODUCT((E182:Q182)*1)=0,0,E182*INDEX(Hours!M:M,MATCH(C182,Hours!$A:$A,0))+F182*INDEX(Hours!B:B,MATCH(C182,Hours!$A:$A,0))+G182*INDEX(Hours!C:C,MATCH(C182,Hours!$A:$A,0))+H182*INDEX(Hours!D:D,MATCH(C182,Hours!$A:$A,0))+I182*INDEX(Hours!E:E,MATCH(C182,Hours!$A:$A,0))+J182*INDEX(Hours!F:F,MATCH(C182,Hours!$A:$A,0)))</f>
        <v>0</v>
      </c>
      <c r="S182" s="19">
        <f t="shared" si="5"/>
        <v>0</v>
      </c>
    </row>
    <row r="183" spans="1:19" x14ac:dyDescent="0.25">
      <c r="A183" s="11" t="str">
        <f>'Bldgs &amp; Rooms'!$A$6</f>
        <v>Main Bldg.</v>
      </c>
      <c r="B183" s="11">
        <f>'Bldgs &amp; Rooms'!$B$6</f>
        <v>0</v>
      </c>
      <c r="C183" s="10" t="str">
        <f>Hours!$A$35</f>
        <v>HVAC Equipment (Large)</v>
      </c>
      <c r="D183" s="11">
        <f t="shared" si="4"/>
        <v>0</v>
      </c>
      <c r="E183" s="16">
        <f>IF('Components Yr 1'!E183=0,0,'Components Yr 1'!E183)</f>
        <v>0</v>
      </c>
      <c r="F183" s="17">
        <f>IF('Components Yr 1'!F183=0,0,'Components Yr 1'!F183)</f>
        <v>0</v>
      </c>
      <c r="G183" s="17">
        <f>IF('Components Yr 1'!G183=0,0,'Components Yr 1'!G183)</f>
        <v>0</v>
      </c>
      <c r="H183" s="17">
        <f>IF('Components Yr 1'!H183=0,0,'Components Yr 1'!H183)</f>
        <v>0</v>
      </c>
      <c r="I183" s="17">
        <f>IF('Components Yr 1'!I183=0,0,'Components Yr 1'!I183)</f>
        <v>0</v>
      </c>
      <c r="J183" s="17">
        <f>IF('Components Yr 1'!J183=0,0,'Components Yr 1'!J183)</f>
        <v>0</v>
      </c>
      <c r="K183" s="12"/>
      <c r="L183" s="12"/>
      <c r="M183" s="12"/>
      <c r="N183" s="12"/>
      <c r="O183" s="12"/>
      <c r="P183" s="12"/>
      <c r="Q183" s="17"/>
      <c r="R183" s="18">
        <f>IF(SUMPRODUCT((E183:Q183)*1)=0,0,E183*INDEX(Hours!M:M,MATCH(C183,Hours!$A:$A,0))+F183*INDEX(Hours!B:B,MATCH(C183,Hours!$A:$A,0))+G183*INDEX(Hours!C:C,MATCH(C183,Hours!$A:$A,0))+H183*INDEX(Hours!D:D,MATCH(C183,Hours!$A:$A,0))+I183*INDEX(Hours!E:E,MATCH(C183,Hours!$A:$A,0))+J183*INDEX(Hours!F:F,MATCH(C183,Hours!$A:$A,0)))</f>
        <v>0</v>
      </c>
      <c r="S183" s="19">
        <f t="shared" si="5"/>
        <v>0</v>
      </c>
    </row>
    <row r="184" spans="1:19" x14ac:dyDescent="0.25">
      <c r="A184" s="11" t="str">
        <f>'Bldgs &amp; Rooms'!$A$6</f>
        <v>Main Bldg.</v>
      </c>
      <c r="B184" s="11">
        <f>'Bldgs &amp; Rooms'!$B$6</f>
        <v>0</v>
      </c>
      <c r="C184" s="10" t="str">
        <f>Hours!$A$36</f>
        <v>HVAC Equipment (Small)</v>
      </c>
      <c r="D184" s="11">
        <f t="shared" si="4"/>
        <v>0</v>
      </c>
      <c r="E184" s="16">
        <f>IF('Components Yr 1'!E184=0,0,'Components Yr 1'!E184)</f>
        <v>0</v>
      </c>
      <c r="F184" s="17">
        <f>IF('Components Yr 1'!F184=0,0,'Components Yr 1'!F184)</f>
        <v>0</v>
      </c>
      <c r="G184" s="17">
        <f>IF('Components Yr 1'!G184=0,0,'Components Yr 1'!G184)</f>
        <v>0</v>
      </c>
      <c r="H184" s="17">
        <f>IF('Components Yr 1'!H184=0,0,'Components Yr 1'!H184)</f>
        <v>0</v>
      </c>
      <c r="I184" s="17">
        <f>IF('Components Yr 1'!I184=0,0,'Components Yr 1'!I184)</f>
        <v>0</v>
      </c>
      <c r="J184" s="17">
        <f>IF('Components Yr 1'!J184=0,0,'Components Yr 1'!J184)</f>
        <v>0</v>
      </c>
      <c r="K184" s="12"/>
      <c r="L184" s="12"/>
      <c r="M184" s="12"/>
      <c r="N184" s="12"/>
      <c r="O184" s="12"/>
      <c r="P184" s="12"/>
      <c r="Q184" s="17"/>
      <c r="R184" s="18">
        <f>IF(SUMPRODUCT((E184:Q184)*1)=0,0,E184*INDEX(Hours!M:M,MATCH(C184,Hours!$A:$A,0))+F184*INDEX(Hours!B:B,MATCH(C184,Hours!$A:$A,0))+G184*INDEX(Hours!C:C,MATCH(C184,Hours!$A:$A,0))+H184*INDEX(Hours!D:D,MATCH(C184,Hours!$A:$A,0))+I184*INDEX(Hours!E:E,MATCH(C184,Hours!$A:$A,0))+J184*INDEX(Hours!F:F,MATCH(C184,Hours!$A:$A,0)))</f>
        <v>0</v>
      </c>
      <c r="S184" s="19">
        <f t="shared" si="5"/>
        <v>0</v>
      </c>
    </row>
    <row r="185" spans="1:19" x14ac:dyDescent="0.25">
      <c r="A185" s="11" t="str">
        <f>'Bldgs &amp; Rooms'!$A$6</f>
        <v>Main Bldg.</v>
      </c>
      <c r="B185" s="11">
        <f>'Bldgs &amp; Rooms'!$B$6</f>
        <v>0</v>
      </c>
      <c r="C185" s="10" t="str">
        <f>Hours!$A$37</f>
        <v>Uninterruptible Power Supply (UPS) &lt; 50kVA</v>
      </c>
      <c r="D185" s="11">
        <f t="shared" si="4"/>
        <v>0</v>
      </c>
      <c r="E185" s="16">
        <f>IF('Components Yr 1'!E185=0,0,'Components Yr 1'!E185)</f>
        <v>0</v>
      </c>
      <c r="F185" s="17">
        <f>IF('Components Yr 1'!F185=0,0,'Components Yr 1'!F185)</f>
        <v>0</v>
      </c>
      <c r="G185" s="17">
        <f>IF('Components Yr 1'!G185=0,0,'Components Yr 1'!G185)</f>
        <v>0</v>
      </c>
      <c r="H185" s="17">
        <f>IF('Components Yr 1'!H185=0,0,'Components Yr 1'!H185)</f>
        <v>0</v>
      </c>
      <c r="I185" s="17">
        <f>IF('Components Yr 1'!I185=0,0,'Components Yr 1'!I185)</f>
        <v>0</v>
      </c>
      <c r="J185" s="17">
        <f>IF('Components Yr 1'!J185=0,0,'Components Yr 1'!J185)</f>
        <v>0</v>
      </c>
      <c r="K185" s="12"/>
      <c r="L185" s="12"/>
      <c r="M185" s="12"/>
      <c r="N185" s="12"/>
      <c r="O185" s="12"/>
      <c r="P185" s="12"/>
      <c r="Q185" s="17"/>
      <c r="R185" s="18">
        <f>IF(SUMPRODUCT((E185:Q185)*1)=0,0,E185*INDEX(Hours!M:M,MATCH(C185,Hours!$A:$A,0))+F185*INDEX(Hours!B:B,MATCH(C185,Hours!$A:$A,0))+G185*INDEX(Hours!C:C,MATCH(C185,Hours!$A:$A,0))+H185*INDEX(Hours!D:D,MATCH(C185,Hours!$A:$A,0))+I185*INDEX(Hours!E:E,MATCH(C185,Hours!$A:$A,0))+J185*INDEX(Hours!F:F,MATCH(C185,Hours!$A:$A,0)))</f>
        <v>0</v>
      </c>
      <c r="S185" s="19">
        <f t="shared" si="5"/>
        <v>0</v>
      </c>
    </row>
    <row r="186" spans="1:19" x14ac:dyDescent="0.25">
      <c r="A186" s="11" t="str">
        <f>'Bldgs &amp; Rooms'!$A$6</f>
        <v>Main Bldg.</v>
      </c>
      <c r="B186" s="11">
        <f>'Bldgs &amp; Rooms'!$B$6</f>
        <v>0</v>
      </c>
      <c r="C186" s="10" t="str">
        <f>Hours!$A$38</f>
        <v>Uninterruptible Power Supply (UPS) &gt; 50kVA</v>
      </c>
      <c r="D186" s="11">
        <f t="shared" si="4"/>
        <v>0</v>
      </c>
      <c r="E186" s="16">
        <f>IF('Components Yr 1'!E186=0,0,'Components Yr 1'!E186)</f>
        <v>0</v>
      </c>
      <c r="F186" s="17">
        <f>IF('Components Yr 1'!F186=0,0,'Components Yr 1'!F186)</f>
        <v>0</v>
      </c>
      <c r="G186" s="17">
        <f>IF('Components Yr 1'!G186=0,0,'Components Yr 1'!G186)</f>
        <v>0</v>
      </c>
      <c r="H186" s="17">
        <f>IF('Components Yr 1'!H186=0,0,'Components Yr 1'!H186)</f>
        <v>0</v>
      </c>
      <c r="I186" s="17">
        <f>IF('Components Yr 1'!I186=0,0,'Components Yr 1'!I186)</f>
        <v>0</v>
      </c>
      <c r="J186" s="17">
        <f>IF('Components Yr 1'!J186=0,0,'Components Yr 1'!J186)</f>
        <v>0</v>
      </c>
      <c r="K186" s="12"/>
      <c r="L186" s="12"/>
      <c r="M186" s="12"/>
      <c r="N186" s="12"/>
      <c r="O186" s="12"/>
      <c r="P186" s="12"/>
      <c r="Q186" s="17"/>
      <c r="R186" s="18">
        <f>IF(SUMPRODUCT((E186:Q186)*1)=0,0,E186*INDEX(Hours!M:M,MATCH(C186,Hours!$A:$A,0))+F186*INDEX(Hours!B:B,MATCH(C186,Hours!$A:$A,0))+G186*INDEX(Hours!C:C,MATCH(C186,Hours!$A:$A,0))+H186*INDEX(Hours!D:D,MATCH(C186,Hours!$A:$A,0))+I186*INDEX(Hours!E:E,MATCH(C186,Hours!$A:$A,0))+J186*INDEX(Hours!F:F,MATCH(C186,Hours!$A:$A,0)))</f>
        <v>0</v>
      </c>
      <c r="S186" s="19">
        <f t="shared" si="5"/>
        <v>0</v>
      </c>
    </row>
    <row r="187" spans="1:19" x14ac:dyDescent="0.25">
      <c r="A187" s="15" t="str">
        <f>'Bldgs &amp; Rooms'!$A$7</f>
        <v>Main Bldg.</v>
      </c>
      <c r="B187" s="15">
        <f>'Bldgs &amp; Rooms'!$B$7</f>
        <v>0</v>
      </c>
      <c r="C187" s="14" t="str">
        <f>Hours!$A$2</f>
        <v>Switchgear - Incoming Main Service (Per Section)</v>
      </c>
      <c r="D187" s="15">
        <f t="shared" si="4"/>
        <v>0</v>
      </c>
      <c r="E187" s="16">
        <f>IF('Components Yr 1'!E187=0,0,'Components Yr 1'!E187)</f>
        <v>0</v>
      </c>
      <c r="F187" s="17">
        <f>IF('Components Yr 1'!F187=0,0,'Components Yr 1'!F187)</f>
        <v>0</v>
      </c>
      <c r="G187" s="17">
        <f>IF('Components Yr 1'!G187=0,0,'Components Yr 1'!G187)</f>
        <v>0</v>
      </c>
      <c r="H187" s="17">
        <f>IF('Components Yr 1'!H187=0,0,'Components Yr 1'!H187)</f>
        <v>0</v>
      </c>
      <c r="I187" s="17">
        <f>IF('Components Yr 1'!I187=0,0,'Components Yr 1'!I187)</f>
        <v>0</v>
      </c>
      <c r="J187" s="17">
        <f>IF('Components Yr 1'!J187=0,0,'Components Yr 1'!J187)</f>
        <v>0</v>
      </c>
      <c r="K187" s="17">
        <f>IF('Components Yr 1'!K187=0,0,'Components Yr 1'!K187)</f>
        <v>0</v>
      </c>
      <c r="L187" s="17">
        <f>IF('Components Yr 1'!L187=0,0,'Components Yr 1'!L187)</f>
        <v>0</v>
      </c>
      <c r="M187" s="12"/>
      <c r="N187" s="12"/>
      <c r="O187" s="17">
        <f>IF('Components Yr 1'!O187=0,0,'Components Yr 1'!O187)</f>
        <v>0</v>
      </c>
      <c r="P187" s="12"/>
      <c r="Q187" s="17"/>
      <c r="R187" s="18">
        <f>IF(SUMPRODUCT((E187:Q187)*1)=0,0,E187*INDEX(Hours!M:M,MATCH(C187,Hours!$A:$A,0))+F187*INDEX(Hours!B:B,MATCH(C187,Hours!$A:$A,0))+G187*INDEX(Hours!C:C,MATCH(C187,Hours!$A:$A,0))+H187*INDEX(Hours!D:D,MATCH(C187,Hours!$A:$A,0))+I187*INDEX(Hours!E:E,MATCH(C187,Hours!$A:$A,0))+J187*INDEX(Hours!F:F,MATCH(C187,Hours!$A:$A,0))+K187*INDEX(Hours!G:G,MATCH(C187,Hours!$A:$A,0))+L187*INDEX(Hours!H:H,MATCH(C187,Hours!$A:$A,0))+O187*INDEX(Hours!K:K,MATCH(C187,Hours!$A:$A,0)))</f>
        <v>0</v>
      </c>
      <c r="S187" s="19">
        <f t="shared" si="5"/>
        <v>0</v>
      </c>
    </row>
    <row r="188" spans="1:19" x14ac:dyDescent="0.25">
      <c r="A188" s="15" t="str">
        <f>'Bldgs &amp; Rooms'!$A$7</f>
        <v>Main Bldg.</v>
      </c>
      <c r="B188" s="15">
        <f>'Bldgs &amp; Rooms'!$B$7</f>
        <v>0</v>
      </c>
      <c r="C188" s="14" t="str">
        <f>Hours!$A$3</f>
        <v xml:space="preserve">  Switchgear Insulated Case Breakers (Bus Mounted)</v>
      </c>
      <c r="D188" s="15">
        <f t="shared" si="4"/>
        <v>0</v>
      </c>
      <c r="E188" s="16">
        <f>IF('Components Yr 1'!E188=0,0,'Components Yr 1'!E188)</f>
        <v>0</v>
      </c>
      <c r="F188" s="17">
        <f>IF('Components Yr 1'!F188=0,0,'Components Yr 1'!F188)</f>
        <v>0</v>
      </c>
      <c r="G188" s="17">
        <f>IF('Components Yr 1'!G188=0,0,'Components Yr 1'!G188)</f>
        <v>0</v>
      </c>
      <c r="H188" s="17">
        <f>IF('Components Yr 1'!H188=0,0,'Components Yr 1'!H188)</f>
        <v>0</v>
      </c>
      <c r="I188" s="17">
        <f>IF('Components Yr 1'!I188=0,0,'Components Yr 1'!I188)</f>
        <v>0</v>
      </c>
      <c r="J188" s="17">
        <f>IF('Components Yr 1'!J188=0,0,'Components Yr 1'!J188)</f>
        <v>0</v>
      </c>
      <c r="K188" s="17">
        <f>IF('Components Yr 1'!K188=0,0,'Components Yr 1'!K188)</f>
        <v>0</v>
      </c>
      <c r="L188" s="12"/>
      <c r="M188" s="12"/>
      <c r="N188" s="12"/>
      <c r="O188" s="12"/>
      <c r="P188" s="12"/>
      <c r="Q188" s="17"/>
      <c r="R188" s="18">
        <f>IF(SUMPRODUCT((E188:Q188)*1)=0,0,E188*INDEX(Hours!M:M,MATCH(C188,Hours!$A:$A,0))+F188*INDEX(Hours!B:B,MATCH(C188,Hours!$A:$A,0))+G188*INDEX(Hours!C:C,MATCH(C188,Hours!$A:$A,0))+H188*INDEX(Hours!D:D,MATCH(C188,Hours!$A:$A,0))+I188*INDEX(Hours!E:E,MATCH(C188,Hours!$A:$A,0))+J188*INDEX(Hours!F:F,MATCH(C188,Hours!$A:$A,0))+K188*INDEX(Hours!G:G,MATCH(C188,Hours!$A:$A,0)))</f>
        <v>0</v>
      </c>
      <c r="S188" s="19">
        <f t="shared" si="5"/>
        <v>0</v>
      </c>
    </row>
    <row r="189" spans="1:19" x14ac:dyDescent="0.25">
      <c r="A189" s="15" t="str">
        <f>'Bldgs &amp; Rooms'!$A$7</f>
        <v>Main Bldg.</v>
      </c>
      <c r="B189" s="15">
        <f>'Bldgs &amp; Rooms'!$B$7</f>
        <v>0</v>
      </c>
      <c r="C189" s="14" t="str">
        <f>Hours!$A$4</f>
        <v xml:space="preserve">  SwitchGear Drawout Breakers</v>
      </c>
      <c r="D189" s="15">
        <f t="shared" si="4"/>
        <v>0</v>
      </c>
      <c r="E189" s="16">
        <f>IF('Components Yr 1'!E189=0,0,'Components Yr 1'!E189)</f>
        <v>0</v>
      </c>
      <c r="F189" s="17">
        <f>IF('Components Yr 1'!F189=0,0,'Components Yr 1'!F189)</f>
        <v>0</v>
      </c>
      <c r="G189" s="17">
        <f>IF('Components Yr 1'!G189=0,0,'Components Yr 1'!G189)</f>
        <v>0</v>
      </c>
      <c r="H189" s="17">
        <f>IF('Components Yr 1'!H189=0,0,'Components Yr 1'!H189)</f>
        <v>0</v>
      </c>
      <c r="I189" s="17">
        <f>IF('Components Yr 1'!I189=0,0,'Components Yr 1'!I189)</f>
        <v>0</v>
      </c>
      <c r="J189" s="17">
        <f>IF('Components Yr 1'!J189=0,0,'Components Yr 1'!J189)</f>
        <v>0</v>
      </c>
      <c r="K189" s="12"/>
      <c r="L189" s="17">
        <f>IF('Components Yr 1'!L189=0,0,'Components Yr 1'!L189)</f>
        <v>0</v>
      </c>
      <c r="M189" s="12"/>
      <c r="N189" s="12"/>
      <c r="O189" s="12"/>
      <c r="P189" s="12"/>
      <c r="Q189" s="17"/>
      <c r="R189" s="18">
        <f>IF(SUMPRODUCT((E189:Q189)*1)=0,0,E189*INDEX(Hours!M:M,MATCH(C189,Hours!$A:$A,0))+F189*INDEX(Hours!B:B,MATCH(C189,Hours!$A:$A,0))+G189*INDEX(Hours!C:C,MATCH(C189,Hours!$A:$A,0))+H189*INDEX(Hours!D:D,MATCH(C189,Hours!$A:$A,0))+I189*INDEX(Hours!E:E,MATCH(C189,Hours!$A:$A,0))+J189*INDEX(Hours!F:F,MATCH(C189,Hours!$A:$A,0))+L189*INDEX(Hours!H:H,MATCH(C189,Hours!$A:$A,0)))</f>
        <v>0</v>
      </c>
      <c r="S189" s="19">
        <f t="shared" si="5"/>
        <v>0</v>
      </c>
    </row>
    <row r="190" spans="1:19" x14ac:dyDescent="0.25">
      <c r="A190" s="15" t="str">
        <f>'Bldgs &amp; Rooms'!$A$7</f>
        <v>Main Bldg.</v>
      </c>
      <c r="B190" s="15">
        <f>'Bldgs &amp; Rooms'!$B$7</f>
        <v>0</v>
      </c>
      <c r="C190" s="14" t="str">
        <f>Hours!$A$5</f>
        <v>Distribution Switchboard Multi Cover (Per Section)</v>
      </c>
      <c r="D190" s="15">
        <f t="shared" si="4"/>
        <v>0</v>
      </c>
      <c r="E190" s="16">
        <f>IF('Components Yr 1'!E190=0,0,'Components Yr 1'!E190)</f>
        <v>0</v>
      </c>
      <c r="F190" s="17">
        <f>IF('Components Yr 1'!F190=0,0,'Components Yr 1'!F190)</f>
        <v>0</v>
      </c>
      <c r="G190" s="17">
        <f>IF('Components Yr 1'!G190=0,0,'Components Yr 1'!G190)</f>
        <v>0</v>
      </c>
      <c r="H190" s="17">
        <f>IF('Components Yr 1'!H190=0,0,'Components Yr 1'!H190)</f>
        <v>0</v>
      </c>
      <c r="I190" s="17">
        <f>IF('Components Yr 1'!I190=0,0,'Components Yr 1'!I190)</f>
        <v>0</v>
      </c>
      <c r="J190" s="17">
        <f>IF('Components Yr 1'!J190=0,0,'Components Yr 1'!J190)</f>
        <v>0</v>
      </c>
      <c r="K190" s="17">
        <f>IF('Components Yr 1'!K190=0,0,'Components Yr 1'!K190)</f>
        <v>0</v>
      </c>
      <c r="L190" s="12"/>
      <c r="M190" s="12"/>
      <c r="N190" s="12"/>
      <c r="O190" s="17">
        <f>IF('Components Yr 1'!O190=0,0,'Components Yr 1'!O190)</f>
        <v>0</v>
      </c>
      <c r="P190" s="12"/>
      <c r="Q190" s="17"/>
      <c r="R190" s="18">
        <f>IF(SUMPRODUCT((E190:Q190)*1)=0,0,E190*INDEX(Hours!M:M,MATCH(C190,Hours!$A:$A,0))+F190*INDEX(Hours!B:B,MATCH(C190,Hours!$A:$A,0))+G190*INDEX(Hours!C:C,MATCH(C190,Hours!$A:$A,0))+H190*INDEX(Hours!D:D,MATCH(C190,Hours!$A:$A,0))+I190*INDEX(Hours!E:E,MATCH(C190,Hours!$A:$A,0))+J190*INDEX(Hours!F:F,MATCH(C190,Hours!$A:$A,0))+K190*INDEX(Hours!G:G,MATCH(C190,Hours!$A:$A,0))+O190*INDEX(Hours!K:K,MATCH(C190,Hours!$A:$A,0)))</f>
        <v>0</v>
      </c>
      <c r="S190" s="19">
        <f t="shared" si="5"/>
        <v>0</v>
      </c>
    </row>
    <row r="191" spans="1:19" x14ac:dyDescent="0.25">
      <c r="A191" s="15" t="str">
        <f>'Bldgs &amp; Rooms'!$A$7</f>
        <v>Main Bldg.</v>
      </c>
      <c r="B191" s="15">
        <f>'Bldgs &amp; Rooms'!$B$7</f>
        <v>0</v>
      </c>
      <c r="C191" s="14" t="str">
        <f>Hours!$A$6</f>
        <v xml:space="preserve">  Switchboard Disconnects</v>
      </c>
      <c r="D191" s="15">
        <f t="shared" si="4"/>
        <v>0</v>
      </c>
      <c r="E191" s="16">
        <f>IF('Components Yr 1'!E191=0,0,'Components Yr 1'!E191)</f>
        <v>0</v>
      </c>
      <c r="F191" s="17">
        <f>IF('Components Yr 1'!F191=0,0,'Components Yr 1'!F191)</f>
        <v>0</v>
      </c>
      <c r="G191" s="17">
        <f>IF('Components Yr 1'!G191=0,0,'Components Yr 1'!G191)</f>
        <v>0</v>
      </c>
      <c r="H191" s="17">
        <f>IF('Components Yr 1'!H191=0,0,'Components Yr 1'!H191)</f>
        <v>0</v>
      </c>
      <c r="I191" s="17">
        <f>IF('Components Yr 1'!I191=0,0,'Components Yr 1'!I191)</f>
        <v>0</v>
      </c>
      <c r="J191" s="17">
        <f>IF('Components Yr 1'!J191=0,0,'Components Yr 1'!J191)</f>
        <v>0</v>
      </c>
      <c r="K191" s="12"/>
      <c r="L191" s="12"/>
      <c r="M191" s="12"/>
      <c r="N191" s="12"/>
      <c r="O191" s="12"/>
      <c r="P191" s="12"/>
      <c r="Q191" s="17"/>
      <c r="R191" s="18">
        <f>IF(SUMPRODUCT((E191:Q191)*1)=0,0,E191*INDEX(Hours!M:M,MATCH(C191,Hours!$A:$A,0))+F191*INDEX(Hours!B:B,MATCH(C191,Hours!$A:$A,0))+G191*INDEX(Hours!C:C,MATCH(C191,Hours!$A:$A,0))+H191*INDEX(Hours!D:D,MATCH(C191,Hours!$A:$A,0))+I191*INDEX(Hours!E:E,MATCH(C191,Hours!$A:$A,0))+J191*INDEX(Hours!F:F,MATCH(C191,Hours!$A:$A,0)))</f>
        <v>0</v>
      </c>
      <c r="S191" s="19">
        <f t="shared" si="5"/>
        <v>0</v>
      </c>
    </row>
    <row r="192" spans="1:19" x14ac:dyDescent="0.25">
      <c r="A192" s="15" t="str">
        <f>'Bldgs &amp; Rooms'!$A$7</f>
        <v>Main Bldg.</v>
      </c>
      <c r="B192" s="15">
        <f>'Bldgs &amp; Rooms'!$B$7</f>
        <v>0</v>
      </c>
      <c r="C192" s="14" t="str">
        <f>Hours!$A$7</f>
        <v xml:space="preserve">  Switchboard Molded Case Breakers</v>
      </c>
      <c r="D192" s="15">
        <f t="shared" si="4"/>
        <v>0</v>
      </c>
      <c r="E192" s="16">
        <f>IF('Components Yr 1'!E192=0,0,'Components Yr 1'!E192)</f>
        <v>0</v>
      </c>
      <c r="F192" s="17">
        <f>IF('Components Yr 1'!F192=0,0,'Components Yr 1'!F192)</f>
        <v>0</v>
      </c>
      <c r="G192" s="17">
        <f>IF('Components Yr 1'!G192=0,0,'Components Yr 1'!G192)</f>
        <v>0</v>
      </c>
      <c r="H192" s="17">
        <f>IF('Components Yr 1'!H192=0,0,'Components Yr 1'!H192)</f>
        <v>0</v>
      </c>
      <c r="I192" s="17">
        <f>IF('Components Yr 1'!I192=0,0,'Components Yr 1'!I192)</f>
        <v>0</v>
      </c>
      <c r="J192" s="17">
        <f>IF('Components Yr 1'!J192=0,0,'Components Yr 1'!J192)</f>
        <v>0</v>
      </c>
      <c r="K192" s="17">
        <f>IF('Components Yr 1'!K192=0,0,'Components Yr 1'!K192)</f>
        <v>0</v>
      </c>
      <c r="L192" s="12"/>
      <c r="M192" s="12"/>
      <c r="N192" s="12"/>
      <c r="O192" s="12"/>
      <c r="P192" s="12"/>
      <c r="Q192" s="17"/>
      <c r="R192" s="18">
        <f>IF(SUMPRODUCT((E192:Q192)*1)=0,0,E192*INDEX(Hours!M:M,MATCH(C192,Hours!$A:$A,0))+F192*INDEX(Hours!B:B,MATCH(C192,Hours!$A:$A,0))+G192*INDEX(Hours!C:C,MATCH(C192,Hours!$A:$A,0))+H192*INDEX(Hours!D:D,MATCH(C192,Hours!$A:$A,0))+I192*INDEX(Hours!E:E,MATCH(C192,Hours!$A:$A,0))+J192*INDEX(Hours!F:F,MATCH(C192,Hours!$A:$A,0))+K192*INDEX(Hours!G:G,MATCH(C192,Hours!$A:$A,0)))</f>
        <v>0</v>
      </c>
      <c r="S192" s="19">
        <f t="shared" si="5"/>
        <v>0</v>
      </c>
    </row>
    <row r="193" spans="1:19" x14ac:dyDescent="0.25">
      <c r="A193" s="15" t="str">
        <f>'Bldgs &amp; Rooms'!$A$7</f>
        <v>Main Bldg.</v>
      </c>
      <c r="B193" s="15">
        <f>'Bldgs &amp; Rooms'!$B$7</f>
        <v>0</v>
      </c>
      <c r="C193" s="14" t="str">
        <f>Hours!$A$8</f>
        <v>Panelboard-Single Cover &gt; 400A (Distribution Panel)</v>
      </c>
      <c r="D193" s="15">
        <f t="shared" si="4"/>
        <v>0</v>
      </c>
      <c r="E193" s="16">
        <f>IF('Components Yr 1'!E193=0,0,'Components Yr 1'!E193)</f>
        <v>0</v>
      </c>
      <c r="F193" s="17">
        <f>IF('Components Yr 1'!F193=0,0,'Components Yr 1'!F193)</f>
        <v>0</v>
      </c>
      <c r="G193" s="17">
        <f>IF('Components Yr 1'!G193=0,0,'Components Yr 1'!G193)</f>
        <v>0</v>
      </c>
      <c r="H193" s="17">
        <f>IF('Components Yr 1'!H193=0,0,'Components Yr 1'!H193)</f>
        <v>0</v>
      </c>
      <c r="I193" s="17">
        <f>IF('Components Yr 1'!I193=0,0,'Components Yr 1'!I193)</f>
        <v>0</v>
      </c>
      <c r="J193" s="17">
        <f>IF('Components Yr 1'!J193=0,0,'Components Yr 1'!J193)</f>
        <v>0</v>
      </c>
      <c r="K193" s="17">
        <f>IF('Components Yr 1'!K193=0,0,'Components Yr 1'!K193)</f>
        <v>0</v>
      </c>
      <c r="L193" s="12"/>
      <c r="M193" s="12"/>
      <c r="N193" s="12"/>
      <c r="O193" s="17">
        <f>IF('Components Yr 1'!O193=0,0,'Components Yr 1'!O193)</f>
        <v>0</v>
      </c>
      <c r="P193" s="12"/>
      <c r="Q193" s="17"/>
      <c r="R193" s="18">
        <f>IF(SUMPRODUCT((E193:Q193)*1)=0,0,E193*INDEX(Hours!M:M,MATCH(C193,Hours!$A:$A,0))+F193*INDEX(Hours!B:B,MATCH(C193,Hours!$A:$A,0))+G193*INDEX(Hours!C:C,MATCH(C193,Hours!$A:$A,0))+H193*INDEX(Hours!D:D,MATCH(C193,Hours!$A:$A,0))+I193*INDEX(Hours!E:E,MATCH(C193,Hours!$A:$A,0))+J193*INDEX(Hours!F:F,MATCH(C193,Hours!$A:$A,0))+K193*INDEX(Hours!G:G,MATCH(C193,Hours!$A:$A,0))+O193*INDEX(Hours!K:K,MATCH(C193,Hours!$A:$A,0)))</f>
        <v>0</v>
      </c>
      <c r="S193" s="19">
        <f t="shared" si="5"/>
        <v>0</v>
      </c>
    </row>
    <row r="194" spans="1:19" x14ac:dyDescent="0.25">
      <c r="A194" s="15" t="str">
        <f>'Bldgs &amp; Rooms'!$A$7</f>
        <v>Main Bldg.</v>
      </c>
      <c r="B194" s="15">
        <f>'Bldgs &amp; Rooms'!$B$7</f>
        <v>0</v>
      </c>
      <c r="C194" s="14" t="str">
        <f>Hours!$A$9</f>
        <v>Panelboard-Single Cover &lt; 400A (Branch Ckt Panel)</v>
      </c>
      <c r="D194" s="15">
        <f t="shared" ref="D194:D257" si="6">MAX(E194+F194,G194,H194,I194,J194,K194,L194,M194,N194,O194,P194,Q194)</f>
        <v>0</v>
      </c>
      <c r="E194" s="16">
        <f>IF('Components Yr 1'!E194=0,0,'Components Yr 1'!E194)</f>
        <v>0</v>
      </c>
      <c r="F194" s="17">
        <f>IF('Components Yr 1'!F194=0,0,'Components Yr 1'!F194)</f>
        <v>0</v>
      </c>
      <c r="G194" s="17">
        <f>IF('Components Yr 1'!G194=0,0,'Components Yr 1'!G194)</f>
        <v>0</v>
      </c>
      <c r="H194" s="17">
        <f>IF('Components Yr 1'!H194=0,0,'Components Yr 1'!H194)</f>
        <v>0</v>
      </c>
      <c r="I194" s="17">
        <f>IF('Components Yr 1'!I194=0,0,'Components Yr 1'!I194)</f>
        <v>0</v>
      </c>
      <c r="J194" s="17">
        <f>IF('Components Yr 1'!J194=0,0,'Components Yr 1'!J194)</f>
        <v>0</v>
      </c>
      <c r="K194" s="12"/>
      <c r="L194" s="12"/>
      <c r="M194" s="12"/>
      <c r="N194" s="12"/>
      <c r="O194" s="17">
        <f>IF('Components Yr 1'!O194=0,0,'Components Yr 1'!O194)</f>
        <v>0</v>
      </c>
      <c r="P194" s="12"/>
      <c r="Q194" s="17"/>
      <c r="R194" s="18">
        <f>IF(SUMPRODUCT((E194:Q194)*1)=0,0,E194*INDEX(Hours!M:M,MATCH(C194,Hours!$A:$A,0))+F194*INDEX(Hours!B:B,MATCH(C194,Hours!$A:$A,0))+G194*INDEX(Hours!C:C,MATCH(C194,Hours!$A:$A,0))+H194*INDEX(Hours!D:D,MATCH(C194,Hours!$A:$A,0))+I194*INDEX(Hours!E:E,MATCH(C194,Hours!$A:$A,0))+J194*INDEX(Hours!F:F,MATCH(C194,Hours!$A:$A,0))+O194*INDEX(Hours!K:K,MATCH(C194,Hours!$A:$A,0)))</f>
        <v>0</v>
      </c>
      <c r="S194" s="19">
        <f t="shared" ref="S194:S257" si="7">MAX(E194+F194,G194,H194,I194,J194,K194,L194,M194,N194,O194,P194,Q194)</f>
        <v>0</v>
      </c>
    </row>
    <row r="195" spans="1:19" x14ac:dyDescent="0.25">
      <c r="A195" s="15" t="str">
        <f>'Bldgs &amp; Rooms'!$A$7</f>
        <v>Main Bldg.</v>
      </c>
      <c r="B195" s="15">
        <f>'Bldgs &amp; Rooms'!$B$7</f>
        <v>0</v>
      </c>
      <c r="C195" s="14" t="str">
        <f>Hours!$A$10</f>
        <v>Motor Control Center (MCC-Per Vertical Section)</v>
      </c>
      <c r="D195" s="15">
        <f t="shared" si="6"/>
        <v>0</v>
      </c>
      <c r="E195" s="16">
        <f>IF('Components Yr 1'!E195=0,0,'Components Yr 1'!E195)</f>
        <v>0</v>
      </c>
      <c r="F195" s="17">
        <f>IF('Components Yr 1'!F195=0,0,'Components Yr 1'!F195)</f>
        <v>0</v>
      </c>
      <c r="G195" s="17">
        <f>IF('Components Yr 1'!G195=0,0,'Components Yr 1'!G195)</f>
        <v>0</v>
      </c>
      <c r="H195" s="17">
        <f>IF('Components Yr 1'!H195=0,0,'Components Yr 1'!H195)</f>
        <v>0</v>
      </c>
      <c r="I195" s="17">
        <f>IF('Components Yr 1'!I195=0,0,'Components Yr 1'!I195)</f>
        <v>0</v>
      </c>
      <c r="J195" s="17">
        <f>IF('Components Yr 1'!J195=0,0,'Components Yr 1'!J195)</f>
        <v>0</v>
      </c>
      <c r="K195" s="12"/>
      <c r="L195" s="12"/>
      <c r="M195" s="12"/>
      <c r="N195" s="12"/>
      <c r="O195" s="17">
        <f>IF('Components Yr 1'!O195=0,0,'Components Yr 1'!O195)</f>
        <v>0</v>
      </c>
      <c r="P195" s="12"/>
      <c r="Q195" s="17"/>
      <c r="R195" s="18">
        <f>IF(SUMPRODUCT((E195:Q195)*1)=0,0,E195*INDEX(Hours!M:M,MATCH(C195,Hours!$A:$A,0))+F195*INDEX(Hours!B:B,MATCH(C195,Hours!$A:$A,0))+G195*INDEX(Hours!C:C,MATCH(C195,Hours!$A:$A,0))+H195*INDEX(Hours!D:D,MATCH(C195,Hours!$A:$A,0))+I195*INDEX(Hours!E:E,MATCH(C195,Hours!$A:$A,0))+J195*INDEX(Hours!F:F,MATCH(C195,Hours!$A:$A,0))+O195*INDEX(Hours!K:K,MATCH(C195,Hours!$A:$A,0)))</f>
        <v>0</v>
      </c>
      <c r="S195" s="19">
        <f t="shared" si="7"/>
        <v>0</v>
      </c>
    </row>
    <row r="196" spans="1:19" x14ac:dyDescent="0.25">
      <c r="A196" s="15" t="str">
        <f>'Bldgs &amp; Rooms'!$A$7</f>
        <v>Main Bldg.</v>
      </c>
      <c r="B196" s="15">
        <f>'Bldgs &amp; Rooms'!$B$7</f>
        <v>0</v>
      </c>
      <c r="C196" s="14" t="str">
        <f>Hours!$A$11</f>
        <v xml:space="preserve">  MCC: Combination Motor Starters</v>
      </c>
      <c r="D196" s="15">
        <f t="shared" si="6"/>
        <v>0</v>
      </c>
      <c r="E196" s="16">
        <f>IF('Components Yr 1'!E196=0,0,'Components Yr 1'!E196)</f>
        <v>0</v>
      </c>
      <c r="F196" s="17">
        <f>IF('Components Yr 1'!F196=0,0,'Components Yr 1'!F196)</f>
        <v>0</v>
      </c>
      <c r="G196" s="17">
        <f>IF('Components Yr 1'!G196=0,0,'Components Yr 1'!G196)</f>
        <v>0</v>
      </c>
      <c r="H196" s="17">
        <f>IF('Components Yr 1'!H196=0,0,'Components Yr 1'!H196)</f>
        <v>0</v>
      </c>
      <c r="I196" s="17">
        <f>IF('Components Yr 1'!I196=0,0,'Components Yr 1'!I196)</f>
        <v>0</v>
      </c>
      <c r="J196" s="17">
        <f>IF('Components Yr 1'!J196=0,0,'Components Yr 1'!J196)</f>
        <v>0</v>
      </c>
      <c r="K196" s="17">
        <f>IF('Components Yr 1'!K196=0,0,'Components Yr 1'!K196)</f>
        <v>0</v>
      </c>
      <c r="L196" s="12"/>
      <c r="M196" s="12"/>
      <c r="N196" s="12"/>
      <c r="O196" s="17">
        <f>IF('Components Yr 1'!O196=0,0,'Components Yr 1'!O196)</f>
        <v>0</v>
      </c>
      <c r="P196" s="12"/>
      <c r="Q196" s="17"/>
      <c r="R196" s="18">
        <f>IF(SUMPRODUCT((E196:Q196)*1)=0,0,E196*INDEX(Hours!M:M,MATCH(C196,Hours!$A:$A,0))+F196*INDEX(Hours!B:B,MATCH(C196,Hours!$A:$A,0))+G196*INDEX(Hours!C:C,MATCH(C196,Hours!$A:$A,0))+H196*INDEX(Hours!D:D,MATCH(C196,Hours!$A:$A,0))+I196*INDEX(Hours!E:E,MATCH(C196,Hours!$A:$A,0))+J196*INDEX(Hours!F:F,MATCH(C196,Hours!$A:$A,0))+K196*INDEX(Hours!G:G,MATCH(C196,Hours!$A:$A,0))+O196*INDEX(Hours!K:K,MATCH(C196,Hours!$A:$A,0)))</f>
        <v>0</v>
      </c>
      <c r="S196" s="19">
        <f t="shared" si="7"/>
        <v>0</v>
      </c>
    </row>
    <row r="197" spans="1:19" x14ac:dyDescent="0.25">
      <c r="A197" s="15" t="str">
        <f>'Bldgs &amp; Rooms'!$A$7</f>
        <v>Main Bldg.</v>
      </c>
      <c r="B197" s="15">
        <f>'Bldgs &amp; Rooms'!$B$7</f>
        <v>0</v>
      </c>
      <c r="C197" s="14" t="str">
        <f>Hours!$A$12</f>
        <v xml:space="preserve">  MCC: Molded Case Breaker</v>
      </c>
      <c r="D197" s="15">
        <f t="shared" si="6"/>
        <v>0</v>
      </c>
      <c r="E197" s="16">
        <f>IF('Components Yr 1'!E197=0,0,'Components Yr 1'!E197)</f>
        <v>0</v>
      </c>
      <c r="F197" s="17">
        <f>IF('Components Yr 1'!F197=0,0,'Components Yr 1'!F197)</f>
        <v>0</v>
      </c>
      <c r="G197" s="17">
        <f>IF('Components Yr 1'!G197=0,0,'Components Yr 1'!G197)</f>
        <v>0</v>
      </c>
      <c r="H197" s="17">
        <f>IF('Components Yr 1'!H197=0,0,'Components Yr 1'!H197)</f>
        <v>0</v>
      </c>
      <c r="I197" s="17">
        <f>IF('Components Yr 1'!I197=0,0,'Components Yr 1'!I197)</f>
        <v>0</v>
      </c>
      <c r="J197" s="17">
        <f>IF('Components Yr 1'!J197=0,0,'Components Yr 1'!J197)</f>
        <v>0</v>
      </c>
      <c r="K197" s="17">
        <f>IF('Components Yr 1'!K197=0,0,'Components Yr 1'!K197)</f>
        <v>0</v>
      </c>
      <c r="L197" s="12"/>
      <c r="M197" s="12"/>
      <c r="N197" s="12"/>
      <c r="O197" s="12"/>
      <c r="P197" s="12"/>
      <c r="Q197" s="17"/>
      <c r="R197" s="18">
        <f>IF(SUMPRODUCT((E197:Q197)*1)=0,0,E197*INDEX(Hours!M:M,MATCH(C197,Hours!$A:$A,0))+F197*INDEX(Hours!B:B,MATCH(C197,Hours!$A:$A,0))+G197*INDEX(Hours!C:C,MATCH(C197,Hours!$A:$A,0))+H197*INDEX(Hours!D:D,MATCH(C197,Hours!$A:$A,0))+I197*INDEX(Hours!E:E,MATCH(C197,Hours!$A:$A,0))+J197*INDEX(Hours!F:F,MATCH(C197,Hours!$A:$A,0))+K197*INDEX(Hours!G:G,MATCH(C197,Hours!$A:$A,0)))</f>
        <v>0</v>
      </c>
      <c r="S197" s="19">
        <f t="shared" si="7"/>
        <v>0</v>
      </c>
    </row>
    <row r="198" spans="1:19" x14ac:dyDescent="0.25">
      <c r="A198" s="15" t="str">
        <f>'Bldgs &amp; Rooms'!$A$7</f>
        <v>Main Bldg.</v>
      </c>
      <c r="B198" s="15">
        <f>'Bldgs &amp; Rooms'!$B$7</f>
        <v>0</v>
      </c>
      <c r="C198" s="14" t="str">
        <f>Hours!$A$13</f>
        <v xml:space="preserve">  MCC: Individual Disconnect Switch</v>
      </c>
      <c r="D198" s="15">
        <f t="shared" si="6"/>
        <v>0</v>
      </c>
      <c r="E198" s="16">
        <f>IF('Components Yr 1'!E198=0,0,'Components Yr 1'!E198)</f>
        <v>0</v>
      </c>
      <c r="F198" s="17">
        <f>IF('Components Yr 1'!F198=0,0,'Components Yr 1'!F198)</f>
        <v>0</v>
      </c>
      <c r="G198" s="17">
        <f>IF('Components Yr 1'!G198=0,0,'Components Yr 1'!G198)</f>
        <v>0</v>
      </c>
      <c r="H198" s="17">
        <f>IF('Components Yr 1'!H198=0,0,'Components Yr 1'!H198)</f>
        <v>0</v>
      </c>
      <c r="I198" s="17">
        <f>IF('Components Yr 1'!I198=0,0,'Components Yr 1'!I198)</f>
        <v>0</v>
      </c>
      <c r="J198" s="17">
        <f>IF('Components Yr 1'!J198=0,0,'Components Yr 1'!J198)</f>
        <v>0</v>
      </c>
      <c r="K198" s="12"/>
      <c r="L198" s="12"/>
      <c r="M198" s="12"/>
      <c r="N198" s="12"/>
      <c r="O198" s="12"/>
      <c r="P198" s="12"/>
      <c r="Q198" s="17"/>
      <c r="R198" s="18">
        <f>IF(SUMPRODUCT((E198:Q198)*1)=0,0,E198*INDEX(Hours!M:M,MATCH(C198,Hours!$A:$A,0))+F198*INDEX(Hours!B:B,MATCH(C198,Hours!$A:$A,0))+G198*INDEX(Hours!C:C,MATCH(C198,Hours!$A:$A,0))+H198*INDEX(Hours!D:D,MATCH(C198,Hours!$A:$A,0))+I198*INDEX(Hours!E:E,MATCH(C198,Hours!$A:$A,0))+J198*INDEX(Hours!F:F,MATCH(C198,Hours!$A:$A,0)))</f>
        <v>0</v>
      </c>
      <c r="S198" s="19">
        <f t="shared" si="7"/>
        <v>0</v>
      </c>
    </row>
    <row r="199" spans="1:19" x14ac:dyDescent="0.25">
      <c r="A199" s="15" t="str">
        <f>'Bldgs &amp; Rooms'!$A$7</f>
        <v>Main Bldg.</v>
      </c>
      <c r="B199" s="15">
        <f>'Bldgs &amp; Rooms'!$B$7</f>
        <v>0</v>
      </c>
      <c r="C199" s="14" t="str">
        <f>Hours!$A$14</f>
        <v>Motor Control Panel (MCP)</v>
      </c>
      <c r="D199" s="15">
        <f t="shared" si="6"/>
        <v>0</v>
      </c>
      <c r="E199" s="16">
        <f>IF('Components Yr 1'!E199=0,0,'Components Yr 1'!E199)</f>
        <v>0</v>
      </c>
      <c r="F199" s="17">
        <f>IF('Components Yr 1'!F199=0,0,'Components Yr 1'!F199)</f>
        <v>0</v>
      </c>
      <c r="G199" s="17">
        <f>IF('Components Yr 1'!G199=0,0,'Components Yr 1'!G199)</f>
        <v>0</v>
      </c>
      <c r="H199" s="17">
        <f>IF('Components Yr 1'!H199=0,0,'Components Yr 1'!H199)</f>
        <v>0</v>
      </c>
      <c r="I199" s="17">
        <f>IF('Components Yr 1'!I199=0,0,'Components Yr 1'!I199)</f>
        <v>0</v>
      </c>
      <c r="J199" s="17">
        <f>IF('Components Yr 1'!J199=0,0,'Components Yr 1'!J199)</f>
        <v>0</v>
      </c>
      <c r="K199" s="12"/>
      <c r="L199" s="12"/>
      <c r="M199" s="12"/>
      <c r="N199" s="12"/>
      <c r="O199" s="17">
        <f>IF('Components Yr 1'!O199=0,0,'Components Yr 1'!O199)</f>
        <v>0</v>
      </c>
      <c r="P199" s="12"/>
      <c r="Q199" s="17"/>
      <c r="R199" s="18">
        <f>IF(SUMPRODUCT((E199:Q199)*1)=0,0,E199*INDEX(Hours!M:M,MATCH(C199,Hours!$A:$A,0))+F199*INDEX(Hours!B:B,MATCH(C199,Hours!$A:$A,0))+G199*INDEX(Hours!C:C,MATCH(C199,Hours!$A:$A,0))+H199*INDEX(Hours!D:D,MATCH(C199,Hours!$A:$A,0))+I199*INDEX(Hours!E:E,MATCH(C199,Hours!$A:$A,0))+J199*INDEX(Hours!F:F,MATCH(C199,Hours!$A:$A,0))+O199*INDEX(Hours!K:K,MATCH(C199,Hours!$A:$A,0)))</f>
        <v>0</v>
      </c>
      <c r="S199" s="19">
        <f t="shared" si="7"/>
        <v>0</v>
      </c>
    </row>
    <row r="200" spans="1:19" x14ac:dyDescent="0.25">
      <c r="A200" s="15" t="str">
        <f>'Bldgs &amp; Rooms'!$A$7</f>
        <v>Main Bldg.</v>
      </c>
      <c r="B200" s="15">
        <f>'Bldgs &amp; Rooms'!$B$7</f>
        <v>0</v>
      </c>
      <c r="C200" s="14" t="str">
        <f>Hours!$A$15</f>
        <v>VFD Motor Control Panel (VFD-MCP)</v>
      </c>
      <c r="D200" s="15">
        <f t="shared" si="6"/>
        <v>0</v>
      </c>
      <c r="E200" s="16">
        <f>IF('Components Yr 1'!E200=0,0,'Components Yr 1'!E200)</f>
        <v>0</v>
      </c>
      <c r="F200" s="17">
        <f>IF('Components Yr 1'!F200=0,0,'Components Yr 1'!F200)</f>
        <v>0</v>
      </c>
      <c r="G200" s="17">
        <f>IF('Components Yr 1'!G200=0,0,'Components Yr 1'!G200)</f>
        <v>0</v>
      </c>
      <c r="H200" s="17">
        <f>IF('Components Yr 1'!H200=0,0,'Components Yr 1'!H200)</f>
        <v>0</v>
      </c>
      <c r="I200" s="17">
        <f>IF('Components Yr 1'!I200=0,0,'Components Yr 1'!I200)</f>
        <v>0</v>
      </c>
      <c r="J200" s="17">
        <f>IF('Components Yr 1'!J200=0,0,'Components Yr 1'!J200)</f>
        <v>0</v>
      </c>
      <c r="K200" s="12"/>
      <c r="L200" s="12"/>
      <c r="M200" s="12"/>
      <c r="N200" s="12"/>
      <c r="O200" s="17">
        <f>IF('Components Yr 1'!O200=0,0,'Components Yr 1'!O200)</f>
        <v>0</v>
      </c>
      <c r="P200" s="12"/>
      <c r="Q200" s="17"/>
      <c r="R200" s="18">
        <f>IF(SUMPRODUCT((E200:Q200)*1)=0,0,E200*INDEX(Hours!M:M,MATCH(C200,Hours!$A:$A,0))+F200*INDEX(Hours!B:B,MATCH(C200,Hours!$A:$A,0))+G200*INDEX(Hours!C:C,MATCH(C200,Hours!$A:$A,0))+H200*INDEX(Hours!D:D,MATCH(C200,Hours!$A:$A,0))+I200*INDEX(Hours!E:E,MATCH(C200,Hours!$A:$A,0))+J200*INDEX(Hours!F:F,MATCH(C200,Hours!$A:$A,0))+O200*INDEX(Hours!K:K,MATCH(C200,Hours!$A:$A,0)))</f>
        <v>0</v>
      </c>
      <c r="S200" s="19">
        <f t="shared" si="7"/>
        <v>0</v>
      </c>
    </row>
    <row r="201" spans="1:19" x14ac:dyDescent="0.25">
      <c r="A201" s="15" t="str">
        <f>'Bldgs &amp; Rooms'!$A$7</f>
        <v>Main Bldg.</v>
      </c>
      <c r="B201" s="15">
        <f>'Bldgs &amp; Rooms'!$B$7</f>
        <v>0</v>
      </c>
      <c r="C201" s="14" t="str">
        <f>Hours!$A$16</f>
        <v>Individual Disconnect Switch &gt; 100A</v>
      </c>
      <c r="D201" s="15">
        <f t="shared" si="6"/>
        <v>0</v>
      </c>
      <c r="E201" s="16">
        <f>IF('Components Yr 1'!E201=0,0,'Components Yr 1'!E201)</f>
        <v>0</v>
      </c>
      <c r="F201" s="17">
        <f>IF('Components Yr 1'!F201=0,0,'Components Yr 1'!F201)</f>
        <v>0</v>
      </c>
      <c r="G201" s="17">
        <f>IF('Components Yr 1'!G201=0,0,'Components Yr 1'!G201)</f>
        <v>0</v>
      </c>
      <c r="H201" s="17">
        <f>IF('Components Yr 1'!H201=0,0,'Components Yr 1'!H201)</f>
        <v>0</v>
      </c>
      <c r="I201" s="17">
        <f>IF('Components Yr 1'!I201=0,0,'Components Yr 1'!I201)</f>
        <v>0</v>
      </c>
      <c r="J201" s="17">
        <f>IF('Components Yr 1'!J201=0,0,'Components Yr 1'!J201)</f>
        <v>0</v>
      </c>
      <c r="K201" s="17">
        <f>IF('Components Yr 1'!K201=0,0,'Components Yr 1'!K201)</f>
        <v>0</v>
      </c>
      <c r="L201" s="12"/>
      <c r="M201" s="12"/>
      <c r="N201" s="12"/>
      <c r="O201" s="12"/>
      <c r="P201" s="12"/>
      <c r="Q201" s="17"/>
      <c r="R201" s="18">
        <f>IF(SUMPRODUCT((E201:Q201)*1)=0,0,E201*INDEX(Hours!M:M,MATCH(C201,Hours!$A:$A,0))+F201*INDEX(Hours!B:B,MATCH(C201,Hours!$A:$A,0))+G201*INDEX(Hours!C:C,MATCH(C201,Hours!$A:$A,0))+H201*INDEX(Hours!D:D,MATCH(C201,Hours!$A:$A,0))+I201*INDEX(Hours!E:E,MATCH(C201,Hours!$A:$A,0))+J201*INDEX(Hours!F:F,MATCH(C201,Hours!$A:$A,0))+K201*INDEX(Hours!G:G,MATCH(C201,Hours!$A:$A,0)))</f>
        <v>0</v>
      </c>
      <c r="S201" s="19">
        <f t="shared" si="7"/>
        <v>0</v>
      </c>
    </row>
    <row r="202" spans="1:19" x14ac:dyDescent="0.25">
      <c r="A202" s="15" t="str">
        <f>'Bldgs &amp; Rooms'!$A$7</f>
        <v>Main Bldg.</v>
      </c>
      <c r="B202" s="15">
        <f>'Bldgs &amp; Rooms'!$B$7</f>
        <v>0</v>
      </c>
      <c r="C202" s="14" t="str">
        <f>Hours!$A$17</f>
        <v>Individual Molded Case Breaker &gt; 100A</v>
      </c>
      <c r="D202" s="15">
        <f t="shared" si="6"/>
        <v>0</v>
      </c>
      <c r="E202" s="16">
        <f>IF('Components Yr 1'!E202=0,0,'Components Yr 1'!E202)</f>
        <v>0</v>
      </c>
      <c r="F202" s="17">
        <f>IF('Components Yr 1'!F202=0,0,'Components Yr 1'!F202)</f>
        <v>0</v>
      </c>
      <c r="G202" s="17">
        <f>IF('Components Yr 1'!G202=0,0,'Components Yr 1'!G202)</f>
        <v>0</v>
      </c>
      <c r="H202" s="17">
        <f>IF('Components Yr 1'!H202=0,0,'Components Yr 1'!H202)</f>
        <v>0</v>
      </c>
      <c r="I202" s="17">
        <f>IF('Components Yr 1'!I202=0,0,'Components Yr 1'!I202)</f>
        <v>0</v>
      </c>
      <c r="J202" s="17">
        <f>IF('Components Yr 1'!J202=0,0,'Components Yr 1'!J202)</f>
        <v>0</v>
      </c>
      <c r="K202" s="17">
        <f>IF('Components Yr 1'!K202=0,0,'Components Yr 1'!K202)</f>
        <v>0</v>
      </c>
      <c r="L202" s="12"/>
      <c r="M202" s="12"/>
      <c r="N202" s="12"/>
      <c r="O202" s="12"/>
      <c r="P202" s="12"/>
      <c r="Q202" s="17"/>
      <c r="R202" s="18">
        <f>IF(SUMPRODUCT((E202:Q202)*1)=0,0,E202*INDEX(Hours!M:M,MATCH(C202,Hours!$A:$A,0))+F202*INDEX(Hours!B:B,MATCH(C202,Hours!$A:$A,0))+G202*INDEX(Hours!C:C,MATCH(C202,Hours!$A:$A,0))+H202*INDEX(Hours!D:D,MATCH(C202,Hours!$A:$A,0))+I202*INDEX(Hours!E:E,MATCH(C202,Hours!$A:$A,0))+J202*INDEX(Hours!F:F,MATCH(C202,Hours!$A:$A,0))+K202*INDEX(Hours!G:G,MATCH(C202,Hours!$A:$A,0)))</f>
        <v>0</v>
      </c>
      <c r="S202" s="19">
        <f t="shared" si="7"/>
        <v>0</v>
      </c>
    </row>
    <row r="203" spans="1:19" x14ac:dyDescent="0.25">
      <c r="A203" s="15" t="str">
        <f>'Bldgs &amp; Rooms'!$A$7</f>
        <v>Main Bldg.</v>
      </c>
      <c r="B203" s="15">
        <f>'Bldgs &amp; Rooms'!$B$7</f>
        <v>0</v>
      </c>
      <c r="C203" s="14" t="str">
        <f>Hours!$A$18</f>
        <v>Individual Combination Motor Starter &gt; 100A</v>
      </c>
      <c r="D203" s="15">
        <f t="shared" si="6"/>
        <v>0</v>
      </c>
      <c r="E203" s="16">
        <f>IF('Components Yr 1'!E203=0,0,'Components Yr 1'!E203)</f>
        <v>0</v>
      </c>
      <c r="F203" s="17">
        <f>IF('Components Yr 1'!F203=0,0,'Components Yr 1'!F203)</f>
        <v>0</v>
      </c>
      <c r="G203" s="17">
        <f>IF('Components Yr 1'!G203=0,0,'Components Yr 1'!G203)</f>
        <v>0</v>
      </c>
      <c r="H203" s="17">
        <f>IF('Components Yr 1'!H203=0,0,'Components Yr 1'!H203)</f>
        <v>0</v>
      </c>
      <c r="I203" s="17">
        <f>IF('Components Yr 1'!I203=0,0,'Components Yr 1'!I203)</f>
        <v>0</v>
      </c>
      <c r="J203" s="17">
        <f>IF('Components Yr 1'!J203=0,0,'Components Yr 1'!J203)</f>
        <v>0</v>
      </c>
      <c r="K203" s="17">
        <f>IF('Components Yr 1'!K203=0,0,'Components Yr 1'!K203)</f>
        <v>0</v>
      </c>
      <c r="L203" s="12"/>
      <c r="M203" s="12"/>
      <c r="N203" s="12"/>
      <c r="O203" s="12"/>
      <c r="P203" s="12"/>
      <c r="Q203" s="17"/>
      <c r="R203" s="18">
        <f>IF(SUMPRODUCT((E203:Q203)*1)=0,0,E203*INDEX(Hours!M:M,MATCH(C203,Hours!$A:$A,0))+F203*INDEX(Hours!B:B,MATCH(C203,Hours!$A:$A,0))+G203*INDEX(Hours!C:C,MATCH(C203,Hours!$A:$A,0))+H203*INDEX(Hours!D:D,MATCH(C203,Hours!$A:$A,0))+I203*INDEX(Hours!E:E,MATCH(C203,Hours!$A:$A,0))+J203*INDEX(Hours!F:F,MATCH(C203,Hours!$A:$A,0))+K203*INDEX(Hours!G:G,MATCH(C203,Hours!$A:$A,0)))</f>
        <v>0</v>
      </c>
      <c r="S203" s="19">
        <f t="shared" si="7"/>
        <v>0</v>
      </c>
    </row>
    <row r="204" spans="1:19" x14ac:dyDescent="0.25">
      <c r="A204" s="15" t="str">
        <f>'Bldgs &amp; Rooms'!$A$7</f>
        <v>Main Bldg.</v>
      </c>
      <c r="B204" s="15">
        <f>'Bldgs &amp; Rooms'!$B$7</f>
        <v>0</v>
      </c>
      <c r="C204" s="14" t="str">
        <f>Hours!$A$19</f>
        <v>Oil Filled Transformer - 5kV-15kV Primary - Any Size (Pad Mounted)</v>
      </c>
      <c r="D204" s="15">
        <f t="shared" si="6"/>
        <v>0</v>
      </c>
      <c r="E204" s="16">
        <f>IF('Components Yr 1'!E204=0,0,'Components Yr 1'!E204)</f>
        <v>0</v>
      </c>
      <c r="F204" s="17">
        <f>IF('Components Yr 1'!F204=0,0,'Components Yr 1'!F204)</f>
        <v>0</v>
      </c>
      <c r="G204" s="17">
        <f>IF('Components Yr 1'!G204=0,0,'Components Yr 1'!G204)</f>
        <v>0</v>
      </c>
      <c r="H204" s="17">
        <f>IF('Components Yr 1'!H204=0,0,'Components Yr 1'!H204)</f>
        <v>0</v>
      </c>
      <c r="I204" s="17">
        <f>IF('Components Yr 1'!I204=0,0,'Components Yr 1'!I204)</f>
        <v>0</v>
      </c>
      <c r="J204" s="17">
        <f>IF('Components Yr 1'!J204=0,0,'Components Yr 1'!J204)</f>
        <v>0</v>
      </c>
      <c r="K204" s="12"/>
      <c r="L204" s="12"/>
      <c r="M204" s="17">
        <f>IF('Components Yr 1'!M204=0,0,'Components Yr 1'!M204)</f>
        <v>0</v>
      </c>
      <c r="N204" s="17">
        <f>IF('Components Yr 1'!N204=0,0,'Components Yr 1'!N204)</f>
        <v>0</v>
      </c>
      <c r="O204" s="12"/>
      <c r="P204" s="17">
        <f>IF('Components Yr 1'!P204=0,0,'Components Yr 1'!P204)</f>
        <v>0</v>
      </c>
      <c r="Q204" s="17"/>
      <c r="R204" s="18">
        <f>IF(SUMPRODUCT((E204:Q204)*1)=0,0,E204*INDEX(Hours!M:M,MATCH(C204,Hours!$A:$A,0))+F204*INDEX(Hours!B:B,MATCH(C204,Hours!$A:$A,0))+G204*INDEX(Hours!C:C,MATCH(C204,Hours!$A:$A,0))+H204*INDEX(Hours!D:D,MATCH(C204,Hours!$A:$A,0))+I204*INDEX(Hours!E:E,MATCH(C204,Hours!$A:$A,0))+J204*INDEX(Hours!F:F,MATCH(C204,Hours!$A:$A,0))+M204*INDEX(Hours!I:I,MATCH(C204,Hours!$A:$A,0))+N204*INDEX(Hours!J:J,MATCH(C204,Hours!$A:$A,0))+P204*INDEX(Hours!L:L,MATCH(C204,Hours!$A:$A,0)))</f>
        <v>0</v>
      </c>
      <c r="S204" s="19">
        <f t="shared" si="7"/>
        <v>0</v>
      </c>
    </row>
    <row r="205" spans="1:19" x14ac:dyDescent="0.25">
      <c r="A205" s="15" t="str">
        <f>'Bldgs &amp; Rooms'!$A$7</f>
        <v>Main Bldg.</v>
      </c>
      <c r="B205" s="15">
        <f>'Bldgs &amp; Rooms'!$B$7</f>
        <v>0</v>
      </c>
      <c r="C205" s="14" t="str">
        <f>Hours!$A$20</f>
        <v>Oil Filled Transformer - &gt; 15kV Primary (Substation Class)</v>
      </c>
      <c r="D205" s="15">
        <f t="shared" si="6"/>
        <v>0</v>
      </c>
      <c r="E205" s="16">
        <f>IF('Components Yr 1'!E205=0,0,'Components Yr 1'!E205)</f>
        <v>0</v>
      </c>
      <c r="F205" s="17">
        <f>IF('Components Yr 1'!F205=0,0,'Components Yr 1'!F205)</f>
        <v>0</v>
      </c>
      <c r="G205" s="17">
        <f>IF('Components Yr 1'!G205=0,0,'Components Yr 1'!G205)</f>
        <v>0</v>
      </c>
      <c r="H205" s="17">
        <f>IF('Components Yr 1'!H205=0,0,'Components Yr 1'!H205)</f>
        <v>0</v>
      </c>
      <c r="I205" s="17">
        <f>IF('Components Yr 1'!I205=0,0,'Components Yr 1'!I205)</f>
        <v>0</v>
      </c>
      <c r="J205" s="17">
        <f>IF('Components Yr 1'!J205=0,0,'Components Yr 1'!J205)</f>
        <v>0</v>
      </c>
      <c r="K205" s="12"/>
      <c r="L205" s="12"/>
      <c r="M205" s="17">
        <f>IF('Components Yr 1'!M205=0,0,'Components Yr 1'!M205)</f>
        <v>0</v>
      </c>
      <c r="N205" s="17">
        <f>IF('Components Yr 1'!N205=0,0,'Components Yr 1'!N205)</f>
        <v>0</v>
      </c>
      <c r="O205" s="12"/>
      <c r="P205" s="17">
        <f>IF('Components Yr 1'!P205=0,0,'Components Yr 1'!P205)</f>
        <v>0</v>
      </c>
      <c r="Q205" s="17"/>
      <c r="R205" s="18">
        <f>IF(SUMPRODUCT((E205:Q205)*1)=0,0,E205*INDEX(Hours!M:M,MATCH(C205,Hours!$A:$A,0))+F205*INDEX(Hours!B:B,MATCH(C205,Hours!$A:$A,0))+G205*INDEX(Hours!C:C,MATCH(C205,Hours!$A:$A,0))+H205*INDEX(Hours!D:D,MATCH(C205,Hours!$A:$A,0))+I205*INDEX(Hours!E:E,MATCH(C205,Hours!$A:$A,0))+J205*INDEX(Hours!F:F,MATCH(C205,Hours!$A:$A,0))+M205*INDEX(Hours!I:I,MATCH(C205,Hours!$A:$A,0))+N205*INDEX(Hours!J:J,MATCH(C205,Hours!$A:$A,0))+P205*INDEX(Hours!L:L,MATCH(C205,Hours!$A:$A,0)))</f>
        <v>0</v>
      </c>
      <c r="S205" s="19">
        <f t="shared" si="7"/>
        <v>0</v>
      </c>
    </row>
    <row r="206" spans="1:19" x14ac:dyDescent="0.25">
      <c r="A206" s="15" t="str">
        <f>'Bldgs &amp; Rooms'!$A$7</f>
        <v>Main Bldg.</v>
      </c>
      <c r="B206" s="15">
        <f>'Bldgs &amp; Rooms'!$B$7</f>
        <v>0</v>
      </c>
      <c r="C206" s="14" t="str">
        <f>Hours!$A$21</f>
        <v>Dry Type Transformer - &lt; 480V Primary - Any Size kVA</v>
      </c>
      <c r="D206" s="15">
        <f t="shared" si="6"/>
        <v>0</v>
      </c>
      <c r="E206" s="16">
        <f>IF('Components Yr 1'!E206=0,0,'Components Yr 1'!E206)</f>
        <v>0</v>
      </c>
      <c r="F206" s="17">
        <f>IF('Components Yr 1'!F206=0,0,'Components Yr 1'!F206)</f>
        <v>0</v>
      </c>
      <c r="G206" s="17">
        <f>IF('Components Yr 1'!G206=0,0,'Components Yr 1'!G206)</f>
        <v>0</v>
      </c>
      <c r="H206" s="17">
        <f>IF('Components Yr 1'!H206=0,0,'Components Yr 1'!H206)</f>
        <v>0</v>
      </c>
      <c r="I206" s="17">
        <f>IF('Components Yr 1'!I206=0,0,'Components Yr 1'!I206)</f>
        <v>0</v>
      </c>
      <c r="J206" s="17">
        <f>IF('Components Yr 1'!J206=0,0,'Components Yr 1'!J206)</f>
        <v>0</v>
      </c>
      <c r="K206" s="12"/>
      <c r="L206" s="12"/>
      <c r="M206" s="17">
        <f>IF('Components Yr 1'!M206=0,0,'Components Yr 1'!M206)</f>
        <v>0</v>
      </c>
      <c r="N206" s="17">
        <f>IF('Components Yr 1'!N206=0,0,'Components Yr 1'!N206)</f>
        <v>0</v>
      </c>
      <c r="O206" s="12"/>
      <c r="P206" s="12"/>
      <c r="Q206" s="17"/>
      <c r="R206" s="18">
        <f>IF(SUMPRODUCT((E206:Q206)*1)=0,0,E206*INDEX(Hours!M:M,MATCH(C206,Hours!$A:$A,0))+F206*INDEX(Hours!B:B,MATCH(C206,Hours!$A:$A,0))+G206*INDEX(Hours!C:C,MATCH(C206,Hours!$A:$A,0))+H206*INDEX(Hours!D:D,MATCH(C206,Hours!$A:$A,0))+I206*INDEX(Hours!E:E,MATCH(C206,Hours!$A:$A,0))+J206*INDEX(Hours!F:F,MATCH(C206,Hours!$A:$A,0))+M206*INDEX(Hours!I:I,MATCH(C206,Hours!$A:$A,0))+N206*INDEX(Hours!J:J,MATCH(C206,Hours!$A:$A,0)))</f>
        <v>0</v>
      </c>
      <c r="S206" s="19">
        <f t="shared" si="7"/>
        <v>0</v>
      </c>
    </row>
    <row r="207" spans="1:19" x14ac:dyDescent="0.25">
      <c r="A207" s="15" t="str">
        <f>'Bldgs &amp; Rooms'!$A$7</f>
        <v>Main Bldg.</v>
      </c>
      <c r="B207" s="15">
        <f>'Bldgs &amp; Rooms'!$B$7</f>
        <v>0</v>
      </c>
      <c r="C207" s="14" t="str">
        <f>Hours!$A$22</f>
        <v>Power Factor Correction Capacitors</v>
      </c>
      <c r="D207" s="15">
        <f t="shared" si="6"/>
        <v>0</v>
      </c>
      <c r="E207" s="16">
        <f>IF('Components Yr 1'!E207=0,0,'Components Yr 1'!E207)</f>
        <v>0</v>
      </c>
      <c r="F207" s="17">
        <f>IF('Components Yr 1'!F207=0,0,'Components Yr 1'!F207)</f>
        <v>0</v>
      </c>
      <c r="G207" s="17">
        <f>IF('Components Yr 1'!G207=0,0,'Components Yr 1'!G207)</f>
        <v>0</v>
      </c>
      <c r="H207" s="17">
        <f>IF('Components Yr 1'!H207=0,0,'Components Yr 1'!H207)</f>
        <v>0</v>
      </c>
      <c r="I207" s="17">
        <f>IF('Components Yr 1'!I207=0,0,'Components Yr 1'!I207)</f>
        <v>0</v>
      </c>
      <c r="J207" s="17">
        <f>IF('Components Yr 1'!J207=0,0,'Components Yr 1'!J207)</f>
        <v>0</v>
      </c>
      <c r="K207" s="12"/>
      <c r="L207" s="12"/>
      <c r="M207" s="12"/>
      <c r="N207" s="12"/>
      <c r="O207" s="12"/>
      <c r="P207" s="12"/>
      <c r="Q207" s="17"/>
      <c r="R207" s="18">
        <f>IF(SUMPRODUCT((E207:Q207)*1)=0,0,E207*INDEX(Hours!M:M,MATCH(C207,Hours!$A:$A,0))+F207*INDEX(Hours!B:B,MATCH(C207,Hours!$A:$A,0))+G207*INDEX(Hours!C:C,MATCH(C207,Hours!$A:$A,0))+H207*INDEX(Hours!D:D,MATCH(C207,Hours!$A:$A,0))+I207*INDEX(Hours!E:E,MATCH(C207,Hours!$A:$A,0))+J207*INDEX(Hours!F:F,MATCH(C207,Hours!$A:$A,0)))</f>
        <v>0</v>
      </c>
      <c r="S207" s="19">
        <f t="shared" si="7"/>
        <v>0</v>
      </c>
    </row>
    <row r="208" spans="1:19" x14ac:dyDescent="0.25">
      <c r="A208" s="15" t="str">
        <f>'Bldgs &amp; Rooms'!$A$7</f>
        <v>Main Bldg.</v>
      </c>
      <c r="B208" s="15">
        <f>'Bldgs &amp; Rooms'!$B$7</f>
        <v>0</v>
      </c>
      <c r="C208" s="14" t="str">
        <f>Hours!$A$23</f>
        <v>Lighting Contactor &gt; 100A</v>
      </c>
      <c r="D208" s="15">
        <f t="shared" si="6"/>
        <v>0</v>
      </c>
      <c r="E208" s="16">
        <f>IF('Components Yr 1'!E208=0,0,'Components Yr 1'!E208)</f>
        <v>0</v>
      </c>
      <c r="F208" s="17">
        <f>IF('Components Yr 1'!F208=0,0,'Components Yr 1'!F208)</f>
        <v>0</v>
      </c>
      <c r="G208" s="17">
        <f>IF('Components Yr 1'!G208=0,0,'Components Yr 1'!G208)</f>
        <v>0</v>
      </c>
      <c r="H208" s="17">
        <f>IF('Components Yr 1'!H208=0,0,'Components Yr 1'!H208)</f>
        <v>0</v>
      </c>
      <c r="I208" s="17">
        <f>IF('Components Yr 1'!I208=0,0,'Components Yr 1'!I208)</f>
        <v>0</v>
      </c>
      <c r="J208" s="17">
        <f>IF('Components Yr 1'!J208=0,0,'Components Yr 1'!J208)</f>
        <v>0</v>
      </c>
      <c r="K208" s="12"/>
      <c r="L208" s="12"/>
      <c r="M208" s="12"/>
      <c r="N208" s="12"/>
      <c r="O208" s="12"/>
      <c r="P208" s="12"/>
      <c r="Q208" s="17"/>
      <c r="R208" s="18">
        <f>IF(SUMPRODUCT((E208:Q208)*1)=0,0,E208*INDEX(Hours!M:M,MATCH(C208,Hours!$A:$A,0))+F208*INDEX(Hours!B:B,MATCH(C208,Hours!$A:$A,0))+G208*INDEX(Hours!C:C,MATCH(C208,Hours!$A:$A,0))+H208*INDEX(Hours!D:D,MATCH(C208,Hours!$A:$A,0))+I208*INDEX(Hours!E:E,MATCH(C208,Hours!$A:$A,0))+J208*INDEX(Hours!F:F,MATCH(C208,Hours!$A:$A,0)))</f>
        <v>0</v>
      </c>
      <c r="S208" s="19">
        <f t="shared" si="7"/>
        <v>0</v>
      </c>
    </row>
    <row r="209" spans="1:19" x14ac:dyDescent="0.25">
      <c r="A209" s="15" t="str">
        <f>'Bldgs &amp; Rooms'!$A$7</f>
        <v>Main Bldg.</v>
      </c>
      <c r="B209" s="15">
        <f>'Bldgs &amp; Rooms'!$B$7</f>
        <v>0</v>
      </c>
      <c r="C209" s="14" t="str">
        <f>Hours!$A$24</f>
        <v>Power Distribution Unit (PDU)</v>
      </c>
      <c r="D209" s="15">
        <f t="shared" si="6"/>
        <v>0</v>
      </c>
      <c r="E209" s="16">
        <f>IF('Components Yr 1'!E209=0,0,'Components Yr 1'!E209)</f>
        <v>0</v>
      </c>
      <c r="F209" s="17">
        <f>IF('Components Yr 1'!F209=0,0,'Components Yr 1'!F209)</f>
        <v>0</v>
      </c>
      <c r="G209" s="17">
        <f>IF('Components Yr 1'!G209=0,0,'Components Yr 1'!G209)</f>
        <v>0</v>
      </c>
      <c r="H209" s="17">
        <f>IF('Components Yr 1'!H209=0,0,'Components Yr 1'!H209)</f>
        <v>0</v>
      </c>
      <c r="I209" s="17">
        <f>IF('Components Yr 1'!I209=0,0,'Components Yr 1'!I209)</f>
        <v>0</v>
      </c>
      <c r="J209" s="17">
        <f>IF('Components Yr 1'!J209=0,0,'Components Yr 1'!J209)</f>
        <v>0</v>
      </c>
      <c r="K209" s="12"/>
      <c r="L209" s="12"/>
      <c r="M209" s="12"/>
      <c r="N209" s="12"/>
      <c r="O209" s="12"/>
      <c r="P209" s="12"/>
      <c r="Q209" s="17"/>
      <c r="R209" s="18">
        <f>IF(SUMPRODUCT((E209:Q209)*1)=0,0,E209*INDEX(Hours!M:M,MATCH(C209,Hours!$A:$A,0))+F209*INDEX(Hours!B:B,MATCH(C209,Hours!$A:$A,0))+G209*INDEX(Hours!C:C,MATCH(C209,Hours!$A:$A,0))+H209*INDEX(Hours!D:D,MATCH(C209,Hours!$A:$A,0))+I209*INDEX(Hours!E:E,MATCH(C209,Hours!$A:$A,0))+J209*INDEX(Hours!F:F,MATCH(C209,Hours!$A:$A,0)))</f>
        <v>0</v>
      </c>
      <c r="S209" s="19">
        <f t="shared" si="7"/>
        <v>0</v>
      </c>
    </row>
    <row r="210" spans="1:19" x14ac:dyDescent="0.25">
      <c r="A210" s="15" t="str">
        <f>'Bldgs &amp; Rooms'!$A$7</f>
        <v>Main Bldg.</v>
      </c>
      <c r="B210" s="15">
        <f>'Bldgs &amp; Rooms'!$B$7</f>
        <v>0</v>
      </c>
      <c r="C210" s="14" t="str">
        <f>Hours!$A$25</f>
        <v>Wire Trough, Gutter, or Large Junction Boxes</v>
      </c>
      <c r="D210" s="15">
        <f t="shared" si="6"/>
        <v>0</v>
      </c>
      <c r="E210" s="16">
        <f>IF('Components Yr 1'!E210=0,0,'Components Yr 1'!E210)</f>
        <v>0</v>
      </c>
      <c r="F210" s="17">
        <f>IF('Components Yr 1'!F210=0,0,'Components Yr 1'!F210)</f>
        <v>0</v>
      </c>
      <c r="G210" s="17">
        <f>IF('Components Yr 1'!G210=0,0,'Components Yr 1'!G210)</f>
        <v>0</v>
      </c>
      <c r="H210" s="17">
        <f>IF('Components Yr 1'!H210=0,0,'Components Yr 1'!H210)</f>
        <v>0</v>
      </c>
      <c r="I210" s="17">
        <f>IF('Components Yr 1'!I210=0,0,'Components Yr 1'!I210)</f>
        <v>0</v>
      </c>
      <c r="J210" s="17">
        <f>IF('Components Yr 1'!J210=0,0,'Components Yr 1'!J210)</f>
        <v>0</v>
      </c>
      <c r="K210" s="12"/>
      <c r="L210" s="12"/>
      <c r="M210" s="12"/>
      <c r="N210" s="12"/>
      <c r="O210" s="12"/>
      <c r="P210" s="12"/>
      <c r="Q210" s="17"/>
      <c r="R210" s="18">
        <f>IF(SUMPRODUCT((E210:Q210)*1)=0,0,E210*INDEX(Hours!M:M,MATCH(C210,Hours!$A:$A,0))+F210*INDEX(Hours!B:B,MATCH(C210,Hours!$A:$A,0))+G210*INDEX(Hours!C:C,MATCH(C210,Hours!$A:$A,0))+H210*INDEX(Hours!D:D,MATCH(C210,Hours!$A:$A,0))+I210*INDEX(Hours!E:E,MATCH(C210,Hours!$A:$A,0))+J210*INDEX(Hours!F:F,MATCH(C210,Hours!$A:$A,0)))</f>
        <v>0</v>
      </c>
      <c r="S210" s="19">
        <f t="shared" si="7"/>
        <v>0</v>
      </c>
    </row>
    <row r="211" spans="1:19" x14ac:dyDescent="0.25">
      <c r="A211" s="15" t="str">
        <f>'Bldgs &amp; Rooms'!$A$7</f>
        <v>Main Bldg.</v>
      </c>
      <c r="B211" s="15">
        <f>'Bldgs &amp; Rooms'!$B$7</f>
        <v>0</v>
      </c>
      <c r="C211" s="14" t="str">
        <f>Hours!$A$26</f>
        <v>Bus Duct - Vertical or Horizontal (Per 10' section)</v>
      </c>
      <c r="D211" s="15">
        <f t="shared" si="6"/>
        <v>0</v>
      </c>
      <c r="E211" s="16">
        <f>IF('Components Yr 1'!E211=0,0,'Components Yr 1'!E211)</f>
        <v>0</v>
      </c>
      <c r="F211" s="17">
        <f>IF('Components Yr 1'!F211=0,0,'Components Yr 1'!F211)</f>
        <v>0</v>
      </c>
      <c r="G211" s="17">
        <f>IF('Components Yr 1'!G211=0,0,'Components Yr 1'!G211)</f>
        <v>0</v>
      </c>
      <c r="H211" s="17">
        <f>IF('Components Yr 1'!H211=0,0,'Components Yr 1'!H211)</f>
        <v>0</v>
      </c>
      <c r="I211" s="17">
        <f>IF('Components Yr 1'!I211=0,0,'Components Yr 1'!I211)</f>
        <v>0</v>
      </c>
      <c r="J211" s="17">
        <f>IF('Components Yr 1'!J211=0,0,'Components Yr 1'!J211)</f>
        <v>0</v>
      </c>
      <c r="K211" s="12"/>
      <c r="L211" s="12"/>
      <c r="M211" s="12"/>
      <c r="N211" s="12"/>
      <c r="O211" s="12"/>
      <c r="P211" s="12"/>
      <c r="Q211" s="17"/>
      <c r="R211" s="18">
        <f>IF(SUMPRODUCT((E211:Q211)*1)=0,0,E211*INDEX(Hours!M:M,MATCH(C211,Hours!$A:$A,0))+F211*INDEX(Hours!B:B,MATCH(C211,Hours!$A:$A,0))+G211*INDEX(Hours!C:C,MATCH(C211,Hours!$A:$A,0))+H211*INDEX(Hours!D:D,MATCH(C211,Hours!$A:$A,0))+I211*INDEX(Hours!E:E,MATCH(C211,Hours!$A:$A,0))+J211*INDEX(Hours!F:F,MATCH(C211,Hours!$A:$A,0)))</f>
        <v>0</v>
      </c>
      <c r="S211" s="19">
        <f t="shared" si="7"/>
        <v>0</v>
      </c>
    </row>
    <row r="212" spans="1:19" x14ac:dyDescent="0.25">
      <c r="A212" s="15" t="str">
        <f>'Bldgs &amp; Rooms'!$A$7</f>
        <v>Main Bldg.</v>
      </c>
      <c r="B212" s="15">
        <f>'Bldgs &amp; Rooms'!$B$7</f>
        <v>0</v>
      </c>
      <c r="C212" s="14" t="str">
        <f>Hours!$A$27</f>
        <v>Automatic Transfer Switch (ATS) &gt; 100A</v>
      </c>
      <c r="D212" s="15">
        <f t="shared" si="6"/>
        <v>0</v>
      </c>
      <c r="E212" s="16">
        <f>IF('Components Yr 1'!E212=0,0,'Components Yr 1'!E212)</f>
        <v>0</v>
      </c>
      <c r="F212" s="17">
        <f>IF('Components Yr 1'!F212=0,0,'Components Yr 1'!F212)</f>
        <v>0</v>
      </c>
      <c r="G212" s="17">
        <f>IF('Components Yr 1'!G212=0,0,'Components Yr 1'!G212)</f>
        <v>0</v>
      </c>
      <c r="H212" s="17">
        <f>IF('Components Yr 1'!H212=0,0,'Components Yr 1'!H212)</f>
        <v>0</v>
      </c>
      <c r="I212" s="17">
        <f>IF('Components Yr 1'!I212=0,0,'Components Yr 1'!I212)</f>
        <v>0</v>
      </c>
      <c r="J212" s="17">
        <f>IF('Components Yr 1'!J212=0,0,'Components Yr 1'!J212)</f>
        <v>0</v>
      </c>
      <c r="K212" s="12"/>
      <c r="L212" s="12"/>
      <c r="M212" s="12"/>
      <c r="N212" s="12"/>
      <c r="O212" s="12"/>
      <c r="P212" s="12"/>
      <c r="Q212" s="17"/>
      <c r="R212" s="18">
        <f>IF(SUMPRODUCT((E212:Q212)*1)=0,0,E212*INDEX(Hours!M:M,MATCH(C212,Hours!$A:$A,0))+F212*INDEX(Hours!B:B,MATCH(C212,Hours!$A:$A,0))+G212*INDEX(Hours!C:C,MATCH(C212,Hours!$A:$A,0))+H212*INDEX(Hours!D:D,MATCH(C212,Hours!$A:$A,0))+I212*INDEX(Hours!E:E,MATCH(C212,Hours!$A:$A,0))+J212*INDEX(Hours!F:F,MATCH(C212,Hours!$A:$A,0)))</f>
        <v>0</v>
      </c>
      <c r="S212" s="19">
        <f t="shared" si="7"/>
        <v>0</v>
      </c>
    </row>
    <row r="213" spans="1:19" x14ac:dyDescent="0.25">
      <c r="A213" s="15" t="str">
        <f>'Bldgs &amp; Rooms'!$A$7</f>
        <v>Main Bldg.</v>
      </c>
      <c r="B213" s="15">
        <f>'Bldgs &amp; Rooms'!$B$7</f>
        <v>0</v>
      </c>
      <c r="C213" s="14" t="str">
        <f>Hours!$A$28</f>
        <v>Manual Transfer Switch (MTS) &gt; 100A</v>
      </c>
      <c r="D213" s="15">
        <f t="shared" si="6"/>
        <v>0</v>
      </c>
      <c r="E213" s="16">
        <f>IF('Components Yr 1'!E213=0,0,'Components Yr 1'!E213)</f>
        <v>0</v>
      </c>
      <c r="F213" s="17">
        <f>IF('Components Yr 1'!F213=0,0,'Components Yr 1'!F213)</f>
        <v>0</v>
      </c>
      <c r="G213" s="17">
        <f>IF('Components Yr 1'!G213=0,0,'Components Yr 1'!G213)</f>
        <v>0</v>
      </c>
      <c r="H213" s="17">
        <f>IF('Components Yr 1'!H213=0,0,'Components Yr 1'!H213)</f>
        <v>0</v>
      </c>
      <c r="I213" s="17">
        <f>IF('Components Yr 1'!I213=0,0,'Components Yr 1'!I213)</f>
        <v>0</v>
      </c>
      <c r="J213" s="17">
        <f>IF('Components Yr 1'!J213=0,0,'Components Yr 1'!J213)</f>
        <v>0</v>
      </c>
      <c r="K213" s="12"/>
      <c r="L213" s="12"/>
      <c r="M213" s="12"/>
      <c r="N213" s="12"/>
      <c r="O213" s="12"/>
      <c r="P213" s="12"/>
      <c r="Q213" s="17"/>
      <c r="R213" s="18">
        <f>IF(SUMPRODUCT((E213:Q213)*1)=0,0,E213*INDEX(Hours!M:M,MATCH(C213,Hours!$A:$A,0))+F213*INDEX(Hours!B:B,MATCH(C213,Hours!$A:$A,0))+G213*INDEX(Hours!C:C,MATCH(C213,Hours!$A:$A,0))+H213*INDEX(Hours!D:D,MATCH(C213,Hours!$A:$A,0))+I213*INDEX(Hours!E:E,MATCH(C213,Hours!$A:$A,0))+J213*INDEX(Hours!F:F,MATCH(C213,Hours!$A:$A,0)))</f>
        <v>0</v>
      </c>
      <c r="S213" s="19">
        <f t="shared" si="7"/>
        <v>0</v>
      </c>
    </row>
    <row r="214" spans="1:19" x14ac:dyDescent="0.25">
      <c r="A214" s="15" t="str">
        <f>'Bldgs &amp; Rooms'!$A$7</f>
        <v>Main Bldg.</v>
      </c>
      <c r="B214" s="15">
        <f>'Bldgs &amp; Rooms'!$B$7</f>
        <v>0</v>
      </c>
      <c r="C214" s="14" t="str">
        <f>Hours!$A$29</f>
        <v>Variable Frequency Drives (VFD) &lt; 50 HP</v>
      </c>
      <c r="D214" s="15">
        <f t="shared" si="6"/>
        <v>0</v>
      </c>
      <c r="E214" s="16">
        <f>IF('Components Yr 1'!E214=0,0,'Components Yr 1'!E214)</f>
        <v>0</v>
      </c>
      <c r="F214" s="17">
        <f>IF('Components Yr 1'!F214=0,0,'Components Yr 1'!F214)</f>
        <v>0</v>
      </c>
      <c r="G214" s="17">
        <f>IF('Components Yr 1'!G214=0,0,'Components Yr 1'!G214)</f>
        <v>0</v>
      </c>
      <c r="H214" s="17">
        <f>IF('Components Yr 1'!H214=0,0,'Components Yr 1'!H214)</f>
        <v>0</v>
      </c>
      <c r="I214" s="17">
        <f>IF('Components Yr 1'!I214=0,0,'Components Yr 1'!I214)</f>
        <v>0</v>
      </c>
      <c r="J214" s="17">
        <f>IF('Components Yr 1'!J214=0,0,'Components Yr 1'!J214)</f>
        <v>0</v>
      </c>
      <c r="K214" s="12"/>
      <c r="L214" s="12"/>
      <c r="M214" s="12"/>
      <c r="N214" s="12"/>
      <c r="O214" s="12"/>
      <c r="P214" s="12"/>
      <c r="Q214" s="17"/>
      <c r="R214" s="18">
        <f>IF(SUMPRODUCT((E214:Q214)*1)=0,0,E214*INDEX(Hours!M:M,MATCH(C214,Hours!$A:$A,0))+F214*INDEX(Hours!B:B,MATCH(C214,Hours!$A:$A,0))+G214*INDEX(Hours!C:C,MATCH(C214,Hours!$A:$A,0))+H214*INDEX(Hours!D:D,MATCH(C214,Hours!$A:$A,0))+I214*INDEX(Hours!E:E,MATCH(C214,Hours!$A:$A,0))+J214*INDEX(Hours!F:F,MATCH(C214,Hours!$A:$A,0)))</f>
        <v>0</v>
      </c>
      <c r="S214" s="19">
        <f t="shared" si="7"/>
        <v>0</v>
      </c>
    </row>
    <row r="215" spans="1:19" x14ac:dyDescent="0.25">
      <c r="A215" s="15" t="str">
        <f>'Bldgs &amp; Rooms'!$A$7</f>
        <v>Main Bldg.</v>
      </c>
      <c r="B215" s="15">
        <f>'Bldgs &amp; Rooms'!$B$7</f>
        <v>0</v>
      </c>
      <c r="C215" s="14" t="str">
        <f>Hours!$A$30</f>
        <v>Variable Frequency Drives (VFD) 51-200 HP</v>
      </c>
      <c r="D215" s="15">
        <f t="shared" si="6"/>
        <v>0</v>
      </c>
      <c r="E215" s="16">
        <f>IF('Components Yr 1'!E215=0,0,'Components Yr 1'!E215)</f>
        <v>0</v>
      </c>
      <c r="F215" s="17">
        <f>IF('Components Yr 1'!F215=0,0,'Components Yr 1'!F215)</f>
        <v>0</v>
      </c>
      <c r="G215" s="17">
        <f>IF('Components Yr 1'!G215=0,0,'Components Yr 1'!G215)</f>
        <v>0</v>
      </c>
      <c r="H215" s="17">
        <f>IF('Components Yr 1'!H215=0,0,'Components Yr 1'!H215)</f>
        <v>0</v>
      </c>
      <c r="I215" s="17">
        <f>IF('Components Yr 1'!I215=0,0,'Components Yr 1'!I215)</f>
        <v>0</v>
      </c>
      <c r="J215" s="17">
        <f>IF('Components Yr 1'!J215=0,0,'Components Yr 1'!J215)</f>
        <v>0</v>
      </c>
      <c r="K215" s="12"/>
      <c r="L215" s="12"/>
      <c r="M215" s="12"/>
      <c r="N215" s="12"/>
      <c r="O215" s="12"/>
      <c r="P215" s="12"/>
      <c r="Q215" s="17"/>
      <c r="R215" s="18">
        <f>IF(SUMPRODUCT((E215:Q215)*1)=0,0,E215*INDEX(Hours!M:M,MATCH(C215,Hours!$A:$A,0))+F215*INDEX(Hours!B:B,MATCH(C215,Hours!$A:$A,0))+G215*INDEX(Hours!C:C,MATCH(C215,Hours!$A:$A,0))+H215*INDEX(Hours!D:D,MATCH(C215,Hours!$A:$A,0))+I215*INDEX(Hours!E:E,MATCH(C215,Hours!$A:$A,0))+J215*INDEX(Hours!F:F,MATCH(C215,Hours!$A:$A,0)))</f>
        <v>0</v>
      </c>
      <c r="S215" s="19">
        <f t="shared" si="7"/>
        <v>0</v>
      </c>
    </row>
    <row r="216" spans="1:19" x14ac:dyDescent="0.25">
      <c r="A216" s="15" t="str">
        <f>'Bldgs &amp; Rooms'!$A$7</f>
        <v>Main Bldg.</v>
      </c>
      <c r="B216" s="15">
        <f>'Bldgs &amp; Rooms'!$B$7</f>
        <v>0</v>
      </c>
      <c r="C216" s="14" t="str">
        <f>Hours!$A$31</f>
        <v>Motors &lt; 50 HP</v>
      </c>
      <c r="D216" s="15">
        <f t="shared" si="6"/>
        <v>0</v>
      </c>
      <c r="E216" s="16">
        <f>IF('Components Yr 1'!E216=0,0,'Components Yr 1'!E216)</f>
        <v>0</v>
      </c>
      <c r="F216" s="17">
        <f>IF('Components Yr 1'!F216=0,0,'Components Yr 1'!F216)</f>
        <v>0</v>
      </c>
      <c r="G216" s="17">
        <f>IF('Components Yr 1'!G216=0,0,'Components Yr 1'!G216)</f>
        <v>0</v>
      </c>
      <c r="H216" s="17">
        <f>IF('Components Yr 1'!H216=0,0,'Components Yr 1'!H216)</f>
        <v>0</v>
      </c>
      <c r="I216" s="17">
        <f>IF('Components Yr 1'!I216=0,0,'Components Yr 1'!I216)</f>
        <v>0</v>
      </c>
      <c r="J216" s="17">
        <f>IF('Components Yr 1'!J216=0,0,'Components Yr 1'!J216)</f>
        <v>0</v>
      </c>
      <c r="K216" s="12"/>
      <c r="L216" s="12"/>
      <c r="M216" s="12"/>
      <c r="N216" s="12"/>
      <c r="O216" s="12"/>
      <c r="P216" s="12"/>
      <c r="Q216" s="17"/>
      <c r="R216" s="18">
        <f>IF(SUMPRODUCT((E216:Q216)*1)=0,0,E216*INDEX(Hours!M:M,MATCH(C216,Hours!$A:$A,0))+F216*INDEX(Hours!B:B,MATCH(C216,Hours!$A:$A,0))+G216*INDEX(Hours!C:C,MATCH(C216,Hours!$A:$A,0))+H216*INDEX(Hours!D:D,MATCH(C216,Hours!$A:$A,0))+I216*INDEX(Hours!E:E,MATCH(C216,Hours!$A:$A,0))+J216*INDEX(Hours!F:F,MATCH(C216,Hours!$A:$A,0)))</f>
        <v>0</v>
      </c>
      <c r="S216" s="19">
        <f t="shared" si="7"/>
        <v>0</v>
      </c>
    </row>
    <row r="217" spans="1:19" x14ac:dyDescent="0.25">
      <c r="A217" s="15" t="str">
        <f>'Bldgs &amp; Rooms'!$A$7</f>
        <v>Main Bldg.</v>
      </c>
      <c r="B217" s="15">
        <f>'Bldgs &amp; Rooms'!$B$7</f>
        <v>0</v>
      </c>
      <c r="C217" s="14" t="str">
        <f>Hours!$A$32</f>
        <v>Motors 51-200 HP</v>
      </c>
      <c r="D217" s="15">
        <f t="shared" si="6"/>
        <v>0</v>
      </c>
      <c r="E217" s="16">
        <f>IF('Components Yr 1'!E217=0,0,'Components Yr 1'!E217)</f>
        <v>0</v>
      </c>
      <c r="F217" s="17">
        <f>IF('Components Yr 1'!F217=0,0,'Components Yr 1'!F217)</f>
        <v>0</v>
      </c>
      <c r="G217" s="17">
        <f>IF('Components Yr 1'!G217=0,0,'Components Yr 1'!G217)</f>
        <v>0</v>
      </c>
      <c r="H217" s="17">
        <f>IF('Components Yr 1'!H217=0,0,'Components Yr 1'!H217)</f>
        <v>0</v>
      </c>
      <c r="I217" s="17">
        <f>IF('Components Yr 1'!I217=0,0,'Components Yr 1'!I217)</f>
        <v>0</v>
      </c>
      <c r="J217" s="17">
        <f>IF('Components Yr 1'!J217=0,0,'Components Yr 1'!J217)</f>
        <v>0</v>
      </c>
      <c r="K217" s="12"/>
      <c r="L217" s="12"/>
      <c r="M217" s="12"/>
      <c r="N217" s="12"/>
      <c r="O217" s="12"/>
      <c r="P217" s="12"/>
      <c r="Q217" s="17"/>
      <c r="R217" s="18">
        <f>IF(SUMPRODUCT((E217:Q217)*1)=0,0,E217*INDEX(Hours!M:M,MATCH(C217,Hours!$A:$A,0))+F217*INDEX(Hours!B:B,MATCH(C217,Hours!$A:$A,0))+G217*INDEX(Hours!C:C,MATCH(C217,Hours!$A:$A,0))+H217*INDEX(Hours!D:D,MATCH(C217,Hours!$A:$A,0))+I217*INDEX(Hours!E:E,MATCH(C217,Hours!$A:$A,0))+J217*INDEX(Hours!F:F,MATCH(C217,Hours!$A:$A,0)))</f>
        <v>0</v>
      </c>
      <c r="S217" s="19">
        <f t="shared" si="7"/>
        <v>0</v>
      </c>
    </row>
    <row r="218" spans="1:19" x14ac:dyDescent="0.25">
      <c r="A218" s="15" t="str">
        <f>'Bldgs &amp; Rooms'!$A$7</f>
        <v>Main Bldg.</v>
      </c>
      <c r="B218" s="15">
        <f>'Bldgs &amp; Rooms'!$B$7</f>
        <v>0</v>
      </c>
      <c r="C218" s="14" t="str">
        <f>Hours!$A$33</f>
        <v>Motors 201-500 HP</v>
      </c>
      <c r="D218" s="15">
        <f t="shared" si="6"/>
        <v>0</v>
      </c>
      <c r="E218" s="16">
        <f>IF('Components Yr 1'!E218=0,0,'Components Yr 1'!E218)</f>
        <v>0</v>
      </c>
      <c r="F218" s="17">
        <f>IF('Components Yr 1'!F218=0,0,'Components Yr 1'!F218)</f>
        <v>0</v>
      </c>
      <c r="G218" s="17">
        <f>IF('Components Yr 1'!G218=0,0,'Components Yr 1'!G218)</f>
        <v>0</v>
      </c>
      <c r="H218" s="17">
        <f>IF('Components Yr 1'!H218=0,0,'Components Yr 1'!H218)</f>
        <v>0</v>
      </c>
      <c r="I218" s="17">
        <f>IF('Components Yr 1'!I218=0,0,'Components Yr 1'!I218)</f>
        <v>0</v>
      </c>
      <c r="J218" s="17">
        <f>IF('Components Yr 1'!J218=0,0,'Components Yr 1'!J218)</f>
        <v>0</v>
      </c>
      <c r="K218" s="12"/>
      <c r="L218" s="12"/>
      <c r="M218" s="12"/>
      <c r="N218" s="12"/>
      <c r="O218" s="12"/>
      <c r="P218" s="12"/>
      <c r="Q218" s="17"/>
      <c r="R218" s="18">
        <f>IF(SUMPRODUCT((E218:Q218)*1)=0,0,E218*INDEX(Hours!M:M,MATCH(C218,Hours!$A:$A,0))+F218*INDEX(Hours!B:B,MATCH(C218,Hours!$A:$A,0))+G218*INDEX(Hours!C:C,MATCH(C218,Hours!$A:$A,0))+H218*INDEX(Hours!D:D,MATCH(C218,Hours!$A:$A,0))+I218*INDEX(Hours!E:E,MATCH(C218,Hours!$A:$A,0))+J218*INDEX(Hours!F:F,MATCH(C218,Hours!$A:$A,0)))</f>
        <v>0</v>
      </c>
      <c r="S218" s="19">
        <f t="shared" si="7"/>
        <v>0</v>
      </c>
    </row>
    <row r="219" spans="1:19" x14ac:dyDescent="0.25">
      <c r="A219" s="15" t="str">
        <f>'Bldgs &amp; Rooms'!$A$7</f>
        <v>Main Bldg.</v>
      </c>
      <c r="B219" s="15">
        <f>'Bldgs &amp; Rooms'!$B$7</f>
        <v>0</v>
      </c>
      <c r="C219" s="14" t="str">
        <f>Hours!$A$34</f>
        <v>Compressed Air Equipment</v>
      </c>
      <c r="D219" s="15">
        <f t="shared" si="6"/>
        <v>0</v>
      </c>
      <c r="E219" s="16">
        <f>IF('Components Yr 1'!E219=0,0,'Components Yr 1'!E219)</f>
        <v>0</v>
      </c>
      <c r="F219" s="17">
        <f>IF('Components Yr 1'!F219=0,0,'Components Yr 1'!F219)</f>
        <v>0</v>
      </c>
      <c r="G219" s="17">
        <f>IF('Components Yr 1'!G219=0,0,'Components Yr 1'!G219)</f>
        <v>0</v>
      </c>
      <c r="H219" s="17">
        <f>IF('Components Yr 1'!H219=0,0,'Components Yr 1'!H219)</f>
        <v>0</v>
      </c>
      <c r="I219" s="17">
        <f>IF('Components Yr 1'!I219=0,0,'Components Yr 1'!I219)</f>
        <v>0</v>
      </c>
      <c r="J219" s="17">
        <f>IF('Components Yr 1'!J219=0,0,'Components Yr 1'!J219)</f>
        <v>0</v>
      </c>
      <c r="K219" s="12"/>
      <c r="L219" s="12"/>
      <c r="M219" s="12"/>
      <c r="N219" s="12"/>
      <c r="O219" s="12"/>
      <c r="P219" s="12"/>
      <c r="Q219" s="17"/>
      <c r="R219" s="18">
        <f>IF(SUMPRODUCT((E219:Q219)*1)=0,0,E219*INDEX(Hours!M:M,MATCH(C219,Hours!$A:$A,0))+F219*INDEX(Hours!B:B,MATCH(C219,Hours!$A:$A,0))+G219*INDEX(Hours!C:C,MATCH(C219,Hours!$A:$A,0))+H219*INDEX(Hours!D:D,MATCH(C219,Hours!$A:$A,0))+I219*INDEX(Hours!E:E,MATCH(C219,Hours!$A:$A,0))+J219*INDEX(Hours!F:F,MATCH(C219,Hours!$A:$A,0)))</f>
        <v>0</v>
      </c>
      <c r="S219" s="19">
        <f t="shared" si="7"/>
        <v>0</v>
      </c>
    </row>
    <row r="220" spans="1:19" x14ac:dyDescent="0.25">
      <c r="A220" s="15" t="str">
        <f>'Bldgs &amp; Rooms'!$A$7</f>
        <v>Main Bldg.</v>
      </c>
      <c r="B220" s="15">
        <f>'Bldgs &amp; Rooms'!$B$7</f>
        <v>0</v>
      </c>
      <c r="C220" s="14" t="str">
        <f>Hours!$A$35</f>
        <v>HVAC Equipment (Large)</v>
      </c>
      <c r="D220" s="15">
        <f t="shared" si="6"/>
        <v>0</v>
      </c>
      <c r="E220" s="16">
        <f>IF('Components Yr 1'!E220=0,0,'Components Yr 1'!E220)</f>
        <v>0</v>
      </c>
      <c r="F220" s="17">
        <f>IF('Components Yr 1'!F220=0,0,'Components Yr 1'!F220)</f>
        <v>0</v>
      </c>
      <c r="G220" s="17">
        <f>IF('Components Yr 1'!G220=0,0,'Components Yr 1'!G220)</f>
        <v>0</v>
      </c>
      <c r="H220" s="17">
        <f>IF('Components Yr 1'!H220=0,0,'Components Yr 1'!H220)</f>
        <v>0</v>
      </c>
      <c r="I220" s="17">
        <f>IF('Components Yr 1'!I220=0,0,'Components Yr 1'!I220)</f>
        <v>0</v>
      </c>
      <c r="J220" s="17">
        <f>IF('Components Yr 1'!J220=0,0,'Components Yr 1'!J220)</f>
        <v>0</v>
      </c>
      <c r="K220" s="12"/>
      <c r="L220" s="12"/>
      <c r="M220" s="12"/>
      <c r="N220" s="12"/>
      <c r="O220" s="12"/>
      <c r="P220" s="12"/>
      <c r="Q220" s="17"/>
      <c r="R220" s="18">
        <f>IF(SUMPRODUCT((E220:Q220)*1)=0,0,E220*INDEX(Hours!M:M,MATCH(C220,Hours!$A:$A,0))+F220*INDEX(Hours!B:B,MATCH(C220,Hours!$A:$A,0))+G220*INDEX(Hours!C:C,MATCH(C220,Hours!$A:$A,0))+H220*INDEX(Hours!D:D,MATCH(C220,Hours!$A:$A,0))+I220*INDEX(Hours!E:E,MATCH(C220,Hours!$A:$A,0))+J220*INDEX(Hours!F:F,MATCH(C220,Hours!$A:$A,0)))</f>
        <v>0</v>
      </c>
      <c r="S220" s="19">
        <f t="shared" si="7"/>
        <v>0</v>
      </c>
    </row>
    <row r="221" spans="1:19" x14ac:dyDescent="0.25">
      <c r="A221" s="15" t="str">
        <f>'Bldgs &amp; Rooms'!$A$7</f>
        <v>Main Bldg.</v>
      </c>
      <c r="B221" s="15">
        <f>'Bldgs &amp; Rooms'!$B$7</f>
        <v>0</v>
      </c>
      <c r="C221" s="14" t="str">
        <f>Hours!$A$36</f>
        <v>HVAC Equipment (Small)</v>
      </c>
      <c r="D221" s="15">
        <f t="shared" si="6"/>
        <v>0</v>
      </c>
      <c r="E221" s="16">
        <f>IF('Components Yr 1'!E221=0,0,'Components Yr 1'!E221)</f>
        <v>0</v>
      </c>
      <c r="F221" s="17">
        <f>IF('Components Yr 1'!F221=0,0,'Components Yr 1'!F221)</f>
        <v>0</v>
      </c>
      <c r="G221" s="17">
        <f>IF('Components Yr 1'!G221=0,0,'Components Yr 1'!G221)</f>
        <v>0</v>
      </c>
      <c r="H221" s="17">
        <f>IF('Components Yr 1'!H221=0,0,'Components Yr 1'!H221)</f>
        <v>0</v>
      </c>
      <c r="I221" s="17">
        <f>IF('Components Yr 1'!I221=0,0,'Components Yr 1'!I221)</f>
        <v>0</v>
      </c>
      <c r="J221" s="17">
        <f>IF('Components Yr 1'!J221=0,0,'Components Yr 1'!J221)</f>
        <v>0</v>
      </c>
      <c r="K221" s="12"/>
      <c r="L221" s="12"/>
      <c r="M221" s="12"/>
      <c r="N221" s="12"/>
      <c r="O221" s="12"/>
      <c r="P221" s="12"/>
      <c r="Q221" s="17"/>
      <c r="R221" s="18">
        <f>IF(SUMPRODUCT((E221:Q221)*1)=0,0,E221*INDEX(Hours!M:M,MATCH(C221,Hours!$A:$A,0))+F221*INDEX(Hours!B:B,MATCH(C221,Hours!$A:$A,0))+G221*INDEX(Hours!C:C,MATCH(C221,Hours!$A:$A,0))+H221*INDEX(Hours!D:D,MATCH(C221,Hours!$A:$A,0))+I221*INDEX(Hours!E:E,MATCH(C221,Hours!$A:$A,0))+J221*INDEX(Hours!F:F,MATCH(C221,Hours!$A:$A,0)))</f>
        <v>0</v>
      </c>
      <c r="S221" s="19">
        <f t="shared" si="7"/>
        <v>0</v>
      </c>
    </row>
    <row r="222" spans="1:19" x14ac:dyDescent="0.25">
      <c r="A222" s="15" t="str">
        <f>'Bldgs &amp; Rooms'!$A$7</f>
        <v>Main Bldg.</v>
      </c>
      <c r="B222" s="15">
        <f>'Bldgs &amp; Rooms'!$B$7</f>
        <v>0</v>
      </c>
      <c r="C222" s="14" t="str">
        <f>Hours!$A$37</f>
        <v>Uninterruptible Power Supply (UPS) &lt; 50kVA</v>
      </c>
      <c r="D222" s="15">
        <f t="shared" si="6"/>
        <v>0</v>
      </c>
      <c r="E222" s="16">
        <f>IF('Components Yr 1'!E222=0,0,'Components Yr 1'!E222)</f>
        <v>0</v>
      </c>
      <c r="F222" s="17">
        <f>IF('Components Yr 1'!F222=0,0,'Components Yr 1'!F222)</f>
        <v>0</v>
      </c>
      <c r="G222" s="17">
        <f>IF('Components Yr 1'!G222=0,0,'Components Yr 1'!G222)</f>
        <v>0</v>
      </c>
      <c r="H222" s="17">
        <f>IF('Components Yr 1'!H222=0,0,'Components Yr 1'!H222)</f>
        <v>0</v>
      </c>
      <c r="I222" s="17">
        <f>IF('Components Yr 1'!I222=0,0,'Components Yr 1'!I222)</f>
        <v>0</v>
      </c>
      <c r="J222" s="17">
        <f>IF('Components Yr 1'!J222=0,0,'Components Yr 1'!J222)</f>
        <v>0</v>
      </c>
      <c r="K222" s="12"/>
      <c r="L222" s="12"/>
      <c r="M222" s="12"/>
      <c r="N222" s="12"/>
      <c r="O222" s="12"/>
      <c r="P222" s="12"/>
      <c r="Q222" s="17"/>
      <c r="R222" s="18">
        <f>IF(SUMPRODUCT((E222:Q222)*1)=0,0,E222*INDEX(Hours!M:M,MATCH(C222,Hours!$A:$A,0))+F222*INDEX(Hours!B:B,MATCH(C222,Hours!$A:$A,0))+G222*INDEX(Hours!C:C,MATCH(C222,Hours!$A:$A,0))+H222*INDEX(Hours!D:D,MATCH(C222,Hours!$A:$A,0))+I222*INDEX(Hours!E:E,MATCH(C222,Hours!$A:$A,0))+J222*INDEX(Hours!F:F,MATCH(C222,Hours!$A:$A,0)))</f>
        <v>0</v>
      </c>
      <c r="S222" s="19">
        <f t="shared" si="7"/>
        <v>0</v>
      </c>
    </row>
    <row r="223" spans="1:19" x14ac:dyDescent="0.25">
      <c r="A223" s="15" t="str">
        <f>'Bldgs &amp; Rooms'!$A$7</f>
        <v>Main Bldg.</v>
      </c>
      <c r="B223" s="15">
        <f>'Bldgs &amp; Rooms'!$B$7</f>
        <v>0</v>
      </c>
      <c r="C223" s="14" t="str">
        <f>Hours!$A$38</f>
        <v>Uninterruptible Power Supply (UPS) &gt; 50kVA</v>
      </c>
      <c r="D223" s="15">
        <f t="shared" si="6"/>
        <v>0</v>
      </c>
      <c r="E223" s="16">
        <f>IF('Components Yr 1'!E223=0,0,'Components Yr 1'!E223)</f>
        <v>0</v>
      </c>
      <c r="F223" s="17">
        <f>IF('Components Yr 1'!F223=0,0,'Components Yr 1'!F223)</f>
        <v>0</v>
      </c>
      <c r="G223" s="17">
        <f>IF('Components Yr 1'!G223=0,0,'Components Yr 1'!G223)</f>
        <v>0</v>
      </c>
      <c r="H223" s="17">
        <f>IF('Components Yr 1'!H223=0,0,'Components Yr 1'!H223)</f>
        <v>0</v>
      </c>
      <c r="I223" s="17">
        <f>IF('Components Yr 1'!I223=0,0,'Components Yr 1'!I223)</f>
        <v>0</v>
      </c>
      <c r="J223" s="17">
        <f>IF('Components Yr 1'!J223=0,0,'Components Yr 1'!J223)</f>
        <v>0</v>
      </c>
      <c r="K223" s="12"/>
      <c r="L223" s="12"/>
      <c r="M223" s="12"/>
      <c r="N223" s="12"/>
      <c r="O223" s="12"/>
      <c r="P223" s="12"/>
      <c r="Q223" s="17"/>
      <c r="R223" s="18">
        <f>IF(SUMPRODUCT((E223:Q223)*1)=0,0,E223*INDEX(Hours!M:M,MATCH(C223,Hours!$A:$A,0))+F223*INDEX(Hours!B:B,MATCH(C223,Hours!$A:$A,0))+G223*INDEX(Hours!C:C,MATCH(C223,Hours!$A:$A,0))+H223*INDEX(Hours!D:D,MATCH(C223,Hours!$A:$A,0))+I223*INDEX(Hours!E:E,MATCH(C223,Hours!$A:$A,0))+J223*INDEX(Hours!F:F,MATCH(C223,Hours!$A:$A,0)))</f>
        <v>0</v>
      </c>
      <c r="S223" s="19">
        <f t="shared" si="7"/>
        <v>0</v>
      </c>
    </row>
    <row r="224" spans="1:19" x14ac:dyDescent="0.25">
      <c r="A224" s="11" t="str">
        <f>'Bldgs &amp; Rooms'!$A$8</f>
        <v>Main Bldg.</v>
      </c>
      <c r="B224" s="11">
        <f>'Bldgs &amp; Rooms'!$B$8</f>
        <v>0</v>
      </c>
      <c r="C224" s="10" t="str">
        <f>Hours!$A$2</f>
        <v>Switchgear - Incoming Main Service (Per Section)</v>
      </c>
      <c r="D224" s="11">
        <f t="shared" si="6"/>
        <v>0</v>
      </c>
      <c r="E224" s="16">
        <f>IF('Components Yr 1'!E224=0,0,'Components Yr 1'!E224)</f>
        <v>0</v>
      </c>
      <c r="F224" s="17">
        <f>IF('Components Yr 1'!F224=0,0,'Components Yr 1'!F224)</f>
        <v>0</v>
      </c>
      <c r="G224" s="17">
        <f>IF('Components Yr 1'!G224=0,0,'Components Yr 1'!G224)</f>
        <v>0</v>
      </c>
      <c r="H224" s="17">
        <f>IF('Components Yr 1'!H224=0,0,'Components Yr 1'!H224)</f>
        <v>0</v>
      </c>
      <c r="I224" s="17">
        <f>IF('Components Yr 1'!I224=0,0,'Components Yr 1'!I224)</f>
        <v>0</v>
      </c>
      <c r="J224" s="17">
        <f>IF('Components Yr 1'!J224=0,0,'Components Yr 1'!J224)</f>
        <v>0</v>
      </c>
      <c r="K224" s="17">
        <f>IF('Components Yr 1'!K224=0,0,'Components Yr 1'!K224)</f>
        <v>0</v>
      </c>
      <c r="L224" s="17">
        <f>IF('Components Yr 1'!L224=0,0,'Components Yr 1'!L224)</f>
        <v>0</v>
      </c>
      <c r="M224" s="12"/>
      <c r="N224" s="12"/>
      <c r="O224" s="17">
        <f>IF('Components Yr 1'!O224=0,0,'Components Yr 1'!O224)</f>
        <v>0</v>
      </c>
      <c r="P224" s="12"/>
      <c r="Q224" s="17"/>
      <c r="R224" s="18">
        <f>IF(SUMPRODUCT((E224:Q224)*1)=0,0,E224*INDEX(Hours!M:M,MATCH(C224,Hours!$A:$A,0))+F224*INDEX(Hours!B:B,MATCH(C224,Hours!$A:$A,0))+G224*INDEX(Hours!C:C,MATCH(C224,Hours!$A:$A,0))+H224*INDEX(Hours!D:D,MATCH(C224,Hours!$A:$A,0))+I224*INDEX(Hours!E:E,MATCH(C224,Hours!$A:$A,0))+J224*INDEX(Hours!F:F,MATCH(C224,Hours!$A:$A,0))+K224*INDEX(Hours!G:G,MATCH(C224,Hours!$A:$A,0))+L224*INDEX(Hours!H:H,MATCH(C224,Hours!$A:$A,0))+O224*INDEX(Hours!K:K,MATCH(C224,Hours!$A:$A,0)))</f>
        <v>0</v>
      </c>
      <c r="S224" s="19">
        <f t="shared" si="7"/>
        <v>0</v>
      </c>
    </row>
    <row r="225" spans="1:19" x14ac:dyDescent="0.25">
      <c r="A225" s="11" t="str">
        <f>'Bldgs &amp; Rooms'!$A$8</f>
        <v>Main Bldg.</v>
      </c>
      <c r="B225" s="11">
        <f>'Bldgs &amp; Rooms'!$B$8</f>
        <v>0</v>
      </c>
      <c r="C225" s="10" t="str">
        <f>Hours!$A$3</f>
        <v xml:space="preserve">  Switchgear Insulated Case Breakers (Bus Mounted)</v>
      </c>
      <c r="D225" s="11">
        <f t="shared" si="6"/>
        <v>0</v>
      </c>
      <c r="E225" s="16">
        <f>IF('Components Yr 1'!E225=0,0,'Components Yr 1'!E225)</f>
        <v>0</v>
      </c>
      <c r="F225" s="17">
        <f>IF('Components Yr 1'!F225=0,0,'Components Yr 1'!F225)</f>
        <v>0</v>
      </c>
      <c r="G225" s="17">
        <f>IF('Components Yr 1'!G225=0,0,'Components Yr 1'!G225)</f>
        <v>0</v>
      </c>
      <c r="H225" s="17">
        <f>IF('Components Yr 1'!H225=0,0,'Components Yr 1'!H225)</f>
        <v>0</v>
      </c>
      <c r="I225" s="17">
        <f>IF('Components Yr 1'!I225=0,0,'Components Yr 1'!I225)</f>
        <v>0</v>
      </c>
      <c r="J225" s="17">
        <f>IF('Components Yr 1'!J225=0,0,'Components Yr 1'!J225)</f>
        <v>0</v>
      </c>
      <c r="K225" s="17">
        <f>IF('Components Yr 1'!K225=0,0,'Components Yr 1'!K225)</f>
        <v>0</v>
      </c>
      <c r="L225" s="12"/>
      <c r="M225" s="12"/>
      <c r="N225" s="12"/>
      <c r="O225" s="12"/>
      <c r="P225" s="12"/>
      <c r="Q225" s="17"/>
      <c r="R225" s="18">
        <f>IF(SUMPRODUCT((E225:Q225)*1)=0,0,E225*INDEX(Hours!M:M,MATCH(C225,Hours!$A:$A,0))+F225*INDEX(Hours!B:B,MATCH(C225,Hours!$A:$A,0))+G225*INDEX(Hours!C:C,MATCH(C225,Hours!$A:$A,0))+H225*INDEX(Hours!D:D,MATCH(C225,Hours!$A:$A,0))+I225*INDEX(Hours!E:E,MATCH(C225,Hours!$A:$A,0))+J225*INDEX(Hours!F:F,MATCH(C225,Hours!$A:$A,0))+K225*INDEX(Hours!G:G,MATCH(C225,Hours!$A:$A,0)))</f>
        <v>0</v>
      </c>
      <c r="S225" s="19">
        <f t="shared" si="7"/>
        <v>0</v>
      </c>
    </row>
    <row r="226" spans="1:19" x14ac:dyDescent="0.25">
      <c r="A226" s="11" t="str">
        <f>'Bldgs &amp; Rooms'!$A$8</f>
        <v>Main Bldg.</v>
      </c>
      <c r="B226" s="11">
        <f>'Bldgs &amp; Rooms'!$B$8</f>
        <v>0</v>
      </c>
      <c r="C226" s="10" t="str">
        <f>Hours!$A$4</f>
        <v xml:space="preserve">  SwitchGear Drawout Breakers</v>
      </c>
      <c r="D226" s="11">
        <f t="shared" si="6"/>
        <v>0</v>
      </c>
      <c r="E226" s="16">
        <f>IF('Components Yr 1'!E226=0,0,'Components Yr 1'!E226)</f>
        <v>0</v>
      </c>
      <c r="F226" s="17">
        <f>IF('Components Yr 1'!F226=0,0,'Components Yr 1'!F226)</f>
        <v>0</v>
      </c>
      <c r="G226" s="17">
        <f>IF('Components Yr 1'!G226=0,0,'Components Yr 1'!G226)</f>
        <v>0</v>
      </c>
      <c r="H226" s="17">
        <f>IF('Components Yr 1'!H226=0,0,'Components Yr 1'!H226)</f>
        <v>0</v>
      </c>
      <c r="I226" s="17">
        <f>IF('Components Yr 1'!I226=0,0,'Components Yr 1'!I226)</f>
        <v>0</v>
      </c>
      <c r="J226" s="17">
        <f>IF('Components Yr 1'!J226=0,0,'Components Yr 1'!J226)</f>
        <v>0</v>
      </c>
      <c r="K226" s="12"/>
      <c r="L226" s="17">
        <f>IF('Components Yr 1'!L226=0,0,'Components Yr 1'!L226)</f>
        <v>0</v>
      </c>
      <c r="M226" s="12"/>
      <c r="N226" s="12"/>
      <c r="O226" s="12"/>
      <c r="P226" s="12"/>
      <c r="Q226" s="17"/>
      <c r="R226" s="18">
        <f>IF(SUMPRODUCT((E226:Q226)*1)=0,0,E226*INDEX(Hours!M:M,MATCH(C226,Hours!$A:$A,0))+F226*INDEX(Hours!B:B,MATCH(C226,Hours!$A:$A,0))+G226*INDEX(Hours!C:C,MATCH(C226,Hours!$A:$A,0))+H226*INDEX(Hours!D:D,MATCH(C226,Hours!$A:$A,0))+I226*INDEX(Hours!E:E,MATCH(C226,Hours!$A:$A,0))+J226*INDEX(Hours!F:F,MATCH(C226,Hours!$A:$A,0))+L226*INDEX(Hours!H:H,MATCH(C226,Hours!$A:$A,0)))</f>
        <v>0</v>
      </c>
      <c r="S226" s="19">
        <f t="shared" si="7"/>
        <v>0</v>
      </c>
    </row>
    <row r="227" spans="1:19" x14ac:dyDescent="0.25">
      <c r="A227" s="11" t="str">
        <f>'Bldgs &amp; Rooms'!$A$8</f>
        <v>Main Bldg.</v>
      </c>
      <c r="B227" s="11">
        <f>'Bldgs &amp; Rooms'!$B$8</f>
        <v>0</v>
      </c>
      <c r="C227" s="10" t="str">
        <f>Hours!$A$5</f>
        <v>Distribution Switchboard Multi Cover (Per Section)</v>
      </c>
      <c r="D227" s="11">
        <f t="shared" si="6"/>
        <v>0</v>
      </c>
      <c r="E227" s="16">
        <f>IF('Components Yr 1'!E227=0,0,'Components Yr 1'!E227)</f>
        <v>0</v>
      </c>
      <c r="F227" s="17">
        <f>IF('Components Yr 1'!F227=0,0,'Components Yr 1'!F227)</f>
        <v>0</v>
      </c>
      <c r="G227" s="17">
        <f>IF('Components Yr 1'!G227=0,0,'Components Yr 1'!G227)</f>
        <v>0</v>
      </c>
      <c r="H227" s="17">
        <f>IF('Components Yr 1'!H227=0,0,'Components Yr 1'!H227)</f>
        <v>0</v>
      </c>
      <c r="I227" s="17">
        <f>IF('Components Yr 1'!I227=0,0,'Components Yr 1'!I227)</f>
        <v>0</v>
      </c>
      <c r="J227" s="17">
        <f>IF('Components Yr 1'!J227=0,0,'Components Yr 1'!J227)</f>
        <v>0</v>
      </c>
      <c r="K227" s="17">
        <f>IF('Components Yr 1'!K227=0,0,'Components Yr 1'!K227)</f>
        <v>0</v>
      </c>
      <c r="L227" s="12"/>
      <c r="M227" s="12"/>
      <c r="N227" s="12"/>
      <c r="O227" s="17">
        <f>IF('Components Yr 1'!O227=0,0,'Components Yr 1'!O227)</f>
        <v>0</v>
      </c>
      <c r="P227" s="12"/>
      <c r="Q227" s="17"/>
      <c r="R227" s="18">
        <f>IF(SUMPRODUCT((E227:Q227)*1)=0,0,E227*INDEX(Hours!M:M,MATCH(C227,Hours!$A:$A,0))+F227*INDEX(Hours!B:B,MATCH(C227,Hours!$A:$A,0))+G227*INDEX(Hours!C:C,MATCH(C227,Hours!$A:$A,0))+H227*INDEX(Hours!D:D,MATCH(C227,Hours!$A:$A,0))+I227*INDEX(Hours!E:E,MATCH(C227,Hours!$A:$A,0))+J227*INDEX(Hours!F:F,MATCH(C227,Hours!$A:$A,0))+K227*INDEX(Hours!G:G,MATCH(C227,Hours!$A:$A,0))+O227*INDEX(Hours!K:K,MATCH(C227,Hours!$A:$A,0)))</f>
        <v>0</v>
      </c>
      <c r="S227" s="19">
        <f t="shared" si="7"/>
        <v>0</v>
      </c>
    </row>
    <row r="228" spans="1:19" x14ac:dyDescent="0.25">
      <c r="A228" s="11" t="str">
        <f>'Bldgs &amp; Rooms'!$A$8</f>
        <v>Main Bldg.</v>
      </c>
      <c r="B228" s="11">
        <f>'Bldgs &amp; Rooms'!$B$8</f>
        <v>0</v>
      </c>
      <c r="C228" s="10" t="str">
        <f>Hours!$A$6</f>
        <v xml:space="preserve">  Switchboard Disconnects</v>
      </c>
      <c r="D228" s="11">
        <f t="shared" si="6"/>
        <v>0</v>
      </c>
      <c r="E228" s="16">
        <f>IF('Components Yr 1'!E228=0,0,'Components Yr 1'!E228)</f>
        <v>0</v>
      </c>
      <c r="F228" s="17">
        <f>IF('Components Yr 1'!F228=0,0,'Components Yr 1'!F228)</f>
        <v>0</v>
      </c>
      <c r="G228" s="17">
        <f>IF('Components Yr 1'!G228=0,0,'Components Yr 1'!G228)</f>
        <v>0</v>
      </c>
      <c r="H228" s="17">
        <f>IF('Components Yr 1'!H228=0,0,'Components Yr 1'!H228)</f>
        <v>0</v>
      </c>
      <c r="I228" s="17">
        <f>IF('Components Yr 1'!I228=0,0,'Components Yr 1'!I228)</f>
        <v>0</v>
      </c>
      <c r="J228" s="17">
        <f>IF('Components Yr 1'!J228=0,0,'Components Yr 1'!J228)</f>
        <v>0</v>
      </c>
      <c r="K228" s="12"/>
      <c r="L228" s="12"/>
      <c r="M228" s="12"/>
      <c r="N228" s="12"/>
      <c r="O228" s="12"/>
      <c r="P228" s="12"/>
      <c r="Q228" s="17"/>
      <c r="R228" s="18">
        <f>IF(SUMPRODUCT((E228:Q228)*1)=0,0,E228*INDEX(Hours!M:M,MATCH(C228,Hours!$A:$A,0))+F228*INDEX(Hours!B:B,MATCH(C228,Hours!$A:$A,0))+G228*INDEX(Hours!C:C,MATCH(C228,Hours!$A:$A,0))+H228*INDEX(Hours!D:D,MATCH(C228,Hours!$A:$A,0))+I228*INDEX(Hours!E:E,MATCH(C228,Hours!$A:$A,0))+J228*INDEX(Hours!F:F,MATCH(C228,Hours!$A:$A,0)))</f>
        <v>0</v>
      </c>
      <c r="S228" s="19">
        <f t="shared" si="7"/>
        <v>0</v>
      </c>
    </row>
    <row r="229" spans="1:19" x14ac:dyDescent="0.25">
      <c r="A229" s="11" t="str">
        <f>'Bldgs &amp; Rooms'!$A$8</f>
        <v>Main Bldg.</v>
      </c>
      <c r="B229" s="11">
        <f>'Bldgs &amp; Rooms'!$B$8</f>
        <v>0</v>
      </c>
      <c r="C229" s="10" t="str">
        <f>Hours!$A$7</f>
        <v xml:space="preserve">  Switchboard Molded Case Breakers</v>
      </c>
      <c r="D229" s="11">
        <f t="shared" si="6"/>
        <v>0</v>
      </c>
      <c r="E229" s="16">
        <f>IF('Components Yr 1'!E229=0,0,'Components Yr 1'!E229)</f>
        <v>0</v>
      </c>
      <c r="F229" s="17">
        <f>IF('Components Yr 1'!F229=0,0,'Components Yr 1'!F229)</f>
        <v>0</v>
      </c>
      <c r="G229" s="17">
        <f>IF('Components Yr 1'!G229=0,0,'Components Yr 1'!G229)</f>
        <v>0</v>
      </c>
      <c r="H229" s="17">
        <f>IF('Components Yr 1'!H229=0,0,'Components Yr 1'!H229)</f>
        <v>0</v>
      </c>
      <c r="I229" s="17">
        <f>IF('Components Yr 1'!I229=0,0,'Components Yr 1'!I229)</f>
        <v>0</v>
      </c>
      <c r="J229" s="17">
        <f>IF('Components Yr 1'!J229=0,0,'Components Yr 1'!J229)</f>
        <v>0</v>
      </c>
      <c r="K229" s="17">
        <f>IF('Components Yr 1'!K229=0,0,'Components Yr 1'!K229)</f>
        <v>0</v>
      </c>
      <c r="L229" s="12"/>
      <c r="M229" s="12"/>
      <c r="N229" s="12"/>
      <c r="O229" s="12"/>
      <c r="P229" s="12"/>
      <c r="Q229" s="17"/>
      <c r="R229" s="18">
        <f>IF(SUMPRODUCT((E229:Q229)*1)=0,0,E229*INDEX(Hours!M:M,MATCH(C229,Hours!$A:$A,0))+F229*INDEX(Hours!B:B,MATCH(C229,Hours!$A:$A,0))+G229*INDEX(Hours!C:C,MATCH(C229,Hours!$A:$A,0))+H229*INDEX(Hours!D:D,MATCH(C229,Hours!$A:$A,0))+I229*INDEX(Hours!E:E,MATCH(C229,Hours!$A:$A,0))+J229*INDEX(Hours!F:F,MATCH(C229,Hours!$A:$A,0))+K229*INDEX(Hours!G:G,MATCH(C229,Hours!$A:$A,0)))</f>
        <v>0</v>
      </c>
      <c r="S229" s="19">
        <f t="shared" si="7"/>
        <v>0</v>
      </c>
    </row>
    <row r="230" spans="1:19" x14ac:dyDescent="0.25">
      <c r="A230" s="11" t="str">
        <f>'Bldgs &amp; Rooms'!$A$8</f>
        <v>Main Bldg.</v>
      </c>
      <c r="B230" s="11">
        <f>'Bldgs &amp; Rooms'!$B$8</f>
        <v>0</v>
      </c>
      <c r="C230" s="10" t="str">
        <f>Hours!$A$8</f>
        <v>Panelboard-Single Cover &gt; 400A (Distribution Panel)</v>
      </c>
      <c r="D230" s="11">
        <f t="shared" si="6"/>
        <v>0</v>
      </c>
      <c r="E230" s="16">
        <f>IF('Components Yr 1'!E230=0,0,'Components Yr 1'!E230)</f>
        <v>0</v>
      </c>
      <c r="F230" s="17">
        <f>IF('Components Yr 1'!F230=0,0,'Components Yr 1'!F230)</f>
        <v>0</v>
      </c>
      <c r="G230" s="17">
        <f>IF('Components Yr 1'!G230=0,0,'Components Yr 1'!G230)</f>
        <v>0</v>
      </c>
      <c r="H230" s="17">
        <f>IF('Components Yr 1'!H230=0,0,'Components Yr 1'!H230)</f>
        <v>0</v>
      </c>
      <c r="I230" s="17">
        <f>IF('Components Yr 1'!I230=0,0,'Components Yr 1'!I230)</f>
        <v>0</v>
      </c>
      <c r="J230" s="17">
        <f>IF('Components Yr 1'!J230=0,0,'Components Yr 1'!J230)</f>
        <v>0</v>
      </c>
      <c r="K230" s="17">
        <f>IF('Components Yr 1'!K230=0,0,'Components Yr 1'!K230)</f>
        <v>0</v>
      </c>
      <c r="L230" s="12"/>
      <c r="M230" s="12"/>
      <c r="N230" s="12"/>
      <c r="O230" s="17">
        <f>IF('Components Yr 1'!O230=0,0,'Components Yr 1'!O230)</f>
        <v>0</v>
      </c>
      <c r="P230" s="12"/>
      <c r="Q230" s="17"/>
      <c r="R230" s="18">
        <f>IF(SUMPRODUCT((E230:Q230)*1)=0,0,E230*INDEX(Hours!M:M,MATCH(C230,Hours!$A:$A,0))+F230*INDEX(Hours!B:B,MATCH(C230,Hours!$A:$A,0))+G230*INDEX(Hours!C:C,MATCH(C230,Hours!$A:$A,0))+H230*INDEX(Hours!D:D,MATCH(C230,Hours!$A:$A,0))+I230*INDEX(Hours!E:E,MATCH(C230,Hours!$A:$A,0))+J230*INDEX(Hours!F:F,MATCH(C230,Hours!$A:$A,0))+K230*INDEX(Hours!G:G,MATCH(C230,Hours!$A:$A,0))+O230*INDEX(Hours!K:K,MATCH(C230,Hours!$A:$A,0)))</f>
        <v>0</v>
      </c>
      <c r="S230" s="19">
        <f t="shared" si="7"/>
        <v>0</v>
      </c>
    </row>
    <row r="231" spans="1:19" x14ac:dyDescent="0.25">
      <c r="A231" s="11" t="str">
        <f>'Bldgs &amp; Rooms'!$A$8</f>
        <v>Main Bldg.</v>
      </c>
      <c r="B231" s="11">
        <f>'Bldgs &amp; Rooms'!$B$8</f>
        <v>0</v>
      </c>
      <c r="C231" s="10" t="str">
        <f>Hours!$A$9</f>
        <v>Panelboard-Single Cover &lt; 400A (Branch Ckt Panel)</v>
      </c>
      <c r="D231" s="11">
        <f t="shared" si="6"/>
        <v>0</v>
      </c>
      <c r="E231" s="16">
        <f>IF('Components Yr 1'!E231=0,0,'Components Yr 1'!E231)</f>
        <v>0</v>
      </c>
      <c r="F231" s="17">
        <f>IF('Components Yr 1'!F231=0,0,'Components Yr 1'!F231)</f>
        <v>0</v>
      </c>
      <c r="G231" s="17">
        <f>IF('Components Yr 1'!G231=0,0,'Components Yr 1'!G231)</f>
        <v>0</v>
      </c>
      <c r="H231" s="17">
        <f>IF('Components Yr 1'!H231=0,0,'Components Yr 1'!H231)</f>
        <v>0</v>
      </c>
      <c r="I231" s="17">
        <f>IF('Components Yr 1'!I231=0,0,'Components Yr 1'!I231)</f>
        <v>0</v>
      </c>
      <c r="J231" s="17">
        <f>IF('Components Yr 1'!J231=0,0,'Components Yr 1'!J231)</f>
        <v>0</v>
      </c>
      <c r="K231" s="12"/>
      <c r="L231" s="12"/>
      <c r="M231" s="12"/>
      <c r="N231" s="12"/>
      <c r="O231" s="17">
        <f>IF('Components Yr 1'!O231=0,0,'Components Yr 1'!O231)</f>
        <v>0</v>
      </c>
      <c r="P231" s="12"/>
      <c r="Q231" s="17"/>
      <c r="R231" s="18">
        <f>IF(SUMPRODUCT((E231:Q231)*1)=0,0,E231*INDEX(Hours!M:M,MATCH(C231,Hours!$A:$A,0))+F231*INDEX(Hours!B:B,MATCH(C231,Hours!$A:$A,0))+G231*INDEX(Hours!C:C,MATCH(C231,Hours!$A:$A,0))+H231*INDEX(Hours!D:D,MATCH(C231,Hours!$A:$A,0))+I231*INDEX(Hours!E:E,MATCH(C231,Hours!$A:$A,0))+J231*INDEX(Hours!F:F,MATCH(C231,Hours!$A:$A,0))+O231*INDEX(Hours!K:K,MATCH(C231,Hours!$A:$A,0)))</f>
        <v>0</v>
      </c>
      <c r="S231" s="19">
        <f t="shared" si="7"/>
        <v>0</v>
      </c>
    </row>
    <row r="232" spans="1:19" x14ac:dyDescent="0.25">
      <c r="A232" s="11" t="str">
        <f>'Bldgs &amp; Rooms'!$A$8</f>
        <v>Main Bldg.</v>
      </c>
      <c r="B232" s="11">
        <f>'Bldgs &amp; Rooms'!$B$8</f>
        <v>0</v>
      </c>
      <c r="C232" s="10" t="str">
        <f>Hours!$A$10</f>
        <v>Motor Control Center (MCC-Per Vertical Section)</v>
      </c>
      <c r="D232" s="11">
        <f t="shared" si="6"/>
        <v>0</v>
      </c>
      <c r="E232" s="16">
        <f>IF('Components Yr 1'!E232=0,0,'Components Yr 1'!E232)</f>
        <v>0</v>
      </c>
      <c r="F232" s="17">
        <f>IF('Components Yr 1'!F232=0,0,'Components Yr 1'!F232)</f>
        <v>0</v>
      </c>
      <c r="G232" s="17">
        <f>IF('Components Yr 1'!G232=0,0,'Components Yr 1'!G232)</f>
        <v>0</v>
      </c>
      <c r="H232" s="17">
        <f>IF('Components Yr 1'!H232=0,0,'Components Yr 1'!H232)</f>
        <v>0</v>
      </c>
      <c r="I232" s="17">
        <f>IF('Components Yr 1'!I232=0,0,'Components Yr 1'!I232)</f>
        <v>0</v>
      </c>
      <c r="J232" s="17">
        <f>IF('Components Yr 1'!J232=0,0,'Components Yr 1'!J232)</f>
        <v>0</v>
      </c>
      <c r="K232" s="12"/>
      <c r="L232" s="12"/>
      <c r="M232" s="12"/>
      <c r="N232" s="12"/>
      <c r="O232" s="17">
        <f>IF('Components Yr 1'!O232=0,0,'Components Yr 1'!O232)</f>
        <v>0</v>
      </c>
      <c r="P232" s="12"/>
      <c r="Q232" s="17"/>
      <c r="R232" s="18">
        <f>IF(SUMPRODUCT((E232:Q232)*1)=0,0,E232*INDEX(Hours!M:M,MATCH(C232,Hours!$A:$A,0))+F232*INDEX(Hours!B:B,MATCH(C232,Hours!$A:$A,0))+G232*INDEX(Hours!C:C,MATCH(C232,Hours!$A:$A,0))+H232*INDEX(Hours!D:D,MATCH(C232,Hours!$A:$A,0))+I232*INDEX(Hours!E:E,MATCH(C232,Hours!$A:$A,0))+J232*INDEX(Hours!F:F,MATCH(C232,Hours!$A:$A,0))+O232*INDEX(Hours!K:K,MATCH(C232,Hours!$A:$A,0)))</f>
        <v>0</v>
      </c>
      <c r="S232" s="19">
        <f t="shared" si="7"/>
        <v>0</v>
      </c>
    </row>
    <row r="233" spans="1:19" x14ac:dyDescent="0.25">
      <c r="A233" s="11" t="str">
        <f>'Bldgs &amp; Rooms'!$A$8</f>
        <v>Main Bldg.</v>
      </c>
      <c r="B233" s="11">
        <f>'Bldgs &amp; Rooms'!$B$8</f>
        <v>0</v>
      </c>
      <c r="C233" s="10" t="str">
        <f>Hours!$A$11</f>
        <v xml:space="preserve">  MCC: Combination Motor Starters</v>
      </c>
      <c r="D233" s="11">
        <f t="shared" si="6"/>
        <v>0</v>
      </c>
      <c r="E233" s="16">
        <f>IF('Components Yr 1'!E233=0,0,'Components Yr 1'!E233)</f>
        <v>0</v>
      </c>
      <c r="F233" s="17">
        <f>IF('Components Yr 1'!F233=0,0,'Components Yr 1'!F233)</f>
        <v>0</v>
      </c>
      <c r="G233" s="17">
        <f>IF('Components Yr 1'!G233=0,0,'Components Yr 1'!G233)</f>
        <v>0</v>
      </c>
      <c r="H233" s="17">
        <f>IF('Components Yr 1'!H233=0,0,'Components Yr 1'!H233)</f>
        <v>0</v>
      </c>
      <c r="I233" s="17">
        <f>IF('Components Yr 1'!I233=0,0,'Components Yr 1'!I233)</f>
        <v>0</v>
      </c>
      <c r="J233" s="17">
        <f>IF('Components Yr 1'!J233=0,0,'Components Yr 1'!J233)</f>
        <v>0</v>
      </c>
      <c r="K233" s="17">
        <f>IF('Components Yr 1'!K233=0,0,'Components Yr 1'!K233)</f>
        <v>0</v>
      </c>
      <c r="L233" s="12"/>
      <c r="M233" s="12"/>
      <c r="N233" s="12"/>
      <c r="O233" s="17">
        <f>IF('Components Yr 1'!O233=0,0,'Components Yr 1'!O233)</f>
        <v>0</v>
      </c>
      <c r="P233" s="12"/>
      <c r="Q233" s="17"/>
      <c r="R233" s="18">
        <f>IF(SUMPRODUCT((E233:Q233)*1)=0,0,E233*INDEX(Hours!M:M,MATCH(C233,Hours!$A:$A,0))+F233*INDEX(Hours!B:B,MATCH(C233,Hours!$A:$A,0))+G233*INDEX(Hours!C:C,MATCH(C233,Hours!$A:$A,0))+H233*INDEX(Hours!D:D,MATCH(C233,Hours!$A:$A,0))+I233*INDEX(Hours!E:E,MATCH(C233,Hours!$A:$A,0))+J233*INDEX(Hours!F:F,MATCH(C233,Hours!$A:$A,0))+K233*INDEX(Hours!G:G,MATCH(C233,Hours!$A:$A,0))+O233*INDEX(Hours!K:K,MATCH(C233,Hours!$A:$A,0)))</f>
        <v>0</v>
      </c>
      <c r="S233" s="19">
        <f t="shared" si="7"/>
        <v>0</v>
      </c>
    </row>
    <row r="234" spans="1:19" x14ac:dyDescent="0.25">
      <c r="A234" s="11" t="str">
        <f>'Bldgs &amp; Rooms'!$A$8</f>
        <v>Main Bldg.</v>
      </c>
      <c r="B234" s="11">
        <f>'Bldgs &amp; Rooms'!$B$8</f>
        <v>0</v>
      </c>
      <c r="C234" s="10" t="str">
        <f>Hours!$A$12</f>
        <v xml:space="preserve">  MCC: Molded Case Breaker</v>
      </c>
      <c r="D234" s="11">
        <f t="shared" si="6"/>
        <v>0</v>
      </c>
      <c r="E234" s="16">
        <f>IF('Components Yr 1'!E234=0,0,'Components Yr 1'!E234)</f>
        <v>0</v>
      </c>
      <c r="F234" s="17">
        <f>IF('Components Yr 1'!F234=0,0,'Components Yr 1'!F234)</f>
        <v>0</v>
      </c>
      <c r="G234" s="17">
        <f>IF('Components Yr 1'!G234=0,0,'Components Yr 1'!G234)</f>
        <v>0</v>
      </c>
      <c r="H234" s="17">
        <f>IF('Components Yr 1'!H234=0,0,'Components Yr 1'!H234)</f>
        <v>0</v>
      </c>
      <c r="I234" s="17">
        <f>IF('Components Yr 1'!I234=0,0,'Components Yr 1'!I234)</f>
        <v>0</v>
      </c>
      <c r="J234" s="17">
        <f>IF('Components Yr 1'!J234=0,0,'Components Yr 1'!J234)</f>
        <v>0</v>
      </c>
      <c r="K234" s="17">
        <f>IF('Components Yr 1'!K234=0,0,'Components Yr 1'!K234)</f>
        <v>0</v>
      </c>
      <c r="L234" s="12"/>
      <c r="M234" s="12"/>
      <c r="N234" s="12"/>
      <c r="O234" s="12"/>
      <c r="P234" s="12"/>
      <c r="Q234" s="17"/>
      <c r="R234" s="18">
        <f>IF(SUMPRODUCT((E234:Q234)*1)=0,0,E234*INDEX(Hours!M:M,MATCH(C234,Hours!$A:$A,0))+F234*INDEX(Hours!B:B,MATCH(C234,Hours!$A:$A,0))+G234*INDEX(Hours!C:C,MATCH(C234,Hours!$A:$A,0))+H234*INDEX(Hours!D:D,MATCH(C234,Hours!$A:$A,0))+I234*INDEX(Hours!E:E,MATCH(C234,Hours!$A:$A,0))+J234*INDEX(Hours!F:F,MATCH(C234,Hours!$A:$A,0))+K234*INDEX(Hours!G:G,MATCH(C234,Hours!$A:$A,0)))</f>
        <v>0</v>
      </c>
      <c r="S234" s="19">
        <f t="shared" si="7"/>
        <v>0</v>
      </c>
    </row>
    <row r="235" spans="1:19" x14ac:dyDescent="0.25">
      <c r="A235" s="11" t="str">
        <f>'Bldgs &amp; Rooms'!$A$8</f>
        <v>Main Bldg.</v>
      </c>
      <c r="B235" s="11">
        <f>'Bldgs &amp; Rooms'!$B$8</f>
        <v>0</v>
      </c>
      <c r="C235" s="10" t="str">
        <f>Hours!$A$13</f>
        <v xml:space="preserve">  MCC: Individual Disconnect Switch</v>
      </c>
      <c r="D235" s="11">
        <f t="shared" si="6"/>
        <v>0</v>
      </c>
      <c r="E235" s="16">
        <f>IF('Components Yr 1'!E235=0,0,'Components Yr 1'!E235)</f>
        <v>0</v>
      </c>
      <c r="F235" s="17">
        <f>IF('Components Yr 1'!F235=0,0,'Components Yr 1'!F235)</f>
        <v>0</v>
      </c>
      <c r="G235" s="17">
        <f>IF('Components Yr 1'!G235=0,0,'Components Yr 1'!G235)</f>
        <v>0</v>
      </c>
      <c r="H235" s="17">
        <f>IF('Components Yr 1'!H235=0,0,'Components Yr 1'!H235)</f>
        <v>0</v>
      </c>
      <c r="I235" s="17">
        <f>IF('Components Yr 1'!I235=0,0,'Components Yr 1'!I235)</f>
        <v>0</v>
      </c>
      <c r="J235" s="17">
        <f>IF('Components Yr 1'!J235=0,0,'Components Yr 1'!J235)</f>
        <v>0</v>
      </c>
      <c r="K235" s="12"/>
      <c r="L235" s="12"/>
      <c r="M235" s="12"/>
      <c r="N235" s="12"/>
      <c r="O235" s="12"/>
      <c r="P235" s="12"/>
      <c r="Q235" s="17"/>
      <c r="R235" s="18">
        <f>IF(SUMPRODUCT((E235:Q235)*1)=0,0,E235*INDEX(Hours!M:M,MATCH(C235,Hours!$A:$A,0))+F235*INDEX(Hours!B:B,MATCH(C235,Hours!$A:$A,0))+G235*INDEX(Hours!C:C,MATCH(C235,Hours!$A:$A,0))+H235*INDEX(Hours!D:D,MATCH(C235,Hours!$A:$A,0))+I235*INDEX(Hours!E:E,MATCH(C235,Hours!$A:$A,0))+J235*INDEX(Hours!F:F,MATCH(C235,Hours!$A:$A,0)))</f>
        <v>0</v>
      </c>
      <c r="S235" s="19">
        <f t="shared" si="7"/>
        <v>0</v>
      </c>
    </row>
    <row r="236" spans="1:19" x14ac:dyDescent="0.25">
      <c r="A236" s="11" t="str">
        <f>'Bldgs &amp; Rooms'!$A$8</f>
        <v>Main Bldg.</v>
      </c>
      <c r="B236" s="11">
        <f>'Bldgs &amp; Rooms'!$B$8</f>
        <v>0</v>
      </c>
      <c r="C236" s="10" t="str">
        <f>Hours!$A$14</f>
        <v>Motor Control Panel (MCP)</v>
      </c>
      <c r="D236" s="11">
        <f t="shared" si="6"/>
        <v>0</v>
      </c>
      <c r="E236" s="16">
        <f>IF('Components Yr 1'!E236=0,0,'Components Yr 1'!E236)</f>
        <v>0</v>
      </c>
      <c r="F236" s="17">
        <f>IF('Components Yr 1'!F236=0,0,'Components Yr 1'!F236)</f>
        <v>0</v>
      </c>
      <c r="G236" s="17">
        <f>IF('Components Yr 1'!G236=0,0,'Components Yr 1'!G236)</f>
        <v>0</v>
      </c>
      <c r="H236" s="17">
        <f>IF('Components Yr 1'!H236=0,0,'Components Yr 1'!H236)</f>
        <v>0</v>
      </c>
      <c r="I236" s="17">
        <f>IF('Components Yr 1'!I236=0,0,'Components Yr 1'!I236)</f>
        <v>0</v>
      </c>
      <c r="J236" s="17">
        <f>IF('Components Yr 1'!J236=0,0,'Components Yr 1'!J236)</f>
        <v>0</v>
      </c>
      <c r="K236" s="12"/>
      <c r="L236" s="12"/>
      <c r="M236" s="12"/>
      <c r="N236" s="12"/>
      <c r="O236" s="17">
        <f>IF('Components Yr 1'!O236=0,0,'Components Yr 1'!O236)</f>
        <v>0</v>
      </c>
      <c r="P236" s="12"/>
      <c r="Q236" s="17"/>
      <c r="R236" s="18">
        <f>IF(SUMPRODUCT((E236:Q236)*1)=0,0,E236*INDEX(Hours!M:M,MATCH(C236,Hours!$A:$A,0))+F236*INDEX(Hours!B:B,MATCH(C236,Hours!$A:$A,0))+G236*INDEX(Hours!C:C,MATCH(C236,Hours!$A:$A,0))+H236*INDEX(Hours!D:D,MATCH(C236,Hours!$A:$A,0))+I236*INDEX(Hours!E:E,MATCH(C236,Hours!$A:$A,0))+J236*INDEX(Hours!F:F,MATCH(C236,Hours!$A:$A,0))+O236*INDEX(Hours!K:K,MATCH(C236,Hours!$A:$A,0)))</f>
        <v>0</v>
      </c>
      <c r="S236" s="19">
        <f t="shared" si="7"/>
        <v>0</v>
      </c>
    </row>
    <row r="237" spans="1:19" x14ac:dyDescent="0.25">
      <c r="A237" s="11" t="str">
        <f>'Bldgs &amp; Rooms'!$A$8</f>
        <v>Main Bldg.</v>
      </c>
      <c r="B237" s="11">
        <f>'Bldgs &amp; Rooms'!$B$8</f>
        <v>0</v>
      </c>
      <c r="C237" s="10" t="str">
        <f>Hours!$A$15</f>
        <v>VFD Motor Control Panel (VFD-MCP)</v>
      </c>
      <c r="D237" s="11">
        <f t="shared" si="6"/>
        <v>0</v>
      </c>
      <c r="E237" s="16">
        <f>IF('Components Yr 1'!E237=0,0,'Components Yr 1'!E237)</f>
        <v>0</v>
      </c>
      <c r="F237" s="17">
        <f>IF('Components Yr 1'!F237=0,0,'Components Yr 1'!F237)</f>
        <v>0</v>
      </c>
      <c r="G237" s="17">
        <f>IF('Components Yr 1'!G237=0,0,'Components Yr 1'!G237)</f>
        <v>0</v>
      </c>
      <c r="H237" s="17">
        <f>IF('Components Yr 1'!H237=0,0,'Components Yr 1'!H237)</f>
        <v>0</v>
      </c>
      <c r="I237" s="17">
        <f>IF('Components Yr 1'!I237=0,0,'Components Yr 1'!I237)</f>
        <v>0</v>
      </c>
      <c r="J237" s="17">
        <f>IF('Components Yr 1'!J237=0,0,'Components Yr 1'!J237)</f>
        <v>0</v>
      </c>
      <c r="K237" s="12"/>
      <c r="L237" s="12"/>
      <c r="M237" s="12"/>
      <c r="N237" s="12"/>
      <c r="O237" s="17">
        <f>IF('Components Yr 1'!O237=0,0,'Components Yr 1'!O237)</f>
        <v>0</v>
      </c>
      <c r="P237" s="12"/>
      <c r="Q237" s="17"/>
      <c r="R237" s="18">
        <f>IF(SUMPRODUCT((E237:Q237)*1)=0,0,E237*INDEX(Hours!M:M,MATCH(C237,Hours!$A:$A,0))+F237*INDEX(Hours!B:B,MATCH(C237,Hours!$A:$A,0))+G237*INDEX(Hours!C:C,MATCH(C237,Hours!$A:$A,0))+H237*INDEX(Hours!D:D,MATCH(C237,Hours!$A:$A,0))+I237*INDEX(Hours!E:E,MATCH(C237,Hours!$A:$A,0))+J237*INDEX(Hours!F:F,MATCH(C237,Hours!$A:$A,0))+O237*INDEX(Hours!K:K,MATCH(C237,Hours!$A:$A,0)))</f>
        <v>0</v>
      </c>
      <c r="S237" s="19">
        <f t="shared" si="7"/>
        <v>0</v>
      </c>
    </row>
    <row r="238" spans="1:19" x14ac:dyDescent="0.25">
      <c r="A238" s="11" t="str">
        <f>'Bldgs &amp; Rooms'!$A$8</f>
        <v>Main Bldg.</v>
      </c>
      <c r="B238" s="11">
        <f>'Bldgs &amp; Rooms'!$B$8</f>
        <v>0</v>
      </c>
      <c r="C238" s="10" t="str">
        <f>Hours!$A$16</f>
        <v>Individual Disconnect Switch &gt; 100A</v>
      </c>
      <c r="D238" s="11">
        <f t="shared" si="6"/>
        <v>0</v>
      </c>
      <c r="E238" s="16">
        <f>IF('Components Yr 1'!E238=0,0,'Components Yr 1'!E238)</f>
        <v>0</v>
      </c>
      <c r="F238" s="17">
        <f>IF('Components Yr 1'!F238=0,0,'Components Yr 1'!F238)</f>
        <v>0</v>
      </c>
      <c r="G238" s="17">
        <f>IF('Components Yr 1'!G238=0,0,'Components Yr 1'!G238)</f>
        <v>0</v>
      </c>
      <c r="H238" s="17">
        <f>IF('Components Yr 1'!H238=0,0,'Components Yr 1'!H238)</f>
        <v>0</v>
      </c>
      <c r="I238" s="17">
        <f>IF('Components Yr 1'!I238=0,0,'Components Yr 1'!I238)</f>
        <v>0</v>
      </c>
      <c r="J238" s="17">
        <f>IF('Components Yr 1'!J238=0,0,'Components Yr 1'!J238)</f>
        <v>0</v>
      </c>
      <c r="K238" s="17">
        <f>IF('Components Yr 1'!K238=0,0,'Components Yr 1'!K238)</f>
        <v>0</v>
      </c>
      <c r="L238" s="12"/>
      <c r="M238" s="12"/>
      <c r="N238" s="12"/>
      <c r="O238" s="12"/>
      <c r="P238" s="12"/>
      <c r="Q238" s="17"/>
      <c r="R238" s="18">
        <f>IF(SUMPRODUCT((E238:Q238)*1)=0,0,E238*INDEX(Hours!M:M,MATCH(C238,Hours!$A:$A,0))+F238*INDEX(Hours!B:B,MATCH(C238,Hours!$A:$A,0))+G238*INDEX(Hours!C:C,MATCH(C238,Hours!$A:$A,0))+H238*INDEX(Hours!D:D,MATCH(C238,Hours!$A:$A,0))+I238*INDEX(Hours!E:E,MATCH(C238,Hours!$A:$A,0))+J238*INDEX(Hours!F:F,MATCH(C238,Hours!$A:$A,0))+K238*INDEX(Hours!G:G,MATCH(C238,Hours!$A:$A,0)))</f>
        <v>0</v>
      </c>
      <c r="S238" s="19">
        <f t="shared" si="7"/>
        <v>0</v>
      </c>
    </row>
    <row r="239" spans="1:19" x14ac:dyDescent="0.25">
      <c r="A239" s="11" t="str">
        <f>'Bldgs &amp; Rooms'!$A$8</f>
        <v>Main Bldg.</v>
      </c>
      <c r="B239" s="11">
        <f>'Bldgs &amp; Rooms'!$B$8</f>
        <v>0</v>
      </c>
      <c r="C239" s="10" t="str">
        <f>Hours!$A$17</f>
        <v>Individual Molded Case Breaker &gt; 100A</v>
      </c>
      <c r="D239" s="11">
        <f t="shared" si="6"/>
        <v>0</v>
      </c>
      <c r="E239" s="16">
        <f>IF('Components Yr 1'!E239=0,0,'Components Yr 1'!E239)</f>
        <v>0</v>
      </c>
      <c r="F239" s="17">
        <f>IF('Components Yr 1'!F239=0,0,'Components Yr 1'!F239)</f>
        <v>0</v>
      </c>
      <c r="G239" s="17">
        <f>IF('Components Yr 1'!G239=0,0,'Components Yr 1'!G239)</f>
        <v>0</v>
      </c>
      <c r="H239" s="17">
        <f>IF('Components Yr 1'!H239=0,0,'Components Yr 1'!H239)</f>
        <v>0</v>
      </c>
      <c r="I239" s="17">
        <f>IF('Components Yr 1'!I239=0,0,'Components Yr 1'!I239)</f>
        <v>0</v>
      </c>
      <c r="J239" s="17">
        <f>IF('Components Yr 1'!J239=0,0,'Components Yr 1'!J239)</f>
        <v>0</v>
      </c>
      <c r="K239" s="17">
        <f>IF('Components Yr 1'!K239=0,0,'Components Yr 1'!K239)</f>
        <v>0</v>
      </c>
      <c r="L239" s="12"/>
      <c r="M239" s="12"/>
      <c r="N239" s="12"/>
      <c r="O239" s="12"/>
      <c r="P239" s="12"/>
      <c r="Q239" s="17"/>
      <c r="R239" s="18">
        <f>IF(SUMPRODUCT((E239:Q239)*1)=0,0,E239*INDEX(Hours!M:M,MATCH(C239,Hours!$A:$A,0))+F239*INDEX(Hours!B:B,MATCH(C239,Hours!$A:$A,0))+G239*INDEX(Hours!C:C,MATCH(C239,Hours!$A:$A,0))+H239*INDEX(Hours!D:D,MATCH(C239,Hours!$A:$A,0))+I239*INDEX(Hours!E:E,MATCH(C239,Hours!$A:$A,0))+J239*INDEX(Hours!F:F,MATCH(C239,Hours!$A:$A,0))+K239*INDEX(Hours!G:G,MATCH(C239,Hours!$A:$A,0)))</f>
        <v>0</v>
      </c>
      <c r="S239" s="19">
        <f t="shared" si="7"/>
        <v>0</v>
      </c>
    </row>
    <row r="240" spans="1:19" x14ac:dyDescent="0.25">
      <c r="A240" s="11" t="str">
        <f>'Bldgs &amp; Rooms'!$A$8</f>
        <v>Main Bldg.</v>
      </c>
      <c r="B240" s="11">
        <f>'Bldgs &amp; Rooms'!$B$8</f>
        <v>0</v>
      </c>
      <c r="C240" s="10" t="str">
        <f>Hours!$A$18</f>
        <v>Individual Combination Motor Starter &gt; 100A</v>
      </c>
      <c r="D240" s="11">
        <f t="shared" si="6"/>
        <v>0</v>
      </c>
      <c r="E240" s="16">
        <f>IF('Components Yr 1'!E240=0,0,'Components Yr 1'!E240)</f>
        <v>0</v>
      </c>
      <c r="F240" s="17">
        <f>IF('Components Yr 1'!F240=0,0,'Components Yr 1'!F240)</f>
        <v>0</v>
      </c>
      <c r="G240" s="17">
        <f>IF('Components Yr 1'!G240=0,0,'Components Yr 1'!G240)</f>
        <v>0</v>
      </c>
      <c r="H240" s="17">
        <f>IF('Components Yr 1'!H240=0,0,'Components Yr 1'!H240)</f>
        <v>0</v>
      </c>
      <c r="I240" s="17">
        <f>IF('Components Yr 1'!I240=0,0,'Components Yr 1'!I240)</f>
        <v>0</v>
      </c>
      <c r="J240" s="17">
        <f>IF('Components Yr 1'!J240=0,0,'Components Yr 1'!J240)</f>
        <v>0</v>
      </c>
      <c r="K240" s="17">
        <f>IF('Components Yr 1'!K240=0,0,'Components Yr 1'!K240)</f>
        <v>0</v>
      </c>
      <c r="L240" s="12"/>
      <c r="M240" s="12"/>
      <c r="N240" s="12"/>
      <c r="O240" s="12"/>
      <c r="P240" s="12"/>
      <c r="Q240" s="17"/>
      <c r="R240" s="18">
        <f>IF(SUMPRODUCT((E240:Q240)*1)=0,0,E240*INDEX(Hours!M:M,MATCH(C240,Hours!$A:$A,0))+F240*INDEX(Hours!B:B,MATCH(C240,Hours!$A:$A,0))+G240*INDEX(Hours!C:C,MATCH(C240,Hours!$A:$A,0))+H240*INDEX(Hours!D:D,MATCH(C240,Hours!$A:$A,0))+I240*INDEX(Hours!E:E,MATCH(C240,Hours!$A:$A,0))+J240*INDEX(Hours!F:F,MATCH(C240,Hours!$A:$A,0))+K240*INDEX(Hours!G:G,MATCH(C240,Hours!$A:$A,0)))</f>
        <v>0</v>
      </c>
      <c r="S240" s="19">
        <f t="shared" si="7"/>
        <v>0</v>
      </c>
    </row>
    <row r="241" spans="1:19" x14ac:dyDescent="0.25">
      <c r="A241" s="11" t="str">
        <f>'Bldgs &amp; Rooms'!$A$8</f>
        <v>Main Bldg.</v>
      </c>
      <c r="B241" s="11">
        <f>'Bldgs &amp; Rooms'!$B$8</f>
        <v>0</v>
      </c>
      <c r="C241" s="10" t="str">
        <f>Hours!$A$19</f>
        <v>Oil Filled Transformer - 5kV-15kV Primary - Any Size (Pad Mounted)</v>
      </c>
      <c r="D241" s="11">
        <f t="shared" si="6"/>
        <v>0</v>
      </c>
      <c r="E241" s="16">
        <f>IF('Components Yr 1'!E241=0,0,'Components Yr 1'!E241)</f>
        <v>0</v>
      </c>
      <c r="F241" s="17">
        <f>IF('Components Yr 1'!F241=0,0,'Components Yr 1'!F241)</f>
        <v>0</v>
      </c>
      <c r="G241" s="17">
        <f>IF('Components Yr 1'!G241=0,0,'Components Yr 1'!G241)</f>
        <v>0</v>
      </c>
      <c r="H241" s="17">
        <f>IF('Components Yr 1'!H241=0,0,'Components Yr 1'!H241)</f>
        <v>0</v>
      </c>
      <c r="I241" s="17">
        <f>IF('Components Yr 1'!I241=0,0,'Components Yr 1'!I241)</f>
        <v>0</v>
      </c>
      <c r="J241" s="17">
        <f>IF('Components Yr 1'!J241=0,0,'Components Yr 1'!J241)</f>
        <v>0</v>
      </c>
      <c r="K241" s="12"/>
      <c r="L241" s="12"/>
      <c r="M241" s="17">
        <f>IF('Components Yr 1'!M241=0,0,'Components Yr 1'!M241)</f>
        <v>0</v>
      </c>
      <c r="N241" s="17">
        <f>IF('Components Yr 1'!N241=0,0,'Components Yr 1'!N241)</f>
        <v>0</v>
      </c>
      <c r="O241" s="12"/>
      <c r="P241" s="17">
        <f>IF('Components Yr 1'!P241=0,0,'Components Yr 1'!P241)</f>
        <v>0</v>
      </c>
      <c r="Q241" s="17"/>
      <c r="R241" s="18">
        <f>IF(SUMPRODUCT((E241:Q241)*1)=0,0,E241*INDEX(Hours!M:M,MATCH(C241,Hours!$A:$A,0))+F241*INDEX(Hours!B:B,MATCH(C241,Hours!$A:$A,0))+G241*INDEX(Hours!C:C,MATCH(C241,Hours!$A:$A,0))+H241*INDEX(Hours!D:D,MATCH(C241,Hours!$A:$A,0))+I241*INDEX(Hours!E:E,MATCH(C241,Hours!$A:$A,0))+J241*INDEX(Hours!F:F,MATCH(C241,Hours!$A:$A,0))+M241*INDEX(Hours!I:I,MATCH(C241,Hours!$A:$A,0))+N241*INDEX(Hours!J:J,MATCH(C241,Hours!$A:$A,0))+P241*INDEX(Hours!L:L,MATCH(C241,Hours!$A:$A,0)))</f>
        <v>0</v>
      </c>
      <c r="S241" s="19">
        <f t="shared" si="7"/>
        <v>0</v>
      </c>
    </row>
    <row r="242" spans="1:19" x14ac:dyDescent="0.25">
      <c r="A242" s="11" t="str">
        <f>'Bldgs &amp; Rooms'!$A$8</f>
        <v>Main Bldg.</v>
      </c>
      <c r="B242" s="11">
        <f>'Bldgs &amp; Rooms'!$B$8</f>
        <v>0</v>
      </c>
      <c r="C242" s="10" t="str">
        <f>Hours!$A$20</f>
        <v>Oil Filled Transformer - &gt; 15kV Primary (Substation Class)</v>
      </c>
      <c r="D242" s="11">
        <f t="shared" si="6"/>
        <v>0</v>
      </c>
      <c r="E242" s="16">
        <f>IF('Components Yr 1'!E242=0,0,'Components Yr 1'!E242)</f>
        <v>0</v>
      </c>
      <c r="F242" s="17">
        <f>IF('Components Yr 1'!F242=0,0,'Components Yr 1'!F242)</f>
        <v>0</v>
      </c>
      <c r="G242" s="17">
        <f>IF('Components Yr 1'!G242=0,0,'Components Yr 1'!G242)</f>
        <v>0</v>
      </c>
      <c r="H242" s="17">
        <f>IF('Components Yr 1'!H242=0,0,'Components Yr 1'!H242)</f>
        <v>0</v>
      </c>
      <c r="I242" s="17">
        <f>IF('Components Yr 1'!I242=0,0,'Components Yr 1'!I242)</f>
        <v>0</v>
      </c>
      <c r="J242" s="17">
        <f>IF('Components Yr 1'!J242=0,0,'Components Yr 1'!J242)</f>
        <v>0</v>
      </c>
      <c r="K242" s="12"/>
      <c r="L242" s="12"/>
      <c r="M242" s="17">
        <f>IF('Components Yr 1'!M242=0,0,'Components Yr 1'!M242)</f>
        <v>0</v>
      </c>
      <c r="N242" s="17">
        <f>IF('Components Yr 1'!N242=0,0,'Components Yr 1'!N242)</f>
        <v>0</v>
      </c>
      <c r="O242" s="12"/>
      <c r="P242" s="17">
        <f>IF('Components Yr 1'!P242=0,0,'Components Yr 1'!P242)</f>
        <v>0</v>
      </c>
      <c r="Q242" s="17"/>
      <c r="R242" s="18">
        <f>IF(SUMPRODUCT((E242:Q242)*1)=0,0,E242*INDEX(Hours!M:M,MATCH(C242,Hours!$A:$A,0))+F242*INDEX(Hours!B:B,MATCH(C242,Hours!$A:$A,0))+G242*INDEX(Hours!C:C,MATCH(C242,Hours!$A:$A,0))+H242*INDEX(Hours!D:D,MATCH(C242,Hours!$A:$A,0))+I242*INDEX(Hours!E:E,MATCH(C242,Hours!$A:$A,0))+J242*INDEX(Hours!F:F,MATCH(C242,Hours!$A:$A,0))+M242*INDEX(Hours!I:I,MATCH(C242,Hours!$A:$A,0))+N242*INDEX(Hours!J:J,MATCH(C242,Hours!$A:$A,0))+P242*INDEX(Hours!L:L,MATCH(C242,Hours!$A:$A,0)))</f>
        <v>0</v>
      </c>
      <c r="S242" s="19">
        <f t="shared" si="7"/>
        <v>0</v>
      </c>
    </row>
    <row r="243" spans="1:19" x14ac:dyDescent="0.25">
      <c r="A243" s="11" t="str">
        <f>'Bldgs &amp; Rooms'!$A$8</f>
        <v>Main Bldg.</v>
      </c>
      <c r="B243" s="11">
        <f>'Bldgs &amp; Rooms'!$B$8</f>
        <v>0</v>
      </c>
      <c r="C243" s="10" t="str">
        <f>Hours!$A$21</f>
        <v>Dry Type Transformer - &lt; 480V Primary - Any Size kVA</v>
      </c>
      <c r="D243" s="11">
        <f t="shared" si="6"/>
        <v>0</v>
      </c>
      <c r="E243" s="16">
        <f>IF('Components Yr 1'!E243=0,0,'Components Yr 1'!E243)</f>
        <v>0</v>
      </c>
      <c r="F243" s="17">
        <f>IF('Components Yr 1'!F243=0,0,'Components Yr 1'!F243)</f>
        <v>0</v>
      </c>
      <c r="G243" s="17">
        <f>IF('Components Yr 1'!G243=0,0,'Components Yr 1'!G243)</f>
        <v>0</v>
      </c>
      <c r="H243" s="17">
        <f>IF('Components Yr 1'!H243=0,0,'Components Yr 1'!H243)</f>
        <v>0</v>
      </c>
      <c r="I243" s="17">
        <f>IF('Components Yr 1'!I243=0,0,'Components Yr 1'!I243)</f>
        <v>0</v>
      </c>
      <c r="J243" s="17">
        <f>IF('Components Yr 1'!J243=0,0,'Components Yr 1'!J243)</f>
        <v>0</v>
      </c>
      <c r="K243" s="12"/>
      <c r="L243" s="12"/>
      <c r="M243" s="17">
        <f>IF('Components Yr 1'!M243=0,0,'Components Yr 1'!M243)</f>
        <v>0</v>
      </c>
      <c r="N243" s="17">
        <f>IF('Components Yr 1'!N243=0,0,'Components Yr 1'!N243)</f>
        <v>0</v>
      </c>
      <c r="O243" s="12"/>
      <c r="P243" s="12"/>
      <c r="Q243" s="17"/>
      <c r="R243" s="18">
        <f>IF(SUMPRODUCT((E243:Q243)*1)=0,0,E243*INDEX(Hours!M:M,MATCH(C243,Hours!$A:$A,0))+F243*INDEX(Hours!B:B,MATCH(C243,Hours!$A:$A,0))+G243*INDEX(Hours!C:C,MATCH(C243,Hours!$A:$A,0))+H243*INDEX(Hours!D:D,MATCH(C243,Hours!$A:$A,0))+I243*INDEX(Hours!E:E,MATCH(C243,Hours!$A:$A,0))+J243*INDEX(Hours!F:F,MATCH(C243,Hours!$A:$A,0))+M243*INDEX(Hours!I:I,MATCH(C243,Hours!$A:$A,0))+N243*INDEX(Hours!J:J,MATCH(C243,Hours!$A:$A,0)))</f>
        <v>0</v>
      </c>
      <c r="S243" s="19">
        <f t="shared" si="7"/>
        <v>0</v>
      </c>
    </row>
    <row r="244" spans="1:19" x14ac:dyDescent="0.25">
      <c r="A244" s="11" t="str">
        <f>'Bldgs &amp; Rooms'!$A$8</f>
        <v>Main Bldg.</v>
      </c>
      <c r="B244" s="11">
        <f>'Bldgs &amp; Rooms'!$B$8</f>
        <v>0</v>
      </c>
      <c r="C244" s="10" t="str">
        <f>Hours!$A$22</f>
        <v>Power Factor Correction Capacitors</v>
      </c>
      <c r="D244" s="11">
        <f t="shared" si="6"/>
        <v>0</v>
      </c>
      <c r="E244" s="16">
        <f>IF('Components Yr 1'!E244=0,0,'Components Yr 1'!E244)</f>
        <v>0</v>
      </c>
      <c r="F244" s="17">
        <f>IF('Components Yr 1'!F244=0,0,'Components Yr 1'!F244)</f>
        <v>0</v>
      </c>
      <c r="G244" s="17">
        <f>IF('Components Yr 1'!G244=0,0,'Components Yr 1'!G244)</f>
        <v>0</v>
      </c>
      <c r="H244" s="17">
        <f>IF('Components Yr 1'!H244=0,0,'Components Yr 1'!H244)</f>
        <v>0</v>
      </c>
      <c r="I244" s="17">
        <f>IF('Components Yr 1'!I244=0,0,'Components Yr 1'!I244)</f>
        <v>0</v>
      </c>
      <c r="J244" s="17">
        <f>IF('Components Yr 1'!J244=0,0,'Components Yr 1'!J244)</f>
        <v>0</v>
      </c>
      <c r="K244" s="12"/>
      <c r="L244" s="12"/>
      <c r="M244" s="12"/>
      <c r="N244" s="12"/>
      <c r="O244" s="12"/>
      <c r="P244" s="12"/>
      <c r="Q244" s="17"/>
      <c r="R244" s="18">
        <f>IF(SUMPRODUCT((E244:Q244)*1)=0,0,E244*INDEX(Hours!M:M,MATCH(C244,Hours!$A:$A,0))+F244*INDEX(Hours!B:B,MATCH(C244,Hours!$A:$A,0))+G244*INDEX(Hours!C:C,MATCH(C244,Hours!$A:$A,0))+H244*INDEX(Hours!D:D,MATCH(C244,Hours!$A:$A,0))+I244*INDEX(Hours!E:E,MATCH(C244,Hours!$A:$A,0))+J244*INDEX(Hours!F:F,MATCH(C244,Hours!$A:$A,0)))</f>
        <v>0</v>
      </c>
      <c r="S244" s="19">
        <f t="shared" si="7"/>
        <v>0</v>
      </c>
    </row>
    <row r="245" spans="1:19" x14ac:dyDescent="0.25">
      <c r="A245" s="11" t="str">
        <f>'Bldgs &amp; Rooms'!$A$8</f>
        <v>Main Bldg.</v>
      </c>
      <c r="B245" s="11">
        <f>'Bldgs &amp; Rooms'!$B$8</f>
        <v>0</v>
      </c>
      <c r="C245" s="10" t="str">
        <f>Hours!$A$23</f>
        <v>Lighting Contactor &gt; 100A</v>
      </c>
      <c r="D245" s="11">
        <f t="shared" si="6"/>
        <v>0</v>
      </c>
      <c r="E245" s="16">
        <f>IF('Components Yr 1'!E245=0,0,'Components Yr 1'!E245)</f>
        <v>0</v>
      </c>
      <c r="F245" s="17">
        <f>IF('Components Yr 1'!F245=0,0,'Components Yr 1'!F245)</f>
        <v>0</v>
      </c>
      <c r="G245" s="17">
        <f>IF('Components Yr 1'!G245=0,0,'Components Yr 1'!G245)</f>
        <v>0</v>
      </c>
      <c r="H245" s="17">
        <f>IF('Components Yr 1'!H245=0,0,'Components Yr 1'!H245)</f>
        <v>0</v>
      </c>
      <c r="I245" s="17">
        <f>IF('Components Yr 1'!I245=0,0,'Components Yr 1'!I245)</f>
        <v>0</v>
      </c>
      <c r="J245" s="17">
        <f>IF('Components Yr 1'!J245=0,0,'Components Yr 1'!J245)</f>
        <v>0</v>
      </c>
      <c r="K245" s="12"/>
      <c r="L245" s="12"/>
      <c r="M245" s="12"/>
      <c r="N245" s="12"/>
      <c r="O245" s="12"/>
      <c r="P245" s="12"/>
      <c r="Q245" s="17"/>
      <c r="R245" s="18">
        <f>IF(SUMPRODUCT((E245:Q245)*1)=0,0,E245*INDEX(Hours!M:M,MATCH(C245,Hours!$A:$A,0))+F245*INDEX(Hours!B:B,MATCH(C245,Hours!$A:$A,0))+G245*INDEX(Hours!C:C,MATCH(C245,Hours!$A:$A,0))+H245*INDEX(Hours!D:D,MATCH(C245,Hours!$A:$A,0))+I245*INDEX(Hours!E:E,MATCH(C245,Hours!$A:$A,0))+J245*INDEX(Hours!F:F,MATCH(C245,Hours!$A:$A,0)))</f>
        <v>0</v>
      </c>
      <c r="S245" s="19">
        <f t="shared" si="7"/>
        <v>0</v>
      </c>
    </row>
    <row r="246" spans="1:19" x14ac:dyDescent="0.25">
      <c r="A246" s="11" t="str">
        <f>'Bldgs &amp; Rooms'!$A$8</f>
        <v>Main Bldg.</v>
      </c>
      <c r="B246" s="11">
        <f>'Bldgs &amp; Rooms'!$B$8</f>
        <v>0</v>
      </c>
      <c r="C246" s="10" t="str">
        <f>Hours!$A$24</f>
        <v>Power Distribution Unit (PDU)</v>
      </c>
      <c r="D246" s="11">
        <f t="shared" si="6"/>
        <v>0</v>
      </c>
      <c r="E246" s="16">
        <f>IF('Components Yr 1'!E246=0,0,'Components Yr 1'!E246)</f>
        <v>0</v>
      </c>
      <c r="F246" s="17">
        <f>IF('Components Yr 1'!F246=0,0,'Components Yr 1'!F246)</f>
        <v>0</v>
      </c>
      <c r="G246" s="17">
        <f>IF('Components Yr 1'!G246=0,0,'Components Yr 1'!G246)</f>
        <v>0</v>
      </c>
      <c r="H246" s="17">
        <f>IF('Components Yr 1'!H246=0,0,'Components Yr 1'!H246)</f>
        <v>0</v>
      </c>
      <c r="I246" s="17">
        <f>IF('Components Yr 1'!I246=0,0,'Components Yr 1'!I246)</f>
        <v>0</v>
      </c>
      <c r="J246" s="17">
        <f>IF('Components Yr 1'!J246=0,0,'Components Yr 1'!J246)</f>
        <v>0</v>
      </c>
      <c r="K246" s="12"/>
      <c r="L246" s="12"/>
      <c r="M246" s="12"/>
      <c r="N246" s="12"/>
      <c r="O246" s="12"/>
      <c r="P246" s="12"/>
      <c r="Q246" s="17"/>
      <c r="R246" s="18">
        <f>IF(SUMPRODUCT((E246:Q246)*1)=0,0,E246*INDEX(Hours!M:M,MATCH(C246,Hours!$A:$A,0))+F246*INDEX(Hours!B:B,MATCH(C246,Hours!$A:$A,0))+G246*INDEX(Hours!C:C,MATCH(C246,Hours!$A:$A,0))+H246*INDEX(Hours!D:D,MATCH(C246,Hours!$A:$A,0))+I246*INDEX(Hours!E:E,MATCH(C246,Hours!$A:$A,0))+J246*INDEX(Hours!F:F,MATCH(C246,Hours!$A:$A,0)))</f>
        <v>0</v>
      </c>
      <c r="S246" s="19">
        <f t="shared" si="7"/>
        <v>0</v>
      </c>
    </row>
    <row r="247" spans="1:19" x14ac:dyDescent="0.25">
      <c r="A247" s="11" t="str">
        <f>'Bldgs &amp; Rooms'!$A$8</f>
        <v>Main Bldg.</v>
      </c>
      <c r="B247" s="11">
        <f>'Bldgs &amp; Rooms'!$B$8</f>
        <v>0</v>
      </c>
      <c r="C247" s="10" t="str">
        <f>Hours!$A$25</f>
        <v>Wire Trough, Gutter, or Large Junction Boxes</v>
      </c>
      <c r="D247" s="11">
        <f t="shared" si="6"/>
        <v>0</v>
      </c>
      <c r="E247" s="16">
        <f>IF('Components Yr 1'!E247=0,0,'Components Yr 1'!E247)</f>
        <v>0</v>
      </c>
      <c r="F247" s="17">
        <f>IF('Components Yr 1'!F247=0,0,'Components Yr 1'!F247)</f>
        <v>0</v>
      </c>
      <c r="G247" s="17">
        <f>IF('Components Yr 1'!G247=0,0,'Components Yr 1'!G247)</f>
        <v>0</v>
      </c>
      <c r="H247" s="17">
        <f>IF('Components Yr 1'!H247=0,0,'Components Yr 1'!H247)</f>
        <v>0</v>
      </c>
      <c r="I247" s="17">
        <f>IF('Components Yr 1'!I247=0,0,'Components Yr 1'!I247)</f>
        <v>0</v>
      </c>
      <c r="J247" s="17">
        <f>IF('Components Yr 1'!J247=0,0,'Components Yr 1'!J247)</f>
        <v>0</v>
      </c>
      <c r="K247" s="12"/>
      <c r="L247" s="12"/>
      <c r="M247" s="12"/>
      <c r="N247" s="12"/>
      <c r="O247" s="12"/>
      <c r="P247" s="12"/>
      <c r="Q247" s="17"/>
      <c r="R247" s="18">
        <f>IF(SUMPRODUCT((E247:Q247)*1)=0,0,E247*INDEX(Hours!M:M,MATCH(C247,Hours!$A:$A,0))+F247*INDEX(Hours!B:B,MATCH(C247,Hours!$A:$A,0))+G247*INDEX(Hours!C:C,MATCH(C247,Hours!$A:$A,0))+H247*INDEX(Hours!D:D,MATCH(C247,Hours!$A:$A,0))+I247*INDEX(Hours!E:E,MATCH(C247,Hours!$A:$A,0))+J247*INDEX(Hours!F:F,MATCH(C247,Hours!$A:$A,0)))</f>
        <v>0</v>
      </c>
      <c r="S247" s="19">
        <f t="shared" si="7"/>
        <v>0</v>
      </c>
    </row>
    <row r="248" spans="1:19" x14ac:dyDescent="0.25">
      <c r="A248" s="11" t="str">
        <f>'Bldgs &amp; Rooms'!$A$8</f>
        <v>Main Bldg.</v>
      </c>
      <c r="B248" s="11">
        <f>'Bldgs &amp; Rooms'!$B$8</f>
        <v>0</v>
      </c>
      <c r="C248" s="10" t="str">
        <f>Hours!$A$26</f>
        <v>Bus Duct - Vertical or Horizontal (Per 10' section)</v>
      </c>
      <c r="D248" s="11">
        <f t="shared" si="6"/>
        <v>0</v>
      </c>
      <c r="E248" s="16">
        <f>IF('Components Yr 1'!E248=0,0,'Components Yr 1'!E248)</f>
        <v>0</v>
      </c>
      <c r="F248" s="17">
        <f>IF('Components Yr 1'!F248=0,0,'Components Yr 1'!F248)</f>
        <v>0</v>
      </c>
      <c r="G248" s="17">
        <f>IF('Components Yr 1'!G248=0,0,'Components Yr 1'!G248)</f>
        <v>0</v>
      </c>
      <c r="H248" s="17">
        <f>IF('Components Yr 1'!H248=0,0,'Components Yr 1'!H248)</f>
        <v>0</v>
      </c>
      <c r="I248" s="17">
        <f>IF('Components Yr 1'!I248=0,0,'Components Yr 1'!I248)</f>
        <v>0</v>
      </c>
      <c r="J248" s="17">
        <f>IF('Components Yr 1'!J248=0,0,'Components Yr 1'!J248)</f>
        <v>0</v>
      </c>
      <c r="K248" s="12"/>
      <c r="L248" s="12"/>
      <c r="M248" s="12"/>
      <c r="N248" s="12"/>
      <c r="O248" s="12"/>
      <c r="P248" s="12"/>
      <c r="Q248" s="17"/>
      <c r="R248" s="18">
        <f>IF(SUMPRODUCT((E248:Q248)*1)=0,0,E248*INDEX(Hours!M:M,MATCH(C248,Hours!$A:$A,0))+F248*INDEX(Hours!B:B,MATCH(C248,Hours!$A:$A,0))+G248*INDEX(Hours!C:C,MATCH(C248,Hours!$A:$A,0))+H248*INDEX(Hours!D:D,MATCH(C248,Hours!$A:$A,0))+I248*INDEX(Hours!E:E,MATCH(C248,Hours!$A:$A,0))+J248*INDEX(Hours!F:F,MATCH(C248,Hours!$A:$A,0)))</f>
        <v>0</v>
      </c>
      <c r="S248" s="19">
        <f t="shared" si="7"/>
        <v>0</v>
      </c>
    </row>
    <row r="249" spans="1:19" x14ac:dyDescent="0.25">
      <c r="A249" s="11" t="str">
        <f>'Bldgs &amp; Rooms'!$A$8</f>
        <v>Main Bldg.</v>
      </c>
      <c r="B249" s="11">
        <f>'Bldgs &amp; Rooms'!$B$8</f>
        <v>0</v>
      </c>
      <c r="C249" s="10" t="str">
        <f>Hours!$A$27</f>
        <v>Automatic Transfer Switch (ATS) &gt; 100A</v>
      </c>
      <c r="D249" s="11">
        <f t="shared" si="6"/>
        <v>0</v>
      </c>
      <c r="E249" s="16">
        <f>IF('Components Yr 1'!E249=0,0,'Components Yr 1'!E249)</f>
        <v>0</v>
      </c>
      <c r="F249" s="17">
        <f>IF('Components Yr 1'!F249=0,0,'Components Yr 1'!F249)</f>
        <v>0</v>
      </c>
      <c r="G249" s="17">
        <f>IF('Components Yr 1'!G249=0,0,'Components Yr 1'!G249)</f>
        <v>0</v>
      </c>
      <c r="H249" s="17">
        <f>IF('Components Yr 1'!H249=0,0,'Components Yr 1'!H249)</f>
        <v>0</v>
      </c>
      <c r="I249" s="17">
        <f>IF('Components Yr 1'!I249=0,0,'Components Yr 1'!I249)</f>
        <v>0</v>
      </c>
      <c r="J249" s="17">
        <f>IF('Components Yr 1'!J249=0,0,'Components Yr 1'!J249)</f>
        <v>0</v>
      </c>
      <c r="K249" s="12"/>
      <c r="L249" s="12"/>
      <c r="M249" s="12"/>
      <c r="N249" s="12"/>
      <c r="O249" s="12"/>
      <c r="P249" s="12"/>
      <c r="Q249" s="17"/>
      <c r="R249" s="18">
        <f>IF(SUMPRODUCT((E249:Q249)*1)=0,0,E249*INDEX(Hours!M:M,MATCH(C249,Hours!$A:$A,0))+F249*INDEX(Hours!B:B,MATCH(C249,Hours!$A:$A,0))+G249*INDEX(Hours!C:C,MATCH(C249,Hours!$A:$A,0))+H249*INDEX(Hours!D:D,MATCH(C249,Hours!$A:$A,0))+I249*INDEX(Hours!E:E,MATCH(C249,Hours!$A:$A,0))+J249*INDEX(Hours!F:F,MATCH(C249,Hours!$A:$A,0)))</f>
        <v>0</v>
      </c>
      <c r="S249" s="19">
        <f t="shared" si="7"/>
        <v>0</v>
      </c>
    </row>
    <row r="250" spans="1:19" x14ac:dyDescent="0.25">
      <c r="A250" s="11" t="str">
        <f>'Bldgs &amp; Rooms'!$A$8</f>
        <v>Main Bldg.</v>
      </c>
      <c r="B250" s="11">
        <f>'Bldgs &amp; Rooms'!$B$8</f>
        <v>0</v>
      </c>
      <c r="C250" s="10" t="str">
        <f>Hours!$A$28</f>
        <v>Manual Transfer Switch (MTS) &gt; 100A</v>
      </c>
      <c r="D250" s="11">
        <f t="shared" si="6"/>
        <v>0</v>
      </c>
      <c r="E250" s="16">
        <f>IF('Components Yr 1'!E250=0,0,'Components Yr 1'!E250)</f>
        <v>0</v>
      </c>
      <c r="F250" s="17">
        <f>IF('Components Yr 1'!F250=0,0,'Components Yr 1'!F250)</f>
        <v>0</v>
      </c>
      <c r="G250" s="17">
        <f>IF('Components Yr 1'!G250=0,0,'Components Yr 1'!G250)</f>
        <v>0</v>
      </c>
      <c r="H250" s="17">
        <f>IF('Components Yr 1'!H250=0,0,'Components Yr 1'!H250)</f>
        <v>0</v>
      </c>
      <c r="I250" s="17">
        <f>IF('Components Yr 1'!I250=0,0,'Components Yr 1'!I250)</f>
        <v>0</v>
      </c>
      <c r="J250" s="17">
        <f>IF('Components Yr 1'!J250=0,0,'Components Yr 1'!J250)</f>
        <v>0</v>
      </c>
      <c r="K250" s="12"/>
      <c r="L250" s="12"/>
      <c r="M250" s="12"/>
      <c r="N250" s="12"/>
      <c r="O250" s="12"/>
      <c r="P250" s="12"/>
      <c r="Q250" s="17"/>
      <c r="R250" s="18">
        <f>IF(SUMPRODUCT((E250:Q250)*1)=0,0,E250*INDEX(Hours!M:M,MATCH(C250,Hours!$A:$A,0))+F250*INDEX(Hours!B:B,MATCH(C250,Hours!$A:$A,0))+G250*INDEX(Hours!C:C,MATCH(C250,Hours!$A:$A,0))+H250*INDEX(Hours!D:D,MATCH(C250,Hours!$A:$A,0))+I250*INDEX(Hours!E:E,MATCH(C250,Hours!$A:$A,0))+J250*INDEX(Hours!F:F,MATCH(C250,Hours!$A:$A,0)))</f>
        <v>0</v>
      </c>
      <c r="S250" s="19">
        <f t="shared" si="7"/>
        <v>0</v>
      </c>
    </row>
    <row r="251" spans="1:19" x14ac:dyDescent="0.25">
      <c r="A251" s="11" t="str">
        <f>'Bldgs &amp; Rooms'!$A$8</f>
        <v>Main Bldg.</v>
      </c>
      <c r="B251" s="11">
        <f>'Bldgs &amp; Rooms'!$B$8</f>
        <v>0</v>
      </c>
      <c r="C251" s="10" t="str">
        <f>Hours!$A$29</f>
        <v>Variable Frequency Drives (VFD) &lt; 50 HP</v>
      </c>
      <c r="D251" s="11">
        <f t="shared" si="6"/>
        <v>0</v>
      </c>
      <c r="E251" s="16">
        <f>IF('Components Yr 1'!E251=0,0,'Components Yr 1'!E251)</f>
        <v>0</v>
      </c>
      <c r="F251" s="17">
        <f>IF('Components Yr 1'!F251=0,0,'Components Yr 1'!F251)</f>
        <v>0</v>
      </c>
      <c r="G251" s="17">
        <f>IF('Components Yr 1'!G251=0,0,'Components Yr 1'!G251)</f>
        <v>0</v>
      </c>
      <c r="H251" s="17">
        <f>IF('Components Yr 1'!H251=0,0,'Components Yr 1'!H251)</f>
        <v>0</v>
      </c>
      <c r="I251" s="17">
        <f>IF('Components Yr 1'!I251=0,0,'Components Yr 1'!I251)</f>
        <v>0</v>
      </c>
      <c r="J251" s="17">
        <f>IF('Components Yr 1'!J251=0,0,'Components Yr 1'!J251)</f>
        <v>0</v>
      </c>
      <c r="K251" s="12"/>
      <c r="L251" s="12"/>
      <c r="M251" s="12"/>
      <c r="N251" s="12"/>
      <c r="O251" s="12"/>
      <c r="P251" s="12"/>
      <c r="Q251" s="17"/>
      <c r="R251" s="18">
        <f>IF(SUMPRODUCT((E251:Q251)*1)=0,0,E251*INDEX(Hours!M:M,MATCH(C251,Hours!$A:$A,0))+F251*INDEX(Hours!B:B,MATCH(C251,Hours!$A:$A,0))+G251*INDEX(Hours!C:C,MATCH(C251,Hours!$A:$A,0))+H251*INDEX(Hours!D:D,MATCH(C251,Hours!$A:$A,0))+I251*INDEX(Hours!E:E,MATCH(C251,Hours!$A:$A,0))+J251*INDEX(Hours!F:F,MATCH(C251,Hours!$A:$A,0)))</f>
        <v>0</v>
      </c>
      <c r="S251" s="19">
        <f t="shared" si="7"/>
        <v>0</v>
      </c>
    </row>
    <row r="252" spans="1:19" x14ac:dyDescent="0.25">
      <c r="A252" s="11" t="str">
        <f>'Bldgs &amp; Rooms'!$A$8</f>
        <v>Main Bldg.</v>
      </c>
      <c r="B252" s="11">
        <f>'Bldgs &amp; Rooms'!$B$8</f>
        <v>0</v>
      </c>
      <c r="C252" s="10" t="str">
        <f>Hours!$A$30</f>
        <v>Variable Frequency Drives (VFD) 51-200 HP</v>
      </c>
      <c r="D252" s="11">
        <f t="shared" si="6"/>
        <v>0</v>
      </c>
      <c r="E252" s="16">
        <f>IF('Components Yr 1'!E252=0,0,'Components Yr 1'!E252)</f>
        <v>0</v>
      </c>
      <c r="F252" s="17">
        <f>IF('Components Yr 1'!F252=0,0,'Components Yr 1'!F252)</f>
        <v>0</v>
      </c>
      <c r="G252" s="17">
        <f>IF('Components Yr 1'!G252=0,0,'Components Yr 1'!G252)</f>
        <v>0</v>
      </c>
      <c r="H252" s="17">
        <f>IF('Components Yr 1'!H252=0,0,'Components Yr 1'!H252)</f>
        <v>0</v>
      </c>
      <c r="I252" s="17">
        <f>IF('Components Yr 1'!I252=0,0,'Components Yr 1'!I252)</f>
        <v>0</v>
      </c>
      <c r="J252" s="17">
        <f>IF('Components Yr 1'!J252=0,0,'Components Yr 1'!J252)</f>
        <v>0</v>
      </c>
      <c r="K252" s="12"/>
      <c r="L252" s="12"/>
      <c r="M252" s="12"/>
      <c r="N252" s="12"/>
      <c r="O252" s="12"/>
      <c r="P252" s="12"/>
      <c r="Q252" s="17"/>
      <c r="R252" s="18">
        <f>IF(SUMPRODUCT((E252:Q252)*1)=0,0,E252*INDEX(Hours!M:M,MATCH(C252,Hours!$A:$A,0))+F252*INDEX(Hours!B:B,MATCH(C252,Hours!$A:$A,0))+G252*INDEX(Hours!C:C,MATCH(C252,Hours!$A:$A,0))+H252*INDEX(Hours!D:D,MATCH(C252,Hours!$A:$A,0))+I252*INDEX(Hours!E:E,MATCH(C252,Hours!$A:$A,0))+J252*INDEX(Hours!F:F,MATCH(C252,Hours!$A:$A,0)))</f>
        <v>0</v>
      </c>
      <c r="S252" s="19">
        <f t="shared" si="7"/>
        <v>0</v>
      </c>
    </row>
    <row r="253" spans="1:19" x14ac:dyDescent="0.25">
      <c r="A253" s="11" t="str">
        <f>'Bldgs &amp; Rooms'!$A$8</f>
        <v>Main Bldg.</v>
      </c>
      <c r="B253" s="11">
        <f>'Bldgs &amp; Rooms'!$B$8</f>
        <v>0</v>
      </c>
      <c r="C253" s="10" t="str">
        <f>Hours!$A$31</f>
        <v>Motors &lt; 50 HP</v>
      </c>
      <c r="D253" s="11">
        <f t="shared" si="6"/>
        <v>0</v>
      </c>
      <c r="E253" s="16">
        <f>IF('Components Yr 1'!E253=0,0,'Components Yr 1'!E253)</f>
        <v>0</v>
      </c>
      <c r="F253" s="17">
        <f>IF('Components Yr 1'!F253=0,0,'Components Yr 1'!F253)</f>
        <v>0</v>
      </c>
      <c r="G253" s="17">
        <f>IF('Components Yr 1'!G253=0,0,'Components Yr 1'!G253)</f>
        <v>0</v>
      </c>
      <c r="H253" s="17">
        <f>IF('Components Yr 1'!H253=0,0,'Components Yr 1'!H253)</f>
        <v>0</v>
      </c>
      <c r="I253" s="17">
        <f>IF('Components Yr 1'!I253=0,0,'Components Yr 1'!I253)</f>
        <v>0</v>
      </c>
      <c r="J253" s="17">
        <f>IF('Components Yr 1'!J253=0,0,'Components Yr 1'!J253)</f>
        <v>0</v>
      </c>
      <c r="K253" s="12"/>
      <c r="L253" s="12"/>
      <c r="M253" s="12"/>
      <c r="N253" s="12"/>
      <c r="O253" s="12"/>
      <c r="P253" s="12"/>
      <c r="Q253" s="17"/>
      <c r="R253" s="18">
        <f>IF(SUMPRODUCT((E253:Q253)*1)=0,0,E253*INDEX(Hours!M:M,MATCH(C253,Hours!$A:$A,0))+F253*INDEX(Hours!B:B,MATCH(C253,Hours!$A:$A,0))+G253*INDEX(Hours!C:C,MATCH(C253,Hours!$A:$A,0))+H253*INDEX(Hours!D:D,MATCH(C253,Hours!$A:$A,0))+I253*INDEX(Hours!E:E,MATCH(C253,Hours!$A:$A,0))+J253*INDEX(Hours!F:F,MATCH(C253,Hours!$A:$A,0)))</f>
        <v>0</v>
      </c>
      <c r="S253" s="19">
        <f t="shared" si="7"/>
        <v>0</v>
      </c>
    </row>
    <row r="254" spans="1:19" x14ac:dyDescent="0.25">
      <c r="A254" s="11" t="str">
        <f>'Bldgs &amp; Rooms'!$A$8</f>
        <v>Main Bldg.</v>
      </c>
      <c r="B254" s="11">
        <f>'Bldgs &amp; Rooms'!$B$8</f>
        <v>0</v>
      </c>
      <c r="C254" s="10" t="str">
        <f>Hours!$A$32</f>
        <v>Motors 51-200 HP</v>
      </c>
      <c r="D254" s="11">
        <f t="shared" si="6"/>
        <v>0</v>
      </c>
      <c r="E254" s="16">
        <f>IF('Components Yr 1'!E254=0,0,'Components Yr 1'!E254)</f>
        <v>0</v>
      </c>
      <c r="F254" s="17">
        <f>IF('Components Yr 1'!F254=0,0,'Components Yr 1'!F254)</f>
        <v>0</v>
      </c>
      <c r="G254" s="17">
        <f>IF('Components Yr 1'!G254=0,0,'Components Yr 1'!G254)</f>
        <v>0</v>
      </c>
      <c r="H254" s="17">
        <f>IF('Components Yr 1'!H254=0,0,'Components Yr 1'!H254)</f>
        <v>0</v>
      </c>
      <c r="I254" s="17">
        <f>IF('Components Yr 1'!I254=0,0,'Components Yr 1'!I254)</f>
        <v>0</v>
      </c>
      <c r="J254" s="17">
        <f>IF('Components Yr 1'!J254=0,0,'Components Yr 1'!J254)</f>
        <v>0</v>
      </c>
      <c r="K254" s="12"/>
      <c r="L254" s="12"/>
      <c r="M254" s="12"/>
      <c r="N254" s="12"/>
      <c r="O254" s="12"/>
      <c r="P254" s="12"/>
      <c r="Q254" s="17"/>
      <c r="R254" s="18">
        <f>IF(SUMPRODUCT((E254:Q254)*1)=0,0,E254*INDEX(Hours!M:M,MATCH(C254,Hours!$A:$A,0))+F254*INDEX(Hours!B:B,MATCH(C254,Hours!$A:$A,0))+G254*INDEX(Hours!C:C,MATCH(C254,Hours!$A:$A,0))+H254*INDEX(Hours!D:D,MATCH(C254,Hours!$A:$A,0))+I254*INDEX(Hours!E:E,MATCH(C254,Hours!$A:$A,0))+J254*INDEX(Hours!F:F,MATCH(C254,Hours!$A:$A,0)))</f>
        <v>0</v>
      </c>
      <c r="S254" s="19">
        <f t="shared" si="7"/>
        <v>0</v>
      </c>
    </row>
    <row r="255" spans="1:19" x14ac:dyDescent="0.25">
      <c r="A255" s="11" t="str">
        <f>'Bldgs &amp; Rooms'!$A$8</f>
        <v>Main Bldg.</v>
      </c>
      <c r="B255" s="11">
        <f>'Bldgs &amp; Rooms'!$B$8</f>
        <v>0</v>
      </c>
      <c r="C255" s="10" t="str">
        <f>Hours!$A$33</f>
        <v>Motors 201-500 HP</v>
      </c>
      <c r="D255" s="11">
        <f t="shared" si="6"/>
        <v>0</v>
      </c>
      <c r="E255" s="16">
        <f>IF('Components Yr 1'!E255=0,0,'Components Yr 1'!E255)</f>
        <v>0</v>
      </c>
      <c r="F255" s="17">
        <f>IF('Components Yr 1'!F255=0,0,'Components Yr 1'!F255)</f>
        <v>0</v>
      </c>
      <c r="G255" s="17">
        <f>IF('Components Yr 1'!G255=0,0,'Components Yr 1'!G255)</f>
        <v>0</v>
      </c>
      <c r="H255" s="17">
        <f>IF('Components Yr 1'!H255=0,0,'Components Yr 1'!H255)</f>
        <v>0</v>
      </c>
      <c r="I255" s="17">
        <f>IF('Components Yr 1'!I255=0,0,'Components Yr 1'!I255)</f>
        <v>0</v>
      </c>
      <c r="J255" s="17">
        <f>IF('Components Yr 1'!J255=0,0,'Components Yr 1'!J255)</f>
        <v>0</v>
      </c>
      <c r="K255" s="12"/>
      <c r="L255" s="12"/>
      <c r="M255" s="12"/>
      <c r="N255" s="12"/>
      <c r="O255" s="12"/>
      <c r="P255" s="12"/>
      <c r="Q255" s="17"/>
      <c r="R255" s="18">
        <f>IF(SUMPRODUCT((E255:Q255)*1)=0,0,E255*INDEX(Hours!M:M,MATCH(C255,Hours!$A:$A,0))+F255*INDEX(Hours!B:B,MATCH(C255,Hours!$A:$A,0))+G255*INDEX(Hours!C:C,MATCH(C255,Hours!$A:$A,0))+H255*INDEX(Hours!D:D,MATCH(C255,Hours!$A:$A,0))+I255*INDEX(Hours!E:E,MATCH(C255,Hours!$A:$A,0))+J255*INDEX(Hours!F:F,MATCH(C255,Hours!$A:$A,0)))</f>
        <v>0</v>
      </c>
      <c r="S255" s="19">
        <f t="shared" si="7"/>
        <v>0</v>
      </c>
    </row>
    <row r="256" spans="1:19" x14ac:dyDescent="0.25">
      <c r="A256" s="11" t="str">
        <f>'Bldgs &amp; Rooms'!$A$8</f>
        <v>Main Bldg.</v>
      </c>
      <c r="B256" s="11">
        <f>'Bldgs &amp; Rooms'!$B$8</f>
        <v>0</v>
      </c>
      <c r="C256" s="10" t="str">
        <f>Hours!$A$34</f>
        <v>Compressed Air Equipment</v>
      </c>
      <c r="D256" s="11">
        <f t="shared" si="6"/>
        <v>0</v>
      </c>
      <c r="E256" s="16">
        <f>IF('Components Yr 1'!E256=0,0,'Components Yr 1'!E256)</f>
        <v>0</v>
      </c>
      <c r="F256" s="17">
        <f>IF('Components Yr 1'!F256=0,0,'Components Yr 1'!F256)</f>
        <v>0</v>
      </c>
      <c r="G256" s="17">
        <f>IF('Components Yr 1'!G256=0,0,'Components Yr 1'!G256)</f>
        <v>0</v>
      </c>
      <c r="H256" s="17">
        <f>IF('Components Yr 1'!H256=0,0,'Components Yr 1'!H256)</f>
        <v>0</v>
      </c>
      <c r="I256" s="17">
        <f>IF('Components Yr 1'!I256=0,0,'Components Yr 1'!I256)</f>
        <v>0</v>
      </c>
      <c r="J256" s="17">
        <f>IF('Components Yr 1'!J256=0,0,'Components Yr 1'!J256)</f>
        <v>0</v>
      </c>
      <c r="K256" s="12"/>
      <c r="L256" s="12"/>
      <c r="M256" s="12"/>
      <c r="N256" s="12"/>
      <c r="O256" s="12"/>
      <c r="P256" s="12"/>
      <c r="Q256" s="17"/>
      <c r="R256" s="18">
        <f>IF(SUMPRODUCT((E256:Q256)*1)=0,0,E256*INDEX(Hours!M:M,MATCH(C256,Hours!$A:$A,0))+F256*INDEX(Hours!B:B,MATCH(C256,Hours!$A:$A,0))+G256*INDEX(Hours!C:C,MATCH(C256,Hours!$A:$A,0))+H256*INDEX(Hours!D:D,MATCH(C256,Hours!$A:$A,0))+I256*INDEX(Hours!E:E,MATCH(C256,Hours!$A:$A,0))+J256*INDEX(Hours!F:F,MATCH(C256,Hours!$A:$A,0)))</f>
        <v>0</v>
      </c>
      <c r="S256" s="19">
        <f t="shared" si="7"/>
        <v>0</v>
      </c>
    </row>
    <row r="257" spans="1:19" x14ac:dyDescent="0.25">
      <c r="A257" s="11" t="str">
        <f>'Bldgs &amp; Rooms'!$A$8</f>
        <v>Main Bldg.</v>
      </c>
      <c r="B257" s="11">
        <f>'Bldgs &amp; Rooms'!$B$8</f>
        <v>0</v>
      </c>
      <c r="C257" s="10" t="str">
        <f>Hours!$A$35</f>
        <v>HVAC Equipment (Large)</v>
      </c>
      <c r="D257" s="11">
        <f t="shared" si="6"/>
        <v>0</v>
      </c>
      <c r="E257" s="16">
        <f>IF('Components Yr 1'!E257=0,0,'Components Yr 1'!E257)</f>
        <v>0</v>
      </c>
      <c r="F257" s="17">
        <f>IF('Components Yr 1'!F257=0,0,'Components Yr 1'!F257)</f>
        <v>0</v>
      </c>
      <c r="G257" s="17">
        <f>IF('Components Yr 1'!G257=0,0,'Components Yr 1'!G257)</f>
        <v>0</v>
      </c>
      <c r="H257" s="17">
        <f>IF('Components Yr 1'!H257=0,0,'Components Yr 1'!H257)</f>
        <v>0</v>
      </c>
      <c r="I257" s="17">
        <f>IF('Components Yr 1'!I257=0,0,'Components Yr 1'!I257)</f>
        <v>0</v>
      </c>
      <c r="J257" s="17">
        <f>IF('Components Yr 1'!J257=0,0,'Components Yr 1'!J257)</f>
        <v>0</v>
      </c>
      <c r="K257" s="12"/>
      <c r="L257" s="12"/>
      <c r="M257" s="12"/>
      <c r="N257" s="12"/>
      <c r="O257" s="12"/>
      <c r="P257" s="12"/>
      <c r="Q257" s="17"/>
      <c r="R257" s="18">
        <f>IF(SUMPRODUCT((E257:Q257)*1)=0,0,E257*INDEX(Hours!M:M,MATCH(C257,Hours!$A:$A,0))+F257*INDEX(Hours!B:B,MATCH(C257,Hours!$A:$A,0))+G257*INDEX(Hours!C:C,MATCH(C257,Hours!$A:$A,0))+H257*INDEX(Hours!D:D,MATCH(C257,Hours!$A:$A,0))+I257*INDEX(Hours!E:E,MATCH(C257,Hours!$A:$A,0))+J257*INDEX(Hours!F:F,MATCH(C257,Hours!$A:$A,0)))</f>
        <v>0</v>
      </c>
      <c r="S257" s="19">
        <f t="shared" si="7"/>
        <v>0</v>
      </c>
    </row>
    <row r="258" spans="1:19" x14ac:dyDescent="0.25">
      <c r="A258" s="11" t="str">
        <f>'Bldgs &amp; Rooms'!$A$8</f>
        <v>Main Bldg.</v>
      </c>
      <c r="B258" s="11">
        <f>'Bldgs &amp; Rooms'!$B$8</f>
        <v>0</v>
      </c>
      <c r="C258" s="10" t="str">
        <f>Hours!$A$36</f>
        <v>HVAC Equipment (Small)</v>
      </c>
      <c r="D258" s="11">
        <f t="shared" ref="D258:D321" si="8">MAX(E258+F258,G258,H258,I258,J258,K258,L258,M258,N258,O258,P258,Q258)</f>
        <v>0</v>
      </c>
      <c r="E258" s="16">
        <f>IF('Components Yr 1'!E258=0,0,'Components Yr 1'!E258)</f>
        <v>0</v>
      </c>
      <c r="F258" s="17">
        <f>IF('Components Yr 1'!F258=0,0,'Components Yr 1'!F258)</f>
        <v>0</v>
      </c>
      <c r="G258" s="17">
        <f>IF('Components Yr 1'!G258=0,0,'Components Yr 1'!G258)</f>
        <v>0</v>
      </c>
      <c r="H258" s="17">
        <f>IF('Components Yr 1'!H258=0,0,'Components Yr 1'!H258)</f>
        <v>0</v>
      </c>
      <c r="I258" s="17">
        <f>IF('Components Yr 1'!I258=0,0,'Components Yr 1'!I258)</f>
        <v>0</v>
      </c>
      <c r="J258" s="17">
        <f>IF('Components Yr 1'!J258=0,0,'Components Yr 1'!J258)</f>
        <v>0</v>
      </c>
      <c r="K258" s="12"/>
      <c r="L258" s="12"/>
      <c r="M258" s="12"/>
      <c r="N258" s="12"/>
      <c r="O258" s="12"/>
      <c r="P258" s="12"/>
      <c r="Q258" s="17"/>
      <c r="R258" s="18">
        <f>IF(SUMPRODUCT((E258:Q258)*1)=0,0,E258*INDEX(Hours!M:M,MATCH(C258,Hours!$A:$A,0))+F258*INDEX(Hours!B:B,MATCH(C258,Hours!$A:$A,0))+G258*INDEX(Hours!C:C,MATCH(C258,Hours!$A:$A,0))+H258*INDEX(Hours!D:D,MATCH(C258,Hours!$A:$A,0))+I258*INDEX(Hours!E:E,MATCH(C258,Hours!$A:$A,0))+J258*INDEX(Hours!F:F,MATCH(C258,Hours!$A:$A,0)))</f>
        <v>0</v>
      </c>
      <c r="S258" s="19">
        <f t="shared" ref="S258:S321" si="9">MAX(E258+F258,G258,H258,I258,J258,K258,L258,M258,N258,O258,P258,Q258)</f>
        <v>0</v>
      </c>
    </row>
    <row r="259" spans="1:19" x14ac:dyDescent="0.25">
      <c r="A259" s="11" t="str">
        <f>'Bldgs &amp; Rooms'!$A$8</f>
        <v>Main Bldg.</v>
      </c>
      <c r="B259" s="11">
        <f>'Bldgs &amp; Rooms'!$B$8</f>
        <v>0</v>
      </c>
      <c r="C259" s="10" t="str">
        <f>Hours!$A$37</f>
        <v>Uninterruptible Power Supply (UPS) &lt; 50kVA</v>
      </c>
      <c r="D259" s="11">
        <f t="shared" si="8"/>
        <v>0</v>
      </c>
      <c r="E259" s="16">
        <f>IF('Components Yr 1'!E259=0,0,'Components Yr 1'!E259)</f>
        <v>0</v>
      </c>
      <c r="F259" s="17">
        <f>IF('Components Yr 1'!F259=0,0,'Components Yr 1'!F259)</f>
        <v>0</v>
      </c>
      <c r="G259" s="17">
        <f>IF('Components Yr 1'!G259=0,0,'Components Yr 1'!G259)</f>
        <v>0</v>
      </c>
      <c r="H259" s="17">
        <f>IF('Components Yr 1'!H259=0,0,'Components Yr 1'!H259)</f>
        <v>0</v>
      </c>
      <c r="I259" s="17">
        <f>IF('Components Yr 1'!I259=0,0,'Components Yr 1'!I259)</f>
        <v>0</v>
      </c>
      <c r="J259" s="17">
        <f>IF('Components Yr 1'!J259=0,0,'Components Yr 1'!J259)</f>
        <v>0</v>
      </c>
      <c r="K259" s="12"/>
      <c r="L259" s="12"/>
      <c r="M259" s="12"/>
      <c r="N259" s="12"/>
      <c r="O259" s="12"/>
      <c r="P259" s="12"/>
      <c r="Q259" s="17"/>
      <c r="R259" s="18">
        <f>IF(SUMPRODUCT((E259:Q259)*1)=0,0,E259*INDEX(Hours!M:M,MATCH(C259,Hours!$A:$A,0))+F259*INDEX(Hours!B:B,MATCH(C259,Hours!$A:$A,0))+G259*INDEX(Hours!C:C,MATCH(C259,Hours!$A:$A,0))+H259*INDEX(Hours!D:D,MATCH(C259,Hours!$A:$A,0))+I259*INDEX(Hours!E:E,MATCH(C259,Hours!$A:$A,0))+J259*INDEX(Hours!F:F,MATCH(C259,Hours!$A:$A,0)))</f>
        <v>0</v>
      </c>
      <c r="S259" s="19">
        <f t="shared" si="9"/>
        <v>0</v>
      </c>
    </row>
    <row r="260" spans="1:19" x14ac:dyDescent="0.25">
      <c r="A260" s="11" t="str">
        <f>'Bldgs &amp; Rooms'!$A$8</f>
        <v>Main Bldg.</v>
      </c>
      <c r="B260" s="11">
        <f>'Bldgs &amp; Rooms'!$B$8</f>
        <v>0</v>
      </c>
      <c r="C260" s="10" t="str">
        <f>Hours!$A$38</f>
        <v>Uninterruptible Power Supply (UPS) &gt; 50kVA</v>
      </c>
      <c r="D260" s="11">
        <f t="shared" si="8"/>
        <v>0</v>
      </c>
      <c r="E260" s="16">
        <f>IF('Components Yr 1'!E260=0,0,'Components Yr 1'!E260)</f>
        <v>0</v>
      </c>
      <c r="F260" s="17">
        <f>IF('Components Yr 1'!F260=0,0,'Components Yr 1'!F260)</f>
        <v>0</v>
      </c>
      <c r="G260" s="17">
        <f>IF('Components Yr 1'!G260=0,0,'Components Yr 1'!G260)</f>
        <v>0</v>
      </c>
      <c r="H260" s="17">
        <f>IF('Components Yr 1'!H260=0,0,'Components Yr 1'!H260)</f>
        <v>0</v>
      </c>
      <c r="I260" s="17">
        <f>IF('Components Yr 1'!I260=0,0,'Components Yr 1'!I260)</f>
        <v>0</v>
      </c>
      <c r="J260" s="17">
        <f>IF('Components Yr 1'!J260=0,0,'Components Yr 1'!J260)</f>
        <v>0</v>
      </c>
      <c r="K260" s="12"/>
      <c r="L260" s="12"/>
      <c r="M260" s="12"/>
      <c r="N260" s="12"/>
      <c r="O260" s="12"/>
      <c r="P260" s="12"/>
      <c r="Q260" s="17"/>
      <c r="R260" s="18">
        <f>IF(SUMPRODUCT((E260:Q260)*1)=0,0,E260*INDEX(Hours!M:M,MATCH(C260,Hours!$A:$A,0))+F260*INDEX(Hours!B:B,MATCH(C260,Hours!$A:$A,0))+G260*INDEX(Hours!C:C,MATCH(C260,Hours!$A:$A,0))+H260*INDEX(Hours!D:D,MATCH(C260,Hours!$A:$A,0))+I260*INDEX(Hours!E:E,MATCH(C260,Hours!$A:$A,0))+J260*INDEX(Hours!F:F,MATCH(C260,Hours!$A:$A,0)))</f>
        <v>0</v>
      </c>
      <c r="S260" s="19">
        <f t="shared" si="9"/>
        <v>0</v>
      </c>
    </row>
    <row r="261" spans="1:19" x14ac:dyDescent="0.25">
      <c r="A261" s="15" t="str">
        <f>'Bldgs &amp; Rooms'!$A$9</f>
        <v>Main Bldg.</v>
      </c>
      <c r="B261" s="15">
        <f>'Bldgs &amp; Rooms'!$B$9</f>
        <v>0</v>
      </c>
      <c r="C261" s="14" t="str">
        <f>Hours!$A$2</f>
        <v>Switchgear - Incoming Main Service (Per Section)</v>
      </c>
      <c r="D261" s="15">
        <f t="shared" si="8"/>
        <v>0</v>
      </c>
      <c r="E261" s="16">
        <f>IF('Components Yr 1'!E261=0,0,'Components Yr 1'!E261)</f>
        <v>0</v>
      </c>
      <c r="F261" s="17">
        <f>IF('Components Yr 1'!F261=0,0,'Components Yr 1'!F261)</f>
        <v>0</v>
      </c>
      <c r="G261" s="17">
        <f>IF('Components Yr 1'!G261=0,0,'Components Yr 1'!G261)</f>
        <v>0</v>
      </c>
      <c r="H261" s="17">
        <f>IF('Components Yr 1'!H261=0,0,'Components Yr 1'!H261)</f>
        <v>0</v>
      </c>
      <c r="I261" s="17">
        <f>IF('Components Yr 1'!I261=0,0,'Components Yr 1'!I261)</f>
        <v>0</v>
      </c>
      <c r="J261" s="17">
        <f>IF('Components Yr 1'!J261=0,0,'Components Yr 1'!J261)</f>
        <v>0</v>
      </c>
      <c r="K261" s="17">
        <f>IF('Components Yr 1'!K261=0,0,'Components Yr 1'!K261)</f>
        <v>0</v>
      </c>
      <c r="L261" s="17">
        <f>IF('Components Yr 1'!L261=0,0,'Components Yr 1'!L261)</f>
        <v>0</v>
      </c>
      <c r="M261" s="12"/>
      <c r="N261" s="12"/>
      <c r="O261" s="17">
        <f>IF('Components Yr 1'!O261=0,0,'Components Yr 1'!O261)</f>
        <v>0</v>
      </c>
      <c r="P261" s="12"/>
      <c r="Q261" s="17"/>
      <c r="R261" s="18">
        <f>IF(SUMPRODUCT((E261:Q261)*1)=0,0,E261*INDEX(Hours!M:M,MATCH(C261,Hours!$A:$A,0))+F261*INDEX(Hours!B:B,MATCH(C261,Hours!$A:$A,0))+G261*INDEX(Hours!C:C,MATCH(C261,Hours!$A:$A,0))+H261*INDEX(Hours!D:D,MATCH(C261,Hours!$A:$A,0))+I261*INDEX(Hours!E:E,MATCH(C261,Hours!$A:$A,0))+J261*INDEX(Hours!F:F,MATCH(C261,Hours!$A:$A,0))+K261*INDEX(Hours!G:G,MATCH(C261,Hours!$A:$A,0))+L261*INDEX(Hours!H:H,MATCH(C261,Hours!$A:$A,0))+O261*INDEX(Hours!K:K,MATCH(C261,Hours!$A:$A,0)))</f>
        <v>0</v>
      </c>
      <c r="S261" s="19">
        <f t="shared" si="9"/>
        <v>0</v>
      </c>
    </row>
    <row r="262" spans="1:19" x14ac:dyDescent="0.25">
      <c r="A262" s="15" t="str">
        <f>'Bldgs &amp; Rooms'!$A$9</f>
        <v>Main Bldg.</v>
      </c>
      <c r="B262" s="15">
        <f>'Bldgs &amp; Rooms'!$B$9</f>
        <v>0</v>
      </c>
      <c r="C262" s="14" t="str">
        <f>Hours!$A$3</f>
        <v xml:space="preserve">  Switchgear Insulated Case Breakers (Bus Mounted)</v>
      </c>
      <c r="D262" s="15">
        <f t="shared" si="8"/>
        <v>0</v>
      </c>
      <c r="E262" s="16">
        <f>IF('Components Yr 1'!E262=0,0,'Components Yr 1'!E262)</f>
        <v>0</v>
      </c>
      <c r="F262" s="17">
        <f>IF('Components Yr 1'!F262=0,0,'Components Yr 1'!F262)</f>
        <v>0</v>
      </c>
      <c r="G262" s="17">
        <f>IF('Components Yr 1'!G262=0,0,'Components Yr 1'!G262)</f>
        <v>0</v>
      </c>
      <c r="H262" s="17">
        <f>IF('Components Yr 1'!H262=0,0,'Components Yr 1'!H262)</f>
        <v>0</v>
      </c>
      <c r="I262" s="17">
        <f>IF('Components Yr 1'!I262=0,0,'Components Yr 1'!I262)</f>
        <v>0</v>
      </c>
      <c r="J262" s="17">
        <f>IF('Components Yr 1'!J262=0,0,'Components Yr 1'!J262)</f>
        <v>0</v>
      </c>
      <c r="K262" s="17">
        <f>IF('Components Yr 1'!K262=0,0,'Components Yr 1'!K262)</f>
        <v>0</v>
      </c>
      <c r="L262" s="12"/>
      <c r="M262" s="12"/>
      <c r="N262" s="12"/>
      <c r="O262" s="12"/>
      <c r="P262" s="12"/>
      <c r="Q262" s="17"/>
      <c r="R262" s="18">
        <f>IF(SUMPRODUCT((E262:Q262)*1)=0,0,E262*INDEX(Hours!M:M,MATCH(C262,Hours!$A:$A,0))+F262*INDEX(Hours!B:B,MATCH(C262,Hours!$A:$A,0))+G262*INDEX(Hours!C:C,MATCH(C262,Hours!$A:$A,0))+H262*INDEX(Hours!D:D,MATCH(C262,Hours!$A:$A,0))+I262*INDEX(Hours!E:E,MATCH(C262,Hours!$A:$A,0))+J262*INDEX(Hours!F:F,MATCH(C262,Hours!$A:$A,0))+K262*INDEX(Hours!G:G,MATCH(C262,Hours!$A:$A,0)))</f>
        <v>0</v>
      </c>
      <c r="S262" s="19">
        <f t="shared" si="9"/>
        <v>0</v>
      </c>
    </row>
    <row r="263" spans="1:19" x14ac:dyDescent="0.25">
      <c r="A263" s="15" t="str">
        <f>'Bldgs &amp; Rooms'!$A$9</f>
        <v>Main Bldg.</v>
      </c>
      <c r="B263" s="15">
        <f>'Bldgs &amp; Rooms'!$B$9</f>
        <v>0</v>
      </c>
      <c r="C263" s="14" t="str">
        <f>Hours!$A$4</f>
        <v xml:space="preserve">  SwitchGear Drawout Breakers</v>
      </c>
      <c r="D263" s="15">
        <f t="shared" si="8"/>
        <v>0</v>
      </c>
      <c r="E263" s="16">
        <f>IF('Components Yr 1'!E263=0,0,'Components Yr 1'!E263)</f>
        <v>0</v>
      </c>
      <c r="F263" s="17">
        <f>IF('Components Yr 1'!F263=0,0,'Components Yr 1'!F263)</f>
        <v>0</v>
      </c>
      <c r="G263" s="17">
        <f>IF('Components Yr 1'!G263=0,0,'Components Yr 1'!G263)</f>
        <v>0</v>
      </c>
      <c r="H263" s="17">
        <f>IF('Components Yr 1'!H263=0,0,'Components Yr 1'!H263)</f>
        <v>0</v>
      </c>
      <c r="I263" s="17">
        <f>IF('Components Yr 1'!I263=0,0,'Components Yr 1'!I263)</f>
        <v>0</v>
      </c>
      <c r="J263" s="17">
        <f>IF('Components Yr 1'!J263=0,0,'Components Yr 1'!J263)</f>
        <v>0</v>
      </c>
      <c r="K263" s="12"/>
      <c r="L263" s="17">
        <f>IF('Components Yr 1'!L263=0,0,'Components Yr 1'!L263)</f>
        <v>0</v>
      </c>
      <c r="M263" s="12"/>
      <c r="N263" s="12"/>
      <c r="O263" s="12"/>
      <c r="P263" s="12"/>
      <c r="Q263" s="17"/>
      <c r="R263" s="18">
        <f>IF(SUMPRODUCT((E263:Q263)*1)=0,0,E263*INDEX(Hours!M:M,MATCH(C263,Hours!$A:$A,0))+F263*INDEX(Hours!B:B,MATCH(C263,Hours!$A:$A,0))+G263*INDEX(Hours!C:C,MATCH(C263,Hours!$A:$A,0))+H263*INDEX(Hours!D:D,MATCH(C263,Hours!$A:$A,0))+I263*INDEX(Hours!E:E,MATCH(C263,Hours!$A:$A,0))+J263*INDEX(Hours!F:F,MATCH(C263,Hours!$A:$A,0))+L263*INDEX(Hours!H:H,MATCH(C263,Hours!$A:$A,0)))</f>
        <v>0</v>
      </c>
      <c r="S263" s="19">
        <f t="shared" si="9"/>
        <v>0</v>
      </c>
    </row>
    <row r="264" spans="1:19" x14ac:dyDescent="0.25">
      <c r="A264" s="15" t="str">
        <f>'Bldgs &amp; Rooms'!$A$9</f>
        <v>Main Bldg.</v>
      </c>
      <c r="B264" s="15">
        <f>'Bldgs &amp; Rooms'!$B$9</f>
        <v>0</v>
      </c>
      <c r="C264" s="14" t="str">
        <f>Hours!$A$5</f>
        <v>Distribution Switchboard Multi Cover (Per Section)</v>
      </c>
      <c r="D264" s="15">
        <f t="shared" si="8"/>
        <v>0</v>
      </c>
      <c r="E264" s="16">
        <f>IF('Components Yr 1'!E264=0,0,'Components Yr 1'!E264)</f>
        <v>0</v>
      </c>
      <c r="F264" s="17">
        <f>IF('Components Yr 1'!F264=0,0,'Components Yr 1'!F264)</f>
        <v>0</v>
      </c>
      <c r="G264" s="17">
        <f>IF('Components Yr 1'!G264=0,0,'Components Yr 1'!G264)</f>
        <v>0</v>
      </c>
      <c r="H264" s="17">
        <f>IF('Components Yr 1'!H264=0,0,'Components Yr 1'!H264)</f>
        <v>0</v>
      </c>
      <c r="I264" s="17">
        <f>IF('Components Yr 1'!I264=0,0,'Components Yr 1'!I264)</f>
        <v>0</v>
      </c>
      <c r="J264" s="17">
        <f>IF('Components Yr 1'!J264=0,0,'Components Yr 1'!J264)</f>
        <v>0</v>
      </c>
      <c r="K264" s="17">
        <f>IF('Components Yr 1'!K264=0,0,'Components Yr 1'!K264)</f>
        <v>0</v>
      </c>
      <c r="L264" s="12"/>
      <c r="M264" s="12"/>
      <c r="N264" s="12"/>
      <c r="O264" s="17">
        <f>IF('Components Yr 1'!O264=0,0,'Components Yr 1'!O264)</f>
        <v>0</v>
      </c>
      <c r="P264" s="12"/>
      <c r="Q264" s="17"/>
      <c r="R264" s="18">
        <f>IF(SUMPRODUCT((E264:Q264)*1)=0,0,E264*INDEX(Hours!M:M,MATCH(C264,Hours!$A:$A,0))+F264*INDEX(Hours!B:B,MATCH(C264,Hours!$A:$A,0))+G264*INDEX(Hours!C:C,MATCH(C264,Hours!$A:$A,0))+H264*INDEX(Hours!D:D,MATCH(C264,Hours!$A:$A,0))+I264*INDEX(Hours!E:E,MATCH(C264,Hours!$A:$A,0))+J264*INDEX(Hours!F:F,MATCH(C264,Hours!$A:$A,0))+K264*INDEX(Hours!G:G,MATCH(C264,Hours!$A:$A,0))+O264*INDEX(Hours!K:K,MATCH(C264,Hours!$A:$A,0)))</f>
        <v>0</v>
      </c>
      <c r="S264" s="19">
        <f t="shared" si="9"/>
        <v>0</v>
      </c>
    </row>
    <row r="265" spans="1:19" x14ac:dyDescent="0.25">
      <c r="A265" s="15" t="str">
        <f>'Bldgs &amp; Rooms'!$A$9</f>
        <v>Main Bldg.</v>
      </c>
      <c r="B265" s="15">
        <f>'Bldgs &amp; Rooms'!$B$9</f>
        <v>0</v>
      </c>
      <c r="C265" s="14" t="str">
        <f>Hours!$A$6</f>
        <v xml:space="preserve">  Switchboard Disconnects</v>
      </c>
      <c r="D265" s="15">
        <f t="shared" si="8"/>
        <v>0</v>
      </c>
      <c r="E265" s="16">
        <f>IF('Components Yr 1'!E265=0,0,'Components Yr 1'!E265)</f>
        <v>0</v>
      </c>
      <c r="F265" s="17">
        <f>IF('Components Yr 1'!F265=0,0,'Components Yr 1'!F265)</f>
        <v>0</v>
      </c>
      <c r="G265" s="17">
        <f>IF('Components Yr 1'!G265=0,0,'Components Yr 1'!G265)</f>
        <v>0</v>
      </c>
      <c r="H265" s="17">
        <f>IF('Components Yr 1'!H265=0,0,'Components Yr 1'!H265)</f>
        <v>0</v>
      </c>
      <c r="I265" s="17">
        <f>IF('Components Yr 1'!I265=0,0,'Components Yr 1'!I265)</f>
        <v>0</v>
      </c>
      <c r="J265" s="17">
        <f>IF('Components Yr 1'!J265=0,0,'Components Yr 1'!J265)</f>
        <v>0</v>
      </c>
      <c r="K265" s="12"/>
      <c r="L265" s="12"/>
      <c r="M265" s="12"/>
      <c r="N265" s="12"/>
      <c r="O265" s="12"/>
      <c r="P265" s="12"/>
      <c r="Q265" s="17"/>
      <c r="R265" s="18">
        <f>IF(SUMPRODUCT((E265:Q265)*1)=0,0,E265*INDEX(Hours!M:M,MATCH(C265,Hours!$A:$A,0))+F265*INDEX(Hours!B:B,MATCH(C265,Hours!$A:$A,0))+G265*INDEX(Hours!C:C,MATCH(C265,Hours!$A:$A,0))+H265*INDEX(Hours!D:D,MATCH(C265,Hours!$A:$A,0))+I265*INDEX(Hours!E:E,MATCH(C265,Hours!$A:$A,0))+J265*INDEX(Hours!F:F,MATCH(C265,Hours!$A:$A,0)))</f>
        <v>0</v>
      </c>
      <c r="S265" s="19">
        <f t="shared" si="9"/>
        <v>0</v>
      </c>
    </row>
    <row r="266" spans="1:19" x14ac:dyDescent="0.25">
      <c r="A266" s="15" t="str">
        <f>'Bldgs &amp; Rooms'!$A$9</f>
        <v>Main Bldg.</v>
      </c>
      <c r="B266" s="15">
        <f>'Bldgs &amp; Rooms'!$B$9</f>
        <v>0</v>
      </c>
      <c r="C266" s="14" t="str">
        <f>Hours!$A$7</f>
        <v xml:space="preserve">  Switchboard Molded Case Breakers</v>
      </c>
      <c r="D266" s="15">
        <f t="shared" si="8"/>
        <v>0</v>
      </c>
      <c r="E266" s="16">
        <f>IF('Components Yr 1'!E266=0,0,'Components Yr 1'!E266)</f>
        <v>0</v>
      </c>
      <c r="F266" s="17">
        <f>IF('Components Yr 1'!F266=0,0,'Components Yr 1'!F266)</f>
        <v>0</v>
      </c>
      <c r="G266" s="17">
        <f>IF('Components Yr 1'!G266=0,0,'Components Yr 1'!G266)</f>
        <v>0</v>
      </c>
      <c r="H266" s="17">
        <f>IF('Components Yr 1'!H266=0,0,'Components Yr 1'!H266)</f>
        <v>0</v>
      </c>
      <c r="I266" s="17">
        <f>IF('Components Yr 1'!I266=0,0,'Components Yr 1'!I266)</f>
        <v>0</v>
      </c>
      <c r="J266" s="17">
        <f>IF('Components Yr 1'!J266=0,0,'Components Yr 1'!J266)</f>
        <v>0</v>
      </c>
      <c r="K266" s="17">
        <f>IF('Components Yr 1'!K266=0,0,'Components Yr 1'!K266)</f>
        <v>0</v>
      </c>
      <c r="L266" s="12"/>
      <c r="M266" s="12"/>
      <c r="N266" s="12"/>
      <c r="O266" s="12"/>
      <c r="P266" s="12"/>
      <c r="Q266" s="17"/>
      <c r="R266" s="18">
        <f>IF(SUMPRODUCT((E266:Q266)*1)=0,0,E266*INDEX(Hours!M:M,MATCH(C266,Hours!$A:$A,0))+F266*INDEX(Hours!B:B,MATCH(C266,Hours!$A:$A,0))+G266*INDEX(Hours!C:C,MATCH(C266,Hours!$A:$A,0))+H266*INDEX(Hours!D:D,MATCH(C266,Hours!$A:$A,0))+I266*INDEX(Hours!E:E,MATCH(C266,Hours!$A:$A,0))+J266*INDEX(Hours!F:F,MATCH(C266,Hours!$A:$A,0))+K266*INDEX(Hours!G:G,MATCH(C266,Hours!$A:$A,0)))</f>
        <v>0</v>
      </c>
      <c r="S266" s="19">
        <f t="shared" si="9"/>
        <v>0</v>
      </c>
    </row>
    <row r="267" spans="1:19" x14ac:dyDescent="0.25">
      <c r="A267" s="15" t="str">
        <f>'Bldgs &amp; Rooms'!$A$9</f>
        <v>Main Bldg.</v>
      </c>
      <c r="B267" s="15">
        <f>'Bldgs &amp; Rooms'!$B$9</f>
        <v>0</v>
      </c>
      <c r="C267" s="14" t="str">
        <f>Hours!$A$8</f>
        <v>Panelboard-Single Cover &gt; 400A (Distribution Panel)</v>
      </c>
      <c r="D267" s="15">
        <f t="shared" si="8"/>
        <v>0</v>
      </c>
      <c r="E267" s="16">
        <f>IF('Components Yr 1'!E267=0,0,'Components Yr 1'!E267)</f>
        <v>0</v>
      </c>
      <c r="F267" s="17">
        <f>IF('Components Yr 1'!F267=0,0,'Components Yr 1'!F267)</f>
        <v>0</v>
      </c>
      <c r="G267" s="17">
        <f>IF('Components Yr 1'!G267=0,0,'Components Yr 1'!G267)</f>
        <v>0</v>
      </c>
      <c r="H267" s="17">
        <f>IF('Components Yr 1'!H267=0,0,'Components Yr 1'!H267)</f>
        <v>0</v>
      </c>
      <c r="I267" s="17">
        <f>IF('Components Yr 1'!I267=0,0,'Components Yr 1'!I267)</f>
        <v>0</v>
      </c>
      <c r="J267" s="17">
        <f>IF('Components Yr 1'!J267=0,0,'Components Yr 1'!J267)</f>
        <v>0</v>
      </c>
      <c r="K267" s="17">
        <f>IF('Components Yr 1'!K267=0,0,'Components Yr 1'!K267)</f>
        <v>0</v>
      </c>
      <c r="L267" s="12"/>
      <c r="M267" s="12"/>
      <c r="N267" s="12"/>
      <c r="O267" s="17">
        <f>IF('Components Yr 1'!O267=0,0,'Components Yr 1'!O267)</f>
        <v>0</v>
      </c>
      <c r="P267" s="12"/>
      <c r="Q267" s="17"/>
      <c r="R267" s="18">
        <f>IF(SUMPRODUCT((E267:Q267)*1)=0,0,E267*INDEX(Hours!M:M,MATCH(C267,Hours!$A:$A,0))+F267*INDEX(Hours!B:B,MATCH(C267,Hours!$A:$A,0))+G267*INDEX(Hours!C:C,MATCH(C267,Hours!$A:$A,0))+H267*INDEX(Hours!D:D,MATCH(C267,Hours!$A:$A,0))+I267*INDEX(Hours!E:E,MATCH(C267,Hours!$A:$A,0))+J267*INDEX(Hours!F:F,MATCH(C267,Hours!$A:$A,0))+K267*INDEX(Hours!G:G,MATCH(C267,Hours!$A:$A,0))+O267*INDEX(Hours!K:K,MATCH(C267,Hours!$A:$A,0)))</f>
        <v>0</v>
      </c>
      <c r="S267" s="19">
        <f t="shared" si="9"/>
        <v>0</v>
      </c>
    </row>
    <row r="268" spans="1:19" x14ac:dyDescent="0.25">
      <c r="A268" s="15" t="str">
        <f>'Bldgs &amp; Rooms'!$A$9</f>
        <v>Main Bldg.</v>
      </c>
      <c r="B268" s="15">
        <f>'Bldgs &amp; Rooms'!$B$9</f>
        <v>0</v>
      </c>
      <c r="C268" s="14" t="str">
        <f>Hours!$A$9</f>
        <v>Panelboard-Single Cover &lt; 400A (Branch Ckt Panel)</v>
      </c>
      <c r="D268" s="15">
        <f t="shared" si="8"/>
        <v>0</v>
      </c>
      <c r="E268" s="16">
        <f>IF('Components Yr 1'!E268=0,0,'Components Yr 1'!E268)</f>
        <v>0</v>
      </c>
      <c r="F268" s="17">
        <f>IF('Components Yr 1'!F268=0,0,'Components Yr 1'!F268)</f>
        <v>0</v>
      </c>
      <c r="G268" s="17">
        <f>IF('Components Yr 1'!G268=0,0,'Components Yr 1'!G268)</f>
        <v>0</v>
      </c>
      <c r="H268" s="17">
        <f>IF('Components Yr 1'!H268=0,0,'Components Yr 1'!H268)</f>
        <v>0</v>
      </c>
      <c r="I268" s="17">
        <f>IF('Components Yr 1'!I268=0,0,'Components Yr 1'!I268)</f>
        <v>0</v>
      </c>
      <c r="J268" s="17">
        <f>IF('Components Yr 1'!J268=0,0,'Components Yr 1'!J268)</f>
        <v>0</v>
      </c>
      <c r="K268" s="12"/>
      <c r="L268" s="12"/>
      <c r="M268" s="12"/>
      <c r="N268" s="12"/>
      <c r="O268" s="17">
        <f>IF('Components Yr 1'!O268=0,0,'Components Yr 1'!O268)</f>
        <v>0</v>
      </c>
      <c r="P268" s="12"/>
      <c r="Q268" s="17"/>
      <c r="R268" s="18">
        <f>IF(SUMPRODUCT((E268:Q268)*1)=0,0,E268*INDEX(Hours!M:M,MATCH(C268,Hours!$A:$A,0))+F268*INDEX(Hours!B:B,MATCH(C268,Hours!$A:$A,0))+G268*INDEX(Hours!C:C,MATCH(C268,Hours!$A:$A,0))+H268*INDEX(Hours!D:D,MATCH(C268,Hours!$A:$A,0))+I268*INDEX(Hours!E:E,MATCH(C268,Hours!$A:$A,0))+J268*INDEX(Hours!F:F,MATCH(C268,Hours!$A:$A,0))+O268*INDEX(Hours!K:K,MATCH(C268,Hours!$A:$A,0)))</f>
        <v>0</v>
      </c>
      <c r="S268" s="19">
        <f t="shared" si="9"/>
        <v>0</v>
      </c>
    </row>
    <row r="269" spans="1:19" x14ac:dyDescent="0.25">
      <c r="A269" s="15" t="str">
        <f>'Bldgs &amp; Rooms'!$A$9</f>
        <v>Main Bldg.</v>
      </c>
      <c r="B269" s="15">
        <f>'Bldgs &amp; Rooms'!$B$9</f>
        <v>0</v>
      </c>
      <c r="C269" s="14" t="str">
        <f>Hours!$A$10</f>
        <v>Motor Control Center (MCC-Per Vertical Section)</v>
      </c>
      <c r="D269" s="15">
        <f t="shared" si="8"/>
        <v>0</v>
      </c>
      <c r="E269" s="16">
        <f>IF('Components Yr 1'!E269=0,0,'Components Yr 1'!E269)</f>
        <v>0</v>
      </c>
      <c r="F269" s="17">
        <f>IF('Components Yr 1'!F269=0,0,'Components Yr 1'!F269)</f>
        <v>0</v>
      </c>
      <c r="G269" s="17">
        <f>IF('Components Yr 1'!G269=0,0,'Components Yr 1'!G269)</f>
        <v>0</v>
      </c>
      <c r="H269" s="17">
        <f>IF('Components Yr 1'!H269=0,0,'Components Yr 1'!H269)</f>
        <v>0</v>
      </c>
      <c r="I269" s="17">
        <f>IF('Components Yr 1'!I269=0,0,'Components Yr 1'!I269)</f>
        <v>0</v>
      </c>
      <c r="J269" s="17">
        <f>IF('Components Yr 1'!J269=0,0,'Components Yr 1'!J269)</f>
        <v>0</v>
      </c>
      <c r="K269" s="12"/>
      <c r="L269" s="12"/>
      <c r="M269" s="12"/>
      <c r="N269" s="12"/>
      <c r="O269" s="17">
        <f>IF('Components Yr 1'!O269=0,0,'Components Yr 1'!O269)</f>
        <v>0</v>
      </c>
      <c r="P269" s="12"/>
      <c r="Q269" s="17"/>
      <c r="R269" s="18">
        <f>IF(SUMPRODUCT((E269:Q269)*1)=0,0,E269*INDEX(Hours!M:M,MATCH(C269,Hours!$A:$A,0))+F269*INDEX(Hours!B:B,MATCH(C269,Hours!$A:$A,0))+G269*INDEX(Hours!C:C,MATCH(C269,Hours!$A:$A,0))+H269*INDEX(Hours!D:D,MATCH(C269,Hours!$A:$A,0))+I269*INDEX(Hours!E:E,MATCH(C269,Hours!$A:$A,0))+J269*INDEX(Hours!F:F,MATCH(C269,Hours!$A:$A,0))+O269*INDEX(Hours!K:K,MATCH(C269,Hours!$A:$A,0)))</f>
        <v>0</v>
      </c>
      <c r="S269" s="19">
        <f t="shared" si="9"/>
        <v>0</v>
      </c>
    </row>
    <row r="270" spans="1:19" x14ac:dyDescent="0.25">
      <c r="A270" s="15" t="str">
        <f>'Bldgs &amp; Rooms'!$A$9</f>
        <v>Main Bldg.</v>
      </c>
      <c r="B270" s="15">
        <f>'Bldgs &amp; Rooms'!$B$9</f>
        <v>0</v>
      </c>
      <c r="C270" s="14" t="str">
        <f>Hours!$A$11</f>
        <v xml:space="preserve">  MCC: Combination Motor Starters</v>
      </c>
      <c r="D270" s="15">
        <f t="shared" si="8"/>
        <v>0</v>
      </c>
      <c r="E270" s="16">
        <f>IF('Components Yr 1'!E270=0,0,'Components Yr 1'!E270)</f>
        <v>0</v>
      </c>
      <c r="F270" s="17">
        <f>IF('Components Yr 1'!F270=0,0,'Components Yr 1'!F270)</f>
        <v>0</v>
      </c>
      <c r="G270" s="17">
        <f>IF('Components Yr 1'!G270=0,0,'Components Yr 1'!G270)</f>
        <v>0</v>
      </c>
      <c r="H270" s="17">
        <f>IF('Components Yr 1'!H270=0,0,'Components Yr 1'!H270)</f>
        <v>0</v>
      </c>
      <c r="I270" s="17">
        <f>IF('Components Yr 1'!I270=0,0,'Components Yr 1'!I270)</f>
        <v>0</v>
      </c>
      <c r="J270" s="17">
        <f>IF('Components Yr 1'!J270=0,0,'Components Yr 1'!J270)</f>
        <v>0</v>
      </c>
      <c r="K270" s="17">
        <f>IF('Components Yr 1'!K270=0,0,'Components Yr 1'!K270)</f>
        <v>0</v>
      </c>
      <c r="L270" s="12"/>
      <c r="M270" s="12"/>
      <c r="N270" s="12"/>
      <c r="O270" s="17">
        <f>IF('Components Yr 1'!O270=0,0,'Components Yr 1'!O270)</f>
        <v>0</v>
      </c>
      <c r="P270" s="12"/>
      <c r="Q270" s="17"/>
      <c r="R270" s="18">
        <f>IF(SUMPRODUCT((E270:Q270)*1)=0,0,E270*INDEX(Hours!M:M,MATCH(C270,Hours!$A:$A,0))+F270*INDEX(Hours!B:B,MATCH(C270,Hours!$A:$A,0))+G270*INDEX(Hours!C:C,MATCH(C270,Hours!$A:$A,0))+H270*INDEX(Hours!D:D,MATCH(C270,Hours!$A:$A,0))+I270*INDEX(Hours!E:E,MATCH(C270,Hours!$A:$A,0))+J270*INDEX(Hours!F:F,MATCH(C270,Hours!$A:$A,0))+K270*INDEX(Hours!G:G,MATCH(C270,Hours!$A:$A,0))+O270*INDEX(Hours!K:K,MATCH(C270,Hours!$A:$A,0)))</f>
        <v>0</v>
      </c>
      <c r="S270" s="19">
        <f t="shared" si="9"/>
        <v>0</v>
      </c>
    </row>
    <row r="271" spans="1:19" x14ac:dyDescent="0.25">
      <c r="A271" s="15" t="str">
        <f>'Bldgs &amp; Rooms'!$A$9</f>
        <v>Main Bldg.</v>
      </c>
      <c r="B271" s="15">
        <f>'Bldgs &amp; Rooms'!$B$9</f>
        <v>0</v>
      </c>
      <c r="C271" s="14" t="str">
        <f>Hours!$A$12</f>
        <v xml:space="preserve">  MCC: Molded Case Breaker</v>
      </c>
      <c r="D271" s="15">
        <f t="shared" si="8"/>
        <v>0</v>
      </c>
      <c r="E271" s="16">
        <f>IF('Components Yr 1'!E271=0,0,'Components Yr 1'!E271)</f>
        <v>0</v>
      </c>
      <c r="F271" s="17">
        <f>IF('Components Yr 1'!F271=0,0,'Components Yr 1'!F271)</f>
        <v>0</v>
      </c>
      <c r="G271" s="17">
        <f>IF('Components Yr 1'!G271=0,0,'Components Yr 1'!G271)</f>
        <v>0</v>
      </c>
      <c r="H271" s="17">
        <f>IF('Components Yr 1'!H271=0,0,'Components Yr 1'!H271)</f>
        <v>0</v>
      </c>
      <c r="I271" s="17">
        <f>IF('Components Yr 1'!I271=0,0,'Components Yr 1'!I271)</f>
        <v>0</v>
      </c>
      <c r="J271" s="17">
        <f>IF('Components Yr 1'!J271=0,0,'Components Yr 1'!J271)</f>
        <v>0</v>
      </c>
      <c r="K271" s="17">
        <f>IF('Components Yr 1'!K271=0,0,'Components Yr 1'!K271)</f>
        <v>0</v>
      </c>
      <c r="L271" s="12"/>
      <c r="M271" s="12"/>
      <c r="N271" s="12"/>
      <c r="O271" s="12"/>
      <c r="P271" s="12"/>
      <c r="Q271" s="17"/>
      <c r="R271" s="18">
        <f>IF(SUMPRODUCT((E271:Q271)*1)=0,0,E271*INDEX(Hours!M:M,MATCH(C271,Hours!$A:$A,0))+F271*INDEX(Hours!B:B,MATCH(C271,Hours!$A:$A,0))+G271*INDEX(Hours!C:C,MATCH(C271,Hours!$A:$A,0))+H271*INDEX(Hours!D:D,MATCH(C271,Hours!$A:$A,0))+I271*INDEX(Hours!E:E,MATCH(C271,Hours!$A:$A,0))+J271*INDEX(Hours!F:F,MATCH(C271,Hours!$A:$A,0))+K271*INDEX(Hours!G:G,MATCH(C271,Hours!$A:$A,0)))</f>
        <v>0</v>
      </c>
      <c r="S271" s="19">
        <f t="shared" si="9"/>
        <v>0</v>
      </c>
    </row>
    <row r="272" spans="1:19" x14ac:dyDescent="0.25">
      <c r="A272" s="15" t="str">
        <f>'Bldgs &amp; Rooms'!$A$9</f>
        <v>Main Bldg.</v>
      </c>
      <c r="B272" s="15">
        <f>'Bldgs &amp; Rooms'!$B$9</f>
        <v>0</v>
      </c>
      <c r="C272" s="14" t="str">
        <f>Hours!$A$13</f>
        <v xml:space="preserve">  MCC: Individual Disconnect Switch</v>
      </c>
      <c r="D272" s="15">
        <f t="shared" si="8"/>
        <v>0</v>
      </c>
      <c r="E272" s="16">
        <f>IF('Components Yr 1'!E272=0,0,'Components Yr 1'!E272)</f>
        <v>0</v>
      </c>
      <c r="F272" s="17">
        <f>IF('Components Yr 1'!F272=0,0,'Components Yr 1'!F272)</f>
        <v>0</v>
      </c>
      <c r="G272" s="17">
        <f>IF('Components Yr 1'!G272=0,0,'Components Yr 1'!G272)</f>
        <v>0</v>
      </c>
      <c r="H272" s="17">
        <f>IF('Components Yr 1'!H272=0,0,'Components Yr 1'!H272)</f>
        <v>0</v>
      </c>
      <c r="I272" s="17">
        <f>IF('Components Yr 1'!I272=0,0,'Components Yr 1'!I272)</f>
        <v>0</v>
      </c>
      <c r="J272" s="17">
        <f>IF('Components Yr 1'!J272=0,0,'Components Yr 1'!J272)</f>
        <v>0</v>
      </c>
      <c r="K272" s="12"/>
      <c r="L272" s="12"/>
      <c r="M272" s="12"/>
      <c r="N272" s="12"/>
      <c r="O272" s="12"/>
      <c r="P272" s="12"/>
      <c r="Q272" s="17"/>
      <c r="R272" s="18">
        <f>IF(SUMPRODUCT((E272:Q272)*1)=0,0,E272*INDEX(Hours!M:M,MATCH(C272,Hours!$A:$A,0))+F272*INDEX(Hours!B:B,MATCH(C272,Hours!$A:$A,0))+G272*INDEX(Hours!C:C,MATCH(C272,Hours!$A:$A,0))+H272*INDEX(Hours!D:D,MATCH(C272,Hours!$A:$A,0))+I272*INDEX(Hours!E:E,MATCH(C272,Hours!$A:$A,0))+J272*INDEX(Hours!F:F,MATCH(C272,Hours!$A:$A,0)))</f>
        <v>0</v>
      </c>
      <c r="S272" s="19">
        <f t="shared" si="9"/>
        <v>0</v>
      </c>
    </row>
    <row r="273" spans="1:19" x14ac:dyDescent="0.25">
      <c r="A273" s="15" t="str">
        <f>'Bldgs &amp; Rooms'!$A$9</f>
        <v>Main Bldg.</v>
      </c>
      <c r="B273" s="15">
        <f>'Bldgs &amp; Rooms'!$B$9</f>
        <v>0</v>
      </c>
      <c r="C273" s="14" t="str">
        <f>Hours!$A$14</f>
        <v>Motor Control Panel (MCP)</v>
      </c>
      <c r="D273" s="15">
        <f t="shared" si="8"/>
        <v>0</v>
      </c>
      <c r="E273" s="16">
        <f>IF('Components Yr 1'!E273=0,0,'Components Yr 1'!E273)</f>
        <v>0</v>
      </c>
      <c r="F273" s="17">
        <f>IF('Components Yr 1'!F273=0,0,'Components Yr 1'!F273)</f>
        <v>0</v>
      </c>
      <c r="G273" s="17">
        <f>IF('Components Yr 1'!G273=0,0,'Components Yr 1'!G273)</f>
        <v>0</v>
      </c>
      <c r="H273" s="17">
        <f>IF('Components Yr 1'!H273=0,0,'Components Yr 1'!H273)</f>
        <v>0</v>
      </c>
      <c r="I273" s="17">
        <f>IF('Components Yr 1'!I273=0,0,'Components Yr 1'!I273)</f>
        <v>0</v>
      </c>
      <c r="J273" s="17">
        <f>IF('Components Yr 1'!J273=0,0,'Components Yr 1'!J273)</f>
        <v>0</v>
      </c>
      <c r="K273" s="12"/>
      <c r="L273" s="12"/>
      <c r="M273" s="12"/>
      <c r="N273" s="12"/>
      <c r="O273" s="17">
        <f>IF('Components Yr 1'!O273=0,0,'Components Yr 1'!O273)</f>
        <v>0</v>
      </c>
      <c r="P273" s="12"/>
      <c r="Q273" s="17"/>
      <c r="R273" s="18">
        <f>IF(SUMPRODUCT((E273:Q273)*1)=0,0,E273*INDEX(Hours!M:M,MATCH(C273,Hours!$A:$A,0))+F273*INDEX(Hours!B:B,MATCH(C273,Hours!$A:$A,0))+G273*INDEX(Hours!C:C,MATCH(C273,Hours!$A:$A,0))+H273*INDEX(Hours!D:D,MATCH(C273,Hours!$A:$A,0))+I273*INDEX(Hours!E:E,MATCH(C273,Hours!$A:$A,0))+J273*INDEX(Hours!F:F,MATCH(C273,Hours!$A:$A,0))+O273*INDEX(Hours!K:K,MATCH(C273,Hours!$A:$A,0)))</f>
        <v>0</v>
      </c>
      <c r="S273" s="19">
        <f t="shared" si="9"/>
        <v>0</v>
      </c>
    </row>
    <row r="274" spans="1:19" x14ac:dyDescent="0.25">
      <c r="A274" s="15" t="str">
        <f>'Bldgs &amp; Rooms'!$A$9</f>
        <v>Main Bldg.</v>
      </c>
      <c r="B274" s="15">
        <f>'Bldgs &amp; Rooms'!$B$9</f>
        <v>0</v>
      </c>
      <c r="C274" s="14" t="str">
        <f>Hours!$A$15</f>
        <v>VFD Motor Control Panel (VFD-MCP)</v>
      </c>
      <c r="D274" s="15">
        <f t="shared" si="8"/>
        <v>0</v>
      </c>
      <c r="E274" s="16">
        <f>IF('Components Yr 1'!E274=0,0,'Components Yr 1'!E274)</f>
        <v>0</v>
      </c>
      <c r="F274" s="17">
        <f>IF('Components Yr 1'!F274=0,0,'Components Yr 1'!F274)</f>
        <v>0</v>
      </c>
      <c r="G274" s="17">
        <f>IF('Components Yr 1'!G274=0,0,'Components Yr 1'!G274)</f>
        <v>0</v>
      </c>
      <c r="H274" s="17">
        <f>IF('Components Yr 1'!H274=0,0,'Components Yr 1'!H274)</f>
        <v>0</v>
      </c>
      <c r="I274" s="17">
        <f>IF('Components Yr 1'!I274=0,0,'Components Yr 1'!I274)</f>
        <v>0</v>
      </c>
      <c r="J274" s="17">
        <f>IF('Components Yr 1'!J274=0,0,'Components Yr 1'!J274)</f>
        <v>0</v>
      </c>
      <c r="K274" s="12"/>
      <c r="L274" s="12"/>
      <c r="M274" s="12"/>
      <c r="N274" s="12"/>
      <c r="O274" s="17">
        <f>IF('Components Yr 1'!O274=0,0,'Components Yr 1'!O274)</f>
        <v>0</v>
      </c>
      <c r="P274" s="12"/>
      <c r="Q274" s="17"/>
      <c r="R274" s="18">
        <f>IF(SUMPRODUCT((E274:Q274)*1)=0,0,E274*INDEX(Hours!M:M,MATCH(C274,Hours!$A:$A,0))+F274*INDEX(Hours!B:B,MATCH(C274,Hours!$A:$A,0))+G274*INDEX(Hours!C:C,MATCH(C274,Hours!$A:$A,0))+H274*INDEX(Hours!D:D,MATCH(C274,Hours!$A:$A,0))+I274*INDEX(Hours!E:E,MATCH(C274,Hours!$A:$A,0))+J274*INDEX(Hours!F:F,MATCH(C274,Hours!$A:$A,0))+O274*INDEX(Hours!K:K,MATCH(C274,Hours!$A:$A,0)))</f>
        <v>0</v>
      </c>
      <c r="S274" s="19">
        <f t="shared" si="9"/>
        <v>0</v>
      </c>
    </row>
    <row r="275" spans="1:19" x14ac:dyDescent="0.25">
      <c r="A275" s="15" t="str">
        <f>'Bldgs &amp; Rooms'!$A$9</f>
        <v>Main Bldg.</v>
      </c>
      <c r="B275" s="15">
        <f>'Bldgs &amp; Rooms'!$B$9</f>
        <v>0</v>
      </c>
      <c r="C275" s="14" t="str">
        <f>Hours!$A$16</f>
        <v>Individual Disconnect Switch &gt; 100A</v>
      </c>
      <c r="D275" s="15">
        <f t="shared" si="8"/>
        <v>0</v>
      </c>
      <c r="E275" s="16">
        <f>IF('Components Yr 1'!E275=0,0,'Components Yr 1'!E275)</f>
        <v>0</v>
      </c>
      <c r="F275" s="17">
        <f>IF('Components Yr 1'!F275=0,0,'Components Yr 1'!F275)</f>
        <v>0</v>
      </c>
      <c r="G275" s="17">
        <f>IF('Components Yr 1'!G275=0,0,'Components Yr 1'!G275)</f>
        <v>0</v>
      </c>
      <c r="H275" s="17">
        <f>IF('Components Yr 1'!H275=0,0,'Components Yr 1'!H275)</f>
        <v>0</v>
      </c>
      <c r="I275" s="17">
        <f>IF('Components Yr 1'!I275=0,0,'Components Yr 1'!I275)</f>
        <v>0</v>
      </c>
      <c r="J275" s="17">
        <f>IF('Components Yr 1'!J275=0,0,'Components Yr 1'!J275)</f>
        <v>0</v>
      </c>
      <c r="K275" s="17">
        <f>IF('Components Yr 1'!K275=0,0,'Components Yr 1'!K275)</f>
        <v>0</v>
      </c>
      <c r="L275" s="12"/>
      <c r="M275" s="12"/>
      <c r="N275" s="12"/>
      <c r="O275" s="12"/>
      <c r="P275" s="12"/>
      <c r="Q275" s="17"/>
      <c r="R275" s="18">
        <f>IF(SUMPRODUCT((E275:Q275)*1)=0,0,E275*INDEX(Hours!M:M,MATCH(C275,Hours!$A:$A,0))+F275*INDEX(Hours!B:B,MATCH(C275,Hours!$A:$A,0))+G275*INDEX(Hours!C:C,MATCH(C275,Hours!$A:$A,0))+H275*INDEX(Hours!D:D,MATCH(C275,Hours!$A:$A,0))+I275*INDEX(Hours!E:E,MATCH(C275,Hours!$A:$A,0))+J275*INDEX(Hours!F:F,MATCH(C275,Hours!$A:$A,0))+K275*INDEX(Hours!G:G,MATCH(C275,Hours!$A:$A,0)))</f>
        <v>0</v>
      </c>
      <c r="S275" s="19">
        <f t="shared" si="9"/>
        <v>0</v>
      </c>
    </row>
    <row r="276" spans="1:19" x14ac:dyDescent="0.25">
      <c r="A276" s="15" t="str">
        <f>'Bldgs &amp; Rooms'!$A$9</f>
        <v>Main Bldg.</v>
      </c>
      <c r="B276" s="15">
        <f>'Bldgs &amp; Rooms'!$B$9</f>
        <v>0</v>
      </c>
      <c r="C276" s="14" t="str">
        <f>Hours!$A$17</f>
        <v>Individual Molded Case Breaker &gt; 100A</v>
      </c>
      <c r="D276" s="15">
        <f t="shared" si="8"/>
        <v>0</v>
      </c>
      <c r="E276" s="16">
        <f>IF('Components Yr 1'!E276=0,0,'Components Yr 1'!E276)</f>
        <v>0</v>
      </c>
      <c r="F276" s="17">
        <f>IF('Components Yr 1'!F276=0,0,'Components Yr 1'!F276)</f>
        <v>0</v>
      </c>
      <c r="G276" s="17">
        <f>IF('Components Yr 1'!G276=0,0,'Components Yr 1'!G276)</f>
        <v>0</v>
      </c>
      <c r="H276" s="17">
        <f>IF('Components Yr 1'!H276=0,0,'Components Yr 1'!H276)</f>
        <v>0</v>
      </c>
      <c r="I276" s="17">
        <f>IF('Components Yr 1'!I276=0,0,'Components Yr 1'!I276)</f>
        <v>0</v>
      </c>
      <c r="J276" s="17">
        <f>IF('Components Yr 1'!J276=0,0,'Components Yr 1'!J276)</f>
        <v>0</v>
      </c>
      <c r="K276" s="17">
        <f>IF('Components Yr 1'!K276=0,0,'Components Yr 1'!K276)</f>
        <v>0</v>
      </c>
      <c r="L276" s="12"/>
      <c r="M276" s="12"/>
      <c r="N276" s="12"/>
      <c r="O276" s="12"/>
      <c r="P276" s="12"/>
      <c r="Q276" s="17"/>
      <c r="R276" s="18">
        <f>IF(SUMPRODUCT((E276:Q276)*1)=0,0,E276*INDEX(Hours!M:M,MATCH(C276,Hours!$A:$A,0))+F276*INDEX(Hours!B:B,MATCH(C276,Hours!$A:$A,0))+G276*INDEX(Hours!C:C,MATCH(C276,Hours!$A:$A,0))+H276*INDEX(Hours!D:D,MATCH(C276,Hours!$A:$A,0))+I276*INDEX(Hours!E:E,MATCH(C276,Hours!$A:$A,0))+J276*INDEX(Hours!F:F,MATCH(C276,Hours!$A:$A,0))+K276*INDEX(Hours!G:G,MATCH(C276,Hours!$A:$A,0)))</f>
        <v>0</v>
      </c>
      <c r="S276" s="19">
        <f t="shared" si="9"/>
        <v>0</v>
      </c>
    </row>
    <row r="277" spans="1:19" x14ac:dyDescent="0.25">
      <c r="A277" s="15" t="str">
        <f>'Bldgs &amp; Rooms'!$A$9</f>
        <v>Main Bldg.</v>
      </c>
      <c r="B277" s="15">
        <f>'Bldgs &amp; Rooms'!$B$9</f>
        <v>0</v>
      </c>
      <c r="C277" s="14" t="str">
        <f>Hours!$A$18</f>
        <v>Individual Combination Motor Starter &gt; 100A</v>
      </c>
      <c r="D277" s="15">
        <f t="shared" si="8"/>
        <v>0</v>
      </c>
      <c r="E277" s="16">
        <f>IF('Components Yr 1'!E277=0,0,'Components Yr 1'!E277)</f>
        <v>0</v>
      </c>
      <c r="F277" s="17">
        <f>IF('Components Yr 1'!F277=0,0,'Components Yr 1'!F277)</f>
        <v>0</v>
      </c>
      <c r="G277" s="17">
        <f>IF('Components Yr 1'!G277=0,0,'Components Yr 1'!G277)</f>
        <v>0</v>
      </c>
      <c r="H277" s="17">
        <f>IF('Components Yr 1'!H277=0,0,'Components Yr 1'!H277)</f>
        <v>0</v>
      </c>
      <c r="I277" s="17">
        <f>IF('Components Yr 1'!I277=0,0,'Components Yr 1'!I277)</f>
        <v>0</v>
      </c>
      <c r="J277" s="17">
        <f>IF('Components Yr 1'!J277=0,0,'Components Yr 1'!J277)</f>
        <v>0</v>
      </c>
      <c r="K277" s="17">
        <f>IF('Components Yr 1'!K277=0,0,'Components Yr 1'!K277)</f>
        <v>0</v>
      </c>
      <c r="L277" s="12"/>
      <c r="M277" s="12"/>
      <c r="N277" s="12"/>
      <c r="O277" s="12"/>
      <c r="P277" s="12"/>
      <c r="Q277" s="17"/>
      <c r="R277" s="18">
        <f>IF(SUMPRODUCT((E277:Q277)*1)=0,0,E277*INDEX(Hours!M:M,MATCH(C277,Hours!$A:$A,0))+F277*INDEX(Hours!B:B,MATCH(C277,Hours!$A:$A,0))+G277*INDEX(Hours!C:C,MATCH(C277,Hours!$A:$A,0))+H277*INDEX(Hours!D:D,MATCH(C277,Hours!$A:$A,0))+I277*INDEX(Hours!E:E,MATCH(C277,Hours!$A:$A,0))+J277*INDEX(Hours!F:F,MATCH(C277,Hours!$A:$A,0))+K277*INDEX(Hours!G:G,MATCH(C277,Hours!$A:$A,0)))</f>
        <v>0</v>
      </c>
      <c r="S277" s="19">
        <f t="shared" si="9"/>
        <v>0</v>
      </c>
    </row>
    <row r="278" spans="1:19" x14ac:dyDescent="0.25">
      <c r="A278" s="15" t="str">
        <f>'Bldgs &amp; Rooms'!$A$9</f>
        <v>Main Bldg.</v>
      </c>
      <c r="B278" s="15">
        <f>'Bldgs &amp; Rooms'!$B$9</f>
        <v>0</v>
      </c>
      <c r="C278" s="14" t="str">
        <f>Hours!$A$19</f>
        <v>Oil Filled Transformer - 5kV-15kV Primary - Any Size (Pad Mounted)</v>
      </c>
      <c r="D278" s="15">
        <f t="shared" si="8"/>
        <v>0</v>
      </c>
      <c r="E278" s="16">
        <f>IF('Components Yr 1'!E278=0,0,'Components Yr 1'!E278)</f>
        <v>0</v>
      </c>
      <c r="F278" s="17">
        <f>IF('Components Yr 1'!F278=0,0,'Components Yr 1'!F278)</f>
        <v>0</v>
      </c>
      <c r="G278" s="17">
        <f>IF('Components Yr 1'!G278=0,0,'Components Yr 1'!G278)</f>
        <v>0</v>
      </c>
      <c r="H278" s="17">
        <f>IF('Components Yr 1'!H278=0,0,'Components Yr 1'!H278)</f>
        <v>0</v>
      </c>
      <c r="I278" s="17">
        <f>IF('Components Yr 1'!I278=0,0,'Components Yr 1'!I278)</f>
        <v>0</v>
      </c>
      <c r="J278" s="17">
        <f>IF('Components Yr 1'!J278=0,0,'Components Yr 1'!J278)</f>
        <v>0</v>
      </c>
      <c r="K278" s="12"/>
      <c r="L278" s="12"/>
      <c r="M278" s="17">
        <f>IF('Components Yr 1'!M278=0,0,'Components Yr 1'!M278)</f>
        <v>0</v>
      </c>
      <c r="N278" s="17">
        <f>IF('Components Yr 1'!N278=0,0,'Components Yr 1'!N278)</f>
        <v>0</v>
      </c>
      <c r="O278" s="12"/>
      <c r="P278" s="17">
        <f>IF('Components Yr 1'!P278=0,0,'Components Yr 1'!P278)</f>
        <v>0</v>
      </c>
      <c r="Q278" s="17"/>
      <c r="R278" s="18">
        <f>IF(SUMPRODUCT((E278:Q278)*1)=0,0,E278*INDEX(Hours!M:M,MATCH(C278,Hours!$A:$A,0))+F278*INDEX(Hours!B:B,MATCH(C278,Hours!$A:$A,0))+G278*INDEX(Hours!C:C,MATCH(C278,Hours!$A:$A,0))+H278*INDEX(Hours!D:D,MATCH(C278,Hours!$A:$A,0))+I278*INDEX(Hours!E:E,MATCH(C278,Hours!$A:$A,0))+J278*INDEX(Hours!F:F,MATCH(C278,Hours!$A:$A,0))+M278*INDEX(Hours!I:I,MATCH(C278,Hours!$A:$A,0))+N278*INDEX(Hours!J:J,MATCH(C278,Hours!$A:$A,0))+P278*INDEX(Hours!L:L,MATCH(C278,Hours!$A:$A,0)))</f>
        <v>0</v>
      </c>
      <c r="S278" s="19">
        <f t="shared" si="9"/>
        <v>0</v>
      </c>
    </row>
    <row r="279" spans="1:19" x14ac:dyDescent="0.25">
      <c r="A279" s="15" t="str">
        <f>'Bldgs &amp; Rooms'!$A$9</f>
        <v>Main Bldg.</v>
      </c>
      <c r="B279" s="15">
        <f>'Bldgs &amp; Rooms'!$B$9</f>
        <v>0</v>
      </c>
      <c r="C279" s="14" t="str">
        <f>Hours!$A$20</f>
        <v>Oil Filled Transformer - &gt; 15kV Primary (Substation Class)</v>
      </c>
      <c r="D279" s="15">
        <f t="shared" si="8"/>
        <v>0</v>
      </c>
      <c r="E279" s="16">
        <f>IF('Components Yr 1'!E279=0,0,'Components Yr 1'!E279)</f>
        <v>0</v>
      </c>
      <c r="F279" s="17">
        <f>IF('Components Yr 1'!F279=0,0,'Components Yr 1'!F279)</f>
        <v>0</v>
      </c>
      <c r="G279" s="17">
        <f>IF('Components Yr 1'!G279=0,0,'Components Yr 1'!G279)</f>
        <v>0</v>
      </c>
      <c r="H279" s="17">
        <f>IF('Components Yr 1'!H279=0,0,'Components Yr 1'!H279)</f>
        <v>0</v>
      </c>
      <c r="I279" s="17">
        <f>IF('Components Yr 1'!I279=0,0,'Components Yr 1'!I279)</f>
        <v>0</v>
      </c>
      <c r="J279" s="17">
        <f>IF('Components Yr 1'!J279=0,0,'Components Yr 1'!J279)</f>
        <v>0</v>
      </c>
      <c r="K279" s="12"/>
      <c r="L279" s="12"/>
      <c r="M279" s="17">
        <f>IF('Components Yr 1'!M279=0,0,'Components Yr 1'!M279)</f>
        <v>0</v>
      </c>
      <c r="N279" s="17">
        <f>IF('Components Yr 1'!N279=0,0,'Components Yr 1'!N279)</f>
        <v>0</v>
      </c>
      <c r="O279" s="12"/>
      <c r="P279" s="17">
        <f>IF('Components Yr 1'!P279=0,0,'Components Yr 1'!P279)</f>
        <v>0</v>
      </c>
      <c r="Q279" s="17"/>
      <c r="R279" s="18">
        <f>IF(SUMPRODUCT((E279:Q279)*1)=0,0,E279*INDEX(Hours!M:M,MATCH(C279,Hours!$A:$A,0))+F279*INDEX(Hours!B:B,MATCH(C279,Hours!$A:$A,0))+G279*INDEX(Hours!C:C,MATCH(C279,Hours!$A:$A,0))+H279*INDEX(Hours!D:D,MATCH(C279,Hours!$A:$A,0))+I279*INDEX(Hours!E:E,MATCH(C279,Hours!$A:$A,0))+J279*INDEX(Hours!F:F,MATCH(C279,Hours!$A:$A,0))+M279*INDEX(Hours!I:I,MATCH(C279,Hours!$A:$A,0))+N279*INDEX(Hours!J:J,MATCH(C279,Hours!$A:$A,0))+P279*INDEX(Hours!L:L,MATCH(C279,Hours!$A:$A,0)))</f>
        <v>0</v>
      </c>
      <c r="S279" s="19">
        <f t="shared" si="9"/>
        <v>0</v>
      </c>
    </row>
    <row r="280" spans="1:19" x14ac:dyDescent="0.25">
      <c r="A280" s="15" t="str">
        <f>'Bldgs &amp; Rooms'!$A$9</f>
        <v>Main Bldg.</v>
      </c>
      <c r="B280" s="15">
        <f>'Bldgs &amp; Rooms'!$B$9</f>
        <v>0</v>
      </c>
      <c r="C280" s="14" t="str">
        <f>Hours!$A$21</f>
        <v>Dry Type Transformer - &lt; 480V Primary - Any Size kVA</v>
      </c>
      <c r="D280" s="15">
        <f t="shared" si="8"/>
        <v>0</v>
      </c>
      <c r="E280" s="16">
        <f>IF('Components Yr 1'!E280=0,0,'Components Yr 1'!E280)</f>
        <v>0</v>
      </c>
      <c r="F280" s="17">
        <f>IF('Components Yr 1'!F280=0,0,'Components Yr 1'!F280)</f>
        <v>0</v>
      </c>
      <c r="G280" s="17">
        <f>IF('Components Yr 1'!G280=0,0,'Components Yr 1'!G280)</f>
        <v>0</v>
      </c>
      <c r="H280" s="17">
        <f>IF('Components Yr 1'!H280=0,0,'Components Yr 1'!H280)</f>
        <v>0</v>
      </c>
      <c r="I280" s="17">
        <f>IF('Components Yr 1'!I280=0,0,'Components Yr 1'!I280)</f>
        <v>0</v>
      </c>
      <c r="J280" s="17">
        <f>IF('Components Yr 1'!J280=0,0,'Components Yr 1'!J280)</f>
        <v>0</v>
      </c>
      <c r="K280" s="12"/>
      <c r="L280" s="12"/>
      <c r="M280" s="17">
        <f>IF('Components Yr 1'!M280=0,0,'Components Yr 1'!M280)</f>
        <v>0</v>
      </c>
      <c r="N280" s="17">
        <f>IF('Components Yr 1'!N280=0,0,'Components Yr 1'!N280)</f>
        <v>0</v>
      </c>
      <c r="O280" s="12"/>
      <c r="P280" s="12"/>
      <c r="Q280" s="17"/>
      <c r="R280" s="18">
        <f>IF(SUMPRODUCT((E280:Q280)*1)=0,0,E280*INDEX(Hours!M:M,MATCH(C280,Hours!$A:$A,0))+F280*INDEX(Hours!B:B,MATCH(C280,Hours!$A:$A,0))+G280*INDEX(Hours!C:C,MATCH(C280,Hours!$A:$A,0))+H280*INDEX(Hours!D:D,MATCH(C280,Hours!$A:$A,0))+I280*INDEX(Hours!E:E,MATCH(C280,Hours!$A:$A,0))+J280*INDEX(Hours!F:F,MATCH(C280,Hours!$A:$A,0))+M280*INDEX(Hours!I:I,MATCH(C280,Hours!$A:$A,0))+N280*INDEX(Hours!J:J,MATCH(C280,Hours!$A:$A,0)))</f>
        <v>0</v>
      </c>
      <c r="S280" s="19">
        <f t="shared" si="9"/>
        <v>0</v>
      </c>
    </row>
    <row r="281" spans="1:19" x14ac:dyDescent="0.25">
      <c r="A281" s="15" t="str">
        <f>'Bldgs &amp; Rooms'!$A$9</f>
        <v>Main Bldg.</v>
      </c>
      <c r="B281" s="15">
        <f>'Bldgs &amp; Rooms'!$B$9</f>
        <v>0</v>
      </c>
      <c r="C281" s="14" t="str">
        <f>Hours!$A$22</f>
        <v>Power Factor Correction Capacitors</v>
      </c>
      <c r="D281" s="15">
        <f t="shared" si="8"/>
        <v>0</v>
      </c>
      <c r="E281" s="16">
        <f>IF('Components Yr 1'!E281=0,0,'Components Yr 1'!E281)</f>
        <v>0</v>
      </c>
      <c r="F281" s="17">
        <f>IF('Components Yr 1'!F281=0,0,'Components Yr 1'!F281)</f>
        <v>0</v>
      </c>
      <c r="G281" s="17">
        <f>IF('Components Yr 1'!G281=0,0,'Components Yr 1'!G281)</f>
        <v>0</v>
      </c>
      <c r="H281" s="17">
        <f>IF('Components Yr 1'!H281=0,0,'Components Yr 1'!H281)</f>
        <v>0</v>
      </c>
      <c r="I281" s="17">
        <f>IF('Components Yr 1'!I281=0,0,'Components Yr 1'!I281)</f>
        <v>0</v>
      </c>
      <c r="J281" s="17">
        <f>IF('Components Yr 1'!J281=0,0,'Components Yr 1'!J281)</f>
        <v>0</v>
      </c>
      <c r="K281" s="12"/>
      <c r="L281" s="12"/>
      <c r="M281" s="12"/>
      <c r="N281" s="12"/>
      <c r="O281" s="12"/>
      <c r="P281" s="12"/>
      <c r="Q281" s="17"/>
      <c r="R281" s="18">
        <f>IF(SUMPRODUCT((E281:Q281)*1)=0,0,E281*INDEX(Hours!M:M,MATCH(C281,Hours!$A:$A,0))+F281*INDEX(Hours!B:B,MATCH(C281,Hours!$A:$A,0))+G281*INDEX(Hours!C:C,MATCH(C281,Hours!$A:$A,0))+H281*INDEX(Hours!D:D,MATCH(C281,Hours!$A:$A,0))+I281*INDEX(Hours!E:E,MATCH(C281,Hours!$A:$A,0))+J281*INDEX(Hours!F:F,MATCH(C281,Hours!$A:$A,0)))</f>
        <v>0</v>
      </c>
      <c r="S281" s="19">
        <f t="shared" si="9"/>
        <v>0</v>
      </c>
    </row>
    <row r="282" spans="1:19" x14ac:dyDescent="0.25">
      <c r="A282" s="15" t="str">
        <f>'Bldgs &amp; Rooms'!$A$9</f>
        <v>Main Bldg.</v>
      </c>
      <c r="B282" s="15">
        <f>'Bldgs &amp; Rooms'!$B$9</f>
        <v>0</v>
      </c>
      <c r="C282" s="14" t="str">
        <f>Hours!$A$23</f>
        <v>Lighting Contactor &gt; 100A</v>
      </c>
      <c r="D282" s="15">
        <f t="shared" si="8"/>
        <v>0</v>
      </c>
      <c r="E282" s="16">
        <f>IF('Components Yr 1'!E282=0,0,'Components Yr 1'!E282)</f>
        <v>0</v>
      </c>
      <c r="F282" s="17">
        <f>IF('Components Yr 1'!F282=0,0,'Components Yr 1'!F282)</f>
        <v>0</v>
      </c>
      <c r="G282" s="17">
        <f>IF('Components Yr 1'!G282=0,0,'Components Yr 1'!G282)</f>
        <v>0</v>
      </c>
      <c r="H282" s="17">
        <f>IF('Components Yr 1'!H282=0,0,'Components Yr 1'!H282)</f>
        <v>0</v>
      </c>
      <c r="I282" s="17">
        <f>IF('Components Yr 1'!I282=0,0,'Components Yr 1'!I282)</f>
        <v>0</v>
      </c>
      <c r="J282" s="17">
        <f>IF('Components Yr 1'!J282=0,0,'Components Yr 1'!J282)</f>
        <v>0</v>
      </c>
      <c r="K282" s="12"/>
      <c r="L282" s="12"/>
      <c r="M282" s="12"/>
      <c r="N282" s="12"/>
      <c r="O282" s="12"/>
      <c r="P282" s="12"/>
      <c r="Q282" s="17"/>
      <c r="R282" s="18">
        <f>IF(SUMPRODUCT((E282:Q282)*1)=0,0,E282*INDEX(Hours!M:M,MATCH(C282,Hours!$A:$A,0))+F282*INDEX(Hours!B:B,MATCH(C282,Hours!$A:$A,0))+G282*INDEX(Hours!C:C,MATCH(C282,Hours!$A:$A,0))+H282*INDEX(Hours!D:D,MATCH(C282,Hours!$A:$A,0))+I282*INDEX(Hours!E:E,MATCH(C282,Hours!$A:$A,0))+J282*INDEX(Hours!F:F,MATCH(C282,Hours!$A:$A,0)))</f>
        <v>0</v>
      </c>
      <c r="S282" s="19">
        <f t="shared" si="9"/>
        <v>0</v>
      </c>
    </row>
    <row r="283" spans="1:19" x14ac:dyDescent="0.25">
      <c r="A283" s="15" t="str">
        <f>'Bldgs &amp; Rooms'!$A$9</f>
        <v>Main Bldg.</v>
      </c>
      <c r="B283" s="15">
        <f>'Bldgs &amp; Rooms'!$B$9</f>
        <v>0</v>
      </c>
      <c r="C283" s="14" t="str">
        <f>Hours!$A$24</f>
        <v>Power Distribution Unit (PDU)</v>
      </c>
      <c r="D283" s="15">
        <f t="shared" si="8"/>
        <v>0</v>
      </c>
      <c r="E283" s="16">
        <f>IF('Components Yr 1'!E283=0,0,'Components Yr 1'!E283)</f>
        <v>0</v>
      </c>
      <c r="F283" s="17">
        <f>IF('Components Yr 1'!F283=0,0,'Components Yr 1'!F283)</f>
        <v>0</v>
      </c>
      <c r="G283" s="17">
        <f>IF('Components Yr 1'!G283=0,0,'Components Yr 1'!G283)</f>
        <v>0</v>
      </c>
      <c r="H283" s="17">
        <f>IF('Components Yr 1'!H283=0,0,'Components Yr 1'!H283)</f>
        <v>0</v>
      </c>
      <c r="I283" s="17">
        <f>IF('Components Yr 1'!I283=0,0,'Components Yr 1'!I283)</f>
        <v>0</v>
      </c>
      <c r="J283" s="17">
        <f>IF('Components Yr 1'!J283=0,0,'Components Yr 1'!J283)</f>
        <v>0</v>
      </c>
      <c r="K283" s="12"/>
      <c r="L283" s="12"/>
      <c r="M283" s="12"/>
      <c r="N283" s="12"/>
      <c r="O283" s="12"/>
      <c r="P283" s="12"/>
      <c r="Q283" s="17"/>
      <c r="R283" s="18">
        <f>IF(SUMPRODUCT((E283:Q283)*1)=0,0,E283*INDEX(Hours!M:M,MATCH(C283,Hours!$A:$A,0))+F283*INDEX(Hours!B:B,MATCH(C283,Hours!$A:$A,0))+G283*INDEX(Hours!C:C,MATCH(C283,Hours!$A:$A,0))+H283*INDEX(Hours!D:D,MATCH(C283,Hours!$A:$A,0))+I283*INDEX(Hours!E:E,MATCH(C283,Hours!$A:$A,0))+J283*INDEX(Hours!F:F,MATCH(C283,Hours!$A:$A,0)))</f>
        <v>0</v>
      </c>
      <c r="S283" s="19">
        <f t="shared" si="9"/>
        <v>0</v>
      </c>
    </row>
    <row r="284" spans="1:19" x14ac:dyDescent="0.25">
      <c r="A284" s="15" t="str">
        <f>'Bldgs &amp; Rooms'!$A$9</f>
        <v>Main Bldg.</v>
      </c>
      <c r="B284" s="15">
        <f>'Bldgs &amp; Rooms'!$B$9</f>
        <v>0</v>
      </c>
      <c r="C284" s="14" t="str">
        <f>Hours!$A$25</f>
        <v>Wire Trough, Gutter, or Large Junction Boxes</v>
      </c>
      <c r="D284" s="15">
        <f t="shared" si="8"/>
        <v>0</v>
      </c>
      <c r="E284" s="16">
        <f>IF('Components Yr 1'!E284=0,0,'Components Yr 1'!E284)</f>
        <v>0</v>
      </c>
      <c r="F284" s="17">
        <f>IF('Components Yr 1'!F284=0,0,'Components Yr 1'!F284)</f>
        <v>0</v>
      </c>
      <c r="G284" s="17">
        <f>IF('Components Yr 1'!G284=0,0,'Components Yr 1'!G284)</f>
        <v>0</v>
      </c>
      <c r="H284" s="17">
        <f>IF('Components Yr 1'!H284=0,0,'Components Yr 1'!H284)</f>
        <v>0</v>
      </c>
      <c r="I284" s="17">
        <f>IF('Components Yr 1'!I284=0,0,'Components Yr 1'!I284)</f>
        <v>0</v>
      </c>
      <c r="J284" s="17">
        <f>IF('Components Yr 1'!J284=0,0,'Components Yr 1'!J284)</f>
        <v>0</v>
      </c>
      <c r="K284" s="12"/>
      <c r="L284" s="12"/>
      <c r="M284" s="12"/>
      <c r="N284" s="12"/>
      <c r="O284" s="12"/>
      <c r="P284" s="12"/>
      <c r="Q284" s="17"/>
      <c r="R284" s="18">
        <f>IF(SUMPRODUCT((E284:Q284)*1)=0,0,E284*INDEX(Hours!M:M,MATCH(C284,Hours!$A:$A,0))+F284*INDEX(Hours!B:B,MATCH(C284,Hours!$A:$A,0))+G284*INDEX(Hours!C:C,MATCH(C284,Hours!$A:$A,0))+H284*INDEX(Hours!D:D,MATCH(C284,Hours!$A:$A,0))+I284*INDEX(Hours!E:E,MATCH(C284,Hours!$A:$A,0))+J284*INDEX(Hours!F:F,MATCH(C284,Hours!$A:$A,0)))</f>
        <v>0</v>
      </c>
      <c r="S284" s="19">
        <f t="shared" si="9"/>
        <v>0</v>
      </c>
    </row>
    <row r="285" spans="1:19" x14ac:dyDescent="0.25">
      <c r="A285" s="15" t="str">
        <f>'Bldgs &amp; Rooms'!$A$9</f>
        <v>Main Bldg.</v>
      </c>
      <c r="B285" s="15">
        <f>'Bldgs &amp; Rooms'!$B$9</f>
        <v>0</v>
      </c>
      <c r="C285" s="14" t="str">
        <f>Hours!$A$26</f>
        <v>Bus Duct - Vertical or Horizontal (Per 10' section)</v>
      </c>
      <c r="D285" s="15">
        <f t="shared" si="8"/>
        <v>0</v>
      </c>
      <c r="E285" s="16">
        <f>IF('Components Yr 1'!E285=0,0,'Components Yr 1'!E285)</f>
        <v>0</v>
      </c>
      <c r="F285" s="17">
        <f>IF('Components Yr 1'!F285=0,0,'Components Yr 1'!F285)</f>
        <v>0</v>
      </c>
      <c r="G285" s="17">
        <f>IF('Components Yr 1'!G285=0,0,'Components Yr 1'!G285)</f>
        <v>0</v>
      </c>
      <c r="H285" s="17">
        <f>IF('Components Yr 1'!H285=0,0,'Components Yr 1'!H285)</f>
        <v>0</v>
      </c>
      <c r="I285" s="17">
        <f>IF('Components Yr 1'!I285=0,0,'Components Yr 1'!I285)</f>
        <v>0</v>
      </c>
      <c r="J285" s="17">
        <f>IF('Components Yr 1'!J285=0,0,'Components Yr 1'!J285)</f>
        <v>0</v>
      </c>
      <c r="K285" s="12"/>
      <c r="L285" s="12"/>
      <c r="M285" s="12"/>
      <c r="N285" s="12"/>
      <c r="O285" s="12"/>
      <c r="P285" s="12"/>
      <c r="Q285" s="17"/>
      <c r="R285" s="18">
        <f>IF(SUMPRODUCT((E285:Q285)*1)=0,0,E285*INDEX(Hours!M:M,MATCH(C285,Hours!$A:$A,0))+F285*INDEX(Hours!B:B,MATCH(C285,Hours!$A:$A,0))+G285*INDEX(Hours!C:C,MATCH(C285,Hours!$A:$A,0))+H285*INDEX(Hours!D:D,MATCH(C285,Hours!$A:$A,0))+I285*INDEX(Hours!E:E,MATCH(C285,Hours!$A:$A,0))+J285*INDEX(Hours!F:F,MATCH(C285,Hours!$A:$A,0)))</f>
        <v>0</v>
      </c>
      <c r="S285" s="19">
        <f t="shared" si="9"/>
        <v>0</v>
      </c>
    </row>
    <row r="286" spans="1:19" x14ac:dyDescent="0.25">
      <c r="A286" s="15" t="str">
        <f>'Bldgs &amp; Rooms'!$A$9</f>
        <v>Main Bldg.</v>
      </c>
      <c r="B286" s="15">
        <f>'Bldgs &amp; Rooms'!$B$9</f>
        <v>0</v>
      </c>
      <c r="C286" s="14" t="str">
        <f>Hours!$A$27</f>
        <v>Automatic Transfer Switch (ATS) &gt; 100A</v>
      </c>
      <c r="D286" s="15">
        <f t="shared" si="8"/>
        <v>0</v>
      </c>
      <c r="E286" s="16">
        <f>IF('Components Yr 1'!E286=0,0,'Components Yr 1'!E286)</f>
        <v>0</v>
      </c>
      <c r="F286" s="17">
        <f>IF('Components Yr 1'!F286=0,0,'Components Yr 1'!F286)</f>
        <v>0</v>
      </c>
      <c r="G286" s="17">
        <f>IF('Components Yr 1'!G286=0,0,'Components Yr 1'!G286)</f>
        <v>0</v>
      </c>
      <c r="H286" s="17">
        <f>IF('Components Yr 1'!H286=0,0,'Components Yr 1'!H286)</f>
        <v>0</v>
      </c>
      <c r="I286" s="17">
        <f>IF('Components Yr 1'!I286=0,0,'Components Yr 1'!I286)</f>
        <v>0</v>
      </c>
      <c r="J286" s="17">
        <f>IF('Components Yr 1'!J286=0,0,'Components Yr 1'!J286)</f>
        <v>0</v>
      </c>
      <c r="K286" s="12"/>
      <c r="L286" s="12"/>
      <c r="M286" s="12"/>
      <c r="N286" s="12"/>
      <c r="O286" s="12"/>
      <c r="P286" s="12"/>
      <c r="Q286" s="17"/>
      <c r="R286" s="18">
        <f>IF(SUMPRODUCT((E286:Q286)*1)=0,0,E286*INDEX(Hours!M:M,MATCH(C286,Hours!$A:$A,0))+F286*INDEX(Hours!B:B,MATCH(C286,Hours!$A:$A,0))+G286*INDEX(Hours!C:C,MATCH(C286,Hours!$A:$A,0))+H286*INDEX(Hours!D:D,MATCH(C286,Hours!$A:$A,0))+I286*INDEX(Hours!E:E,MATCH(C286,Hours!$A:$A,0))+J286*INDEX(Hours!F:F,MATCH(C286,Hours!$A:$A,0)))</f>
        <v>0</v>
      </c>
      <c r="S286" s="19">
        <f t="shared" si="9"/>
        <v>0</v>
      </c>
    </row>
    <row r="287" spans="1:19" x14ac:dyDescent="0.25">
      <c r="A287" s="15" t="str">
        <f>'Bldgs &amp; Rooms'!$A$9</f>
        <v>Main Bldg.</v>
      </c>
      <c r="B287" s="15">
        <f>'Bldgs &amp; Rooms'!$B$9</f>
        <v>0</v>
      </c>
      <c r="C287" s="14" t="str">
        <f>Hours!$A$28</f>
        <v>Manual Transfer Switch (MTS) &gt; 100A</v>
      </c>
      <c r="D287" s="15">
        <f t="shared" si="8"/>
        <v>0</v>
      </c>
      <c r="E287" s="16">
        <f>IF('Components Yr 1'!E287=0,0,'Components Yr 1'!E287)</f>
        <v>0</v>
      </c>
      <c r="F287" s="17">
        <f>IF('Components Yr 1'!F287=0,0,'Components Yr 1'!F287)</f>
        <v>0</v>
      </c>
      <c r="G287" s="17">
        <f>IF('Components Yr 1'!G287=0,0,'Components Yr 1'!G287)</f>
        <v>0</v>
      </c>
      <c r="H287" s="17">
        <f>IF('Components Yr 1'!H287=0,0,'Components Yr 1'!H287)</f>
        <v>0</v>
      </c>
      <c r="I287" s="17">
        <f>IF('Components Yr 1'!I287=0,0,'Components Yr 1'!I287)</f>
        <v>0</v>
      </c>
      <c r="J287" s="17">
        <f>IF('Components Yr 1'!J287=0,0,'Components Yr 1'!J287)</f>
        <v>0</v>
      </c>
      <c r="K287" s="12"/>
      <c r="L287" s="12"/>
      <c r="M287" s="12"/>
      <c r="N287" s="12"/>
      <c r="O287" s="12"/>
      <c r="P287" s="12"/>
      <c r="Q287" s="17"/>
      <c r="R287" s="18">
        <f>IF(SUMPRODUCT((E287:Q287)*1)=0,0,E287*INDEX(Hours!M:M,MATCH(C287,Hours!$A:$A,0))+F287*INDEX(Hours!B:B,MATCH(C287,Hours!$A:$A,0))+G287*INDEX(Hours!C:C,MATCH(C287,Hours!$A:$A,0))+H287*INDEX(Hours!D:D,MATCH(C287,Hours!$A:$A,0))+I287*INDEX(Hours!E:E,MATCH(C287,Hours!$A:$A,0))+J287*INDEX(Hours!F:F,MATCH(C287,Hours!$A:$A,0)))</f>
        <v>0</v>
      </c>
      <c r="S287" s="19">
        <f t="shared" si="9"/>
        <v>0</v>
      </c>
    </row>
    <row r="288" spans="1:19" x14ac:dyDescent="0.25">
      <c r="A288" s="15" t="str">
        <f>'Bldgs &amp; Rooms'!$A$9</f>
        <v>Main Bldg.</v>
      </c>
      <c r="B288" s="15">
        <f>'Bldgs &amp; Rooms'!$B$9</f>
        <v>0</v>
      </c>
      <c r="C288" s="14" t="str">
        <f>Hours!$A$29</f>
        <v>Variable Frequency Drives (VFD) &lt; 50 HP</v>
      </c>
      <c r="D288" s="15">
        <f t="shared" si="8"/>
        <v>0</v>
      </c>
      <c r="E288" s="16">
        <f>IF('Components Yr 1'!E288=0,0,'Components Yr 1'!E288)</f>
        <v>0</v>
      </c>
      <c r="F288" s="17">
        <f>IF('Components Yr 1'!F288=0,0,'Components Yr 1'!F288)</f>
        <v>0</v>
      </c>
      <c r="G288" s="17">
        <f>IF('Components Yr 1'!G288=0,0,'Components Yr 1'!G288)</f>
        <v>0</v>
      </c>
      <c r="H288" s="17">
        <f>IF('Components Yr 1'!H288=0,0,'Components Yr 1'!H288)</f>
        <v>0</v>
      </c>
      <c r="I288" s="17">
        <f>IF('Components Yr 1'!I288=0,0,'Components Yr 1'!I288)</f>
        <v>0</v>
      </c>
      <c r="J288" s="17">
        <f>IF('Components Yr 1'!J288=0,0,'Components Yr 1'!J288)</f>
        <v>0</v>
      </c>
      <c r="K288" s="12"/>
      <c r="L288" s="12"/>
      <c r="M288" s="12"/>
      <c r="N288" s="12"/>
      <c r="O288" s="12"/>
      <c r="P288" s="12"/>
      <c r="Q288" s="17"/>
      <c r="R288" s="18">
        <f>IF(SUMPRODUCT((E288:Q288)*1)=0,0,E288*INDEX(Hours!M:M,MATCH(C288,Hours!$A:$A,0))+F288*INDEX(Hours!B:B,MATCH(C288,Hours!$A:$A,0))+G288*INDEX(Hours!C:C,MATCH(C288,Hours!$A:$A,0))+H288*INDEX(Hours!D:D,MATCH(C288,Hours!$A:$A,0))+I288*INDEX(Hours!E:E,MATCH(C288,Hours!$A:$A,0))+J288*INDEX(Hours!F:F,MATCH(C288,Hours!$A:$A,0)))</f>
        <v>0</v>
      </c>
      <c r="S288" s="19">
        <f t="shared" si="9"/>
        <v>0</v>
      </c>
    </row>
    <row r="289" spans="1:19" x14ac:dyDescent="0.25">
      <c r="A289" s="15" t="str">
        <f>'Bldgs &amp; Rooms'!$A$9</f>
        <v>Main Bldg.</v>
      </c>
      <c r="B289" s="15">
        <f>'Bldgs &amp; Rooms'!$B$9</f>
        <v>0</v>
      </c>
      <c r="C289" s="14" t="str">
        <f>Hours!$A$30</f>
        <v>Variable Frequency Drives (VFD) 51-200 HP</v>
      </c>
      <c r="D289" s="15">
        <f t="shared" si="8"/>
        <v>0</v>
      </c>
      <c r="E289" s="16">
        <f>IF('Components Yr 1'!E289=0,0,'Components Yr 1'!E289)</f>
        <v>0</v>
      </c>
      <c r="F289" s="17">
        <f>IF('Components Yr 1'!F289=0,0,'Components Yr 1'!F289)</f>
        <v>0</v>
      </c>
      <c r="G289" s="17">
        <f>IF('Components Yr 1'!G289=0,0,'Components Yr 1'!G289)</f>
        <v>0</v>
      </c>
      <c r="H289" s="17">
        <f>IF('Components Yr 1'!H289=0,0,'Components Yr 1'!H289)</f>
        <v>0</v>
      </c>
      <c r="I289" s="17">
        <f>IF('Components Yr 1'!I289=0,0,'Components Yr 1'!I289)</f>
        <v>0</v>
      </c>
      <c r="J289" s="17">
        <f>IF('Components Yr 1'!J289=0,0,'Components Yr 1'!J289)</f>
        <v>0</v>
      </c>
      <c r="K289" s="12"/>
      <c r="L289" s="12"/>
      <c r="M289" s="12"/>
      <c r="N289" s="12"/>
      <c r="O289" s="12"/>
      <c r="P289" s="12"/>
      <c r="Q289" s="17"/>
      <c r="R289" s="18">
        <f>IF(SUMPRODUCT((E289:Q289)*1)=0,0,E289*INDEX(Hours!M:M,MATCH(C289,Hours!$A:$A,0))+F289*INDEX(Hours!B:B,MATCH(C289,Hours!$A:$A,0))+G289*INDEX(Hours!C:C,MATCH(C289,Hours!$A:$A,0))+H289*INDEX(Hours!D:D,MATCH(C289,Hours!$A:$A,0))+I289*INDEX(Hours!E:E,MATCH(C289,Hours!$A:$A,0))+J289*INDEX(Hours!F:F,MATCH(C289,Hours!$A:$A,0)))</f>
        <v>0</v>
      </c>
      <c r="S289" s="19">
        <f t="shared" si="9"/>
        <v>0</v>
      </c>
    </row>
    <row r="290" spans="1:19" x14ac:dyDescent="0.25">
      <c r="A290" s="15" t="str">
        <f>'Bldgs &amp; Rooms'!$A$9</f>
        <v>Main Bldg.</v>
      </c>
      <c r="B290" s="15">
        <f>'Bldgs &amp; Rooms'!$B$9</f>
        <v>0</v>
      </c>
      <c r="C290" s="14" t="str">
        <f>Hours!$A$31</f>
        <v>Motors &lt; 50 HP</v>
      </c>
      <c r="D290" s="15">
        <f t="shared" si="8"/>
        <v>0</v>
      </c>
      <c r="E290" s="16">
        <f>IF('Components Yr 1'!E290=0,0,'Components Yr 1'!E290)</f>
        <v>0</v>
      </c>
      <c r="F290" s="17">
        <f>IF('Components Yr 1'!F290=0,0,'Components Yr 1'!F290)</f>
        <v>0</v>
      </c>
      <c r="G290" s="17">
        <f>IF('Components Yr 1'!G290=0,0,'Components Yr 1'!G290)</f>
        <v>0</v>
      </c>
      <c r="H290" s="17">
        <f>IF('Components Yr 1'!H290=0,0,'Components Yr 1'!H290)</f>
        <v>0</v>
      </c>
      <c r="I290" s="17">
        <f>IF('Components Yr 1'!I290=0,0,'Components Yr 1'!I290)</f>
        <v>0</v>
      </c>
      <c r="J290" s="17">
        <f>IF('Components Yr 1'!J290=0,0,'Components Yr 1'!J290)</f>
        <v>0</v>
      </c>
      <c r="K290" s="12"/>
      <c r="L290" s="12"/>
      <c r="M290" s="12"/>
      <c r="N290" s="12"/>
      <c r="O290" s="12"/>
      <c r="P290" s="12"/>
      <c r="Q290" s="17"/>
      <c r="R290" s="18">
        <f>IF(SUMPRODUCT((E290:Q290)*1)=0,0,E290*INDEX(Hours!M:M,MATCH(C290,Hours!$A:$A,0))+F290*INDEX(Hours!B:B,MATCH(C290,Hours!$A:$A,0))+G290*INDEX(Hours!C:C,MATCH(C290,Hours!$A:$A,0))+H290*INDEX(Hours!D:D,MATCH(C290,Hours!$A:$A,0))+I290*INDEX(Hours!E:E,MATCH(C290,Hours!$A:$A,0))+J290*INDEX(Hours!F:F,MATCH(C290,Hours!$A:$A,0)))</f>
        <v>0</v>
      </c>
      <c r="S290" s="19">
        <f t="shared" si="9"/>
        <v>0</v>
      </c>
    </row>
    <row r="291" spans="1:19" x14ac:dyDescent="0.25">
      <c r="A291" s="15" t="str">
        <f>'Bldgs &amp; Rooms'!$A$9</f>
        <v>Main Bldg.</v>
      </c>
      <c r="B291" s="15">
        <f>'Bldgs &amp; Rooms'!$B$9</f>
        <v>0</v>
      </c>
      <c r="C291" s="14" t="str">
        <f>Hours!$A$32</f>
        <v>Motors 51-200 HP</v>
      </c>
      <c r="D291" s="15">
        <f t="shared" si="8"/>
        <v>0</v>
      </c>
      <c r="E291" s="16">
        <f>IF('Components Yr 1'!E291=0,0,'Components Yr 1'!E291)</f>
        <v>0</v>
      </c>
      <c r="F291" s="17">
        <f>IF('Components Yr 1'!F291=0,0,'Components Yr 1'!F291)</f>
        <v>0</v>
      </c>
      <c r="G291" s="17">
        <f>IF('Components Yr 1'!G291=0,0,'Components Yr 1'!G291)</f>
        <v>0</v>
      </c>
      <c r="H291" s="17">
        <f>IF('Components Yr 1'!H291=0,0,'Components Yr 1'!H291)</f>
        <v>0</v>
      </c>
      <c r="I291" s="17">
        <f>IF('Components Yr 1'!I291=0,0,'Components Yr 1'!I291)</f>
        <v>0</v>
      </c>
      <c r="J291" s="17">
        <f>IF('Components Yr 1'!J291=0,0,'Components Yr 1'!J291)</f>
        <v>0</v>
      </c>
      <c r="K291" s="12"/>
      <c r="L291" s="12"/>
      <c r="M291" s="12"/>
      <c r="N291" s="12"/>
      <c r="O291" s="12"/>
      <c r="P291" s="12"/>
      <c r="Q291" s="17"/>
      <c r="R291" s="18">
        <f>IF(SUMPRODUCT((E291:Q291)*1)=0,0,E291*INDEX(Hours!M:M,MATCH(C291,Hours!$A:$A,0))+F291*INDEX(Hours!B:B,MATCH(C291,Hours!$A:$A,0))+G291*INDEX(Hours!C:C,MATCH(C291,Hours!$A:$A,0))+H291*INDEX(Hours!D:D,MATCH(C291,Hours!$A:$A,0))+I291*INDEX(Hours!E:E,MATCH(C291,Hours!$A:$A,0))+J291*INDEX(Hours!F:F,MATCH(C291,Hours!$A:$A,0)))</f>
        <v>0</v>
      </c>
      <c r="S291" s="19">
        <f t="shared" si="9"/>
        <v>0</v>
      </c>
    </row>
    <row r="292" spans="1:19" x14ac:dyDescent="0.25">
      <c r="A292" s="15" t="str">
        <f>'Bldgs &amp; Rooms'!$A$9</f>
        <v>Main Bldg.</v>
      </c>
      <c r="B292" s="15">
        <f>'Bldgs &amp; Rooms'!$B$9</f>
        <v>0</v>
      </c>
      <c r="C292" s="14" t="str">
        <f>Hours!$A$33</f>
        <v>Motors 201-500 HP</v>
      </c>
      <c r="D292" s="15">
        <f t="shared" si="8"/>
        <v>0</v>
      </c>
      <c r="E292" s="16">
        <f>IF('Components Yr 1'!E292=0,0,'Components Yr 1'!E292)</f>
        <v>0</v>
      </c>
      <c r="F292" s="17">
        <f>IF('Components Yr 1'!F292=0,0,'Components Yr 1'!F292)</f>
        <v>0</v>
      </c>
      <c r="G292" s="17">
        <f>IF('Components Yr 1'!G292=0,0,'Components Yr 1'!G292)</f>
        <v>0</v>
      </c>
      <c r="H292" s="17">
        <f>IF('Components Yr 1'!H292=0,0,'Components Yr 1'!H292)</f>
        <v>0</v>
      </c>
      <c r="I292" s="17">
        <f>IF('Components Yr 1'!I292=0,0,'Components Yr 1'!I292)</f>
        <v>0</v>
      </c>
      <c r="J292" s="17">
        <f>IF('Components Yr 1'!J292=0,0,'Components Yr 1'!J292)</f>
        <v>0</v>
      </c>
      <c r="K292" s="12"/>
      <c r="L292" s="12"/>
      <c r="M292" s="12"/>
      <c r="N292" s="12"/>
      <c r="O292" s="12"/>
      <c r="P292" s="12"/>
      <c r="Q292" s="17"/>
      <c r="R292" s="18">
        <f>IF(SUMPRODUCT((E292:Q292)*1)=0,0,E292*INDEX(Hours!M:M,MATCH(C292,Hours!$A:$A,0))+F292*INDEX(Hours!B:B,MATCH(C292,Hours!$A:$A,0))+G292*INDEX(Hours!C:C,MATCH(C292,Hours!$A:$A,0))+H292*INDEX(Hours!D:D,MATCH(C292,Hours!$A:$A,0))+I292*INDEX(Hours!E:E,MATCH(C292,Hours!$A:$A,0))+J292*INDEX(Hours!F:F,MATCH(C292,Hours!$A:$A,0)))</f>
        <v>0</v>
      </c>
      <c r="S292" s="19">
        <f t="shared" si="9"/>
        <v>0</v>
      </c>
    </row>
    <row r="293" spans="1:19" x14ac:dyDescent="0.25">
      <c r="A293" s="15" t="str">
        <f>'Bldgs &amp; Rooms'!$A$9</f>
        <v>Main Bldg.</v>
      </c>
      <c r="B293" s="15">
        <f>'Bldgs &amp; Rooms'!$B$9</f>
        <v>0</v>
      </c>
      <c r="C293" s="14" t="str">
        <f>Hours!$A$34</f>
        <v>Compressed Air Equipment</v>
      </c>
      <c r="D293" s="15">
        <f t="shared" si="8"/>
        <v>0</v>
      </c>
      <c r="E293" s="16">
        <f>IF('Components Yr 1'!E293=0,0,'Components Yr 1'!E293)</f>
        <v>0</v>
      </c>
      <c r="F293" s="17">
        <f>IF('Components Yr 1'!F293=0,0,'Components Yr 1'!F293)</f>
        <v>0</v>
      </c>
      <c r="G293" s="17">
        <f>IF('Components Yr 1'!G293=0,0,'Components Yr 1'!G293)</f>
        <v>0</v>
      </c>
      <c r="H293" s="17">
        <f>IF('Components Yr 1'!H293=0,0,'Components Yr 1'!H293)</f>
        <v>0</v>
      </c>
      <c r="I293" s="17">
        <f>IF('Components Yr 1'!I293=0,0,'Components Yr 1'!I293)</f>
        <v>0</v>
      </c>
      <c r="J293" s="17">
        <f>IF('Components Yr 1'!J293=0,0,'Components Yr 1'!J293)</f>
        <v>0</v>
      </c>
      <c r="K293" s="12"/>
      <c r="L293" s="12"/>
      <c r="M293" s="12"/>
      <c r="N293" s="12"/>
      <c r="O293" s="12"/>
      <c r="P293" s="12"/>
      <c r="Q293" s="17"/>
      <c r="R293" s="18">
        <f>IF(SUMPRODUCT((E293:Q293)*1)=0,0,E293*INDEX(Hours!M:M,MATCH(C293,Hours!$A:$A,0))+F293*INDEX(Hours!B:B,MATCH(C293,Hours!$A:$A,0))+G293*INDEX(Hours!C:C,MATCH(C293,Hours!$A:$A,0))+H293*INDEX(Hours!D:D,MATCH(C293,Hours!$A:$A,0))+I293*INDEX(Hours!E:E,MATCH(C293,Hours!$A:$A,0))+J293*INDEX(Hours!F:F,MATCH(C293,Hours!$A:$A,0)))</f>
        <v>0</v>
      </c>
      <c r="S293" s="19">
        <f t="shared" si="9"/>
        <v>0</v>
      </c>
    </row>
    <row r="294" spans="1:19" x14ac:dyDescent="0.25">
      <c r="A294" s="15" t="str">
        <f>'Bldgs &amp; Rooms'!$A$9</f>
        <v>Main Bldg.</v>
      </c>
      <c r="B294" s="15">
        <f>'Bldgs &amp; Rooms'!$B$9</f>
        <v>0</v>
      </c>
      <c r="C294" s="14" t="str">
        <f>Hours!$A$35</f>
        <v>HVAC Equipment (Large)</v>
      </c>
      <c r="D294" s="15">
        <f t="shared" si="8"/>
        <v>0</v>
      </c>
      <c r="E294" s="16">
        <f>IF('Components Yr 1'!E294=0,0,'Components Yr 1'!E294)</f>
        <v>0</v>
      </c>
      <c r="F294" s="17">
        <f>IF('Components Yr 1'!F294=0,0,'Components Yr 1'!F294)</f>
        <v>0</v>
      </c>
      <c r="G294" s="17">
        <f>IF('Components Yr 1'!G294=0,0,'Components Yr 1'!G294)</f>
        <v>0</v>
      </c>
      <c r="H294" s="17">
        <f>IF('Components Yr 1'!H294=0,0,'Components Yr 1'!H294)</f>
        <v>0</v>
      </c>
      <c r="I294" s="17">
        <f>IF('Components Yr 1'!I294=0,0,'Components Yr 1'!I294)</f>
        <v>0</v>
      </c>
      <c r="J294" s="17">
        <f>IF('Components Yr 1'!J294=0,0,'Components Yr 1'!J294)</f>
        <v>0</v>
      </c>
      <c r="K294" s="12"/>
      <c r="L294" s="12"/>
      <c r="M294" s="12"/>
      <c r="N294" s="12"/>
      <c r="O294" s="12"/>
      <c r="P294" s="12"/>
      <c r="Q294" s="17"/>
      <c r="R294" s="18">
        <f>IF(SUMPRODUCT((E294:Q294)*1)=0,0,E294*INDEX(Hours!M:M,MATCH(C294,Hours!$A:$A,0))+F294*INDEX(Hours!B:B,MATCH(C294,Hours!$A:$A,0))+G294*INDEX(Hours!C:C,MATCH(C294,Hours!$A:$A,0))+H294*INDEX(Hours!D:D,MATCH(C294,Hours!$A:$A,0))+I294*INDEX(Hours!E:E,MATCH(C294,Hours!$A:$A,0))+J294*INDEX(Hours!F:F,MATCH(C294,Hours!$A:$A,0)))</f>
        <v>0</v>
      </c>
      <c r="S294" s="19">
        <f t="shared" si="9"/>
        <v>0</v>
      </c>
    </row>
    <row r="295" spans="1:19" x14ac:dyDescent="0.25">
      <c r="A295" s="15" t="str">
        <f>'Bldgs &amp; Rooms'!$A$9</f>
        <v>Main Bldg.</v>
      </c>
      <c r="B295" s="15">
        <f>'Bldgs &amp; Rooms'!$B$9</f>
        <v>0</v>
      </c>
      <c r="C295" s="14" t="str">
        <f>Hours!$A$36</f>
        <v>HVAC Equipment (Small)</v>
      </c>
      <c r="D295" s="15">
        <f t="shared" si="8"/>
        <v>0</v>
      </c>
      <c r="E295" s="16">
        <f>IF('Components Yr 1'!E295=0,0,'Components Yr 1'!E295)</f>
        <v>0</v>
      </c>
      <c r="F295" s="17">
        <f>IF('Components Yr 1'!F295=0,0,'Components Yr 1'!F295)</f>
        <v>0</v>
      </c>
      <c r="G295" s="17">
        <f>IF('Components Yr 1'!G295=0,0,'Components Yr 1'!G295)</f>
        <v>0</v>
      </c>
      <c r="H295" s="17">
        <f>IF('Components Yr 1'!H295=0,0,'Components Yr 1'!H295)</f>
        <v>0</v>
      </c>
      <c r="I295" s="17">
        <f>IF('Components Yr 1'!I295=0,0,'Components Yr 1'!I295)</f>
        <v>0</v>
      </c>
      <c r="J295" s="17">
        <f>IF('Components Yr 1'!J295=0,0,'Components Yr 1'!J295)</f>
        <v>0</v>
      </c>
      <c r="K295" s="12"/>
      <c r="L295" s="12"/>
      <c r="M295" s="12"/>
      <c r="N295" s="12"/>
      <c r="O295" s="12"/>
      <c r="P295" s="12"/>
      <c r="Q295" s="17"/>
      <c r="R295" s="18">
        <f>IF(SUMPRODUCT((E295:Q295)*1)=0,0,E295*INDEX(Hours!M:M,MATCH(C295,Hours!$A:$A,0))+F295*INDEX(Hours!B:B,MATCH(C295,Hours!$A:$A,0))+G295*INDEX(Hours!C:C,MATCH(C295,Hours!$A:$A,0))+H295*INDEX(Hours!D:D,MATCH(C295,Hours!$A:$A,0))+I295*INDEX(Hours!E:E,MATCH(C295,Hours!$A:$A,0))+J295*INDEX(Hours!F:F,MATCH(C295,Hours!$A:$A,0)))</f>
        <v>0</v>
      </c>
      <c r="S295" s="19">
        <f t="shared" si="9"/>
        <v>0</v>
      </c>
    </row>
    <row r="296" spans="1:19" x14ac:dyDescent="0.25">
      <c r="A296" s="15" t="str">
        <f>'Bldgs &amp; Rooms'!$A$9</f>
        <v>Main Bldg.</v>
      </c>
      <c r="B296" s="15">
        <f>'Bldgs &amp; Rooms'!$B$9</f>
        <v>0</v>
      </c>
      <c r="C296" s="14" t="str">
        <f>Hours!$A$37</f>
        <v>Uninterruptible Power Supply (UPS) &lt; 50kVA</v>
      </c>
      <c r="D296" s="15">
        <f t="shared" si="8"/>
        <v>0</v>
      </c>
      <c r="E296" s="16">
        <f>IF('Components Yr 1'!E296=0,0,'Components Yr 1'!E296)</f>
        <v>0</v>
      </c>
      <c r="F296" s="17">
        <f>IF('Components Yr 1'!F296=0,0,'Components Yr 1'!F296)</f>
        <v>0</v>
      </c>
      <c r="G296" s="17">
        <f>IF('Components Yr 1'!G296=0,0,'Components Yr 1'!G296)</f>
        <v>0</v>
      </c>
      <c r="H296" s="17">
        <f>IF('Components Yr 1'!H296=0,0,'Components Yr 1'!H296)</f>
        <v>0</v>
      </c>
      <c r="I296" s="17">
        <f>IF('Components Yr 1'!I296=0,0,'Components Yr 1'!I296)</f>
        <v>0</v>
      </c>
      <c r="J296" s="17">
        <f>IF('Components Yr 1'!J296=0,0,'Components Yr 1'!J296)</f>
        <v>0</v>
      </c>
      <c r="K296" s="12"/>
      <c r="L296" s="12"/>
      <c r="M296" s="12"/>
      <c r="N296" s="12"/>
      <c r="O296" s="12"/>
      <c r="P296" s="12"/>
      <c r="Q296" s="17"/>
      <c r="R296" s="18">
        <f>IF(SUMPRODUCT((E296:Q296)*1)=0,0,E296*INDEX(Hours!M:M,MATCH(C296,Hours!$A:$A,0))+F296*INDEX(Hours!B:B,MATCH(C296,Hours!$A:$A,0))+G296*INDEX(Hours!C:C,MATCH(C296,Hours!$A:$A,0))+H296*INDEX(Hours!D:D,MATCH(C296,Hours!$A:$A,0))+I296*INDEX(Hours!E:E,MATCH(C296,Hours!$A:$A,0))+J296*INDEX(Hours!F:F,MATCH(C296,Hours!$A:$A,0)))</f>
        <v>0</v>
      </c>
      <c r="S296" s="19">
        <f t="shared" si="9"/>
        <v>0</v>
      </c>
    </row>
    <row r="297" spans="1:19" x14ac:dyDescent="0.25">
      <c r="A297" s="15" t="str">
        <f>'Bldgs &amp; Rooms'!$A$9</f>
        <v>Main Bldg.</v>
      </c>
      <c r="B297" s="15">
        <f>'Bldgs &amp; Rooms'!$B$9</f>
        <v>0</v>
      </c>
      <c r="C297" s="14" t="str">
        <f>Hours!$A$38</f>
        <v>Uninterruptible Power Supply (UPS) &gt; 50kVA</v>
      </c>
      <c r="D297" s="15">
        <f t="shared" si="8"/>
        <v>0</v>
      </c>
      <c r="E297" s="16">
        <f>IF('Components Yr 1'!E297=0,0,'Components Yr 1'!E297)</f>
        <v>0</v>
      </c>
      <c r="F297" s="17">
        <f>IF('Components Yr 1'!F297=0,0,'Components Yr 1'!F297)</f>
        <v>0</v>
      </c>
      <c r="G297" s="17">
        <f>IF('Components Yr 1'!G297=0,0,'Components Yr 1'!G297)</f>
        <v>0</v>
      </c>
      <c r="H297" s="17">
        <f>IF('Components Yr 1'!H297=0,0,'Components Yr 1'!H297)</f>
        <v>0</v>
      </c>
      <c r="I297" s="17">
        <f>IF('Components Yr 1'!I297=0,0,'Components Yr 1'!I297)</f>
        <v>0</v>
      </c>
      <c r="J297" s="17">
        <f>IF('Components Yr 1'!J297=0,0,'Components Yr 1'!J297)</f>
        <v>0</v>
      </c>
      <c r="K297" s="12"/>
      <c r="L297" s="12"/>
      <c r="M297" s="12"/>
      <c r="N297" s="12"/>
      <c r="O297" s="12"/>
      <c r="P297" s="12"/>
      <c r="Q297" s="17"/>
      <c r="R297" s="18">
        <f>IF(SUMPRODUCT((E297:Q297)*1)=0,0,E297*INDEX(Hours!M:M,MATCH(C297,Hours!$A:$A,0))+F297*INDEX(Hours!B:B,MATCH(C297,Hours!$A:$A,0))+G297*INDEX(Hours!C:C,MATCH(C297,Hours!$A:$A,0))+H297*INDEX(Hours!D:D,MATCH(C297,Hours!$A:$A,0))+I297*INDEX(Hours!E:E,MATCH(C297,Hours!$A:$A,0))+J297*INDEX(Hours!F:F,MATCH(C297,Hours!$A:$A,0)))</f>
        <v>0</v>
      </c>
      <c r="S297" s="19">
        <f t="shared" si="9"/>
        <v>0</v>
      </c>
    </row>
    <row r="298" spans="1:19" x14ac:dyDescent="0.25">
      <c r="A298" s="11" t="str">
        <f>'Bldgs &amp; Rooms'!$A$10</f>
        <v>Main Bldg.</v>
      </c>
      <c r="B298" s="11">
        <f>'Bldgs &amp; Rooms'!$B$10</f>
        <v>0</v>
      </c>
      <c r="C298" s="10" t="str">
        <f>Hours!$A$2</f>
        <v>Switchgear - Incoming Main Service (Per Section)</v>
      </c>
      <c r="D298" s="11">
        <f t="shared" si="8"/>
        <v>0</v>
      </c>
      <c r="E298" s="16">
        <f>IF('Components Yr 1'!E298=0,0,'Components Yr 1'!E298)</f>
        <v>0</v>
      </c>
      <c r="F298" s="17">
        <f>IF('Components Yr 1'!F298=0,0,'Components Yr 1'!F298)</f>
        <v>0</v>
      </c>
      <c r="G298" s="17">
        <f>IF('Components Yr 1'!G298=0,0,'Components Yr 1'!G298)</f>
        <v>0</v>
      </c>
      <c r="H298" s="17">
        <f>IF('Components Yr 1'!H298=0,0,'Components Yr 1'!H298)</f>
        <v>0</v>
      </c>
      <c r="I298" s="17">
        <f>IF('Components Yr 1'!I298=0,0,'Components Yr 1'!I298)</f>
        <v>0</v>
      </c>
      <c r="J298" s="17">
        <f>IF('Components Yr 1'!J298=0,0,'Components Yr 1'!J298)</f>
        <v>0</v>
      </c>
      <c r="K298" s="17">
        <f>IF('Components Yr 1'!K298=0,0,'Components Yr 1'!K298)</f>
        <v>0</v>
      </c>
      <c r="L298" s="17">
        <f>IF('Components Yr 1'!L298=0,0,'Components Yr 1'!L298)</f>
        <v>0</v>
      </c>
      <c r="M298" s="12"/>
      <c r="N298" s="12"/>
      <c r="O298" s="17">
        <f>IF('Components Yr 1'!O298=0,0,'Components Yr 1'!O298)</f>
        <v>0</v>
      </c>
      <c r="P298" s="12"/>
      <c r="Q298" s="17"/>
      <c r="R298" s="18">
        <f>IF(SUMPRODUCT((E298:Q298)*1)=0,0,E298*INDEX(Hours!M:M,MATCH(C298,Hours!$A:$A,0))+F298*INDEX(Hours!B:B,MATCH(C298,Hours!$A:$A,0))+G298*INDEX(Hours!C:C,MATCH(C298,Hours!$A:$A,0))+H298*INDEX(Hours!D:D,MATCH(C298,Hours!$A:$A,0))+I298*INDEX(Hours!E:E,MATCH(C298,Hours!$A:$A,0))+J298*INDEX(Hours!F:F,MATCH(C298,Hours!$A:$A,0))+K298*INDEX(Hours!G:G,MATCH(C298,Hours!$A:$A,0))+L298*INDEX(Hours!H:H,MATCH(C298,Hours!$A:$A,0))+O298*INDEX(Hours!K:K,MATCH(C298,Hours!$A:$A,0)))</f>
        <v>0</v>
      </c>
      <c r="S298" s="19">
        <f t="shared" si="9"/>
        <v>0</v>
      </c>
    </row>
    <row r="299" spans="1:19" x14ac:dyDescent="0.25">
      <c r="A299" s="11" t="str">
        <f>'Bldgs &amp; Rooms'!$A$10</f>
        <v>Main Bldg.</v>
      </c>
      <c r="B299" s="11">
        <f>'Bldgs &amp; Rooms'!$B$10</f>
        <v>0</v>
      </c>
      <c r="C299" s="10" t="str">
        <f>Hours!$A$3</f>
        <v xml:space="preserve">  Switchgear Insulated Case Breakers (Bus Mounted)</v>
      </c>
      <c r="D299" s="11">
        <f t="shared" si="8"/>
        <v>0</v>
      </c>
      <c r="E299" s="16">
        <f>IF('Components Yr 1'!E299=0,0,'Components Yr 1'!E299)</f>
        <v>0</v>
      </c>
      <c r="F299" s="17">
        <f>IF('Components Yr 1'!F299=0,0,'Components Yr 1'!F299)</f>
        <v>0</v>
      </c>
      <c r="G299" s="17">
        <f>IF('Components Yr 1'!G299=0,0,'Components Yr 1'!G299)</f>
        <v>0</v>
      </c>
      <c r="H299" s="17">
        <f>IF('Components Yr 1'!H299=0,0,'Components Yr 1'!H299)</f>
        <v>0</v>
      </c>
      <c r="I299" s="17">
        <f>IF('Components Yr 1'!I299=0,0,'Components Yr 1'!I299)</f>
        <v>0</v>
      </c>
      <c r="J299" s="17">
        <f>IF('Components Yr 1'!J299=0,0,'Components Yr 1'!J299)</f>
        <v>0</v>
      </c>
      <c r="K299" s="17">
        <f>IF('Components Yr 1'!K299=0,0,'Components Yr 1'!K299)</f>
        <v>0</v>
      </c>
      <c r="L299" s="12"/>
      <c r="M299" s="12"/>
      <c r="N299" s="12"/>
      <c r="O299" s="12"/>
      <c r="P299" s="12"/>
      <c r="Q299" s="17"/>
      <c r="R299" s="18">
        <f>IF(SUMPRODUCT((E299:Q299)*1)=0,0,E299*INDEX(Hours!M:M,MATCH(C299,Hours!$A:$A,0))+F299*INDEX(Hours!B:B,MATCH(C299,Hours!$A:$A,0))+G299*INDEX(Hours!C:C,MATCH(C299,Hours!$A:$A,0))+H299*INDEX(Hours!D:D,MATCH(C299,Hours!$A:$A,0))+I299*INDEX(Hours!E:E,MATCH(C299,Hours!$A:$A,0))+J299*INDEX(Hours!F:F,MATCH(C299,Hours!$A:$A,0))+K299*INDEX(Hours!G:G,MATCH(C299,Hours!$A:$A,0)))</f>
        <v>0</v>
      </c>
      <c r="S299" s="19">
        <f t="shared" si="9"/>
        <v>0</v>
      </c>
    </row>
    <row r="300" spans="1:19" x14ac:dyDescent="0.25">
      <c r="A300" s="11" t="str">
        <f>'Bldgs &amp; Rooms'!$A$10</f>
        <v>Main Bldg.</v>
      </c>
      <c r="B300" s="11">
        <f>'Bldgs &amp; Rooms'!$B$10</f>
        <v>0</v>
      </c>
      <c r="C300" s="10" t="str">
        <f>Hours!$A$4</f>
        <v xml:space="preserve">  SwitchGear Drawout Breakers</v>
      </c>
      <c r="D300" s="11">
        <f t="shared" si="8"/>
        <v>0</v>
      </c>
      <c r="E300" s="16">
        <f>IF('Components Yr 1'!E300=0,0,'Components Yr 1'!E300)</f>
        <v>0</v>
      </c>
      <c r="F300" s="17">
        <f>IF('Components Yr 1'!F300=0,0,'Components Yr 1'!F300)</f>
        <v>0</v>
      </c>
      <c r="G300" s="17">
        <f>IF('Components Yr 1'!G300=0,0,'Components Yr 1'!G300)</f>
        <v>0</v>
      </c>
      <c r="H300" s="17">
        <f>IF('Components Yr 1'!H300=0,0,'Components Yr 1'!H300)</f>
        <v>0</v>
      </c>
      <c r="I300" s="17">
        <f>IF('Components Yr 1'!I300=0,0,'Components Yr 1'!I300)</f>
        <v>0</v>
      </c>
      <c r="J300" s="17">
        <f>IF('Components Yr 1'!J300=0,0,'Components Yr 1'!J300)</f>
        <v>0</v>
      </c>
      <c r="K300" s="12"/>
      <c r="L300" s="17">
        <f>IF('Components Yr 1'!L300=0,0,'Components Yr 1'!L300)</f>
        <v>0</v>
      </c>
      <c r="M300" s="12"/>
      <c r="N300" s="12"/>
      <c r="O300" s="12"/>
      <c r="P300" s="12"/>
      <c r="Q300" s="17"/>
      <c r="R300" s="18">
        <f>IF(SUMPRODUCT((E300:Q300)*1)=0,0,E300*INDEX(Hours!M:M,MATCH(C300,Hours!$A:$A,0))+F300*INDEX(Hours!B:B,MATCH(C300,Hours!$A:$A,0))+G300*INDEX(Hours!C:C,MATCH(C300,Hours!$A:$A,0))+H300*INDEX(Hours!D:D,MATCH(C300,Hours!$A:$A,0))+I300*INDEX(Hours!E:E,MATCH(C300,Hours!$A:$A,0))+J300*INDEX(Hours!F:F,MATCH(C300,Hours!$A:$A,0))+L300*INDEX(Hours!H:H,MATCH(C300,Hours!$A:$A,0)))</f>
        <v>0</v>
      </c>
      <c r="S300" s="19">
        <f t="shared" si="9"/>
        <v>0</v>
      </c>
    </row>
    <row r="301" spans="1:19" x14ac:dyDescent="0.25">
      <c r="A301" s="11" t="str">
        <f>'Bldgs &amp; Rooms'!$A$10</f>
        <v>Main Bldg.</v>
      </c>
      <c r="B301" s="11">
        <f>'Bldgs &amp; Rooms'!$B$10</f>
        <v>0</v>
      </c>
      <c r="C301" s="10" t="str">
        <f>Hours!$A$5</f>
        <v>Distribution Switchboard Multi Cover (Per Section)</v>
      </c>
      <c r="D301" s="11">
        <f t="shared" si="8"/>
        <v>0</v>
      </c>
      <c r="E301" s="16">
        <f>IF('Components Yr 1'!E301=0,0,'Components Yr 1'!E301)</f>
        <v>0</v>
      </c>
      <c r="F301" s="17">
        <f>IF('Components Yr 1'!F301=0,0,'Components Yr 1'!F301)</f>
        <v>0</v>
      </c>
      <c r="G301" s="17">
        <f>IF('Components Yr 1'!G301=0,0,'Components Yr 1'!G301)</f>
        <v>0</v>
      </c>
      <c r="H301" s="17">
        <f>IF('Components Yr 1'!H301=0,0,'Components Yr 1'!H301)</f>
        <v>0</v>
      </c>
      <c r="I301" s="17">
        <f>IF('Components Yr 1'!I301=0,0,'Components Yr 1'!I301)</f>
        <v>0</v>
      </c>
      <c r="J301" s="17">
        <f>IF('Components Yr 1'!J301=0,0,'Components Yr 1'!J301)</f>
        <v>0</v>
      </c>
      <c r="K301" s="17">
        <f>IF('Components Yr 1'!K301=0,0,'Components Yr 1'!K301)</f>
        <v>0</v>
      </c>
      <c r="L301" s="12"/>
      <c r="M301" s="12"/>
      <c r="N301" s="12"/>
      <c r="O301" s="17">
        <f>IF('Components Yr 1'!O301=0,0,'Components Yr 1'!O301)</f>
        <v>0</v>
      </c>
      <c r="P301" s="12"/>
      <c r="Q301" s="17"/>
      <c r="R301" s="18">
        <f>IF(SUMPRODUCT((E301:Q301)*1)=0,0,E301*INDEX(Hours!M:M,MATCH(C301,Hours!$A:$A,0))+F301*INDEX(Hours!B:B,MATCH(C301,Hours!$A:$A,0))+G301*INDEX(Hours!C:C,MATCH(C301,Hours!$A:$A,0))+H301*INDEX(Hours!D:D,MATCH(C301,Hours!$A:$A,0))+I301*INDEX(Hours!E:E,MATCH(C301,Hours!$A:$A,0))+J301*INDEX(Hours!F:F,MATCH(C301,Hours!$A:$A,0))+K301*INDEX(Hours!G:G,MATCH(C301,Hours!$A:$A,0))+O301*INDEX(Hours!K:K,MATCH(C301,Hours!$A:$A,0)))</f>
        <v>0</v>
      </c>
      <c r="S301" s="19">
        <f t="shared" si="9"/>
        <v>0</v>
      </c>
    </row>
    <row r="302" spans="1:19" x14ac:dyDescent="0.25">
      <c r="A302" s="11" t="str">
        <f>'Bldgs &amp; Rooms'!$A$10</f>
        <v>Main Bldg.</v>
      </c>
      <c r="B302" s="11">
        <f>'Bldgs &amp; Rooms'!$B$10</f>
        <v>0</v>
      </c>
      <c r="C302" s="10" t="str">
        <f>Hours!$A$6</f>
        <v xml:space="preserve">  Switchboard Disconnects</v>
      </c>
      <c r="D302" s="11">
        <f t="shared" si="8"/>
        <v>0</v>
      </c>
      <c r="E302" s="16">
        <f>IF('Components Yr 1'!E302=0,0,'Components Yr 1'!E302)</f>
        <v>0</v>
      </c>
      <c r="F302" s="17">
        <f>IF('Components Yr 1'!F302=0,0,'Components Yr 1'!F302)</f>
        <v>0</v>
      </c>
      <c r="G302" s="17">
        <f>IF('Components Yr 1'!G302=0,0,'Components Yr 1'!G302)</f>
        <v>0</v>
      </c>
      <c r="H302" s="17">
        <f>IF('Components Yr 1'!H302=0,0,'Components Yr 1'!H302)</f>
        <v>0</v>
      </c>
      <c r="I302" s="17">
        <f>IF('Components Yr 1'!I302=0,0,'Components Yr 1'!I302)</f>
        <v>0</v>
      </c>
      <c r="J302" s="17">
        <f>IF('Components Yr 1'!J302=0,0,'Components Yr 1'!J302)</f>
        <v>0</v>
      </c>
      <c r="K302" s="12"/>
      <c r="L302" s="12"/>
      <c r="M302" s="12"/>
      <c r="N302" s="12"/>
      <c r="O302" s="12"/>
      <c r="P302" s="12"/>
      <c r="Q302" s="17"/>
      <c r="R302" s="18">
        <f>IF(SUMPRODUCT((E302:Q302)*1)=0,0,E302*INDEX(Hours!M:M,MATCH(C302,Hours!$A:$A,0))+F302*INDEX(Hours!B:B,MATCH(C302,Hours!$A:$A,0))+G302*INDEX(Hours!C:C,MATCH(C302,Hours!$A:$A,0))+H302*INDEX(Hours!D:D,MATCH(C302,Hours!$A:$A,0))+I302*INDEX(Hours!E:E,MATCH(C302,Hours!$A:$A,0))+J302*INDEX(Hours!F:F,MATCH(C302,Hours!$A:$A,0)))</f>
        <v>0</v>
      </c>
      <c r="S302" s="19">
        <f t="shared" si="9"/>
        <v>0</v>
      </c>
    </row>
    <row r="303" spans="1:19" x14ac:dyDescent="0.25">
      <c r="A303" s="11" t="str">
        <f>'Bldgs &amp; Rooms'!$A$10</f>
        <v>Main Bldg.</v>
      </c>
      <c r="B303" s="11">
        <f>'Bldgs &amp; Rooms'!$B$10</f>
        <v>0</v>
      </c>
      <c r="C303" s="10" t="str">
        <f>Hours!$A$7</f>
        <v xml:space="preserve">  Switchboard Molded Case Breakers</v>
      </c>
      <c r="D303" s="11">
        <f t="shared" si="8"/>
        <v>0</v>
      </c>
      <c r="E303" s="16">
        <f>IF('Components Yr 1'!E303=0,0,'Components Yr 1'!E303)</f>
        <v>0</v>
      </c>
      <c r="F303" s="17">
        <f>IF('Components Yr 1'!F303=0,0,'Components Yr 1'!F303)</f>
        <v>0</v>
      </c>
      <c r="G303" s="17">
        <f>IF('Components Yr 1'!G303=0,0,'Components Yr 1'!G303)</f>
        <v>0</v>
      </c>
      <c r="H303" s="17">
        <f>IF('Components Yr 1'!H303=0,0,'Components Yr 1'!H303)</f>
        <v>0</v>
      </c>
      <c r="I303" s="17">
        <f>IF('Components Yr 1'!I303=0,0,'Components Yr 1'!I303)</f>
        <v>0</v>
      </c>
      <c r="J303" s="17">
        <f>IF('Components Yr 1'!J303=0,0,'Components Yr 1'!J303)</f>
        <v>0</v>
      </c>
      <c r="K303" s="17">
        <f>IF('Components Yr 1'!K303=0,0,'Components Yr 1'!K303)</f>
        <v>0</v>
      </c>
      <c r="L303" s="12"/>
      <c r="M303" s="12"/>
      <c r="N303" s="12"/>
      <c r="O303" s="12"/>
      <c r="P303" s="12"/>
      <c r="Q303" s="17"/>
      <c r="R303" s="18">
        <f>IF(SUMPRODUCT((E303:Q303)*1)=0,0,E303*INDEX(Hours!M:M,MATCH(C303,Hours!$A:$A,0))+F303*INDEX(Hours!B:B,MATCH(C303,Hours!$A:$A,0))+G303*INDEX(Hours!C:C,MATCH(C303,Hours!$A:$A,0))+H303*INDEX(Hours!D:D,MATCH(C303,Hours!$A:$A,0))+I303*INDEX(Hours!E:E,MATCH(C303,Hours!$A:$A,0))+J303*INDEX(Hours!F:F,MATCH(C303,Hours!$A:$A,0))+K303*INDEX(Hours!G:G,MATCH(C303,Hours!$A:$A,0)))</f>
        <v>0</v>
      </c>
      <c r="S303" s="19">
        <f t="shared" si="9"/>
        <v>0</v>
      </c>
    </row>
    <row r="304" spans="1:19" x14ac:dyDescent="0.25">
      <c r="A304" s="11" t="str">
        <f>'Bldgs &amp; Rooms'!$A$10</f>
        <v>Main Bldg.</v>
      </c>
      <c r="B304" s="11">
        <f>'Bldgs &amp; Rooms'!$B$10</f>
        <v>0</v>
      </c>
      <c r="C304" s="10" t="str">
        <f>Hours!$A$8</f>
        <v>Panelboard-Single Cover &gt; 400A (Distribution Panel)</v>
      </c>
      <c r="D304" s="11">
        <f t="shared" si="8"/>
        <v>0</v>
      </c>
      <c r="E304" s="16">
        <f>IF('Components Yr 1'!E304=0,0,'Components Yr 1'!E304)</f>
        <v>0</v>
      </c>
      <c r="F304" s="17">
        <f>IF('Components Yr 1'!F304=0,0,'Components Yr 1'!F304)</f>
        <v>0</v>
      </c>
      <c r="G304" s="17">
        <f>IF('Components Yr 1'!G304=0,0,'Components Yr 1'!G304)</f>
        <v>0</v>
      </c>
      <c r="H304" s="17">
        <f>IF('Components Yr 1'!H304=0,0,'Components Yr 1'!H304)</f>
        <v>0</v>
      </c>
      <c r="I304" s="17">
        <f>IF('Components Yr 1'!I304=0,0,'Components Yr 1'!I304)</f>
        <v>0</v>
      </c>
      <c r="J304" s="17">
        <f>IF('Components Yr 1'!J304=0,0,'Components Yr 1'!J304)</f>
        <v>0</v>
      </c>
      <c r="K304" s="17">
        <f>IF('Components Yr 1'!K304=0,0,'Components Yr 1'!K304)</f>
        <v>0</v>
      </c>
      <c r="L304" s="12"/>
      <c r="M304" s="12"/>
      <c r="N304" s="12"/>
      <c r="O304" s="17">
        <f>IF('Components Yr 1'!O304=0,0,'Components Yr 1'!O304)</f>
        <v>0</v>
      </c>
      <c r="P304" s="12"/>
      <c r="Q304" s="17"/>
      <c r="R304" s="18">
        <f>IF(SUMPRODUCT((E304:Q304)*1)=0,0,E304*INDEX(Hours!M:M,MATCH(C304,Hours!$A:$A,0))+F304*INDEX(Hours!B:B,MATCH(C304,Hours!$A:$A,0))+G304*INDEX(Hours!C:C,MATCH(C304,Hours!$A:$A,0))+H304*INDEX(Hours!D:D,MATCH(C304,Hours!$A:$A,0))+I304*INDEX(Hours!E:E,MATCH(C304,Hours!$A:$A,0))+J304*INDEX(Hours!F:F,MATCH(C304,Hours!$A:$A,0))+K304*INDEX(Hours!G:G,MATCH(C304,Hours!$A:$A,0))+O304*INDEX(Hours!K:K,MATCH(C304,Hours!$A:$A,0)))</f>
        <v>0</v>
      </c>
      <c r="S304" s="19">
        <f t="shared" si="9"/>
        <v>0</v>
      </c>
    </row>
    <row r="305" spans="1:19" x14ac:dyDescent="0.25">
      <c r="A305" s="11" t="str">
        <f>'Bldgs &amp; Rooms'!$A$10</f>
        <v>Main Bldg.</v>
      </c>
      <c r="B305" s="11">
        <f>'Bldgs &amp; Rooms'!$B$10</f>
        <v>0</v>
      </c>
      <c r="C305" s="10" t="str">
        <f>Hours!$A$9</f>
        <v>Panelboard-Single Cover &lt; 400A (Branch Ckt Panel)</v>
      </c>
      <c r="D305" s="11">
        <f t="shared" si="8"/>
        <v>0</v>
      </c>
      <c r="E305" s="16">
        <f>IF('Components Yr 1'!E305=0,0,'Components Yr 1'!E305)</f>
        <v>0</v>
      </c>
      <c r="F305" s="17">
        <f>IF('Components Yr 1'!F305=0,0,'Components Yr 1'!F305)</f>
        <v>0</v>
      </c>
      <c r="G305" s="17">
        <f>IF('Components Yr 1'!G305=0,0,'Components Yr 1'!G305)</f>
        <v>0</v>
      </c>
      <c r="H305" s="17">
        <f>IF('Components Yr 1'!H305=0,0,'Components Yr 1'!H305)</f>
        <v>0</v>
      </c>
      <c r="I305" s="17">
        <f>IF('Components Yr 1'!I305=0,0,'Components Yr 1'!I305)</f>
        <v>0</v>
      </c>
      <c r="J305" s="17">
        <f>IF('Components Yr 1'!J305=0,0,'Components Yr 1'!J305)</f>
        <v>0</v>
      </c>
      <c r="K305" s="12"/>
      <c r="L305" s="12"/>
      <c r="M305" s="12"/>
      <c r="N305" s="12"/>
      <c r="O305" s="17">
        <f>IF('Components Yr 1'!O305=0,0,'Components Yr 1'!O305)</f>
        <v>0</v>
      </c>
      <c r="P305" s="12"/>
      <c r="Q305" s="17"/>
      <c r="R305" s="18">
        <f>IF(SUMPRODUCT((E305:Q305)*1)=0,0,E305*INDEX(Hours!M:M,MATCH(C305,Hours!$A:$A,0))+F305*INDEX(Hours!B:B,MATCH(C305,Hours!$A:$A,0))+G305*INDEX(Hours!C:C,MATCH(C305,Hours!$A:$A,0))+H305*INDEX(Hours!D:D,MATCH(C305,Hours!$A:$A,0))+I305*INDEX(Hours!E:E,MATCH(C305,Hours!$A:$A,0))+J305*INDEX(Hours!F:F,MATCH(C305,Hours!$A:$A,0))+O305*INDEX(Hours!K:K,MATCH(C305,Hours!$A:$A,0)))</f>
        <v>0</v>
      </c>
      <c r="S305" s="19">
        <f t="shared" si="9"/>
        <v>0</v>
      </c>
    </row>
    <row r="306" spans="1:19" x14ac:dyDescent="0.25">
      <c r="A306" s="11" t="str">
        <f>'Bldgs &amp; Rooms'!$A$10</f>
        <v>Main Bldg.</v>
      </c>
      <c r="B306" s="11">
        <f>'Bldgs &amp; Rooms'!$B$10</f>
        <v>0</v>
      </c>
      <c r="C306" s="10" t="str">
        <f>Hours!$A$10</f>
        <v>Motor Control Center (MCC-Per Vertical Section)</v>
      </c>
      <c r="D306" s="11">
        <f t="shared" si="8"/>
        <v>0</v>
      </c>
      <c r="E306" s="16">
        <f>IF('Components Yr 1'!E306=0,0,'Components Yr 1'!E306)</f>
        <v>0</v>
      </c>
      <c r="F306" s="17">
        <f>IF('Components Yr 1'!F306=0,0,'Components Yr 1'!F306)</f>
        <v>0</v>
      </c>
      <c r="G306" s="17">
        <f>IF('Components Yr 1'!G306=0,0,'Components Yr 1'!G306)</f>
        <v>0</v>
      </c>
      <c r="H306" s="17">
        <f>IF('Components Yr 1'!H306=0,0,'Components Yr 1'!H306)</f>
        <v>0</v>
      </c>
      <c r="I306" s="17">
        <f>IF('Components Yr 1'!I306=0,0,'Components Yr 1'!I306)</f>
        <v>0</v>
      </c>
      <c r="J306" s="17">
        <f>IF('Components Yr 1'!J306=0,0,'Components Yr 1'!J306)</f>
        <v>0</v>
      </c>
      <c r="K306" s="12"/>
      <c r="L306" s="12"/>
      <c r="M306" s="12"/>
      <c r="N306" s="12"/>
      <c r="O306" s="17">
        <f>IF('Components Yr 1'!O306=0,0,'Components Yr 1'!O306)</f>
        <v>0</v>
      </c>
      <c r="P306" s="12"/>
      <c r="Q306" s="17"/>
      <c r="R306" s="18">
        <f>IF(SUMPRODUCT((E306:Q306)*1)=0,0,E306*INDEX(Hours!M:M,MATCH(C306,Hours!$A:$A,0))+F306*INDEX(Hours!B:B,MATCH(C306,Hours!$A:$A,0))+G306*INDEX(Hours!C:C,MATCH(C306,Hours!$A:$A,0))+H306*INDEX(Hours!D:D,MATCH(C306,Hours!$A:$A,0))+I306*INDEX(Hours!E:E,MATCH(C306,Hours!$A:$A,0))+J306*INDEX(Hours!F:F,MATCH(C306,Hours!$A:$A,0))+O306*INDEX(Hours!K:K,MATCH(C306,Hours!$A:$A,0)))</f>
        <v>0</v>
      </c>
      <c r="S306" s="19">
        <f t="shared" si="9"/>
        <v>0</v>
      </c>
    </row>
    <row r="307" spans="1:19" x14ac:dyDescent="0.25">
      <c r="A307" s="11" t="str">
        <f>'Bldgs &amp; Rooms'!$A$10</f>
        <v>Main Bldg.</v>
      </c>
      <c r="B307" s="11">
        <f>'Bldgs &amp; Rooms'!$B$10</f>
        <v>0</v>
      </c>
      <c r="C307" s="10" t="str">
        <f>Hours!$A$11</f>
        <v xml:space="preserve">  MCC: Combination Motor Starters</v>
      </c>
      <c r="D307" s="11">
        <f t="shared" si="8"/>
        <v>0</v>
      </c>
      <c r="E307" s="16">
        <f>IF('Components Yr 1'!E307=0,0,'Components Yr 1'!E307)</f>
        <v>0</v>
      </c>
      <c r="F307" s="17">
        <f>IF('Components Yr 1'!F307=0,0,'Components Yr 1'!F307)</f>
        <v>0</v>
      </c>
      <c r="G307" s="17">
        <f>IF('Components Yr 1'!G307=0,0,'Components Yr 1'!G307)</f>
        <v>0</v>
      </c>
      <c r="H307" s="17">
        <f>IF('Components Yr 1'!H307=0,0,'Components Yr 1'!H307)</f>
        <v>0</v>
      </c>
      <c r="I307" s="17">
        <f>IF('Components Yr 1'!I307=0,0,'Components Yr 1'!I307)</f>
        <v>0</v>
      </c>
      <c r="J307" s="17">
        <f>IF('Components Yr 1'!J307=0,0,'Components Yr 1'!J307)</f>
        <v>0</v>
      </c>
      <c r="K307" s="17">
        <f>IF('Components Yr 1'!K307=0,0,'Components Yr 1'!K307)</f>
        <v>0</v>
      </c>
      <c r="L307" s="12"/>
      <c r="M307" s="12"/>
      <c r="N307" s="12"/>
      <c r="O307" s="17">
        <f>IF('Components Yr 1'!O307=0,0,'Components Yr 1'!O307)</f>
        <v>0</v>
      </c>
      <c r="P307" s="12"/>
      <c r="Q307" s="17"/>
      <c r="R307" s="18">
        <f>IF(SUMPRODUCT((E307:Q307)*1)=0,0,E307*INDEX(Hours!M:M,MATCH(C307,Hours!$A:$A,0))+F307*INDEX(Hours!B:B,MATCH(C307,Hours!$A:$A,0))+G307*INDEX(Hours!C:C,MATCH(C307,Hours!$A:$A,0))+H307*INDEX(Hours!D:D,MATCH(C307,Hours!$A:$A,0))+I307*INDEX(Hours!E:E,MATCH(C307,Hours!$A:$A,0))+J307*INDEX(Hours!F:F,MATCH(C307,Hours!$A:$A,0))+K307*INDEX(Hours!G:G,MATCH(C307,Hours!$A:$A,0))+O307*INDEX(Hours!K:K,MATCH(C307,Hours!$A:$A,0)))</f>
        <v>0</v>
      </c>
      <c r="S307" s="19">
        <f t="shared" si="9"/>
        <v>0</v>
      </c>
    </row>
    <row r="308" spans="1:19" x14ac:dyDescent="0.25">
      <c r="A308" s="11" t="str">
        <f>'Bldgs &amp; Rooms'!$A$10</f>
        <v>Main Bldg.</v>
      </c>
      <c r="B308" s="11">
        <f>'Bldgs &amp; Rooms'!$B$10</f>
        <v>0</v>
      </c>
      <c r="C308" s="10" t="str">
        <f>Hours!$A$12</f>
        <v xml:space="preserve">  MCC: Molded Case Breaker</v>
      </c>
      <c r="D308" s="11">
        <f t="shared" si="8"/>
        <v>0</v>
      </c>
      <c r="E308" s="16">
        <f>IF('Components Yr 1'!E308=0,0,'Components Yr 1'!E308)</f>
        <v>0</v>
      </c>
      <c r="F308" s="17">
        <f>IF('Components Yr 1'!F308=0,0,'Components Yr 1'!F308)</f>
        <v>0</v>
      </c>
      <c r="G308" s="17">
        <f>IF('Components Yr 1'!G308=0,0,'Components Yr 1'!G308)</f>
        <v>0</v>
      </c>
      <c r="H308" s="17">
        <f>IF('Components Yr 1'!H308=0,0,'Components Yr 1'!H308)</f>
        <v>0</v>
      </c>
      <c r="I308" s="17">
        <f>IF('Components Yr 1'!I308=0,0,'Components Yr 1'!I308)</f>
        <v>0</v>
      </c>
      <c r="J308" s="17">
        <f>IF('Components Yr 1'!J308=0,0,'Components Yr 1'!J308)</f>
        <v>0</v>
      </c>
      <c r="K308" s="17">
        <f>IF('Components Yr 1'!K308=0,0,'Components Yr 1'!K308)</f>
        <v>0</v>
      </c>
      <c r="L308" s="12"/>
      <c r="M308" s="12"/>
      <c r="N308" s="12"/>
      <c r="O308" s="12"/>
      <c r="P308" s="12"/>
      <c r="Q308" s="17"/>
      <c r="R308" s="18">
        <f>IF(SUMPRODUCT((E308:Q308)*1)=0,0,E308*INDEX(Hours!M:M,MATCH(C308,Hours!$A:$A,0))+F308*INDEX(Hours!B:B,MATCH(C308,Hours!$A:$A,0))+G308*INDEX(Hours!C:C,MATCH(C308,Hours!$A:$A,0))+H308*INDEX(Hours!D:D,MATCH(C308,Hours!$A:$A,0))+I308*INDEX(Hours!E:E,MATCH(C308,Hours!$A:$A,0))+J308*INDEX(Hours!F:F,MATCH(C308,Hours!$A:$A,0))+K308*INDEX(Hours!G:G,MATCH(C308,Hours!$A:$A,0)))</f>
        <v>0</v>
      </c>
      <c r="S308" s="19">
        <f t="shared" si="9"/>
        <v>0</v>
      </c>
    </row>
    <row r="309" spans="1:19" x14ac:dyDescent="0.25">
      <c r="A309" s="11" t="str">
        <f>'Bldgs &amp; Rooms'!$A$10</f>
        <v>Main Bldg.</v>
      </c>
      <c r="B309" s="11">
        <f>'Bldgs &amp; Rooms'!$B$10</f>
        <v>0</v>
      </c>
      <c r="C309" s="10" t="str">
        <f>Hours!$A$13</f>
        <v xml:space="preserve">  MCC: Individual Disconnect Switch</v>
      </c>
      <c r="D309" s="11">
        <f t="shared" si="8"/>
        <v>0</v>
      </c>
      <c r="E309" s="16">
        <f>IF('Components Yr 1'!E309=0,0,'Components Yr 1'!E309)</f>
        <v>0</v>
      </c>
      <c r="F309" s="17">
        <f>IF('Components Yr 1'!F309=0,0,'Components Yr 1'!F309)</f>
        <v>0</v>
      </c>
      <c r="G309" s="17">
        <f>IF('Components Yr 1'!G309=0,0,'Components Yr 1'!G309)</f>
        <v>0</v>
      </c>
      <c r="H309" s="17">
        <f>IF('Components Yr 1'!H309=0,0,'Components Yr 1'!H309)</f>
        <v>0</v>
      </c>
      <c r="I309" s="17">
        <f>IF('Components Yr 1'!I309=0,0,'Components Yr 1'!I309)</f>
        <v>0</v>
      </c>
      <c r="J309" s="17">
        <f>IF('Components Yr 1'!J309=0,0,'Components Yr 1'!J309)</f>
        <v>0</v>
      </c>
      <c r="K309" s="12"/>
      <c r="L309" s="12"/>
      <c r="M309" s="12"/>
      <c r="N309" s="12"/>
      <c r="O309" s="12"/>
      <c r="P309" s="12"/>
      <c r="Q309" s="17"/>
      <c r="R309" s="18">
        <f>IF(SUMPRODUCT((E309:Q309)*1)=0,0,E309*INDEX(Hours!M:M,MATCH(C309,Hours!$A:$A,0))+F309*INDEX(Hours!B:B,MATCH(C309,Hours!$A:$A,0))+G309*INDEX(Hours!C:C,MATCH(C309,Hours!$A:$A,0))+H309*INDEX(Hours!D:D,MATCH(C309,Hours!$A:$A,0))+I309*INDEX(Hours!E:E,MATCH(C309,Hours!$A:$A,0))+J309*INDEX(Hours!F:F,MATCH(C309,Hours!$A:$A,0)))</f>
        <v>0</v>
      </c>
      <c r="S309" s="19">
        <f t="shared" si="9"/>
        <v>0</v>
      </c>
    </row>
    <row r="310" spans="1:19" x14ac:dyDescent="0.25">
      <c r="A310" s="11" t="str">
        <f>'Bldgs &amp; Rooms'!$A$10</f>
        <v>Main Bldg.</v>
      </c>
      <c r="B310" s="11">
        <f>'Bldgs &amp; Rooms'!$B$10</f>
        <v>0</v>
      </c>
      <c r="C310" s="10" t="str">
        <f>Hours!$A$14</f>
        <v>Motor Control Panel (MCP)</v>
      </c>
      <c r="D310" s="11">
        <f t="shared" si="8"/>
        <v>0</v>
      </c>
      <c r="E310" s="16">
        <f>IF('Components Yr 1'!E310=0,0,'Components Yr 1'!E310)</f>
        <v>0</v>
      </c>
      <c r="F310" s="17">
        <f>IF('Components Yr 1'!F310=0,0,'Components Yr 1'!F310)</f>
        <v>0</v>
      </c>
      <c r="G310" s="17">
        <f>IF('Components Yr 1'!G310=0,0,'Components Yr 1'!G310)</f>
        <v>0</v>
      </c>
      <c r="H310" s="17">
        <f>IF('Components Yr 1'!H310=0,0,'Components Yr 1'!H310)</f>
        <v>0</v>
      </c>
      <c r="I310" s="17">
        <f>IF('Components Yr 1'!I310=0,0,'Components Yr 1'!I310)</f>
        <v>0</v>
      </c>
      <c r="J310" s="17">
        <f>IF('Components Yr 1'!J310=0,0,'Components Yr 1'!J310)</f>
        <v>0</v>
      </c>
      <c r="K310" s="12"/>
      <c r="L310" s="12"/>
      <c r="M310" s="12"/>
      <c r="N310" s="12"/>
      <c r="O310" s="17">
        <f>IF('Components Yr 1'!O310=0,0,'Components Yr 1'!O310)</f>
        <v>0</v>
      </c>
      <c r="P310" s="12"/>
      <c r="Q310" s="17"/>
      <c r="R310" s="18">
        <f>IF(SUMPRODUCT((E310:Q310)*1)=0,0,E310*INDEX(Hours!M:M,MATCH(C310,Hours!$A:$A,0))+F310*INDEX(Hours!B:B,MATCH(C310,Hours!$A:$A,0))+G310*INDEX(Hours!C:C,MATCH(C310,Hours!$A:$A,0))+H310*INDEX(Hours!D:D,MATCH(C310,Hours!$A:$A,0))+I310*INDEX(Hours!E:E,MATCH(C310,Hours!$A:$A,0))+J310*INDEX(Hours!F:F,MATCH(C310,Hours!$A:$A,0))+O310*INDEX(Hours!K:K,MATCH(C310,Hours!$A:$A,0)))</f>
        <v>0</v>
      </c>
      <c r="S310" s="19">
        <f t="shared" si="9"/>
        <v>0</v>
      </c>
    </row>
    <row r="311" spans="1:19" x14ac:dyDescent="0.25">
      <c r="A311" s="11" t="str">
        <f>'Bldgs &amp; Rooms'!$A$10</f>
        <v>Main Bldg.</v>
      </c>
      <c r="B311" s="11">
        <f>'Bldgs &amp; Rooms'!$B$10</f>
        <v>0</v>
      </c>
      <c r="C311" s="10" t="str">
        <f>Hours!$A$15</f>
        <v>VFD Motor Control Panel (VFD-MCP)</v>
      </c>
      <c r="D311" s="11">
        <f t="shared" si="8"/>
        <v>0</v>
      </c>
      <c r="E311" s="16">
        <f>IF('Components Yr 1'!E311=0,0,'Components Yr 1'!E311)</f>
        <v>0</v>
      </c>
      <c r="F311" s="17">
        <f>IF('Components Yr 1'!F311=0,0,'Components Yr 1'!F311)</f>
        <v>0</v>
      </c>
      <c r="G311" s="17">
        <f>IF('Components Yr 1'!G311=0,0,'Components Yr 1'!G311)</f>
        <v>0</v>
      </c>
      <c r="H311" s="17">
        <f>IF('Components Yr 1'!H311=0,0,'Components Yr 1'!H311)</f>
        <v>0</v>
      </c>
      <c r="I311" s="17">
        <f>IF('Components Yr 1'!I311=0,0,'Components Yr 1'!I311)</f>
        <v>0</v>
      </c>
      <c r="J311" s="17">
        <f>IF('Components Yr 1'!J311=0,0,'Components Yr 1'!J311)</f>
        <v>0</v>
      </c>
      <c r="K311" s="12"/>
      <c r="L311" s="12"/>
      <c r="M311" s="12"/>
      <c r="N311" s="12"/>
      <c r="O311" s="17">
        <f>IF('Components Yr 1'!O311=0,0,'Components Yr 1'!O311)</f>
        <v>0</v>
      </c>
      <c r="P311" s="12"/>
      <c r="Q311" s="17"/>
      <c r="R311" s="18">
        <f>IF(SUMPRODUCT((E311:Q311)*1)=0,0,E311*INDEX(Hours!M:M,MATCH(C311,Hours!$A:$A,0))+F311*INDEX(Hours!B:B,MATCH(C311,Hours!$A:$A,0))+G311*INDEX(Hours!C:C,MATCH(C311,Hours!$A:$A,0))+H311*INDEX(Hours!D:D,MATCH(C311,Hours!$A:$A,0))+I311*INDEX(Hours!E:E,MATCH(C311,Hours!$A:$A,0))+J311*INDEX(Hours!F:F,MATCH(C311,Hours!$A:$A,0))+O311*INDEX(Hours!K:K,MATCH(C311,Hours!$A:$A,0)))</f>
        <v>0</v>
      </c>
      <c r="S311" s="19">
        <f t="shared" si="9"/>
        <v>0</v>
      </c>
    </row>
    <row r="312" spans="1:19" x14ac:dyDescent="0.25">
      <c r="A312" s="11" t="str">
        <f>'Bldgs &amp; Rooms'!$A$10</f>
        <v>Main Bldg.</v>
      </c>
      <c r="B312" s="11">
        <f>'Bldgs &amp; Rooms'!$B$10</f>
        <v>0</v>
      </c>
      <c r="C312" s="10" t="str">
        <f>Hours!$A$16</f>
        <v>Individual Disconnect Switch &gt; 100A</v>
      </c>
      <c r="D312" s="11">
        <f t="shared" si="8"/>
        <v>0</v>
      </c>
      <c r="E312" s="16">
        <f>IF('Components Yr 1'!E312=0,0,'Components Yr 1'!E312)</f>
        <v>0</v>
      </c>
      <c r="F312" s="17">
        <f>IF('Components Yr 1'!F312=0,0,'Components Yr 1'!F312)</f>
        <v>0</v>
      </c>
      <c r="G312" s="17">
        <f>IF('Components Yr 1'!G312=0,0,'Components Yr 1'!G312)</f>
        <v>0</v>
      </c>
      <c r="H312" s="17">
        <f>IF('Components Yr 1'!H312=0,0,'Components Yr 1'!H312)</f>
        <v>0</v>
      </c>
      <c r="I312" s="17">
        <f>IF('Components Yr 1'!I312=0,0,'Components Yr 1'!I312)</f>
        <v>0</v>
      </c>
      <c r="J312" s="17">
        <f>IF('Components Yr 1'!J312=0,0,'Components Yr 1'!J312)</f>
        <v>0</v>
      </c>
      <c r="K312" s="17">
        <f>IF('Components Yr 1'!K312=0,0,'Components Yr 1'!K312)</f>
        <v>0</v>
      </c>
      <c r="L312" s="12"/>
      <c r="M312" s="12"/>
      <c r="N312" s="12"/>
      <c r="O312" s="12"/>
      <c r="P312" s="12"/>
      <c r="Q312" s="17"/>
      <c r="R312" s="18">
        <f>IF(SUMPRODUCT((E312:Q312)*1)=0,0,E312*INDEX(Hours!M:M,MATCH(C312,Hours!$A:$A,0))+F312*INDEX(Hours!B:B,MATCH(C312,Hours!$A:$A,0))+G312*INDEX(Hours!C:C,MATCH(C312,Hours!$A:$A,0))+H312*INDEX(Hours!D:D,MATCH(C312,Hours!$A:$A,0))+I312*INDEX(Hours!E:E,MATCH(C312,Hours!$A:$A,0))+J312*INDEX(Hours!F:F,MATCH(C312,Hours!$A:$A,0))+K312*INDEX(Hours!G:G,MATCH(C312,Hours!$A:$A,0)))</f>
        <v>0</v>
      </c>
      <c r="S312" s="19">
        <f t="shared" si="9"/>
        <v>0</v>
      </c>
    </row>
    <row r="313" spans="1:19" x14ac:dyDescent="0.25">
      <c r="A313" s="11" t="str">
        <f>'Bldgs &amp; Rooms'!$A$10</f>
        <v>Main Bldg.</v>
      </c>
      <c r="B313" s="11">
        <f>'Bldgs &amp; Rooms'!$B$10</f>
        <v>0</v>
      </c>
      <c r="C313" s="10" t="str">
        <f>Hours!$A$17</f>
        <v>Individual Molded Case Breaker &gt; 100A</v>
      </c>
      <c r="D313" s="11">
        <f t="shared" si="8"/>
        <v>0</v>
      </c>
      <c r="E313" s="16">
        <f>IF('Components Yr 1'!E313=0,0,'Components Yr 1'!E313)</f>
        <v>0</v>
      </c>
      <c r="F313" s="17">
        <f>IF('Components Yr 1'!F313=0,0,'Components Yr 1'!F313)</f>
        <v>0</v>
      </c>
      <c r="G313" s="17">
        <f>IF('Components Yr 1'!G313=0,0,'Components Yr 1'!G313)</f>
        <v>0</v>
      </c>
      <c r="H313" s="17">
        <f>IF('Components Yr 1'!H313=0,0,'Components Yr 1'!H313)</f>
        <v>0</v>
      </c>
      <c r="I313" s="17">
        <f>IF('Components Yr 1'!I313=0,0,'Components Yr 1'!I313)</f>
        <v>0</v>
      </c>
      <c r="J313" s="17">
        <f>IF('Components Yr 1'!J313=0,0,'Components Yr 1'!J313)</f>
        <v>0</v>
      </c>
      <c r="K313" s="17">
        <f>IF('Components Yr 1'!K313=0,0,'Components Yr 1'!K313)</f>
        <v>0</v>
      </c>
      <c r="L313" s="12"/>
      <c r="M313" s="12"/>
      <c r="N313" s="12"/>
      <c r="O313" s="12"/>
      <c r="P313" s="12"/>
      <c r="Q313" s="17"/>
      <c r="R313" s="18">
        <f>IF(SUMPRODUCT((E313:Q313)*1)=0,0,E313*INDEX(Hours!M:M,MATCH(C313,Hours!$A:$A,0))+F313*INDEX(Hours!B:B,MATCH(C313,Hours!$A:$A,0))+G313*INDEX(Hours!C:C,MATCH(C313,Hours!$A:$A,0))+H313*INDEX(Hours!D:D,MATCH(C313,Hours!$A:$A,0))+I313*INDEX(Hours!E:E,MATCH(C313,Hours!$A:$A,0))+J313*INDEX(Hours!F:F,MATCH(C313,Hours!$A:$A,0))+K313*INDEX(Hours!G:G,MATCH(C313,Hours!$A:$A,0)))</f>
        <v>0</v>
      </c>
      <c r="S313" s="19">
        <f t="shared" si="9"/>
        <v>0</v>
      </c>
    </row>
    <row r="314" spans="1:19" x14ac:dyDescent="0.25">
      <c r="A314" s="11" t="str">
        <f>'Bldgs &amp; Rooms'!$A$10</f>
        <v>Main Bldg.</v>
      </c>
      <c r="B314" s="11">
        <f>'Bldgs &amp; Rooms'!$B$10</f>
        <v>0</v>
      </c>
      <c r="C314" s="10" t="str">
        <f>Hours!$A$18</f>
        <v>Individual Combination Motor Starter &gt; 100A</v>
      </c>
      <c r="D314" s="11">
        <f t="shared" si="8"/>
        <v>0</v>
      </c>
      <c r="E314" s="16">
        <f>IF('Components Yr 1'!E314=0,0,'Components Yr 1'!E314)</f>
        <v>0</v>
      </c>
      <c r="F314" s="17">
        <f>IF('Components Yr 1'!F314=0,0,'Components Yr 1'!F314)</f>
        <v>0</v>
      </c>
      <c r="G314" s="17">
        <f>IF('Components Yr 1'!G314=0,0,'Components Yr 1'!G314)</f>
        <v>0</v>
      </c>
      <c r="H314" s="17">
        <f>IF('Components Yr 1'!H314=0,0,'Components Yr 1'!H314)</f>
        <v>0</v>
      </c>
      <c r="I314" s="17">
        <f>IF('Components Yr 1'!I314=0,0,'Components Yr 1'!I314)</f>
        <v>0</v>
      </c>
      <c r="J314" s="17">
        <f>IF('Components Yr 1'!J314=0,0,'Components Yr 1'!J314)</f>
        <v>0</v>
      </c>
      <c r="K314" s="17">
        <f>IF('Components Yr 1'!K314=0,0,'Components Yr 1'!K314)</f>
        <v>0</v>
      </c>
      <c r="L314" s="12"/>
      <c r="M314" s="12"/>
      <c r="N314" s="12"/>
      <c r="O314" s="12"/>
      <c r="P314" s="12"/>
      <c r="Q314" s="17"/>
      <c r="R314" s="18">
        <f>IF(SUMPRODUCT((E314:Q314)*1)=0,0,E314*INDEX(Hours!M:M,MATCH(C314,Hours!$A:$A,0))+F314*INDEX(Hours!B:B,MATCH(C314,Hours!$A:$A,0))+G314*INDEX(Hours!C:C,MATCH(C314,Hours!$A:$A,0))+H314*INDEX(Hours!D:D,MATCH(C314,Hours!$A:$A,0))+I314*INDEX(Hours!E:E,MATCH(C314,Hours!$A:$A,0))+J314*INDEX(Hours!F:F,MATCH(C314,Hours!$A:$A,0))+K314*INDEX(Hours!G:G,MATCH(C314,Hours!$A:$A,0)))</f>
        <v>0</v>
      </c>
      <c r="S314" s="19">
        <f t="shared" si="9"/>
        <v>0</v>
      </c>
    </row>
    <row r="315" spans="1:19" x14ac:dyDescent="0.25">
      <c r="A315" s="11" t="str">
        <f>'Bldgs &amp; Rooms'!$A$10</f>
        <v>Main Bldg.</v>
      </c>
      <c r="B315" s="11">
        <f>'Bldgs &amp; Rooms'!$B$10</f>
        <v>0</v>
      </c>
      <c r="C315" s="10" t="str">
        <f>Hours!$A$19</f>
        <v>Oil Filled Transformer - 5kV-15kV Primary - Any Size (Pad Mounted)</v>
      </c>
      <c r="D315" s="11">
        <f t="shared" si="8"/>
        <v>0</v>
      </c>
      <c r="E315" s="16">
        <f>IF('Components Yr 1'!E315=0,0,'Components Yr 1'!E315)</f>
        <v>0</v>
      </c>
      <c r="F315" s="17">
        <f>IF('Components Yr 1'!F315=0,0,'Components Yr 1'!F315)</f>
        <v>0</v>
      </c>
      <c r="G315" s="17">
        <f>IF('Components Yr 1'!G315=0,0,'Components Yr 1'!G315)</f>
        <v>0</v>
      </c>
      <c r="H315" s="17">
        <f>IF('Components Yr 1'!H315=0,0,'Components Yr 1'!H315)</f>
        <v>0</v>
      </c>
      <c r="I315" s="17">
        <f>IF('Components Yr 1'!I315=0,0,'Components Yr 1'!I315)</f>
        <v>0</v>
      </c>
      <c r="J315" s="17">
        <f>IF('Components Yr 1'!J315=0,0,'Components Yr 1'!J315)</f>
        <v>0</v>
      </c>
      <c r="K315" s="12"/>
      <c r="L315" s="12"/>
      <c r="M315" s="17">
        <f>IF('Components Yr 1'!M315=0,0,'Components Yr 1'!M315)</f>
        <v>0</v>
      </c>
      <c r="N315" s="17">
        <f>IF('Components Yr 1'!N315=0,0,'Components Yr 1'!N315)</f>
        <v>0</v>
      </c>
      <c r="O315" s="12"/>
      <c r="P315" s="17">
        <f>IF('Components Yr 1'!P315=0,0,'Components Yr 1'!P315)</f>
        <v>0</v>
      </c>
      <c r="Q315" s="17"/>
      <c r="R315" s="18">
        <f>IF(SUMPRODUCT((E315:Q315)*1)=0,0,E315*INDEX(Hours!M:M,MATCH(C315,Hours!$A:$A,0))+F315*INDEX(Hours!B:B,MATCH(C315,Hours!$A:$A,0))+G315*INDEX(Hours!C:C,MATCH(C315,Hours!$A:$A,0))+H315*INDEX(Hours!D:D,MATCH(C315,Hours!$A:$A,0))+I315*INDEX(Hours!E:E,MATCH(C315,Hours!$A:$A,0))+J315*INDEX(Hours!F:F,MATCH(C315,Hours!$A:$A,0))+M315*INDEX(Hours!I:I,MATCH(C315,Hours!$A:$A,0))+N315*INDEX(Hours!J:J,MATCH(C315,Hours!$A:$A,0))+P315*INDEX(Hours!L:L,MATCH(C315,Hours!$A:$A,0)))</f>
        <v>0</v>
      </c>
      <c r="S315" s="19">
        <f t="shared" si="9"/>
        <v>0</v>
      </c>
    </row>
    <row r="316" spans="1:19" x14ac:dyDescent="0.25">
      <c r="A316" s="11" t="str">
        <f>'Bldgs &amp; Rooms'!$A$10</f>
        <v>Main Bldg.</v>
      </c>
      <c r="B316" s="11">
        <f>'Bldgs &amp; Rooms'!$B$10</f>
        <v>0</v>
      </c>
      <c r="C316" s="10" t="str">
        <f>Hours!$A$20</f>
        <v>Oil Filled Transformer - &gt; 15kV Primary (Substation Class)</v>
      </c>
      <c r="D316" s="11">
        <f t="shared" si="8"/>
        <v>0</v>
      </c>
      <c r="E316" s="16">
        <f>IF('Components Yr 1'!E316=0,0,'Components Yr 1'!E316)</f>
        <v>0</v>
      </c>
      <c r="F316" s="17">
        <f>IF('Components Yr 1'!F316=0,0,'Components Yr 1'!F316)</f>
        <v>0</v>
      </c>
      <c r="G316" s="17">
        <f>IF('Components Yr 1'!G316=0,0,'Components Yr 1'!G316)</f>
        <v>0</v>
      </c>
      <c r="H316" s="17">
        <f>IF('Components Yr 1'!H316=0,0,'Components Yr 1'!H316)</f>
        <v>0</v>
      </c>
      <c r="I316" s="17">
        <f>IF('Components Yr 1'!I316=0,0,'Components Yr 1'!I316)</f>
        <v>0</v>
      </c>
      <c r="J316" s="17">
        <f>IF('Components Yr 1'!J316=0,0,'Components Yr 1'!J316)</f>
        <v>0</v>
      </c>
      <c r="K316" s="12"/>
      <c r="L316" s="12"/>
      <c r="M316" s="17">
        <f>IF('Components Yr 1'!M316=0,0,'Components Yr 1'!M316)</f>
        <v>0</v>
      </c>
      <c r="N316" s="17">
        <f>IF('Components Yr 1'!N316=0,0,'Components Yr 1'!N316)</f>
        <v>0</v>
      </c>
      <c r="O316" s="12"/>
      <c r="P316" s="17">
        <f>IF('Components Yr 1'!P316=0,0,'Components Yr 1'!P316)</f>
        <v>0</v>
      </c>
      <c r="Q316" s="17"/>
      <c r="R316" s="18">
        <f>IF(SUMPRODUCT((E316:Q316)*1)=0,0,E316*INDEX(Hours!M:M,MATCH(C316,Hours!$A:$A,0))+F316*INDEX(Hours!B:B,MATCH(C316,Hours!$A:$A,0))+G316*INDEX(Hours!C:C,MATCH(C316,Hours!$A:$A,0))+H316*INDEX(Hours!D:D,MATCH(C316,Hours!$A:$A,0))+I316*INDEX(Hours!E:E,MATCH(C316,Hours!$A:$A,0))+J316*INDEX(Hours!F:F,MATCH(C316,Hours!$A:$A,0))+M316*INDEX(Hours!I:I,MATCH(C316,Hours!$A:$A,0))+N316*INDEX(Hours!J:J,MATCH(C316,Hours!$A:$A,0))+P316*INDEX(Hours!L:L,MATCH(C316,Hours!$A:$A,0)))</f>
        <v>0</v>
      </c>
      <c r="S316" s="19">
        <f t="shared" si="9"/>
        <v>0</v>
      </c>
    </row>
    <row r="317" spans="1:19" x14ac:dyDescent="0.25">
      <c r="A317" s="11" t="str">
        <f>'Bldgs &amp; Rooms'!$A$10</f>
        <v>Main Bldg.</v>
      </c>
      <c r="B317" s="11">
        <f>'Bldgs &amp; Rooms'!$B$10</f>
        <v>0</v>
      </c>
      <c r="C317" s="10" t="str">
        <f>Hours!$A$21</f>
        <v>Dry Type Transformer - &lt; 480V Primary - Any Size kVA</v>
      </c>
      <c r="D317" s="11">
        <f t="shared" si="8"/>
        <v>0</v>
      </c>
      <c r="E317" s="16">
        <f>IF('Components Yr 1'!E317=0,0,'Components Yr 1'!E317)</f>
        <v>0</v>
      </c>
      <c r="F317" s="17">
        <f>IF('Components Yr 1'!F317=0,0,'Components Yr 1'!F317)</f>
        <v>0</v>
      </c>
      <c r="G317" s="17">
        <f>IF('Components Yr 1'!G317=0,0,'Components Yr 1'!G317)</f>
        <v>0</v>
      </c>
      <c r="H317" s="17">
        <f>IF('Components Yr 1'!H317=0,0,'Components Yr 1'!H317)</f>
        <v>0</v>
      </c>
      <c r="I317" s="17">
        <f>IF('Components Yr 1'!I317=0,0,'Components Yr 1'!I317)</f>
        <v>0</v>
      </c>
      <c r="J317" s="17">
        <f>IF('Components Yr 1'!J317=0,0,'Components Yr 1'!J317)</f>
        <v>0</v>
      </c>
      <c r="K317" s="12"/>
      <c r="L317" s="12"/>
      <c r="M317" s="17">
        <f>IF('Components Yr 1'!M317=0,0,'Components Yr 1'!M317)</f>
        <v>0</v>
      </c>
      <c r="N317" s="17">
        <f>IF('Components Yr 1'!N317=0,0,'Components Yr 1'!N317)</f>
        <v>0</v>
      </c>
      <c r="O317" s="12"/>
      <c r="P317" s="12"/>
      <c r="Q317" s="17"/>
      <c r="R317" s="18">
        <f>IF(SUMPRODUCT((E317:Q317)*1)=0,0,E317*INDEX(Hours!M:M,MATCH(C317,Hours!$A:$A,0))+F317*INDEX(Hours!B:B,MATCH(C317,Hours!$A:$A,0))+G317*INDEX(Hours!C:C,MATCH(C317,Hours!$A:$A,0))+H317*INDEX(Hours!D:D,MATCH(C317,Hours!$A:$A,0))+I317*INDEX(Hours!E:E,MATCH(C317,Hours!$A:$A,0))+J317*INDEX(Hours!F:F,MATCH(C317,Hours!$A:$A,0))+M317*INDEX(Hours!I:I,MATCH(C317,Hours!$A:$A,0))+N317*INDEX(Hours!J:J,MATCH(C317,Hours!$A:$A,0)))</f>
        <v>0</v>
      </c>
      <c r="S317" s="19">
        <f t="shared" si="9"/>
        <v>0</v>
      </c>
    </row>
    <row r="318" spans="1:19" x14ac:dyDescent="0.25">
      <c r="A318" s="11" t="str">
        <f>'Bldgs &amp; Rooms'!$A$10</f>
        <v>Main Bldg.</v>
      </c>
      <c r="B318" s="11">
        <f>'Bldgs &amp; Rooms'!$B$10</f>
        <v>0</v>
      </c>
      <c r="C318" s="10" t="str">
        <f>Hours!$A$22</f>
        <v>Power Factor Correction Capacitors</v>
      </c>
      <c r="D318" s="11">
        <f t="shared" si="8"/>
        <v>0</v>
      </c>
      <c r="E318" s="16">
        <f>IF('Components Yr 1'!E318=0,0,'Components Yr 1'!E318)</f>
        <v>0</v>
      </c>
      <c r="F318" s="17">
        <f>IF('Components Yr 1'!F318=0,0,'Components Yr 1'!F318)</f>
        <v>0</v>
      </c>
      <c r="G318" s="17">
        <f>IF('Components Yr 1'!G318=0,0,'Components Yr 1'!G318)</f>
        <v>0</v>
      </c>
      <c r="H318" s="17">
        <f>IF('Components Yr 1'!H318=0,0,'Components Yr 1'!H318)</f>
        <v>0</v>
      </c>
      <c r="I318" s="17">
        <f>IF('Components Yr 1'!I318=0,0,'Components Yr 1'!I318)</f>
        <v>0</v>
      </c>
      <c r="J318" s="17">
        <f>IF('Components Yr 1'!J318=0,0,'Components Yr 1'!J318)</f>
        <v>0</v>
      </c>
      <c r="K318" s="12"/>
      <c r="L318" s="12"/>
      <c r="M318" s="12"/>
      <c r="N318" s="12"/>
      <c r="O318" s="12"/>
      <c r="P318" s="12"/>
      <c r="Q318" s="17"/>
      <c r="R318" s="18">
        <f>IF(SUMPRODUCT((E318:Q318)*1)=0,0,E318*INDEX(Hours!M:M,MATCH(C318,Hours!$A:$A,0))+F318*INDEX(Hours!B:B,MATCH(C318,Hours!$A:$A,0))+G318*INDEX(Hours!C:C,MATCH(C318,Hours!$A:$A,0))+H318*INDEX(Hours!D:D,MATCH(C318,Hours!$A:$A,0))+I318*INDEX(Hours!E:E,MATCH(C318,Hours!$A:$A,0))+J318*INDEX(Hours!F:F,MATCH(C318,Hours!$A:$A,0)))</f>
        <v>0</v>
      </c>
      <c r="S318" s="19">
        <f t="shared" si="9"/>
        <v>0</v>
      </c>
    </row>
    <row r="319" spans="1:19" x14ac:dyDescent="0.25">
      <c r="A319" s="11" t="str">
        <f>'Bldgs &amp; Rooms'!$A$10</f>
        <v>Main Bldg.</v>
      </c>
      <c r="B319" s="11">
        <f>'Bldgs &amp; Rooms'!$B$10</f>
        <v>0</v>
      </c>
      <c r="C319" s="10" t="str">
        <f>Hours!$A$23</f>
        <v>Lighting Contactor &gt; 100A</v>
      </c>
      <c r="D319" s="11">
        <f t="shared" si="8"/>
        <v>0</v>
      </c>
      <c r="E319" s="16">
        <f>IF('Components Yr 1'!E319=0,0,'Components Yr 1'!E319)</f>
        <v>0</v>
      </c>
      <c r="F319" s="17">
        <f>IF('Components Yr 1'!F319=0,0,'Components Yr 1'!F319)</f>
        <v>0</v>
      </c>
      <c r="G319" s="17">
        <f>IF('Components Yr 1'!G319=0,0,'Components Yr 1'!G319)</f>
        <v>0</v>
      </c>
      <c r="H319" s="17">
        <f>IF('Components Yr 1'!H319=0,0,'Components Yr 1'!H319)</f>
        <v>0</v>
      </c>
      <c r="I319" s="17">
        <f>IF('Components Yr 1'!I319=0,0,'Components Yr 1'!I319)</f>
        <v>0</v>
      </c>
      <c r="J319" s="17">
        <f>IF('Components Yr 1'!J319=0,0,'Components Yr 1'!J319)</f>
        <v>0</v>
      </c>
      <c r="K319" s="12"/>
      <c r="L319" s="12"/>
      <c r="M319" s="12"/>
      <c r="N319" s="12"/>
      <c r="O319" s="12"/>
      <c r="P319" s="12"/>
      <c r="Q319" s="17"/>
      <c r="R319" s="18">
        <f>IF(SUMPRODUCT((E319:Q319)*1)=0,0,E319*INDEX(Hours!M:M,MATCH(C319,Hours!$A:$A,0))+F319*INDEX(Hours!B:B,MATCH(C319,Hours!$A:$A,0))+G319*INDEX(Hours!C:C,MATCH(C319,Hours!$A:$A,0))+H319*INDEX(Hours!D:D,MATCH(C319,Hours!$A:$A,0))+I319*INDEX(Hours!E:E,MATCH(C319,Hours!$A:$A,0))+J319*INDEX(Hours!F:F,MATCH(C319,Hours!$A:$A,0)))</f>
        <v>0</v>
      </c>
      <c r="S319" s="19">
        <f t="shared" si="9"/>
        <v>0</v>
      </c>
    </row>
    <row r="320" spans="1:19" x14ac:dyDescent="0.25">
      <c r="A320" s="11" t="str">
        <f>'Bldgs &amp; Rooms'!$A$10</f>
        <v>Main Bldg.</v>
      </c>
      <c r="B320" s="11">
        <f>'Bldgs &amp; Rooms'!$B$10</f>
        <v>0</v>
      </c>
      <c r="C320" s="10" t="str">
        <f>Hours!$A$24</f>
        <v>Power Distribution Unit (PDU)</v>
      </c>
      <c r="D320" s="11">
        <f t="shared" si="8"/>
        <v>0</v>
      </c>
      <c r="E320" s="16">
        <f>IF('Components Yr 1'!E320=0,0,'Components Yr 1'!E320)</f>
        <v>0</v>
      </c>
      <c r="F320" s="17">
        <f>IF('Components Yr 1'!F320=0,0,'Components Yr 1'!F320)</f>
        <v>0</v>
      </c>
      <c r="G320" s="17">
        <f>IF('Components Yr 1'!G320=0,0,'Components Yr 1'!G320)</f>
        <v>0</v>
      </c>
      <c r="H320" s="17">
        <f>IF('Components Yr 1'!H320=0,0,'Components Yr 1'!H320)</f>
        <v>0</v>
      </c>
      <c r="I320" s="17">
        <f>IF('Components Yr 1'!I320=0,0,'Components Yr 1'!I320)</f>
        <v>0</v>
      </c>
      <c r="J320" s="17">
        <f>IF('Components Yr 1'!J320=0,0,'Components Yr 1'!J320)</f>
        <v>0</v>
      </c>
      <c r="K320" s="12"/>
      <c r="L320" s="12"/>
      <c r="M320" s="12"/>
      <c r="N320" s="12"/>
      <c r="O320" s="12"/>
      <c r="P320" s="12"/>
      <c r="Q320" s="17"/>
      <c r="R320" s="18">
        <f>IF(SUMPRODUCT((E320:Q320)*1)=0,0,E320*INDEX(Hours!M:M,MATCH(C320,Hours!$A:$A,0))+F320*INDEX(Hours!B:B,MATCH(C320,Hours!$A:$A,0))+G320*INDEX(Hours!C:C,MATCH(C320,Hours!$A:$A,0))+H320*INDEX(Hours!D:D,MATCH(C320,Hours!$A:$A,0))+I320*INDEX(Hours!E:E,MATCH(C320,Hours!$A:$A,0))+J320*INDEX(Hours!F:F,MATCH(C320,Hours!$A:$A,0)))</f>
        <v>0</v>
      </c>
      <c r="S320" s="19">
        <f t="shared" si="9"/>
        <v>0</v>
      </c>
    </row>
    <row r="321" spans="1:19" x14ac:dyDescent="0.25">
      <c r="A321" s="11" t="str">
        <f>'Bldgs &amp; Rooms'!$A$10</f>
        <v>Main Bldg.</v>
      </c>
      <c r="B321" s="11">
        <f>'Bldgs &amp; Rooms'!$B$10</f>
        <v>0</v>
      </c>
      <c r="C321" s="10" t="str">
        <f>Hours!$A$25</f>
        <v>Wire Trough, Gutter, or Large Junction Boxes</v>
      </c>
      <c r="D321" s="11">
        <f t="shared" si="8"/>
        <v>0</v>
      </c>
      <c r="E321" s="16">
        <f>IF('Components Yr 1'!E321=0,0,'Components Yr 1'!E321)</f>
        <v>0</v>
      </c>
      <c r="F321" s="17">
        <f>IF('Components Yr 1'!F321=0,0,'Components Yr 1'!F321)</f>
        <v>0</v>
      </c>
      <c r="G321" s="17">
        <f>IF('Components Yr 1'!G321=0,0,'Components Yr 1'!G321)</f>
        <v>0</v>
      </c>
      <c r="H321" s="17">
        <f>IF('Components Yr 1'!H321=0,0,'Components Yr 1'!H321)</f>
        <v>0</v>
      </c>
      <c r="I321" s="17">
        <f>IF('Components Yr 1'!I321=0,0,'Components Yr 1'!I321)</f>
        <v>0</v>
      </c>
      <c r="J321" s="17">
        <f>IF('Components Yr 1'!J321=0,0,'Components Yr 1'!J321)</f>
        <v>0</v>
      </c>
      <c r="K321" s="12"/>
      <c r="L321" s="12"/>
      <c r="M321" s="12"/>
      <c r="N321" s="12"/>
      <c r="O321" s="12"/>
      <c r="P321" s="12"/>
      <c r="Q321" s="17"/>
      <c r="R321" s="18">
        <f>IF(SUMPRODUCT((E321:Q321)*1)=0,0,E321*INDEX(Hours!M:M,MATCH(C321,Hours!$A:$A,0))+F321*INDEX(Hours!B:B,MATCH(C321,Hours!$A:$A,0))+G321*INDEX(Hours!C:C,MATCH(C321,Hours!$A:$A,0))+H321*INDEX(Hours!D:D,MATCH(C321,Hours!$A:$A,0))+I321*INDEX(Hours!E:E,MATCH(C321,Hours!$A:$A,0))+J321*INDEX(Hours!F:F,MATCH(C321,Hours!$A:$A,0)))</f>
        <v>0</v>
      </c>
      <c r="S321" s="19">
        <f t="shared" si="9"/>
        <v>0</v>
      </c>
    </row>
    <row r="322" spans="1:19" x14ac:dyDescent="0.25">
      <c r="A322" s="11" t="str">
        <f>'Bldgs &amp; Rooms'!$A$10</f>
        <v>Main Bldg.</v>
      </c>
      <c r="B322" s="11">
        <f>'Bldgs &amp; Rooms'!$B$10</f>
        <v>0</v>
      </c>
      <c r="C322" s="10" t="str">
        <f>Hours!$A$26</f>
        <v>Bus Duct - Vertical or Horizontal (Per 10' section)</v>
      </c>
      <c r="D322" s="11">
        <f t="shared" ref="D322:D385" si="10">MAX(E322+F322,G322,H322,I322,J322,K322,L322,M322,N322,O322,P322,Q322)</f>
        <v>0</v>
      </c>
      <c r="E322" s="16">
        <f>IF('Components Yr 1'!E322=0,0,'Components Yr 1'!E322)</f>
        <v>0</v>
      </c>
      <c r="F322" s="17">
        <f>IF('Components Yr 1'!F322=0,0,'Components Yr 1'!F322)</f>
        <v>0</v>
      </c>
      <c r="G322" s="17">
        <f>IF('Components Yr 1'!G322=0,0,'Components Yr 1'!G322)</f>
        <v>0</v>
      </c>
      <c r="H322" s="17">
        <f>IF('Components Yr 1'!H322=0,0,'Components Yr 1'!H322)</f>
        <v>0</v>
      </c>
      <c r="I322" s="17">
        <f>IF('Components Yr 1'!I322=0,0,'Components Yr 1'!I322)</f>
        <v>0</v>
      </c>
      <c r="J322" s="17">
        <f>IF('Components Yr 1'!J322=0,0,'Components Yr 1'!J322)</f>
        <v>0</v>
      </c>
      <c r="K322" s="12"/>
      <c r="L322" s="12"/>
      <c r="M322" s="12"/>
      <c r="N322" s="12"/>
      <c r="O322" s="12"/>
      <c r="P322" s="12"/>
      <c r="Q322" s="17"/>
      <c r="R322" s="18">
        <f>IF(SUMPRODUCT((E322:Q322)*1)=0,0,E322*INDEX(Hours!M:M,MATCH(C322,Hours!$A:$A,0))+F322*INDEX(Hours!B:B,MATCH(C322,Hours!$A:$A,0))+G322*INDEX(Hours!C:C,MATCH(C322,Hours!$A:$A,0))+H322*INDEX(Hours!D:D,MATCH(C322,Hours!$A:$A,0))+I322*INDEX(Hours!E:E,MATCH(C322,Hours!$A:$A,0))+J322*INDEX(Hours!F:F,MATCH(C322,Hours!$A:$A,0)))</f>
        <v>0</v>
      </c>
      <c r="S322" s="19">
        <f t="shared" ref="S322:S385" si="11">MAX(E322+F322,G322,H322,I322,J322,K322,L322,M322,N322,O322,P322,Q322)</f>
        <v>0</v>
      </c>
    </row>
    <row r="323" spans="1:19" x14ac:dyDescent="0.25">
      <c r="A323" s="11" t="str">
        <f>'Bldgs &amp; Rooms'!$A$10</f>
        <v>Main Bldg.</v>
      </c>
      <c r="B323" s="11">
        <f>'Bldgs &amp; Rooms'!$B$10</f>
        <v>0</v>
      </c>
      <c r="C323" s="10" t="str">
        <f>Hours!$A$27</f>
        <v>Automatic Transfer Switch (ATS) &gt; 100A</v>
      </c>
      <c r="D323" s="11">
        <f t="shared" si="10"/>
        <v>0</v>
      </c>
      <c r="E323" s="16">
        <f>IF('Components Yr 1'!E323=0,0,'Components Yr 1'!E323)</f>
        <v>0</v>
      </c>
      <c r="F323" s="17">
        <f>IF('Components Yr 1'!F323=0,0,'Components Yr 1'!F323)</f>
        <v>0</v>
      </c>
      <c r="G323" s="17">
        <f>IF('Components Yr 1'!G323=0,0,'Components Yr 1'!G323)</f>
        <v>0</v>
      </c>
      <c r="H323" s="17">
        <f>IF('Components Yr 1'!H323=0,0,'Components Yr 1'!H323)</f>
        <v>0</v>
      </c>
      <c r="I323" s="17">
        <f>IF('Components Yr 1'!I323=0,0,'Components Yr 1'!I323)</f>
        <v>0</v>
      </c>
      <c r="J323" s="17">
        <f>IF('Components Yr 1'!J323=0,0,'Components Yr 1'!J323)</f>
        <v>0</v>
      </c>
      <c r="K323" s="12"/>
      <c r="L323" s="12"/>
      <c r="M323" s="12"/>
      <c r="N323" s="12"/>
      <c r="O323" s="12"/>
      <c r="P323" s="12"/>
      <c r="Q323" s="17"/>
      <c r="R323" s="18">
        <f>IF(SUMPRODUCT((E323:Q323)*1)=0,0,E323*INDEX(Hours!M:M,MATCH(C323,Hours!$A:$A,0))+F323*INDEX(Hours!B:B,MATCH(C323,Hours!$A:$A,0))+G323*INDEX(Hours!C:C,MATCH(C323,Hours!$A:$A,0))+H323*INDEX(Hours!D:D,MATCH(C323,Hours!$A:$A,0))+I323*INDEX(Hours!E:E,MATCH(C323,Hours!$A:$A,0))+J323*INDEX(Hours!F:F,MATCH(C323,Hours!$A:$A,0)))</f>
        <v>0</v>
      </c>
      <c r="S323" s="19">
        <f t="shared" si="11"/>
        <v>0</v>
      </c>
    </row>
    <row r="324" spans="1:19" x14ac:dyDescent="0.25">
      <c r="A324" s="11" t="str">
        <f>'Bldgs &amp; Rooms'!$A$10</f>
        <v>Main Bldg.</v>
      </c>
      <c r="B324" s="11">
        <f>'Bldgs &amp; Rooms'!$B$10</f>
        <v>0</v>
      </c>
      <c r="C324" s="10" t="str">
        <f>Hours!$A$28</f>
        <v>Manual Transfer Switch (MTS) &gt; 100A</v>
      </c>
      <c r="D324" s="11">
        <f t="shared" si="10"/>
        <v>0</v>
      </c>
      <c r="E324" s="16">
        <f>IF('Components Yr 1'!E324=0,0,'Components Yr 1'!E324)</f>
        <v>0</v>
      </c>
      <c r="F324" s="17">
        <f>IF('Components Yr 1'!F324=0,0,'Components Yr 1'!F324)</f>
        <v>0</v>
      </c>
      <c r="G324" s="17">
        <f>IF('Components Yr 1'!G324=0,0,'Components Yr 1'!G324)</f>
        <v>0</v>
      </c>
      <c r="H324" s="17">
        <f>IF('Components Yr 1'!H324=0,0,'Components Yr 1'!H324)</f>
        <v>0</v>
      </c>
      <c r="I324" s="17">
        <f>IF('Components Yr 1'!I324=0,0,'Components Yr 1'!I324)</f>
        <v>0</v>
      </c>
      <c r="J324" s="17">
        <f>IF('Components Yr 1'!J324=0,0,'Components Yr 1'!J324)</f>
        <v>0</v>
      </c>
      <c r="K324" s="12"/>
      <c r="L324" s="12"/>
      <c r="M324" s="12"/>
      <c r="N324" s="12"/>
      <c r="O324" s="12"/>
      <c r="P324" s="12"/>
      <c r="Q324" s="17"/>
      <c r="R324" s="18">
        <f>IF(SUMPRODUCT((E324:Q324)*1)=0,0,E324*INDEX(Hours!M:M,MATCH(C324,Hours!$A:$A,0))+F324*INDEX(Hours!B:B,MATCH(C324,Hours!$A:$A,0))+G324*INDEX(Hours!C:C,MATCH(C324,Hours!$A:$A,0))+H324*INDEX(Hours!D:D,MATCH(C324,Hours!$A:$A,0))+I324*INDEX(Hours!E:E,MATCH(C324,Hours!$A:$A,0))+J324*INDEX(Hours!F:F,MATCH(C324,Hours!$A:$A,0)))</f>
        <v>0</v>
      </c>
      <c r="S324" s="19">
        <f t="shared" si="11"/>
        <v>0</v>
      </c>
    </row>
    <row r="325" spans="1:19" x14ac:dyDescent="0.25">
      <c r="A325" s="11" t="str">
        <f>'Bldgs &amp; Rooms'!$A$10</f>
        <v>Main Bldg.</v>
      </c>
      <c r="B325" s="11">
        <f>'Bldgs &amp; Rooms'!$B$10</f>
        <v>0</v>
      </c>
      <c r="C325" s="10" t="str">
        <f>Hours!$A$29</f>
        <v>Variable Frequency Drives (VFD) &lt; 50 HP</v>
      </c>
      <c r="D325" s="11">
        <f t="shared" si="10"/>
        <v>0</v>
      </c>
      <c r="E325" s="16">
        <f>IF('Components Yr 1'!E325=0,0,'Components Yr 1'!E325)</f>
        <v>0</v>
      </c>
      <c r="F325" s="17">
        <f>IF('Components Yr 1'!F325=0,0,'Components Yr 1'!F325)</f>
        <v>0</v>
      </c>
      <c r="G325" s="17">
        <f>IF('Components Yr 1'!G325=0,0,'Components Yr 1'!G325)</f>
        <v>0</v>
      </c>
      <c r="H325" s="17">
        <f>IF('Components Yr 1'!H325=0,0,'Components Yr 1'!H325)</f>
        <v>0</v>
      </c>
      <c r="I325" s="17">
        <f>IF('Components Yr 1'!I325=0,0,'Components Yr 1'!I325)</f>
        <v>0</v>
      </c>
      <c r="J325" s="17">
        <f>IF('Components Yr 1'!J325=0,0,'Components Yr 1'!J325)</f>
        <v>0</v>
      </c>
      <c r="K325" s="12"/>
      <c r="L325" s="12"/>
      <c r="M325" s="12"/>
      <c r="N325" s="12"/>
      <c r="O325" s="12"/>
      <c r="P325" s="12"/>
      <c r="Q325" s="17"/>
      <c r="R325" s="18">
        <f>IF(SUMPRODUCT((E325:Q325)*1)=0,0,E325*INDEX(Hours!M:M,MATCH(C325,Hours!$A:$A,0))+F325*INDEX(Hours!B:B,MATCH(C325,Hours!$A:$A,0))+G325*INDEX(Hours!C:C,MATCH(C325,Hours!$A:$A,0))+H325*INDEX(Hours!D:D,MATCH(C325,Hours!$A:$A,0))+I325*INDEX(Hours!E:E,MATCH(C325,Hours!$A:$A,0))+J325*INDEX(Hours!F:F,MATCH(C325,Hours!$A:$A,0)))</f>
        <v>0</v>
      </c>
      <c r="S325" s="19">
        <f t="shared" si="11"/>
        <v>0</v>
      </c>
    </row>
    <row r="326" spans="1:19" x14ac:dyDescent="0.25">
      <c r="A326" s="11" t="str">
        <f>'Bldgs &amp; Rooms'!$A$10</f>
        <v>Main Bldg.</v>
      </c>
      <c r="B326" s="11">
        <f>'Bldgs &amp; Rooms'!$B$10</f>
        <v>0</v>
      </c>
      <c r="C326" s="10" t="str">
        <f>Hours!$A$30</f>
        <v>Variable Frequency Drives (VFD) 51-200 HP</v>
      </c>
      <c r="D326" s="11">
        <f t="shared" si="10"/>
        <v>0</v>
      </c>
      <c r="E326" s="16">
        <f>IF('Components Yr 1'!E326=0,0,'Components Yr 1'!E326)</f>
        <v>0</v>
      </c>
      <c r="F326" s="17">
        <f>IF('Components Yr 1'!F326=0,0,'Components Yr 1'!F326)</f>
        <v>0</v>
      </c>
      <c r="G326" s="17">
        <f>IF('Components Yr 1'!G326=0,0,'Components Yr 1'!G326)</f>
        <v>0</v>
      </c>
      <c r="H326" s="17">
        <f>IF('Components Yr 1'!H326=0,0,'Components Yr 1'!H326)</f>
        <v>0</v>
      </c>
      <c r="I326" s="17">
        <f>IF('Components Yr 1'!I326=0,0,'Components Yr 1'!I326)</f>
        <v>0</v>
      </c>
      <c r="J326" s="17">
        <f>IF('Components Yr 1'!J326=0,0,'Components Yr 1'!J326)</f>
        <v>0</v>
      </c>
      <c r="K326" s="12"/>
      <c r="L326" s="12"/>
      <c r="M326" s="12"/>
      <c r="N326" s="12"/>
      <c r="O326" s="12"/>
      <c r="P326" s="12"/>
      <c r="Q326" s="17"/>
      <c r="R326" s="18">
        <f>IF(SUMPRODUCT((E326:Q326)*1)=0,0,E326*INDEX(Hours!M:M,MATCH(C326,Hours!$A:$A,0))+F326*INDEX(Hours!B:B,MATCH(C326,Hours!$A:$A,0))+G326*INDEX(Hours!C:C,MATCH(C326,Hours!$A:$A,0))+H326*INDEX(Hours!D:D,MATCH(C326,Hours!$A:$A,0))+I326*INDEX(Hours!E:E,MATCH(C326,Hours!$A:$A,0))+J326*INDEX(Hours!F:F,MATCH(C326,Hours!$A:$A,0)))</f>
        <v>0</v>
      </c>
      <c r="S326" s="19">
        <f t="shared" si="11"/>
        <v>0</v>
      </c>
    </row>
    <row r="327" spans="1:19" x14ac:dyDescent="0.25">
      <c r="A327" s="11" t="str">
        <f>'Bldgs &amp; Rooms'!$A$10</f>
        <v>Main Bldg.</v>
      </c>
      <c r="B327" s="11">
        <f>'Bldgs &amp; Rooms'!$B$10</f>
        <v>0</v>
      </c>
      <c r="C327" s="10" t="str">
        <f>Hours!$A$31</f>
        <v>Motors &lt; 50 HP</v>
      </c>
      <c r="D327" s="11">
        <f t="shared" si="10"/>
        <v>0</v>
      </c>
      <c r="E327" s="16">
        <f>IF('Components Yr 1'!E327=0,0,'Components Yr 1'!E327)</f>
        <v>0</v>
      </c>
      <c r="F327" s="17">
        <f>IF('Components Yr 1'!F327=0,0,'Components Yr 1'!F327)</f>
        <v>0</v>
      </c>
      <c r="G327" s="17">
        <f>IF('Components Yr 1'!G327=0,0,'Components Yr 1'!G327)</f>
        <v>0</v>
      </c>
      <c r="H327" s="17">
        <f>IF('Components Yr 1'!H327=0,0,'Components Yr 1'!H327)</f>
        <v>0</v>
      </c>
      <c r="I327" s="17">
        <f>IF('Components Yr 1'!I327=0,0,'Components Yr 1'!I327)</f>
        <v>0</v>
      </c>
      <c r="J327" s="17">
        <f>IF('Components Yr 1'!J327=0,0,'Components Yr 1'!J327)</f>
        <v>0</v>
      </c>
      <c r="K327" s="12"/>
      <c r="L327" s="12"/>
      <c r="M327" s="12"/>
      <c r="N327" s="12"/>
      <c r="O327" s="12"/>
      <c r="P327" s="12"/>
      <c r="Q327" s="17"/>
      <c r="R327" s="18">
        <f>IF(SUMPRODUCT((E327:Q327)*1)=0,0,E327*INDEX(Hours!M:M,MATCH(C327,Hours!$A:$A,0))+F327*INDEX(Hours!B:B,MATCH(C327,Hours!$A:$A,0))+G327*INDEX(Hours!C:C,MATCH(C327,Hours!$A:$A,0))+H327*INDEX(Hours!D:D,MATCH(C327,Hours!$A:$A,0))+I327*INDEX(Hours!E:E,MATCH(C327,Hours!$A:$A,0))+J327*INDEX(Hours!F:F,MATCH(C327,Hours!$A:$A,0)))</f>
        <v>0</v>
      </c>
      <c r="S327" s="19">
        <f t="shared" si="11"/>
        <v>0</v>
      </c>
    </row>
    <row r="328" spans="1:19" x14ac:dyDescent="0.25">
      <c r="A328" s="11" t="str">
        <f>'Bldgs &amp; Rooms'!$A$10</f>
        <v>Main Bldg.</v>
      </c>
      <c r="B328" s="11">
        <f>'Bldgs &amp; Rooms'!$B$10</f>
        <v>0</v>
      </c>
      <c r="C328" s="10" t="str">
        <f>Hours!$A$32</f>
        <v>Motors 51-200 HP</v>
      </c>
      <c r="D328" s="11">
        <f t="shared" si="10"/>
        <v>0</v>
      </c>
      <c r="E328" s="16">
        <f>IF('Components Yr 1'!E328=0,0,'Components Yr 1'!E328)</f>
        <v>0</v>
      </c>
      <c r="F328" s="17">
        <f>IF('Components Yr 1'!F328=0,0,'Components Yr 1'!F328)</f>
        <v>0</v>
      </c>
      <c r="G328" s="17">
        <f>IF('Components Yr 1'!G328=0,0,'Components Yr 1'!G328)</f>
        <v>0</v>
      </c>
      <c r="H328" s="17">
        <f>IF('Components Yr 1'!H328=0,0,'Components Yr 1'!H328)</f>
        <v>0</v>
      </c>
      <c r="I328" s="17">
        <f>IF('Components Yr 1'!I328=0,0,'Components Yr 1'!I328)</f>
        <v>0</v>
      </c>
      <c r="J328" s="17">
        <f>IF('Components Yr 1'!J328=0,0,'Components Yr 1'!J328)</f>
        <v>0</v>
      </c>
      <c r="K328" s="12"/>
      <c r="L328" s="12"/>
      <c r="M328" s="12"/>
      <c r="N328" s="12"/>
      <c r="O328" s="12"/>
      <c r="P328" s="12"/>
      <c r="Q328" s="17"/>
      <c r="R328" s="18">
        <f>IF(SUMPRODUCT((E328:Q328)*1)=0,0,E328*INDEX(Hours!M:M,MATCH(C328,Hours!$A:$A,0))+F328*INDEX(Hours!B:B,MATCH(C328,Hours!$A:$A,0))+G328*INDEX(Hours!C:C,MATCH(C328,Hours!$A:$A,0))+H328*INDEX(Hours!D:D,MATCH(C328,Hours!$A:$A,0))+I328*INDEX(Hours!E:E,MATCH(C328,Hours!$A:$A,0))+J328*INDEX(Hours!F:F,MATCH(C328,Hours!$A:$A,0)))</f>
        <v>0</v>
      </c>
      <c r="S328" s="19">
        <f t="shared" si="11"/>
        <v>0</v>
      </c>
    </row>
    <row r="329" spans="1:19" x14ac:dyDescent="0.25">
      <c r="A329" s="11" t="str">
        <f>'Bldgs &amp; Rooms'!$A$10</f>
        <v>Main Bldg.</v>
      </c>
      <c r="B329" s="11">
        <f>'Bldgs &amp; Rooms'!$B$10</f>
        <v>0</v>
      </c>
      <c r="C329" s="10" t="str">
        <f>Hours!$A$33</f>
        <v>Motors 201-500 HP</v>
      </c>
      <c r="D329" s="11">
        <f t="shared" si="10"/>
        <v>0</v>
      </c>
      <c r="E329" s="16">
        <f>IF('Components Yr 1'!E329=0,0,'Components Yr 1'!E329)</f>
        <v>0</v>
      </c>
      <c r="F329" s="17">
        <f>IF('Components Yr 1'!F329=0,0,'Components Yr 1'!F329)</f>
        <v>0</v>
      </c>
      <c r="G329" s="17">
        <f>IF('Components Yr 1'!G329=0,0,'Components Yr 1'!G329)</f>
        <v>0</v>
      </c>
      <c r="H329" s="17">
        <f>IF('Components Yr 1'!H329=0,0,'Components Yr 1'!H329)</f>
        <v>0</v>
      </c>
      <c r="I329" s="17">
        <f>IF('Components Yr 1'!I329=0,0,'Components Yr 1'!I329)</f>
        <v>0</v>
      </c>
      <c r="J329" s="17">
        <f>IF('Components Yr 1'!J329=0,0,'Components Yr 1'!J329)</f>
        <v>0</v>
      </c>
      <c r="K329" s="12"/>
      <c r="L329" s="12"/>
      <c r="M329" s="12"/>
      <c r="N329" s="12"/>
      <c r="O329" s="12"/>
      <c r="P329" s="12"/>
      <c r="Q329" s="17"/>
      <c r="R329" s="18">
        <f>IF(SUMPRODUCT((E329:Q329)*1)=0,0,E329*INDEX(Hours!M:M,MATCH(C329,Hours!$A:$A,0))+F329*INDEX(Hours!B:B,MATCH(C329,Hours!$A:$A,0))+G329*INDEX(Hours!C:C,MATCH(C329,Hours!$A:$A,0))+H329*INDEX(Hours!D:D,MATCH(C329,Hours!$A:$A,0))+I329*INDEX(Hours!E:E,MATCH(C329,Hours!$A:$A,0))+J329*INDEX(Hours!F:F,MATCH(C329,Hours!$A:$A,0)))</f>
        <v>0</v>
      </c>
      <c r="S329" s="19">
        <f t="shared" si="11"/>
        <v>0</v>
      </c>
    </row>
    <row r="330" spans="1:19" x14ac:dyDescent="0.25">
      <c r="A330" s="11" t="str">
        <f>'Bldgs &amp; Rooms'!$A$10</f>
        <v>Main Bldg.</v>
      </c>
      <c r="B330" s="11">
        <f>'Bldgs &amp; Rooms'!$B$10</f>
        <v>0</v>
      </c>
      <c r="C330" s="10" t="str">
        <f>Hours!$A$34</f>
        <v>Compressed Air Equipment</v>
      </c>
      <c r="D330" s="11">
        <f t="shared" si="10"/>
        <v>0</v>
      </c>
      <c r="E330" s="16">
        <f>IF('Components Yr 1'!E330=0,0,'Components Yr 1'!E330)</f>
        <v>0</v>
      </c>
      <c r="F330" s="17">
        <f>IF('Components Yr 1'!F330=0,0,'Components Yr 1'!F330)</f>
        <v>0</v>
      </c>
      <c r="G330" s="17">
        <f>IF('Components Yr 1'!G330=0,0,'Components Yr 1'!G330)</f>
        <v>0</v>
      </c>
      <c r="H330" s="17">
        <f>IF('Components Yr 1'!H330=0,0,'Components Yr 1'!H330)</f>
        <v>0</v>
      </c>
      <c r="I330" s="17">
        <f>IF('Components Yr 1'!I330=0,0,'Components Yr 1'!I330)</f>
        <v>0</v>
      </c>
      <c r="J330" s="17">
        <f>IF('Components Yr 1'!J330=0,0,'Components Yr 1'!J330)</f>
        <v>0</v>
      </c>
      <c r="K330" s="12"/>
      <c r="L330" s="12"/>
      <c r="M330" s="12"/>
      <c r="N330" s="12"/>
      <c r="O330" s="12"/>
      <c r="P330" s="12"/>
      <c r="Q330" s="17"/>
      <c r="R330" s="18">
        <f>IF(SUMPRODUCT((E330:Q330)*1)=0,0,E330*INDEX(Hours!M:M,MATCH(C330,Hours!$A:$A,0))+F330*INDEX(Hours!B:B,MATCH(C330,Hours!$A:$A,0))+G330*INDEX(Hours!C:C,MATCH(C330,Hours!$A:$A,0))+H330*INDEX(Hours!D:D,MATCH(C330,Hours!$A:$A,0))+I330*INDEX(Hours!E:E,MATCH(C330,Hours!$A:$A,0))+J330*INDEX(Hours!F:F,MATCH(C330,Hours!$A:$A,0)))</f>
        <v>0</v>
      </c>
      <c r="S330" s="19">
        <f t="shared" si="11"/>
        <v>0</v>
      </c>
    </row>
    <row r="331" spans="1:19" x14ac:dyDescent="0.25">
      <c r="A331" s="11" t="str">
        <f>'Bldgs &amp; Rooms'!$A$10</f>
        <v>Main Bldg.</v>
      </c>
      <c r="B331" s="11">
        <f>'Bldgs &amp; Rooms'!$B$10</f>
        <v>0</v>
      </c>
      <c r="C331" s="10" t="str">
        <f>Hours!$A$35</f>
        <v>HVAC Equipment (Large)</v>
      </c>
      <c r="D331" s="11">
        <f t="shared" si="10"/>
        <v>0</v>
      </c>
      <c r="E331" s="16">
        <f>IF('Components Yr 1'!E331=0,0,'Components Yr 1'!E331)</f>
        <v>0</v>
      </c>
      <c r="F331" s="17">
        <f>IF('Components Yr 1'!F331=0,0,'Components Yr 1'!F331)</f>
        <v>0</v>
      </c>
      <c r="G331" s="17">
        <f>IF('Components Yr 1'!G331=0,0,'Components Yr 1'!G331)</f>
        <v>0</v>
      </c>
      <c r="H331" s="17">
        <f>IF('Components Yr 1'!H331=0,0,'Components Yr 1'!H331)</f>
        <v>0</v>
      </c>
      <c r="I331" s="17">
        <f>IF('Components Yr 1'!I331=0,0,'Components Yr 1'!I331)</f>
        <v>0</v>
      </c>
      <c r="J331" s="17">
        <f>IF('Components Yr 1'!J331=0,0,'Components Yr 1'!J331)</f>
        <v>0</v>
      </c>
      <c r="K331" s="12"/>
      <c r="L331" s="12"/>
      <c r="M331" s="12"/>
      <c r="N331" s="12"/>
      <c r="O331" s="12"/>
      <c r="P331" s="12"/>
      <c r="Q331" s="17"/>
      <c r="R331" s="18">
        <f>IF(SUMPRODUCT((E331:Q331)*1)=0,0,E331*INDEX(Hours!M:M,MATCH(C331,Hours!$A:$A,0))+F331*INDEX(Hours!B:B,MATCH(C331,Hours!$A:$A,0))+G331*INDEX(Hours!C:C,MATCH(C331,Hours!$A:$A,0))+H331*INDEX(Hours!D:D,MATCH(C331,Hours!$A:$A,0))+I331*INDEX(Hours!E:E,MATCH(C331,Hours!$A:$A,0))+J331*INDEX(Hours!F:F,MATCH(C331,Hours!$A:$A,0)))</f>
        <v>0</v>
      </c>
      <c r="S331" s="19">
        <f t="shared" si="11"/>
        <v>0</v>
      </c>
    </row>
    <row r="332" spans="1:19" x14ac:dyDescent="0.25">
      <c r="A332" s="11" t="str">
        <f>'Bldgs &amp; Rooms'!$A$10</f>
        <v>Main Bldg.</v>
      </c>
      <c r="B332" s="11">
        <f>'Bldgs &amp; Rooms'!$B$10</f>
        <v>0</v>
      </c>
      <c r="C332" s="10" t="str">
        <f>Hours!$A$36</f>
        <v>HVAC Equipment (Small)</v>
      </c>
      <c r="D332" s="11">
        <f t="shared" si="10"/>
        <v>0</v>
      </c>
      <c r="E332" s="16">
        <f>IF('Components Yr 1'!E332=0,0,'Components Yr 1'!E332)</f>
        <v>0</v>
      </c>
      <c r="F332" s="17">
        <f>IF('Components Yr 1'!F332=0,0,'Components Yr 1'!F332)</f>
        <v>0</v>
      </c>
      <c r="G332" s="17">
        <f>IF('Components Yr 1'!G332=0,0,'Components Yr 1'!G332)</f>
        <v>0</v>
      </c>
      <c r="H332" s="17">
        <f>IF('Components Yr 1'!H332=0,0,'Components Yr 1'!H332)</f>
        <v>0</v>
      </c>
      <c r="I332" s="17">
        <f>IF('Components Yr 1'!I332=0,0,'Components Yr 1'!I332)</f>
        <v>0</v>
      </c>
      <c r="J332" s="17">
        <f>IF('Components Yr 1'!J332=0,0,'Components Yr 1'!J332)</f>
        <v>0</v>
      </c>
      <c r="K332" s="12"/>
      <c r="L332" s="12"/>
      <c r="M332" s="12"/>
      <c r="N332" s="12"/>
      <c r="O332" s="12"/>
      <c r="P332" s="12"/>
      <c r="Q332" s="17"/>
      <c r="R332" s="18">
        <f>IF(SUMPRODUCT((E332:Q332)*1)=0,0,E332*INDEX(Hours!M:M,MATCH(C332,Hours!$A:$A,0))+F332*INDEX(Hours!B:B,MATCH(C332,Hours!$A:$A,0))+G332*INDEX(Hours!C:C,MATCH(C332,Hours!$A:$A,0))+H332*INDEX(Hours!D:D,MATCH(C332,Hours!$A:$A,0))+I332*INDEX(Hours!E:E,MATCH(C332,Hours!$A:$A,0))+J332*INDEX(Hours!F:F,MATCH(C332,Hours!$A:$A,0)))</f>
        <v>0</v>
      </c>
      <c r="S332" s="19">
        <f t="shared" si="11"/>
        <v>0</v>
      </c>
    </row>
    <row r="333" spans="1:19" x14ac:dyDescent="0.25">
      <c r="A333" s="11" t="str">
        <f>'Bldgs &amp; Rooms'!$A$10</f>
        <v>Main Bldg.</v>
      </c>
      <c r="B333" s="11">
        <f>'Bldgs &amp; Rooms'!$B$10</f>
        <v>0</v>
      </c>
      <c r="C333" s="10" t="str">
        <f>Hours!$A$37</f>
        <v>Uninterruptible Power Supply (UPS) &lt; 50kVA</v>
      </c>
      <c r="D333" s="11">
        <f t="shared" si="10"/>
        <v>0</v>
      </c>
      <c r="E333" s="16">
        <f>IF('Components Yr 1'!E333=0,0,'Components Yr 1'!E333)</f>
        <v>0</v>
      </c>
      <c r="F333" s="17">
        <f>IF('Components Yr 1'!F333=0,0,'Components Yr 1'!F333)</f>
        <v>0</v>
      </c>
      <c r="G333" s="17">
        <f>IF('Components Yr 1'!G333=0,0,'Components Yr 1'!G333)</f>
        <v>0</v>
      </c>
      <c r="H333" s="17">
        <f>IF('Components Yr 1'!H333=0,0,'Components Yr 1'!H333)</f>
        <v>0</v>
      </c>
      <c r="I333" s="17">
        <f>IF('Components Yr 1'!I333=0,0,'Components Yr 1'!I333)</f>
        <v>0</v>
      </c>
      <c r="J333" s="17">
        <f>IF('Components Yr 1'!J333=0,0,'Components Yr 1'!J333)</f>
        <v>0</v>
      </c>
      <c r="K333" s="12"/>
      <c r="L333" s="12"/>
      <c r="M333" s="12"/>
      <c r="N333" s="12"/>
      <c r="O333" s="12"/>
      <c r="P333" s="12"/>
      <c r="Q333" s="17"/>
      <c r="R333" s="18">
        <f>IF(SUMPRODUCT((E333:Q333)*1)=0,0,E333*INDEX(Hours!M:M,MATCH(C333,Hours!$A:$A,0))+F333*INDEX(Hours!B:B,MATCH(C333,Hours!$A:$A,0))+G333*INDEX(Hours!C:C,MATCH(C333,Hours!$A:$A,0))+H333*INDEX(Hours!D:D,MATCH(C333,Hours!$A:$A,0))+I333*INDEX(Hours!E:E,MATCH(C333,Hours!$A:$A,0))+J333*INDEX(Hours!F:F,MATCH(C333,Hours!$A:$A,0)))</f>
        <v>0</v>
      </c>
      <c r="S333" s="19">
        <f t="shared" si="11"/>
        <v>0</v>
      </c>
    </row>
    <row r="334" spans="1:19" x14ac:dyDescent="0.25">
      <c r="A334" s="11" t="str">
        <f>'Bldgs &amp; Rooms'!$A$10</f>
        <v>Main Bldg.</v>
      </c>
      <c r="B334" s="11">
        <f>'Bldgs &amp; Rooms'!$B$10</f>
        <v>0</v>
      </c>
      <c r="C334" s="10" t="str">
        <f>Hours!$A$38</f>
        <v>Uninterruptible Power Supply (UPS) &gt; 50kVA</v>
      </c>
      <c r="D334" s="11">
        <f t="shared" si="10"/>
        <v>0</v>
      </c>
      <c r="E334" s="16">
        <f>IF('Components Yr 1'!E334=0,0,'Components Yr 1'!E334)</f>
        <v>0</v>
      </c>
      <c r="F334" s="17">
        <f>IF('Components Yr 1'!F334=0,0,'Components Yr 1'!F334)</f>
        <v>0</v>
      </c>
      <c r="G334" s="17">
        <f>IF('Components Yr 1'!G334=0,0,'Components Yr 1'!G334)</f>
        <v>0</v>
      </c>
      <c r="H334" s="17">
        <f>IF('Components Yr 1'!H334=0,0,'Components Yr 1'!H334)</f>
        <v>0</v>
      </c>
      <c r="I334" s="17">
        <f>IF('Components Yr 1'!I334=0,0,'Components Yr 1'!I334)</f>
        <v>0</v>
      </c>
      <c r="J334" s="17">
        <f>IF('Components Yr 1'!J334=0,0,'Components Yr 1'!J334)</f>
        <v>0</v>
      </c>
      <c r="K334" s="12"/>
      <c r="L334" s="12"/>
      <c r="M334" s="12"/>
      <c r="N334" s="12"/>
      <c r="O334" s="12"/>
      <c r="P334" s="12"/>
      <c r="Q334" s="17"/>
      <c r="R334" s="18">
        <f>IF(SUMPRODUCT((E334:Q334)*1)=0,0,E334*INDEX(Hours!M:M,MATCH(C334,Hours!$A:$A,0))+F334*INDEX(Hours!B:B,MATCH(C334,Hours!$A:$A,0))+G334*INDEX(Hours!C:C,MATCH(C334,Hours!$A:$A,0))+H334*INDEX(Hours!D:D,MATCH(C334,Hours!$A:$A,0))+I334*INDEX(Hours!E:E,MATCH(C334,Hours!$A:$A,0))+J334*INDEX(Hours!F:F,MATCH(C334,Hours!$A:$A,0)))</f>
        <v>0</v>
      </c>
      <c r="S334" s="19">
        <f t="shared" si="11"/>
        <v>0</v>
      </c>
    </row>
    <row r="335" spans="1:19" x14ac:dyDescent="0.25">
      <c r="A335" s="15" t="str">
        <f>'Bldgs &amp; Rooms'!$A$11</f>
        <v>Main Bldg.</v>
      </c>
      <c r="B335" s="15">
        <f>'Bldgs &amp; Rooms'!$B$11</f>
        <v>0</v>
      </c>
      <c r="C335" s="14" t="str">
        <f>Hours!$A$2</f>
        <v>Switchgear - Incoming Main Service (Per Section)</v>
      </c>
      <c r="D335" s="15">
        <f t="shared" si="10"/>
        <v>0</v>
      </c>
      <c r="E335" s="16">
        <f>IF('Components Yr 1'!E335=0,0,'Components Yr 1'!E335)</f>
        <v>0</v>
      </c>
      <c r="F335" s="17">
        <f>IF('Components Yr 1'!F335=0,0,'Components Yr 1'!F335)</f>
        <v>0</v>
      </c>
      <c r="G335" s="17">
        <f>IF('Components Yr 1'!G335=0,0,'Components Yr 1'!G335)</f>
        <v>0</v>
      </c>
      <c r="H335" s="17">
        <f>IF('Components Yr 1'!H335=0,0,'Components Yr 1'!H335)</f>
        <v>0</v>
      </c>
      <c r="I335" s="17">
        <f>IF('Components Yr 1'!I335=0,0,'Components Yr 1'!I335)</f>
        <v>0</v>
      </c>
      <c r="J335" s="17">
        <f>IF('Components Yr 1'!J335=0,0,'Components Yr 1'!J335)</f>
        <v>0</v>
      </c>
      <c r="K335" s="17">
        <f>IF('Components Yr 1'!K335=0,0,'Components Yr 1'!K335)</f>
        <v>0</v>
      </c>
      <c r="L335" s="17">
        <f>IF('Components Yr 1'!L335=0,0,'Components Yr 1'!L335)</f>
        <v>0</v>
      </c>
      <c r="M335" s="12"/>
      <c r="N335" s="12"/>
      <c r="O335" s="17">
        <f>IF('Components Yr 1'!O335=0,0,'Components Yr 1'!O335)</f>
        <v>0</v>
      </c>
      <c r="P335" s="12"/>
      <c r="Q335" s="17"/>
      <c r="R335" s="18">
        <f>IF(SUMPRODUCT((E335:Q335)*1)=0,0,E335*INDEX(Hours!M:M,MATCH(C335,Hours!$A:$A,0))+F335*INDEX(Hours!B:B,MATCH(C335,Hours!$A:$A,0))+G335*INDEX(Hours!C:C,MATCH(C335,Hours!$A:$A,0))+H335*INDEX(Hours!D:D,MATCH(C335,Hours!$A:$A,0))+I335*INDEX(Hours!E:E,MATCH(C335,Hours!$A:$A,0))+J335*INDEX(Hours!F:F,MATCH(C335,Hours!$A:$A,0))+K335*INDEX(Hours!G:G,MATCH(C335,Hours!$A:$A,0))+L335*INDEX(Hours!H:H,MATCH(C335,Hours!$A:$A,0))+O335*INDEX(Hours!K:K,MATCH(C335,Hours!$A:$A,0)))</f>
        <v>0</v>
      </c>
      <c r="S335" s="19">
        <f t="shared" si="11"/>
        <v>0</v>
      </c>
    </row>
    <row r="336" spans="1:19" x14ac:dyDescent="0.25">
      <c r="A336" s="15" t="str">
        <f>'Bldgs &amp; Rooms'!$A$11</f>
        <v>Main Bldg.</v>
      </c>
      <c r="B336" s="15">
        <f>'Bldgs &amp; Rooms'!$B$11</f>
        <v>0</v>
      </c>
      <c r="C336" s="14" t="str">
        <f>Hours!$A$3</f>
        <v xml:space="preserve">  Switchgear Insulated Case Breakers (Bus Mounted)</v>
      </c>
      <c r="D336" s="15">
        <f t="shared" si="10"/>
        <v>0</v>
      </c>
      <c r="E336" s="16">
        <f>IF('Components Yr 1'!E336=0,0,'Components Yr 1'!E336)</f>
        <v>0</v>
      </c>
      <c r="F336" s="17">
        <f>IF('Components Yr 1'!F336=0,0,'Components Yr 1'!F336)</f>
        <v>0</v>
      </c>
      <c r="G336" s="17">
        <f>IF('Components Yr 1'!G336=0,0,'Components Yr 1'!G336)</f>
        <v>0</v>
      </c>
      <c r="H336" s="17">
        <f>IF('Components Yr 1'!H336=0,0,'Components Yr 1'!H336)</f>
        <v>0</v>
      </c>
      <c r="I336" s="17">
        <f>IF('Components Yr 1'!I336=0,0,'Components Yr 1'!I336)</f>
        <v>0</v>
      </c>
      <c r="J336" s="17">
        <f>IF('Components Yr 1'!J336=0,0,'Components Yr 1'!J336)</f>
        <v>0</v>
      </c>
      <c r="K336" s="17">
        <f>IF('Components Yr 1'!K336=0,0,'Components Yr 1'!K336)</f>
        <v>0</v>
      </c>
      <c r="L336" s="12"/>
      <c r="M336" s="12"/>
      <c r="N336" s="12"/>
      <c r="O336" s="12"/>
      <c r="P336" s="12"/>
      <c r="Q336" s="17"/>
      <c r="R336" s="18">
        <f>IF(SUMPRODUCT((E336:Q336)*1)=0,0,E336*INDEX(Hours!M:M,MATCH(C336,Hours!$A:$A,0))+F336*INDEX(Hours!B:B,MATCH(C336,Hours!$A:$A,0))+G336*INDEX(Hours!C:C,MATCH(C336,Hours!$A:$A,0))+H336*INDEX(Hours!D:D,MATCH(C336,Hours!$A:$A,0))+I336*INDEX(Hours!E:E,MATCH(C336,Hours!$A:$A,0))+J336*INDEX(Hours!F:F,MATCH(C336,Hours!$A:$A,0))+K336*INDEX(Hours!G:G,MATCH(C336,Hours!$A:$A,0)))</f>
        <v>0</v>
      </c>
      <c r="S336" s="19">
        <f t="shared" si="11"/>
        <v>0</v>
      </c>
    </row>
    <row r="337" spans="1:19" x14ac:dyDescent="0.25">
      <c r="A337" s="15" t="str">
        <f>'Bldgs &amp; Rooms'!$A$11</f>
        <v>Main Bldg.</v>
      </c>
      <c r="B337" s="15">
        <f>'Bldgs &amp; Rooms'!$B$11</f>
        <v>0</v>
      </c>
      <c r="C337" s="14" t="str">
        <f>Hours!$A$4</f>
        <v xml:space="preserve">  SwitchGear Drawout Breakers</v>
      </c>
      <c r="D337" s="15">
        <f t="shared" si="10"/>
        <v>0</v>
      </c>
      <c r="E337" s="16">
        <f>IF('Components Yr 1'!E337=0,0,'Components Yr 1'!E337)</f>
        <v>0</v>
      </c>
      <c r="F337" s="17">
        <f>IF('Components Yr 1'!F337=0,0,'Components Yr 1'!F337)</f>
        <v>0</v>
      </c>
      <c r="G337" s="17">
        <f>IF('Components Yr 1'!G337=0,0,'Components Yr 1'!G337)</f>
        <v>0</v>
      </c>
      <c r="H337" s="17">
        <f>IF('Components Yr 1'!H337=0,0,'Components Yr 1'!H337)</f>
        <v>0</v>
      </c>
      <c r="I337" s="17">
        <f>IF('Components Yr 1'!I337=0,0,'Components Yr 1'!I337)</f>
        <v>0</v>
      </c>
      <c r="J337" s="17">
        <f>IF('Components Yr 1'!J337=0,0,'Components Yr 1'!J337)</f>
        <v>0</v>
      </c>
      <c r="K337" s="12"/>
      <c r="L337" s="17">
        <f>IF('Components Yr 1'!L337=0,0,'Components Yr 1'!L337)</f>
        <v>0</v>
      </c>
      <c r="M337" s="12"/>
      <c r="N337" s="12"/>
      <c r="O337" s="12"/>
      <c r="P337" s="12"/>
      <c r="Q337" s="17"/>
      <c r="R337" s="18">
        <f>IF(SUMPRODUCT((E337:Q337)*1)=0,0,E337*INDEX(Hours!M:M,MATCH(C337,Hours!$A:$A,0))+F337*INDEX(Hours!B:B,MATCH(C337,Hours!$A:$A,0))+G337*INDEX(Hours!C:C,MATCH(C337,Hours!$A:$A,0))+H337*INDEX(Hours!D:D,MATCH(C337,Hours!$A:$A,0))+I337*INDEX(Hours!E:E,MATCH(C337,Hours!$A:$A,0))+J337*INDEX(Hours!F:F,MATCH(C337,Hours!$A:$A,0))+L337*INDEX(Hours!H:H,MATCH(C337,Hours!$A:$A,0)))</f>
        <v>0</v>
      </c>
      <c r="S337" s="19">
        <f t="shared" si="11"/>
        <v>0</v>
      </c>
    </row>
    <row r="338" spans="1:19" x14ac:dyDescent="0.25">
      <c r="A338" s="15" t="str">
        <f>'Bldgs &amp; Rooms'!$A$11</f>
        <v>Main Bldg.</v>
      </c>
      <c r="B338" s="15">
        <f>'Bldgs &amp; Rooms'!$B$11</f>
        <v>0</v>
      </c>
      <c r="C338" s="14" t="str">
        <f>Hours!$A$5</f>
        <v>Distribution Switchboard Multi Cover (Per Section)</v>
      </c>
      <c r="D338" s="15">
        <f t="shared" si="10"/>
        <v>0</v>
      </c>
      <c r="E338" s="16">
        <f>IF('Components Yr 1'!E338=0,0,'Components Yr 1'!E338)</f>
        <v>0</v>
      </c>
      <c r="F338" s="17">
        <f>IF('Components Yr 1'!F338=0,0,'Components Yr 1'!F338)</f>
        <v>0</v>
      </c>
      <c r="G338" s="17">
        <f>IF('Components Yr 1'!G338=0,0,'Components Yr 1'!G338)</f>
        <v>0</v>
      </c>
      <c r="H338" s="17">
        <f>IF('Components Yr 1'!H338=0,0,'Components Yr 1'!H338)</f>
        <v>0</v>
      </c>
      <c r="I338" s="17">
        <f>IF('Components Yr 1'!I338=0,0,'Components Yr 1'!I338)</f>
        <v>0</v>
      </c>
      <c r="J338" s="17">
        <f>IF('Components Yr 1'!J338=0,0,'Components Yr 1'!J338)</f>
        <v>0</v>
      </c>
      <c r="K338" s="17">
        <f>IF('Components Yr 1'!K338=0,0,'Components Yr 1'!K338)</f>
        <v>0</v>
      </c>
      <c r="L338" s="12"/>
      <c r="M338" s="12"/>
      <c r="N338" s="12"/>
      <c r="O338" s="17">
        <f>IF('Components Yr 1'!O338=0,0,'Components Yr 1'!O338)</f>
        <v>0</v>
      </c>
      <c r="P338" s="12"/>
      <c r="Q338" s="17"/>
      <c r="R338" s="18">
        <f>IF(SUMPRODUCT((E338:Q338)*1)=0,0,E338*INDEX(Hours!M:M,MATCH(C338,Hours!$A:$A,0))+F338*INDEX(Hours!B:B,MATCH(C338,Hours!$A:$A,0))+G338*INDEX(Hours!C:C,MATCH(C338,Hours!$A:$A,0))+H338*INDEX(Hours!D:D,MATCH(C338,Hours!$A:$A,0))+I338*INDEX(Hours!E:E,MATCH(C338,Hours!$A:$A,0))+J338*INDEX(Hours!F:F,MATCH(C338,Hours!$A:$A,0))+K338*INDEX(Hours!G:G,MATCH(C338,Hours!$A:$A,0))+O338*INDEX(Hours!K:K,MATCH(C338,Hours!$A:$A,0)))</f>
        <v>0</v>
      </c>
      <c r="S338" s="19">
        <f t="shared" si="11"/>
        <v>0</v>
      </c>
    </row>
    <row r="339" spans="1:19" x14ac:dyDescent="0.25">
      <c r="A339" s="15" t="str">
        <f>'Bldgs &amp; Rooms'!$A$11</f>
        <v>Main Bldg.</v>
      </c>
      <c r="B339" s="15">
        <f>'Bldgs &amp; Rooms'!$B$11</f>
        <v>0</v>
      </c>
      <c r="C339" s="14" t="str">
        <f>Hours!$A$6</f>
        <v xml:space="preserve">  Switchboard Disconnects</v>
      </c>
      <c r="D339" s="15">
        <f t="shared" si="10"/>
        <v>0</v>
      </c>
      <c r="E339" s="16">
        <f>IF('Components Yr 1'!E339=0,0,'Components Yr 1'!E339)</f>
        <v>0</v>
      </c>
      <c r="F339" s="17">
        <f>IF('Components Yr 1'!F339=0,0,'Components Yr 1'!F339)</f>
        <v>0</v>
      </c>
      <c r="G339" s="17">
        <f>IF('Components Yr 1'!G339=0,0,'Components Yr 1'!G339)</f>
        <v>0</v>
      </c>
      <c r="H339" s="17">
        <f>IF('Components Yr 1'!H339=0,0,'Components Yr 1'!H339)</f>
        <v>0</v>
      </c>
      <c r="I339" s="17">
        <f>IF('Components Yr 1'!I339=0,0,'Components Yr 1'!I339)</f>
        <v>0</v>
      </c>
      <c r="J339" s="17">
        <f>IF('Components Yr 1'!J339=0,0,'Components Yr 1'!J339)</f>
        <v>0</v>
      </c>
      <c r="K339" s="12"/>
      <c r="L339" s="12"/>
      <c r="M339" s="12"/>
      <c r="N339" s="12"/>
      <c r="O339" s="12"/>
      <c r="P339" s="12"/>
      <c r="Q339" s="17"/>
      <c r="R339" s="18">
        <f>IF(SUMPRODUCT((E339:Q339)*1)=0,0,E339*INDEX(Hours!M:M,MATCH(C339,Hours!$A:$A,0))+F339*INDEX(Hours!B:B,MATCH(C339,Hours!$A:$A,0))+G339*INDEX(Hours!C:C,MATCH(C339,Hours!$A:$A,0))+H339*INDEX(Hours!D:D,MATCH(C339,Hours!$A:$A,0))+I339*INDEX(Hours!E:E,MATCH(C339,Hours!$A:$A,0))+J339*INDEX(Hours!F:F,MATCH(C339,Hours!$A:$A,0)))</f>
        <v>0</v>
      </c>
      <c r="S339" s="19">
        <f t="shared" si="11"/>
        <v>0</v>
      </c>
    </row>
    <row r="340" spans="1:19" x14ac:dyDescent="0.25">
      <c r="A340" s="15" t="str">
        <f>'Bldgs &amp; Rooms'!$A$11</f>
        <v>Main Bldg.</v>
      </c>
      <c r="B340" s="15">
        <f>'Bldgs &amp; Rooms'!$B$11</f>
        <v>0</v>
      </c>
      <c r="C340" s="14" t="str">
        <f>Hours!$A$7</f>
        <v xml:space="preserve">  Switchboard Molded Case Breakers</v>
      </c>
      <c r="D340" s="15">
        <f t="shared" si="10"/>
        <v>0</v>
      </c>
      <c r="E340" s="16">
        <f>IF('Components Yr 1'!E340=0,0,'Components Yr 1'!E340)</f>
        <v>0</v>
      </c>
      <c r="F340" s="17">
        <f>IF('Components Yr 1'!F340=0,0,'Components Yr 1'!F340)</f>
        <v>0</v>
      </c>
      <c r="G340" s="17">
        <f>IF('Components Yr 1'!G340=0,0,'Components Yr 1'!G340)</f>
        <v>0</v>
      </c>
      <c r="H340" s="17">
        <f>IF('Components Yr 1'!H340=0,0,'Components Yr 1'!H340)</f>
        <v>0</v>
      </c>
      <c r="I340" s="17">
        <f>IF('Components Yr 1'!I340=0,0,'Components Yr 1'!I340)</f>
        <v>0</v>
      </c>
      <c r="J340" s="17">
        <f>IF('Components Yr 1'!J340=0,0,'Components Yr 1'!J340)</f>
        <v>0</v>
      </c>
      <c r="K340" s="17">
        <f>IF('Components Yr 1'!K340=0,0,'Components Yr 1'!K340)</f>
        <v>0</v>
      </c>
      <c r="L340" s="12"/>
      <c r="M340" s="12"/>
      <c r="N340" s="12"/>
      <c r="O340" s="12"/>
      <c r="P340" s="12"/>
      <c r="Q340" s="17"/>
      <c r="R340" s="18">
        <f>IF(SUMPRODUCT((E340:Q340)*1)=0,0,E340*INDEX(Hours!M:M,MATCH(C340,Hours!$A:$A,0))+F340*INDEX(Hours!B:B,MATCH(C340,Hours!$A:$A,0))+G340*INDEX(Hours!C:C,MATCH(C340,Hours!$A:$A,0))+H340*INDEX(Hours!D:D,MATCH(C340,Hours!$A:$A,0))+I340*INDEX(Hours!E:E,MATCH(C340,Hours!$A:$A,0))+J340*INDEX(Hours!F:F,MATCH(C340,Hours!$A:$A,0))+K340*INDEX(Hours!G:G,MATCH(C340,Hours!$A:$A,0)))</f>
        <v>0</v>
      </c>
      <c r="S340" s="19">
        <f t="shared" si="11"/>
        <v>0</v>
      </c>
    </row>
    <row r="341" spans="1:19" x14ac:dyDescent="0.25">
      <c r="A341" s="15" t="str">
        <f>'Bldgs &amp; Rooms'!$A$11</f>
        <v>Main Bldg.</v>
      </c>
      <c r="B341" s="15">
        <f>'Bldgs &amp; Rooms'!$B$11</f>
        <v>0</v>
      </c>
      <c r="C341" s="14" t="str">
        <f>Hours!$A$8</f>
        <v>Panelboard-Single Cover &gt; 400A (Distribution Panel)</v>
      </c>
      <c r="D341" s="15">
        <f t="shared" si="10"/>
        <v>0</v>
      </c>
      <c r="E341" s="16">
        <f>IF('Components Yr 1'!E341=0,0,'Components Yr 1'!E341)</f>
        <v>0</v>
      </c>
      <c r="F341" s="17">
        <f>IF('Components Yr 1'!F341=0,0,'Components Yr 1'!F341)</f>
        <v>0</v>
      </c>
      <c r="G341" s="17">
        <f>IF('Components Yr 1'!G341=0,0,'Components Yr 1'!G341)</f>
        <v>0</v>
      </c>
      <c r="H341" s="17">
        <f>IF('Components Yr 1'!H341=0,0,'Components Yr 1'!H341)</f>
        <v>0</v>
      </c>
      <c r="I341" s="17">
        <f>IF('Components Yr 1'!I341=0,0,'Components Yr 1'!I341)</f>
        <v>0</v>
      </c>
      <c r="J341" s="17">
        <f>IF('Components Yr 1'!J341=0,0,'Components Yr 1'!J341)</f>
        <v>0</v>
      </c>
      <c r="K341" s="17">
        <f>IF('Components Yr 1'!K341=0,0,'Components Yr 1'!K341)</f>
        <v>0</v>
      </c>
      <c r="L341" s="12"/>
      <c r="M341" s="12"/>
      <c r="N341" s="12"/>
      <c r="O341" s="17">
        <f>IF('Components Yr 1'!O341=0,0,'Components Yr 1'!O341)</f>
        <v>0</v>
      </c>
      <c r="P341" s="12"/>
      <c r="Q341" s="17"/>
      <c r="R341" s="18">
        <f>IF(SUMPRODUCT((E341:Q341)*1)=0,0,E341*INDEX(Hours!M:M,MATCH(C341,Hours!$A:$A,0))+F341*INDEX(Hours!B:B,MATCH(C341,Hours!$A:$A,0))+G341*INDEX(Hours!C:C,MATCH(C341,Hours!$A:$A,0))+H341*INDEX(Hours!D:D,MATCH(C341,Hours!$A:$A,0))+I341*INDEX(Hours!E:E,MATCH(C341,Hours!$A:$A,0))+J341*INDEX(Hours!F:F,MATCH(C341,Hours!$A:$A,0))+K341*INDEX(Hours!G:G,MATCH(C341,Hours!$A:$A,0))+O341*INDEX(Hours!K:K,MATCH(C341,Hours!$A:$A,0)))</f>
        <v>0</v>
      </c>
      <c r="S341" s="19">
        <f t="shared" si="11"/>
        <v>0</v>
      </c>
    </row>
    <row r="342" spans="1:19" x14ac:dyDescent="0.25">
      <c r="A342" s="15" t="str">
        <f>'Bldgs &amp; Rooms'!$A$11</f>
        <v>Main Bldg.</v>
      </c>
      <c r="B342" s="15">
        <f>'Bldgs &amp; Rooms'!$B$11</f>
        <v>0</v>
      </c>
      <c r="C342" s="14" t="str">
        <f>Hours!$A$9</f>
        <v>Panelboard-Single Cover &lt; 400A (Branch Ckt Panel)</v>
      </c>
      <c r="D342" s="15">
        <f t="shared" si="10"/>
        <v>0</v>
      </c>
      <c r="E342" s="16">
        <f>IF('Components Yr 1'!E342=0,0,'Components Yr 1'!E342)</f>
        <v>0</v>
      </c>
      <c r="F342" s="17">
        <f>IF('Components Yr 1'!F342=0,0,'Components Yr 1'!F342)</f>
        <v>0</v>
      </c>
      <c r="G342" s="17">
        <f>IF('Components Yr 1'!G342=0,0,'Components Yr 1'!G342)</f>
        <v>0</v>
      </c>
      <c r="H342" s="17">
        <f>IF('Components Yr 1'!H342=0,0,'Components Yr 1'!H342)</f>
        <v>0</v>
      </c>
      <c r="I342" s="17">
        <f>IF('Components Yr 1'!I342=0,0,'Components Yr 1'!I342)</f>
        <v>0</v>
      </c>
      <c r="J342" s="17">
        <f>IF('Components Yr 1'!J342=0,0,'Components Yr 1'!J342)</f>
        <v>0</v>
      </c>
      <c r="K342" s="12"/>
      <c r="L342" s="12"/>
      <c r="M342" s="12"/>
      <c r="N342" s="12"/>
      <c r="O342" s="17">
        <f>IF('Components Yr 1'!O342=0,0,'Components Yr 1'!O342)</f>
        <v>0</v>
      </c>
      <c r="P342" s="12"/>
      <c r="Q342" s="17"/>
      <c r="R342" s="18">
        <f>IF(SUMPRODUCT((E342:Q342)*1)=0,0,E342*INDEX(Hours!M:M,MATCH(C342,Hours!$A:$A,0))+F342*INDEX(Hours!B:B,MATCH(C342,Hours!$A:$A,0))+G342*INDEX(Hours!C:C,MATCH(C342,Hours!$A:$A,0))+H342*INDEX(Hours!D:D,MATCH(C342,Hours!$A:$A,0))+I342*INDEX(Hours!E:E,MATCH(C342,Hours!$A:$A,0))+J342*INDEX(Hours!F:F,MATCH(C342,Hours!$A:$A,0))+O342*INDEX(Hours!K:K,MATCH(C342,Hours!$A:$A,0)))</f>
        <v>0</v>
      </c>
      <c r="S342" s="19">
        <f t="shared" si="11"/>
        <v>0</v>
      </c>
    </row>
    <row r="343" spans="1:19" x14ac:dyDescent="0.25">
      <c r="A343" s="15" t="str">
        <f>'Bldgs &amp; Rooms'!$A$11</f>
        <v>Main Bldg.</v>
      </c>
      <c r="B343" s="15">
        <f>'Bldgs &amp; Rooms'!$B$11</f>
        <v>0</v>
      </c>
      <c r="C343" s="14" t="str">
        <f>Hours!$A$10</f>
        <v>Motor Control Center (MCC-Per Vertical Section)</v>
      </c>
      <c r="D343" s="15">
        <f t="shared" si="10"/>
        <v>0</v>
      </c>
      <c r="E343" s="16">
        <f>IF('Components Yr 1'!E343=0,0,'Components Yr 1'!E343)</f>
        <v>0</v>
      </c>
      <c r="F343" s="17">
        <f>IF('Components Yr 1'!F343=0,0,'Components Yr 1'!F343)</f>
        <v>0</v>
      </c>
      <c r="G343" s="17">
        <f>IF('Components Yr 1'!G343=0,0,'Components Yr 1'!G343)</f>
        <v>0</v>
      </c>
      <c r="H343" s="17">
        <f>IF('Components Yr 1'!H343=0,0,'Components Yr 1'!H343)</f>
        <v>0</v>
      </c>
      <c r="I343" s="17">
        <f>IF('Components Yr 1'!I343=0,0,'Components Yr 1'!I343)</f>
        <v>0</v>
      </c>
      <c r="J343" s="17">
        <f>IF('Components Yr 1'!J343=0,0,'Components Yr 1'!J343)</f>
        <v>0</v>
      </c>
      <c r="K343" s="12"/>
      <c r="L343" s="12"/>
      <c r="M343" s="12"/>
      <c r="N343" s="12"/>
      <c r="O343" s="17">
        <f>IF('Components Yr 1'!O343=0,0,'Components Yr 1'!O343)</f>
        <v>0</v>
      </c>
      <c r="P343" s="12"/>
      <c r="Q343" s="17"/>
      <c r="R343" s="18">
        <f>IF(SUMPRODUCT((E343:Q343)*1)=0,0,E343*INDEX(Hours!M:M,MATCH(C343,Hours!$A:$A,0))+F343*INDEX(Hours!B:B,MATCH(C343,Hours!$A:$A,0))+G343*INDEX(Hours!C:C,MATCH(C343,Hours!$A:$A,0))+H343*INDEX(Hours!D:D,MATCH(C343,Hours!$A:$A,0))+I343*INDEX(Hours!E:E,MATCH(C343,Hours!$A:$A,0))+J343*INDEX(Hours!F:F,MATCH(C343,Hours!$A:$A,0))+O343*INDEX(Hours!K:K,MATCH(C343,Hours!$A:$A,0)))</f>
        <v>0</v>
      </c>
      <c r="S343" s="19">
        <f t="shared" si="11"/>
        <v>0</v>
      </c>
    </row>
    <row r="344" spans="1:19" x14ac:dyDescent="0.25">
      <c r="A344" s="15" t="str">
        <f>'Bldgs &amp; Rooms'!$A$11</f>
        <v>Main Bldg.</v>
      </c>
      <c r="B344" s="15">
        <f>'Bldgs &amp; Rooms'!$B$11</f>
        <v>0</v>
      </c>
      <c r="C344" s="14" t="str">
        <f>Hours!$A$11</f>
        <v xml:space="preserve">  MCC: Combination Motor Starters</v>
      </c>
      <c r="D344" s="15">
        <f t="shared" si="10"/>
        <v>0</v>
      </c>
      <c r="E344" s="16">
        <f>IF('Components Yr 1'!E344=0,0,'Components Yr 1'!E344)</f>
        <v>0</v>
      </c>
      <c r="F344" s="17">
        <f>IF('Components Yr 1'!F344=0,0,'Components Yr 1'!F344)</f>
        <v>0</v>
      </c>
      <c r="G344" s="17">
        <f>IF('Components Yr 1'!G344=0,0,'Components Yr 1'!G344)</f>
        <v>0</v>
      </c>
      <c r="H344" s="17">
        <f>IF('Components Yr 1'!H344=0,0,'Components Yr 1'!H344)</f>
        <v>0</v>
      </c>
      <c r="I344" s="17">
        <f>IF('Components Yr 1'!I344=0,0,'Components Yr 1'!I344)</f>
        <v>0</v>
      </c>
      <c r="J344" s="17">
        <f>IF('Components Yr 1'!J344=0,0,'Components Yr 1'!J344)</f>
        <v>0</v>
      </c>
      <c r="K344" s="17">
        <f>IF('Components Yr 1'!K344=0,0,'Components Yr 1'!K344)</f>
        <v>0</v>
      </c>
      <c r="L344" s="12"/>
      <c r="M344" s="12"/>
      <c r="N344" s="12"/>
      <c r="O344" s="17">
        <f>IF('Components Yr 1'!O344=0,0,'Components Yr 1'!O344)</f>
        <v>0</v>
      </c>
      <c r="P344" s="12"/>
      <c r="Q344" s="17"/>
      <c r="R344" s="18">
        <f>IF(SUMPRODUCT((E344:Q344)*1)=0,0,E344*INDEX(Hours!M:M,MATCH(C344,Hours!$A:$A,0))+F344*INDEX(Hours!B:B,MATCH(C344,Hours!$A:$A,0))+G344*INDEX(Hours!C:C,MATCH(C344,Hours!$A:$A,0))+H344*INDEX(Hours!D:D,MATCH(C344,Hours!$A:$A,0))+I344*INDEX(Hours!E:E,MATCH(C344,Hours!$A:$A,0))+J344*INDEX(Hours!F:F,MATCH(C344,Hours!$A:$A,0))+K344*INDEX(Hours!G:G,MATCH(C344,Hours!$A:$A,0))+O344*INDEX(Hours!K:K,MATCH(C344,Hours!$A:$A,0)))</f>
        <v>0</v>
      </c>
      <c r="S344" s="19">
        <f t="shared" si="11"/>
        <v>0</v>
      </c>
    </row>
    <row r="345" spans="1:19" x14ac:dyDescent="0.25">
      <c r="A345" s="15" t="str">
        <f>'Bldgs &amp; Rooms'!$A$11</f>
        <v>Main Bldg.</v>
      </c>
      <c r="B345" s="15">
        <f>'Bldgs &amp; Rooms'!$B$11</f>
        <v>0</v>
      </c>
      <c r="C345" s="14" t="str">
        <f>Hours!$A$12</f>
        <v xml:space="preserve">  MCC: Molded Case Breaker</v>
      </c>
      <c r="D345" s="15">
        <f t="shared" si="10"/>
        <v>0</v>
      </c>
      <c r="E345" s="16">
        <f>IF('Components Yr 1'!E345=0,0,'Components Yr 1'!E345)</f>
        <v>0</v>
      </c>
      <c r="F345" s="17">
        <f>IF('Components Yr 1'!F345=0,0,'Components Yr 1'!F345)</f>
        <v>0</v>
      </c>
      <c r="G345" s="17">
        <f>IF('Components Yr 1'!G345=0,0,'Components Yr 1'!G345)</f>
        <v>0</v>
      </c>
      <c r="H345" s="17">
        <f>IF('Components Yr 1'!H345=0,0,'Components Yr 1'!H345)</f>
        <v>0</v>
      </c>
      <c r="I345" s="17">
        <f>IF('Components Yr 1'!I345=0,0,'Components Yr 1'!I345)</f>
        <v>0</v>
      </c>
      <c r="J345" s="17">
        <f>IF('Components Yr 1'!J345=0,0,'Components Yr 1'!J345)</f>
        <v>0</v>
      </c>
      <c r="K345" s="17">
        <f>IF('Components Yr 1'!K345=0,0,'Components Yr 1'!K345)</f>
        <v>0</v>
      </c>
      <c r="L345" s="12"/>
      <c r="M345" s="12"/>
      <c r="N345" s="12"/>
      <c r="O345" s="12"/>
      <c r="P345" s="12"/>
      <c r="Q345" s="17"/>
      <c r="R345" s="18">
        <f>IF(SUMPRODUCT((E345:Q345)*1)=0,0,E345*INDEX(Hours!M:M,MATCH(C345,Hours!$A:$A,0))+F345*INDEX(Hours!B:B,MATCH(C345,Hours!$A:$A,0))+G345*INDEX(Hours!C:C,MATCH(C345,Hours!$A:$A,0))+H345*INDEX(Hours!D:D,MATCH(C345,Hours!$A:$A,0))+I345*INDEX(Hours!E:E,MATCH(C345,Hours!$A:$A,0))+J345*INDEX(Hours!F:F,MATCH(C345,Hours!$A:$A,0))+K345*INDEX(Hours!G:G,MATCH(C345,Hours!$A:$A,0)))</f>
        <v>0</v>
      </c>
      <c r="S345" s="19">
        <f t="shared" si="11"/>
        <v>0</v>
      </c>
    </row>
    <row r="346" spans="1:19" x14ac:dyDescent="0.25">
      <c r="A346" s="15" t="str">
        <f>'Bldgs &amp; Rooms'!$A$11</f>
        <v>Main Bldg.</v>
      </c>
      <c r="B346" s="15">
        <f>'Bldgs &amp; Rooms'!$B$11</f>
        <v>0</v>
      </c>
      <c r="C346" s="14" t="str">
        <f>Hours!$A$13</f>
        <v xml:space="preserve">  MCC: Individual Disconnect Switch</v>
      </c>
      <c r="D346" s="15">
        <f t="shared" si="10"/>
        <v>0</v>
      </c>
      <c r="E346" s="16">
        <f>IF('Components Yr 1'!E346=0,0,'Components Yr 1'!E346)</f>
        <v>0</v>
      </c>
      <c r="F346" s="17">
        <f>IF('Components Yr 1'!F346=0,0,'Components Yr 1'!F346)</f>
        <v>0</v>
      </c>
      <c r="G346" s="17">
        <f>IF('Components Yr 1'!G346=0,0,'Components Yr 1'!G346)</f>
        <v>0</v>
      </c>
      <c r="H346" s="17">
        <f>IF('Components Yr 1'!H346=0,0,'Components Yr 1'!H346)</f>
        <v>0</v>
      </c>
      <c r="I346" s="17">
        <f>IF('Components Yr 1'!I346=0,0,'Components Yr 1'!I346)</f>
        <v>0</v>
      </c>
      <c r="J346" s="17">
        <f>IF('Components Yr 1'!J346=0,0,'Components Yr 1'!J346)</f>
        <v>0</v>
      </c>
      <c r="K346" s="12"/>
      <c r="L346" s="12"/>
      <c r="M346" s="12"/>
      <c r="N346" s="12"/>
      <c r="O346" s="12"/>
      <c r="P346" s="12"/>
      <c r="Q346" s="17"/>
      <c r="R346" s="18">
        <f>IF(SUMPRODUCT((E346:Q346)*1)=0,0,E346*INDEX(Hours!M:M,MATCH(C346,Hours!$A:$A,0))+F346*INDEX(Hours!B:B,MATCH(C346,Hours!$A:$A,0))+G346*INDEX(Hours!C:C,MATCH(C346,Hours!$A:$A,0))+H346*INDEX(Hours!D:D,MATCH(C346,Hours!$A:$A,0))+I346*INDEX(Hours!E:E,MATCH(C346,Hours!$A:$A,0))+J346*INDEX(Hours!F:F,MATCH(C346,Hours!$A:$A,0)))</f>
        <v>0</v>
      </c>
      <c r="S346" s="19">
        <f t="shared" si="11"/>
        <v>0</v>
      </c>
    </row>
    <row r="347" spans="1:19" x14ac:dyDescent="0.25">
      <c r="A347" s="15" t="str">
        <f>'Bldgs &amp; Rooms'!$A$11</f>
        <v>Main Bldg.</v>
      </c>
      <c r="B347" s="15">
        <f>'Bldgs &amp; Rooms'!$B$11</f>
        <v>0</v>
      </c>
      <c r="C347" s="14" t="str">
        <f>Hours!$A$14</f>
        <v>Motor Control Panel (MCP)</v>
      </c>
      <c r="D347" s="15">
        <f t="shared" si="10"/>
        <v>0</v>
      </c>
      <c r="E347" s="16">
        <f>IF('Components Yr 1'!E347=0,0,'Components Yr 1'!E347)</f>
        <v>0</v>
      </c>
      <c r="F347" s="17">
        <f>IF('Components Yr 1'!F347=0,0,'Components Yr 1'!F347)</f>
        <v>0</v>
      </c>
      <c r="G347" s="17">
        <f>IF('Components Yr 1'!G347=0,0,'Components Yr 1'!G347)</f>
        <v>0</v>
      </c>
      <c r="H347" s="17">
        <f>IF('Components Yr 1'!H347=0,0,'Components Yr 1'!H347)</f>
        <v>0</v>
      </c>
      <c r="I347" s="17">
        <f>IF('Components Yr 1'!I347=0,0,'Components Yr 1'!I347)</f>
        <v>0</v>
      </c>
      <c r="J347" s="17">
        <f>IF('Components Yr 1'!J347=0,0,'Components Yr 1'!J347)</f>
        <v>0</v>
      </c>
      <c r="K347" s="12"/>
      <c r="L347" s="12"/>
      <c r="M347" s="12"/>
      <c r="N347" s="12"/>
      <c r="O347" s="17">
        <f>IF('Components Yr 1'!O347=0,0,'Components Yr 1'!O347)</f>
        <v>0</v>
      </c>
      <c r="P347" s="12"/>
      <c r="Q347" s="17"/>
      <c r="R347" s="18">
        <f>IF(SUMPRODUCT((E347:Q347)*1)=0,0,E347*INDEX(Hours!M:M,MATCH(C347,Hours!$A:$A,0))+F347*INDEX(Hours!B:B,MATCH(C347,Hours!$A:$A,0))+G347*INDEX(Hours!C:C,MATCH(C347,Hours!$A:$A,0))+H347*INDEX(Hours!D:D,MATCH(C347,Hours!$A:$A,0))+I347*INDEX(Hours!E:E,MATCH(C347,Hours!$A:$A,0))+J347*INDEX(Hours!F:F,MATCH(C347,Hours!$A:$A,0))+O347*INDEX(Hours!K:K,MATCH(C347,Hours!$A:$A,0)))</f>
        <v>0</v>
      </c>
      <c r="S347" s="19">
        <f t="shared" si="11"/>
        <v>0</v>
      </c>
    </row>
    <row r="348" spans="1:19" x14ac:dyDescent="0.25">
      <c r="A348" s="15" t="str">
        <f>'Bldgs &amp; Rooms'!$A$11</f>
        <v>Main Bldg.</v>
      </c>
      <c r="B348" s="15">
        <f>'Bldgs &amp; Rooms'!$B$11</f>
        <v>0</v>
      </c>
      <c r="C348" s="14" t="str">
        <f>Hours!$A$15</f>
        <v>VFD Motor Control Panel (VFD-MCP)</v>
      </c>
      <c r="D348" s="15">
        <f t="shared" si="10"/>
        <v>0</v>
      </c>
      <c r="E348" s="16">
        <f>IF('Components Yr 1'!E348=0,0,'Components Yr 1'!E348)</f>
        <v>0</v>
      </c>
      <c r="F348" s="17">
        <f>IF('Components Yr 1'!F348=0,0,'Components Yr 1'!F348)</f>
        <v>0</v>
      </c>
      <c r="G348" s="17">
        <f>IF('Components Yr 1'!G348=0,0,'Components Yr 1'!G348)</f>
        <v>0</v>
      </c>
      <c r="H348" s="17">
        <f>IF('Components Yr 1'!H348=0,0,'Components Yr 1'!H348)</f>
        <v>0</v>
      </c>
      <c r="I348" s="17">
        <f>IF('Components Yr 1'!I348=0,0,'Components Yr 1'!I348)</f>
        <v>0</v>
      </c>
      <c r="J348" s="17">
        <f>IF('Components Yr 1'!J348=0,0,'Components Yr 1'!J348)</f>
        <v>0</v>
      </c>
      <c r="K348" s="12"/>
      <c r="L348" s="12"/>
      <c r="M348" s="12"/>
      <c r="N348" s="12"/>
      <c r="O348" s="17">
        <f>IF('Components Yr 1'!O348=0,0,'Components Yr 1'!O348)</f>
        <v>0</v>
      </c>
      <c r="P348" s="12"/>
      <c r="Q348" s="17"/>
      <c r="R348" s="18">
        <f>IF(SUMPRODUCT((E348:Q348)*1)=0,0,E348*INDEX(Hours!M:M,MATCH(C348,Hours!$A:$A,0))+F348*INDEX(Hours!B:B,MATCH(C348,Hours!$A:$A,0))+G348*INDEX(Hours!C:C,MATCH(C348,Hours!$A:$A,0))+H348*INDEX(Hours!D:D,MATCH(C348,Hours!$A:$A,0))+I348*INDEX(Hours!E:E,MATCH(C348,Hours!$A:$A,0))+J348*INDEX(Hours!F:F,MATCH(C348,Hours!$A:$A,0))+O348*INDEX(Hours!K:K,MATCH(C348,Hours!$A:$A,0)))</f>
        <v>0</v>
      </c>
      <c r="S348" s="19">
        <f t="shared" si="11"/>
        <v>0</v>
      </c>
    </row>
    <row r="349" spans="1:19" x14ac:dyDescent="0.25">
      <c r="A349" s="15" t="str">
        <f>'Bldgs &amp; Rooms'!$A$11</f>
        <v>Main Bldg.</v>
      </c>
      <c r="B349" s="15">
        <f>'Bldgs &amp; Rooms'!$B$11</f>
        <v>0</v>
      </c>
      <c r="C349" s="14" t="str">
        <f>Hours!$A$16</f>
        <v>Individual Disconnect Switch &gt; 100A</v>
      </c>
      <c r="D349" s="15">
        <f t="shared" si="10"/>
        <v>0</v>
      </c>
      <c r="E349" s="16">
        <f>IF('Components Yr 1'!E349=0,0,'Components Yr 1'!E349)</f>
        <v>0</v>
      </c>
      <c r="F349" s="17">
        <f>IF('Components Yr 1'!F349=0,0,'Components Yr 1'!F349)</f>
        <v>0</v>
      </c>
      <c r="G349" s="17">
        <f>IF('Components Yr 1'!G349=0,0,'Components Yr 1'!G349)</f>
        <v>0</v>
      </c>
      <c r="H349" s="17">
        <f>IF('Components Yr 1'!H349=0,0,'Components Yr 1'!H349)</f>
        <v>0</v>
      </c>
      <c r="I349" s="17">
        <f>IF('Components Yr 1'!I349=0,0,'Components Yr 1'!I349)</f>
        <v>0</v>
      </c>
      <c r="J349" s="17">
        <f>IF('Components Yr 1'!J349=0,0,'Components Yr 1'!J349)</f>
        <v>0</v>
      </c>
      <c r="K349" s="17">
        <f>IF('Components Yr 1'!K349=0,0,'Components Yr 1'!K349)</f>
        <v>0</v>
      </c>
      <c r="L349" s="12"/>
      <c r="M349" s="12"/>
      <c r="N349" s="12"/>
      <c r="O349" s="12"/>
      <c r="P349" s="12"/>
      <c r="Q349" s="17"/>
      <c r="R349" s="18">
        <f>IF(SUMPRODUCT((E349:Q349)*1)=0,0,E349*INDEX(Hours!M:M,MATCH(C349,Hours!$A:$A,0))+F349*INDEX(Hours!B:B,MATCH(C349,Hours!$A:$A,0))+G349*INDEX(Hours!C:C,MATCH(C349,Hours!$A:$A,0))+H349*INDEX(Hours!D:D,MATCH(C349,Hours!$A:$A,0))+I349*INDEX(Hours!E:E,MATCH(C349,Hours!$A:$A,0))+J349*INDEX(Hours!F:F,MATCH(C349,Hours!$A:$A,0))+K349*INDEX(Hours!G:G,MATCH(C349,Hours!$A:$A,0)))</f>
        <v>0</v>
      </c>
      <c r="S349" s="19">
        <f t="shared" si="11"/>
        <v>0</v>
      </c>
    </row>
    <row r="350" spans="1:19" x14ac:dyDescent="0.25">
      <c r="A350" s="15" t="str">
        <f>'Bldgs &amp; Rooms'!$A$11</f>
        <v>Main Bldg.</v>
      </c>
      <c r="B350" s="15">
        <f>'Bldgs &amp; Rooms'!$B$11</f>
        <v>0</v>
      </c>
      <c r="C350" s="14" t="str">
        <f>Hours!$A$17</f>
        <v>Individual Molded Case Breaker &gt; 100A</v>
      </c>
      <c r="D350" s="15">
        <f t="shared" si="10"/>
        <v>0</v>
      </c>
      <c r="E350" s="16">
        <f>IF('Components Yr 1'!E350=0,0,'Components Yr 1'!E350)</f>
        <v>0</v>
      </c>
      <c r="F350" s="17">
        <f>IF('Components Yr 1'!F350=0,0,'Components Yr 1'!F350)</f>
        <v>0</v>
      </c>
      <c r="G350" s="17">
        <f>IF('Components Yr 1'!G350=0,0,'Components Yr 1'!G350)</f>
        <v>0</v>
      </c>
      <c r="H350" s="17">
        <f>IF('Components Yr 1'!H350=0,0,'Components Yr 1'!H350)</f>
        <v>0</v>
      </c>
      <c r="I350" s="17">
        <f>IF('Components Yr 1'!I350=0,0,'Components Yr 1'!I350)</f>
        <v>0</v>
      </c>
      <c r="J350" s="17">
        <f>IF('Components Yr 1'!J350=0,0,'Components Yr 1'!J350)</f>
        <v>0</v>
      </c>
      <c r="K350" s="17">
        <f>IF('Components Yr 1'!K350=0,0,'Components Yr 1'!K350)</f>
        <v>0</v>
      </c>
      <c r="L350" s="12"/>
      <c r="M350" s="12"/>
      <c r="N350" s="12"/>
      <c r="O350" s="12"/>
      <c r="P350" s="12"/>
      <c r="Q350" s="17"/>
      <c r="R350" s="18">
        <f>IF(SUMPRODUCT((E350:Q350)*1)=0,0,E350*INDEX(Hours!M:M,MATCH(C350,Hours!$A:$A,0))+F350*INDEX(Hours!B:B,MATCH(C350,Hours!$A:$A,0))+G350*INDEX(Hours!C:C,MATCH(C350,Hours!$A:$A,0))+H350*INDEX(Hours!D:D,MATCH(C350,Hours!$A:$A,0))+I350*INDEX(Hours!E:E,MATCH(C350,Hours!$A:$A,0))+J350*INDEX(Hours!F:F,MATCH(C350,Hours!$A:$A,0))+K350*INDEX(Hours!G:G,MATCH(C350,Hours!$A:$A,0)))</f>
        <v>0</v>
      </c>
      <c r="S350" s="19">
        <f t="shared" si="11"/>
        <v>0</v>
      </c>
    </row>
    <row r="351" spans="1:19" x14ac:dyDescent="0.25">
      <c r="A351" s="15" t="str">
        <f>'Bldgs &amp; Rooms'!$A$11</f>
        <v>Main Bldg.</v>
      </c>
      <c r="B351" s="15">
        <f>'Bldgs &amp; Rooms'!$B$11</f>
        <v>0</v>
      </c>
      <c r="C351" s="14" t="str">
        <f>Hours!$A$18</f>
        <v>Individual Combination Motor Starter &gt; 100A</v>
      </c>
      <c r="D351" s="15">
        <f t="shared" si="10"/>
        <v>0</v>
      </c>
      <c r="E351" s="16">
        <f>IF('Components Yr 1'!E351=0,0,'Components Yr 1'!E351)</f>
        <v>0</v>
      </c>
      <c r="F351" s="17">
        <f>IF('Components Yr 1'!F351=0,0,'Components Yr 1'!F351)</f>
        <v>0</v>
      </c>
      <c r="G351" s="17">
        <f>IF('Components Yr 1'!G351=0,0,'Components Yr 1'!G351)</f>
        <v>0</v>
      </c>
      <c r="H351" s="17">
        <f>IF('Components Yr 1'!H351=0,0,'Components Yr 1'!H351)</f>
        <v>0</v>
      </c>
      <c r="I351" s="17">
        <f>IF('Components Yr 1'!I351=0,0,'Components Yr 1'!I351)</f>
        <v>0</v>
      </c>
      <c r="J351" s="17">
        <f>IF('Components Yr 1'!J351=0,0,'Components Yr 1'!J351)</f>
        <v>0</v>
      </c>
      <c r="K351" s="17">
        <f>IF('Components Yr 1'!K351=0,0,'Components Yr 1'!K351)</f>
        <v>0</v>
      </c>
      <c r="L351" s="12"/>
      <c r="M351" s="12"/>
      <c r="N351" s="12"/>
      <c r="O351" s="12"/>
      <c r="P351" s="12"/>
      <c r="Q351" s="17"/>
      <c r="R351" s="18">
        <f>IF(SUMPRODUCT((E351:Q351)*1)=0,0,E351*INDEX(Hours!M:M,MATCH(C351,Hours!$A:$A,0))+F351*INDEX(Hours!B:B,MATCH(C351,Hours!$A:$A,0))+G351*INDEX(Hours!C:C,MATCH(C351,Hours!$A:$A,0))+H351*INDEX(Hours!D:D,MATCH(C351,Hours!$A:$A,0))+I351*INDEX(Hours!E:E,MATCH(C351,Hours!$A:$A,0))+J351*INDEX(Hours!F:F,MATCH(C351,Hours!$A:$A,0))+K351*INDEX(Hours!G:G,MATCH(C351,Hours!$A:$A,0)))</f>
        <v>0</v>
      </c>
      <c r="S351" s="19">
        <f t="shared" si="11"/>
        <v>0</v>
      </c>
    </row>
    <row r="352" spans="1:19" x14ac:dyDescent="0.25">
      <c r="A352" s="15" t="str">
        <f>'Bldgs &amp; Rooms'!$A$11</f>
        <v>Main Bldg.</v>
      </c>
      <c r="B352" s="15">
        <f>'Bldgs &amp; Rooms'!$B$11</f>
        <v>0</v>
      </c>
      <c r="C352" s="14" t="str">
        <f>Hours!$A$19</f>
        <v>Oil Filled Transformer - 5kV-15kV Primary - Any Size (Pad Mounted)</v>
      </c>
      <c r="D352" s="15">
        <f t="shared" si="10"/>
        <v>0</v>
      </c>
      <c r="E352" s="16">
        <f>IF('Components Yr 1'!E352=0,0,'Components Yr 1'!E352)</f>
        <v>0</v>
      </c>
      <c r="F352" s="17">
        <f>IF('Components Yr 1'!F352=0,0,'Components Yr 1'!F352)</f>
        <v>0</v>
      </c>
      <c r="G352" s="17">
        <f>IF('Components Yr 1'!G352=0,0,'Components Yr 1'!G352)</f>
        <v>0</v>
      </c>
      <c r="H352" s="17">
        <f>IF('Components Yr 1'!H352=0,0,'Components Yr 1'!H352)</f>
        <v>0</v>
      </c>
      <c r="I352" s="17">
        <f>IF('Components Yr 1'!I352=0,0,'Components Yr 1'!I352)</f>
        <v>0</v>
      </c>
      <c r="J352" s="17">
        <f>IF('Components Yr 1'!J352=0,0,'Components Yr 1'!J352)</f>
        <v>0</v>
      </c>
      <c r="K352" s="12"/>
      <c r="L352" s="12"/>
      <c r="M352" s="17">
        <f>IF('Components Yr 1'!M352=0,0,'Components Yr 1'!M352)</f>
        <v>0</v>
      </c>
      <c r="N352" s="17">
        <f>IF('Components Yr 1'!N352=0,0,'Components Yr 1'!N352)</f>
        <v>0</v>
      </c>
      <c r="O352" s="12"/>
      <c r="P352" s="17">
        <f>IF('Components Yr 1'!P352=0,0,'Components Yr 1'!P352)</f>
        <v>0</v>
      </c>
      <c r="Q352" s="17"/>
      <c r="R352" s="18">
        <f>IF(SUMPRODUCT((E352:Q352)*1)=0,0,E352*INDEX(Hours!M:M,MATCH(C352,Hours!$A:$A,0))+F352*INDEX(Hours!B:B,MATCH(C352,Hours!$A:$A,0))+G352*INDEX(Hours!C:C,MATCH(C352,Hours!$A:$A,0))+H352*INDEX(Hours!D:D,MATCH(C352,Hours!$A:$A,0))+I352*INDEX(Hours!E:E,MATCH(C352,Hours!$A:$A,0))+J352*INDEX(Hours!F:F,MATCH(C352,Hours!$A:$A,0))+M352*INDEX(Hours!I:I,MATCH(C352,Hours!$A:$A,0))+N352*INDEX(Hours!J:J,MATCH(C352,Hours!$A:$A,0))+P352*INDEX(Hours!L:L,MATCH(C352,Hours!$A:$A,0)))</f>
        <v>0</v>
      </c>
      <c r="S352" s="19">
        <f t="shared" si="11"/>
        <v>0</v>
      </c>
    </row>
    <row r="353" spans="1:19" x14ac:dyDescent="0.25">
      <c r="A353" s="15" t="str">
        <f>'Bldgs &amp; Rooms'!$A$11</f>
        <v>Main Bldg.</v>
      </c>
      <c r="B353" s="15">
        <f>'Bldgs &amp; Rooms'!$B$11</f>
        <v>0</v>
      </c>
      <c r="C353" s="14" t="str">
        <f>Hours!$A$20</f>
        <v>Oil Filled Transformer - &gt; 15kV Primary (Substation Class)</v>
      </c>
      <c r="D353" s="15">
        <f t="shared" si="10"/>
        <v>0</v>
      </c>
      <c r="E353" s="16">
        <f>IF('Components Yr 1'!E353=0,0,'Components Yr 1'!E353)</f>
        <v>0</v>
      </c>
      <c r="F353" s="17">
        <f>IF('Components Yr 1'!F353=0,0,'Components Yr 1'!F353)</f>
        <v>0</v>
      </c>
      <c r="G353" s="17">
        <f>IF('Components Yr 1'!G353=0,0,'Components Yr 1'!G353)</f>
        <v>0</v>
      </c>
      <c r="H353" s="17">
        <f>IF('Components Yr 1'!H353=0,0,'Components Yr 1'!H353)</f>
        <v>0</v>
      </c>
      <c r="I353" s="17">
        <f>IF('Components Yr 1'!I353=0,0,'Components Yr 1'!I353)</f>
        <v>0</v>
      </c>
      <c r="J353" s="17">
        <f>IF('Components Yr 1'!J353=0,0,'Components Yr 1'!J353)</f>
        <v>0</v>
      </c>
      <c r="K353" s="12"/>
      <c r="L353" s="12"/>
      <c r="M353" s="17">
        <f>IF('Components Yr 1'!M353=0,0,'Components Yr 1'!M353)</f>
        <v>0</v>
      </c>
      <c r="N353" s="17">
        <f>IF('Components Yr 1'!N353=0,0,'Components Yr 1'!N353)</f>
        <v>0</v>
      </c>
      <c r="O353" s="12"/>
      <c r="P353" s="17">
        <f>IF('Components Yr 1'!P353=0,0,'Components Yr 1'!P353)</f>
        <v>0</v>
      </c>
      <c r="Q353" s="17"/>
      <c r="R353" s="18">
        <f>IF(SUMPRODUCT((E353:Q353)*1)=0,0,E353*INDEX(Hours!M:M,MATCH(C353,Hours!$A:$A,0))+F353*INDEX(Hours!B:B,MATCH(C353,Hours!$A:$A,0))+G353*INDEX(Hours!C:C,MATCH(C353,Hours!$A:$A,0))+H353*INDEX(Hours!D:D,MATCH(C353,Hours!$A:$A,0))+I353*INDEX(Hours!E:E,MATCH(C353,Hours!$A:$A,0))+J353*INDEX(Hours!F:F,MATCH(C353,Hours!$A:$A,0))+M353*INDEX(Hours!I:I,MATCH(C353,Hours!$A:$A,0))+N353*INDEX(Hours!J:J,MATCH(C353,Hours!$A:$A,0))+P353*INDEX(Hours!L:L,MATCH(C353,Hours!$A:$A,0)))</f>
        <v>0</v>
      </c>
      <c r="S353" s="19">
        <f t="shared" si="11"/>
        <v>0</v>
      </c>
    </row>
    <row r="354" spans="1:19" x14ac:dyDescent="0.25">
      <c r="A354" s="15" t="str">
        <f>'Bldgs &amp; Rooms'!$A$11</f>
        <v>Main Bldg.</v>
      </c>
      <c r="B354" s="15">
        <f>'Bldgs &amp; Rooms'!$B$11</f>
        <v>0</v>
      </c>
      <c r="C354" s="14" t="str">
        <f>Hours!$A$21</f>
        <v>Dry Type Transformer - &lt; 480V Primary - Any Size kVA</v>
      </c>
      <c r="D354" s="15">
        <f t="shared" si="10"/>
        <v>0</v>
      </c>
      <c r="E354" s="16">
        <f>IF('Components Yr 1'!E354=0,0,'Components Yr 1'!E354)</f>
        <v>0</v>
      </c>
      <c r="F354" s="17">
        <f>IF('Components Yr 1'!F354=0,0,'Components Yr 1'!F354)</f>
        <v>0</v>
      </c>
      <c r="G354" s="17">
        <f>IF('Components Yr 1'!G354=0,0,'Components Yr 1'!G354)</f>
        <v>0</v>
      </c>
      <c r="H354" s="17">
        <f>IF('Components Yr 1'!H354=0,0,'Components Yr 1'!H354)</f>
        <v>0</v>
      </c>
      <c r="I354" s="17">
        <f>IF('Components Yr 1'!I354=0,0,'Components Yr 1'!I354)</f>
        <v>0</v>
      </c>
      <c r="J354" s="17">
        <f>IF('Components Yr 1'!J354=0,0,'Components Yr 1'!J354)</f>
        <v>0</v>
      </c>
      <c r="K354" s="12"/>
      <c r="L354" s="12"/>
      <c r="M354" s="17">
        <f>IF('Components Yr 1'!M354=0,0,'Components Yr 1'!M354)</f>
        <v>0</v>
      </c>
      <c r="N354" s="17">
        <f>IF('Components Yr 1'!N354=0,0,'Components Yr 1'!N354)</f>
        <v>0</v>
      </c>
      <c r="O354" s="12"/>
      <c r="P354" s="12"/>
      <c r="Q354" s="17"/>
      <c r="R354" s="18">
        <f>IF(SUMPRODUCT((E354:Q354)*1)=0,0,E354*INDEX(Hours!M:M,MATCH(C354,Hours!$A:$A,0))+F354*INDEX(Hours!B:B,MATCH(C354,Hours!$A:$A,0))+G354*INDEX(Hours!C:C,MATCH(C354,Hours!$A:$A,0))+H354*INDEX(Hours!D:D,MATCH(C354,Hours!$A:$A,0))+I354*INDEX(Hours!E:E,MATCH(C354,Hours!$A:$A,0))+J354*INDEX(Hours!F:F,MATCH(C354,Hours!$A:$A,0))+M354*INDEX(Hours!I:I,MATCH(C354,Hours!$A:$A,0))+N354*INDEX(Hours!J:J,MATCH(C354,Hours!$A:$A,0)))</f>
        <v>0</v>
      </c>
      <c r="S354" s="19">
        <f t="shared" si="11"/>
        <v>0</v>
      </c>
    </row>
    <row r="355" spans="1:19" x14ac:dyDescent="0.25">
      <c r="A355" s="15" t="str">
        <f>'Bldgs &amp; Rooms'!$A$11</f>
        <v>Main Bldg.</v>
      </c>
      <c r="B355" s="15">
        <f>'Bldgs &amp; Rooms'!$B$11</f>
        <v>0</v>
      </c>
      <c r="C355" s="14" t="str">
        <f>Hours!$A$22</f>
        <v>Power Factor Correction Capacitors</v>
      </c>
      <c r="D355" s="15">
        <f t="shared" si="10"/>
        <v>0</v>
      </c>
      <c r="E355" s="16">
        <f>IF('Components Yr 1'!E355=0,0,'Components Yr 1'!E355)</f>
        <v>0</v>
      </c>
      <c r="F355" s="17">
        <f>IF('Components Yr 1'!F355=0,0,'Components Yr 1'!F355)</f>
        <v>0</v>
      </c>
      <c r="G355" s="17">
        <f>IF('Components Yr 1'!G355=0,0,'Components Yr 1'!G355)</f>
        <v>0</v>
      </c>
      <c r="H355" s="17">
        <f>IF('Components Yr 1'!H355=0,0,'Components Yr 1'!H355)</f>
        <v>0</v>
      </c>
      <c r="I355" s="17">
        <f>IF('Components Yr 1'!I355=0,0,'Components Yr 1'!I355)</f>
        <v>0</v>
      </c>
      <c r="J355" s="17">
        <f>IF('Components Yr 1'!J355=0,0,'Components Yr 1'!J355)</f>
        <v>0</v>
      </c>
      <c r="K355" s="12"/>
      <c r="L355" s="12"/>
      <c r="M355" s="12"/>
      <c r="N355" s="12"/>
      <c r="O355" s="12"/>
      <c r="P355" s="12"/>
      <c r="Q355" s="17"/>
      <c r="R355" s="18">
        <f>IF(SUMPRODUCT((E355:Q355)*1)=0,0,E355*INDEX(Hours!M:M,MATCH(C355,Hours!$A:$A,0))+F355*INDEX(Hours!B:B,MATCH(C355,Hours!$A:$A,0))+G355*INDEX(Hours!C:C,MATCH(C355,Hours!$A:$A,0))+H355*INDEX(Hours!D:D,MATCH(C355,Hours!$A:$A,0))+I355*INDEX(Hours!E:E,MATCH(C355,Hours!$A:$A,0))+J355*INDEX(Hours!F:F,MATCH(C355,Hours!$A:$A,0)))</f>
        <v>0</v>
      </c>
      <c r="S355" s="19">
        <f t="shared" si="11"/>
        <v>0</v>
      </c>
    </row>
    <row r="356" spans="1:19" x14ac:dyDescent="0.25">
      <c r="A356" s="15" t="str">
        <f>'Bldgs &amp; Rooms'!$A$11</f>
        <v>Main Bldg.</v>
      </c>
      <c r="B356" s="15">
        <f>'Bldgs &amp; Rooms'!$B$11</f>
        <v>0</v>
      </c>
      <c r="C356" s="14" t="str">
        <f>Hours!$A$23</f>
        <v>Lighting Contactor &gt; 100A</v>
      </c>
      <c r="D356" s="15">
        <f t="shared" si="10"/>
        <v>0</v>
      </c>
      <c r="E356" s="16">
        <f>IF('Components Yr 1'!E356=0,0,'Components Yr 1'!E356)</f>
        <v>0</v>
      </c>
      <c r="F356" s="17">
        <f>IF('Components Yr 1'!F356=0,0,'Components Yr 1'!F356)</f>
        <v>0</v>
      </c>
      <c r="G356" s="17">
        <f>IF('Components Yr 1'!G356=0,0,'Components Yr 1'!G356)</f>
        <v>0</v>
      </c>
      <c r="H356" s="17">
        <f>IF('Components Yr 1'!H356=0,0,'Components Yr 1'!H356)</f>
        <v>0</v>
      </c>
      <c r="I356" s="17">
        <f>IF('Components Yr 1'!I356=0,0,'Components Yr 1'!I356)</f>
        <v>0</v>
      </c>
      <c r="J356" s="17">
        <f>IF('Components Yr 1'!J356=0,0,'Components Yr 1'!J356)</f>
        <v>0</v>
      </c>
      <c r="K356" s="12"/>
      <c r="L356" s="12"/>
      <c r="M356" s="12"/>
      <c r="N356" s="12"/>
      <c r="O356" s="12"/>
      <c r="P356" s="12"/>
      <c r="Q356" s="17"/>
      <c r="R356" s="18">
        <f>IF(SUMPRODUCT((E356:Q356)*1)=0,0,E356*INDEX(Hours!M:M,MATCH(C356,Hours!$A:$A,0))+F356*INDEX(Hours!B:B,MATCH(C356,Hours!$A:$A,0))+G356*INDEX(Hours!C:C,MATCH(C356,Hours!$A:$A,0))+H356*INDEX(Hours!D:D,MATCH(C356,Hours!$A:$A,0))+I356*INDEX(Hours!E:E,MATCH(C356,Hours!$A:$A,0))+J356*INDEX(Hours!F:F,MATCH(C356,Hours!$A:$A,0)))</f>
        <v>0</v>
      </c>
      <c r="S356" s="19">
        <f t="shared" si="11"/>
        <v>0</v>
      </c>
    </row>
    <row r="357" spans="1:19" x14ac:dyDescent="0.25">
      <c r="A357" s="15" t="str">
        <f>'Bldgs &amp; Rooms'!$A$11</f>
        <v>Main Bldg.</v>
      </c>
      <c r="B357" s="15">
        <f>'Bldgs &amp; Rooms'!$B$11</f>
        <v>0</v>
      </c>
      <c r="C357" s="14" t="str">
        <f>Hours!$A$24</f>
        <v>Power Distribution Unit (PDU)</v>
      </c>
      <c r="D357" s="15">
        <f t="shared" si="10"/>
        <v>0</v>
      </c>
      <c r="E357" s="16">
        <f>IF('Components Yr 1'!E357=0,0,'Components Yr 1'!E357)</f>
        <v>0</v>
      </c>
      <c r="F357" s="17">
        <f>IF('Components Yr 1'!F357=0,0,'Components Yr 1'!F357)</f>
        <v>0</v>
      </c>
      <c r="G357" s="17">
        <f>IF('Components Yr 1'!G357=0,0,'Components Yr 1'!G357)</f>
        <v>0</v>
      </c>
      <c r="H357" s="17">
        <f>IF('Components Yr 1'!H357=0,0,'Components Yr 1'!H357)</f>
        <v>0</v>
      </c>
      <c r="I357" s="17">
        <f>IF('Components Yr 1'!I357=0,0,'Components Yr 1'!I357)</f>
        <v>0</v>
      </c>
      <c r="J357" s="17">
        <f>IF('Components Yr 1'!J357=0,0,'Components Yr 1'!J357)</f>
        <v>0</v>
      </c>
      <c r="K357" s="12"/>
      <c r="L357" s="12"/>
      <c r="M357" s="12"/>
      <c r="N357" s="12"/>
      <c r="O357" s="12"/>
      <c r="P357" s="12"/>
      <c r="Q357" s="17"/>
      <c r="R357" s="18">
        <f>IF(SUMPRODUCT((E357:Q357)*1)=0,0,E357*INDEX(Hours!M:M,MATCH(C357,Hours!$A:$A,0))+F357*INDEX(Hours!B:B,MATCH(C357,Hours!$A:$A,0))+G357*INDEX(Hours!C:C,MATCH(C357,Hours!$A:$A,0))+H357*INDEX(Hours!D:D,MATCH(C357,Hours!$A:$A,0))+I357*INDEX(Hours!E:E,MATCH(C357,Hours!$A:$A,0))+J357*INDEX(Hours!F:F,MATCH(C357,Hours!$A:$A,0)))</f>
        <v>0</v>
      </c>
      <c r="S357" s="19">
        <f t="shared" si="11"/>
        <v>0</v>
      </c>
    </row>
    <row r="358" spans="1:19" x14ac:dyDescent="0.25">
      <c r="A358" s="15" t="str">
        <f>'Bldgs &amp; Rooms'!$A$11</f>
        <v>Main Bldg.</v>
      </c>
      <c r="B358" s="15">
        <f>'Bldgs &amp; Rooms'!$B$11</f>
        <v>0</v>
      </c>
      <c r="C358" s="14" t="str">
        <f>Hours!$A$25</f>
        <v>Wire Trough, Gutter, or Large Junction Boxes</v>
      </c>
      <c r="D358" s="15">
        <f t="shared" si="10"/>
        <v>0</v>
      </c>
      <c r="E358" s="16">
        <f>IF('Components Yr 1'!E358=0,0,'Components Yr 1'!E358)</f>
        <v>0</v>
      </c>
      <c r="F358" s="17">
        <f>IF('Components Yr 1'!F358=0,0,'Components Yr 1'!F358)</f>
        <v>0</v>
      </c>
      <c r="G358" s="17">
        <f>IF('Components Yr 1'!G358=0,0,'Components Yr 1'!G358)</f>
        <v>0</v>
      </c>
      <c r="H358" s="17">
        <f>IF('Components Yr 1'!H358=0,0,'Components Yr 1'!H358)</f>
        <v>0</v>
      </c>
      <c r="I358" s="17">
        <f>IF('Components Yr 1'!I358=0,0,'Components Yr 1'!I358)</f>
        <v>0</v>
      </c>
      <c r="J358" s="17">
        <f>IF('Components Yr 1'!J358=0,0,'Components Yr 1'!J358)</f>
        <v>0</v>
      </c>
      <c r="K358" s="12"/>
      <c r="L358" s="12"/>
      <c r="M358" s="12"/>
      <c r="N358" s="12"/>
      <c r="O358" s="12"/>
      <c r="P358" s="12"/>
      <c r="Q358" s="17"/>
      <c r="R358" s="18">
        <f>IF(SUMPRODUCT((E358:Q358)*1)=0,0,E358*INDEX(Hours!M:M,MATCH(C358,Hours!$A:$A,0))+F358*INDEX(Hours!B:B,MATCH(C358,Hours!$A:$A,0))+G358*INDEX(Hours!C:C,MATCH(C358,Hours!$A:$A,0))+H358*INDEX(Hours!D:D,MATCH(C358,Hours!$A:$A,0))+I358*INDEX(Hours!E:E,MATCH(C358,Hours!$A:$A,0))+J358*INDEX(Hours!F:F,MATCH(C358,Hours!$A:$A,0)))</f>
        <v>0</v>
      </c>
      <c r="S358" s="19">
        <f t="shared" si="11"/>
        <v>0</v>
      </c>
    </row>
    <row r="359" spans="1:19" x14ac:dyDescent="0.25">
      <c r="A359" s="15" t="str">
        <f>'Bldgs &amp; Rooms'!$A$11</f>
        <v>Main Bldg.</v>
      </c>
      <c r="B359" s="15">
        <f>'Bldgs &amp; Rooms'!$B$11</f>
        <v>0</v>
      </c>
      <c r="C359" s="14" t="str">
        <f>Hours!$A$26</f>
        <v>Bus Duct - Vertical or Horizontal (Per 10' section)</v>
      </c>
      <c r="D359" s="15">
        <f t="shared" si="10"/>
        <v>0</v>
      </c>
      <c r="E359" s="16">
        <f>IF('Components Yr 1'!E359=0,0,'Components Yr 1'!E359)</f>
        <v>0</v>
      </c>
      <c r="F359" s="17">
        <f>IF('Components Yr 1'!F359=0,0,'Components Yr 1'!F359)</f>
        <v>0</v>
      </c>
      <c r="G359" s="17">
        <f>IF('Components Yr 1'!G359=0,0,'Components Yr 1'!G359)</f>
        <v>0</v>
      </c>
      <c r="H359" s="17">
        <f>IF('Components Yr 1'!H359=0,0,'Components Yr 1'!H359)</f>
        <v>0</v>
      </c>
      <c r="I359" s="17">
        <f>IF('Components Yr 1'!I359=0,0,'Components Yr 1'!I359)</f>
        <v>0</v>
      </c>
      <c r="J359" s="17">
        <f>IF('Components Yr 1'!J359=0,0,'Components Yr 1'!J359)</f>
        <v>0</v>
      </c>
      <c r="K359" s="12"/>
      <c r="L359" s="12"/>
      <c r="M359" s="12"/>
      <c r="N359" s="12"/>
      <c r="O359" s="12"/>
      <c r="P359" s="12"/>
      <c r="Q359" s="17"/>
      <c r="R359" s="18">
        <f>IF(SUMPRODUCT((E359:Q359)*1)=0,0,E359*INDEX(Hours!M:M,MATCH(C359,Hours!$A:$A,0))+F359*INDEX(Hours!B:B,MATCH(C359,Hours!$A:$A,0))+G359*INDEX(Hours!C:C,MATCH(C359,Hours!$A:$A,0))+H359*INDEX(Hours!D:D,MATCH(C359,Hours!$A:$A,0))+I359*INDEX(Hours!E:E,MATCH(C359,Hours!$A:$A,0))+J359*INDEX(Hours!F:F,MATCH(C359,Hours!$A:$A,0)))</f>
        <v>0</v>
      </c>
      <c r="S359" s="19">
        <f t="shared" si="11"/>
        <v>0</v>
      </c>
    </row>
    <row r="360" spans="1:19" x14ac:dyDescent="0.25">
      <c r="A360" s="15" t="str">
        <f>'Bldgs &amp; Rooms'!$A$11</f>
        <v>Main Bldg.</v>
      </c>
      <c r="B360" s="15">
        <f>'Bldgs &amp; Rooms'!$B$11</f>
        <v>0</v>
      </c>
      <c r="C360" s="14" t="str">
        <f>Hours!$A$27</f>
        <v>Automatic Transfer Switch (ATS) &gt; 100A</v>
      </c>
      <c r="D360" s="15">
        <f t="shared" si="10"/>
        <v>0</v>
      </c>
      <c r="E360" s="16">
        <f>IF('Components Yr 1'!E360=0,0,'Components Yr 1'!E360)</f>
        <v>0</v>
      </c>
      <c r="F360" s="17">
        <f>IF('Components Yr 1'!F360=0,0,'Components Yr 1'!F360)</f>
        <v>0</v>
      </c>
      <c r="G360" s="17">
        <f>IF('Components Yr 1'!G360=0,0,'Components Yr 1'!G360)</f>
        <v>0</v>
      </c>
      <c r="H360" s="17">
        <f>IF('Components Yr 1'!H360=0,0,'Components Yr 1'!H360)</f>
        <v>0</v>
      </c>
      <c r="I360" s="17">
        <f>IF('Components Yr 1'!I360=0,0,'Components Yr 1'!I360)</f>
        <v>0</v>
      </c>
      <c r="J360" s="17">
        <f>IF('Components Yr 1'!J360=0,0,'Components Yr 1'!J360)</f>
        <v>0</v>
      </c>
      <c r="K360" s="12"/>
      <c r="L360" s="12"/>
      <c r="M360" s="12"/>
      <c r="N360" s="12"/>
      <c r="O360" s="12"/>
      <c r="P360" s="12"/>
      <c r="Q360" s="17"/>
      <c r="R360" s="18">
        <f>IF(SUMPRODUCT((E360:Q360)*1)=0,0,E360*INDEX(Hours!M:M,MATCH(C360,Hours!$A:$A,0))+F360*INDEX(Hours!B:B,MATCH(C360,Hours!$A:$A,0))+G360*INDEX(Hours!C:C,MATCH(C360,Hours!$A:$A,0))+H360*INDEX(Hours!D:D,MATCH(C360,Hours!$A:$A,0))+I360*INDEX(Hours!E:E,MATCH(C360,Hours!$A:$A,0))+J360*INDEX(Hours!F:F,MATCH(C360,Hours!$A:$A,0)))</f>
        <v>0</v>
      </c>
      <c r="S360" s="19">
        <f t="shared" si="11"/>
        <v>0</v>
      </c>
    </row>
    <row r="361" spans="1:19" x14ac:dyDescent="0.25">
      <c r="A361" s="15" t="str">
        <f>'Bldgs &amp; Rooms'!$A$11</f>
        <v>Main Bldg.</v>
      </c>
      <c r="B361" s="15">
        <f>'Bldgs &amp; Rooms'!$B$11</f>
        <v>0</v>
      </c>
      <c r="C361" s="14" t="str">
        <f>Hours!$A$28</f>
        <v>Manual Transfer Switch (MTS) &gt; 100A</v>
      </c>
      <c r="D361" s="15">
        <f t="shared" si="10"/>
        <v>0</v>
      </c>
      <c r="E361" s="16">
        <f>IF('Components Yr 1'!E361=0,0,'Components Yr 1'!E361)</f>
        <v>0</v>
      </c>
      <c r="F361" s="17">
        <f>IF('Components Yr 1'!F361=0,0,'Components Yr 1'!F361)</f>
        <v>0</v>
      </c>
      <c r="G361" s="17">
        <f>IF('Components Yr 1'!G361=0,0,'Components Yr 1'!G361)</f>
        <v>0</v>
      </c>
      <c r="H361" s="17">
        <f>IF('Components Yr 1'!H361=0,0,'Components Yr 1'!H361)</f>
        <v>0</v>
      </c>
      <c r="I361" s="17">
        <f>IF('Components Yr 1'!I361=0,0,'Components Yr 1'!I361)</f>
        <v>0</v>
      </c>
      <c r="J361" s="17">
        <f>IF('Components Yr 1'!J361=0,0,'Components Yr 1'!J361)</f>
        <v>0</v>
      </c>
      <c r="K361" s="12"/>
      <c r="L361" s="12"/>
      <c r="M361" s="12"/>
      <c r="N361" s="12"/>
      <c r="O361" s="12"/>
      <c r="P361" s="12"/>
      <c r="Q361" s="17"/>
      <c r="R361" s="18">
        <f>IF(SUMPRODUCT((E361:Q361)*1)=0,0,E361*INDEX(Hours!M:M,MATCH(C361,Hours!$A:$A,0))+F361*INDEX(Hours!B:B,MATCH(C361,Hours!$A:$A,0))+G361*INDEX(Hours!C:C,MATCH(C361,Hours!$A:$A,0))+H361*INDEX(Hours!D:D,MATCH(C361,Hours!$A:$A,0))+I361*INDEX(Hours!E:E,MATCH(C361,Hours!$A:$A,0))+J361*INDEX(Hours!F:F,MATCH(C361,Hours!$A:$A,0)))</f>
        <v>0</v>
      </c>
      <c r="S361" s="19">
        <f t="shared" si="11"/>
        <v>0</v>
      </c>
    </row>
    <row r="362" spans="1:19" x14ac:dyDescent="0.25">
      <c r="A362" s="15" t="str">
        <f>'Bldgs &amp; Rooms'!$A$11</f>
        <v>Main Bldg.</v>
      </c>
      <c r="B362" s="15">
        <f>'Bldgs &amp; Rooms'!$B$11</f>
        <v>0</v>
      </c>
      <c r="C362" s="14" t="str">
        <f>Hours!$A$29</f>
        <v>Variable Frequency Drives (VFD) &lt; 50 HP</v>
      </c>
      <c r="D362" s="15">
        <f t="shared" si="10"/>
        <v>0</v>
      </c>
      <c r="E362" s="16">
        <f>IF('Components Yr 1'!E362=0,0,'Components Yr 1'!E362)</f>
        <v>0</v>
      </c>
      <c r="F362" s="17">
        <f>IF('Components Yr 1'!F362=0,0,'Components Yr 1'!F362)</f>
        <v>0</v>
      </c>
      <c r="G362" s="17">
        <f>IF('Components Yr 1'!G362=0,0,'Components Yr 1'!G362)</f>
        <v>0</v>
      </c>
      <c r="H362" s="17">
        <f>IF('Components Yr 1'!H362=0,0,'Components Yr 1'!H362)</f>
        <v>0</v>
      </c>
      <c r="I362" s="17">
        <f>IF('Components Yr 1'!I362=0,0,'Components Yr 1'!I362)</f>
        <v>0</v>
      </c>
      <c r="J362" s="17">
        <f>IF('Components Yr 1'!J362=0,0,'Components Yr 1'!J362)</f>
        <v>0</v>
      </c>
      <c r="K362" s="12"/>
      <c r="L362" s="12"/>
      <c r="M362" s="12"/>
      <c r="N362" s="12"/>
      <c r="O362" s="12"/>
      <c r="P362" s="12"/>
      <c r="Q362" s="17"/>
      <c r="R362" s="18">
        <f>IF(SUMPRODUCT((E362:Q362)*1)=0,0,E362*INDEX(Hours!M:M,MATCH(C362,Hours!$A:$A,0))+F362*INDEX(Hours!B:B,MATCH(C362,Hours!$A:$A,0))+G362*INDEX(Hours!C:C,MATCH(C362,Hours!$A:$A,0))+H362*INDEX(Hours!D:D,MATCH(C362,Hours!$A:$A,0))+I362*INDEX(Hours!E:E,MATCH(C362,Hours!$A:$A,0))+J362*INDEX(Hours!F:F,MATCH(C362,Hours!$A:$A,0)))</f>
        <v>0</v>
      </c>
      <c r="S362" s="19">
        <f t="shared" si="11"/>
        <v>0</v>
      </c>
    </row>
    <row r="363" spans="1:19" x14ac:dyDescent="0.25">
      <c r="A363" s="15" t="str">
        <f>'Bldgs &amp; Rooms'!$A$11</f>
        <v>Main Bldg.</v>
      </c>
      <c r="B363" s="15">
        <f>'Bldgs &amp; Rooms'!$B$11</f>
        <v>0</v>
      </c>
      <c r="C363" s="14" t="str">
        <f>Hours!$A$30</f>
        <v>Variable Frequency Drives (VFD) 51-200 HP</v>
      </c>
      <c r="D363" s="15">
        <f t="shared" si="10"/>
        <v>0</v>
      </c>
      <c r="E363" s="16">
        <f>IF('Components Yr 1'!E363=0,0,'Components Yr 1'!E363)</f>
        <v>0</v>
      </c>
      <c r="F363" s="17">
        <f>IF('Components Yr 1'!F363=0,0,'Components Yr 1'!F363)</f>
        <v>0</v>
      </c>
      <c r="G363" s="17">
        <f>IF('Components Yr 1'!G363=0,0,'Components Yr 1'!G363)</f>
        <v>0</v>
      </c>
      <c r="H363" s="17">
        <f>IF('Components Yr 1'!H363=0,0,'Components Yr 1'!H363)</f>
        <v>0</v>
      </c>
      <c r="I363" s="17">
        <f>IF('Components Yr 1'!I363=0,0,'Components Yr 1'!I363)</f>
        <v>0</v>
      </c>
      <c r="J363" s="17">
        <f>IF('Components Yr 1'!J363=0,0,'Components Yr 1'!J363)</f>
        <v>0</v>
      </c>
      <c r="K363" s="12"/>
      <c r="L363" s="12"/>
      <c r="M363" s="12"/>
      <c r="N363" s="12"/>
      <c r="O363" s="12"/>
      <c r="P363" s="12"/>
      <c r="Q363" s="17"/>
      <c r="R363" s="18">
        <f>IF(SUMPRODUCT((E363:Q363)*1)=0,0,E363*INDEX(Hours!M:M,MATCH(C363,Hours!$A:$A,0))+F363*INDEX(Hours!B:B,MATCH(C363,Hours!$A:$A,0))+G363*INDEX(Hours!C:C,MATCH(C363,Hours!$A:$A,0))+H363*INDEX(Hours!D:D,MATCH(C363,Hours!$A:$A,0))+I363*INDEX(Hours!E:E,MATCH(C363,Hours!$A:$A,0))+J363*INDEX(Hours!F:F,MATCH(C363,Hours!$A:$A,0)))</f>
        <v>0</v>
      </c>
      <c r="S363" s="19">
        <f t="shared" si="11"/>
        <v>0</v>
      </c>
    </row>
    <row r="364" spans="1:19" x14ac:dyDescent="0.25">
      <c r="A364" s="15" t="str">
        <f>'Bldgs &amp; Rooms'!$A$11</f>
        <v>Main Bldg.</v>
      </c>
      <c r="B364" s="15">
        <f>'Bldgs &amp; Rooms'!$B$11</f>
        <v>0</v>
      </c>
      <c r="C364" s="14" t="str">
        <f>Hours!$A$31</f>
        <v>Motors &lt; 50 HP</v>
      </c>
      <c r="D364" s="15">
        <f t="shared" si="10"/>
        <v>0</v>
      </c>
      <c r="E364" s="16">
        <f>IF('Components Yr 1'!E364=0,0,'Components Yr 1'!E364)</f>
        <v>0</v>
      </c>
      <c r="F364" s="17">
        <f>IF('Components Yr 1'!F364=0,0,'Components Yr 1'!F364)</f>
        <v>0</v>
      </c>
      <c r="G364" s="17">
        <f>IF('Components Yr 1'!G364=0,0,'Components Yr 1'!G364)</f>
        <v>0</v>
      </c>
      <c r="H364" s="17">
        <f>IF('Components Yr 1'!H364=0,0,'Components Yr 1'!H364)</f>
        <v>0</v>
      </c>
      <c r="I364" s="17">
        <f>IF('Components Yr 1'!I364=0,0,'Components Yr 1'!I364)</f>
        <v>0</v>
      </c>
      <c r="J364" s="17">
        <f>IF('Components Yr 1'!J364=0,0,'Components Yr 1'!J364)</f>
        <v>0</v>
      </c>
      <c r="K364" s="12"/>
      <c r="L364" s="12"/>
      <c r="M364" s="12"/>
      <c r="N364" s="12"/>
      <c r="O364" s="12"/>
      <c r="P364" s="12"/>
      <c r="Q364" s="17"/>
      <c r="R364" s="18">
        <f>IF(SUMPRODUCT((E364:Q364)*1)=0,0,E364*INDEX(Hours!M:M,MATCH(C364,Hours!$A:$A,0))+F364*INDEX(Hours!B:B,MATCH(C364,Hours!$A:$A,0))+G364*INDEX(Hours!C:C,MATCH(C364,Hours!$A:$A,0))+H364*INDEX(Hours!D:D,MATCH(C364,Hours!$A:$A,0))+I364*INDEX(Hours!E:E,MATCH(C364,Hours!$A:$A,0))+J364*INDEX(Hours!F:F,MATCH(C364,Hours!$A:$A,0)))</f>
        <v>0</v>
      </c>
      <c r="S364" s="19">
        <f t="shared" si="11"/>
        <v>0</v>
      </c>
    </row>
    <row r="365" spans="1:19" x14ac:dyDescent="0.25">
      <c r="A365" s="15" t="str">
        <f>'Bldgs &amp; Rooms'!$A$11</f>
        <v>Main Bldg.</v>
      </c>
      <c r="B365" s="15">
        <f>'Bldgs &amp; Rooms'!$B$11</f>
        <v>0</v>
      </c>
      <c r="C365" s="14" t="str">
        <f>Hours!$A$32</f>
        <v>Motors 51-200 HP</v>
      </c>
      <c r="D365" s="15">
        <f t="shared" si="10"/>
        <v>0</v>
      </c>
      <c r="E365" s="16">
        <f>IF('Components Yr 1'!E365=0,0,'Components Yr 1'!E365)</f>
        <v>0</v>
      </c>
      <c r="F365" s="17">
        <f>IF('Components Yr 1'!F365=0,0,'Components Yr 1'!F365)</f>
        <v>0</v>
      </c>
      <c r="G365" s="17">
        <f>IF('Components Yr 1'!G365=0,0,'Components Yr 1'!G365)</f>
        <v>0</v>
      </c>
      <c r="H365" s="17">
        <f>IF('Components Yr 1'!H365=0,0,'Components Yr 1'!H365)</f>
        <v>0</v>
      </c>
      <c r="I365" s="17">
        <f>IF('Components Yr 1'!I365=0,0,'Components Yr 1'!I365)</f>
        <v>0</v>
      </c>
      <c r="J365" s="17">
        <f>IF('Components Yr 1'!J365=0,0,'Components Yr 1'!J365)</f>
        <v>0</v>
      </c>
      <c r="K365" s="12"/>
      <c r="L365" s="12"/>
      <c r="M365" s="12"/>
      <c r="N365" s="12"/>
      <c r="O365" s="12"/>
      <c r="P365" s="12"/>
      <c r="Q365" s="17"/>
      <c r="R365" s="18">
        <f>IF(SUMPRODUCT((E365:Q365)*1)=0,0,E365*INDEX(Hours!M:M,MATCH(C365,Hours!$A:$A,0))+F365*INDEX(Hours!B:B,MATCH(C365,Hours!$A:$A,0))+G365*INDEX(Hours!C:C,MATCH(C365,Hours!$A:$A,0))+H365*INDEX(Hours!D:D,MATCH(C365,Hours!$A:$A,0))+I365*INDEX(Hours!E:E,MATCH(C365,Hours!$A:$A,0))+J365*INDEX(Hours!F:F,MATCH(C365,Hours!$A:$A,0)))</f>
        <v>0</v>
      </c>
      <c r="S365" s="19">
        <f t="shared" si="11"/>
        <v>0</v>
      </c>
    </row>
    <row r="366" spans="1:19" x14ac:dyDescent="0.25">
      <c r="A366" s="15" t="str">
        <f>'Bldgs &amp; Rooms'!$A$11</f>
        <v>Main Bldg.</v>
      </c>
      <c r="B366" s="15">
        <f>'Bldgs &amp; Rooms'!$B$11</f>
        <v>0</v>
      </c>
      <c r="C366" s="14" t="str">
        <f>Hours!$A$33</f>
        <v>Motors 201-500 HP</v>
      </c>
      <c r="D366" s="15">
        <f t="shared" si="10"/>
        <v>0</v>
      </c>
      <c r="E366" s="16">
        <f>IF('Components Yr 1'!E366=0,0,'Components Yr 1'!E366)</f>
        <v>0</v>
      </c>
      <c r="F366" s="17">
        <f>IF('Components Yr 1'!F366=0,0,'Components Yr 1'!F366)</f>
        <v>0</v>
      </c>
      <c r="G366" s="17">
        <f>IF('Components Yr 1'!G366=0,0,'Components Yr 1'!G366)</f>
        <v>0</v>
      </c>
      <c r="H366" s="17">
        <f>IF('Components Yr 1'!H366=0,0,'Components Yr 1'!H366)</f>
        <v>0</v>
      </c>
      <c r="I366" s="17">
        <f>IF('Components Yr 1'!I366=0,0,'Components Yr 1'!I366)</f>
        <v>0</v>
      </c>
      <c r="J366" s="17">
        <f>IF('Components Yr 1'!J366=0,0,'Components Yr 1'!J366)</f>
        <v>0</v>
      </c>
      <c r="K366" s="12"/>
      <c r="L366" s="12"/>
      <c r="M366" s="12"/>
      <c r="N366" s="12"/>
      <c r="O366" s="12"/>
      <c r="P366" s="12"/>
      <c r="Q366" s="17"/>
      <c r="R366" s="18">
        <f>IF(SUMPRODUCT((E366:Q366)*1)=0,0,E366*INDEX(Hours!M:M,MATCH(C366,Hours!$A:$A,0))+F366*INDEX(Hours!B:B,MATCH(C366,Hours!$A:$A,0))+G366*INDEX(Hours!C:C,MATCH(C366,Hours!$A:$A,0))+H366*INDEX(Hours!D:D,MATCH(C366,Hours!$A:$A,0))+I366*INDEX(Hours!E:E,MATCH(C366,Hours!$A:$A,0))+J366*INDEX(Hours!F:F,MATCH(C366,Hours!$A:$A,0)))</f>
        <v>0</v>
      </c>
      <c r="S366" s="19">
        <f t="shared" si="11"/>
        <v>0</v>
      </c>
    </row>
    <row r="367" spans="1:19" x14ac:dyDescent="0.25">
      <c r="A367" s="15" t="str">
        <f>'Bldgs &amp; Rooms'!$A$11</f>
        <v>Main Bldg.</v>
      </c>
      <c r="B367" s="15">
        <f>'Bldgs &amp; Rooms'!$B$11</f>
        <v>0</v>
      </c>
      <c r="C367" s="14" t="str">
        <f>Hours!$A$34</f>
        <v>Compressed Air Equipment</v>
      </c>
      <c r="D367" s="15">
        <f t="shared" si="10"/>
        <v>0</v>
      </c>
      <c r="E367" s="16">
        <f>IF('Components Yr 1'!E367=0,0,'Components Yr 1'!E367)</f>
        <v>0</v>
      </c>
      <c r="F367" s="17">
        <f>IF('Components Yr 1'!F367=0,0,'Components Yr 1'!F367)</f>
        <v>0</v>
      </c>
      <c r="G367" s="17">
        <f>IF('Components Yr 1'!G367=0,0,'Components Yr 1'!G367)</f>
        <v>0</v>
      </c>
      <c r="H367" s="17">
        <f>IF('Components Yr 1'!H367=0,0,'Components Yr 1'!H367)</f>
        <v>0</v>
      </c>
      <c r="I367" s="17">
        <f>IF('Components Yr 1'!I367=0,0,'Components Yr 1'!I367)</f>
        <v>0</v>
      </c>
      <c r="J367" s="17">
        <f>IF('Components Yr 1'!J367=0,0,'Components Yr 1'!J367)</f>
        <v>0</v>
      </c>
      <c r="K367" s="12"/>
      <c r="L367" s="12"/>
      <c r="M367" s="12"/>
      <c r="N367" s="12"/>
      <c r="O367" s="12"/>
      <c r="P367" s="12"/>
      <c r="Q367" s="17"/>
      <c r="R367" s="18">
        <f>IF(SUMPRODUCT((E367:Q367)*1)=0,0,E367*INDEX(Hours!M:M,MATCH(C367,Hours!$A:$A,0))+F367*INDEX(Hours!B:B,MATCH(C367,Hours!$A:$A,0))+G367*INDEX(Hours!C:C,MATCH(C367,Hours!$A:$A,0))+H367*INDEX(Hours!D:D,MATCH(C367,Hours!$A:$A,0))+I367*INDEX(Hours!E:E,MATCH(C367,Hours!$A:$A,0))+J367*INDEX(Hours!F:F,MATCH(C367,Hours!$A:$A,0)))</f>
        <v>0</v>
      </c>
      <c r="S367" s="19">
        <f t="shared" si="11"/>
        <v>0</v>
      </c>
    </row>
    <row r="368" spans="1:19" x14ac:dyDescent="0.25">
      <c r="A368" s="15" t="str">
        <f>'Bldgs &amp; Rooms'!$A$11</f>
        <v>Main Bldg.</v>
      </c>
      <c r="B368" s="15">
        <f>'Bldgs &amp; Rooms'!$B$11</f>
        <v>0</v>
      </c>
      <c r="C368" s="14" t="str">
        <f>Hours!$A$35</f>
        <v>HVAC Equipment (Large)</v>
      </c>
      <c r="D368" s="15">
        <f t="shared" si="10"/>
        <v>0</v>
      </c>
      <c r="E368" s="16">
        <f>IF('Components Yr 1'!E368=0,0,'Components Yr 1'!E368)</f>
        <v>0</v>
      </c>
      <c r="F368" s="17">
        <f>IF('Components Yr 1'!F368=0,0,'Components Yr 1'!F368)</f>
        <v>0</v>
      </c>
      <c r="G368" s="17">
        <f>IF('Components Yr 1'!G368=0,0,'Components Yr 1'!G368)</f>
        <v>0</v>
      </c>
      <c r="H368" s="17">
        <f>IF('Components Yr 1'!H368=0,0,'Components Yr 1'!H368)</f>
        <v>0</v>
      </c>
      <c r="I368" s="17">
        <f>IF('Components Yr 1'!I368=0,0,'Components Yr 1'!I368)</f>
        <v>0</v>
      </c>
      <c r="J368" s="17">
        <f>IF('Components Yr 1'!J368=0,0,'Components Yr 1'!J368)</f>
        <v>0</v>
      </c>
      <c r="K368" s="12"/>
      <c r="L368" s="12"/>
      <c r="M368" s="12"/>
      <c r="N368" s="12"/>
      <c r="O368" s="12"/>
      <c r="P368" s="12"/>
      <c r="Q368" s="17"/>
      <c r="R368" s="18">
        <f>IF(SUMPRODUCT((E368:Q368)*1)=0,0,E368*INDEX(Hours!M:M,MATCH(C368,Hours!$A:$A,0))+F368*INDEX(Hours!B:B,MATCH(C368,Hours!$A:$A,0))+G368*INDEX(Hours!C:C,MATCH(C368,Hours!$A:$A,0))+H368*INDEX(Hours!D:D,MATCH(C368,Hours!$A:$A,0))+I368*INDEX(Hours!E:E,MATCH(C368,Hours!$A:$A,0))+J368*INDEX(Hours!F:F,MATCH(C368,Hours!$A:$A,0)))</f>
        <v>0</v>
      </c>
      <c r="S368" s="19">
        <f t="shared" si="11"/>
        <v>0</v>
      </c>
    </row>
    <row r="369" spans="1:19" x14ac:dyDescent="0.25">
      <c r="A369" s="15" t="str">
        <f>'Bldgs &amp; Rooms'!$A$11</f>
        <v>Main Bldg.</v>
      </c>
      <c r="B369" s="15">
        <f>'Bldgs &amp; Rooms'!$B$11</f>
        <v>0</v>
      </c>
      <c r="C369" s="14" t="str">
        <f>Hours!$A$36</f>
        <v>HVAC Equipment (Small)</v>
      </c>
      <c r="D369" s="15">
        <f t="shared" si="10"/>
        <v>0</v>
      </c>
      <c r="E369" s="16">
        <f>IF('Components Yr 1'!E369=0,0,'Components Yr 1'!E369)</f>
        <v>0</v>
      </c>
      <c r="F369" s="17">
        <f>IF('Components Yr 1'!F369=0,0,'Components Yr 1'!F369)</f>
        <v>0</v>
      </c>
      <c r="G369" s="17">
        <f>IF('Components Yr 1'!G369=0,0,'Components Yr 1'!G369)</f>
        <v>0</v>
      </c>
      <c r="H369" s="17">
        <f>IF('Components Yr 1'!H369=0,0,'Components Yr 1'!H369)</f>
        <v>0</v>
      </c>
      <c r="I369" s="17">
        <f>IF('Components Yr 1'!I369=0,0,'Components Yr 1'!I369)</f>
        <v>0</v>
      </c>
      <c r="J369" s="17">
        <f>IF('Components Yr 1'!J369=0,0,'Components Yr 1'!J369)</f>
        <v>0</v>
      </c>
      <c r="K369" s="12"/>
      <c r="L369" s="12"/>
      <c r="M369" s="12"/>
      <c r="N369" s="12"/>
      <c r="O369" s="12"/>
      <c r="P369" s="12"/>
      <c r="Q369" s="17"/>
      <c r="R369" s="18">
        <f>IF(SUMPRODUCT((E369:Q369)*1)=0,0,E369*INDEX(Hours!M:M,MATCH(C369,Hours!$A:$A,0))+F369*INDEX(Hours!B:B,MATCH(C369,Hours!$A:$A,0))+G369*INDEX(Hours!C:C,MATCH(C369,Hours!$A:$A,0))+H369*INDEX(Hours!D:D,MATCH(C369,Hours!$A:$A,0))+I369*INDEX(Hours!E:E,MATCH(C369,Hours!$A:$A,0))+J369*INDEX(Hours!F:F,MATCH(C369,Hours!$A:$A,0)))</f>
        <v>0</v>
      </c>
      <c r="S369" s="19">
        <f t="shared" si="11"/>
        <v>0</v>
      </c>
    </row>
    <row r="370" spans="1:19" x14ac:dyDescent="0.25">
      <c r="A370" s="15" t="str">
        <f>'Bldgs &amp; Rooms'!$A$11</f>
        <v>Main Bldg.</v>
      </c>
      <c r="B370" s="15">
        <f>'Bldgs &amp; Rooms'!$B$11</f>
        <v>0</v>
      </c>
      <c r="C370" s="14" t="str">
        <f>Hours!$A$37</f>
        <v>Uninterruptible Power Supply (UPS) &lt; 50kVA</v>
      </c>
      <c r="D370" s="15">
        <f t="shared" si="10"/>
        <v>0</v>
      </c>
      <c r="E370" s="16">
        <f>IF('Components Yr 1'!E370=0,0,'Components Yr 1'!E370)</f>
        <v>0</v>
      </c>
      <c r="F370" s="17">
        <f>IF('Components Yr 1'!F370=0,0,'Components Yr 1'!F370)</f>
        <v>0</v>
      </c>
      <c r="G370" s="17">
        <f>IF('Components Yr 1'!G370=0,0,'Components Yr 1'!G370)</f>
        <v>0</v>
      </c>
      <c r="H370" s="17">
        <f>IF('Components Yr 1'!H370=0,0,'Components Yr 1'!H370)</f>
        <v>0</v>
      </c>
      <c r="I370" s="17">
        <f>IF('Components Yr 1'!I370=0,0,'Components Yr 1'!I370)</f>
        <v>0</v>
      </c>
      <c r="J370" s="17">
        <f>IF('Components Yr 1'!J370=0,0,'Components Yr 1'!J370)</f>
        <v>0</v>
      </c>
      <c r="K370" s="12"/>
      <c r="L370" s="12"/>
      <c r="M370" s="12"/>
      <c r="N370" s="12"/>
      <c r="O370" s="12"/>
      <c r="P370" s="12"/>
      <c r="Q370" s="17"/>
      <c r="R370" s="18">
        <f>IF(SUMPRODUCT((E370:Q370)*1)=0,0,E370*INDEX(Hours!M:M,MATCH(C370,Hours!$A:$A,0))+F370*INDEX(Hours!B:B,MATCH(C370,Hours!$A:$A,0))+G370*INDEX(Hours!C:C,MATCH(C370,Hours!$A:$A,0))+H370*INDEX(Hours!D:D,MATCH(C370,Hours!$A:$A,0))+I370*INDEX(Hours!E:E,MATCH(C370,Hours!$A:$A,0))+J370*INDEX(Hours!F:F,MATCH(C370,Hours!$A:$A,0)))</f>
        <v>0</v>
      </c>
      <c r="S370" s="19">
        <f t="shared" si="11"/>
        <v>0</v>
      </c>
    </row>
    <row r="371" spans="1:19" x14ac:dyDescent="0.25">
      <c r="A371" s="15" t="str">
        <f>'Bldgs &amp; Rooms'!$A$11</f>
        <v>Main Bldg.</v>
      </c>
      <c r="B371" s="15">
        <f>'Bldgs &amp; Rooms'!$B$11</f>
        <v>0</v>
      </c>
      <c r="C371" s="14" t="str">
        <f>Hours!$A$38</f>
        <v>Uninterruptible Power Supply (UPS) &gt; 50kVA</v>
      </c>
      <c r="D371" s="15">
        <f t="shared" si="10"/>
        <v>0</v>
      </c>
      <c r="E371" s="16">
        <f>IF('Components Yr 1'!E371=0,0,'Components Yr 1'!E371)</f>
        <v>0</v>
      </c>
      <c r="F371" s="17">
        <f>IF('Components Yr 1'!F371=0,0,'Components Yr 1'!F371)</f>
        <v>0</v>
      </c>
      <c r="G371" s="17">
        <f>IF('Components Yr 1'!G371=0,0,'Components Yr 1'!G371)</f>
        <v>0</v>
      </c>
      <c r="H371" s="17">
        <f>IF('Components Yr 1'!H371=0,0,'Components Yr 1'!H371)</f>
        <v>0</v>
      </c>
      <c r="I371" s="17">
        <f>IF('Components Yr 1'!I371=0,0,'Components Yr 1'!I371)</f>
        <v>0</v>
      </c>
      <c r="J371" s="17">
        <f>IF('Components Yr 1'!J371=0,0,'Components Yr 1'!J371)</f>
        <v>0</v>
      </c>
      <c r="K371" s="12"/>
      <c r="L371" s="12"/>
      <c r="M371" s="12"/>
      <c r="N371" s="12"/>
      <c r="O371" s="12"/>
      <c r="P371" s="12"/>
      <c r="Q371" s="17"/>
      <c r="R371" s="18">
        <f>IF(SUMPRODUCT((E371:Q371)*1)=0,0,E371*INDEX(Hours!M:M,MATCH(C371,Hours!$A:$A,0))+F371*INDEX(Hours!B:B,MATCH(C371,Hours!$A:$A,0))+G371*INDEX(Hours!C:C,MATCH(C371,Hours!$A:$A,0))+H371*INDEX(Hours!D:D,MATCH(C371,Hours!$A:$A,0))+I371*INDEX(Hours!E:E,MATCH(C371,Hours!$A:$A,0))+J371*INDEX(Hours!F:F,MATCH(C371,Hours!$A:$A,0)))</f>
        <v>0</v>
      </c>
      <c r="S371" s="19">
        <f t="shared" si="11"/>
        <v>0</v>
      </c>
    </row>
    <row r="372" spans="1:19" x14ac:dyDescent="0.25">
      <c r="A372" s="11" t="str">
        <f>'Bldgs &amp; Rooms'!$A$12</f>
        <v>Main Bldg.</v>
      </c>
      <c r="B372" s="11">
        <f>'Bldgs &amp; Rooms'!$B$12</f>
        <v>0</v>
      </c>
      <c r="C372" s="10" t="str">
        <f>Hours!$A$2</f>
        <v>Switchgear - Incoming Main Service (Per Section)</v>
      </c>
      <c r="D372" s="11">
        <f t="shared" si="10"/>
        <v>0</v>
      </c>
      <c r="E372" s="16">
        <f>IF('Components Yr 1'!E372=0,0,'Components Yr 1'!E372)</f>
        <v>0</v>
      </c>
      <c r="F372" s="17">
        <f>IF('Components Yr 1'!F372=0,0,'Components Yr 1'!F372)</f>
        <v>0</v>
      </c>
      <c r="G372" s="17">
        <f>IF('Components Yr 1'!G372=0,0,'Components Yr 1'!G372)</f>
        <v>0</v>
      </c>
      <c r="H372" s="17">
        <f>IF('Components Yr 1'!H372=0,0,'Components Yr 1'!H372)</f>
        <v>0</v>
      </c>
      <c r="I372" s="17">
        <f>IF('Components Yr 1'!I372=0,0,'Components Yr 1'!I372)</f>
        <v>0</v>
      </c>
      <c r="J372" s="17">
        <f>IF('Components Yr 1'!J372=0,0,'Components Yr 1'!J372)</f>
        <v>0</v>
      </c>
      <c r="K372" s="17">
        <f>IF('Components Yr 1'!K372=0,0,'Components Yr 1'!K372)</f>
        <v>0</v>
      </c>
      <c r="L372" s="17">
        <f>IF('Components Yr 1'!L372=0,0,'Components Yr 1'!L372)</f>
        <v>0</v>
      </c>
      <c r="M372" s="12"/>
      <c r="N372" s="12"/>
      <c r="O372" s="17">
        <f>IF('Components Yr 1'!O372=0,0,'Components Yr 1'!O372)</f>
        <v>0</v>
      </c>
      <c r="P372" s="12"/>
      <c r="Q372" s="17"/>
      <c r="R372" s="18">
        <f>IF(SUMPRODUCT((E372:Q372)*1)=0,0,E372*INDEX(Hours!M:M,MATCH(C372,Hours!$A:$A,0))+F372*INDEX(Hours!B:B,MATCH(C372,Hours!$A:$A,0))+G372*INDEX(Hours!C:C,MATCH(C372,Hours!$A:$A,0))+H372*INDEX(Hours!D:D,MATCH(C372,Hours!$A:$A,0))+I372*INDEX(Hours!E:E,MATCH(C372,Hours!$A:$A,0))+J372*INDEX(Hours!F:F,MATCH(C372,Hours!$A:$A,0))+K372*INDEX(Hours!G:G,MATCH(C372,Hours!$A:$A,0))+L372*INDEX(Hours!H:H,MATCH(C372,Hours!$A:$A,0))+O372*INDEX(Hours!K:K,MATCH(C372,Hours!$A:$A,0)))</f>
        <v>0</v>
      </c>
      <c r="S372" s="19">
        <f t="shared" si="11"/>
        <v>0</v>
      </c>
    </row>
    <row r="373" spans="1:19" x14ac:dyDescent="0.25">
      <c r="A373" s="11" t="str">
        <f>'Bldgs &amp; Rooms'!$A$12</f>
        <v>Main Bldg.</v>
      </c>
      <c r="B373" s="11">
        <f>'Bldgs &amp; Rooms'!$B$12</f>
        <v>0</v>
      </c>
      <c r="C373" s="10" t="str">
        <f>Hours!$A$3</f>
        <v xml:space="preserve">  Switchgear Insulated Case Breakers (Bus Mounted)</v>
      </c>
      <c r="D373" s="11">
        <f t="shared" si="10"/>
        <v>0</v>
      </c>
      <c r="E373" s="16">
        <f>IF('Components Yr 1'!E373=0,0,'Components Yr 1'!E373)</f>
        <v>0</v>
      </c>
      <c r="F373" s="17">
        <f>IF('Components Yr 1'!F373=0,0,'Components Yr 1'!F373)</f>
        <v>0</v>
      </c>
      <c r="G373" s="17">
        <f>IF('Components Yr 1'!G373=0,0,'Components Yr 1'!G373)</f>
        <v>0</v>
      </c>
      <c r="H373" s="17">
        <f>IF('Components Yr 1'!H373=0,0,'Components Yr 1'!H373)</f>
        <v>0</v>
      </c>
      <c r="I373" s="17">
        <f>IF('Components Yr 1'!I373=0,0,'Components Yr 1'!I373)</f>
        <v>0</v>
      </c>
      <c r="J373" s="17">
        <f>IF('Components Yr 1'!J373=0,0,'Components Yr 1'!J373)</f>
        <v>0</v>
      </c>
      <c r="K373" s="17">
        <f>IF('Components Yr 1'!K373=0,0,'Components Yr 1'!K373)</f>
        <v>0</v>
      </c>
      <c r="L373" s="12"/>
      <c r="M373" s="12"/>
      <c r="N373" s="12"/>
      <c r="O373" s="12"/>
      <c r="P373" s="12"/>
      <c r="Q373" s="17"/>
      <c r="R373" s="18">
        <f>IF(SUMPRODUCT((E373:Q373)*1)=0,0,E373*INDEX(Hours!M:M,MATCH(C373,Hours!$A:$A,0))+F373*INDEX(Hours!B:B,MATCH(C373,Hours!$A:$A,0))+G373*INDEX(Hours!C:C,MATCH(C373,Hours!$A:$A,0))+H373*INDEX(Hours!D:D,MATCH(C373,Hours!$A:$A,0))+I373*INDEX(Hours!E:E,MATCH(C373,Hours!$A:$A,0))+J373*INDEX(Hours!F:F,MATCH(C373,Hours!$A:$A,0))+K373*INDEX(Hours!G:G,MATCH(C373,Hours!$A:$A,0)))</f>
        <v>0</v>
      </c>
      <c r="S373" s="19">
        <f t="shared" si="11"/>
        <v>0</v>
      </c>
    </row>
    <row r="374" spans="1:19" x14ac:dyDescent="0.25">
      <c r="A374" s="11" t="str">
        <f>'Bldgs &amp; Rooms'!$A$12</f>
        <v>Main Bldg.</v>
      </c>
      <c r="B374" s="11">
        <f>'Bldgs &amp; Rooms'!$B$12</f>
        <v>0</v>
      </c>
      <c r="C374" s="10" t="str">
        <f>Hours!$A$4</f>
        <v xml:space="preserve">  SwitchGear Drawout Breakers</v>
      </c>
      <c r="D374" s="11">
        <f t="shared" si="10"/>
        <v>0</v>
      </c>
      <c r="E374" s="16">
        <f>IF('Components Yr 1'!E374=0,0,'Components Yr 1'!E374)</f>
        <v>0</v>
      </c>
      <c r="F374" s="17">
        <f>IF('Components Yr 1'!F374=0,0,'Components Yr 1'!F374)</f>
        <v>0</v>
      </c>
      <c r="G374" s="17">
        <f>IF('Components Yr 1'!G374=0,0,'Components Yr 1'!G374)</f>
        <v>0</v>
      </c>
      <c r="H374" s="17">
        <f>IF('Components Yr 1'!H374=0,0,'Components Yr 1'!H374)</f>
        <v>0</v>
      </c>
      <c r="I374" s="17">
        <f>IF('Components Yr 1'!I374=0,0,'Components Yr 1'!I374)</f>
        <v>0</v>
      </c>
      <c r="J374" s="17">
        <f>IF('Components Yr 1'!J374=0,0,'Components Yr 1'!J374)</f>
        <v>0</v>
      </c>
      <c r="K374" s="12"/>
      <c r="L374" s="17">
        <f>IF('Components Yr 1'!L374=0,0,'Components Yr 1'!L374)</f>
        <v>0</v>
      </c>
      <c r="M374" s="12"/>
      <c r="N374" s="12"/>
      <c r="O374" s="12"/>
      <c r="P374" s="12"/>
      <c r="Q374" s="17"/>
      <c r="R374" s="18">
        <f>IF(SUMPRODUCT((E374:Q374)*1)=0,0,E374*INDEX(Hours!M:M,MATCH(C374,Hours!$A:$A,0))+F374*INDEX(Hours!B:B,MATCH(C374,Hours!$A:$A,0))+G374*INDEX(Hours!C:C,MATCH(C374,Hours!$A:$A,0))+H374*INDEX(Hours!D:D,MATCH(C374,Hours!$A:$A,0))+I374*INDEX(Hours!E:E,MATCH(C374,Hours!$A:$A,0))+J374*INDEX(Hours!F:F,MATCH(C374,Hours!$A:$A,0))+L374*INDEX(Hours!H:H,MATCH(C374,Hours!$A:$A,0)))</f>
        <v>0</v>
      </c>
      <c r="S374" s="19">
        <f t="shared" si="11"/>
        <v>0</v>
      </c>
    </row>
    <row r="375" spans="1:19" x14ac:dyDescent="0.25">
      <c r="A375" s="11" t="str">
        <f>'Bldgs &amp; Rooms'!$A$12</f>
        <v>Main Bldg.</v>
      </c>
      <c r="B375" s="11">
        <f>'Bldgs &amp; Rooms'!$B$12</f>
        <v>0</v>
      </c>
      <c r="C375" s="10" t="str">
        <f>Hours!$A$5</f>
        <v>Distribution Switchboard Multi Cover (Per Section)</v>
      </c>
      <c r="D375" s="11">
        <f t="shared" si="10"/>
        <v>0</v>
      </c>
      <c r="E375" s="16">
        <f>IF('Components Yr 1'!E375=0,0,'Components Yr 1'!E375)</f>
        <v>0</v>
      </c>
      <c r="F375" s="17">
        <f>IF('Components Yr 1'!F375=0,0,'Components Yr 1'!F375)</f>
        <v>0</v>
      </c>
      <c r="G375" s="17">
        <f>IF('Components Yr 1'!G375=0,0,'Components Yr 1'!G375)</f>
        <v>0</v>
      </c>
      <c r="H375" s="17">
        <f>IF('Components Yr 1'!H375=0,0,'Components Yr 1'!H375)</f>
        <v>0</v>
      </c>
      <c r="I375" s="17">
        <f>IF('Components Yr 1'!I375=0,0,'Components Yr 1'!I375)</f>
        <v>0</v>
      </c>
      <c r="J375" s="17">
        <f>IF('Components Yr 1'!J375=0,0,'Components Yr 1'!J375)</f>
        <v>0</v>
      </c>
      <c r="K375" s="17">
        <f>IF('Components Yr 1'!K375=0,0,'Components Yr 1'!K375)</f>
        <v>0</v>
      </c>
      <c r="L375" s="12"/>
      <c r="M375" s="12"/>
      <c r="N375" s="12"/>
      <c r="O375" s="17">
        <f>IF('Components Yr 1'!O375=0,0,'Components Yr 1'!O375)</f>
        <v>0</v>
      </c>
      <c r="P375" s="12"/>
      <c r="Q375" s="17"/>
      <c r="R375" s="18">
        <f>IF(SUMPRODUCT((E375:Q375)*1)=0,0,E375*INDEX(Hours!M:M,MATCH(C375,Hours!$A:$A,0))+F375*INDEX(Hours!B:B,MATCH(C375,Hours!$A:$A,0))+G375*INDEX(Hours!C:C,MATCH(C375,Hours!$A:$A,0))+H375*INDEX(Hours!D:D,MATCH(C375,Hours!$A:$A,0))+I375*INDEX(Hours!E:E,MATCH(C375,Hours!$A:$A,0))+J375*INDEX(Hours!F:F,MATCH(C375,Hours!$A:$A,0))+K375*INDEX(Hours!G:G,MATCH(C375,Hours!$A:$A,0))+O375*INDEX(Hours!K:K,MATCH(C375,Hours!$A:$A,0)))</f>
        <v>0</v>
      </c>
      <c r="S375" s="19">
        <f t="shared" si="11"/>
        <v>0</v>
      </c>
    </row>
    <row r="376" spans="1:19" x14ac:dyDescent="0.25">
      <c r="A376" s="11" t="str">
        <f>'Bldgs &amp; Rooms'!$A$12</f>
        <v>Main Bldg.</v>
      </c>
      <c r="B376" s="11">
        <f>'Bldgs &amp; Rooms'!$B$12</f>
        <v>0</v>
      </c>
      <c r="C376" s="10" t="str">
        <f>Hours!$A$6</f>
        <v xml:space="preserve">  Switchboard Disconnects</v>
      </c>
      <c r="D376" s="11">
        <f t="shared" si="10"/>
        <v>0</v>
      </c>
      <c r="E376" s="16">
        <f>IF('Components Yr 1'!E376=0,0,'Components Yr 1'!E376)</f>
        <v>0</v>
      </c>
      <c r="F376" s="17">
        <f>IF('Components Yr 1'!F376=0,0,'Components Yr 1'!F376)</f>
        <v>0</v>
      </c>
      <c r="G376" s="17">
        <f>IF('Components Yr 1'!G376=0,0,'Components Yr 1'!G376)</f>
        <v>0</v>
      </c>
      <c r="H376" s="17">
        <f>IF('Components Yr 1'!H376=0,0,'Components Yr 1'!H376)</f>
        <v>0</v>
      </c>
      <c r="I376" s="17">
        <f>IF('Components Yr 1'!I376=0,0,'Components Yr 1'!I376)</f>
        <v>0</v>
      </c>
      <c r="J376" s="17">
        <f>IF('Components Yr 1'!J376=0,0,'Components Yr 1'!J376)</f>
        <v>0</v>
      </c>
      <c r="K376" s="12"/>
      <c r="L376" s="12"/>
      <c r="M376" s="12"/>
      <c r="N376" s="12"/>
      <c r="O376" s="12"/>
      <c r="P376" s="12"/>
      <c r="Q376" s="17"/>
      <c r="R376" s="18">
        <f>IF(SUMPRODUCT((E376:Q376)*1)=0,0,E376*INDEX(Hours!M:M,MATCH(C376,Hours!$A:$A,0))+F376*INDEX(Hours!B:B,MATCH(C376,Hours!$A:$A,0))+G376*INDEX(Hours!C:C,MATCH(C376,Hours!$A:$A,0))+H376*INDEX(Hours!D:D,MATCH(C376,Hours!$A:$A,0))+I376*INDEX(Hours!E:E,MATCH(C376,Hours!$A:$A,0))+J376*INDEX(Hours!F:F,MATCH(C376,Hours!$A:$A,0)))</f>
        <v>0</v>
      </c>
      <c r="S376" s="19">
        <f t="shared" si="11"/>
        <v>0</v>
      </c>
    </row>
    <row r="377" spans="1:19" x14ac:dyDescent="0.25">
      <c r="A377" s="11" t="str">
        <f>'Bldgs &amp; Rooms'!$A$12</f>
        <v>Main Bldg.</v>
      </c>
      <c r="B377" s="11">
        <f>'Bldgs &amp; Rooms'!$B$12</f>
        <v>0</v>
      </c>
      <c r="C377" s="10" t="str">
        <f>Hours!$A$7</f>
        <v xml:space="preserve">  Switchboard Molded Case Breakers</v>
      </c>
      <c r="D377" s="11">
        <f t="shared" si="10"/>
        <v>0</v>
      </c>
      <c r="E377" s="16">
        <f>IF('Components Yr 1'!E377=0,0,'Components Yr 1'!E377)</f>
        <v>0</v>
      </c>
      <c r="F377" s="17">
        <f>IF('Components Yr 1'!F377=0,0,'Components Yr 1'!F377)</f>
        <v>0</v>
      </c>
      <c r="G377" s="17">
        <f>IF('Components Yr 1'!G377=0,0,'Components Yr 1'!G377)</f>
        <v>0</v>
      </c>
      <c r="H377" s="17">
        <f>IF('Components Yr 1'!H377=0,0,'Components Yr 1'!H377)</f>
        <v>0</v>
      </c>
      <c r="I377" s="17">
        <f>IF('Components Yr 1'!I377=0,0,'Components Yr 1'!I377)</f>
        <v>0</v>
      </c>
      <c r="J377" s="17">
        <f>IF('Components Yr 1'!J377=0,0,'Components Yr 1'!J377)</f>
        <v>0</v>
      </c>
      <c r="K377" s="17">
        <f>IF('Components Yr 1'!K377=0,0,'Components Yr 1'!K377)</f>
        <v>0</v>
      </c>
      <c r="L377" s="12"/>
      <c r="M377" s="12"/>
      <c r="N377" s="12"/>
      <c r="O377" s="12"/>
      <c r="P377" s="12"/>
      <c r="Q377" s="17"/>
      <c r="R377" s="18">
        <f>IF(SUMPRODUCT((E377:Q377)*1)=0,0,E377*INDEX(Hours!M:M,MATCH(C377,Hours!$A:$A,0))+F377*INDEX(Hours!B:B,MATCH(C377,Hours!$A:$A,0))+G377*INDEX(Hours!C:C,MATCH(C377,Hours!$A:$A,0))+H377*INDEX(Hours!D:D,MATCH(C377,Hours!$A:$A,0))+I377*INDEX(Hours!E:E,MATCH(C377,Hours!$A:$A,0))+J377*INDEX(Hours!F:F,MATCH(C377,Hours!$A:$A,0))+K377*INDEX(Hours!G:G,MATCH(C377,Hours!$A:$A,0)))</f>
        <v>0</v>
      </c>
      <c r="S377" s="19">
        <f t="shared" si="11"/>
        <v>0</v>
      </c>
    </row>
    <row r="378" spans="1:19" x14ac:dyDescent="0.25">
      <c r="A378" s="11" t="str">
        <f>'Bldgs &amp; Rooms'!$A$12</f>
        <v>Main Bldg.</v>
      </c>
      <c r="B378" s="11">
        <f>'Bldgs &amp; Rooms'!$B$12</f>
        <v>0</v>
      </c>
      <c r="C378" s="10" t="str">
        <f>Hours!$A$8</f>
        <v>Panelboard-Single Cover &gt; 400A (Distribution Panel)</v>
      </c>
      <c r="D378" s="11">
        <f t="shared" si="10"/>
        <v>0</v>
      </c>
      <c r="E378" s="16">
        <f>IF('Components Yr 1'!E378=0,0,'Components Yr 1'!E378)</f>
        <v>0</v>
      </c>
      <c r="F378" s="17">
        <f>IF('Components Yr 1'!F378=0,0,'Components Yr 1'!F378)</f>
        <v>0</v>
      </c>
      <c r="G378" s="17">
        <f>IF('Components Yr 1'!G378=0,0,'Components Yr 1'!G378)</f>
        <v>0</v>
      </c>
      <c r="H378" s="17">
        <f>IF('Components Yr 1'!H378=0,0,'Components Yr 1'!H378)</f>
        <v>0</v>
      </c>
      <c r="I378" s="17">
        <f>IF('Components Yr 1'!I378=0,0,'Components Yr 1'!I378)</f>
        <v>0</v>
      </c>
      <c r="J378" s="17">
        <f>IF('Components Yr 1'!J378=0,0,'Components Yr 1'!J378)</f>
        <v>0</v>
      </c>
      <c r="K378" s="17">
        <f>IF('Components Yr 1'!K378=0,0,'Components Yr 1'!K378)</f>
        <v>0</v>
      </c>
      <c r="L378" s="12"/>
      <c r="M378" s="12"/>
      <c r="N378" s="12"/>
      <c r="O378" s="17">
        <f>IF('Components Yr 1'!O378=0,0,'Components Yr 1'!O378)</f>
        <v>0</v>
      </c>
      <c r="P378" s="12"/>
      <c r="Q378" s="17"/>
      <c r="R378" s="18">
        <f>IF(SUMPRODUCT((E378:Q378)*1)=0,0,E378*INDEX(Hours!M:M,MATCH(C378,Hours!$A:$A,0))+F378*INDEX(Hours!B:B,MATCH(C378,Hours!$A:$A,0))+G378*INDEX(Hours!C:C,MATCH(C378,Hours!$A:$A,0))+H378*INDEX(Hours!D:D,MATCH(C378,Hours!$A:$A,0))+I378*INDEX(Hours!E:E,MATCH(C378,Hours!$A:$A,0))+J378*INDEX(Hours!F:F,MATCH(C378,Hours!$A:$A,0))+K378*INDEX(Hours!G:G,MATCH(C378,Hours!$A:$A,0))+O378*INDEX(Hours!K:K,MATCH(C378,Hours!$A:$A,0)))</f>
        <v>0</v>
      </c>
      <c r="S378" s="19">
        <f t="shared" si="11"/>
        <v>0</v>
      </c>
    </row>
    <row r="379" spans="1:19" x14ac:dyDescent="0.25">
      <c r="A379" s="11" t="str">
        <f>'Bldgs &amp; Rooms'!$A$12</f>
        <v>Main Bldg.</v>
      </c>
      <c r="B379" s="11">
        <f>'Bldgs &amp; Rooms'!$B$12</f>
        <v>0</v>
      </c>
      <c r="C379" s="10" t="str">
        <f>Hours!$A$9</f>
        <v>Panelboard-Single Cover &lt; 400A (Branch Ckt Panel)</v>
      </c>
      <c r="D379" s="11">
        <f t="shared" si="10"/>
        <v>0</v>
      </c>
      <c r="E379" s="16">
        <f>IF('Components Yr 1'!E379=0,0,'Components Yr 1'!E379)</f>
        <v>0</v>
      </c>
      <c r="F379" s="17">
        <f>IF('Components Yr 1'!F379=0,0,'Components Yr 1'!F379)</f>
        <v>0</v>
      </c>
      <c r="G379" s="17">
        <f>IF('Components Yr 1'!G379=0,0,'Components Yr 1'!G379)</f>
        <v>0</v>
      </c>
      <c r="H379" s="17">
        <f>IF('Components Yr 1'!H379=0,0,'Components Yr 1'!H379)</f>
        <v>0</v>
      </c>
      <c r="I379" s="17">
        <f>IF('Components Yr 1'!I379=0,0,'Components Yr 1'!I379)</f>
        <v>0</v>
      </c>
      <c r="J379" s="17">
        <f>IF('Components Yr 1'!J379=0,0,'Components Yr 1'!J379)</f>
        <v>0</v>
      </c>
      <c r="K379" s="12"/>
      <c r="L379" s="12"/>
      <c r="M379" s="12"/>
      <c r="N379" s="12"/>
      <c r="O379" s="17">
        <f>IF('Components Yr 1'!O379=0,0,'Components Yr 1'!O379)</f>
        <v>0</v>
      </c>
      <c r="P379" s="12"/>
      <c r="Q379" s="17"/>
      <c r="R379" s="18">
        <f>IF(SUMPRODUCT((E379:Q379)*1)=0,0,E379*INDEX(Hours!M:M,MATCH(C379,Hours!$A:$A,0))+F379*INDEX(Hours!B:B,MATCH(C379,Hours!$A:$A,0))+G379*INDEX(Hours!C:C,MATCH(C379,Hours!$A:$A,0))+H379*INDEX(Hours!D:D,MATCH(C379,Hours!$A:$A,0))+I379*INDEX(Hours!E:E,MATCH(C379,Hours!$A:$A,0))+J379*INDEX(Hours!F:F,MATCH(C379,Hours!$A:$A,0))+O379*INDEX(Hours!K:K,MATCH(C379,Hours!$A:$A,0)))</f>
        <v>0</v>
      </c>
      <c r="S379" s="19">
        <f t="shared" si="11"/>
        <v>0</v>
      </c>
    </row>
    <row r="380" spans="1:19" x14ac:dyDescent="0.25">
      <c r="A380" s="11" t="str">
        <f>'Bldgs &amp; Rooms'!$A$12</f>
        <v>Main Bldg.</v>
      </c>
      <c r="B380" s="11">
        <f>'Bldgs &amp; Rooms'!$B$12</f>
        <v>0</v>
      </c>
      <c r="C380" s="10" t="str">
        <f>Hours!$A$10</f>
        <v>Motor Control Center (MCC-Per Vertical Section)</v>
      </c>
      <c r="D380" s="11">
        <f t="shared" si="10"/>
        <v>0</v>
      </c>
      <c r="E380" s="16">
        <f>IF('Components Yr 1'!E380=0,0,'Components Yr 1'!E380)</f>
        <v>0</v>
      </c>
      <c r="F380" s="17">
        <f>IF('Components Yr 1'!F380=0,0,'Components Yr 1'!F380)</f>
        <v>0</v>
      </c>
      <c r="G380" s="17">
        <f>IF('Components Yr 1'!G380=0,0,'Components Yr 1'!G380)</f>
        <v>0</v>
      </c>
      <c r="H380" s="17">
        <f>IF('Components Yr 1'!H380=0,0,'Components Yr 1'!H380)</f>
        <v>0</v>
      </c>
      <c r="I380" s="17">
        <f>IF('Components Yr 1'!I380=0,0,'Components Yr 1'!I380)</f>
        <v>0</v>
      </c>
      <c r="J380" s="17">
        <f>IF('Components Yr 1'!J380=0,0,'Components Yr 1'!J380)</f>
        <v>0</v>
      </c>
      <c r="K380" s="12"/>
      <c r="L380" s="12"/>
      <c r="M380" s="12"/>
      <c r="N380" s="12"/>
      <c r="O380" s="17">
        <f>IF('Components Yr 1'!O380=0,0,'Components Yr 1'!O380)</f>
        <v>0</v>
      </c>
      <c r="P380" s="12"/>
      <c r="Q380" s="17"/>
      <c r="R380" s="18">
        <f>IF(SUMPRODUCT((E380:Q380)*1)=0,0,E380*INDEX(Hours!M:M,MATCH(C380,Hours!$A:$A,0))+F380*INDEX(Hours!B:B,MATCH(C380,Hours!$A:$A,0))+G380*INDEX(Hours!C:C,MATCH(C380,Hours!$A:$A,0))+H380*INDEX(Hours!D:D,MATCH(C380,Hours!$A:$A,0))+I380*INDEX(Hours!E:E,MATCH(C380,Hours!$A:$A,0))+J380*INDEX(Hours!F:F,MATCH(C380,Hours!$A:$A,0))+O380*INDEX(Hours!K:K,MATCH(C380,Hours!$A:$A,0)))</f>
        <v>0</v>
      </c>
      <c r="S380" s="19">
        <f t="shared" si="11"/>
        <v>0</v>
      </c>
    </row>
    <row r="381" spans="1:19" x14ac:dyDescent="0.25">
      <c r="A381" s="11" t="str">
        <f>'Bldgs &amp; Rooms'!$A$12</f>
        <v>Main Bldg.</v>
      </c>
      <c r="B381" s="11">
        <f>'Bldgs &amp; Rooms'!$B$12</f>
        <v>0</v>
      </c>
      <c r="C381" s="10" t="str">
        <f>Hours!$A$11</f>
        <v xml:space="preserve">  MCC: Combination Motor Starters</v>
      </c>
      <c r="D381" s="11">
        <f t="shared" si="10"/>
        <v>0</v>
      </c>
      <c r="E381" s="16">
        <f>IF('Components Yr 1'!E381=0,0,'Components Yr 1'!E381)</f>
        <v>0</v>
      </c>
      <c r="F381" s="17">
        <f>IF('Components Yr 1'!F381=0,0,'Components Yr 1'!F381)</f>
        <v>0</v>
      </c>
      <c r="G381" s="17">
        <f>IF('Components Yr 1'!G381=0,0,'Components Yr 1'!G381)</f>
        <v>0</v>
      </c>
      <c r="H381" s="17">
        <f>IF('Components Yr 1'!H381=0,0,'Components Yr 1'!H381)</f>
        <v>0</v>
      </c>
      <c r="I381" s="17">
        <f>IF('Components Yr 1'!I381=0,0,'Components Yr 1'!I381)</f>
        <v>0</v>
      </c>
      <c r="J381" s="17">
        <f>IF('Components Yr 1'!J381=0,0,'Components Yr 1'!J381)</f>
        <v>0</v>
      </c>
      <c r="K381" s="17">
        <f>IF('Components Yr 1'!K381=0,0,'Components Yr 1'!K381)</f>
        <v>0</v>
      </c>
      <c r="L381" s="12"/>
      <c r="M381" s="12"/>
      <c r="N381" s="12"/>
      <c r="O381" s="17">
        <f>IF('Components Yr 1'!O381=0,0,'Components Yr 1'!O381)</f>
        <v>0</v>
      </c>
      <c r="P381" s="12"/>
      <c r="Q381" s="17"/>
      <c r="R381" s="18">
        <f>IF(SUMPRODUCT((E381:Q381)*1)=0,0,E381*INDEX(Hours!M:M,MATCH(C381,Hours!$A:$A,0))+F381*INDEX(Hours!B:B,MATCH(C381,Hours!$A:$A,0))+G381*INDEX(Hours!C:C,MATCH(C381,Hours!$A:$A,0))+H381*INDEX(Hours!D:D,MATCH(C381,Hours!$A:$A,0))+I381*INDEX(Hours!E:E,MATCH(C381,Hours!$A:$A,0))+J381*INDEX(Hours!F:F,MATCH(C381,Hours!$A:$A,0))+K381*INDEX(Hours!G:G,MATCH(C381,Hours!$A:$A,0))+O381*INDEX(Hours!K:K,MATCH(C381,Hours!$A:$A,0)))</f>
        <v>0</v>
      </c>
      <c r="S381" s="19">
        <f t="shared" si="11"/>
        <v>0</v>
      </c>
    </row>
    <row r="382" spans="1:19" x14ac:dyDescent="0.25">
      <c r="A382" s="11" t="str">
        <f>'Bldgs &amp; Rooms'!$A$12</f>
        <v>Main Bldg.</v>
      </c>
      <c r="B382" s="11">
        <f>'Bldgs &amp; Rooms'!$B$12</f>
        <v>0</v>
      </c>
      <c r="C382" s="10" t="str">
        <f>Hours!$A$12</f>
        <v xml:space="preserve">  MCC: Molded Case Breaker</v>
      </c>
      <c r="D382" s="11">
        <f t="shared" si="10"/>
        <v>0</v>
      </c>
      <c r="E382" s="16">
        <f>IF('Components Yr 1'!E382=0,0,'Components Yr 1'!E382)</f>
        <v>0</v>
      </c>
      <c r="F382" s="17">
        <f>IF('Components Yr 1'!F382=0,0,'Components Yr 1'!F382)</f>
        <v>0</v>
      </c>
      <c r="G382" s="17">
        <f>IF('Components Yr 1'!G382=0,0,'Components Yr 1'!G382)</f>
        <v>0</v>
      </c>
      <c r="H382" s="17">
        <f>IF('Components Yr 1'!H382=0,0,'Components Yr 1'!H382)</f>
        <v>0</v>
      </c>
      <c r="I382" s="17">
        <f>IF('Components Yr 1'!I382=0,0,'Components Yr 1'!I382)</f>
        <v>0</v>
      </c>
      <c r="J382" s="17">
        <f>IF('Components Yr 1'!J382=0,0,'Components Yr 1'!J382)</f>
        <v>0</v>
      </c>
      <c r="K382" s="17">
        <f>IF('Components Yr 1'!K382=0,0,'Components Yr 1'!K382)</f>
        <v>0</v>
      </c>
      <c r="L382" s="12"/>
      <c r="M382" s="12"/>
      <c r="N382" s="12"/>
      <c r="O382" s="12"/>
      <c r="P382" s="12"/>
      <c r="Q382" s="17"/>
      <c r="R382" s="18">
        <f>IF(SUMPRODUCT((E382:Q382)*1)=0,0,E382*INDEX(Hours!M:M,MATCH(C382,Hours!$A:$A,0))+F382*INDEX(Hours!B:B,MATCH(C382,Hours!$A:$A,0))+G382*INDEX(Hours!C:C,MATCH(C382,Hours!$A:$A,0))+H382*INDEX(Hours!D:D,MATCH(C382,Hours!$A:$A,0))+I382*INDEX(Hours!E:E,MATCH(C382,Hours!$A:$A,0))+J382*INDEX(Hours!F:F,MATCH(C382,Hours!$A:$A,0))+K382*INDEX(Hours!G:G,MATCH(C382,Hours!$A:$A,0)))</f>
        <v>0</v>
      </c>
      <c r="S382" s="19">
        <f t="shared" si="11"/>
        <v>0</v>
      </c>
    </row>
    <row r="383" spans="1:19" x14ac:dyDescent="0.25">
      <c r="A383" s="11" t="str">
        <f>'Bldgs &amp; Rooms'!$A$12</f>
        <v>Main Bldg.</v>
      </c>
      <c r="B383" s="11">
        <f>'Bldgs &amp; Rooms'!$B$12</f>
        <v>0</v>
      </c>
      <c r="C383" s="10" t="str">
        <f>Hours!$A$13</f>
        <v xml:space="preserve">  MCC: Individual Disconnect Switch</v>
      </c>
      <c r="D383" s="11">
        <f t="shared" si="10"/>
        <v>0</v>
      </c>
      <c r="E383" s="16">
        <f>IF('Components Yr 1'!E383=0,0,'Components Yr 1'!E383)</f>
        <v>0</v>
      </c>
      <c r="F383" s="17">
        <f>IF('Components Yr 1'!F383=0,0,'Components Yr 1'!F383)</f>
        <v>0</v>
      </c>
      <c r="G383" s="17">
        <f>IF('Components Yr 1'!G383=0,0,'Components Yr 1'!G383)</f>
        <v>0</v>
      </c>
      <c r="H383" s="17">
        <f>IF('Components Yr 1'!H383=0,0,'Components Yr 1'!H383)</f>
        <v>0</v>
      </c>
      <c r="I383" s="17">
        <f>IF('Components Yr 1'!I383=0,0,'Components Yr 1'!I383)</f>
        <v>0</v>
      </c>
      <c r="J383" s="17">
        <f>IF('Components Yr 1'!J383=0,0,'Components Yr 1'!J383)</f>
        <v>0</v>
      </c>
      <c r="K383" s="12"/>
      <c r="L383" s="12"/>
      <c r="M383" s="12"/>
      <c r="N383" s="12"/>
      <c r="O383" s="12"/>
      <c r="P383" s="12"/>
      <c r="Q383" s="17"/>
      <c r="R383" s="18">
        <f>IF(SUMPRODUCT((E383:Q383)*1)=0,0,E383*INDEX(Hours!M:M,MATCH(C383,Hours!$A:$A,0))+F383*INDEX(Hours!B:B,MATCH(C383,Hours!$A:$A,0))+G383*INDEX(Hours!C:C,MATCH(C383,Hours!$A:$A,0))+H383*INDEX(Hours!D:D,MATCH(C383,Hours!$A:$A,0))+I383*INDEX(Hours!E:E,MATCH(C383,Hours!$A:$A,0))+J383*INDEX(Hours!F:F,MATCH(C383,Hours!$A:$A,0)))</f>
        <v>0</v>
      </c>
      <c r="S383" s="19">
        <f t="shared" si="11"/>
        <v>0</v>
      </c>
    </row>
    <row r="384" spans="1:19" x14ac:dyDescent="0.25">
      <c r="A384" s="11" t="str">
        <f>'Bldgs &amp; Rooms'!$A$12</f>
        <v>Main Bldg.</v>
      </c>
      <c r="B384" s="11">
        <f>'Bldgs &amp; Rooms'!$B$12</f>
        <v>0</v>
      </c>
      <c r="C384" s="10" t="str">
        <f>Hours!$A$14</f>
        <v>Motor Control Panel (MCP)</v>
      </c>
      <c r="D384" s="11">
        <f t="shared" si="10"/>
        <v>0</v>
      </c>
      <c r="E384" s="16">
        <f>IF('Components Yr 1'!E384=0,0,'Components Yr 1'!E384)</f>
        <v>0</v>
      </c>
      <c r="F384" s="17">
        <f>IF('Components Yr 1'!F384=0,0,'Components Yr 1'!F384)</f>
        <v>0</v>
      </c>
      <c r="G384" s="17">
        <f>IF('Components Yr 1'!G384=0,0,'Components Yr 1'!G384)</f>
        <v>0</v>
      </c>
      <c r="H384" s="17">
        <f>IF('Components Yr 1'!H384=0,0,'Components Yr 1'!H384)</f>
        <v>0</v>
      </c>
      <c r="I384" s="17">
        <f>IF('Components Yr 1'!I384=0,0,'Components Yr 1'!I384)</f>
        <v>0</v>
      </c>
      <c r="J384" s="17">
        <f>IF('Components Yr 1'!J384=0,0,'Components Yr 1'!J384)</f>
        <v>0</v>
      </c>
      <c r="K384" s="12"/>
      <c r="L384" s="12"/>
      <c r="M384" s="12"/>
      <c r="N384" s="12"/>
      <c r="O384" s="17">
        <f>IF('Components Yr 1'!O384=0,0,'Components Yr 1'!O384)</f>
        <v>0</v>
      </c>
      <c r="P384" s="12"/>
      <c r="Q384" s="17"/>
      <c r="R384" s="18">
        <f>IF(SUMPRODUCT((E384:Q384)*1)=0,0,E384*INDEX(Hours!M:M,MATCH(C384,Hours!$A:$A,0))+F384*INDEX(Hours!B:B,MATCH(C384,Hours!$A:$A,0))+G384*INDEX(Hours!C:C,MATCH(C384,Hours!$A:$A,0))+H384*INDEX(Hours!D:D,MATCH(C384,Hours!$A:$A,0))+I384*INDEX(Hours!E:E,MATCH(C384,Hours!$A:$A,0))+J384*INDEX(Hours!F:F,MATCH(C384,Hours!$A:$A,0))+O384*INDEX(Hours!K:K,MATCH(C384,Hours!$A:$A,0)))</f>
        <v>0</v>
      </c>
      <c r="S384" s="19">
        <f t="shared" si="11"/>
        <v>0</v>
      </c>
    </row>
    <row r="385" spans="1:19" x14ac:dyDescent="0.25">
      <c r="A385" s="11" t="str">
        <f>'Bldgs &amp; Rooms'!$A$12</f>
        <v>Main Bldg.</v>
      </c>
      <c r="B385" s="11">
        <f>'Bldgs &amp; Rooms'!$B$12</f>
        <v>0</v>
      </c>
      <c r="C385" s="10" t="str">
        <f>Hours!$A$15</f>
        <v>VFD Motor Control Panel (VFD-MCP)</v>
      </c>
      <c r="D385" s="11">
        <f t="shared" si="10"/>
        <v>0</v>
      </c>
      <c r="E385" s="16">
        <f>IF('Components Yr 1'!E385=0,0,'Components Yr 1'!E385)</f>
        <v>0</v>
      </c>
      <c r="F385" s="17">
        <f>IF('Components Yr 1'!F385=0,0,'Components Yr 1'!F385)</f>
        <v>0</v>
      </c>
      <c r="G385" s="17">
        <f>IF('Components Yr 1'!G385=0,0,'Components Yr 1'!G385)</f>
        <v>0</v>
      </c>
      <c r="H385" s="17">
        <f>IF('Components Yr 1'!H385=0,0,'Components Yr 1'!H385)</f>
        <v>0</v>
      </c>
      <c r="I385" s="17">
        <f>IF('Components Yr 1'!I385=0,0,'Components Yr 1'!I385)</f>
        <v>0</v>
      </c>
      <c r="J385" s="17">
        <f>IF('Components Yr 1'!J385=0,0,'Components Yr 1'!J385)</f>
        <v>0</v>
      </c>
      <c r="K385" s="12"/>
      <c r="L385" s="12"/>
      <c r="M385" s="12"/>
      <c r="N385" s="12"/>
      <c r="O385" s="17">
        <f>IF('Components Yr 1'!O385=0,0,'Components Yr 1'!O385)</f>
        <v>0</v>
      </c>
      <c r="P385" s="12"/>
      <c r="Q385" s="17"/>
      <c r="R385" s="18">
        <f>IF(SUMPRODUCT((E385:Q385)*1)=0,0,E385*INDEX(Hours!M:M,MATCH(C385,Hours!$A:$A,0))+F385*INDEX(Hours!B:B,MATCH(C385,Hours!$A:$A,0))+G385*INDEX(Hours!C:C,MATCH(C385,Hours!$A:$A,0))+H385*INDEX(Hours!D:D,MATCH(C385,Hours!$A:$A,0))+I385*INDEX(Hours!E:E,MATCH(C385,Hours!$A:$A,0))+J385*INDEX(Hours!F:F,MATCH(C385,Hours!$A:$A,0))+O385*INDEX(Hours!K:K,MATCH(C385,Hours!$A:$A,0)))</f>
        <v>0</v>
      </c>
      <c r="S385" s="19">
        <f t="shared" si="11"/>
        <v>0</v>
      </c>
    </row>
    <row r="386" spans="1:19" x14ac:dyDescent="0.25">
      <c r="A386" s="11" t="str">
        <f>'Bldgs &amp; Rooms'!$A$12</f>
        <v>Main Bldg.</v>
      </c>
      <c r="B386" s="11">
        <f>'Bldgs &amp; Rooms'!$B$12</f>
        <v>0</v>
      </c>
      <c r="C386" s="10" t="str">
        <f>Hours!$A$16</f>
        <v>Individual Disconnect Switch &gt; 100A</v>
      </c>
      <c r="D386" s="11">
        <f t="shared" ref="D386:D449" si="12">MAX(E386+F386,G386,H386,I386,J386,K386,L386,M386,N386,O386,P386,Q386)</f>
        <v>0</v>
      </c>
      <c r="E386" s="16">
        <f>IF('Components Yr 1'!E386=0,0,'Components Yr 1'!E386)</f>
        <v>0</v>
      </c>
      <c r="F386" s="17">
        <f>IF('Components Yr 1'!F386=0,0,'Components Yr 1'!F386)</f>
        <v>0</v>
      </c>
      <c r="G386" s="17">
        <f>IF('Components Yr 1'!G386=0,0,'Components Yr 1'!G386)</f>
        <v>0</v>
      </c>
      <c r="H386" s="17">
        <f>IF('Components Yr 1'!H386=0,0,'Components Yr 1'!H386)</f>
        <v>0</v>
      </c>
      <c r="I386" s="17">
        <f>IF('Components Yr 1'!I386=0,0,'Components Yr 1'!I386)</f>
        <v>0</v>
      </c>
      <c r="J386" s="17">
        <f>IF('Components Yr 1'!J386=0,0,'Components Yr 1'!J386)</f>
        <v>0</v>
      </c>
      <c r="K386" s="17">
        <f>IF('Components Yr 1'!K386=0,0,'Components Yr 1'!K386)</f>
        <v>0</v>
      </c>
      <c r="L386" s="12"/>
      <c r="M386" s="12"/>
      <c r="N386" s="12"/>
      <c r="O386" s="12"/>
      <c r="P386" s="12"/>
      <c r="Q386" s="17"/>
      <c r="R386" s="18">
        <f>IF(SUMPRODUCT((E386:Q386)*1)=0,0,E386*INDEX(Hours!M:M,MATCH(C386,Hours!$A:$A,0))+F386*INDEX(Hours!B:B,MATCH(C386,Hours!$A:$A,0))+G386*INDEX(Hours!C:C,MATCH(C386,Hours!$A:$A,0))+H386*INDEX(Hours!D:D,MATCH(C386,Hours!$A:$A,0))+I386*INDEX(Hours!E:E,MATCH(C386,Hours!$A:$A,0))+J386*INDEX(Hours!F:F,MATCH(C386,Hours!$A:$A,0))+K386*INDEX(Hours!G:G,MATCH(C386,Hours!$A:$A,0)))</f>
        <v>0</v>
      </c>
      <c r="S386" s="19">
        <f t="shared" ref="S386:S449" si="13">MAX(E386+F386,G386,H386,I386,J386,K386,L386,M386,N386,O386,P386,Q386)</f>
        <v>0</v>
      </c>
    </row>
    <row r="387" spans="1:19" x14ac:dyDescent="0.25">
      <c r="A387" s="11" t="str">
        <f>'Bldgs &amp; Rooms'!$A$12</f>
        <v>Main Bldg.</v>
      </c>
      <c r="B387" s="11">
        <f>'Bldgs &amp; Rooms'!$B$12</f>
        <v>0</v>
      </c>
      <c r="C387" s="10" t="str">
        <f>Hours!$A$17</f>
        <v>Individual Molded Case Breaker &gt; 100A</v>
      </c>
      <c r="D387" s="11">
        <f t="shared" si="12"/>
        <v>0</v>
      </c>
      <c r="E387" s="16">
        <f>IF('Components Yr 1'!E387=0,0,'Components Yr 1'!E387)</f>
        <v>0</v>
      </c>
      <c r="F387" s="17">
        <f>IF('Components Yr 1'!F387=0,0,'Components Yr 1'!F387)</f>
        <v>0</v>
      </c>
      <c r="G387" s="17">
        <f>IF('Components Yr 1'!G387=0,0,'Components Yr 1'!G387)</f>
        <v>0</v>
      </c>
      <c r="H387" s="17">
        <f>IF('Components Yr 1'!H387=0,0,'Components Yr 1'!H387)</f>
        <v>0</v>
      </c>
      <c r="I387" s="17">
        <f>IF('Components Yr 1'!I387=0,0,'Components Yr 1'!I387)</f>
        <v>0</v>
      </c>
      <c r="J387" s="17">
        <f>IF('Components Yr 1'!J387=0,0,'Components Yr 1'!J387)</f>
        <v>0</v>
      </c>
      <c r="K387" s="17">
        <f>IF('Components Yr 1'!K387=0,0,'Components Yr 1'!K387)</f>
        <v>0</v>
      </c>
      <c r="L387" s="12"/>
      <c r="M387" s="12"/>
      <c r="N387" s="12"/>
      <c r="O387" s="12"/>
      <c r="P387" s="12"/>
      <c r="Q387" s="17"/>
      <c r="R387" s="18">
        <f>IF(SUMPRODUCT((E387:Q387)*1)=0,0,E387*INDEX(Hours!M:M,MATCH(C387,Hours!$A:$A,0))+F387*INDEX(Hours!B:B,MATCH(C387,Hours!$A:$A,0))+G387*INDEX(Hours!C:C,MATCH(C387,Hours!$A:$A,0))+H387*INDEX(Hours!D:D,MATCH(C387,Hours!$A:$A,0))+I387*INDEX(Hours!E:E,MATCH(C387,Hours!$A:$A,0))+J387*INDEX(Hours!F:F,MATCH(C387,Hours!$A:$A,0))+K387*INDEX(Hours!G:G,MATCH(C387,Hours!$A:$A,0)))</f>
        <v>0</v>
      </c>
      <c r="S387" s="19">
        <f t="shared" si="13"/>
        <v>0</v>
      </c>
    </row>
    <row r="388" spans="1:19" x14ac:dyDescent="0.25">
      <c r="A388" s="11" t="str">
        <f>'Bldgs &amp; Rooms'!$A$12</f>
        <v>Main Bldg.</v>
      </c>
      <c r="B388" s="11">
        <f>'Bldgs &amp; Rooms'!$B$12</f>
        <v>0</v>
      </c>
      <c r="C388" s="10" t="str">
        <f>Hours!$A$18</f>
        <v>Individual Combination Motor Starter &gt; 100A</v>
      </c>
      <c r="D388" s="11">
        <f t="shared" si="12"/>
        <v>0</v>
      </c>
      <c r="E388" s="16">
        <f>IF('Components Yr 1'!E388=0,0,'Components Yr 1'!E388)</f>
        <v>0</v>
      </c>
      <c r="F388" s="17">
        <f>IF('Components Yr 1'!F388=0,0,'Components Yr 1'!F388)</f>
        <v>0</v>
      </c>
      <c r="G388" s="17">
        <f>IF('Components Yr 1'!G388=0,0,'Components Yr 1'!G388)</f>
        <v>0</v>
      </c>
      <c r="H388" s="17">
        <f>IF('Components Yr 1'!H388=0,0,'Components Yr 1'!H388)</f>
        <v>0</v>
      </c>
      <c r="I388" s="17">
        <f>IF('Components Yr 1'!I388=0,0,'Components Yr 1'!I388)</f>
        <v>0</v>
      </c>
      <c r="J388" s="17">
        <f>IF('Components Yr 1'!J388=0,0,'Components Yr 1'!J388)</f>
        <v>0</v>
      </c>
      <c r="K388" s="17">
        <f>IF('Components Yr 1'!K388=0,0,'Components Yr 1'!K388)</f>
        <v>0</v>
      </c>
      <c r="L388" s="12"/>
      <c r="M388" s="12"/>
      <c r="N388" s="12"/>
      <c r="O388" s="12"/>
      <c r="P388" s="12"/>
      <c r="Q388" s="17"/>
      <c r="R388" s="18">
        <f>IF(SUMPRODUCT((E388:Q388)*1)=0,0,E388*INDEX(Hours!M:M,MATCH(C388,Hours!$A:$A,0))+F388*INDEX(Hours!B:B,MATCH(C388,Hours!$A:$A,0))+G388*INDEX(Hours!C:C,MATCH(C388,Hours!$A:$A,0))+H388*INDEX(Hours!D:D,MATCH(C388,Hours!$A:$A,0))+I388*INDEX(Hours!E:E,MATCH(C388,Hours!$A:$A,0))+J388*INDEX(Hours!F:F,MATCH(C388,Hours!$A:$A,0))+K388*INDEX(Hours!G:G,MATCH(C388,Hours!$A:$A,0)))</f>
        <v>0</v>
      </c>
      <c r="S388" s="19">
        <f t="shared" si="13"/>
        <v>0</v>
      </c>
    </row>
    <row r="389" spans="1:19" x14ac:dyDescent="0.25">
      <c r="A389" s="11" t="str">
        <f>'Bldgs &amp; Rooms'!$A$12</f>
        <v>Main Bldg.</v>
      </c>
      <c r="B389" s="11">
        <f>'Bldgs &amp; Rooms'!$B$12</f>
        <v>0</v>
      </c>
      <c r="C389" s="10" t="str">
        <f>Hours!$A$19</f>
        <v>Oil Filled Transformer - 5kV-15kV Primary - Any Size (Pad Mounted)</v>
      </c>
      <c r="D389" s="11">
        <f t="shared" si="12"/>
        <v>0</v>
      </c>
      <c r="E389" s="16">
        <f>IF('Components Yr 1'!E389=0,0,'Components Yr 1'!E389)</f>
        <v>0</v>
      </c>
      <c r="F389" s="17">
        <f>IF('Components Yr 1'!F389=0,0,'Components Yr 1'!F389)</f>
        <v>0</v>
      </c>
      <c r="G389" s="17">
        <f>IF('Components Yr 1'!G389=0,0,'Components Yr 1'!G389)</f>
        <v>0</v>
      </c>
      <c r="H389" s="17">
        <f>IF('Components Yr 1'!H389=0,0,'Components Yr 1'!H389)</f>
        <v>0</v>
      </c>
      <c r="I389" s="17">
        <f>IF('Components Yr 1'!I389=0,0,'Components Yr 1'!I389)</f>
        <v>0</v>
      </c>
      <c r="J389" s="17">
        <f>IF('Components Yr 1'!J389=0,0,'Components Yr 1'!J389)</f>
        <v>0</v>
      </c>
      <c r="K389" s="12"/>
      <c r="L389" s="12"/>
      <c r="M389" s="17">
        <f>IF('Components Yr 1'!M389=0,0,'Components Yr 1'!M389)</f>
        <v>0</v>
      </c>
      <c r="N389" s="17">
        <f>IF('Components Yr 1'!N389=0,0,'Components Yr 1'!N389)</f>
        <v>0</v>
      </c>
      <c r="O389" s="12"/>
      <c r="P389" s="17">
        <f>IF('Components Yr 1'!P389=0,0,'Components Yr 1'!P389)</f>
        <v>0</v>
      </c>
      <c r="Q389" s="17"/>
      <c r="R389" s="18">
        <f>IF(SUMPRODUCT((E389:Q389)*1)=0,0,E389*INDEX(Hours!M:M,MATCH(C389,Hours!$A:$A,0))+F389*INDEX(Hours!B:B,MATCH(C389,Hours!$A:$A,0))+G389*INDEX(Hours!C:C,MATCH(C389,Hours!$A:$A,0))+H389*INDEX(Hours!D:D,MATCH(C389,Hours!$A:$A,0))+I389*INDEX(Hours!E:E,MATCH(C389,Hours!$A:$A,0))+J389*INDEX(Hours!F:F,MATCH(C389,Hours!$A:$A,0))+M389*INDEX(Hours!I:I,MATCH(C389,Hours!$A:$A,0))+N389*INDEX(Hours!J:J,MATCH(C389,Hours!$A:$A,0))+P389*INDEX(Hours!L:L,MATCH(C389,Hours!$A:$A,0)))</f>
        <v>0</v>
      </c>
      <c r="S389" s="19">
        <f t="shared" si="13"/>
        <v>0</v>
      </c>
    </row>
    <row r="390" spans="1:19" x14ac:dyDescent="0.25">
      <c r="A390" s="11" t="str">
        <f>'Bldgs &amp; Rooms'!$A$12</f>
        <v>Main Bldg.</v>
      </c>
      <c r="B390" s="11">
        <f>'Bldgs &amp; Rooms'!$B$12</f>
        <v>0</v>
      </c>
      <c r="C390" s="10" t="str">
        <f>Hours!$A$20</f>
        <v>Oil Filled Transformer - &gt; 15kV Primary (Substation Class)</v>
      </c>
      <c r="D390" s="11">
        <f t="shared" si="12"/>
        <v>0</v>
      </c>
      <c r="E390" s="16">
        <f>IF('Components Yr 1'!E390=0,0,'Components Yr 1'!E390)</f>
        <v>0</v>
      </c>
      <c r="F390" s="17">
        <f>IF('Components Yr 1'!F390=0,0,'Components Yr 1'!F390)</f>
        <v>0</v>
      </c>
      <c r="G390" s="17">
        <f>IF('Components Yr 1'!G390=0,0,'Components Yr 1'!G390)</f>
        <v>0</v>
      </c>
      <c r="H390" s="17">
        <f>IF('Components Yr 1'!H390=0,0,'Components Yr 1'!H390)</f>
        <v>0</v>
      </c>
      <c r="I390" s="17">
        <f>IF('Components Yr 1'!I390=0,0,'Components Yr 1'!I390)</f>
        <v>0</v>
      </c>
      <c r="J390" s="17">
        <f>IF('Components Yr 1'!J390=0,0,'Components Yr 1'!J390)</f>
        <v>0</v>
      </c>
      <c r="K390" s="12"/>
      <c r="L390" s="12"/>
      <c r="M390" s="17">
        <f>IF('Components Yr 1'!M390=0,0,'Components Yr 1'!M390)</f>
        <v>0</v>
      </c>
      <c r="N390" s="17">
        <f>IF('Components Yr 1'!N390=0,0,'Components Yr 1'!N390)</f>
        <v>0</v>
      </c>
      <c r="O390" s="12"/>
      <c r="P390" s="17">
        <f>IF('Components Yr 1'!P390=0,0,'Components Yr 1'!P390)</f>
        <v>0</v>
      </c>
      <c r="Q390" s="17"/>
      <c r="R390" s="18">
        <f>IF(SUMPRODUCT((E390:Q390)*1)=0,0,E390*INDEX(Hours!M:M,MATCH(C390,Hours!$A:$A,0))+F390*INDEX(Hours!B:B,MATCH(C390,Hours!$A:$A,0))+G390*INDEX(Hours!C:C,MATCH(C390,Hours!$A:$A,0))+H390*INDEX(Hours!D:D,MATCH(C390,Hours!$A:$A,0))+I390*INDEX(Hours!E:E,MATCH(C390,Hours!$A:$A,0))+J390*INDEX(Hours!F:F,MATCH(C390,Hours!$A:$A,0))+M390*INDEX(Hours!I:I,MATCH(C390,Hours!$A:$A,0))+N390*INDEX(Hours!J:J,MATCH(C390,Hours!$A:$A,0))+P390*INDEX(Hours!L:L,MATCH(C390,Hours!$A:$A,0)))</f>
        <v>0</v>
      </c>
      <c r="S390" s="19">
        <f t="shared" si="13"/>
        <v>0</v>
      </c>
    </row>
    <row r="391" spans="1:19" x14ac:dyDescent="0.25">
      <c r="A391" s="11" t="str">
        <f>'Bldgs &amp; Rooms'!$A$12</f>
        <v>Main Bldg.</v>
      </c>
      <c r="B391" s="11">
        <f>'Bldgs &amp; Rooms'!$B$12</f>
        <v>0</v>
      </c>
      <c r="C391" s="10" t="str">
        <f>Hours!$A$21</f>
        <v>Dry Type Transformer - &lt; 480V Primary - Any Size kVA</v>
      </c>
      <c r="D391" s="11">
        <f t="shared" si="12"/>
        <v>0</v>
      </c>
      <c r="E391" s="16">
        <f>IF('Components Yr 1'!E391=0,0,'Components Yr 1'!E391)</f>
        <v>0</v>
      </c>
      <c r="F391" s="17">
        <f>IF('Components Yr 1'!F391=0,0,'Components Yr 1'!F391)</f>
        <v>0</v>
      </c>
      <c r="G391" s="17">
        <f>IF('Components Yr 1'!G391=0,0,'Components Yr 1'!G391)</f>
        <v>0</v>
      </c>
      <c r="H391" s="17">
        <f>IF('Components Yr 1'!H391=0,0,'Components Yr 1'!H391)</f>
        <v>0</v>
      </c>
      <c r="I391" s="17">
        <f>IF('Components Yr 1'!I391=0,0,'Components Yr 1'!I391)</f>
        <v>0</v>
      </c>
      <c r="J391" s="17">
        <f>IF('Components Yr 1'!J391=0,0,'Components Yr 1'!J391)</f>
        <v>0</v>
      </c>
      <c r="K391" s="12"/>
      <c r="L391" s="12"/>
      <c r="M391" s="17">
        <f>IF('Components Yr 1'!M391=0,0,'Components Yr 1'!M391)</f>
        <v>0</v>
      </c>
      <c r="N391" s="17">
        <f>IF('Components Yr 1'!N391=0,0,'Components Yr 1'!N391)</f>
        <v>0</v>
      </c>
      <c r="O391" s="12"/>
      <c r="P391" s="12"/>
      <c r="Q391" s="17"/>
      <c r="R391" s="18">
        <f>IF(SUMPRODUCT((E391:Q391)*1)=0,0,E391*INDEX(Hours!M:M,MATCH(C391,Hours!$A:$A,0))+F391*INDEX(Hours!B:B,MATCH(C391,Hours!$A:$A,0))+G391*INDEX(Hours!C:C,MATCH(C391,Hours!$A:$A,0))+H391*INDEX(Hours!D:D,MATCH(C391,Hours!$A:$A,0))+I391*INDEX(Hours!E:E,MATCH(C391,Hours!$A:$A,0))+J391*INDEX(Hours!F:F,MATCH(C391,Hours!$A:$A,0))+M391*INDEX(Hours!I:I,MATCH(C391,Hours!$A:$A,0))+N391*INDEX(Hours!J:J,MATCH(C391,Hours!$A:$A,0)))</f>
        <v>0</v>
      </c>
      <c r="S391" s="19">
        <f t="shared" si="13"/>
        <v>0</v>
      </c>
    </row>
    <row r="392" spans="1:19" x14ac:dyDescent="0.25">
      <c r="A392" s="11" t="str">
        <f>'Bldgs &amp; Rooms'!$A$12</f>
        <v>Main Bldg.</v>
      </c>
      <c r="B392" s="11">
        <f>'Bldgs &amp; Rooms'!$B$12</f>
        <v>0</v>
      </c>
      <c r="C392" s="10" t="str">
        <f>Hours!$A$22</f>
        <v>Power Factor Correction Capacitors</v>
      </c>
      <c r="D392" s="11">
        <f t="shared" si="12"/>
        <v>0</v>
      </c>
      <c r="E392" s="16">
        <f>IF('Components Yr 1'!E392=0,0,'Components Yr 1'!E392)</f>
        <v>0</v>
      </c>
      <c r="F392" s="17">
        <f>IF('Components Yr 1'!F392=0,0,'Components Yr 1'!F392)</f>
        <v>0</v>
      </c>
      <c r="G392" s="17">
        <f>IF('Components Yr 1'!G392=0,0,'Components Yr 1'!G392)</f>
        <v>0</v>
      </c>
      <c r="H392" s="17">
        <f>IF('Components Yr 1'!H392=0,0,'Components Yr 1'!H392)</f>
        <v>0</v>
      </c>
      <c r="I392" s="17">
        <f>IF('Components Yr 1'!I392=0,0,'Components Yr 1'!I392)</f>
        <v>0</v>
      </c>
      <c r="J392" s="17">
        <f>IF('Components Yr 1'!J392=0,0,'Components Yr 1'!J392)</f>
        <v>0</v>
      </c>
      <c r="K392" s="12"/>
      <c r="L392" s="12"/>
      <c r="M392" s="12"/>
      <c r="N392" s="12"/>
      <c r="O392" s="12"/>
      <c r="P392" s="12"/>
      <c r="Q392" s="17"/>
      <c r="R392" s="18">
        <f>IF(SUMPRODUCT((E392:Q392)*1)=0,0,E392*INDEX(Hours!M:M,MATCH(C392,Hours!$A:$A,0))+F392*INDEX(Hours!B:B,MATCH(C392,Hours!$A:$A,0))+G392*INDEX(Hours!C:C,MATCH(C392,Hours!$A:$A,0))+H392*INDEX(Hours!D:D,MATCH(C392,Hours!$A:$A,0))+I392*INDEX(Hours!E:E,MATCH(C392,Hours!$A:$A,0))+J392*INDEX(Hours!F:F,MATCH(C392,Hours!$A:$A,0)))</f>
        <v>0</v>
      </c>
      <c r="S392" s="19">
        <f t="shared" si="13"/>
        <v>0</v>
      </c>
    </row>
    <row r="393" spans="1:19" x14ac:dyDescent="0.25">
      <c r="A393" s="11" t="str">
        <f>'Bldgs &amp; Rooms'!$A$12</f>
        <v>Main Bldg.</v>
      </c>
      <c r="B393" s="11">
        <f>'Bldgs &amp; Rooms'!$B$12</f>
        <v>0</v>
      </c>
      <c r="C393" s="10" t="str">
        <f>Hours!$A$23</f>
        <v>Lighting Contactor &gt; 100A</v>
      </c>
      <c r="D393" s="11">
        <f t="shared" si="12"/>
        <v>0</v>
      </c>
      <c r="E393" s="16">
        <f>IF('Components Yr 1'!E393=0,0,'Components Yr 1'!E393)</f>
        <v>0</v>
      </c>
      <c r="F393" s="17">
        <f>IF('Components Yr 1'!F393=0,0,'Components Yr 1'!F393)</f>
        <v>0</v>
      </c>
      <c r="G393" s="17">
        <f>IF('Components Yr 1'!G393=0,0,'Components Yr 1'!G393)</f>
        <v>0</v>
      </c>
      <c r="H393" s="17">
        <f>IF('Components Yr 1'!H393=0,0,'Components Yr 1'!H393)</f>
        <v>0</v>
      </c>
      <c r="I393" s="17">
        <f>IF('Components Yr 1'!I393=0,0,'Components Yr 1'!I393)</f>
        <v>0</v>
      </c>
      <c r="J393" s="17">
        <f>IF('Components Yr 1'!J393=0,0,'Components Yr 1'!J393)</f>
        <v>0</v>
      </c>
      <c r="K393" s="12"/>
      <c r="L393" s="12"/>
      <c r="M393" s="12"/>
      <c r="N393" s="12"/>
      <c r="O393" s="12"/>
      <c r="P393" s="12"/>
      <c r="Q393" s="17"/>
      <c r="R393" s="18">
        <f>IF(SUMPRODUCT((E393:Q393)*1)=0,0,E393*INDEX(Hours!M:M,MATCH(C393,Hours!$A:$A,0))+F393*INDEX(Hours!B:B,MATCH(C393,Hours!$A:$A,0))+G393*INDEX(Hours!C:C,MATCH(C393,Hours!$A:$A,0))+H393*INDEX(Hours!D:D,MATCH(C393,Hours!$A:$A,0))+I393*INDEX(Hours!E:E,MATCH(C393,Hours!$A:$A,0))+J393*INDEX(Hours!F:F,MATCH(C393,Hours!$A:$A,0)))</f>
        <v>0</v>
      </c>
      <c r="S393" s="19">
        <f t="shared" si="13"/>
        <v>0</v>
      </c>
    </row>
    <row r="394" spans="1:19" x14ac:dyDescent="0.25">
      <c r="A394" s="11" t="str">
        <f>'Bldgs &amp; Rooms'!$A$12</f>
        <v>Main Bldg.</v>
      </c>
      <c r="B394" s="11">
        <f>'Bldgs &amp; Rooms'!$B$12</f>
        <v>0</v>
      </c>
      <c r="C394" s="10" t="str">
        <f>Hours!$A$24</f>
        <v>Power Distribution Unit (PDU)</v>
      </c>
      <c r="D394" s="11">
        <f t="shared" si="12"/>
        <v>0</v>
      </c>
      <c r="E394" s="16">
        <f>IF('Components Yr 1'!E394=0,0,'Components Yr 1'!E394)</f>
        <v>0</v>
      </c>
      <c r="F394" s="17">
        <f>IF('Components Yr 1'!F394=0,0,'Components Yr 1'!F394)</f>
        <v>0</v>
      </c>
      <c r="G394" s="17">
        <f>IF('Components Yr 1'!G394=0,0,'Components Yr 1'!G394)</f>
        <v>0</v>
      </c>
      <c r="H394" s="17">
        <f>IF('Components Yr 1'!H394=0,0,'Components Yr 1'!H394)</f>
        <v>0</v>
      </c>
      <c r="I394" s="17">
        <f>IF('Components Yr 1'!I394=0,0,'Components Yr 1'!I394)</f>
        <v>0</v>
      </c>
      <c r="J394" s="17">
        <f>IF('Components Yr 1'!J394=0,0,'Components Yr 1'!J394)</f>
        <v>0</v>
      </c>
      <c r="K394" s="12"/>
      <c r="L394" s="12"/>
      <c r="M394" s="12"/>
      <c r="N394" s="12"/>
      <c r="O394" s="12"/>
      <c r="P394" s="12"/>
      <c r="Q394" s="17"/>
      <c r="R394" s="18">
        <f>IF(SUMPRODUCT((E394:Q394)*1)=0,0,E394*INDEX(Hours!M:M,MATCH(C394,Hours!$A:$A,0))+F394*INDEX(Hours!B:B,MATCH(C394,Hours!$A:$A,0))+G394*INDEX(Hours!C:C,MATCH(C394,Hours!$A:$A,0))+H394*INDEX(Hours!D:D,MATCH(C394,Hours!$A:$A,0))+I394*INDEX(Hours!E:E,MATCH(C394,Hours!$A:$A,0))+J394*INDEX(Hours!F:F,MATCH(C394,Hours!$A:$A,0)))</f>
        <v>0</v>
      </c>
      <c r="S394" s="19">
        <f t="shared" si="13"/>
        <v>0</v>
      </c>
    </row>
    <row r="395" spans="1:19" x14ac:dyDescent="0.25">
      <c r="A395" s="11" t="str">
        <f>'Bldgs &amp; Rooms'!$A$12</f>
        <v>Main Bldg.</v>
      </c>
      <c r="B395" s="11">
        <f>'Bldgs &amp; Rooms'!$B$12</f>
        <v>0</v>
      </c>
      <c r="C395" s="10" t="str">
        <f>Hours!$A$25</f>
        <v>Wire Trough, Gutter, or Large Junction Boxes</v>
      </c>
      <c r="D395" s="11">
        <f t="shared" si="12"/>
        <v>0</v>
      </c>
      <c r="E395" s="16">
        <f>IF('Components Yr 1'!E395=0,0,'Components Yr 1'!E395)</f>
        <v>0</v>
      </c>
      <c r="F395" s="17">
        <f>IF('Components Yr 1'!F395=0,0,'Components Yr 1'!F395)</f>
        <v>0</v>
      </c>
      <c r="G395" s="17">
        <f>IF('Components Yr 1'!G395=0,0,'Components Yr 1'!G395)</f>
        <v>0</v>
      </c>
      <c r="H395" s="17">
        <f>IF('Components Yr 1'!H395=0,0,'Components Yr 1'!H395)</f>
        <v>0</v>
      </c>
      <c r="I395" s="17">
        <f>IF('Components Yr 1'!I395=0,0,'Components Yr 1'!I395)</f>
        <v>0</v>
      </c>
      <c r="J395" s="17">
        <f>IF('Components Yr 1'!J395=0,0,'Components Yr 1'!J395)</f>
        <v>0</v>
      </c>
      <c r="K395" s="12"/>
      <c r="L395" s="12"/>
      <c r="M395" s="12"/>
      <c r="N395" s="12"/>
      <c r="O395" s="12"/>
      <c r="P395" s="12"/>
      <c r="Q395" s="17"/>
      <c r="R395" s="18">
        <f>IF(SUMPRODUCT((E395:Q395)*1)=0,0,E395*INDEX(Hours!M:M,MATCH(C395,Hours!$A:$A,0))+F395*INDEX(Hours!B:B,MATCH(C395,Hours!$A:$A,0))+G395*INDEX(Hours!C:C,MATCH(C395,Hours!$A:$A,0))+H395*INDEX(Hours!D:D,MATCH(C395,Hours!$A:$A,0))+I395*INDEX(Hours!E:E,MATCH(C395,Hours!$A:$A,0))+J395*INDEX(Hours!F:F,MATCH(C395,Hours!$A:$A,0)))</f>
        <v>0</v>
      </c>
      <c r="S395" s="19">
        <f t="shared" si="13"/>
        <v>0</v>
      </c>
    </row>
    <row r="396" spans="1:19" x14ac:dyDescent="0.25">
      <c r="A396" s="11" t="str">
        <f>'Bldgs &amp; Rooms'!$A$12</f>
        <v>Main Bldg.</v>
      </c>
      <c r="B396" s="11">
        <f>'Bldgs &amp; Rooms'!$B$12</f>
        <v>0</v>
      </c>
      <c r="C396" s="10" t="str">
        <f>Hours!$A$26</f>
        <v>Bus Duct - Vertical or Horizontal (Per 10' section)</v>
      </c>
      <c r="D396" s="11">
        <f t="shared" si="12"/>
        <v>0</v>
      </c>
      <c r="E396" s="16">
        <f>IF('Components Yr 1'!E396=0,0,'Components Yr 1'!E396)</f>
        <v>0</v>
      </c>
      <c r="F396" s="17">
        <f>IF('Components Yr 1'!F396=0,0,'Components Yr 1'!F396)</f>
        <v>0</v>
      </c>
      <c r="G396" s="17">
        <f>IF('Components Yr 1'!G396=0,0,'Components Yr 1'!G396)</f>
        <v>0</v>
      </c>
      <c r="H396" s="17">
        <f>IF('Components Yr 1'!H396=0,0,'Components Yr 1'!H396)</f>
        <v>0</v>
      </c>
      <c r="I396" s="17">
        <f>IF('Components Yr 1'!I396=0,0,'Components Yr 1'!I396)</f>
        <v>0</v>
      </c>
      <c r="J396" s="17">
        <f>IF('Components Yr 1'!J396=0,0,'Components Yr 1'!J396)</f>
        <v>0</v>
      </c>
      <c r="K396" s="12"/>
      <c r="L396" s="12"/>
      <c r="M396" s="12"/>
      <c r="N396" s="12"/>
      <c r="O396" s="12"/>
      <c r="P396" s="12"/>
      <c r="Q396" s="17"/>
      <c r="R396" s="18">
        <f>IF(SUMPRODUCT((E396:Q396)*1)=0,0,E396*INDEX(Hours!M:M,MATCH(C396,Hours!$A:$A,0))+F396*INDEX(Hours!B:B,MATCH(C396,Hours!$A:$A,0))+G396*INDEX(Hours!C:C,MATCH(C396,Hours!$A:$A,0))+H396*INDEX(Hours!D:D,MATCH(C396,Hours!$A:$A,0))+I396*INDEX(Hours!E:E,MATCH(C396,Hours!$A:$A,0))+J396*INDEX(Hours!F:F,MATCH(C396,Hours!$A:$A,0)))</f>
        <v>0</v>
      </c>
      <c r="S396" s="19">
        <f t="shared" si="13"/>
        <v>0</v>
      </c>
    </row>
    <row r="397" spans="1:19" x14ac:dyDescent="0.25">
      <c r="A397" s="11" t="str">
        <f>'Bldgs &amp; Rooms'!$A$12</f>
        <v>Main Bldg.</v>
      </c>
      <c r="B397" s="11">
        <f>'Bldgs &amp; Rooms'!$B$12</f>
        <v>0</v>
      </c>
      <c r="C397" s="10" t="str">
        <f>Hours!$A$27</f>
        <v>Automatic Transfer Switch (ATS) &gt; 100A</v>
      </c>
      <c r="D397" s="11">
        <f t="shared" si="12"/>
        <v>0</v>
      </c>
      <c r="E397" s="16">
        <f>IF('Components Yr 1'!E397=0,0,'Components Yr 1'!E397)</f>
        <v>0</v>
      </c>
      <c r="F397" s="17">
        <f>IF('Components Yr 1'!F397=0,0,'Components Yr 1'!F397)</f>
        <v>0</v>
      </c>
      <c r="G397" s="17">
        <f>IF('Components Yr 1'!G397=0,0,'Components Yr 1'!G397)</f>
        <v>0</v>
      </c>
      <c r="H397" s="17">
        <f>IF('Components Yr 1'!H397=0,0,'Components Yr 1'!H397)</f>
        <v>0</v>
      </c>
      <c r="I397" s="17">
        <f>IF('Components Yr 1'!I397=0,0,'Components Yr 1'!I397)</f>
        <v>0</v>
      </c>
      <c r="J397" s="17">
        <f>IF('Components Yr 1'!J397=0,0,'Components Yr 1'!J397)</f>
        <v>0</v>
      </c>
      <c r="K397" s="12"/>
      <c r="L397" s="12"/>
      <c r="M397" s="12"/>
      <c r="N397" s="12"/>
      <c r="O397" s="12"/>
      <c r="P397" s="12"/>
      <c r="Q397" s="17"/>
      <c r="R397" s="18">
        <f>IF(SUMPRODUCT((E397:Q397)*1)=0,0,E397*INDEX(Hours!M:M,MATCH(C397,Hours!$A:$A,0))+F397*INDEX(Hours!B:B,MATCH(C397,Hours!$A:$A,0))+G397*INDEX(Hours!C:C,MATCH(C397,Hours!$A:$A,0))+H397*INDEX(Hours!D:D,MATCH(C397,Hours!$A:$A,0))+I397*INDEX(Hours!E:E,MATCH(C397,Hours!$A:$A,0))+J397*INDEX(Hours!F:F,MATCH(C397,Hours!$A:$A,0)))</f>
        <v>0</v>
      </c>
      <c r="S397" s="19">
        <f t="shared" si="13"/>
        <v>0</v>
      </c>
    </row>
    <row r="398" spans="1:19" x14ac:dyDescent="0.25">
      <c r="A398" s="11" t="str">
        <f>'Bldgs &amp; Rooms'!$A$12</f>
        <v>Main Bldg.</v>
      </c>
      <c r="B398" s="11">
        <f>'Bldgs &amp; Rooms'!$B$12</f>
        <v>0</v>
      </c>
      <c r="C398" s="10" t="str">
        <f>Hours!$A$28</f>
        <v>Manual Transfer Switch (MTS) &gt; 100A</v>
      </c>
      <c r="D398" s="11">
        <f t="shared" si="12"/>
        <v>0</v>
      </c>
      <c r="E398" s="16">
        <f>IF('Components Yr 1'!E398=0,0,'Components Yr 1'!E398)</f>
        <v>0</v>
      </c>
      <c r="F398" s="17">
        <f>IF('Components Yr 1'!F398=0,0,'Components Yr 1'!F398)</f>
        <v>0</v>
      </c>
      <c r="G398" s="17">
        <f>IF('Components Yr 1'!G398=0,0,'Components Yr 1'!G398)</f>
        <v>0</v>
      </c>
      <c r="H398" s="17">
        <f>IF('Components Yr 1'!H398=0,0,'Components Yr 1'!H398)</f>
        <v>0</v>
      </c>
      <c r="I398" s="17">
        <f>IF('Components Yr 1'!I398=0,0,'Components Yr 1'!I398)</f>
        <v>0</v>
      </c>
      <c r="J398" s="17">
        <f>IF('Components Yr 1'!J398=0,0,'Components Yr 1'!J398)</f>
        <v>0</v>
      </c>
      <c r="K398" s="12"/>
      <c r="L398" s="12"/>
      <c r="M398" s="12"/>
      <c r="N398" s="12"/>
      <c r="O398" s="12"/>
      <c r="P398" s="12"/>
      <c r="Q398" s="17"/>
      <c r="R398" s="18">
        <f>IF(SUMPRODUCT((E398:Q398)*1)=0,0,E398*INDEX(Hours!M:M,MATCH(C398,Hours!$A:$A,0))+F398*INDEX(Hours!B:B,MATCH(C398,Hours!$A:$A,0))+G398*INDEX(Hours!C:C,MATCH(C398,Hours!$A:$A,0))+H398*INDEX(Hours!D:D,MATCH(C398,Hours!$A:$A,0))+I398*INDEX(Hours!E:E,MATCH(C398,Hours!$A:$A,0))+J398*INDEX(Hours!F:F,MATCH(C398,Hours!$A:$A,0)))</f>
        <v>0</v>
      </c>
      <c r="S398" s="19">
        <f t="shared" si="13"/>
        <v>0</v>
      </c>
    </row>
    <row r="399" spans="1:19" x14ac:dyDescent="0.25">
      <c r="A399" s="11" t="str">
        <f>'Bldgs &amp; Rooms'!$A$12</f>
        <v>Main Bldg.</v>
      </c>
      <c r="B399" s="11">
        <f>'Bldgs &amp; Rooms'!$B$12</f>
        <v>0</v>
      </c>
      <c r="C399" s="10" t="str">
        <f>Hours!$A$29</f>
        <v>Variable Frequency Drives (VFD) &lt; 50 HP</v>
      </c>
      <c r="D399" s="11">
        <f t="shared" si="12"/>
        <v>0</v>
      </c>
      <c r="E399" s="16">
        <f>IF('Components Yr 1'!E399=0,0,'Components Yr 1'!E399)</f>
        <v>0</v>
      </c>
      <c r="F399" s="17">
        <f>IF('Components Yr 1'!F399=0,0,'Components Yr 1'!F399)</f>
        <v>0</v>
      </c>
      <c r="G399" s="17">
        <f>IF('Components Yr 1'!G399=0,0,'Components Yr 1'!G399)</f>
        <v>0</v>
      </c>
      <c r="H399" s="17">
        <f>IF('Components Yr 1'!H399=0,0,'Components Yr 1'!H399)</f>
        <v>0</v>
      </c>
      <c r="I399" s="17">
        <f>IF('Components Yr 1'!I399=0,0,'Components Yr 1'!I399)</f>
        <v>0</v>
      </c>
      <c r="J399" s="17">
        <f>IF('Components Yr 1'!J399=0,0,'Components Yr 1'!J399)</f>
        <v>0</v>
      </c>
      <c r="K399" s="12"/>
      <c r="L399" s="12"/>
      <c r="M399" s="12"/>
      <c r="N399" s="12"/>
      <c r="O399" s="12"/>
      <c r="P399" s="12"/>
      <c r="Q399" s="17"/>
      <c r="R399" s="18">
        <f>IF(SUMPRODUCT((E399:Q399)*1)=0,0,E399*INDEX(Hours!M:M,MATCH(C399,Hours!$A:$A,0))+F399*INDEX(Hours!B:B,MATCH(C399,Hours!$A:$A,0))+G399*INDEX(Hours!C:C,MATCH(C399,Hours!$A:$A,0))+H399*INDEX(Hours!D:D,MATCH(C399,Hours!$A:$A,0))+I399*INDEX(Hours!E:E,MATCH(C399,Hours!$A:$A,0))+J399*INDEX(Hours!F:F,MATCH(C399,Hours!$A:$A,0)))</f>
        <v>0</v>
      </c>
      <c r="S399" s="19">
        <f t="shared" si="13"/>
        <v>0</v>
      </c>
    </row>
    <row r="400" spans="1:19" x14ac:dyDescent="0.25">
      <c r="A400" s="11" t="str">
        <f>'Bldgs &amp; Rooms'!$A$12</f>
        <v>Main Bldg.</v>
      </c>
      <c r="B400" s="11">
        <f>'Bldgs &amp; Rooms'!$B$12</f>
        <v>0</v>
      </c>
      <c r="C400" s="10" t="str">
        <f>Hours!$A$30</f>
        <v>Variable Frequency Drives (VFD) 51-200 HP</v>
      </c>
      <c r="D400" s="11">
        <f t="shared" si="12"/>
        <v>0</v>
      </c>
      <c r="E400" s="16">
        <f>IF('Components Yr 1'!E400=0,0,'Components Yr 1'!E400)</f>
        <v>0</v>
      </c>
      <c r="F400" s="17">
        <f>IF('Components Yr 1'!F400=0,0,'Components Yr 1'!F400)</f>
        <v>0</v>
      </c>
      <c r="G400" s="17">
        <f>IF('Components Yr 1'!G400=0,0,'Components Yr 1'!G400)</f>
        <v>0</v>
      </c>
      <c r="H400" s="17">
        <f>IF('Components Yr 1'!H400=0,0,'Components Yr 1'!H400)</f>
        <v>0</v>
      </c>
      <c r="I400" s="17">
        <f>IF('Components Yr 1'!I400=0,0,'Components Yr 1'!I400)</f>
        <v>0</v>
      </c>
      <c r="J400" s="17">
        <f>IF('Components Yr 1'!J400=0,0,'Components Yr 1'!J400)</f>
        <v>0</v>
      </c>
      <c r="K400" s="12"/>
      <c r="L400" s="12"/>
      <c r="M400" s="12"/>
      <c r="N400" s="12"/>
      <c r="O400" s="12"/>
      <c r="P400" s="12"/>
      <c r="Q400" s="17"/>
      <c r="R400" s="18">
        <f>IF(SUMPRODUCT((E400:Q400)*1)=0,0,E400*INDEX(Hours!M:M,MATCH(C400,Hours!$A:$A,0))+F400*INDEX(Hours!B:B,MATCH(C400,Hours!$A:$A,0))+G400*INDEX(Hours!C:C,MATCH(C400,Hours!$A:$A,0))+H400*INDEX(Hours!D:D,MATCH(C400,Hours!$A:$A,0))+I400*INDEX(Hours!E:E,MATCH(C400,Hours!$A:$A,0))+J400*INDEX(Hours!F:F,MATCH(C400,Hours!$A:$A,0)))</f>
        <v>0</v>
      </c>
      <c r="S400" s="19">
        <f t="shared" si="13"/>
        <v>0</v>
      </c>
    </row>
    <row r="401" spans="1:19" x14ac:dyDescent="0.25">
      <c r="A401" s="11" t="str">
        <f>'Bldgs &amp; Rooms'!$A$12</f>
        <v>Main Bldg.</v>
      </c>
      <c r="B401" s="11">
        <f>'Bldgs &amp; Rooms'!$B$12</f>
        <v>0</v>
      </c>
      <c r="C401" s="10" t="str">
        <f>Hours!$A$31</f>
        <v>Motors &lt; 50 HP</v>
      </c>
      <c r="D401" s="11">
        <f t="shared" si="12"/>
        <v>0</v>
      </c>
      <c r="E401" s="16">
        <f>IF('Components Yr 1'!E401=0,0,'Components Yr 1'!E401)</f>
        <v>0</v>
      </c>
      <c r="F401" s="17">
        <f>IF('Components Yr 1'!F401=0,0,'Components Yr 1'!F401)</f>
        <v>0</v>
      </c>
      <c r="G401" s="17">
        <f>IF('Components Yr 1'!G401=0,0,'Components Yr 1'!G401)</f>
        <v>0</v>
      </c>
      <c r="H401" s="17">
        <f>IF('Components Yr 1'!H401=0,0,'Components Yr 1'!H401)</f>
        <v>0</v>
      </c>
      <c r="I401" s="17">
        <f>IF('Components Yr 1'!I401=0,0,'Components Yr 1'!I401)</f>
        <v>0</v>
      </c>
      <c r="J401" s="17">
        <f>IF('Components Yr 1'!J401=0,0,'Components Yr 1'!J401)</f>
        <v>0</v>
      </c>
      <c r="K401" s="12"/>
      <c r="L401" s="12"/>
      <c r="M401" s="12"/>
      <c r="N401" s="12"/>
      <c r="O401" s="12"/>
      <c r="P401" s="12"/>
      <c r="Q401" s="17"/>
      <c r="R401" s="18">
        <f>IF(SUMPRODUCT((E401:Q401)*1)=0,0,E401*INDEX(Hours!M:M,MATCH(C401,Hours!$A:$A,0))+F401*INDEX(Hours!B:B,MATCH(C401,Hours!$A:$A,0))+G401*INDEX(Hours!C:C,MATCH(C401,Hours!$A:$A,0))+H401*INDEX(Hours!D:D,MATCH(C401,Hours!$A:$A,0))+I401*INDEX(Hours!E:E,MATCH(C401,Hours!$A:$A,0))+J401*INDEX(Hours!F:F,MATCH(C401,Hours!$A:$A,0)))</f>
        <v>0</v>
      </c>
      <c r="S401" s="19">
        <f t="shared" si="13"/>
        <v>0</v>
      </c>
    </row>
    <row r="402" spans="1:19" x14ac:dyDescent="0.25">
      <c r="A402" s="11" t="str">
        <f>'Bldgs &amp; Rooms'!$A$12</f>
        <v>Main Bldg.</v>
      </c>
      <c r="B402" s="11">
        <f>'Bldgs &amp; Rooms'!$B$12</f>
        <v>0</v>
      </c>
      <c r="C402" s="10" t="str">
        <f>Hours!$A$32</f>
        <v>Motors 51-200 HP</v>
      </c>
      <c r="D402" s="11">
        <f t="shared" si="12"/>
        <v>0</v>
      </c>
      <c r="E402" s="16">
        <f>IF('Components Yr 1'!E402=0,0,'Components Yr 1'!E402)</f>
        <v>0</v>
      </c>
      <c r="F402" s="17">
        <f>IF('Components Yr 1'!F402=0,0,'Components Yr 1'!F402)</f>
        <v>0</v>
      </c>
      <c r="G402" s="17">
        <f>IF('Components Yr 1'!G402=0,0,'Components Yr 1'!G402)</f>
        <v>0</v>
      </c>
      <c r="H402" s="17">
        <f>IF('Components Yr 1'!H402=0,0,'Components Yr 1'!H402)</f>
        <v>0</v>
      </c>
      <c r="I402" s="17">
        <f>IF('Components Yr 1'!I402=0,0,'Components Yr 1'!I402)</f>
        <v>0</v>
      </c>
      <c r="J402" s="17">
        <f>IF('Components Yr 1'!J402=0,0,'Components Yr 1'!J402)</f>
        <v>0</v>
      </c>
      <c r="K402" s="12"/>
      <c r="L402" s="12"/>
      <c r="M402" s="12"/>
      <c r="N402" s="12"/>
      <c r="O402" s="12"/>
      <c r="P402" s="12"/>
      <c r="Q402" s="17"/>
      <c r="R402" s="18">
        <f>IF(SUMPRODUCT((E402:Q402)*1)=0,0,E402*INDEX(Hours!M:M,MATCH(C402,Hours!$A:$A,0))+F402*INDEX(Hours!B:B,MATCH(C402,Hours!$A:$A,0))+G402*INDEX(Hours!C:C,MATCH(C402,Hours!$A:$A,0))+H402*INDEX(Hours!D:D,MATCH(C402,Hours!$A:$A,0))+I402*INDEX(Hours!E:E,MATCH(C402,Hours!$A:$A,0))+J402*INDEX(Hours!F:F,MATCH(C402,Hours!$A:$A,0)))</f>
        <v>0</v>
      </c>
      <c r="S402" s="19">
        <f t="shared" si="13"/>
        <v>0</v>
      </c>
    </row>
    <row r="403" spans="1:19" x14ac:dyDescent="0.25">
      <c r="A403" s="11" t="str">
        <f>'Bldgs &amp; Rooms'!$A$12</f>
        <v>Main Bldg.</v>
      </c>
      <c r="B403" s="11">
        <f>'Bldgs &amp; Rooms'!$B$12</f>
        <v>0</v>
      </c>
      <c r="C403" s="10" t="str">
        <f>Hours!$A$33</f>
        <v>Motors 201-500 HP</v>
      </c>
      <c r="D403" s="11">
        <f t="shared" si="12"/>
        <v>0</v>
      </c>
      <c r="E403" s="16">
        <f>IF('Components Yr 1'!E403=0,0,'Components Yr 1'!E403)</f>
        <v>0</v>
      </c>
      <c r="F403" s="17">
        <f>IF('Components Yr 1'!F403=0,0,'Components Yr 1'!F403)</f>
        <v>0</v>
      </c>
      <c r="G403" s="17">
        <f>IF('Components Yr 1'!G403=0,0,'Components Yr 1'!G403)</f>
        <v>0</v>
      </c>
      <c r="H403" s="17">
        <f>IF('Components Yr 1'!H403=0,0,'Components Yr 1'!H403)</f>
        <v>0</v>
      </c>
      <c r="I403" s="17">
        <f>IF('Components Yr 1'!I403=0,0,'Components Yr 1'!I403)</f>
        <v>0</v>
      </c>
      <c r="J403" s="17">
        <f>IF('Components Yr 1'!J403=0,0,'Components Yr 1'!J403)</f>
        <v>0</v>
      </c>
      <c r="K403" s="12"/>
      <c r="L403" s="12"/>
      <c r="M403" s="12"/>
      <c r="N403" s="12"/>
      <c r="O403" s="12"/>
      <c r="P403" s="12"/>
      <c r="Q403" s="17"/>
      <c r="R403" s="18">
        <f>IF(SUMPRODUCT((E403:Q403)*1)=0,0,E403*INDEX(Hours!M:M,MATCH(C403,Hours!$A:$A,0))+F403*INDEX(Hours!B:B,MATCH(C403,Hours!$A:$A,0))+G403*INDEX(Hours!C:C,MATCH(C403,Hours!$A:$A,0))+H403*INDEX(Hours!D:D,MATCH(C403,Hours!$A:$A,0))+I403*INDEX(Hours!E:E,MATCH(C403,Hours!$A:$A,0))+J403*INDEX(Hours!F:F,MATCH(C403,Hours!$A:$A,0)))</f>
        <v>0</v>
      </c>
      <c r="S403" s="19">
        <f t="shared" si="13"/>
        <v>0</v>
      </c>
    </row>
    <row r="404" spans="1:19" x14ac:dyDescent="0.25">
      <c r="A404" s="11" t="str">
        <f>'Bldgs &amp; Rooms'!$A$12</f>
        <v>Main Bldg.</v>
      </c>
      <c r="B404" s="11">
        <f>'Bldgs &amp; Rooms'!$B$12</f>
        <v>0</v>
      </c>
      <c r="C404" s="10" t="str">
        <f>Hours!$A$34</f>
        <v>Compressed Air Equipment</v>
      </c>
      <c r="D404" s="11">
        <f t="shared" si="12"/>
        <v>0</v>
      </c>
      <c r="E404" s="16">
        <f>IF('Components Yr 1'!E404=0,0,'Components Yr 1'!E404)</f>
        <v>0</v>
      </c>
      <c r="F404" s="17">
        <f>IF('Components Yr 1'!F404=0,0,'Components Yr 1'!F404)</f>
        <v>0</v>
      </c>
      <c r="G404" s="17">
        <f>IF('Components Yr 1'!G404=0,0,'Components Yr 1'!G404)</f>
        <v>0</v>
      </c>
      <c r="H404" s="17">
        <f>IF('Components Yr 1'!H404=0,0,'Components Yr 1'!H404)</f>
        <v>0</v>
      </c>
      <c r="I404" s="17">
        <f>IF('Components Yr 1'!I404=0,0,'Components Yr 1'!I404)</f>
        <v>0</v>
      </c>
      <c r="J404" s="17">
        <f>IF('Components Yr 1'!J404=0,0,'Components Yr 1'!J404)</f>
        <v>0</v>
      </c>
      <c r="K404" s="12"/>
      <c r="L404" s="12"/>
      <c r="M404" s="12"/>
      <c r="N404" s="12"/>
      <c r="O404" s="12"/>
      <c r="P404" s="12"/>
      <c r="Q404" s="17"/>
      <c r="R404" s="18">
        <f>IF(SUMPRODUCT((E404:Q404)*1)=0,0,E404*INDEX(Hours!M:M,MATCH(C404,Hours!$A:$A,0))+F404*INDEX(Hours!B:B,MATCH(C404,Hours!$A:$A,0))+G404*INDEX(Hours!C:C,MATCH(C404,Hours!$A:$A,0))+H404*INDEX(Hours!D:D,MATCH(C404,Hours!$A:$A,0))+I404*INDEX(Hours!E:E,MATCH(C404,Hours!$A:$A,0))+J404*INDEX(Hours!F:F,MATCH(C404,Hours!$A:$A,0)))</f>
        <v>0</v>
      </c>
      <c r="S404" s="19">
        <f t="shared" si="13"/>
        <v>0</v>
      </c>
    </row>
    <row r="405" spans="1:19" x14ac:dyDescent="0.25">
      <c r="A405" s="11" t="str">
        <f>'Bldgs &amp; Rooms'!$A$12</f>
        <v>Main Bldg.</v>
      </c>
      <c r="B405" s="11">
        <f>'Bldgs &amp; Rooms'!$B$12</f>
        <v>0</v>
      </c>
      <c r="C405" s="10" t="str">
        <f>Hours!$A$35</f>
        <v>HVAC Equipment (Large)</v>
      </c>
      <c r="D405" s="11">
        <f t="shared" si="12"/>
        <v>0</v>
      </c>
      <c r="E405" s="16">
        <f>IF('Components Yr 1'!E405=0,0,'Components Yr 1'!E405)</f>
        <v>0</v>
      </c>
      <c r="F405" s="17">
        <f>IF('Components Yr 1'!F405=0,0,'Components Yr 1'!F405)</f>
        <v>0</v>
      </c>
      <c r="G405" s="17">
        <f>IF('Components Yr 1'!G405=0,0,'Components Yr 1'!G405)</f>
        <v>0</v>
      </c>
      <c r="H405" s="17">
        <f>IF('Components Yr 1'!H405=0,0,'Components Yr 1'!H405)</f>
        <v>0</v>
      </c>
      <c r="I405" s="17">
        <f>IF('Components Yr 1'!I405=0,0,'Components Yr 1'!I405)</f>
        <v>0</v>
      </c>
      <c r="J405" s="17">
        <f>IF('Components Yr 1'!J405=0,0,'Components Yr 1'!J405)</f>
        <v>0</v>
      </c>
      <c r="K405" s="12"/>
      <c r="L405" s="12"/>
      <c r="M405" s="12"/>
      <c r="N405" s="12"/>
      <c r="O405" s="12"/>
      <c r="P405" s="12"/>
      <c r="Q405" s="17"/>
      <c r="R405" s="18">
        <f>IF(SUMPRODUCT((E405:Q405)*1)=0,0,E405*INDEX(Hours!M:M,MATCH(C405,Hours!$A:$A,0))+F405*INDEX(Hours!B:B,MATCH(C405,Hours!$A:$A,0))+G405*INDEX(Hours!C:C,MATCH(C405,Hours!$A:$A,0))+H405*INDEX(Hours!D:D,MATCH(C405,Hours!$A:$A,0))+I405*INDEX(Hours!E:E,MATCH(C405,Hours!$A:$A,0))+J405*INDEX(Hours!F:F,MATCH(C405,Hours!$A:$A,0)))</f>
        <v>0</v>
      </c>
      <c r="S405" s="19">
        <f t="shared" si="13"/>
        <v>0</v>
      </c>
    </row>
    <row r="406" spans="1:19" x14ac:dyDescent="0.25">
      <c r="A406" s="11" t="str">
        <f>'Bldgs &amp; Rooms'!$A$12</f>
        <v>Main Bldg.</v>
      </c>
      <c r="B406" s="11">
        <f>'Bldgs &amp; Rooms'!$B$12</f>
        <v>0</v>
      </c>
      <c r="C406" s="10" t="str">
        <f>Hours!$A$36</f>
        <v>HVAC Equipment (Small)</v>
      </c>
      <c r="D406" s="11">
        <f t="shared" si="12"/>
        <v>0</v>
      </c>
      <c r="E406" s="16">
        <f>IF('Components Yr 1'!E406=0,0,'Components Yr 1'!E406)</f>
        <v>0</v>
      </c>
      <c r="F406" s="17">
        <f>IF('Components Yr 1'!F406=0,0,'Components Yr 1'!F406)</f>
        <v>0</v>
      </c>
      <c r="G406" s="17">
        <f>IF('Components Yr 1'!G406=0,0,'Components Yr 1'!G406)</f>
        <v>0</v>
      </c>
      <c r="H406" s="17">
        <f>IF('Components Yr 1'!H406=0,0,'Components Yr 1'!H406)</f>
        <v>0</v>
      </c>
      <c r="I406" s="17">
        <f>IF('Components Yr 1'!I406=0,0,'Components Yr 1'!I406)</f>
        <v>0</v>
      </c>
      <c r="J406" s="17">
        <f>IF('Components Yr 1'!J406=0,0,'Components Yr 1'!J406)</f>
        <v>0</v>
      </c>
      <c r="K406" s="12"/>
      <c r="L406" s="12"/>
      <c r="M406" s="12"/>
      <c r="N406" s="12"/>
      <c r="O406" s="12"/>
      <c r="P406" s="12"/>
      <c r="Q406" s="17"/>
      <c r="R406" s="18">
        <f>IF(SUMPRODUCT((E406:Q406)*1)=0,0,E406*INDEX(Hours!M:M,MATCH(C406,Hours!$A:$A,0))+F406*INDEX(Hours!B:B,MATCH(C406,Hours!$A:$A,0))+G406*INDEX(Hours!C:C,MATCH(C406,Hours!$A:$A,0))+H406*INDEX(Hours!D:D,MATCH(C406,Hours!$A:$A,0))+I406*INDEX(Hours!E:E,MATCH(C406,Hours!$A:$A,0))+J406*INDEX(Hours!F:F,MATCH(C406,Hours!$A:$A,0)))</f>
        <v>0</v>
      </c>
      <c r="S406" s="19">
        <f t="shared" si="13"/>
        <v>0</v>
      </c>
    </row>
    <row r="407" spans="1:19" x14ac:dyDescent="0.25">
      <c r="A407" s="11" t="str">
        <f>'Bldgs &amp; Rooms'!$A$12</f>
        <v>Main Bldg.</v>
      </c>
      <c r="B407" s="11">
        <f>'Bldgs &amp; Rooms'!$B$12</f>
        <v>0</v>
      </c>
      <c r="C407" s="10" t="str">
        <f>Hours!$A$37</f>
        <v>Uninterruptible Power Supply (UPS) &lt; 50kVA</v>
      </c>
      <c r="D407" s="11">
        <f t="shared" si="12"/>
        <v>0</v>
      </c>
      <c r="E407" s="16">
        <f>IF('Components Yr 1'!E407=0,0,'Components Yr 1'!E407)</f>
        <v>0</v>
      </c>
      <c r="F407" s="17">
        <f>IF('Components Yr 1'!F407=0,0,'Components Yr 1'!F407)</f>
        <v>0</v>
      </c>
      <c r="G407" s="17">
        <f>IF('Components Yr 1'!G407=0,0,'Components Yr 1'!G407)</f>
        <v>0</v>
      </c>
      <c r="H407" s="17">
        <f>IF('Components Yr 1'!H407=0,0,'Components Yr 1'!H407)</f>
        <v>0</v>
      </c>
      <c r="I407" s="17">
        <f>IF('Components Yr 1'!I407=0,0,'Components Yr 1'!I407)</f>
        <v>0</v>
      </c>
      <c r="J407" s="17">
        <f>IF('Components Yr 1'!J407=0,0,'Components Yr 1'!J407)</f>
        <v>0</v>
      </c>
      <c r="K407" s="12"/>
      <c r="L407" s="12"/>
      <c r="M407" s="12"/>
      <c r="N407" s="12"/>
      <c r="O407" s="12"/>
      <c r="P407" s="12"/>
      <c r="Q407" s="17"/>
      <c r="R407" s="18">
        <f>IF(SUMPRODUCT((E407:Q407)*1)=0,0,E407*INDEX(Hours!M:M,MATCH(C407,Hours!$A:$A,0))+F407*INDEX(Hours!B:B,MATCH(C407,Hours!$A:$A,0))+G407*INDEX(Hours!C:C,MATCH(C407,Hours!$A:$A,0))+H407*INDEX(Hours!D:D,MATCH(C407,Hours!$A:$A,0))+I407*INDEX(Hours!E:E,MATCH(C407,Hours!$A:$A,0))+J407*INDEX(Hours!F:F,MATCH(C407,Hours!$A:$A,0)))</f>
        <v>0</v>
      </c>
      <c r="S407" s="19">
        <f t="shared" si="13"/>
        <v>0</v>
      </c>
    </row>
    <row r="408" spans="1:19" x14ac:dyDescent="0.25">
      <c r="A408" s="11" t="str">
        <f>'Bldgs &amp; Rooms'!$A$12</f>
        <v>Main Bldg.</v>
      </c>
      <c r="B408" s="11">
        <f>'Bldgs &amp; Rooms'!$B$12</f>
        <v>0</v>
      </c>
      <c r="C408" s="10" t="str">
        <f>Hours!$A$38</f>
        <v>Uninterruptible Power Supply (UPS) &gt; 50kVA</v>
      </c>
      <c r="D408" s="11">
        <f t="shared" si="12"/>
        <v>0</v>
      </c>
      <c r="E408" s="16">
        <f>IF('Components Yr 1'!E408=0,0,'Components Yr 1'!E408)</f>
        <v>0</v>
      </c>
      <c r="F408" s="17">
        <f>IF('Components Yr 1'!F408=0,0,'Components Yr 1'!F408)</f>
        <v>0</v>
      </c>
      <c r="G408" s="17">
        <f>IF('Components Yr 1'!G408=0,0,'Components Yr 1'!G408)</f>
        <v>0</v>
      </c>
      <c r="H408" s="17">
        <f>IF('Components Yr 1'!H408=0,0,'Components Yr 1'!H408)</f>
        <v>0</v>
      </c>
      <c r="I408" s="17">
        <f>IF('Components Yr 1'!I408=0,0,'Components Yr 1'!I408)</f>
        <v>0</v>
      </c>
      <c r="J408" s="17">
        <f>IF('Components Yr 1'!J408=0,0,'Components Yr 1'!J408)</f>
        <v>0</v>
      </c>
      <c r="K408" s="12"/>
      <c r="L408" s="12"/>
      <c r="M408" s="12"/>
      <c r="N408" s="12"/>
      <c r="O408" s="12"/>
      <c r="P408" s="12"/>
      <c r="Q408" s="17"/>
      <c r="R408" s="18">
        <f>IF(SUMPRODUCT((E408:Q408)*1)=0,0,E408*INDEX(Hours!M:M,MATCH(C408,Hours!$A:$A,0))+F408*INDEX(Hours!B:B,MATCH(C408,Hours!$A:$A,0))+G408*INDEX(Hours!C:C,MATCH(C408,Hours!$A:$A,0))+H408*INDEX(Hours!D:D,MATCH(C408,Hours!$A:$A,0))+I408*INDEX(Hours!E:E,MATCH(C408,Hours!$A:$A,0))+J408*INDEX(Hours!F:F,MATCH(C408,Hours!$A:$A,0)))</f>
        <v>0</v>
      </c>
      <c r="S408" s="19">
        <f t="shared" si="13"/>
        <v>0</v>
      </c>
    </row>
    <row r="409" spans="1:19" x14ac:dyDescent="0.25">
      <c r="A409" s="15" t="str">
        <f>'Bldgs &amp; Rooms'!$A$13</f>
        <v>Main Bldg.</v>
      </c>
      <c r="B409" s="15">
        <f>'Bldgs &amp; Rooms'!$B$13</f>
        <v>0</v>
      </c>
      <c r="C409" s="14" t="str">
        <f>Hours!$A$2</f>
        <v>Switchgear - Incoming Main Service (Per Section)</v>
      </c>
      <c r="D409" s="15">
        <f t="shared" si="12"/>
        <v>0</v>
      </c>
      <c r="E409" s="16">
        <f>IF('Components Yr 1'!E409=0,0,'Components Yr 1'!E409)</f>
        <v>0</v>
      </c>
      <c r="F409" s="17">
        <f>IF('Components Yr 1'!F409=0,0,'Components Yr 1'!F409)</f>
        <v>0</v>
      </c>
      <c r="G409" s="17">
        <f>IF('Components Yr 1'!G409=0,0,'Components Yr 1'!G409)</f>
        <v>0</v>
      </c>
      <c r="H409" s="17">
        <f>IF('Components Yr 1'!H409=0,0,'Components Yr 1'!H409)</f>
        <v>0</v>
      </c>
      <c r="I409" s="17">
        <f>IF('Components Yr 1'!I409=0,0,'Components Yr 1'!I409)</f>
        <v>0</v>
      </c>
      <c r="J409" s="17">
        <f>IF('Components Yr 1'!J409=0,0,'Components Yr 1'!J409)</f>
        <v>0</v>
      </c>
      <c r="K409" s="17">
        <f>IF('Components Yr 1'!K409=0,0,'Components Yr 1'!K409)</f>
        <v>0</v>
      </c>
      <c r="L409" s="17">
        <f>IF('Components Yr 1'!L409=0,0,'Components Yr 1'!L409)</f>
        <v>0</v>
      </c>
      <c r="M409" s="12"/>
      <c r="N409" s="12"/>
      <c r="O409" s="17">
        <f>IF('Components Yr 1'!O409=0,0,'Components Yr 1'!O409)</f>
        <v>0</v>
      </c>
      <c r="P409" s="12"/>
      <c r="Q409" s="17"/>
      <c r="R409" s="18">
        <f>IF(SUMPRODUCT((E409:Q409)*1)=0,0,E409*INDEX(Hours!M:M,MATCH(C409,Hours!$A:$A,0))+F409*INDEX(Hours!B:B,MATCH(C409,Hours!$A:$A,0))+G409*INDEX(Hours!C:C,MATCH(C409,Hours!$A:$A,0))+H409*INDEX(Hours!D:D,MATCH(C409,Hours!$A:$A,0))+I409*INDEX(Hours!E:E,MATCH(C409,Hours!$A:$A,0))+J409*INDEX(Hours!F:F,MATCH(C409,Hours!$A:$A,0))+K409*INDEX(Hours!G:G,MATCH(C409,Hours!$A:$A,0))+L409*INDEX(Hours!H:H,MATCH(C409,Hours!$A:$A,0))+O409*INDEX(Hours!K:K,MATCH(C409,Hours!$A:$A,0)))</f>
        <v>0</v>
      </c>
      <c r="S409" s="19">
        <f t="shared" si="13"/>
        <v>0</v>
      </c>
    </row>
    <row r="410" spans="1:19" x14ac:dyDescent="0.25">
      <c r="A410" s="15" t="str">
        <f>'Bldgs &amp; Rooms'!$A$13</f>
        <v>Main Bldg.</v>
      </c>
      <c r="B410" s="15">
        <f>'Bldgs &amp; Rooms'!$B$13</f>
        <v>0</v>
      </c>
      <c r="C410" s="14" t="str">
        <f>Hours!$A$3</f>
        <v xml:space="preserve">  Switchgear Insulated Case Breakers (Bus Mounted)</v>
      </c>
      <c r="D410" s="15">
        <f t="shared" si="12"/>
        <v>0</v>
      </c>
      <c r="E410" s="16">
        <f>IF('Components Yr 1'!E410=0,0,'Components Yr 1'!E410)</f>
        <v>0</v>
      </c>
      <c r="F410" s="17">
        <f>IF('Components Yr 1'!F410=0,0,'Components Yr 1'!F410)</f>
        <v>0</v>
      </c>
      <c r="G410" s="17">
        <f>IF('Components Yr 1'!G410=0,0,'Components Yr 1'!G410)</f>
        <v>0</v>
      </c>
      <c r="H410" s="17">
        <f>IF('Components Yr 1'!H410=0,0,'Components Yr 1'!H410)</f>
        <v>0</v>
      </c>
      <c r="I410" s="17">
        <f>IF('Components Yr 1'!I410=0,0,'Components Yr 1'!I410)</f>
        <v>0</v>
      </c>
      <c r="J410" s="17">
        <f>IF('Components Yr 1'!J410=0,0,'Components Yr 1'!J410)</f>
        <v>0</v>
      </c>
      <c r="K410" s="17">
        <f>IF('Components Yr 1'!K410=0,0,'Components Yr 1'!K410)</f>
        <v>0</v>
      </c>
      <c r="L410" s="12"/>
      <c r="M410" s="12"/>
      <c r="N410" s="12"/>
      <c r="O410" s="12"/>
      <c r="P410" s="12"/>
      <c r="Q410" s="17"/>
      <c r="R410" s="18">
        <f>IF(SUMPRODUCT((E410:Q410)*1)=0,0,E410*INDEX(Hours!M:M,MATCH(C410,Hours!$A:$A,0))+F410*INDEX(Hours!B:B,MATCH(C410,Hours!$A:$A,0))+G410*INDEX(Hours!C:C,MATCH(C410,Hours!$A:$A,0))+H410*INDEX(Hours!D:D,MATCH(C410,Hours!$A:$A,0))+I410*INDEX(Hours!E:E,MATCH(C410,Hours!$A:$A,0))+J410*INDEX(Hours!F:F,MATCH(C410,Hours!$A:$A,0))+K410*INDEX(Hours!G:G,MATCH(C410,Hours!$A:$A,0)))</f>
        <v>0</v>
      </c>
      <c r="S410" s="19">
        <f t="shared" si="13"/>
        <v>0</v>
      </c>
    </row>
    <row r="411" spans="1:19" x14ac:dyDescent="0.25">
      <c r="A411" s="15" t="str">
        <f>'Bldgs &amp; Rooms'!$A$13</f>
        <v>Main Bldg.</v>
      </c>
      <c r="B411" s="15">
        <f>'Bldgs &amp; Rooms'!$B$13</f>
        <v>0</v>
      </c>
      <c r="C411" s="14" t="str">
        <f>Hours!$A$4</f>
        <v xml:space="preserve">  SwitchGear Drawout Breakers</v>
      </c>
      <c r="D411" s="15">
        <f t="shared" si="12"/>
        <v>0</v>
      </c>
      <c r="E411" s="16">
        <f>IF('Components Yr 1'!E411=0,0,'Components Yr 1'!E411)</f>
        <v>0</v>
      </c>
      <c r="F411" s="17">
        <f>IF('Components Yr 1'!F411=0,0,'Components Yr 1'!F411)</f>
        <v>0</v>
      </c>
      <c r="G411" s="17">
        <f>IF('Components Yr 1'!G411=0,0,'Components Yr 1'!G411)</f>
        <v>0</v>
      </c>
      <c r="H411" s="17">
        <f>IF('Components Yr 1'!H411=0,0,'Components Yr 1'!H411)</f>
        <v>0</v>
      </c>
      <c r="I411" s="17">
        <f>IF('Components Yr 1'!I411=0,0,'Components Yr 1'!I411)</f>
        <v>0</v>
      </c>
      <c r="J411" s="17">
        <f>IF('Components Yr 1'!J411=0,0,'Components Yr 1'!J411)</f>
        <v>0</v>
      </c>
      <c r="K411" s="12"/>
      <c r="L411" s="17">
        <f>IF('Components Yr 1'!L411=0,0,'Components Yr 1'!L411)</f>
        <v>0</v>
      </c>
      <c r="M411" s="12"/>
      <c r="N411" s="12"/>
      <c r="O411" s="12"/>
      <c r="P411" s="12"/>
      <c r="Q411" s="17"/>
      <c r="R411" s="18">
        <f>IF(SUMPRODUCT((E411:Q411)*1)=0,0,E411*INDEX(Hours!M:M,MATCH(C411,Hours!$A:$A,0))+F411*INDEX(Hours!B:B,MATCH(C411,Hours!$A:$A,0))+G411*INDEX(Hours!C:C,MATCH(C411,Hours!$A:$A,0))+H411*INDEX(Hours!D:D,MATCH(C411,Hours!$A:$A,0))+I411*INDEX(Hours!E:E,MATCH(C411,Hours!$A:$A,0))+J411*INDEX(Hours!F:F,MATCH(C411,Hours!$A:$A,0))+L411*INDEX(Hours!H:H,MATCH(C411,Hours!$A:$A,0)))</f>
        <v>0</v>
      </c>
      <c r="S411" s="19">
        <f t="shared" si="13"/>
        <v>0</v>
      </c>
    </row>
    <row r="412" spans="1:19" x14ac:dyDescent="0.25">
      <c r="A412" s="15" t="str">
        <f>'Bldgs &amp; Rooms'!$A$13</f>
        <v>Main Bldg.</v>
      </c>
      <c r="B412" s="15">
        <f>'Bldgs &amp; Rooms'!$B$13</f>
        <v>0</v>
      </c>
      <c r="C412" s="14" t="str">
        <f>Hours!$A$5</f>
        <v>Distribution Switchboard Multi Cover (Per Section)</v>
      </c>
      <c r="D412" s="15">
        <f t="shared" si="12"/>
        <v>0</v>
      </c>
      <c r="E412" s="16">
        <f>IF('Components Yr 1'!E412=0,0,'Components Yr 1'!E412)</f>
        <v>0</v>
      </c>
      <c r="F412" s="17">
        <f>IF('Components Yr 1'!F412=0,0,'Components Yr 1'!F412)</f>
        <v>0</v>
      </c>
      <c r="G412" s="17">
        <f>IF('Components Yr 1'!G412=0,0,'Components Yr 1'!G412)</f>
        <v>0</v>
      </c>
      <c r="H412" s="17">
        <f>IF('Components Yr 1'!H412=0,0,'Components Yr 1'!H412)</f>
        <v>0</v>
      </c>
      <c r="I412" s="17">
        <f>IF('Components Yr 1'!I412=0,0,'Components Yr 1'!I412)</f>
        <v>0</v>
      </c>
      <c r="J412" s="17">
        <f>IF('Components Yr 1'!J412=0,0,'Components Yr 1'!J412)</f>
        <v>0</v>
      </c>
      <c r="K412" s="17">
        <f>IF('Components Yr 1'!K412=0,0,'Components Yr 1'!K412)</f>
        <v>0</v>
      </c>
      <c r="L412" s="12"/>
      <c r="M412" s="12"/>
      <c r="N412" s="12"/>
      <c r="O412" s="17">
        <f>IF('Components Yr 1'!O412=0,0,'Components Yr 1'!O412)</f>
        <v>0</v>
      </c>
      <c r="P412" s="12"/>
      <c r="Q412" s="17"/>
      <c r="R412" s="18">
        <f>IF(SUMPRODUCT((E412:Q412)*1)=0,0,E412*INDEX(Hours!M:M,MATCH(C412,Hours!$A:$A,0))+F412*INDEX(Hours!B:B,MATCH(C412,Hours!$A:$A,0))+G412*INDEX(Hours!C:C,MATCH(C412,Hours!$A:$A,0))+H412*INDEX(Hours!D:D,MATCH(C412,Hours!$A:$A,0))+I412*INDEX(Hours!E:E,MATCH(C412,Hours!$A:$A,0))+J412*INDEX(Hours!F:F,MATCH(C412,Hours!$A:$A,0))+K412*INDEX(Hours!G:G,MATCH(C412,Hours!$A:$A,0))+O412*INDEX(Hours!K:K,MATCH(C412,Hours!$A:$A,0)))</f>
        <v>0</v>
      </c>
      <c r="S412" s="19">
        <f t="shared" si="13"/>
        <v>0</v>
      </c>
    </row>
    <row r="413" spans="1:19" x14ac:dyDescent="0.25">
      <c r="A413" s="15" t="str">
        <f>'Bldgs &amp; Rooms'!$A$13</f>
        <v>Main Bldg.</v>
      </c>
      <c r="B413" s="15">
        <f>'Bldgs &amp; Rooms'!$B$13</f>
        <v>0</v>
      </c>
      <c r="C413" s="14" t="str">
        <f>Hours!$A$6</f>
        <v xml:space="preserve">  Switchboard Disconnects</v>
      </c>
      <c r="D413" s="15">
        <f t="shared" si="12"/>
        <v>0</v>
      </c>
      <c r="E413" s="16">
        <f>IF('Components Yr 1'!E413=0,0,'Components Yr 1'!E413)</f>
        <v>0</v>
      </c>
      <c r="F413" s="17">
        <f>IF('Components Yr 1'!F413=0,0,'Components Yr 1'!F413)</f>
        <v>0</v>
      </c>
      <c r="G413" s="17">
        <f>IF('Components Yr 1'!G413=0,0,'Components Yr 1'!G413)</f>
        <v>0</v>
      </c>
      <c r="H413" s="17">
        <f>IF('Components Yr 1'!H413=0,0,'Components Yr 1'!H413)</f>
        <v>0</v>
      </c>
      <c r="I413" s="17">
        <f>IF('Components Yr 1'!I413=0,0,'Components Yr 1'!I413)</f>
        <v>0</v>
      </c>
      <c r="J413" s="17">
        <f>IF('Components Yr 1'!J413=0,0,'Components Yr 1'!J413)</f>
        <v>0</v>
      </c>
      <c r="K413" s="12"/>
      <c r="L413" s="12"/>
      <c r="M413" s="12"/>
      <c r="N413" s="12"/>
      <c r="O413" s="12"/>
      <c r="P413" s="12"/>
      <c r="Q413" s="17"/>
      <c r="R413" s="18">
        <f>IF(SUMPRODUCT((E413:Q413)*1)=0,0,E413*INDEX(Hours!M:M,MATCH(C413,Hours!$A:$A,0))+F413*INDEX(Hours!B:B,MATCH(C413,Hours!$A:$A,0))+G413*INDEX(Hours!C:C,MATCH(C413,Hours!$A:$A,0))+H413*INDEX(Hours!D:D,MATCH(C413,Hours!$A:$A,0))+I413*INDEX(Hours!E:E,MATCH(C413,Hours!$A:$A,0))+J413*INDEX(Hours!F:F,MATCH(C413,Hours!$A:$A,0)))</f>
        <v>0</v>
      </c>
      <c r="S413" s="19">
        <f t="shared" si="13"/>
        <v>0</v>
      </c>
    </row>
    <row r="414" spans="1:19" x14ac:dyDescent="0.25">
      <c r="A414" s="15" t="str">
        <f>'Bldgs &amp; Rooms'!$A$13</f>
        <v>Main Bldg.</v>
      </c>
      <c r="B414" s="15">
        <f>'Bldgs &amp; Rooms'!$B$13</f>
        <v>0</v>
      </c>
      <c r="C414" s="14" t="str">
        <f>Hours!$A$7</f>
        <v xml:space="preserve">  Switchboard Molded Case Breakers</v>
      </c>
      <c r="D414" s="15">
        <f t="shared" si="12"/>
        <v>0</v>
      </c>
      <c r="E414" s="16">
        <f>IF('Components Yr 1'!E414=0,0,'Components Yr 1'!E414)</f>
        <v>0</v>
      </c>
      <c r="F414" s="17">
        <f>IF('Components Yr 1'!F414=0,0,'Components Yr 1'!F414)</f>
        <v>0</v>
      </c>
      <c r="G414" s="17">
        <f>IF('Components Yr 1'!G414=0,0,'Components Yr 1'!G414)</f>
        <v>0</v>
      </c>
      <c r="H414" s="17">
        <f>IF('Components Yr 1'!H414=0,0,'Components Yr 1'!H414)</f>
        <v>0</v>
      </c>
      <c r="I414" s="17">
        <f>IF('Components Yr 1'!I414=0,0,'Components Yr 1'!I414)</f>
        <v>0</v>
      </c>
      <c r="J414" s="17">
        <f>IF('Components Yr 1'!J414=0,0,'Components Yr 1'!J414)</f>
        <v>0</v>
      </c>
      <c r="K414" s="17">
        <f>IF('Components Yr 1'!K414=0,0,'Components Yr 1'!K414)</f>
        <v>0</v>
      </c>
      <c r="L414" s="12"/>
      <c r="M414" s="12"/>
      <c r="N414" s="12"/>
      <c r="O414" s="12"/>
      <c r="P414" s="12"/>
      <c r="Q414" s="17"/>
      <c r="R414" s="18">
        <f>IF(SUMPRODUCT((E414:Q414)*1)=0,0,E414*INDEX(Hours!M:M,MATCH(C414,Hours!$A:$A,0))+F414*INDEX(Hours!B:B,MATCH(C414,Hours!$A:$A,0))+G414*INDEX(Hours!C:C,MATCH(C414,Hours!$A:$A,0))+H414*INDEX(Hours!D:D,MATCH(C414,Hours!$A:$A,0))+I414*INDEX(Hours!E:E,MATCH(C414,Hours!$A:$A,0))+J414*INDEX(Hours!F:F,MATCH(C414,Hours!$A:$A,0))+K414*INDEX(Hours!G:G,MATCH(C414,Hours!$A:$A,0)))</f>
        <v>0</v>
      </c>
      <c r="S414" s="19">
        <f t="shared" si="13"/>
        <v>0</v>
      </c>
    </row>
    <row r="415" spans="1:19" x14ac:dyDescent="0.25">
      <c r="A415" s="15" t="str">
        <f>'Bldgs &amp; Rooms'!$A$13</f>
        <v>Main Bldg.</v>
      </c>
      <c r="B415" s="15">
        <f>'Bldgs &amp; Rooms'!$B$13</f>
        <v>0</v>
      </c>
      <c r="C415" s="14" t="str">
        <f>Hours!$A$8</f>
        <v>Panelboard-Single Cover &gt; 400A (Distribution Panel)</v>
      </c>
      <c r="D415" s="15">
        <f t="shared" si="12"/>
        <v>0</v>
      </c>
      <c r="E415" s="16">
        <f>IF('Components Yr 1'!E415=0,0,'Components Yr 1'!E415)</f>
        <v>0</v>
      </c>
      <c r="F415" s="17">
        <f>IF('Components Yr 1'!F415=0,0,'Components Yr 1'!F415)</f>
        <v>0</v>
      </c>
      <c r="G415" s="17">
        <f>IF('Components Yr 1'!G415=0,0,'Components Yr 1'!G415)</f>
        <v>0</v>
      </c>
      <c r="H415" s="17">
        <f>IF('Components Yr 1'!H415=0,0,'Components Yr 1'!H415)</f>
        <v>0</v>
      </c>
      <c r="I415" s="17">
        <f>IF('Components Yr 1'!I415=0,0,'Components Yr 1'!I415)</f>
        <v>0</v>
      </c>
      <c r="J415" s="17">
        <f>IF('Components Yr 1'!J415=0,0,'Components Yr 1'!J415)</f>
        <v>0</v>
      </c>
      <c r="K415" s="17">
        <f>IF('Components Yr 1'!K415=0,0,'Components Yr 1'!K415)</f>
        <v>0</v>
      </c>
      <c r="L415" s="12"/>
      <c r="M415" s="12"/>
      <c r="N415" s="12"/>
      <c r="O415" s="17">
        <f>IF('Components Yr 1'!O415=0,0,'Components Yr 1'!O415)</f>
        <v>0</v>
      </c>
      <c r="P415" s="12"/>
      <c r="Q415" s="17"/>
      <c r="R415" s="18">
        <f>IF(SUMPRODUCT((E415:Q415)*1)=0,0,E415*INDEX(Hours!M:M,MATCH(C415,Hours!$A:$A,0))+F415*INDEX(Hours!B:B,MATCH(C415,Hours!$A:$A,0))+G415*INDEX(Hours!C:C,MATCH(C415,Hours!$A:$A,0))+H415*INDEX(Hours!D:D,MATCH(C415,Hours!$A:$A,0))+I415*INDEX(Hours!E:E,MATCH(C415,Hours!$A:$A,0))+J415*INDEX(Hours!F:F,MATCH(C415,Hours!$A:$A,0))+K415*INDEX(Hours!G:G,MATCH(C415,Hours!$A:$A,0))+O415*INDEX(Hours!K:K,MATCH(C415,Hours!$A:$A,0)))</f>
        <v>0</v>
      </c>
      <c r="S415" s="19">
        <f t="shared" si="13"/>
        <v>0</v>
      </c>
    </row>
    <row r="416" spans="1:19" x14ac:dyDescent="0.25">
      <c r="A416" s="15" t="str">
        <f>'Bldgs &amp; Rooms'!$A$13</f>
        <v>Main Bldg.</v>
      </c>
      <c r="B416" s="15">
        <f>'Bldgs &amp; Rooms'!$B$13</f>
        <v>0</v>
      </c>
      <c r="C416" s="14" t="str">
        <f>Hours!$A$9</f>
        <v>Panelboard-Single Cover &lt; 400A (Branch Ckt Panel)</v>
      </c>
      <c r="D416" s="15">
        <f t="shared" si="12"/>
        <v>0</v>
      </c>
      <c r="E416" s="16">
        <f>IF('Components Yr 1'!E416=0,0,'Components Yr 1'!E416)</f>
        <v>0</v>
      </c>
      <c r="F416" s="17">
        <f>IF('Components Yr 1'!F416=0,0,'Components Yr 1'!F416)</f>
        <v>0</v>
      </c>
      <c r="G416" s="17">
        <f>IF('Components Yr 1'!G416=0,0,'Components Yr 1'!G416)</f>
        <v>0</v>
      </c>
      <c r="H416" s="17">
        <f>IF('Components Yr 1'!H416=0,0,'Components Yr 1'!H416)</f>
        <v>0</v>
      </c>
      <c r="I416" s="17">
        <f>IF('Components Yr 1'!I416=0,0,'Components Yr 1'!I416)</f>
        <v>0</v>
      </c>
      <c r="J416" s="17">
        <f>IF('Components Yr 1'!J416=0,0,'Components Yr 1'!J416)</f>
        <v>0</v>
      </c>
      <c r="K416" s="12"/>
      <c r="L416" s="12"/>
      <c r="M416" s="12"/>
      <c r="N416" s="12"/>
      <c r="O416" s="17">
        <f>IF('Components Yr 1'!O416=0,0,'Components Yr 1'!O416)</f>
        <v>0</v>
      </c>
      <c r="P416" s="12"/>
      <c r="Q416" s="17"/>
      <c r="R416" s="18">
        <f>IF(SUMPRODUCT((E416:Q416)*1)=0,0,E416*INDEX(Hours!M:M,MATCH(C416,Hours!$A:$A,0))+F416*INDEX(Hours!B:B,MATCH(C416,Hours!$A:$A,0))+G416*INDEX(Hours!C:C,MATCH(C416,Hours!$A:$A,0))+H416*INDEX(Hours!D:D,MATCH(C416,Hours!$A:$A,0))+I416*INDEX(Hours!E:E,MATCH(C416,Hours!$A:$A,0))+J416*INDEX(Hours!F:F,MATCH(C416,Hours!$A:$A,0))+O416*INDEX(Hours!K:K,MATCH(C416,Hours!$A:$A,0)))</f>
        <v>0</v>
      </c>
      <c r="S416" s="19">
        <f t="shared" si="13"/>
        <v>0</v>
      </c>
    </row>
    <row r="417" spans="1:19" x14ac:dyDescent="0.25">
      <c r="A417" s="15" t="str">
        <f>'Bldgs &amp; Rooms'!$A$13</f>
        <v>Main Bldg.</v>
      </c>
      <c r="B417" s="15">
        <f>'Bldgs &amp; Rooms'!$B$13</f>
        <v>0</v>
      </c>
      <c r="C417" s="14" t="str">
        <f>Hours!$A$10</f>
        <v>Motor Control Center (MCC-Per Vertical Section)</v>
      </c>
      <c r="D417" s="15">
        <f t="shared" si="12"/>
        <v>0</v>
      </c>
      <c r="E417" s="16">
        <f>IF('Components Yr 1'!E417=0,0,'Components Yr 1'!E417)</f>
        <v>0</v>
      </c>
      <c r="F417" s="17">
        <f>IF('Components Yr 1'!F417=0,0,'Components Yr 1'!F417)</f>
        <v>0</v>
      </c>
      <c r="G417" s="17">
        <f>IF('Components Yr 1'!G417=0,0,'Components Yr 1'!G417)</f>
        <v>0</v>
      </c>
      <c r="H417" s="17">
        <f>IF('Components Yr 1'!H417=0,0,'Components Yr 1'!H417)</f>
        <v>0</v>
      </c>
      <c r="I417" s="17">
        <f>IF('Components Yr 1'!I417=0,0,'Components Yr 1'!I417)</f>
        <v>0</v>
      </c>
      <c r="J417" s="17">
        <f>IF('Components Yr 1'!J417=0,0,'Components Yr 1'!J417)</f>
        <v>0</v>
      </c>
      <c r="K417" s="12"/>
      <c r="L417" s="12"/>
      <c r="M417" s="12"/>
      <c r="N417" s="12"/>
      <c r="O417" s="17">
        <f>IF('Components Yr 1'!O417=0,0,'Components Yr 1'!O417)</f>
        <v>0</v>
      </c>
      <c r="P417" s="12"/>
      <c r="Q417" s="17"/>
      <c r="R417" s="18">
        <f>IF(SUMPRODUCT((E417:Q417)*1)=0,0,E417*INDEX(Hours!M:M,MATCH(C417,Hours!$A:$A,0))+F417*INDEX(Hours!B:B,MATCH(C417,Hours!$A:$A,0))+G417*INDEX(Hours!C:C,MATCH(C417,Hours!$A:$A,0))+H417*INDEX(Hours!D:D,MATCH(C417,Hours!$A:$A,0))+I417*INDEX(Hours!E:E,MATCH(C417,Hours!$A:$A,0))+J417*INDEX(Hours!F:F,MATCH(C417,Hours!$A:$A,0))+O417*INDEX(Hours!K:K,MATCH(C417,Hours!$A:$A,0)))</f>
        <v>0</v>
      </c>
      <c r="S417" s="19">
        <f t="shared" si="13"/>
        <v>0</v>
      </c>
    </row>
    <row r="418" spans="1:19" x14ac:dyDescent="0.25">
      <c r="A418" s="15" t="str">
        <f>'Bldgs &amp; Rooms'!$A$13</f>
        <v>Main Bldg.</v>
      </c>
      <c r="B418" s="15">
        <f>'Bldgs &amp; Rooms'!$B$13</f>
        <v>0</v>
      </c>
      <c r="C418" s="14" t="str">
        <f>Hours!$A$11</f>
        <v xml:space="preserve">  MCC: Combination Motor Starters</v>
      </c>
      <c r="D418" s="15">
        <f t="shared" si="12"/>
        <v>0</v>
      </c>
      <c r="E418" s="16">
        <f>IF('Components Yr 1'!E418=0,0,'Components Yr 1'!E418)</f>
        <v>0</v>
      </c>
      <c r="F418" s="17">
        <f>IF('Components Yr 1'!F418=0,0,'Components Yr 1'!F418)</f>
        <v>0</v>
      </c>
      <c r="G418" s="17">
        <f>IF('Components Yr 1'!G418=0,0,'Components Yr 1'!G418)</f>
        <v>0</v>
      </c>
      <c r="H418" s="17">
        <f>IF('Components Yr 1'!H418=0,0,'Components Yr 1'!H418)</f>
        <v>0</v>
      </c>
      <c r="I418" s="17">
        <f>IF('Components Yr 1'!I418=0,0,'Components Yr 1'!I418)</f>
        <v>0</v>
      </c>
      <c r="J418" s="17">
        <f>IF('Components Yr 1'!J418=0,0,'Components Yr 1'!J418)</f>
        <v>0</v>
      </c>
      <c r="K418" s="17">
        <f>IF('Components Yr 1'!K418=0,0,'Components Yr 1'!K418)</f>
        <v>0</v>
      </c>
      <c r="L418" s="12"/>
      <c r="M418" s="12"/>
      <c r="N418" s="12"/>
      <c r="O418" s="17">
        <f>IF('Components Yr 1'!O418=0,0,'Components Yr 1'!O418)</f>
        <v>0</v>
      </c>
      <c r="P418" s="12"/>
      <c r="Q418" s="17"/>
      <c r="R418" s="18">
        <f>IF(SUMPRODUCT((E418:Q418)*1)=0,0,E418*INDEX(Hours!M:M,MATCH(C418,Hours!$A:$A,0))+F418*INDEX(Hours!B:B,MATCH(C418,Hours!$A:$A,0))+G418*INDEX(Hours!C:C,MATCH(C418,Hours!$A:$A,0))+H418*INDEX(Hours!D:D,MATCH(C418,Hours!$A:$A,0))+I418*INDEX(Hours!E:E,MATCH(C418,Hours!$A:$A,0))+J418*INDEX(Hours!F:F,MATCH(C418,Hours!$A:$A,0))+K418*INDEX(Hours!G:G,MATCH(C418,Hours!$A:$A,0))+O418*INDEX(Hours!K:K,MATCH(C418,Hours!$A:$A,0)))</f>
        <v>0</v>
      </c>
      <c r="S418" s="19">
        <f t="shared" si="13"/>
        <v>0</v>
      </c>
    </row>
    <row r="419" spans="1:19" x14ac:dyDescent="0.25">
      <c r="A419" s="15" t="str">
        <f>'Bldgs &amp; Rooms'!$A$13</f>
        <v>Main Bldg.</v>
      </c>
      <c r="B419" s="15">
        <f>'Bldgs &amp; Rooms'!$B$13</f>
        <v>0</v>
      </c>
      <c r="C419" s="14" t="str">
        <f>Hours!$A$12</f>
        <v xml:space="preserve">  MCC: Molded Case Breaker</v>
      </c>
      <c r="D419" s="15">
        <f t="shared" si="12"/>
        <v>0</v>
      </c>
      <c r="E419" s="16">
        <f>IF('Components Yr 1'!E419=0,0,'Components Yr 1'!E419)</f>
        <v>0</v>
      </c>
      <c r="F419" s="17">
        <f>IF('Components Yr 1'!F419=0,0,'Components Yr 1'!F419)</f>
        <v>0</v>
      </c>
      <c r="G419" s="17">
        <f>IF('Components Yr 1'!G419=0,0,'Components Yr 1'!G419)</f>
        <v>0</v>
      </c>
      <c r="H419" s="17">
        <f>IF('Components Yr 1'!H419=0,0,'Components Yr 1'!H419)</f>
        <v>0</v>
      </c>
      <c r="I419" s="17">
        <f>IF('Components Yr 1'!I419=0,0,'Components Yr 1'!I419)</f>
        <v>0</v>
      </c>
      <c r="J419" s="17">
        <f>IF('Components Yr 1'!J419=0,0,'Components Yr 1'!J419)</f>
        <v>0</v>
      </c>
      <c r="K419" s="17">
        <f>IF('Components Yr 1'!K419=0,0,'Components Yr 1'!K419)</f>
        <v>0</v>
      </c>
      <c r="L419" s="12"/>
      <c r="M419" s="12"/>
      <c r="N419" s="12"/>
      <c r="O419" s="12"/>
      <c r="P419" s="12"/>
      <c r="Q419" s="17"/>
      <c r="R419" s="18">
        <f>IF(SUMPRODUCT((E419:Q419)*1)=0,0,E419*INDEX(Hours!M:M,MATCH(C419,Hours!$A:$A,0))+F419*INDEX(Hours!B:B,MATCH(C419,Hours!$A:$A,0))+G419*INDEX(Hours!C:C,MATCH(C419,Hours!$A:$A,0))+H419*INDEX(Hours!D:D,MATCH(C419,Hours!$A:$A,0))+I419*INDEX(Hours!E:E,MATCH(C419,Hours!$A:$A,0))+J419*INDEX(Hours!F:F,MATCH(C419,Hours!$A:$A,0))+K419*INDEX(Hours!G:G,MATCH(C419,Hours!$A:$A,0)))</f>
        <v>0</v>
      </c>
      <c r="S419" s="19">
        <f t="shared" si="13"/>
        <v>0</v>
      </c>
    </row>
    <row r="420" spans="1:19" x14ac:dyDescent="0.25">
      <c r="A420" s="15" t="str">
        <f>'Bldgs &amp; Rooms'!$A$13</f>
        <v>Main Bldg.</v>
      </c>
      <c r="B420" s="15">
        <f>'Bldgs &amp; Rooms'!$B$13</f>
        <v>0</v>
      </c>
      <c r="C420" s="14" t="str">
        <f>Hours!$A$13</f>
        <v xml:space="preserve">  MCC: Individual Disconnect Switch</v>
      </c>
      <c r="D420" s="15">
        <f t="shared" si="12"/>
        <v>0</v>
      </c>
      <c r="E420" s="16">
        <f>IF('Components Yr 1'!E420=0,0,'Components Yr 1'!E420)</f>
        <v>0</v>
      </c>
      <c r="F420" s="17">
        <f>IF('Components Yr 1'!F420=0,0,'Components Yr 1'!F420)</f>
        <v>0</v>
      </c>
      <c r="G420" s="17">
        <f>IF('Components Yr 1'!G420=0,0,'Components Yr 1'!G420)</f>
        <v>0</v>
      </c>
      <c r="H420" s="17">
        <f>IF('Components Yr 1'!H420=0,0,'Components Yr 1'!H420)</f>
        <v>0</v>
      </c>
      <c r="I420" s="17">
        <f>IF('Components Yr 1'!I420=0,0,'Components Yr 1'!I420)</f>
        <v>0</v>
      </c>
      <c r="J420" s="17">
        <f>IF('Components Yr 1'!J420=0,0,'Components Yr 1'!J420)</f>
        <v>0</v>
      </c>
      <c r="K420" s="12"/>
      <c r="L420" s="12"/>
      <c r="M420" s="12"/>
      <c r="N420" s="12"/>
      <c r="O420" s="12"/>
      <c r="P420" s="12"/>
      <c r="Q420" s="17"/>
      <c r="R420" s="18">
        <f>IF(SUMPRODUCT((E420:Q420)*1)=0,0,E420*INDEX(Hours!M:M,MATCH(C420,Hours!$A:$A,0))+F420*INDEX(Hours!B:B,MATCH(C420,Hours!$A:$A,0))+G420*INDEX(Hours!C:C,MATCH(C420,Hours!$A:$A,0))+H420*INDEX(Hours!D:D,MATCH(C420,Hours!$A:$A,0))+I420*INDEX(Hours!E:E,MATCH(C420,Hours!$A:$A,0))+J420*INDEX(Hours!F:F,MATCH(C420,Hours!$A:$A,0)))</f>
        <v>0</v>
      </c>
      <c r="S420" s="19">
        <f t="shared" si="13"/>
        <v>0</v>
      </c>
    </row>
    <row r="421" spans="1:19" x14ac:dyDescent="0.25">
      <c r="A421" s="15" t="str">
        <f>'Bldgs &amp; Rooms'!$A$13</f>
        <v>Main Bldg.</v>
      </c>
      <c r="B421" s="15">
        <f>'Bldgs &amp; Rooms'!$B$13</f>
        <v>0</v>
      </c>
      <c r="C421" s="14" t="str">
        <f>Hours!$A$14</f>
        <v>Motor Control Panel (MCP)</v>
      </c>
      <c r="D421" s="15">
        <f t="shared" si="12"/>
        <v>0</v>
      </c>
      <c r="E421" s="16">
        <f>IF('Components Yr 1'!E421=0,0,'Components Yr 1'!E421)</f>
        <v>0</v>
      </c>
      <c r="F421" s="17">
        <f>IF('Components Yr 1'!F421=0,0,'Components Yr 1'!F421)</f>
        <v>0</v>
      </c>
      <c r="G421" s="17">
        <f>IF('Components Yr 1'!G421=0,0,'Components Yr 1'!G421)</f>
        <v>0</v>
      </c>
      <c r="H421" s="17">
        <f>IF('Components Yr 1'!H421=0,0,'Components Yr 1'!H421)</f>
        <v>0</v>
      </c>
      <c r="I421" s="17">
        <f>IF('Components Yr 1'!I421=0,0,'Components Yr 1'!I421)</f>
        <v>0</v>
      </c>
      <c r="J421" s="17">
        <f>IF('Components Yr 1'!J421=0,0,'Components Yr 1'!J421)</f>
        <v>0</v>
      </c>
      <c r="K421" s="12"/>
      <c r="L421" s="12"/>
      <c r="M421" s="12"/>
      <c r="N421" s="12"/>
      <c r="O421" s="17">
        <f>IF('Components Yr 1'!O421=0,0,'Components Yr 1'!O421)</f>
        <v>0</v>
      </c>
      <c r="P421" s="12"/>
      <c r="Q421" s="17"/>
      <c r="R421" s="18">
        <f>IF(SUMPRODUCT((E421:Q421)*1)=0,0,E421*INDEX(Hours!M:M,MATCH(C421,Hours!$A:$A,0))+F421*INDEX(Hours!B:B,MATCH(C421,Hours!$A:$A,0))+G421*INDEX(Hours!C:C,MATCH(C421,Hours!$A:$A,0))+H421*INDEX(Hours!D:D,MATCH(C421,Hours!$A:$A,0))+I421*INDEX(Hours!E:E,MATCH(C421,Hours!$A:$A,0))+J421*INDEX(Hours!F:F,MATCH(C421,Hours!$A:$A,0))+O421*INDEX(Hours!K:K,MATCH(C421,Hours!$A:$A,0)))</f>
        <v>0</v>
      </c>
      <c r="S421" s="19">
        <f t="shared" si="13"/>
        <v>0</v>
      </c>
    </row>
    <row r="422" spans="1:19" x14ac:dyDescent="0.25">
      <c r="A422" s="15" t="str">
        <f>'Bldgs &amp; Rooms'!$A$13</f>
        <v>Main Bldg.</v>
      </c>
      <c r="B422" s="15">
        <f>'Bldgs &amp; Rooms'!$B$13</f>
        <v>0</v>
      </c>
      <c r="C422" s="14" t="str">
        <f>Hours!$A$15</f>
        <v>VFD Motor Control Panel (VFD-MCP)</v>
      </c>
      <c r="D422" s="15">
        <f t="shared" si="12"/>
        <v>0</v>
      </c>
      <c r="E422" s="16">
        <f>IF('Components Yr 1'!E422=0,0,'Components Yr 1'!E422)</f>
        <v>0</v>
      </c>
      <c r="F422" s="17">
        <f>IF('Components Yr 1'!F422=0,0,'Components Yr 1'!F422)</f>
        <v>0</v>
      </c>
      <c r="G422" s="17">
        <f>IF('Components Yr 1'!G422=0,0,'Components Yr 1'!G422)</f>
        <v>0</v>
      </c>
      <c r="H422" s="17">
        <f>IF('Components Yr 1'!H422=0,0,'Components Yr 1'!H422)</f>
        <v>0</v>
      </c>
      <c r="I422" s="17">
        <f>IF('Components Yr 1'!I422=0,0,'Components Yr 1'!I422)</f>
        <v>0</v>
      </c>
      <c r="J422" s="17">
        <f>IF('Components Yr 1'!J422=0,0,'Components Yr 1'!J422)</f>
        <v>0</v>
      </c>
      <c r="K422" s="12"/>
      <c r="L422" s="12"/>
      <c r="M422" s="12"/>
      <c r="N422" s="12"/>
      <c r="O422" s="17">
        <f>IF('Components Yr 1'!O422=0,0,'Components Yr 1'!O422)</f>
        <v>0</v>
      </c>
      <c r="P422" s="12"/>
      <c r="Q422" s="17"/>
      <c r="R422" s="18">
        <f>IF(SUMPRODUCT((E422:Q422)*1)=0,0,E422*INDEX(Hours!M:M,MATCH(C422,Hours!$A:$A,0))+F422*INDEX(Hours!B:B,MATCH(C422,Hours!$A:$A,0))+G422*INDEX(Hours!C:C,MATCH(C422,Hours!$A:$A,0))+H422*INDEX(Hours!D:D,MATCH(C422,Hours!$A:$A,0))+I422*INDEX(Hours!E:E,MATCH(C422,Hours!$A:$A,0))+J422*INDEX(Hours!F:F,MATCH(C422,Hours!$A:$A,0))+O422*INDEX(Hours!K:K,MATCH(C422,Hours!$A:$A,0)))</f>
        <v>0</v>
      </c>
      <c r="S422" s="19">
        <f t="shared" si="13"/>
        <v>0</v>
      </c>
    </row>
    <row r="423" spans="1:19" x14ac:dyDescent="0.25">
      <c r="A423" s="15" t="str">
        <f>'Bldgs &amp; Rooms'!$A$13</f>
        <v>Main Bldg.</v>
      </c>
      <c r="B423" s="15">
        <f>'Bldgs &amp; Rooms'!$B$13</f>
        <v>0</v>
      </c>
      <c r="C423" s="14" t="str">
        <f>Hours!$A$16</f>
        <v>Individual Disconnect Switch &gt; 100A</v>
      </c>
      <c r="D423" s="15">
        <f t="shared" si="12"/>
        <v>0</v>
      </c>
      <c r="E423" s="16">
        <f>IF('Components Yr 1'!E423=0,0,'Components Yr 1'!E423)</f>
        <v>0</v>
      </c>
      <c r="F423" s="17">
        <f>IF('Components Yr 1'!F423=0,0,'Components Yr 1'!F423)</f>
        <v>0</v>
      </c>
      <c r="G423" s="17">
        <f>IF('Components Yr 1'!G423=0,0,'Components Yr 1'!G423)</f>
        <v>0</v>
      </c>
      <c r="H423" s="17">
        <f>IF('Components Yr 1'!H423=0,0,'Components Yr 1'!H423)</f>
        <v>0</v>
      </c>
      <c r="I423" s="17">
        <f>IF('Components Yr 1'!I423=0,0,'Components Yr 1'!I423)</f>
        <v>0</v>
      </c>
      <c r="J423" s="17">
        <f>IF('Components Yr 1'!J423=0,0,'Components Yr 1'!J423)</f>
        <v>0</v>
      </c>
      <c r="K423" s="17">
        <f>IF('Components Yr 1'!K423=0,0,'Components Yr 1'!K423)</f>
        <v>0</v>
      </c>
      <c r="L423" s="12"/>
      <c r="M423" s="12"/>
      <c r="N423" s="12"/>
      <c r="O423" s="12"/>
      <c r="P423" s="12"/>
      <c r="Q423" s="17"/>
      <c r="R423" s="18">
        <f>IF(SUMPRODUCT((E423:Q423)*1)=0,0,E423*INDEX(Hours!M:M,MATCH(C423,Hours!$A:$A,0))+F423*INDEX(Hours!B:B,MATCH(C423,Hours!$A:$A,0))+G423*INDEX(Hours!C:C,MATCH(C423,Hours!$A:$A,0))+H423*INDEX(Hours!D:D,MATCH(C423,Hours!$A:$A,0))+I423*INDEX(Hours!E:E,MATCH(C423,Hours!$A:$A,0))+J423*INDEX(Hours!F:F,MATCH(C423,Hours!$A:$A,0))+K423*INDEX(Hours!G:G,MATCH(C423,Hours!$A:$A,0)))</f>
        <v>0</v>
      </c>
      <c r="S423" s="19">
        <f t="shared" si="13"/>
        <v>0</v>
      </c>
    </row>
    <row r="424" spans="1:19" x14ac:dyDescent="0.25">
      <c r="A424" s="15" t="str">
        <f>'Bldgs &amp; Rooms'!$A$13</f>
        <v>Main Bldg.</v>
      </c>
      <c r="B424" s="15">
        <f>'Bldgs &amp; Rooms'!$B$13</f>
        <v>0</v>
      </c>
      <c r="C424" s="14" t="str">
        <f>Hours!$A$17</f>
        <v>Individual Molded Case Breaker &gt; 100A</v>
      </c>
      <c r="D424" s="15">
        <f t="shared" si="12"/>
        <v>0</v>
      </c>
      <c r="E424" s="16">
        <f>IF('Components Yr 1'!E424=0,0,'Components Yr 1'!E424)</f>
        <v>0</v>
      </c>
      <c r="F424" s="17">
        <f>IF('Components Yr 1'!F424=0,0,'Components Yr 1'!F424)</f>
        <v>0</v>
      </c>
      <c r="G424" s="17">
        <f>IF('Components Yr 1'!G424=0,0,'Components Yr 1'!G424)</f>
        <v>0</v>
      </c>
      <c r="H424" s="17">
        <f>IF('Components Yr 1'!H424=0,0,'Components Yr 1'!H424)</f>
        <v>0</v>
      </c>
      <c r="I424" s="17">
        <f>IF('Components Yr 1'!I424=0,0,'Components Yr 1'!I424)</f>
        <v>0</v>
      </c>
      <c r="J424" s="17">
        <f>IF('Components Yr 1'!J424=0,0,'Components Yr 1'!J424)</f>
        <v>0</v>
      </c>
      <c r="K424" s="17">
        <f>IF('Components Yr 1'!K424=0,0,'Components Yr 1'!K424)</f>
        <v>0</v>
      </c>
      <c r="L424" s="12"/>
      <c r="M424" s="12"/>
      <c r="N424" s="12"/>
      <c r="O424" s="12"/>
      <c r="P424" s="12"/>
      <c r="Q424" s="17"/>
      <c r="R424" s="18">
        <f>IF(SUMPRODUCT((E424:Q424)*1)=0,0,E424*INDEX(Hours!M:M,MATCH(C424,Hours!$A:$A,0))+F424*INDEX(Hours!B:B,MATCH(C424,Hours!$A:$A,0))+G424*INDEX(Hours!C:C,MATCH(C424,Hours!$A:$A,0))+H424*INDEX(Hours!D:D,MATCH(C424,Hours!$A:$A,0))+I424*INDEX(Hours!E:E,MATCH(C424,Hours!$A:$A,0))+J424*INDEX(Hours!F:F,MATCH(C424,Hours!$A:$A,0))+K424*INDEX(Hours!G:G,MATCH(C424,Hours!$A:$A,0)))</f>
        <v>0</v>
      </c>
      <c r="S424" s="19">
        <f t="shared" si="13"/>
        <v>0</v>
      </c>
    </row>
    <row r="425" spans="1:19" x14ac:dyDescent="0.25">
      <c r="A425" s="15" t="str">
        <f>'Bldgs &amp; Rooms'!$A$13</f>
        <v>Main Bldg.</v>
      </c>
      <c r="B425" s="15">
        <f>'Bldgs &amp; Rooms'!$B$13</f>
        <v>0</v>
      </c>
      <c r="C425" s="14" t="str">
        <f>Hours!$A$18</f>
        <v>Individual Combination Motor Starter &gt; 100A</v>
      </c>
      <c r="D425" s="15">
        <f t="shared" si="12"/>
        <v>0</v>
      </c>
      <c r="E425" s="16">
        <f>IF('Components Yr 1'!E425=0,0,'Components Yr 1'!E425)</f>
        <v>0</v>
      </c>
      <c r="F425" s="17">
        <f>IF('Components Yr 1'!F425=0,0,'Components Yr 1'!F425)</f>
        <v>0</v>
      </c>
      <c r="G425" s="17">
        <f>IF('Components Yr 1'!G425=0,0,'Components Yr 1'!G425)</f>
        <v>0</v>
      </c>
      <c r="H425" s="17">
        <f>IF('Components Yr 1'!H425=0,0,'Components Yr 1'!H425)</f>
        <v>0</v>
      </c>
      <c r="I425" s="17">
        <f>IF('Components Yr 1'!I425=0,0,'Components Yr 1'!I425)</f>
        <v>0</v>
      </c>
      <c r="J425" s="17">
        <f>IF('Components Yr 1'!J425=0,0,'Components Yr 1'!J425)</f>
        <v>0</v>
      </c>
      <c r="K425" s="17">
        <f>IF('Components Yr 1'!K425=0,0,'Components Yr 1'!K425)</f>
        <v>0</v>
      </c>
      <c r="L425" s="12"/>
      <c r="M425" s="12"/>
      <c r="N425" s="12"/>
      <c r="O425" s="12"/>
      <c r="P425" s="12"/>
      <c r="Q425" s="17"/>
      <c r="R425" s="18">
        <f>IF(SUMPRODUCT((E425:Q425)*1)=0,0,E425*INDEX(Hours!M:M,MATCH(C425,Hours!$A:$A,0))+F425*INDEX(Hours!B:B,MATCH(C425,Hours!$A:$A,0))+G425*INDEX(Hours!C:C,MATCH(C425,Hours!$A:$A,0))+H425*INDEX(Hours!D:D,MATCH(C425,Hours!$A:$A,0))+I425*INDEX(Hours!E:E,MATCH(C425,Hours!$A:$A,0))+J425*INDEX(Hours!F:F,MATCH(C425,Hours!$A:$A,0))+K425*INDEX(Hours!G:G,MATCH(C425,Hours!$A:$A,0)))</f>
        <v>0</v>
      </c>
      <c r="S425" s="19">
        <f t="shared" si="13"/>
        <v>0</v>
      </c>
    </row>
    <row r="426" spans="1:19" x14ac:dyDescent="0.25">
      <c r="A426" s="15" t="str">
        <f>'Bldgs &amp; Rooms'!$A$13</f>
        <v>Main Bldg.</v>
      </c>
      <c r="B426" s="15">
        <f>'Bldgs &amp; Rooms'!$B$13</f>
        <v>0</v>
      </c>
      <c r="C426" s="14" t="str">
        <f>Hours!$A$19</f>
        <v>Oil Filled Transformer - 5kV-15kV Primary - Any Size (Pad Mounted)</v>
      </c>
      <c r="D426" s="15">
        <f t="shared" si="12"/>
        <v>0</v>
      </c>
      <c r="E426" s="16">
        <f>IF('Components Yr 1'!E426=0,0,'Components Yr 1'!E426)</f>
        <v>0</v>
      </c>
      <c r="F426" s="17">
        <f>IF('Components Yr 1'!F426=0,0,'Components Yr 1'!F426)</f>
        <v>0</v>
      </c>
      <c r="G426" s="17">
        <f>IF('Components Yr 1'!G426=0,0,'Components Yr 1'!G426)</f>
        <v>0</v>
      </c>
      <c r="H426" s="17">
        <f>IF('Components Yr 1'!H426=0,0,'Components Yr 1'!H426)</f>
        <v>0</v>
      </c>
      <c r="I426" s="17">
        <f>IF('Components Yr 1'!I426=0,0,'Components Yr 1'!I426)</f>
        <v>0</v>
      </c>
      <c r="J426" s="17">
        <f>IF('Components Yr 1'!J426=0,0,'Components Yr 1'!J426)</f>
        <v>0</v>
      </c>
      <c r="K426" s="12"/>
      <c r="L426" s="12"/>
      <c r="M426" s="17">
        <f>IF('Components Yr 1'!M426=0,0,'Components Yr 1'!M426)</f>
        <v>0</v>
      </c>
      <c r="N426" s="17">
        <f>IF('Components Yr 1'!N426=0,0,'Components Yr 1'!N426)</f>
        <v>0</v>
      </c>
      <c r="O426" s="12"/>
      <c r="P426" s="17">
        <f>IF('Components Yr 1'!P426=0,0,'Components Yr 1'!P426)</f>
        <v>0</v>
      </c>
      <c r="Q426" s="17"/>
      <c r="R426" s="18">
        <f>IF(SUMPRODUCT((E426:Q426)*1)=0,0,E426*INDEX(Hours!M:M,MATCH(C426,Hours!$A:$A,0))+F426*INDEX(Hours!B:B,MATCH(C426,Hours!$A:$A,0))+G426*INDEX(Hours!C:C,MATCH(C426,Hours!$A:$A,0))+H426*INDEX(Hours!D:D,MATCH(C426,Hours!$A:$A,0))+I426*INDEX(Hours!E:E,MATCH(C426,Hours!$A:$A,0))+J426*INDEX(Hours!F:F,MATCH(C426,Hours!$A:$A,0))+M426*INDEX(Hours!I:I,MATCH(C426,Hours!$A:$A,0))+N426*INDEX(Hours!J:J,MATCH(C426,Hours!$A:$A,0))+P426*INDEX(Hours!L:L,MATCH(C426,Hours!$A:$A,0)))</f>
        <v>0</v>
      </c>
      <c r="S426" s="19">
        <f t="shared" si="13"/>
        <v>0</v>
      </c>
    </row>
    <row r="427" spans="1:19" x14ac:dyDescent="0.25">
      <c r="A427" s="15" t="str">
        <f>'Bldgs &amp; Rooms'!$A$13</f>
        <v>Main Bldg.</v>
      </c>
      <c r="B427" s="15">
        <f>'Bldgs &amp; Rooms'!$B$13</f>
        <v>0</v>
      </c>
      <c r="C427" s="14" t="str">
        <f>Hours!$A$20</f>
        <v>Oil Filled Transformer - &gt; 15kV Primary (Substation Class)</v>
      </c>
      <c r="D427" s="15">
        <f t="shared" si="12"/>
        <v>0</v>
      </c>
      <c r="E427" s="16">
        <f>IF('Components Yr 1'!E427=0,0,'Components Yr 1'!E427)</f>
        <v>0</v>
      </c>
      <c r="F427" s="17">
        <f>IF('Components Yr 1'!F427=0,0,'Components Yr 1'!F427)</f>
        <v>0</v>
      </c>
      <c r="G427" s="17">
        <f>IF('Components Yr 1'!G427=0,0,'Components Yr 1'!G427)</f>
        <v>0</v>
      </c>
      <c r="H427" s="17">
        <f>IF('Components Yr 1'!H427=0,0,'Components Yr 1'!H427)</f>
        <v>0</v>
      </c>
      <c r="I427" s="17">
        <f>IF('Components Yr 1'!I427=0,0,'Components Yr 1'!I427)</f>
        <v>0</v>
      </c>
      <c r="J427" s="17">
        <f>IF('Components Yr 1'!J427=0,0,'Components Yr 1'!J427)</f>
        <v>0</v>
      </c>
      <c r="K427" s="12"/>
      <c r="L427" s="12"/>
      <c r="M427" s="17">
        <f>IF('Components Yr 1'!M427=0,0,'Components Yr 1'!M427)</f>
        <v>0</v>
      </c>
      <c r="N427" s="17">
        <f>IF('Components Yr 1'!N427=0,0,'Components Yr 1'!N427)</f>
        <v>0</v>
      </c>
      <c r="O427" s="12"/>
      <c r="P427" s="17">
        <f>IF('Components Yr 1'!P427=0,0,'Components Yr 1'!P427)</f>
        <v>0</v>
      </c>
      <c r="Q427" s="17"/>
      <c r="R427" s="18">
        <f>IF(SUMPRODUCT((E427:Q427)*1)=0,0,E427*INDEX(Hours!M:M,MATCH(C427,Hours!$A:$A,0))+F427*INDEX(Hours!B:B,MATCH(C427,Hours!$A:$A,0))+G427*INDEX(Hours!C:C,MATCH(C427,Hours!$A:$A,0))+H427*INDEX(Hours!D:D,MATCH(C427,Hours!$A:$A,0))+I427*INDEX(Hours!E:E,MATCH(C427,Hours!$A:$A,0))+J427*INDEX(Hours!F:F,MATCH(C427,Hours!$A:$A,0))+M427*INDEX(Hours!I:I,MATCH(C427,Hours!$A:$A,0))+N427*INDEX(Hours!J:J,MATCH(C427,Hours!$A:$A,0))+P427*INDEX(Hours!L:L,MATCH(C427,Hours!$A:$A,0)))</f>
        <v>0</v>
      </c>
      <c r="S427" s="19">
        <f t="shared" si="13"/>
        <v>0</v>
      </c>
    </row>
    <row r="428" spans="1:19" x14ac:dyDescent="0.25">
      <c r="A428" s="15" t="str">
        <f>'Bldgs &amp; Rooms'!$A$13</f>
        <v>Main Bldg.</v>
      </c>
      <c r="B428" s="15">
        <f>'Bldgs &amp; Rooms'!$B$13</f>
        <v>0</v>
      </c>
      <c r="C428" s="14" t="str">
        <f>Hours!$A$21</f>
        <v>Dry Type Transformer - &lt; 480V Primary - Any Size kVA</v>
      </c>
      <c r="D428" s="15">
        <f t="shared" si="12"/>
        <v>0</v>
      </c>
      <c r="E428" s="16">
        <f>IF('Components Yr 1'!E428=0,0,'Components Yr 1'!E428)</f>
        <v>0</v>
      </c>
      <c r="F428" s="17">
        <f>IF('Components Yr 1'!F428=0,0,'Components Yr 1'!F428)</f>
        <v>0</v>
      </c>
      <c r="G428" s="17">
        <f>IF('Components Yr 1'!G428=0,0,'Components Yr 1'!G428)</f>
        <v>0</v>
      </c>
      <c r="H428" s="17">
        <f>IF('Components Yr 1'!H428=0,0,'Components Yr 1'!H428)</f>
        <v>0</v>
      </c>
      <c r="I428" s="17">
        <f>IF('Components Yr 1'!I428=0,0,'Components Yr 1'!I428)</f>
        <v>0</v>
      </c>
      <c r="J428" s="17">
        <f>IF('Components Yr 1'!J428=0,0,'Components Yr 1'!J428)</f>
        <v>0</v>
      </c>
      <c r="K428" s="12"/>
      <c r="L428" s="12"/>
      <c r="M428" s="17">
        <f>IF('Components Yr 1'!M428=0,0,'Components Yr 1'!M428)</f>
        <v>0</v>
      </c>
      <c r="N428" s="17">
        <f>IF('Components Yr 1'!N428=0,0,'Components Yr 1'!N428)</f>
        <v>0</v>
      </c>
      <c r="O428" s="12"/>
      <c r="P428" s="12"/>
      <c r="Q428" s="17"/>
      <c r="R428" s="18">
        <f>IF(SUMPRODUCT((E428:Q428)*1)=0,0,E428*INDEX(Hours!M:M,MATCH(C428,Hours!$A:$A,0))+F428*INDEX(Hours!B:B,MATCH(C428,Hours!$A:$A,0))+G428*INDEX(Hours!C:C,MATCH(C428,Hours!$A:$A,0))+H428*INDEX(Hours!D:D,MATCH(C428,Hours!$A:$A,0))+I428*INDEX(Hours!E:E,MATCH(C428,Hours!$A:$A,0))+J428*INDEX(Hours!F:F,MATCH(C428,Hours!$A:$A,0))+M428*INDEX(Hours!I:I,MATCH(C428,Hours!$A:$A,0))+N428*INDEX(Hours!J:J,MATCH(C428,Hours!$A:$A,0)))</f>
        <v>0</v>
      </c>
      <c r="S428" s="19">
        <f t="shared" si="13"/>
        <v>0</v>
      </c>
    </row>
    <row r="429" spans="1:19" x14ac:dyDescent="0.25">
      <c r="A429" s="15" t="str">
        <f>'Bldgs &amp; Rooms'!$A$13</f>
        <v>Main Bldg.</v>
      </c>
      <c r="B429" s="15">
        <f>'Bldgs &amp; Rooms'!$B$13</f>
        <v>0</v>
      </c>
      <c r="C429" s="14" t="str">
        <f>Hours!$A$22</f>
        <v>Power Factor Correction Capacitors</v>
      </c>
      <c r="D429" s="15">
        <f t="shared" si="12"/>
        <v>0</v>
      </c>
      <c r="E429" s="16">
        <f>IF('Components Yr 1'!E429=0,0,'Components Yr 1'!E429)</f>
        <v>0</v>
      </c>
      <c r="F429" s="17">
        <f>IF('Components Yr 1'!F429=0,0,'Components Yr 1'!F429)</f>
        <v>0</v>
      </c>
      <c r="G429" s="17">
        <f>IF('Components Yr 1'!G429=0,0,'Components Yr 1'!G429)</f>
        <v>0</v>
      </c>
      <c r="H429" s="17">
        <f>IF('Components Yr 1'!H429=0,0,'Components Yr 1'!H429)</f>
        <v>0</v>
      </c>
      <c r="I429" s="17">
        <f>IF('Components Yr 1'!I429=0,0,'Components Yr 1'!I429)</f>
        <v>0</v>
      </c>
      <c r="J429" s="17">
        <f>IF('Components Yr 1'!J429=0,0,'Components Yr 1'!J429)</f>
        <v>0</v>
      </c>
      <c r="K429" s="12"/>
      <c r="L429" s="12"/>
      <c r="M429" s="12"/>
      <c r="N429" s="12"/>
      <c r="O429" s="12"/>
      <c r="P429" s="12"/>
      <c r="Q429" s="17"/>
      <c r="R429" s="18">
        <f>IF(SUMPRODUCT((E429:Q429)*1)=0,0,E429*INDEX(Hours!M:M,MATCH(C429,Hours!$A:$A,0))+F429*INDEX(Hours!B:B,MATCH(C429,Hours!$A:$A,0))+G429*INDEX(Hours!C:C,MATCH(C429,Hours!$A:$A,0))+H429*INDEX(Hours!D:D,MATCH(C429,Hours!$A:$A,0))+I429*INDEX(Hours!E:E,MATCH(C429,Hours!$A:$A,0))+J429*INDEX(Hours!F:F,MATCH(C429,Hours!$A:$A,0)))</f>
        <v>0</v>
      </c>
      <c r="S429" s="19">
        <f t="shared" si="13"/>
        <v>0</v>
      </c>
    </row>
    <row r="430" spans="1:19" x14ac:dyDescent="0.25">
      <c r="A430" s="15" t="str">
        <f>'Bldgs &amp; Rooms'!$A$13</f>
        <v>Main Bldg.</v>
      </c>
      <c r="B430" s="15">
        <f>'Bldgs &amp; Rooms'!$B$13</f>
        <v>0</v>
      </c>
      <c r="C430" s="14" t="str">
        <f>Hours!$A$23</f>
        <v>Lighting Contactor &gt; 100A</v>
      </c>
      <c r="D430" s="15">
        <f t="shared" si="12"/>
        <v>0</v>
      </c>
      <c r="E430" s="16">
        <f>IF('Components Yr 1'!E430=0,0,'Components Yr 1'!E430)</f>
        <v>0</v>
      </c>
      <c r="F430" s="17">
        <f>IF('Components Yr 1'!F430=0,0,'Components Yr 1'!F430)</f>
        <v>0</v>
      </c>
      <c r="G430" s="17">
        <f>IF('Components Yr 1'!G430=0,0,'Components Yr 1'!G430)</f>
        <v>0</v>
      </c>
      <c r="H430" s="17">
        <f>IF('Components Yr 1'!H430=0,0,'Components Yr 1'!H430)</f>
        <v>0</v>
      </c>
      <c r="I430" s="17">
        <f>IF('Components Yr 1'!I430=0,0,'Components Yr 1'!I430)</f>
        <v>0</v>
      </c>
      <c r="J430" s="17">
        <f>IF('Components Yr 1'!J430=0,0,'Components Yr 1'!J430)</f>
        <v>0</v>
      </c>
      <c r="K430" s="12"/>
      <c r="L430" s="12"/>
      <c r="M430" s="12"/>
      <c r="N430" s="12"/>
      <c r="O430" s="12"/>
      <c r="P430" s="12"/>
      <c r="Q430" s="17"/>
      <c r="R430" s="18">
        <f>IF(SUMPRODUCT((E430:Q430)*1)=0,0,E430*INDEX(Hours!M:M,MATCH(C430,Hours!$A:$A,0))+F430*INDEX(Hours!B:B,MATCH(C430,Hours!$A:$A,0))+G430*INDEX(Hours!C:C,MATCH(C430,Hours!$A:$A,0))+H430*INDEX(Hours!D:D,MATCH(C430,Hours!$A:$A,0))+I430*INDEX(Hours!E:E,MATCH(C430,Hours!$A:$A,0))+J430*INDEX(Hours!F:F,MATCH(C430,Hours!$A:$A,0)))</f>
        <v>0</v>
      </c>
      <c r="S430" s="19">
        <f t="shared" si="13"/>
        <v>0</v>
      </c>
    </row>
    <row r="431" spans="1:19" x14ac:dyDescent="0.25">
      <c r="A431" s="15" t="str">
        <f>'Bldgs &amp; Rooms'!$A$13</f>
        <v>Main Bldg.</v>
      </c>
      <c r="B431" s="15">
        <f>'Bldgs &amp; Rooms'!$B$13</f>
        <v>0</v>
      </c>
      <c r="C431" s="14" t="str">
        <f>Hours!$A$24</f>
        <v>Power Distribution Unit (PDU)</v>
      </c>
      <c r="D431" s="15">
        <f t="shared" si="12"/>
        <v>0</v>
      </c>
      <c r="E431" s="16">
        <f>IF('Components Yr 1'!E431=0,0,'Components Yr 1'!E431)</f>
        <v>0</v>
      </c>
      <c r="F431" s="17">
        <f>IF('Components Yr 1'!F431=0,0,'Components Yr 1'!F431)</f>
        <v>0</v>
      </c>
      <c r="G431" s="17">
        <f>IF('Components Yr 1'!G431=0,0,'Components Yr 1'!G431)</f>
        <v>0</v>
      </c>
      <c r="H431" s="17">
        <f>IF('Components Yr 1'!H431=0,0,'Components Yr 1'!H431)</f>
        <v>0</v>
      </c>
      <c r="I431" s="17">
        <f>IF('Components Yr 1'!I431=0,0,'Components Yr 1'!I431)</f>
        <v>0</v>
      </c>
      <c r="J431" s="17">
        <f>IF('Components Yr 1'!J431=0,0,'Components Yr 1'!J431)</f>
        <v>0</v>
      </c>
      <c r="K431" s="12"/>
      <c r="L431" s="12"/>
      <c r="M431" s="12"/>
      <c r="N431" s="12"/>
      <c r="O431" s="12"/>
      <c r="P431" s="12"/>
      <c r="Q431" s="17"/>
      <c r="R431" s="18">
        <f>IF(SUMPRODUCT((E431:Q431)*1)=0,0,E431*INDEX(Hours!M:M,MATCH(C431,Hours!$A:$A,0))+F431*INDEX(Hours!B:B,MATCH(C431,Hours!$A:$A,0))+G431*INDEX(Hours!C:C,MATCH(C431,Hours!$A:$A,0))+H431*INDEX(Hours!D:D,MATCH(C431,Hours!$A:$A,0))+I431*INDEX(Hours!E:E,MATCH(C431,Hours!$A:$A,0))+J431*INDEX(Hours!F:F,MATCH(C431,Hours!$A:$A,0)))</f>
        <v>0</v>
      </c>
      <c r="S431" s="19">
        <f t="shared" si="13"/>
        <v>0</v>
      </c>
    </row>
    <row r="432" spans="1:19" x14ac:dyDescent="0.25">
      <c r="A432" s="15" t="str">
        <f>'Bldgs &amp; Rooms'!$A$13</f>
        <v>Main Bldg.</v>
      </c>
      <c r="B432" s="15">
        <f>'Bldgs &amp; Rooms'!$B$13</f>
        <v>0</v>
      </c>
      <c r="C432" s="14" t="str">
        <f>Hours!$A$25</f>
        <v>Wire Trough, Gutter, or Large Junction Boxes</v>
      </c>
      <c r="D432" s="15">
        <f t="shared" si="12"/>
        <v>0</v>
      </c>
      <c r="E432" s="16">
        <f>IF('Components Yr 1'!E432=0,0,'Components Yr 1'!E432)</f>
        <v>0</v>
      </c>
      <c r="F432" s="17">
        <f>IF('Components Yr 1'!F432=0,0,'Components Yr 1'!F432)</f>
        <v>0</v>
      </c>
      <c r="G432" s="17">
        <f>IF('Components Yr 1'!G432=0,0,'Components Yr 1'!G432)</f>
        <v>0</v>
      </c>
      <c r="H432" s="17">
        <f>IF('Components Yr 1'!H432=0,0,'Components Yr 1'!H432)</f>
        <v>0</v>
      </c>
      <c r="I432" s="17">
        <f>IF('Components Yr 1'!I432=0,0,'Components Yr 1'!I432)</f>
        <v>0</v>
      </c>
      <c r="J432" s="17">
        <f>IF('Components Yr 1'!J432=0,0,'Components Yr 1'!J432)</f>
        <v>0</v>
      </c>
      <c r="K432" s="12"/>
      <c r="L432" s="12"/>
      <c r="M432" s="12"/>
      <c r="N432" s="12"/>
      <c r="O432" s="12"/>
      <c r="P432" s="12"/>
      <c r="Q432" s="17"/>
      <c r="R432" s="18">
        <f>IF(SUMPRODUCT((E432:Q432)*1)=0,0,E432*INDEX(Hours!M:M,MATCH(C432,Hours!$A:$A,0))+F432*INDEX(Hours!B:B,MATCH(C432,Hours!$A:$A,0))+G432*INDEX(Hours!C:C,MATCH(C432,Hours!$A:$A,0))+H432*INDEX(Hours!D:D,MATCH(C432,Hours!$A:$A,0))+I432*INDEX(Hours!E:E,MATCH(C432,Hours!$A:$A,0))+J432*INDEX(Hours!F:F,MATCH(C432,Hours!$A:$A,0)))</f>
        <v>0</v>
      </c>
      <c r="S432" s="19">
        <f t="shared" si="13"/>
        <v>0</v>
      </c>
    </row>
    <row r="433" spans="1:19" x14ac:dyDescent="0.25">
      <c r="A433" s="15" t="str">
        <f>'Bldgs &amp; Rooms'!$A$13</f>
        <v>Main Bldg.</v>
      </c>
      <c r="B433" s="15">
        <f>'Bldgs &amp; Rooms'!$B$13</f>
        <v>0</v>
      </c>
      <c r="C433" s="14" t="str">
        <f>Hours!$A$26</f>
        <v>Bus Duct - Vertical or Horizontal (Per 10' section)</v>
      </c>
      <c r="D433" s="15">
        <f t="shared" si="12"/>
        <v>0</v>
      </c>
      <c r="E433" s="16">
        <f>IF('Components Yr 1'!E433=0,0,'Components Yr 1'!E433)</f>
        <v>0</v>
      </c>
      <c r="F433" s="17">
        <f>IF('Components Yr 1'!F433=0,0,'Components Yr 1'!F433)</f>
        <v>0</v>
      </c>
      <c r="G433" s="17">
        <f>IF('Components Yr 1'!G433=0,0,'Components Yr 1'!G433)</f>
        <v>0</v>
      </c>
      <c r="H433" s="17">
        <f>IF('Components Yr 1'!H433=0,0,'Components Yr 1'!H433)</f>
        <v>0</v>
      </c>
      <c r="I433" s="17">
        <f>IF('Components Yr 1'!I433=0,0,'Components Yr 1'!I433)</f>
        <v>0</v>
      </c>
      <c r="J433" s="17">
        <f>IF('Components Yr 1'!J433=0,0,'Components Yr 1'!J433)</f>
        <v>0</v>
      </c>
      <c r="K433" s="12"/>
      <c r="L433" s="12"/>
      <c r="M433" s="12"/>
      <c r="N433" s="12"/>
      <c r="O433" s="12"/>
      <c r="P433" s="12"/>
      <c r="Q433" s="17"/>
      <c r="R433" s="18">
        <f>IF(SUMPRODUCT((E433:Q433)*1)=0,0,E433*INDEX(Hours!M:M,MATCH(C433,Hours!$A:$A,0))+F433*INDEX(Hours!B:B,MATCH(C433,Hours!$A:$A,0))+G433*INDEX(Hours!C:C,MATCH(C433,Hours!$A:$A,0))+H433*INDEX(Hours!D:D,MATCH(C433,Hours!$A:$A,0))+I433*INDEX(Hours!E:E,MATCH(C433,Hours!$A:$A,0))+J433*INDEX(Hours!F:F,MATCH(C433,Hours!$A:$A,0)))</f>
        <v>0</v>
      </c>
      <c r="S433" s="19">
        <f t="shared" si="13"/>
        <v>0</v>
      </c>
    </row>
    <row r="434" spans="1:19" x14ac:dyDescent="0.25">
      <c r="A434" s="15" t="str">
        <f>'Bldgs &amp; Rooms'!$A$13</f>
        <v>Main Bldg.</v>
      </c>
      <c r="B434" s="15">
        <f>'Bldgs &amp; Rooms'!$B$13</f>
        <v>0</v>
      </c>
      <c r="C434" s="14" t="str">
        <f>Hours!$A$27</f>
        <v>Automatic Transfer Switch (ATS) &gt; 100A</v>
      </c>
      <c r="D434" s="15">
        <f t="shared" si="12"/>
        <v>0</v>
      </c>
      <c r="E434" s="16">
        <f>IF('Components Yr 1'!E434=0,0,'Components Yr 1'!E434)</f>
        <v>0</v>
      </c>
      <c r="F434" s="17">
        <f>IF('Components Yr 1'!F434=0,0,'Components Yr 1'!F434)</f>
        <v>0</v>
      </c>
      <c r="G434" s="17">
        <f>IF('Components Yr 1'!G434=0,0,'Components Yr 1'!G434)</f>
        <v>0</v>
      </c>
      <c r="H434" s="17">
        <f>IF('Components Yr 1'!H434=0,0,'Components Yr 1'!H434)</f>
        <v>0</v>
      </c>
      <c r="I434" s="17">
        <f>IF('Components Yr 1'!I434=0,0,'Components Yr 1'!I434)</f>
        <v>0</v>
      </c>
      <c r="J434" s="17">
        <f>IF('Components Yr 1'!J434=0,0,'Components Yr 1'!J434)</f>
        <v>0</v>
      </c>
      <c r="K434" s="12"/>
      <c r="L434" s="12"/>
      <c r="M434" s="12"/>
      <c r="N434" s="12"/>
      <c r="O434" s="12"/>
      <c r="P434" s="12"/>
      <c r="Q434" s="17"/>
      <c r="R434" s="18">
        <f>IF(SUMPRODUCT((E434:Q434)*1)=0,0,E434*INDEX(Hours!M:M,MATCH(C434,Hours!$A:$A,0))+F434*INDEX(Hours!B:B,MATCH(C434,Hours!$A:$A,0))+G434*INDEX(Hours!C:C,MATCH(C434,Hours!$A:$A,0))+H434*INDEX(Hours!D:D,MATCH(C434,Hours!$A:$A,0))+I434*INDEX(Hours!E:E,MATCH(C434,Hours!$A:$A,0))+J434*INDEX(Hours!F:F,MATCH(C434,Hours!$A:$A,0)))</f>
        <v>0</v>
      </c>
      <c r="S434" s="19">
        <f t="shared" si="13"/>
        <v>0</v>
      </c>
    </row>
    <row r="435" spans="1:19" x14ac:dyDescent="0.25">
      <c r="A435" s="15" t="str">
        <f>'Bldgs &amp; Rooms'!$A$13</f>
        <v>Main Bldg.</v>
      </c>
      <c r="B435" s="15">
        <f>'Bldgs &amp; Rooms'!$B$13</f>
        <v>0</v>
      </c>
      <c r="C435" s="14" t="str">
        <f>Hours!$A$28</f>
        <v>Manual Transfer Switch (MTS) &gt; 100A</v>
      </c>
      <c r="D435" s="15">
        <f t="shared" si="12"/>
        <v>0</v>
      </c>
      <c r="E435" s="16">
        <f>IF('Components Yr 1'!E435=0,0,'Components Yr 1'!E435)</f>
        <v>0</v>
      </c>
      <c r="F435" s="17">
        <f>IF('Components Yr 1'!F435=0,0,'Components Yr 1'!F435)</f>
        <v>0</v>
      </c>
      <c r="G435" s="17">
        <f>IF('Components Yr 1'!G435=0,0,'Components Yr 1'!G435)</f>
        <v>0</v>
      </c>
      <c r="H435" s="17">
        <f>IF('Components Yr 1'!H435=0,0,'Components Yr 1'!H435)</f>
        <v>0</v>
      </c>
      <c r="I435" s="17">
        <f>IF('Components Yr 1'!I435=0,0,'Components Yr 1'!I435)</f>
        <v>0</v>
      </c>
      <c r="J435" s="17">
        <f>IF('Components Yr 1'!J435=0,0,'Components Yr 1'!J435)</f>
        <v>0</v>
      </c>
      <c r="K435" s="12"/>
      <c r="L435" s="12"/>
      <c r="M435" s="12"/>
      <c r="N435" s="12"/>
      <c r="O435" s="12"/>
      <c r="P435" s="12"/>
      <c r="Q435" s="17"/>
      <c r="R435" s="18">
        <f>IF(SUMPRODUCT((E435:Q435)*1)=0,0,E435*INDEX(Hours!M:M,MATCH(C435,Hours!$A:$A,0))+F435*INDEX(Hours!B:B,MATCH(C435,Hours!$A:$A,0))+G435*INDEX(Hours!C:C,MATCH(C435,Hours!$A:$A,0))+H435*INDEX(Hours!D:D,MATCH(C435,Hours!$A:$A,0))+I435*INDEX(Hours!E:E,MATCH(C435,Hours!$A:$A,0))+J435*INDEX(Hours!F:F,MATCH(C435,Hours!$A:$A,0)))</f>
        <v>0</v>
      </c>
      <c r="S435" s="19">
        <f t="shared" si="13"/>
        <v>0</v>
      </c>
    </row>
    <row r="436" spans="1:19" x14ac:dyDescent="0.25">
      <c r="A436" s="15" t="str">
        <f>'Bldgs &amp; Rooms'!$A$13</f>
        <v>Main Bldg.</v>
      </c>
      <c r="B436" s="15">
        <f>'Bldgs &amp; Rooms'!$B$13</f>
        <v>0</v>
      </c>
      <c r="C436" s="14" t="str">
        <f>Hours!$A$29</f>
        <v>Variable Frequency Drives (VFD) &lt; 50 HP</v>
      </c>
      <c r="D436" s="15">
        <f t="shared" si="12"/>
        <v>0</v>
      </c>
      <c r="E436" s="16">
        <f>IF('Components Yr 1'!E436=0,0,'Components Yr 1'!E436)</f>
        <v>0</v>
      </c>
      <c r="F436" s="17">
        <f>IF('Components Yr 1'!F436=0,0,'Components Yr 1'!F436)</f>
        <v>0</v>
      </c>
      <c r="G436" s="17">
        <f>IF('Components Yr 1'!G436=0,0,'Components Yr 1'!G436)</f>
        <v>0</v>
      </c>
      <c r="H436" s="17">
        <f>IF('Components Yr 1'!H436=0,0,'Components Yr 1'!H436)</f>
        <v>0</v>
      </c>
      <c r="I436" s="17">
        <f>IF('Components Yr 1'!I436=0,0,'Components Yr 1'!I436)</f>
        <v>0</v>
      </c>
      <c r="J436" s="17">
        <f>IF('Components Yr 1'!J436=0,0,'Components Yr 1'!J436)</f>
        <v>0</v>
      </c>
      <c r="K436" s="12"/>
      <c r="L436" s="12"/>
      <c r="M436" s="12"/>
      <c r="N436" s="12"/>
      <c r="O436" s="12"/>
      <c r="P436" s="12"/>
      <c r="Q436" s="17"/>
      <c r="R436" s="18">
        <f>IF(SUMPRODUCT((E436:Q436)*1)=0,0,E436*INDEX(Hours!M:M,MATCH(C436,Hours!$A:$A,0))+F436*INDEX(Hours!B:B,MATCH(C436,Hours!$A:$A,0))+G436*INDEX(Hours!C:C,MATCH(C436,Hours!$A:$A,0))+H436*INDEX(Hours!D:D,MATCH(C436,Hours!$A:$A,0))+I436*INDEX(Hours!E:E,MATCH(C436,Hours!$A:$A,0))+J436*INDEX(Hours!F:F,MATCH(C436,Hours!$A:$A,0)))</f>
        <v>0</v>
      </c>
      <c r="S436" s="19">
        <f t="shared" si="13"/>
        <v>0</v>
      </c>
    </row>
    <row r="437" spans="1:19" x14ac:dyDescent="0.25">
      <c r="A437" s="15" t="str">
        <f>'Bldgs &amp; Rooms'!$A$13</f>
        <v>Main Bldg.</v>
      </c>
      <c r="B437" s="15">
        <f>'Bldgs &amp; Rooms'!$B$13</f>
        <v>0</v>
      </c>
      <c r="C437" s="14" t="str">
        <f>Hours!$A$30</f>
        <v>Variable Frequency Drives (VFD) 51-200 HP</v>
      </c>
      <c r="D437" s="15">
        <f t="shared" si="12"/>
        <v>0</v>
      </c>
      <c r="E437" s="16">
        <f>IF('Components Yr 1'!E437=0,0,'Components Yr 1'!E437)</f>
        <v>0</v>
      </c>
      <c r="F437" s="17">
        <f>IF('Components Yr 1'!F437=0,0,'Components Yr 1'!F437)</f>
        <v>0</v>
      </c>
      <c r="G437" s="17">
        <f>IF('Components Yr 1'!G437=0,0,'Components Yr 1'!G437)</f>
        <v>0</v>
      </c>
      <c r="H437" s="17">
        <f>IF('Components Yr 1'!H437=0,0,'Components Yr 1'!H437)</f>
        <v>0</v>
      </c>
      <c r="I437" s="17">
        <f>IF('Components Yr 1'!I437=0,0,'Components Yr 1'!I437)</f>
        <v>0</v>
      </c>
      <c r="J437" s="17">
        <f>IF('Components Yr 1'!J437=0,0,'Components Yr 1'!J437)</f>
        <v>0</v>
      </c>
      <c r="K437" s="12"/>
      <c r="L437" s="12"/>
      <c r="M437" s="12"/>
      <c r="N437" s="12"/>
      <c r="O437" s="12"/>
      <c r="P437" s="12"/>
      <c r="Q437" s="17"/>
      <c r="R437" s="18">
        <f>IF(SUMPRODUCT((E437:Q437)*1)=0,0,E437*INDEX(Hours!M:M,MATCH(C437,Hours!$A:$A,0))+F437*INDEX(Hours!B:B,MATCH(C437,Hours!$A:$A,0))+G437*INDEX(Hours!C:C,MATCH(C437,Hours!$A:$A,0))+H437*INDEX(Hours!D:D,MATCH(C437,Hours!$A:$A,0))+I437*INDEX(Hours!E:E,MATCH(C437,Hours!$A:$A,0))+J437*INDEX(Hours!F:F,MATCH(C437,Hours!$A:$A,0)))</f>
        <v>0</v>
      </c>
      <c r="S437" s="19">
        <f t="shared" si="13"/>
        <v>0</v>
      </c>
    </row>
    <row r="438" spans="1:19" x14ac:dyDescent="0.25">
      <c r="A438" s="15" t="str">
        <f>'Bldgs &amp; Rooms'!$A$13</f>
        <v>Main Bldg.</v>
      </c>
      <c r="B438" s="15">
        <f>'Bldgs &amp; Rooms'!$B$13</f>
        <v>0</v>
      </c>
      <c r="C438" s="14" t="str">
        <f>Hours!$A$31</f>
        <v>Motors &lt; 50 HP</v>
      </c>
      <c r="D438" s="15">
        <f t="shared" si="12"/>
        <v>0</v>
      </c>
      <c r="E438" s="16">
        <f>IF('Components Yr 1'!E438=0,0,'Components Yr 1'!E438)</f>
        <v>0</v>
      </c>
      <c r="F438" s="17">
        <f>IF('Components Yr 1'!F438=0,0,'Components Yr 1'!F438)</f>
        <v>0</v>
      </c>
      <c r="G438" s="17">
        <f>IF('Components Yr 1'!G438=0,0,'Components Yr 1'!G438)</f>
        <v>0</v>
      </c>
      <c r="H438" s="17">
        <f>IF('Components Yr 1'!H438=0,0,'Components Yr 1'!H438)</f>
        <v>0</v>
      </c>
      <c r="I438" s="17">
        <f>IF('Components Yr 1'!I438=0,0,'Components Yr 1'!I438)</f>
        <v>0</v>
      </c>
      <c r="J438" s="17">
        <f>IF('Components Yr 1'!J438=0,0,'Components Yr 1'!J438)</f>
        <v>0</v>
      </c>
      <c r="K438" s="12"/>
      <c r="L438" s="12"/>
      <c r="M438" s="12"/>
      <c r="N438" s="12"/>
      <c r="O438" s="12"/>
      <c r="P438" s="12"/>
      <c r="Q438" s="17"/>
      <c r="R438" s="18">
        <f>IF(SUMPRODUCT((E438:Q438)*1)=0,0,E438*INDEX(Hours!M:M,MATCH(C438,Hours!$A:$A,0))+F438*INDEX(Hours!B:B,MATCH(C438,Hours!$A:$A,0))+G438*INDEX(Hours!C:C,MATCH(C438,Hours!$A:$A,0))+H438*INDEX(Hours!D:D,MATCH(C438,Hours!$A:$A,0))+I438*INDEX(Hours!E:E,MATCH(C438,Hours!$A:$A,0))+J438*INDEX(Hours!F:F,MATCH(C438,Hours!$A:$A,0)))</f>
        <v>0</v>
      </c>
      <c r="S438" s="19">
        <f t="shared" si="13"/>
        <v>0</v>
      </c>
    </row>
    <row r="439" spans="1:19" x14ac:dyDescent="0.25">
      <c r="A439" s="15" t="str">
        <f>'Bldgs &amp; Rooms'!$A$13</f>
        <v>Main Bldg.</v>
      </c>
      <c r="B439" s="15">
        <f>'Bldgs &amp; Rooms'!$B$13</f>
        <v>0</v>
      </c>
      <c r="C439" s="14" t="str">
        <f>Hours!$A$32</f>
        <v>Motors 51-200 HP</v>
      </c>
      <c r="D439" s="15">
        <f t="shared" si="12"/>
        <v>0</v>
      </c>
      <c r="E439" s="16">
        <f>IF('Components Yr 1'!E439=0,0,'Components Yr 1'!E439)</f>
        <v>0</v>
      </c>
      <c r="F439" s="17">
        <f>IF('Components Yr 1'!F439=0,0,'Components Yr 1'!F439)</f>
        <v>0</v>
      </c>
      <c r="G439" s="17">
        <f>IF('Components Yr 1'!G439=0,0,'Components Yr 1'!G439)</f>
        <v>0</v>
      </c>
      <c r="H439" s="17">
        <f>IF('Components Yr 1'!H439=0,0,'Components Yr 1'!H439)</f>
        <v>0</v>
      </c>
      <c r="I439" s="17">
        <f>IF('Components Yr 1'!I439=0,0,'Components Yr 1'!I439)</f>
        <v>0</v>
      </c>
      <c r="J439" s="17">
        <f>IF('Components Yr 1'!J439=0,0,'Components Yr 1'!J439)</f>
        <v>0</v>
      </c>
      <c r="K439" s="12"/>
      <c r="L439" s="12"/>
      <c r="M439" s="12"/>
      <c r="N439" s="12"/>
      <c r="O439" s="12"/>
      <c r="P439" s="12"/>
      <c r="Q439" s="17"/>
      <c r="R439" s="18">
        <f>IF(SUMPRODUCT((E439:Q439)*1)=0,0,E439*INDEX(Hours!M:M,MATCH(C439,Hours!$A:$A,0))+F439*INDEX(Hours!B:B,MATCH(C439,Hours!$A:$A,0))+G439*INDEX(Hours!C:C,MATCH(C439,Hours!$A:$A,0))+H439*INDEX(Hours!D:D,MATCH(C439,Hours!$A:$A,0))+I439*INDEX(Hours!E:E,MATCH(C439,Hours!$A:$A,0))+J439*INDEX(Hours!F:F,MATCH(C439,Hours!$A:$A,0)))</f>
        <v>0</v>
      </c>
      <c r="S439" s="19">
        <f t="shared" si="13"/>
        <v>0</v>
      </c>
    </row>
    <row r="440" spans="1:19" x14ac:dyDescent="0.25">
      <c r="A440" s="15" t="str">
        <f>'Bldgs &amp; Rooms'!$A$13</f>
        <v>Main Bldg.</v>
      </c>
      <c r="B440" s="15">
        <f>'Bldgs &amp; Rooms'!$B$13</f>
        <v>0</v>
      </c>
      <c r="C440" s="14" t="str">
        <f>Hours!$A$33</f>
        <v>Motors 201-500 HP</v>
      </c>
      <c r="D440" s="15">
        <f t="shared" si="12"/>
        <v>0</v>
      </c>
      <c r="E440" s="16">
        <f>IF('Components Yr 1'!E440=0,0,'Components Yr 1'!E440)</f>
        <v>0</v>
      </c>
      <c r="F440" s="17">
        <f>IF('Components Yr 1'!F440=0,0,'Components Yr 1'!F440)</f>
        <v>0</v>
      </c>
      <c r="G440" s="17">
        <f>IF('Components Yr 1'!G440=0,0,'Components Yr 1'!G440)</f>
        <v>0</v>
      </c>
      <c r="H440" s="17">
        <f>IF('Components Yr 1'!H440=0,0,'Components Yr 1'!H440)</f>
        <v>0</v>
      </c>
      <c r="I440" s="17">
        <f>IF('Components Yr 1'!I440=0,0,'Components Yr 1'!I440)</f>
        <v>0</v>
      </c>
      <c r="J440" s="17">
        <f>IF('Components Yr 1'!J440=0,0,'Components Yr 1'!J440)</f>
        <v>0</v>
      </c>
      <c r="K440" s="12"/>
      <c r="L440" s="12"/>
      <c r="M440" s="12"/>
      <c r="N440" s="12"/>
      <c r="O440" s="12"/>
      <c r="P440" s="12"/>
      <c r="Q440" s="17"/>
      <c r="R440" s="18">
        <f>IF(SUMPRODUCT((E440:Q440)*1)=0,0,E440*INDEX(Hours!M:M,MATCH(C440,Hours!$A:$A,0))+F440*INDEX(Hours!B:B,MATCH(C440,Hours!$A:$A,0))+G440*INDEX(Hours!C:C,MATCH(C440,Hours!$A:$A,0))+H440*INDEX(Hours!D:D,MATCH(C440,Hours!$A:$A,0))+I440*INDEX(Hours!E:E,MATCH(C440,Hours!$A:$A,0))+J440*INDEX(Hours!F:F,MATCH(C440,Hours!$A:$A,0)))</f>
        <v>0</v>
      </c>
      <c r="S440" s="19">
        <f t="shared" si="13"/>
        <v>0</v>
      </c>
    </row>
    <row r="441" spans="1:19" x14ac:dyDescent="0.25">
      <c r="A441" s="15" t="str">
        <f>'Bldgs &amp; Rooms'!$A$13</f>
        <v>Main Bldg.</v>
      </c>
      <c r="B441" s="15">
        <f>'Bldgs &amp; Rooms'!$B$13</f>
        <v>0</v>
      </c>
      <c r="C441" s="14" t="str">
        <f>Hours!$A$34</f>
        <v>Compressed Air Equipment</v>
      </c>
      <c r="D441" s="15">
        <f t="shared" si="12"/>
        <v>0</v>
      </c>
      <c r="E441" s="16">
        <f>IF('Components Yr 1'!E441=0,0,'Components Yr 1'!E441)</f>
        <v>0</v>
      </c>
      <c r="F441" s="17">
        <f>IF('Components Yr 1'!F441=0,0,'Components Yr 1'!F441)</f>
        <v>0</v>
      </c>
      <c r="G441" s="17">
        <f>IF('Components Yr 1'!G441=0,0,'Components Yr 1'!G441)</f>
        <v>0</v>
      </c>
      <c r="H441" s="17">
        <f>IF('Components Yr 1'!H441=0,0,'Components Yr 1'!H441)</f>
        <v>0</v>
      </c>
      <c r="I441" s="17">
        <f>IF('Components Yr 1'!I441=0,0,'Components Yr 1'!I441)</f>
        <v>0</v>
      </c>
      <c r="J441" s="17">
        <f>IF('Components Yr 1'!J441=0,0,'Components Yr 1'!J441)</f>
        <v>0</v>
      </c>
      <c r="K441" s="12"/>
      <c r="L441" s="12"/>
      <c r="M441" s="12"/>
      <c r="N441" s="12"/>
      <c r="O441" s="12"/>
      <c r="P441" s="12"/>
      <c r="Q441" s="17"/>
      <c r="R441" s="18">
        <f>IF(SUMPRODUCT((E441:Q441)*1)=0,0,E441*INDEX(Hours!M:M,MATCH(C441,Hours!$A:$A,0))+F441*INDEX(Hours!B:B,MATCH(C441,Hours!$A:$A,0))+G441*INDEX(Hours!C:C,MATCH(C441,Hours!$A:$A,0))+H441*INDEX(Hours!D:D,MATCH(C441,Hours!$A:$A,0))+I441*INDEX(Hours!E:E,MATCH(C441,Hours!$A:$A,0))+J441*INDEX(Hours!F:F,MATCH(C441,Hours!$A:$A,0)))</f>
        <v>0</v>
      </c>
      <c r="S441" s="19">
        <f t="shared" si="13"/>
        <v>0</v>
      </c>
    </row>
    <row r="442" spans="1:19" x14ac:dyDescent="0.25">
      <c r="A442" s="15" t="str">
        <f>'Bldgs &amp; Rooms'!$A$13</f>
        <v>Main Bldg.</v>
      </c>
      <c r="B442" s="15">
        <f>'Bldgs &amp; Rooms'!$B$13</f>
        <v>0</v>
      </c>
      <c r="C442" s="14" t="str">
        <f>Hours!$A$35</f>
        <v>HVAC Equipment (Large)</v>
      </c>
      <c r="D442" s="15">
        <f t="shared" si="12"/>
        <v>0</v>
      </c>
      <c r="E442" s="16">
        <f>IF('Components Yr 1'!E442=0,0,'Components Yr 1'!E442)</f>
        <v>0</v>
      </c>
      <c r="F442" s="17">
        <f>IF('Components Yr 1'!F442=0,0,'Components Yr 1'!F442)</f>
        <v>0</v>
      </c>
      <c r="G442" s="17">
        <f>IF('Components Yr 1'!G442=0,0,'Components Yr 1'!G442)</f>
        <v>0</v>
      </c>
      <c r="H442" s="17">
        <f>IF('Components Yr 1'!H442=0,0,'Components Yr 1'!H442)</f>
        <v>0</v>
      </c>
      <c r="I442" s="17">
        <f>IF('Components Yr 1'!I442=0,0,'Components Yr 1'!I442)</f>
        <v>0</v>
      </c>
      <c r="J442" s="17">
        <f>IF('Components Yr 1'!J442=0,0,'Components Yr 1'!J442)</f>
        <v>0</v>
      </c>
      <c r="K442" s="12"/>
      <c r="L442" s="12"/>
      <c r="M442" s="12"/>
      <c r="N442" s="12"/>
      <c r="O442" s="12"/>
      <c r="P442" s="12"/>
      <c r="Q442" s="17"/>
      <c r="R442" s="18">
        <f>IF(SUMPRODUCT((E442:Q442)*1)=0,0,E442*INDEX(Hours!M:M,MATCH(C442,Hours!$A:$A,0))+F442*INDEX(Hours!B:B,MATCH(C442,Hours!$A:$A,0))+G442*INDEX(Hours!C:C,MATCH(C442,Hours!$A:$A,0))+H442*INDEX(Hours!D:D,MATCH(C442,Hours!$A:$A,0))+I442*INDEX(Hours!E:E,MATCH(C442,Hours!$A:$A,0))+J442*INDEX(Hours!F:F,MATCH(C442,Hours!$A:$A,0)))</f>
        <v>0</v>
      </c>
      <c r="S442" s="19">
        <f t="shared" si="13"/>
        <v>0</v>
      </c>
    </row>
    <row r="443" spans="1:19" x14ac:dyDescent="0.25">
      <c r="A443" s="15" t="str">
        <f>'Bldgs &amp; Rooms'!$A$13</f>
        <v>Main Bldg.</v>
      </c>
      <c r="B443" s="15">
        <f>'Bldgs &amp; Rooms'!$B$13</f>
        <v>0</v>
      </c>
      <c r="C443" s="14" t="str">
        <f>Hours!$A$36</f>
        <v>HVAC Equipment (Small)</v>
      </c>
      <c r="D443" s="15">
        <f t="shared" si="12"/>
        <v>0</v>
      </c>
      <c r="E443" s="16">
        <f>IF('Components Yr 1'!E443=0,0,'Components Yr 1'!E443)</f>
        <v>0</v>
      </c>
      <c r="F443" s="17">
        <f>IF('Components Yr 1'!F443=0,0,'Components Yr 1'!F443)</f>
        <v>0</v>
      </c>
      <c r="G443" s="17">
        <f>IF('Components Yr 1'!G443=0,0,'Components Yr 1'!G443)</f>
        <v>0</v>
      </c>
      <c r="H443" s="17">
        <f>IF('Components Yr 1'!H443=0,0,'Components Yr 1'!H443)</f>
        <v>0</v>
      </c>
      <c r="I443" s="17">
        <f>IF('Components Yr 1'!I443=0,0,'Components Yr 1'!I443)</f>
        <v>0</v>
      </c>
      <c r="J443" s="17">
        <f>IF('Components Yr 1'!J443=0,0,'Components Yr 1'!J443)</f>
        <v>0</v>
      </c>
      <c r="K443" s="12"/>
      <c r="L443" s="12"/>
      <c r="M443" s="12"/>
      <c r="N443" s="12"/>
      <c r="O443" s="12"/>
      <c r="P443" s="12"/>
      <c r="Q443" s="17"/>
      <c r="R443" s="18">
        <f>IF(SUMPRODUCT((E443:Q443)*1)=0,0,E443*INDEX(Hours!M:M,MATCH(C443,Hours!$A:$A,0))+F443*INDEX(Hours!B:B,MATCH(C443,Hours!$A:$A,0))+G443*INDEX(Hours!C:C,MATCH(C443,Hours!$A:$A,0))+H443*INDEX(Hours!D:D,MATCH(C443,Hours!$A:$A,0))+I443*INDEX(Hours!E:E,MATCH(C443,Hours!$A:$A,0))+J443*INDEX(Hours!F:F,MATCH(C443,Hours!$A:$A,0)))</f>
        <v>0</v>
      </c>
      <c r="S443" s="19">
        <f t="shared" si="13"/>
        <v>0</v>
      </c>
    </row>
    <row r="444" spans="1:19" x14ac:dyDescent="0.25">
      <c r="A444" s="15" t="str">
        <f>'Bldgs &amp; Rooms'!$A$13</f>
        <v>Main Bldg.</v>
      </c>
      <c r="B444" s="15">
        <f>'Bldgs &amp; Rooms'!$B$13</f>
        <v>0</v>
      </c>
      <c r="C444" s="14" t="str">
        <f>Hours!$A$37</f>
        <v>Uninterruptible Power Supply (UPS) &lt; 50kVA</v>
      </c>
      <c r="D444" s="15">
        <f t="shared" si="12"/>
        <v>0</v>
      </c>
      <c r="E444" s="16">
        <f>IF('Components Yr 1'!E444=0,0,'Components Yr 1'!E444)</f>
        <v>0</v>
      </c>
      <c r="F444" s="17">
        <f>IF('Components Yr 1'!F444=0,0,'Components Yr 1'!F444)</f>
        <v>0</v>
      </c>
      <c r="G444" s="17">
        <f>IF('Components Yr 1'!G444=0,0,'Components Yr 1'!G444)</f>
        <v>0</v>
      </c>
      <c r="H444" s="17">
        <f>IF('Components Yr 1'!H444=0,0,'Components Yr 1'!H444)</f>
        <v>0</v>
      </c>
      <c r="I444" s="17">
        <f>IF('Components Yr 1'!I444=0,0,'Components Yr 1'!I444)</f>
        <v>0</v>
      </c>
      <c r="J444" s="17">
        <f>IF('Components Yr 1'!J444=0,0,'Components Yr 1'!J444)</f>
        <v>0</v>
      </c>
      <c r="K444" s="12"/>
      <c r="L444" s="12"/>
      <c r="M444" s="12"/>
      <c r="N444" s="12"/>
      <c r="O444" s="12"/>
      <c r="P444" s="12"/>
      <c r="Q444" s="17"/>
      <c r="R444" s="18">
        <f>IF(SUMPRODUCT((E444:Q444)*1)=0,0,E444*INDEX(Hours!M:M,MATCH(C444,Hours!$A:$A,0))+F444*INDEX(Hours!B:B,MATCH(C444,Hours!$A:$A,0))+G444*INDEX(Hours!C:C,MATCH(C444,Hours!$A:$A,0))+H444*INDEX(Hours!D:D,MATCH(C444,Hours!$A:$A,0))+I444*INDEX(Hours!E:E,MATCH(C444,Hours!$A:$A,0))+J444*INDEX(Hours!F:F,MATCH(C444,Hours!$A:$A,0)))</f>
        <v>0</v>
      </c>
      <c r="S444" s="19">
        <f t="shared" si="13"/>
        <v>0</v>
      </c>
    </row>
    <row r="445" spans="1:19" x14ac:dyDescent="0.25">
      <c r="A445" s="15" t="str">
        <f>'Bldgs &amp; Rooms'!$A$13</f>
        <v>Main Bldg.</v>
      </c>
      <c r="B445" s="15">
        <f>'Bldgs &amp; Rooms'!$B$13</f>
        <v>0</v>
      </c>
      <c r="C445" s="14" t="str">
        <f>Hours!$A$38</f>
        <v>Uninterruptible Power Supply (UPS) &gt; 50kVA</v>
      </c>
      <c r="D445" s="15">
        <f t="shared" si="12"/>
        <v>0</v>
      </c>
      <c r="E445" s="16">
        <f>IF('Components Yr 1'!E445=0,0,'Components Yr 1'!E445)</f>
        <v>0</v>
      </c>
      <c r="F445" s="17">
        <f>IF('Components Yr 1'!F445=0,0,'Components Yr 1'!F445)</f>
        <v>0</v>
      </c>
      <c r="G445" s="17">
        <f>IF('Components Yr 1'!G445=0,0,'Components Yr 1'!G445)</f>
        <v>0</v>
      </c>
      <c r="H445" s="17">
        <f>IF('Components Yr 1'!H445=0,0,'Components Yr 1'!H445)</f>
        <v>0</v>
      </c>
      <c r="I445" s="17">
        <f>IF('Components Yr 1'!I445=0,0,'Components Yr 1'!I445)</f>
        <v>0</v>
      </c>
      <c r="J445" s="17">
        <f>IF('Components Yr 1'!J445=0,0,'Components Yr 1'!J445)</f>
        <v>0</v>
      </c>
      <c r="K445" s="12"/>
      <c r="L445" s="12"/>
      <c r="M445" s="12"/>
      <c r="N445" s="12"/>
      <c r="O445" s="12"/>
      <c r="P445" s="12"/>
      <c r="Q445" s="17"/>
      <c r="R445" s="18">
        <f>IF(SUMPRODUCT((E445:Q445)*1)=0,0,E445*INDEX(Hours!M:M,MATCH(C445,Hours!$A:$A,0))+F445*INDEX(Hours!B:B,MATCH(C445,Hours!$A:$A,0))+G445*INDEX(Hours!C:C,MATCH(C445,Hours!$A:$A,0))+H445*INDEX(Hours!D:D,MATCH(C445,Hours!$A:$A,0))+I445*INDEX(Hours!E:E,MATCH(C445,Hours!$A:$A,0))+J445*INDEX(Hours!F:F,MATCH(C445,Hours!$A:$A,0)))</f>
        <v>0</v>
      </c>
      <c r="S445" s="19">
        <f t="shared" si="13"/>
        <v>0</v>
      </c>
    </row>
    <row r="446" spans="1:19" x14ac:dyDescent="0.25">
      <c r="A446" s="11" t="str">
        <f>'Bldgs &amp; Rooms'!$A$14</f>
        <v>Main Bldg.</v>
      </c>
      <c r="B446" s="11">
        <f>'Bldgs &amp; Rooms'!$B$14</f>
        <v>0</v>
      </c>
      <c r="C446" s="10" t="str">
        <f>Hours!$A$2</f>
        <v>Switchgear - Incoming Main Service (Per Section)</v>
      </c>
      <c r="D446" s="11">
        <f t="shared" si="12"/>
        <v>0</v>
      </c>
      <c r="E446" s="16">
        <f>IF('Components Yr 1'!E446=0,0,'Components Yr 1'!E446)</f>
        <v>0</v>
      </c>
      <c r="F446" s="17">
        <f>IF('Components Yr 1'!F446=0,0,'Components Yr 1'!F446)</f>
        <v>0</v>
      </c>
      <c r="G446" s="17">
        <f>IF('Components Yr 1'!G446=0,0,'Components Yr 1'!G446)</f>
        <v>0</v>
      </c>
      <c r="H446" s="17">
        <f>IF('Components Yr 1'!H446=0,0,'Components Yr 1'!H446)</f>
        <v>0</v>
      </c>
      <c r="I446" s="17">
        <f>IF('Components Yr 1'!I446=0,0,'Components Yr 1'!I446)</f>
        <v>0</v>
      </c>
      <c r="J446" s="17">
        <f>IF('Components Yr 1'!J446=0,0,'Components Yr 1'!J446)</f>
        <v>0</v>
      </c>
      <c r="K446" s="17">
        <f>IF('Components Yr 1'!K446=0,0,'Components Yr 1'!K446)</f>
        <v>0</v>
      </c>
      <c r="L446" s="17">
        <f>IF('Components Yr 1'!L446=0,0,'Components Yr 1'!L446)</f>
        <v>0</v>
      </c>
      <c r="M446" s="12"/>
      <c r="N446" s="12"/>
      <c r="O446" s="17">
        <f>IF('Components Yr 1'!O446=0,0,'Components Yr 1'!O446)</f>
        <v>0</v>
      </c>
      <c r="P446" s="12"/>
      <c r="Q446" s="17"/>
      <c r="R446" s="18">
        <f>IF(SUMPRODUCT((E446:Q446)*1)=0,0,E446*INDEX(Hours!M:M,MATCH(C446,Hours!$A:$A,0))+F446*INDEX(Hours!B:B,MATCH(C446,Hours!$A:$A,0))+G446*INDEX(Hours!C:C,MATCH(C446,Hours!$A:$A,0))+H446*INDEX(Hours!D:D,MATCH(C446,Hours!$A:$A,0))+I446*INDEX(Hours!E:E,MATCH(C446,Hours!$A:$A,0))+J446*INDEX(Hours!F:F,MATCH(C446,Hours!$A:$A,0))+K446*INDEX(Hours!G:G,MATCH(C446,Hours!$A:$A,0))+L446*INDEX(Hours!H:H,MATCH(C446,Hours!$A:$A,0))+O446*INDEX(Hours!K:K,MATCH(C446,Hours!$A:$A,0)))</f>
        <v>0</v>
      </c>
      <c r="S446" s="19">
        <f t="shared" si="13"/>
        <v>0</v>
      </c>
    </row>
    <row r="447" spans="1:19" x14ac:dyDescent="0.25">
      <c r="A447" s="11" t="str">
        <f>'Bldgs &amp; Rooms'!$A$14</f>
        <v>Main Bldg.</v>
      </c>
      <c r="B447" s="11">
        <f>'Bldgs &amp; Rooms'!$B$14</f>
        <v>0</v>
      </c>
      <c r="C447" s="10" t="str">
        <f>Hours!$A$3</f>
        <v xml:space="preserve">  Switchgear Insulated Case Breakers (Bus Mounted)</v>
      </c>
      <c r="D447" s="11">
        <f t="shared" si="12"/>
        <v>0</v>
      </c>
      <c r="E447" s="16">
        <f>IF('Components Yr 1'!E447=0,0,'Components Yr 1'!E447)</f>
        <v>0</v>
      </c>
      <c r="F447" s="17">
        <f>IF('Components Yr 1'!F447=0,0,'Components Yr 1'!F447)</f>
        <v>0</v>
      </c>
      <c r="G447" s="17">
        <f>IF('Components Yr 1'!G447=0,0,'Components Yr 1'!G447)</f>
        <v>0</v>
      </c>
      <c r="H447" s="17">
        <f>IF('Components Yr 1'!H447=0,0,'Components Yr 1'!H447)</f>
        <v>0</v>
      </c>
      <c r="I447" s="17">
        <f>IF('Components Yr 1'!I447=0,0,'Components Yr 1'!I447)</f>
        <v>0</v>
      </c>
      <c r="J447" s="17">
        <f>IF('Components Yr 1'!J447=0,0,'Components Yr 1'!J447)</f>
        <v>0</v>
      </c>
      <c r="K447" s="17">
        <f>IF('Components Yr 1'!K447=0,0,'Components Yr 1'!K447)</f>
        <v>0</v>
      </c>
      <c r="L447" s="12"/>
      <c r="M447" s="12"/>
      <c r="N447" s="12"/>
      <c r="O447" s="12"/>
      <c r="P447" s="12"/>
      <c r="Q447" s="17"/>
      <c r="R447" s="18">
        <f>IF(SUMPRODUCT((E447:Q447)*1)=0,0,E447*INDEX(Hours!M:M,MATCH(C447,Hours!$A:$A,0))+F447*INDEX(Hours!B:B,MATCH(C447,Hours!$A:$A,0))+G447*INDEX(Hours!C:C,MATCH(C447,Hours!$A:$A,0))+H447*INDEX(Hours!D:D,MATCH(C447,Hours!$A:$A,0))+I447*INDEX(Hours!E:E,MATCH(C447,Hours!$A:$A,0))+J447*INDEX(Hours!F:F,MATCH(C447,Hours!$A:$A,0))+K447*INDEX(Hours!G:G,MATCH(C447,Hours!$A:$A,0)))</f>
        <v>0</v>
      </c>
      <c r="S447" s="19">
        <f t="shared" si="13"/>
        <v>0</v>
      </c>
    </row>
    <row r="448" spans="1:19" x14ac:dyDescent="0.25">
      <c r="A448" s="11" t="str">
        <f>'Bldgs &amp; Rooms'!$A$14</f>
        <v>Main Bldg.</v>
      </c>
      <c r="B448" s="11">
        <f>'Bldgs &amp; Rooms'!$B$14</f>
        <v>0</v>
      </c>
      <c r="C448" s="10" t="str">
        <f>Hours!$A$4</f>
        <v xml:space="preserve">  SwitchGear Drawout Breakers</v>
      </c>
      <c r="D448" s="11">
        <f t="shared" si="12"/>
        <v>0</v>
      </c>
      <c r="E448" s="16">
        <f>IF('Components Yr 1'!E448=0,0,'Components Yr 1'!E448)</f>
        <v>0</v>
      </c>
      <c r="F448" s="17">
        <f>IF('Components Yr 1'!F448=0,0,'Components Yr 1'!F448)</f>
        <v>0</v>
      </c>
      <c r="G448" s="17">
        <f>IF('Components Yr 1'!G448=0,0,'Components Yr 1'!G448)</f>
        <v>0</v>
      </c>
      <c r="H448" s="17">
        <f>IF('Components Yr 1'!H448=0,0,'Components Yr 1'!H448)</f>
        <v>0</v>
      </c>
      <c r="I448" s="17">
        <f>IF('Components Yr 1'!I448=0,0,'Components Yr 1'!I448)</f>
        <v>0</v>
      </c>
      <c r="J448" s="17">
        <f>IF('Components Yr 1'!J448=0,0,'Components Yr 1'!J448)</f>
        <v>0</v>
      </c>
      <c r="K448" s="12"/>
      <c r="L448" s="17">
        <f>IF('Components Yr 1'!L448=0,0,'Components Yr 1'!L448)</f>
        <v>0</v>
      </c>
      <c r="M448" s="12"/>
      <c r="N448" s="12"/>
      <c r="O448" s="12"/>
      <c r="P448" s="12"/>
      <c r="Q448" s="17"/>
      <c r="R448" s="18">
        <f>IF(SUMPRODUCT((E448:Q448)*1)=0,0,E448*INDEX(Hours!M:M,MATCH(C448,Hours!$A:$A,0))+F448*INDEX(Hours!B:B,MATCH(C448,Hours!$A:$A,0))+G448*INDEX(Hours!C:C,MATCH(C448,Hours!$A:$A,0))+H448*INDEX(Hours!D:D,MATCH(C448,Hours!$A:$A,0))+I448*INDEX(Hours!E:E,MATCH(C448,Hours!$A:$A,0))+J448*INDEX(Hours!F:F,MATCH(C448,Hours!$A:$A,0))+L448*INDEX(Hours!H:H,MATCH(C448,Hours!$A:$A,0)))</f>
        <v>0</v>
      </c>
      <c r="S448" s="19">
        <f t="shared" si="13"/>
        <v>0</v>
      </c>
    </row>
    <row r="449" spans="1:19" x14ac:dyDescent="0.25">
      <c r="A449" s="11" t="str">
        <f>'Bldgs &amp; Rooms'!$A$14</f>
        <v>Main Bldg.</v>
      </c>
      <c r="B449" s="11">
        <f>'Bldgs &amp; Rooms'!$B$14</f>
        <v>0</v>
      </c>
      <c r="C449" s="10" t="str">
        <f>Hours!$A$5</f>
        <v>Distribution Switchboard Multi Cover (Per Section)</v>
      </c>
      <c r="D449" s="11">
        <f t="shared" si="12"/>
        <v>0</v>
      </c>
      <c r="E449" s="16">
        <f>IF('Components Yr 1'!E449=0,0,'Components Yr 1'!E449)</f>
        <v>0</v>
      </c>
      <c r="F449" s="17">
        <f>IF('Components Yr 1'!F449=0,0,'Components Yr 1'!F449)</f>
        <v>0</v>
      </c>
      <c r="G449" s="17">
        <f>IF('Components Yr 1'!G449=0,0,'Components Yr 1'!G449)</f>
        <v>0</v>
      </c>
      <c r="H449" s="17">
        <f>IF('Components Yr 1'!H449=0,0,'Components Yr 1'!H449)</f>
        <v>0</v>
      </c>
      <c r="I449" s="17">
        <f>IF('Components Yr 1'!I449=0,0,'Components Yr 1'!I449)</f>
        <v>0</v>
      </c>
      <c r="J449" s="17">
        <f>IF('Components Yr 1'!J449=0,0,'Components Yr 1'!J449)</f>
        <v>0</v>
      </c>
      <c r="K449" s="17">
        <f>IF('Components Yr 1'!K449=0,0,'Components Yr 1'!K449)</f>
        <v>0</v>
      </c>
      <c r="L449" s="12"/>
      <c r="M449" s="12"/>
      <c r="N449" s="12"/>
      <c r="O449" s="17">
        <f>IF('Components Yr 1'!O449=0,0,'Components Yr 1'!O449)</f>
        <v>0</v>
      </c>
      <c r="P449" s="12"/>
      <c r="Q449" s="17"/>
      <c r="R449" s="18">
        <f>IF(SUMPRODUCT((E449:Q449)*1)=0,0,E449*INDEX(Hours!M:M,MATCH(C449,Hours!$A:$A,0))+F449*INDEX(Hours!B:B,MATCH(C449,Hours!$A:$A,0))+G449*INDEX(Hours!C:C,MATCH(C449,Hours!$A:$A,0))+H449*INDEX(Hours!D:D,MATCH(C449,Hours!$A:$A,0))+I449*INDEX(Hours!E:E,MATCH(C449,Hours!$A:$A,0))+J449*INDEX(Hours!F:F,MATCH(C449,Hours!$A:$A,0))+K449*INDEX(Hours!G:G,MATCH(C449,Hours!$A:$A,0))+O449*INDEX(Hours!K:K,MATCH(C449,Hours!$A:$A,0)))</f>
        <v>0</v>
      </c>
      <c r="S449" s="19">
        <f t="shared" si="13"/>
        <v>0</v>
      </c>
    </row>
    <row r="450" spans="1:19" x14ac:dyDescent="0.25">
      <c r="A450" s="11" t="str">
        <f>'Bldgs &amp; Rooms'!$A$14</f>
        <v>Main Bldg.</v>
      </c>
      <c r="B450" s="11">
        <f>'Bldgs &amp; Rooms'!$B$14</f>
        <v>0</v>
      </c>
      <c r="C450" s="10" t="str">
        <f>Hours!$A$6</f>
        <v xml:space="preserve">  Switchboard Disconnects</v>
      </c>
      <c r="D450" s="11">
        <f t="shared" ref="D450:D513" si="14">MAX(E450+F450,G450,H450,I450,J450,K450,L450,M450,N450,O450,P450,Q450)</f>
        <v>0</v>
      </c>
      <c r="E450" s="16">
        <f>IF('Components Yr 1'!E450=0,0,'Components Yr 1'!E450)</f>
        <v>0</v>
      </c>
      <c r="F450" s="17">
        <f>IF('Components Yr 1'!F450=0,0,'Components Yr 1'!F450)</f>
        <v>0</v>
      </c>
      <c r="G450" s="17">
        <f>IF('Components Yr 1'!G450=0,0,'Components Yr 1'!G450)</f>
        <v>0</v>
      </c>
      <c r="H450" s="17">
        <f>IF('Components Yr 1'!H450=0,0,'Components Yr 1'!H450)</f>
        <v>0</v>
      </c>
      <c r="I450" s="17">
        <f>IF('Components Yr 1'!I450=0,0,'Components Yr 1'!I450)</f>
        <v>0</v>
      </c>
      <c r="J450" s="17">
        <f>IF('Components Yr 1'!J450=0,0,'Components Yr 1'!J450)</f>
        <v>0</v>
      </c>
      <c r="K450" s="12"/>
      <c r="L450" s="12"/>
      <c r="M450" s="12"/>
      <c r="N450" s="12"/>
      <c r="O450" s="12"/>
      <c r="P450" s="12"/>
      <c r="Q450" s="17"/>
      <c r="R450" s="18">
        <f>IF(SUMPRODUCT((E450:Q450)*1)=0,0,E450*INDEX(Hours!M:M,MATCH(C450,Hours!$A:$A,0))+F450*INDEX(Hours!B:B,MATCH(C450,Hours!$A:$A,0))+G450*INDEX(Hours!C:C,MATCH(C450,Hours!$A:$A,0))+H450*INDEX(Hours!D:D,MATCH(C450,Hours!$A:$A,0))+I450*INDEX(Hours!E:E,MATCH(C450,Hours!$A:$A,0))+J450*INDEX(Hours!F:F,MATCH(C450,Hours!$A:$A,0)))</f>
        <v>0</v>
      </c>
      <c r="S450" s="19">
        <f t="shared" ref="S450:S513" si="15">MAX(E450+F450,G450,H450,I450,J450,K450,L450,M450,N450,O450,P450,Q450)</f>
        <v>0</v>
      </c>
    </row>
    <row r="451" spans="1:19" x14ac:dyDescent="0.25">
      <c r="A451" s="11" t="str">
        <f>'Bldgs &amp; Rooms'!$A$14</f>
        <v>Main Bldg.</v>
      </c>
      <c r="B451" s="11">
        <f>'Bldgs &amp; Rooms'!$B$14</f>
        <v>0</v>
      </c>
      <c r="C451" s="10" t="str">
        <f>Hours!$A$7</f>
        <v xml:space="preserve">  Switchboard Molded Case Breakers</v>
      </c>
      <c r="D451" s="11">
        <f t="shared" si="14"/>
        <v>0</v>
      </c>
      <c r="E451" s="16">
        <f>IF('Components Yr 1'!E451=0,0,'Components Yr 1'!E451)</f>
        <v>0</v>
      </c>
      <c r="F451" s="17">
        <f>IF('Components Yr 1'!F451=0,0,'Components Yr 1'!F451)</f>
        <v>0</v>
      </c>
      <c r="G451" s="17">
        <f>IF('Components Yr 1'!G451=0,0,'Components Yr 1'!G451)</f>
        <v>0</v>
      </c>
      <c r="H451" s="17">
        <f>IF('Components Yr 1'!H451=0,0,'Components Yr 1'!H451)</f>
        <v>0</v>
      </c>
      <c r="I451" s="17">
        <f>IF('Components Yr 1'!I451=0,0,'Components Yr 1'!I451)</f>
        <v>0</v>
      </c>
      <c r="J451" s="17">
        <f>IF('Components Yr 1'!J451=0,0,'Components Yr 1'!J451)</f>
        <v>0</v>
      </c>
      <c r="K451" s="17">
        <f>IF('Components Yr 1'!K451=0,0,'Components Yr 1'!K451)</f>
        <v>0</v>
      </c>
      <c r="L451" s="12"/>
      <c r="M451" s="12"/>
      <c r="N451" s="12"/>
      <c r="O451" s="12"/>
      <c r="P451" s="12"/>
      <c r="Q451" s="17"/>
      <c r="R451" s="18">
        <f>IF(SUMPRODUCT((E451:Q451)*1)=0,0,E451*INDEX(Hours!M:M,MATCH(C451,Hours!$A:$A,0))+F451*INDEX(Hours!B:B,MATCH(C451,Hours!$A:$A,0))+G451*INDEX(Hours!C:C,MATCH(C451,Hours!$A:$A,0))+H451*INDEX(Hours!D:D,MATCH(C451,Hours!$A:$A,0))+I451*INDEX(Hours!E:E,MATCH(C451,Hours!$A:$A,0))+J451*INDEX(Hours!F:F,MATCH(C451,Hours!$A:$A,0))+K451*INDEX(Hours!G:G,MATCH(C451,Hours!$A:$A,0)))</f>
        <v>0</v>
      </c>
      <c r="S451" s="19">
        <f t="shared" si="15"/>
        <v>0</v>
      </c>
    </row>
    <row r="452" spans="1:19" x14ac:dyDescent="0.25">
      <c r="A452" s="11" t="str">
        <f>'Bldgs &amp; Rooms'!$A$14</f>
        <v>Main Bldg.</v>
      </c>
      <c r="B452" s="11">
        <f>'Bldgs &amp; Rooms'!$B$14</f>
        <v>0</v>
      </c>
      <c r="C452" s="10" t="str">
        <f>Hours!$A$8</f>
        <v>Panelboard-Single Cover &gt; 400A (Distribution Panel)</v>
      </c>
      <c r="D452" s="11">
        <f t="shared" si="14"/>
        <v>0</v>
      </c>
      <c r="E452" s="16">
        <f>IF('Components Yr 1'!E452=0,0,'Components Yr 1'!E452)</f>
        <v>0</v>
      </c>
      <c r="F452" s="17">
        <f>IF('Components Yr 1'!F452=0,0,'Components Yr 1'!F452)</f>
        <v>0</v>
      </c>
      <c r="G452" s="17">
        <f>IF('Components Yr 1'!G452=0,0,'Components Yr 1'!G452)</f>
        <v>0</v>
      </c>
      <c r="H452" s="17">
        <f>IF('Components Yr 1'!H452=0,0,'Components Yr 1'!H452)</f>
        <v>0</v>
      </c>
      <c r="I452" s="17">
        <f>IF('Components Yr 1'!I452=0,0,'Components Yr 1'!I452)</f>
        <v>0</v>
      </c>
      <c r="J452" s="17">
        <f>IF('Components Yr 1'!J452=0,0,'Components Yr 1'!J452)</f>
        <v>0</v>
      </c>
      <c r="K452" s="17">
        <f>IF('Components Yr 1'!K452=0,0,'Components Yr 1'!K452)</f>
        <v>0</v>
      </c>
      <c r="L452" s="12"/>
      <c r="M452" s="12"/>
      <c r="N452" s="12"/>
      <c r="O452" s="17">
        <f>IF('Components Yr 1'!O452=0,0,'Components Yr 1'!O452)</f>
        <v>0</v>
      </c>
      <c r="P452" s="12"/>
      <c r="Q452" s="17"/>
      <c r="R452" s="18">
        <f>IF(SUMPRODUCT((E452:Q452)*1)=0,0,E452*INDEX(Hours!M:M,MATCH(C452,Hours!$A:$A,0))+F452*INDEX(Hours!B:B,MATCH(C452,Hours!$A:$A,0))+G452*INDEX(Hours!C:C,MATCH(C452,Hours!$A:$A,0))+H452*INDEX(Hours!D:D,MATCH(C452,Hours!$A:$A,0))+I452*INDEX(Hours!E:E,MATCH(C452,Hours!$A:$A,0))+J452*INDEX(Hours!F:F,MATCH(C452,Hours!$A:$A,0))+K452*INDEX(Hours!G:G,MATCH(C452,Hours!$A:$A,0))+O452*INDEX(Hours!K:K,MATCH(C452,Hours!$A:$A,0)))</f>
        <v>0</v>
      </c>
      <c r="S452" s="19">
        <f t="shared" si="15"/>
        <v>0</v>
      </c>
    </row>
    <row r="453" spans="1:19" x14ac:dyDescent="0.25">
      <c r="A453" s="11" t="str">
        <f>'Bldgs &amp; Rooms'!$A$14</f>
        <v>Main Bldg.</v>
      </c>
      <c r="B453" s="11">
        <f>'Bldgs &amp; Rooms'!$B$14</f>
        <v>0</v>
      </c>
      <c r="C453" s="10" t="str">
        <f>Hours!$A$9</f>
        <v>Panelboard-Single Cover &lt; 400A (Branch Ckt Panel)</v>
      </c>
      <c r="D453" s="11">
        <f t="shared" si="14"/>
        <v>0</v>
      </c>
      <c r="E453" s="16">
        <f>IF('Components Yr 1'!E453=0,0,'Components Yr 1'!E453)</f>
        <v>0</v>
      </c>
      <c r="F453" s="17">
        <f>IF('Components Yr 1'!F453=0,0,'Components Yr 1'!F453)</f>
        <v>0</v>
      </c>
      <c r="G453" s="17">
        <f>IF('Components Yr 1'!G453=0,0,'Components Yr 1'!G453)</f>
        <v>0</v>
      </c>
      <c r="H453" s="17">
        <f>IF('Components Yr 1'!H453=0,0,'Components Yr 1'!H453)</f>
        <v>0</v>
      </c>
      <c r="I453" s="17">
        <f>IF('Components Yr 1'!I453=0,0,'Components Yr 1'!I453)</f>
        <v>0</v>
      </c>
      <c r="J453" s="17">
        <f>IF('Components Yr 1'!J453=0,0,'Components Yr 1'!J453)</f>
        <v>0</v>
      </c>
      <c r="K453" s="12"/>
      <c r="L453" s="12"/>
      <c r="M453" s="12"/>
      <c r="N453" s="12"/>
      <c r="O453" s="17">
        <f>IF('Components Yr 1'!O453=0,0,'Components Yr 1'!O453)</f>
        <v>0</v>
      </c>
      <c r="P453" s="12"/>
      <c r="Q453" s="17"/>
      <c r="R453" s="18">
        <f>IF(SUMPRODUCT((E453:Q453)*1)=0,0,E453*INDEX(Hours!M:M,MATCH(C453,Hours!$A:$A,0))+F453*INDEX(Hours!B:B,MATCH(C453,Hours!$A:$A,0))+G453*INDEX(Hours!C:C,MATCH(C453,Hours!$A:$A,0))+H453*INDEX(Hours!D:D,MATCH(C453,Hours!$A:$A,0))+I453*INDEX(Hours!E:E,MATCH(C453,Hours!$A:$A,0))+J453*INDEX(Hours!F:F,MATCH(C453,Hours!$A:$A,0))+O453*INDEX(Hours!K:K,MATCH(C453,Hours!$A:$A,0)))</f>
        <v>0</v>
      </c>
      <c r="S453" s="19">
        <f t="shared" si="15"/>
        <v>0</v>
      </c>
    </row>
    <row r="454" spans="1:19" x14ac:dyDescent="0.25">
      <c r="A454" s="11" t="str">
        <f>'Bldgs &amp; Rooms'!$A$14</f>
        <v>Main Bldg.</v>
      </c>
      <c r="B454" s="11">
        <f>'Bldgs &amp; Rooms'!$B$14</f>
        <v>0</v>
      </c>
      <c r="C454" s="10" t="str">
        <f>Hours!$A$10</f>
        <v>Motor Control Center (MCC-Per Vertical Section)</v>
      </c>
      <c r="D454" s="11">
        <f t="shared" si="14"/>
        <v>0</v>
      </c>
      <c r="E454" s="16">
        <f>IF('Components Yr 1'!E454=0,0,'Components Yr 1'!E454)</f>
        <v>0</v>
      </c>
      <c r="F454" s="17">
        <f>IF('Components Yr 1'!F454=0,0,'Components Yr 1'!F454)</f>
        <v>0</v>
      </c>
      <c r="G454" s="17">
        <f>IF('Components Yr 1'!G454=0,0,'Components Yr 1'!G454)</f>
        <v>0</v>
      </c>
      <c r="H454" s="17">
        <f>IF('Components Yr 1'!H454=0,0,'Components Yr 1'!H454)</f>
        <v>0</v>
      </c>
      <c r="I454" s="17">
        <f>IF('Components Yr 1'!I454=0,0,'Components Yr 1'!I454)</f>
        <v>0</v>
      </c>
      <c r="J454" s="17">
        <f>IF('Components Yr 1'!J454=0,0,'Components Yr 1'!J454)</f>
        <v>0</v>
      </c>
      <c r="K454" s="12"/>
      <c r="L454" s="12"/>
      <c r="M454" s="12"/>
      <c r="N454" s="12"/>
      <c r="O454" s="17">
        <f>IF('Components Yr 1'!O454=0,0,'Components Yr 1'!O454)</f>
        <v>0</v>
      </c>
      <c r="P454" s="12"/>
      <c r="Q454" s="17"/>
      <c r="R454" s="18">
        <f>IF(SUMPRODUCT((E454:Q454)*1)=0,0,E454*INDEX(Hours!M:M,MATCH(C454,Hours!$A:$A,0))+F454*INDEX(Hours!B:B,MATCH(C454,Hours!$A:$A,0))+G454*INDEX(Hours!C:C,MATCH(C454,Hours!$A:$A,0))+H454*INDEX(Hours!D:D,MATCH(C454,Hours!$A:$A,0))+I454*INDEX(Hours!E:E,MATCH(C454,Hours!$A:$A,0))+J454*INDEX(Hours!F:F,MATCH(C454,Hours!$A:$A,0))+O454*INDEX(Hours!K:K,MATCH(C454,Hours!$A:$A,0)))</f>
        <v>0</v>
      </c>
      <c r="S454" s="19">
        <f t="shared" si="15"/>
        <v>0</v>
      </c>
    </row>
    <row r="455" spans="1:19" x14ac:dyDescent="0.25">
      <c r="A455" s="11" t="str">
        <f>'Bldgs &amp; Rooms'!$A$14</f>
        <v>Main Bldg.</v>
      </c>
      <c r="B455" s="11">
        <f>'Bldgs &amp; Rooms'!$B$14</f>
        <v>0</v>
      </c>
      <c r="C455" s="10" t="str">
        <f>Hours!$A$11</f>
        <v xml:space="preserve">  MCC: Combination Motor Starters</v>
      </c>
      <c r="D455" s="11">
        <f t="shared" si="14"/>
        <v>0</v>
      </c>
      <c r="E455" s="16">
        <f>IF('Components Yr 1'!E455=0,0,'Components Yr 1'!E455)</f>
        <v>0</v>
      </c>
      <c r="F455" s="17">
        <f>IF('Components Yr 1'!F455=0,0,'Components Yr 1'!F455)</f>
        <v>0</v>
      </c>
      <c r="G455" s="17">
        <f>IF('Components Yr 1'!G455=0,0,'Components Yr 1'!G455)</f>
        <v>0</v>
      </c>
      <c r="H455" s="17">
        <f>IF('Components Yr 1'!H455=0,0,'Components Yr 1'!H455)</f>
        <v>0</v>
      </c>
      <c r="I455" s="17">
        <f>IF('Components Yr 1'!I455=0,0,'Components Yr 1'!I455)</f>
        <v>0</v>
      </c>
      <c r="J455" s="17">
        <f>IF('Components Yr 1'!J455=0,0,'Components Yr 1'!J455)</f>
        <v>0</v>
      </c>
      <c r="K455" s="17">
        <f>IF('Components Yr 1'!K455=0,0,'Components Yr 1'!K455)</f>
        <v>0</v>
      </c>
      <c r="L455" s="12"/>
      <c r="M455" s="12"/>
      <c r="N455" s="12"/>
      <c r="O455" s="17">
        <f>IF('Components Yr 1'!O455=0,0,'Components Yr 1'!O455)</f>
        <v>0</v>
      </c>
      <c r="P455" s="12"/>
      <c r="Q455" s="17"/>
      <c r="R455" s="18">
        <f>IF(SUMPRODUCT((E455:Q455)*1)=0,0,E455*INDEX(Hours!M:M,MATCH(C455,Hours!$A:$A,0))+F455*INDEX(Hours!B:B,MATCH(C455,Hours!$A:$A,0))+G455*INDEX(Hours!C:C,MATCH(C455,Hours!$A:$A,0))+H455*INDEX(Hours!D:D,MATCH(C455,Hours!$A:$A,0))+I455*INDEX(Hours!E:E,MATCH(C455,Hours!$A:$A,0))+J455*INDEX(Hours!F:F,MATCH(C455,Hours!$A:$A,0))+K455*INDEX(Hours!G:G,MATCH(C455,Hours!$A:$A,0))+O455*INDEX(Hours!K:K,MATCH(C455,Hours!$A:$A,0)))</f>
        <v>0</v>
      </c>
      <c r="S455" s="19">
        <f t="shared" si="15"/>
        <v>0</v>
      </c>
    </row>
    <row r="456" spans="1:19" x14ac:dyDescent="0.25">
      <c r="A456" s="11" t="str">
        <f>'Bldgs &amp; Rooms'!$A$14</f>
        <v>Main Bldg.</v>
      </c>
      <c r="B456" s="11">
        <f>'Bldgs &amp; Rooms'!$B$14</f>
        <v>0</v>
      </c>
      <c r="C456" s="10" t="str">
        <f>Hours!$A$12</f>
        <v xml:space="preserve">  MCC: Molded Case Breaker</v>
      </c>
      <c r="D456" s="11">
        <f t="shared" si="14"/>
        <v>0</v>
      </c>
      <c r="E456" s="16">
        <f>IF('Components Yr 1'!E456=0,0,'Components Yr 1'!E456)</f>
        <v>0</v>
      </c>
      <c r="F456" s="17">
        <f>IF('Components Yr 1'!F456=0,0,'Components Yr 1'!F456)</f>
        <v>0</v>
      </c>
      <c r="G456" s="17">
        <f>IF('Components Yr 1'!G456=0,0,'Components Yr 1'!G456)</f>
        <v>0</v>
      </c>
      <c r="H456" s="17">
        <f>IF('Components Yr 1'!H456=0,0,'Components Yr 1'!H456)</f>
        <v>0</v>
      </c>
      <c r="I456" s="17">
        <f>IF('Components Yr 1'!I456=0,0,'Components Yr 1'!I456)</f>
        <v>0</v>
      </c>
      <c r="J456" s="17">
        <f>IF('Components Yr 1'!J456=0,0,'Components Yr 1'!J456)</f>
        <v>0</v>
      </c>
      <c r="K456" s="17">
        <f>IF('Components Yr 1'!K456=0,0,'Components Yr 1'!K456)</f>
        <v>0</v>
      </c>
      <c r="L456" s="12"/>
      <c r="M456" s="12"/>
      <c r="N456" s="12"/>
      <c r="O456" s="12"/>
      <c r="P456" s="12"/>
      <c r="Q456" s="17"/>
      <c r="R456" s="18">
        <f>IF(SUMPRODUCT((E456:Q456)*1)=0,0,E456*INDEX(Hours!M:M,MATCH(C456,Hours!$A:$A,0))+F456*INDEX(Hours!B:B,MATCH(C456,Hours!$A:$A,0))+G456*INDEX(Hours!C:C,MATCH(C456,Hours!$A:$A,0))+H456*INDEX(Hours!D:D,MATCH(C456,Hours!$A:$A,0))+I456*INDEX(Hours!E:E,MATCH(C456,Hours!$A:$A,0))+J456*INDEX(Hours!F:F,MATCH(C456,Hours!$A:$A,0))+K456*INDEX(Hours!G:G,MATCH(C456,Hours!$A:$A,0)))</f>
        <v>0</v>
      </c>
      <c r="S456" s="19">
        <f t="shared" si="15"/>
        <v>0</v>
      </c>
    </row>
    <row r="457" spans="1:19" x14ac:dyDescent="0.25">
      <c r="A457" s="11" t="str">
        <f>'Bldgs &amp; Rooms'!$A$14</f>
        <v>Main Bldg.</v>
      </c>
      <c r="B457" s="11">
        <f>'Bldgs &amp; Rooms'!$B$14</f>
        <v>0</v>
      </c>
      <c r="C457" s="10" t="str">
        <f>Hours!$A$13</f>
        <v xml:space="preserve">  MCC: Individual Disconnect Switch</v>
      </c>
      <c r="D457" s="11">
        <f t="shared" si="14"/>
        <v>0</v>
      </c>
      <c r="E457" s="16">
        <f>IF('Components Yr 1'!E457=0,0,'Components Yr 1'!E457)</f>
        <v>0</v>
      </c>
      <c r="F457" s="17">
        <f>IF('Components Yr 1'!F457=0,0,'Components Yr 1'!F457)</f>
        <v>0</v>
      </c>
      <c r="G457" s="17">
        <f>IF('Components Yr 1'!G457=0,0,'Components Yr 1'!G457)</f>
        <v>0</v>
      </c>
      <c r="H457" s="17">
        <f>IF('Components Yr 1'!H457=0,0,'Components Yr 1'!H457)</f>
        <v>0</v>
      </c>
      <c r="I457" s="17">
        <f>IF('Components Yr 1'!I457=0,0,'Components Yr 1'!I457)</f>
        <v>0</v>
      </c>
      <c r="J457" s="17">
        <f>IF('Components Yr 1'!J457=0,0,'Components Yr 1'!J457)</f>
        <v>0</v>
      </c>
      <c r="K457" s="12"/>
      <c r="L457" s="12"/>
      <c r="M457" s="12"/>
      <c r="N457" s="12"/>
      <c r="O457" s="12"/>
      <c r="P457" s="12"/>
      <c r="Q457" s="17"/>
      <c r="R457" s="18">
        <f>IF(SUMPRODUCT((E457:Q457)*1)=0,0,E457*INDEX(Hours!M:M,MATCH(C457,Hours!$A:$A,0))+F457*INDEX(Hours!B:B,MATCH(C457,Hours!$A:$A,0))+G457*INDEX(Hours!C:C,MATCH(C457,Hours!$A:$A,0))+H457*INDEX(Hours!D:D,MATCH(C457,Hours!$A:$A,0))+I457*INDEX(Hours!E:E,MATCH(C457,Hours!$A:$A,0))+J457*INDEX(Hours!F:F,MATCH(C457,Hours!$A:$A,0)))</f>
        <v>0</v>
      </c>
      <c r="S457" s="19">
        <f t="shared" si="15"/>
        <v>0</v>
      </c>
    </row>
    <row r="458" spans="1:19" x14ac:dyDescent="0.25">
      <c r="A458" s="11" t="str">
        <f>'Bldgs &amp; Rooms'!$A$14</f>
        <v>Main Bldg.</v>
      </c>
      <c r="B458" s="11">
        <f>'Bldgs &amp; Rooms'!$B$14</f>
        <v>0</v>
      </c>
      <c r="C458" s="10" t="str">
        <f>Hours!$A$14</f>
        <v>Motor Control Panel (MCP)</v>
      </c>
      <c r="D458" s="11">
        <f t="shared" si="14"/>
        <v>0</v>
      </c>
      <c r="E458" s="16">
        <f>IF('Components Yr 1'!E458=0,0,'Components Yr 1'!E458)</f>
        <v>0</v>
      </c>
      <c r="F458" s="17">
        <f>IF('Components Yr 1'!F458=0,0,'Components Yr 1'!F458)</f>
        <v>0</v>
      </c>
      <c r="G458" s="17">
        <f>IF('Components Yr 1'!G458=0,0,'Components Yr 1'!G458)</f>
        <v>0</v>
      </c>
      <c r="H458" s="17">
        <f>IF('Components Yr 1'!H458=0,0,'Components Yr 1'!H458)</f>
        <v>0</v>
      </c>
      <c r="I458" s="17">
        <f>IF('Components Yr 1'!I458=0,0,'Components Yr 1'!I458)</f>
        <v>0</v>
      </c>
      <c r="J458" s="17">
        <f>IF('Components Yr 1'!J458=0,0,'Components Yr 1'!J458)</f>
        <v>0</v>
      </c>
      <c r="K458" s="12"/>
      <c r="L458" s="12"/>
      <c r="M458" s="12"/>
      <c r="N458" s="12"/>
      <c r="O458" s="17">
        <f>IF('Components Yr 1'!O458=0,0,'Components Yr 1'!O458)</f>
        <v>0</v>
      </c>
      <c r="P458" s="12"/>
      <c r="Q458" s="17"/>
      <c r="R458" s="18">
        <f>IF(SUMPRODUCT((E458:Q458)*1)=0,0,E458*INDEX(Hours!M:M,MATCH(C458,Hours!$A:$A,0))+F458*INDEX(Hours!B:B,MATCH(C458,Hours!$A:$A,0))+G458*INDEX(Hours!C:C,MATCH(C458,Hours!$A:$A,0))+H458*INDEX(Hours!D:D,MATCH(C458,Hours!$A:$A,0))+I458*INDEX(Hours!E:E,MATCH(C458,Hours!$A:$A,0))+J458*INDEX(Hours!F:F,MATCH(C458,Hours!$A:$A,0))+O458*INDEX(Hours!K:K,MATCH(C458,Hours!$A:$A,0)))</f>
        <v>0</v>
      </c>
      <c r="S458" s="19">
        <f t="shared" si="15"/>
        <v>0</v>
      </c>
    </row>
    <row r="459" spans="1:19" x14ac:dyDescent="0.25">
      <c r="A459" s="11" t="str">
        <f>'Bldgs &amp; Rooms'!$A$14</f>
        <v>Main Bldg.</v>
      </c>
      <c r="B459" s="11">
        <f>'Bldgs &amp; Rooms'!$B$14</f>
        <v>0</v>
      </c>
      <c r="C459" s="10" t="str">
        <f>Hours!$A$15</f>
        <v>VFD Motor Control Panel (VFD-MCP)</v>
      </c>
      <c r="D459" s="11">
        <f t="shared" si="14"/>
        <v>0</v>
      </c>
      <c r="E459" s="16">
        <f>IF('Components Yr 1'!E459=0,0,'Components Yr 1'!E459)</f>
        <v>0</v>
      </c>
      <c r="F459" s="17">
        <f>IF('Components Yr 1'!F459=0,0,'Components Yr 1'!F459)</f>
        <v>0</v>
      </c>
      <c r="G459" s="17">
        <f>IF('Components Yr 1'!G459=0,0,'Components Yr 1'!G459)</f>
        <v>0</v>
      </c>
      <c r="H459" s="17">
        <f>IF('Components Yr 1'!H459=0,0,'Components Yr 1'!H459)</f>
        <v>0</v>
      </c>
      <c r="I459" s="17">
        <f>IF('Components Yr 1'!I459=0,0,'Components Yr 1'!I459)</f>
        <v>0</v>
      </c>
      <c r="J459" s="17">
        <f>IF('Components Yr 1'!J459=0,0,'Components Yr 1'!J459)</f>
        <v>0</v>
      </c>
      <c r="K459" s="12"/>
      <c r="L459" s="12"/>
      <c r="M459" s="12"/>
      <c r="N459" s="12"/>
      <c r="O459" s="17">
        <f>IF('Components Yr 1'!O459=0,0,'Components Yr 1'!O459)</f>
        <v>0</v>
      </c>
      <c r="P459" s="12"/>
      <c r="Q459" s="17"/>
      <c r="R459" s="18">
        <f>IF(SUMPRODUCT((E459:Q459)*1)=0,0,E459*INDEX(Hours!M:M,MATCH(C459,Hours!$A:$A,0))+F459*INDEX(Hours!B:B,MATCH(C459,Hours!$A:$A,0))+G459*INDEX(Hours!C:C,MATCH(C459,Hours!$A:$A,0))+H459*INDEX(Hours!D:D,MATCH(C459,Hours!$A:$A,0))+I459*INDEX(Hours!E:E,MATCH(C459,Hours!$A:$A,0))+J459*INDEX(Hours!F:F,MATCH(C459,Hours!$A:$A,0))+O459*INDEX(Hours!K:K,MATCH(C459,Hours!$A:$A,0)))</f>
        <v>0</v>
      </c>
      <c r="S459" s="19">
        <f t="shared" si="15"/>
        <v>0</v>
      </c>
    </row>
    <row r="460" spans="1:19" x14ac:dyDescent="0.25">
      <c r="A460" s="11" t="str">
        <f>'Bldgs &amp; Rooms'!$A$14</f>
        <v>Main Bldg.</v>
      </c>
      <c r="B460" s="11">
        <f>'Bldgs &amp; Rooms'!$B$14</f>
        <v>0</v>
      </c>
      <c r="C460" s="10" t="str">
        <f>Hours!$A$16</f>
        <v>Individual Disconnect Switch &gt; 100A</v>
      </c>
      <c r="D460" s="11">
        <f t="shared" si="14"/>
        <v>0</v>
      </c>
      <c r="E460" s="16">
        <f>IF('Components Yr 1'!E460=0,0,'Components Yr 1'!E460)</f>
        <v>0</v>
      </c>
      <c r="F460" s="17">
        <f>IF('Components Yr 1'!F460=0,0,'Components Yr 1'!F460)</f>
        <v>0</v>
      </c>
      <c r="G460" s="17">
        <f>IF('Components Yr 1'!G460=0,0,'Components Yr 1'!G460)</f>
        <v>0</v>
      </c>
      <c r="H460" s="17">
        <f>IF('Components Yr 1'!H460=0,0,'Components Yr 1'!H460)</f>
        <v>0</v>
      </c>
      <c r="I460" s="17">
        <f>IF('Components Yr 1'!I460=0,0,'Components Yr 1'!I460)</f>
        <v>0</v>
      </c>
      <c r="J460" s="17">
        <f>IF('Components Yr 1'!J460=0,0,'Components Yr 1'!J460)</f>
        <v>0</v>
      </c>
      <c r="K460" s="17">
        <f>IF('Components Yr 1'!K460=0,0,'Components Yr 1'!K460)</f>
        <v>0</v>
      </c>
      <c r="L460" s="12"/>
      <c r="M460" s="12"/>
      <c r="N460" s="12"/>
      <c r="O460" s="12"/>
      <c r="P460" s="12"/>
      <c r="Q460" s="17"/>
      <c r="R460" s="18">
        <f>IF(SUMPRODUCT((E460:Q460)*1)=0,0,E460*INDEX(Hours!M:M,MATCH(C460,Hours!$A:$A,0))+F460*INDEX(Hours!B:B,MATCH(C460,Hours!$A:$A,0))+G460*INDEX(Hours!C:C,MATCH(C460,Hours!$A:$A,0))+H460*INDEX(Hours!D:D,MATCH(C460,Hours!$A:$A,0))+I460*INDEX(Hours!E:E,MATCH(C460,Hours!$A:$A,0))+J460*INDEX(Hours!F:F,MATCH(C460,Hours!$A:$A,0))+K460*INDEX(Hours!G:G,MATCH(C460,Hours!$A:$A,0)))</f>
        <v>0</v>
      </c>
      <c r="S460" s="19">
        <f t="shared" si="15"/>
        <v>0</v>
      </c>
    </row>
    <row r="461" spans="1:19" x14ac:dyDescent="0.25">
      <c r="A461" s="11" t="str">
        <f>'Bldgs &amp; Rooms'!$A$14</f>
        <v>Main Bldg.</v>
      </c>
      <c r="B461" s="11">
        <f>'Bldgs &amp; Rooms'!$B$14</f>
        <v>0</v>
      </c>
      <c r="C461" s="10" t="str">
        <f>Hours!$A$17</f>
        <v>Individual Molded Case Breaker &gt; 100A</v>
      </c>
      <c r="D461" s="11">
        <f t="shared" si="14"/>
        <v>0</v>
      </c>
      <c r="E461" s="16">
        <f>IF('Components Yr 1'!E461=0,0,'Components Yr 1'!E461)</f>
        <v>0</v>
      </c>
      <c r="F461" s="17">
        <f>IF('Components Yr 1'!F461=0,0,'Components Yr 1'!F461)</f>
        <v>0</v>
      </c>
      <c r="G461" s="17">
        <f>IF('Components Yr 1'!G461=0,0,'Components Yr 1'!G461)</f>
        <v>0</v>
      </c>
      <c r="H461" s="17">
        <f>IF('Components Yr 1'!H461=0,0,'Components Yr 1'!H461)</f>
        <v>0</v>
      </c>
      <c r="I461" s="17">
        <f>IF('Components Yr 1'!I461=0,0,'Components Yr 1'!I461)</f>
        <v>0</v>
      </c>
      <c r="J461" s="17">
        <f>IF('Components Yr 1'!J461=0,0,'Components Yr 1'!J461)</f>
        <v>0</v>
      </c>
      <c r="K461" s="17">
        <f>IF('Components Yr 1'!K461=0,0,'Components Yr 1'!K461)</f>
        <v>0</v>
      </c>
      <c r="L461" s="12"/>
      <c r="M461" s="12"/>
      <c r="N461" s="12"/>
      <c r="O461" s="12"/>
      <c r="P461" s="12"/>
      <c r="Q461" s="17"/>
      <c r="R461" s="18">
        <f>IF(SUMPRODUCT((E461:Q461)*1)=0,0,E461*INDEX(Hours!M:M,MATCH(C461,Hours!$A:$A,0))+F461*INDEX(Hours!B:B,MATCH(C461,Hours!$A:$A,0))+G461*INDEX(Hours!C:C,MATCH(C461,Hours!$A:$A,0))+H461*INDEX(Hours!D:D,MATCH(C461,Hours!$A:$A,0))+I461*INDEX(Hours!E:E,MATCH(C461,Hours!$A:$A,0))+J461*INDEX(Hours!F:F,MATCH(C461,Hours!$A:$A,0))+K461*INDEX(Hours!G:G,MATCH(C461,Hours!$A:$A,0)))</f>
        <v>0</v>
      </c>
      <c r="S461" s="19">
        <f t="shared" si="15"/>
        <v>0</v>
      </c>
    </row>
    <row r="462" spans="1:19" x14ac:dyDescent="0.25">
      <c r="A462" s="11" t="str">
        <f>'Bldgs &amp; Rooms'!$A$14</f>
        <v>Main Bldg.</v>
      </c>
      <c r="B462" s="11">
        <f>'Bldgs &amp; Rooms'!$B$14</f>
        <v>0</v>
      </c>
      <c r="C462" s="10" t="str">
        <f>Hours!$A$18</f>
        <v>Individual Combination Motor Starter &gt; 100A</v>
      </c>
      <c r="D462" s="11">
        <f t="shared" si="14"/>
        <v>0</v>
      </c>
      <c r="E462" s="16">
        <f>IF('Components Yr 1'!E462=0,0,'Components Yr 1'!E462)</f>
        <v>0</v>
      </c>
      <c r="F462" s="17">
        <f>IF('Components Yr 1'!F462=0,0,'Components Yr 1'!F462)</f>
        <v>0</v>
      </c>
      <c r="G462" s="17">
        <f>IF('Components Yr 1'!G462=0,0,'Components Yr 1'!G462)</f>
        <v>0</v>
      </c>
      <c r="H462" s="17">
        <f>IF('Components Yr 1'!H462=0,0,'Components Yr 1'!H462)</f>
        <v>0</v>
      </c>
      <c r="I462" s="17">
        <f>IF('Components Yr 1'!I462=0,0,'Components Yr 1'!I462)</f>
        <v>0</v>
      </c>
      <c r="J462" s="17">
        <f>IF('Components Yr 1'!J462=0,0,'Components Yr 1'!J462)</f>
        <v>0</v>
      </c>
      <c r="K462" s="17">
        <f>IF('Components Yr 1'!K462=0,0,'Components Yr 1'!K462)</f>
        <v>0</v>
      </c>
      <c r="L462" s="12"/>
      <c r="M462" s="12"/>
      <c r="N462" s="12"/>
      <c r="O462" s="12"/>
      <c r="P462" s="12"/>
      <c r="Q462" s="17"/>
      <c r="R462" s="18">
        <f>IF(SUMPRODUCT((E462:Q462)*1)=0,0,E462*INDEX(Hours!M:M,MATCH(C462,Hours!$A:$A,0))+F462*INDEX(Hours!B:B,MATCH(C462,Hours!$A:$A,0))+G462*INDEX(Hours!C:C,MATCH(C462,Hours!$A:$A,0))+H462*INDEX(Hours!D:D,MATCH(C462,Hours!$A:$A,0))+I462*INDEX(Hours!E:E,MATCH(C462,Hours!$A:$A,0))+J462*INDEX(Hours!F:F,MATCH(C462,Hours!$A:$A,0))+K462*INDEX(Hours!G:G,MATCH(C462,Hours!$A:$A,0)))</f>
        <v>0</v>
      </c>
      <c r="S462" s="19">
        <f t="shared" si="15"/>
        <v>0</v>
      </c>
    </row>
    <row r="463" spans="1:19" x14ac:dyDescent="0.25">
      <c r="A463" s="11" t="str">
        <f>'Bldgs &amp; Rooms'!$A$14</f>
        <v>Main Bldg.</v>
      </c>
      <c r="B463" s="11">
        <f>'Bldgs &amp; Rooms'!$B$14</f>
        <v>0</v>
      </c>
      <c r="C463" s="10" t="str">
        <f>Hours!$A$19</f>
        <v>Oil Filled Transformer - 5kV-15kV Primary - Any Size (Pad Mounted)</v>
      </c>
      <c r="D463" s="11">
        <f t="shared" si="14"/>
        <v>0</v>
      </c>
      <c r="E463" s="16">
        <f>IF('Components Yr 1'!E463=0,0,'Components Yr 1'!E463)</f>
        <v>0</v>
      </c>
      <c r="F463" s="17">
        <f>IF('Components Yr 1'!F463=0,0,'Components Yr 1'!F463)</f>
        <v>0</v>
      </c>
      <c r="G463" s="17">
        <f>IF('Components Yr 1'!G463=0,0,'Components Yr 1'!G463)</f>
        <v>0</v>
      </c>
      <c r="H463" s="17">
        <f>IF('Components Yr 1'!H463=0,0,'Components Yr 1'!H463)</f>
        <v>0</v>
      </c>
      <c r="I463" s="17">
        <f>IF('Components Yr 1'!I463=0,0,'Components Yr 1'!I463)</f>
        <v>0</v>
      </c>
      <c r="J463" s="17">
        <f>IF('Components Yr 1'!J463=0,0,'Components Yr 1'!J463)</f>
        <v>0</v>
      </c>
      <c r="K463" s="12"/>
      <c r="L463" s="12"/>
      <c r="M463" s="17">
        <f>IF('Components Yr 1'!M463=0,0,'Components Yr 1'!M463)</f>
        <v>0</v>
      </c>
      <c r="N463" s="17">
        <f>IF('Components Yr 1'!N463=0,0,'Components Yr 1'!N463)</f>
        <v>0</v>
      </c>
      <c r="O463" s="12"/>
      <c r="P463" s="17">
        <f>IF('Components Yr 1'!P463=0,0,'Components Yr 1'!P463)</f>
        <v>0</v>
      </c>
      <c r="Q463" s="17"/>
      <c r="R463" s="18">
        <f>IF(SUMPRODUCT((E463:Q463)*1)=0,0,E463*INDEX(Hours!M:M,MATCH(C463,Hours!$A:$A,0))+F463*INDEX(Hours!B:B,MATCH(C463,Hours!$A:$A,0))+G463*INDEX(Hours!C:C,MATCH(C463,Hours!$A:$A,0))+H463*INDEX(Hours!D:D,MATCH(C463,Hours!$A:$A,0))+I463*INDEX(Hours!E:E,MATCH(C463,Hours!$A:$A,0))+J463*INDEX(Hours!F:F,MATCH(C463,Hours!$A:$A,0))+M463*INDEX(Hours!I:I,MATCH(C463,Hours!$A:$A,0))+N463*INDEX(Hours!J:J,MATCH(C463,Hours!$A:$A,0))+P463*INDEX(Hours!L:L,MATCH(C463,Hours!$A:$A,0)))</f>
        <v>0</v>
      </c>
      <c r="S463" s="19">
        <f t="shared" si="15"/>
        <v>0</v>
      </c>
    </row>
    <row r="464" spans="1:19" x14ac:dyDescent="0.25">
      <c r="A464" s="11" t="str">
        <f>'Bldgs &amp; Rooms'!$A$14</f>
        <v>Main Bldg.</v>
      </c>
      <c r="B464" s="11">
        <f>'Bldgs &amp; Rooms'!$B$14</f>
        <v>0</v>
      </c>
      <c r="C464" s="10" t="str">
        <f>Hours!$A$20</f>
        <v>Oil Filled Transformer - &gt; 15kV Primary (Substation Class)</v>
      </c>
      <c r="D464" s="11">
        <f t="shared" si="14"/>
        <v>0</v>
      </c>
      <c r="E464" s="16">
        <f>IF('Components Yr 1'!E464=0,0,'Components Yr 1'!E464)</f>
        <v>0</v>
      </c>
      <c r="F464" s="17">
        <f>IF('Components Yr 1'!F464=0,0,'Components Yr 1'!F464)</f>
        <v>0</v>
      </c>
      <c r="G464" s="17">
        <f>IF('Components Yr 1'!G464=0,0,'Components Yr 1'!G464)</f>
        <v>0</v>
      </c>
      <c r="H464" s="17">
        <f>IF('Components Yr 1'!H464=0,0,'Components Yr 1'!H464)</f>
        <v>0</v>
      </c>
      <c r="I464" s="17">
        <f>IF('Components Yr 1'!I464=0,0,'Components Yr 1'!I464)</f>
        <v>0</v>
      </c>
      <c r="J464" s="17">
        <f>IF('Components Yr 1'!J464=0,0,'Components Yr 1'!J464)</f>
        <v>0</v>
      </c>
      <c r="K464" s="12"/>
      <c r="L464" s="12"/>
      <c r="M464" s="17">
        <f>IF('Components Yr 1'!M464=0,0,'Components Yr 1'!M464)</f>
        <v>0</v>
      </c>
      <c r="N464" s="17">
        <f>IF('Components Yr 1'!N464=0,0,'Components Yr 1'!N464)</f>
        <v>0</v>
      </c>
      <c r="O464" s="12"/>
      <c r="P464" s="17">
        <f>IF('Components Yr 1'!P464=0,0,'Components Yr 1'!P464)</f>
        <v>0</v>
      </c>
      <c r="Q464" s="17"/>
      <c r="R464" s="18">
        <f>IF(SUMPRODUCT((E464:Q464)*1)=0,0,E464*INDEX(Hours!M:M,MATCH(C464,Hours!$A:$A,0))+F464*INDEX(Hours!B:B,MATCH(C464,Hours!$A:$A,0))+G464*INDEX(Hours!C:C,MATCH(C464,Hours!$A:$A,0))+H464*INDEX(Hours!D:D,MATCH(C464,Hours!$A:$A,0))+I464*INDEX(Hours!E:E,MATCH(C464,Hours!$A:$A,0))+J464*INDEX(Hours!F:F,MATCH(C464,Hours!$A:$A,0))+M464*INDEX(Hours!I:I,MATCH(C464,Hours!$A:$A,0))+N464*INDEX(Hours!J:J,MATCH(C464,Hours!$A:$A,0))+P464*INDEX(Hours!L:L,MATCH(C464,Hours!$A:$A,0)))</f>
        <v>0</v>
      </c>
      <c r="S464" s="19">
        <f t="shared" si="15"/>
        <v>0</v>
      </c>
    </row>
    <row r="465" spans="1:19" x14ac:dyDescent="0.25">
      <c r="A465" s="11" t="str">
        <f>'Bldgs &amp; Rooms'!$A$14</f>
        <v>Main Bldg.</v>
      </c>
      <c r="B465" s="11">
        <f>'Bldgs &amp; Rooms'!$B$14</f>
        <v>0</v>
      </c>
      <c r="C465" s="10" t="str">
        <f>Hours!$A$21</f>
        <v>Dry Type Transformer - &lt; 480V Primary - Any Size kVA</v>
      </c>
      <c r="D465" s="11">
        <f t="shared" si="14"/>
        <v>0</v>
      </c>
      <c r="E465" s="16">
        <f>IF('Components Yr 1'!E465=0,0,'Components Yr 1'!E465)</f>
        <v>0</v>
      </c>
      <c r="F465" s="17">
        <f>IF('Components Yr 1'!F465=0,0,'Components Yr 1'!F465)</f>
        <v>0</v>
      </c>
      <c r="G465" s="17">
        <f>IF('Components Yr 1'!G465=0,0,'Components Yr 1'!G465)</f>
        <v>0</v>
      </c>
      <c r="H465" s="17">
        <f>IF('Components Yr 1'!H465=0,0,'Components Yr 1'!H465)</f>
        <v>0</v>
      </c>
      <c r="I465" s="17">
        <f>IF('Components Yr 1'!I465=0,0,'Components Yr 1'!I465)</f>
        <v>0</v>
      </c>
      <c r="J465" s="17">
        <f>IF('Components Yr 1'!J465=0,0,'Components Yr 1'!J465)</f>
        <v>0</v>
      </c>
      <c r="K465" s="12"/>
      <c r="L465" s="12"/>
      <c r="M465" s="17">
        <f>IF('Components Yr 1'!M465=0,0,'Components Yr 1'!M465)</f>
        <v>0</v>
      </c>
      <c r="N465" s="17">
        <f>IF('Components Yr 1'!N465=0,0,'Components Yr 1'!N465)</f>
        <v>0</v>
      </c>
      <c r="O465" s="12"/>
      <c r="P465" s="12"/>
      <c r="Q465" s="17"/>
      <c r="R465" s="18">
        <f>IF(SUMPRODUCT((E465:Q465)*1)=0,0,E465*INDEX(Hours!M:M,MATCH(C465,Hours!$A:$A,0))+F465*INDEX(Hours!B:B,MATCH(C465,Hours!$A:$A,0))+G465*INDEX(Hours!C:C,MATCH(C465,Hours!$A:$A,0))+H465*INDEX(Hours!D:D,MATCH(C465,Hours!$A:$A,0))+I465*INDEX(Hours!E:E,MATCH(C465,Hours!$A:$A,0))+J465*INDEX(Hours!F:F,MATCH(C465,Hours!$A:$A,0))+M465*INDEX(Hours!I:I,MATCH(C465,Hours!$A:$A,0))+N465*INDEX(Hours!J:J,MATCH(C465,Hours!$A:$A,0)))</f>
        <v>0</v>
      </c>
      <c r="S465" s="19">
        <f t="shared" si="15"/>
        <v>0</v>
      </c>
    </row>
    <row r="466" spans="1:19" x14ac:dyDescent="0.25">
      <c r="A466" s="11" t="str">
        <f>'Bldgs &amp; Rooms'!$A$14</f>
        <v>Main Bldg.</v>
      </c>
      <c r="B466" s="11">
        <f>'Bldgs &amp; Rooms'!$B$14</f>
        <v>0</v>
      </c>
      <c r="C466" s="10" t="str">
        <f>Hours!$A$22</f>
        <v>Power Factor Correction Capacitors</v>
      </c>
      <c r="D466" s="11">
        <f t="shared" si="14"/>
        <v>0</v>
      </c>
      <c r="E466" s="16">
        <f>IF('Components Yr 1'!E466=0,0,'Components Yr 1'!E466)</f>
        <v>0</v>
      </c>
      <c r="F466" s="17">
        <f>IF('Components Yr 1'!F466=0,0,'Components Yr 1'!F466)</f>
        <v>0</v>
      </c>
      <c r="G466" s="17">
        <f>IF('Components Yr 1'!G466=0,0,'Components Yr 1'!G466)</f>
        <v>0</v>
      </c>
      <c r="H466" s="17">
        <f>IF('Components Yr 1'!H466=0,0,'Components Yr 1'!H466)</f>
        <v>0</v>
      </c>
      <c r="I466" s="17">
        <f>IF('Components Yr 1'!I466=0,0,'Components Yr 1'!I466)</f>
        <v>0</v>
      </c>
      <c r="J466" s="17">
        <f>IF('Components Yr 1'!J466=0,0,'Components Yr 1'!J466)</f>
        <v>0</v>
      </c>
      <c r="K466" s="12"/>
      <c r="L466" s="12"/>
      <c r="M466" s="12"/>
      <c r="N466" s="12"/>
      <c r="O466" s="12"/>
      <c r="P466" s="12"/>
      <c r="Q466" s="17"/>
      <c r="R466" s="18">
        <f>IF(SUMPRODUCT((E466:Q466)*1)=0,0,E466*INDEX(Hours!M:M,MATCH(C466,Hours!$A:$A,0))+F466*INDEX(Hours!B:B,MATCH(C466,Hours!$A:$A,0))+G466*INDEX(Hours!C:C,MATCH(C466,Hours!$A:$A,0))+H466*INDEX(Hours!D:D,MATCH(C466,Hours!$A:$A,0))+I466*INDEX(Hours!E:E,MATCH(C466,Hours!$A:$A,0))+J466*INDEX(Hours!F:F,MATCH(C466,Hours!$A:$A,0)))</f>
        <v>0</v>
      </c>
      <c r="S466" s="19">
        <f t="shared" si="15"/>
        <v>0</v>
      </c>
    </row>
    <row r="467" spans="1:19" x14ac:dyDescent="0.25">
      <c r="A467" s="11" t="str">
        <f>'Bldgs &amp; Rooms'!$A$14</f>
        <v>Main Bldg.</v>
      </c>
      <c r="B467" s="11">
        <f>'Bldgs &amp; Rooms'!$B$14</f>
        <v>0</v>
      </c>
      <c r="C467" s="10" t="str">
        <f>Hours!$A$23</f>
        <v>Lighting Contactor &gt; 100A</v>
      </c>
      <c r="D467" s="11">
        <f t="shared" si="14"/>
        <v>0</v>
      </c>
      <c r="E467" s="16">
        <f>IF('Components Yr 1'!E467=0,0,'Components Yr 1'!E467)</f>
        <v>0</v>
      </c>
      <c r="F467" s="17">
        <f>IF('Components Yr 1'!F467=0,0,'Components Yr 1'!F467)</f>
        <v>0</v>
      </c>
      <c r="G467" s="17">
        <f>IF('Components Yr 1'!G467=0,0,'Components Yr 1'!G467)</f>
        <v>0</v>
      </c>
      <c r="H467" s="17">
        <f>IF('Components Yr 1'!H467=0,0,'Components Yr 1'!H467)</f>
        <v>0</v>
      </c>
      <c r="I467" s="17">
        <f>IF('Components Yr 1'!I467=0,0,'Components Yr 1'!I467)</f>
        <v>0</v>
      </c>
      <c r="J467" s="17">
        <f>IF('Components Yr 1'!J467=0,0,'Components Yr 1'!J467)</f>
        <v>0</v>
      </c>
      <c r="K467" s="12"/>
      <c r="L467" s="12"/>
      <c r="M467" s="12"/>
      <c r="N467" s="12"/>
      <c r="O467" s="12"/>
      <c r="P467" s="12"/>
      <c r="Q467" s="17"/>
      <c r="R467" s="18">
        <f>IF(SUMPRODUCT((E467:Q467)*1)=0,0,E467*INDEX(Hours!M:M,MATCH(C467,Hours!$A:$A,0))+F467*INDEX(Hours!B:B,MATCH(C467,Hours!$A:$A,0))+G467*INDEX(Hours!C:C,MATCH(C467,Hours!$A:$A,0))+H467*INDEX(Hours!D:D,MATCH(C467,Hours!$A:$A,0))+I467*INDEX(Hours!E:E,MATCH(C467,Hours!$A:$A,0))+J467*INDEX(Hours!F:F,MATCH(C467,Hours!$A:$A,0)))</f>
        <v>0</v>
      </c>
      <c r="S467" s="19">
        <f t="shared" si="15"/>
        <v>0</v>
      </c>
    </row>
    <row r="468" spans="1:19" x14ac:dyDescent="0.25">
      <c r="A468" s="11" t="str">
        <f>'Bldgs &amp; Rooms'!$A$14</f>
        <v>Main Bldg.</v>
      </c>
      <c r="B468" s="11">
        <f>'Bldgs &amp; Rooms'!$B$14</f>
        <v>0</v>
      </c>
      <c r="C468" s="10" t="str">
        <f>Hours!$A$24</f>
        <v>Power Distribution Unit (PDU)</v>
      </c>
      <c r="D468" s="11">
        <f t="shared" si="14"/>
        <v>0</v>
      </c>
      <c r="E468" s="16">
        <f>IF('Components Yr 1'!E468=0,0,'Components Yr 1'!E468)</f>
        <v>0</v>
      </c>
      <c r="F468" s="17">
        <f>IF('Components Yr 1'!F468=0,0,'Components Yr 1'!F468)</f>
        <v>0</v>
      </c>
      <c r="G468" s="17">
        <f>IF('Components Yr 1'!G468=0,0,'Components Yr 1'!G468)</f>
        <v>0</v>
      </c>
      <c r="H468" s="17">
        <f>IF('Components Yr 1'!H468=0,0,'Components Yr 1'!H468)</f>
        <v>0</v>
      </c>
      <c r="I468" s="17">
        <f>IF('Components Yr 1'!I468=0,0,'Components Yr 1'!I468)</f>
        <v>0</v>
      </c>
      <c r="J468" s="17">
        <f>IF('Components Yr 1'!J468=0,0,'Components Yr 1'!J468)</f>
        <v>0</v>
      </c>
      <c r="K468" s="12"/>
      <c r="L468" s="12"/>
      <c r="M468" s="12"/>
      <c r="N468" s="12"/>
      <c r="O468" s="12"/>
      <c r="P468" s="12"/>
      <c r="Q468" s="17"/>
      <c r="R468" s="18">
        <f>IF(SUMPRODUCT((E468:Q468)*1)=0,0,E468*INDEX(Hours!M:M,MATCH(C468,Hours!$A:$A,0))+F468*INDEX(Hours!B:B,MATCH(C468,Hours!$A:$A,0))+G468*INDEX(Hours!C:C,MATCH(C468,Hours!$A:$A,0))+H468*INDEX(Hours!D:D,MATCH(C468,Hours!$A:$A,0))+I468*INDEX(Hours!E:E,MATCH(C468,Hours!$A:$A,0))+J468*INDEX(Hours!F:F,MATCH(C468,Hours!$A:$A,0)))</f>
        <v>0</v>
      </c>
      <c r="S468" s="19">
        <f t="shared" si="15"/>
        <v>0</v>
      </c>
    </row>
    <row r="469" spans="1:19" x14ac:dyDescent="0.25">
      <c r="A469" s="11" t="str">
        <f>'Bldgs &amp; Rooms'!$A$14</f>
        <v>Main Bldg.</v>
      </c>
      <c r="B469" s="11">
        <f>'Bldgs &amp; Rooms'!$B$14</f>
        <v>0</v>
      </c>
      <c r="C469" s="10" t="str">
        <f>Hours!$A$25</f>
        <v>Wire Trough, Gutter, or Large Junction Boxes</v>
      </c>
      <c r="D469" s="11">
        <f t="shared" si="14"/>
        <v>0</v>
      </c>
      <c r="E469" s="16">
        <f>IF('Components Yr 1'!E469=0,0,'Components Yr 1'!E469)</f>
        <v>0</v>
      </c>
      <c r="F469" s="17">
        <f>IF('Components Yr 1'!F469=0,0,'Components Yr 1'!F469)</f>
        <v>0</v>
      </c>
      <c r="G469" s="17">
        <f>IF('Components Yr 1'!G469=0,0,'Components Yr 1'!G469)</f>
        <v>0</v>
      </c>
      <c r="H469" s="17">
        <f>IF('Components Yr 1'!H469=0,0,'Components Yr 1'!H469)</f>
        <v>0</v>
      </c>
      <c r="I469" s="17">
        <f>IF('Components Yr 1'!I469=0,0,'Components Yr 1'!I469)</f>
        <v>0</v>
      </c>
      <c r="J469" s="17">
        <f>IF('Components Yr 1'!J469=0,0,'Components Yr 1'!J469)</f>
        <v>0</v>
      </c>
      <c r="K469" s="12"/>
      <c r="L469" s="12"/>
      <c r="M469" s="12"/>
      <c r="N469" s="12"/>
      <c r="O469" s="12"/>
      <c r="P469" s="12"/>
      <c r="Q469" s="17"/>
      <c r="R469" s="18">
        <f>IF(SUMPRODUCT((E469:Q469)*1)=0,0,E469*INDEX(Hours!M:M,MATCH(C469,Hours!$A:$A,0))+F469*INDEX(Hours!B:B,MATCH(C469,Hours!$A:$A,0))+G469*INDEX(Hours!C:C,MATCH(C469,Hours!$A:$A,0))+H469*INDEX(Hours!D:D,MATCH(C469,Hours!$A:$A,0))+I469*INDEX(Hours!E:E,MATCH(C469,Hours!$A:$A,0))+J469*INDEX(Hours!F:F,MATCH(C469,Hours!$A:$A,0)))</f>
        <v>0</v>
      </c>
      <c r="S469" s="19">
        <f t="shared" si="15"/>
        <v>0</v>
      </c>
    </row>
    <row r="470" spans="1:19" x14ac:dyDescent="0.25">
      <c r="A470" s="11" t="str">
        <f>'Bldgs &amp; Rooms'!$A$14</f>
        <v>Main Bldg.</v>
      </c>
      <c r="B470" s="11">
        <f>'Bldgs &amp; Rooms'!$B$14</f>
        <v>0</v>
      </c>
      <c r="C470" s="10" t="str">
        <f>Hours!$A$26</f>
        <v>Bus Duct - Vertical or Horizontal (Per 10' section)</v>
      </c>
      <c r="D470" s="11">
        <f t="shared" si="14"/>
        <v>0</v>
      </c>
      <c r="E470" s="16">
        <f>IF('Components Yr 1'!E470=0,0,'Components Yr 1'!E470)</f>
        <v>0</v>
      </c>
      <c r="F470" s="17">
        <f>IF('Components Yr 1'!F470=0,0,'Components Yr 1'!F470)</f>
        <v>0</v>
      </c>
      <c r="G470" s="17">
        <f>IF('Components Yr 1'!G470=0,0,'Components Yr 1'!G470)</f>
        <v>0</v>
      </c>
      <c r="H470" s="17">
        <f>IF('Components Yr 1'!H470=0,0,'Components Yr 1'!H470)</f>
        <v>0</v>
      </c>
      <c r="I470" s="17">
        <f>IF('Components Yr 1'!I470=0,0,'Components Yr 1'!I470)</f>
        <v>0</v>
      </c>
      <c r="J470" s="17">
        <f>IF('Components Yr 1'!J470=0,0,'Components Yr 1'!J470)</f>
        <v>0</v>
      </c>
      <c r="K470" s="12"/>
      <c r="L470" s="12"/>
      <c r="M470" s="12"/>
      <c r="N470" s="12"/>
      <c r="O470" s="12"/>
      <c r="P470" s="12"/>
      <c r="Q470" s="17"/>
      <c r="R470" s="18">
        <f>IF(SUMPRODUCT((E470:Q470)*1)=0,0,E470*INDEX(Hours!M:M,MATCH(C470,Hours!$A:$A,0))+F470*INDEX(Hours!B:B,MATCH(C470,Hours!$A:$A,0))+G470*INDEX(Hours!C:C,MATCH(C470,Hours!$A:$A,0))+H470*INDEX(Hours!D:D,MATCH(C470,Hours!$A:$A,0))+I470*INDEX(Hours!E:E,MATCH(C470,Hours!$A:$A,0))+J470*INDEX(Hours!F:F,MATCH(C470,Hours!$A:$A,0)))</f>
        <v>0</v>
      </c>
      <c r="S470" s="19">
        <f t="shared" si="15"/>
        <v>0</v>
      </c>
    </row>
    <row r="471" spans="1:19" x14ac:dyDescent="0.25">
      <c r="A471" s="11" t="str">
        <f>'Bldgs &amp; Rooms'!$A$14</f>
        <v>Main Bldg.</v>
      </c>
      <c r="B471" s="11">
        <f>'Bldgs &amp; Rooms'!$B$14</f>
        <v>0</v>
      </c>
      <c r="C471" s="10" t="str">
        <f>Hours!$A$27</f>
        <v>Automatic Transfer Switch (ATS) &gt; 100A</v>
      </c>
      <c r="D471" s="11">
        <f t="shared" si="14"/>
        <v>0</v>
      </c>
      <c r="E471" s="16">
        <f>IF('Components Yr 1'!E471=0,0,'Components Yr 1'!E471)</f>
        <v>0</v>
      </c>
      <c r="F471" s="17">
        <f>IF('Components Yr 1'!F471=0,0,'Components Yr 1'!F471)</f>
        <v>0</v>
      </c>
      <c r="G471" s="17">
        <f>IF('Components Yr 1'!G471=0,0,'Components Yr 1'!G471)</f>
        <v>0</v>
      </c>
      <c r="H471" s="17">
        <f>IF('Components Yr 1'!H471=0,0,'Components Yr 1'!H471)</f>
        <v>0</v>
      </c>
      <c r="I471" s="17">
        <f>IF('Components Yr 1'!I471=0,0,'Components Yr 1'!I471)</f>
        <v>0</v>
      </c>
      <c r="J471" s="17">
        <f>IF('Components Yr 1'!J471=0,0,'Components Yr 1'!J471)</f>
        <v>0</v>
      </c>
      <c r="K471" s="12"/>
      <c r="L471" s="12"/>
      <c r="M471" s="12"/>
      <c r="N471" s="12"/>
      <c r="O471" s="12"/>
      <c r="P471" s="12"/>
      <c r="Q471" s="17"/>
      <c r="R471" s="18">
        <f>IF(SUMPRODUCT((E471:Q471)*1)=0,0,E471*INDEX(Hours!M:M,MATCH(C471,Hours!$A:$A,0))+F471*INDEX(Hours!B:B,MATCH(C471,Hours!$A:$A,0))+G471*INDEX(Hours!C:C,MATCH(C471,Hours!$A:$A,0))+H471*INDEX(Hours!D:D,MATCH(C471,Hours!$A:$A,0))+I471*INDEX(Hours!E:E,MATCH(C471,Hours!$A:$A,0))+J471*INDEX(Hours!F:F,MATCH(C471,Hours!$A:$A,0)))</f>
        <v>0</v>
      </c>
      <c r="S471" s="19">
        <f t="shared" si="15"/>
        <v>0</v>
      </c>
    </row>
    <row r="472" spans="1:19" x14ac:dyDescent="0.25">
      <c r="A472" s="11" t="str">
        <f>'Bldgs &amp; Rooms'!$A$14</f>
        <v>Main Bldg.</v>
      </c>
      <c r="B472" s="11">
        <f>'Bldgs &amp; Rooms'!$B$14</f>
        <v>0</v>
      </c>
      <c r="C472" s="10" t="str">
        <f>Hours!$A$28</f>
        <v>Manual Transfer Switch (MTS) &gt; 100A</v>
      </c>
      <c r="D472" s="11">
        <f t="shared" si="14"/>
        <v>0</v>
      </c>
      <c r="E472" s="16">
        <f>IF('Components Yr 1'!E472=0,0,'Components Yr 1'!E472)</f>
        <v>0</v>
      </c>
      <c r="F472" s="17">
        <f>IF('Components Yr 1'!F472=0,0,'Components Yr 1'!F472)</f>
        <v>0</v>
      </c>
      <c r="G472" s="17">
        <f>IF('Components Yr 1'!G472=0,0,'Components Yr 1'!G472)</f>
        <v>0</v>
      </c>
      <c r="H472" s="17">
        <f>IF('Components Yr 1'!H472=0,0,'Components Yr 1'!H472)</f>
        <v>0</v>
      </c>
      <c r="I472" s="17">
        <f>IF('Components Yr 1'!I472=0,0,'Components Yr 1'!I472)</f>
        <v>0</v>
      </c>
      <c r="J472" s="17">
        <f>IF('Components Yr 1'!J472=0,0,'Components Yr 1'!J472)</f>
        <v>0</v>
      </c>
      <c r="K472" s="12"/>
      <c r="L472" s="12"/>
      <c r="M472" s="12"/>
      <c r="N472" s="12"/>
      <c r="O472" s="12"/>
      <c r="P472" s="12"/>
      <c r="Q472" s="17"/>
      <c r="R472" s="18">
        <f>IF(SUMPRODUCT((E472:Q472)*1)=0,0,E472*INDEX(Hours!M:M,MATCH(C472,Hours!$A:$A,0))+F472*INDEX(Hours!B:B,MATCH(C472,Hours!$A:$A,0))+G472*INDEX(Hours!C:C,MATCH(C472,Hours!$A:$A,0))+H472*INDEX(Hours!D:D,MATCH(C472,Hours!$A:$A,0))+I472*INDEX(Hours!E:E,MATCH(C472,Hours!$A:$A,0))+J472*INDEX(Hours!F:F,MATCH(C472,Hours!$A:$A,0)))</f>
        <v>0</v>
      </c>
      <c r="S472" s="19">
        <f t="shared" si="15"/>
        <v>0</v>
      </c>
    </row>
    <row r="473" spans="1:19" x14ac:dyDescent="0.25">
      <c r="A473" s="11" t="str">
        <f>'Bldgs &amp; Rooms'!$A$14</f>
        <v>Main Bldg.</v>
      </c>
      <c r="B473" s="11">
        <f>'Bldgs &amp; Rooms'!$B$14</f>
        <v>0</v>
      </c>
      <c r="C473" s="10" t="str">
        <f>Hours!$A$29</f>
        <v>Variable Frequency Drives (VFD) &lt; 50 HP</v>
      </c>
      <c r="D473" s="11">
        <f t="shared" si="14"/>
        <v>0</v>
      </c>
      <c r="E473" s="16">
        <f>IF('Components Yr 1'!E473=0,0,'Components Yr 1'!E473)</f>
        <v>0</v>
      </c>
      <c r="F473" s="17">
        <f>IF('Components Yr 1'!F473=0,0,'Components Yr 1'!F473)</f>
        <v>0</v>
      </c>
      <c r="G473" s="17">
        <f>IF('Components Yr 1'!G473=0,0,'Components Yr 1'!G473)</f>
        <v>0</v>
      </c>
      <c r="H473" s="17">
        <f>IF('Components Yr 1'!H473=0,0,'Components Yr 1'!H473)</f>
        <v>0</v>
      </c>
      <c r="I473" s="17">
        <f>IF('Components Yr 1'!I473=0,0,'Components Yr 1'!I473)</f>
        <v>0</v>
      </c>
      <c r="J473" s="17">
        <f>IF('Components Yr 1'!J473=0,0,'Components Yr 1'!J473)</f>
        <v>0</v>
      </c>
      <c r="K473" s="12"/>
      <c r="L473" s="12"/>
      <c r="M473" s="12"/>
      <c r="N473" s="12"/>
      <c r="O473" s="12"/>
      <c r="P473" s="12"/>
      <c r="Q473" s="17"/>
      <c r="R473" s="18">
        <f>IF(SUMPRODUCT((E473:Q473)*1)=0,0,E473*INDEX(Hours!M:M,MATCH(C473,Hours!$A:$A,0))+F473*INDEX(Hours!B:B,MATCH(C473,Hours!$A:$A,0))+G473*INDEX(Hours!C:C,MATCH(C473,Hours!$A:$A,0))+H473*INDEX(Hours!D:D,MATCH(C473,Hours!$A:$A,0))+I473*INDEX(Hours!E:E,MATCH(C473,Hours!$A:$A,0))+J473*INDEX(Hours!F:F,MATCH(C473,Hours!$A:$A,0)))</f>
        <v>0</v>
      </c>
      <c r="S473" s="19">
        <f t="shared" si="15"/>
        <v>0</v>
      </c>
    </row>
    <row r="474" spans="1:19" x14ac:dyDescent="0.25">
      <c r="A474" s="11" t="str">
        <f>'Bldgs &amp; Rooms'!$A$14</f>
        <v>Main Bldg.</v>
      </c>
      <c r="B474" s="11">
        <f>'Bldgs &amp; Rooms'!$B$14</f>
        <v>0</v>
      </c>
      <c r="C474" s="10" t="str">
        <f>Hours!$A$30</f>
        <v>Variable Frequency Drives (VFD) 51-200 HP</v>
      </c>
      <c r="D474" s="11">
        <f t="shared" si="14"/>
        <v>0</v>
      </c>
      <c r="E474" s="16">
        <f>IF('Components Yr 1'!E474=0,0,'Components Yr 1'!E474)</f>
        <v>0</v>
      </c>
      <c r="F474" s="17">
        <f>IF('Components Yr 1'!F474=0,0,'Components Yr 1'!F474)</f>
        <v>0</v>
      </c>
      <c r="G474" s="17">
        <f>IF('Components Yr 1'!G474=0,0,'Components Yr 1'!G474)</f>
        <v>0</v>
      </c>
      <c r="H474" s="17">
        <f>IF('Components Yr 1'!H474=0,0,'Components Yr 1'!H474)</f>
        <v>0</v>
      </c>
      <c r="I474" s="17">
        <f>IF('Components Yr 1'!I474=0,0,'Components Yr 1'!I474)</f>
        <v>0</v>
      </c>
      <c r="J474" s="17">
        <f>IF('Components Yr 1'!J474=0,0,'Components Yr 1'!J474)</f>
        <v>0</v>
      </c>
      <c r="K474" s="12"/>
      <c r="L474" s="12"/>
      <c r="M474" s="12"/>
      <c r="N474" s="12"/>
      <c r="O474" s="12"/>
      <c r="P474" s="12"/>
      <c r="Q474" s="17"/>
      <c r="R474" s="18">
        <f>IF(SUMPRODUCT((E474:Q474)*1)=0,0,E474*INDEX(Hours!M:M,MATCH(C474,Hours!$A:$A,0))+F474*INDEX(Hours!B:B,MATCH(C474,Hours!$A:$A,0))+G474*INDEX(Hours!C:C,MATCH(C474,Hours!$A:$A,0))+H474*INDEX(Hours!D:D,MATCH(C474,Hours!$A:$A,0))+I474*INDEX(Hours!E:E,MATCH(C474,Hours!$A:$A,0))+J474*INDEX(Hours!F:F,MATCH(C474,Hours!$A:$A,0)))</f>
        <v>0</v>
      </c>
      <c r="S474" s="19">
        <f t="shared" si="15"/>
        <v>0</v>
      </c>
    </row>
    <row r="475" spans="1:19" x14ac:dyDescent="0.25">
      <c r="A475" s="11" t="str">
        <f>'Bldgs &amp; Rooms'!$A$14</f>
        <v>Main Bldg.</v>
      </c>
      <c r="B475" s="11">
        <f>'Bldgs &amp; Rooms'!$B$14</f>
        <v>0</v>
      </c>
      <c r="C475" s="10" t="str">
        <f>Hours!$A$31</f>
        <v>Motors &lt; 50 HP</v>
      </c>
      <c r="D475" s="11">
        <f t="shared" si="14"/>
        <v>0</v>
      </c>
      <c r="E475" s="16">
        <f>IF('Components Yr 1'!E475=0,0,'Components Yr 1'!E475)</f>
        <v>0</v>
      </c>
      <c r="F475" s="17">
        <f>IF('Components Yr 1'!F475=0,0,'Components Yr 1'!F475)</f>
        <v>0</v>
      </c>
      <c r="G475" s="17">
        <f>IF('Components Yr 1'!G475=0,0,'Components Yr 1'!G475)</f>
        <v>0</v>
      </c>
      <c r="H475" s="17">
        <f>IF('Components Yr 1'!H475=0,0,'Components Yr 1'!H475)</f>
        <v>0</v>
      </c>
      <c r="I475" s="17">
        <f>IF('Components Yr 1'!I475=0,0,'Components Yr 1'!I475)</f>
        <v>0</v>
      </c>
      <c r="J475" s="17">
        <f>IF('Components Yr 1'!J475=0,0,'Components Yr 1'!J475)</f>
        <v>0</v>
      </c>
      <c r="K475" s="12"/>
      <c r="L475" s="12"/>
      <c r="M475" s="12"/>
      <c r="N475" s="12"/>
      <c r="O475" s="12"/>
      <c r="P475" s="12"/>
      <c r="Q475" s="17"/>
      <c r="R475" s="18">
        <f>IF(SUMPRODUCT((E475:Q475)*1)=0,0,E475*INDEX(Hours!M:M,MATCH(C475,Hours!$A:$A,0))+F475*INDEX(Hours!B:B,MATCH(C475,Hours!$A:$A,0))+G475*INDEX(Hours!C:C,MATCH(C475,Hours!$A:$A,0))+H475*INDEX(Hours!D:D,MATCH(C475,Hours!$A:$A,0))+I475*INDEX(Hours!E:E,MATCH(C475,Hours!$A:$A,0))+J475*INDEX(Hours!F:F,MATCH(C475,Hours!$A:$A,0)))</f>
        <v>0</v>
      </c>
      <c r="S475" s="19">
        <f t="shared" si="15"/>
        <v>0</v>
      </c>
    </row>
    <row r="476" spans="1:19" x14ac:dyDescent="0.25">
      <c r="A476" s="11" t="str">
        <f>'Bldgs &amp; Rooms'!$A$14</f>
        <v>Main Bldg.</v>
      </c>
      <c r="B476" s="11">
        <f>'Bldgs &amp; Rooms'!$B$14</f>
        <v>0</v>
      </c>
      <c r="C476" s="10" t="str">
        <f>Hours!$A$32</f>
        <v>Motors 51-200 HP</v>
      </c>
      <c r="D476" s="11">
        <f t="shared" si="14"/>
        <v>0</v>
      </c>
      <c r="E476" s="16">
        <f>IF('Components Yr 1'!E476=0,0,'Components Yr 1'!E476)</f>
        <v>0</v>
      </c>
      <c r="F476" s="17">
        <f>IF('Components Yr 1'!F476=0,0,'Components Yr 1'!F476)</f>
        <v>0</v>
      </c>
      <c r="G476" s="17">
        <f>IF('Components Yr 1'!G476=0,0,'Components Yr 1'!G476)</f>
        <v>0</v>
      </c>
      <c r="H476" s="17">
        <f>IF('Components Yr 1'!H476=0,0,'Components Yr 1'!H476)</f>
        <v>0</v>
      </c>
      <c r="I476" s="17">
        <f>IF('Components Yr 1'!I476=0,0,'Components Yr 1'!I476)</f>
        <v>0</v>
      </c>
      <c r="J476" s="17">
        <f>IF('Components Yr 1'!J476=0,0,'Components Yr 1'!J476)</f>
        <v>0</v>
      </c>
      <c r="K476" s="12"/>
      <c r="L476" s="12"/>
      <c r="M476" s="12"/>
      <c r="N476" s="12"/>
      <c r="O476" s="12"/>
      <c r="P476" s="12"/>
      <c r="Q476" s="17"/>
      <c r="R476" s="18">
        <f>IF(SUMPRODUCT((E476:Q476)*1)=0,0,E476*INDEX(Hours!M:M,MATCH(C476,Hours!$A:$A,0))+F476*INDEX(Hours!B:B,MATCH(C476,Hours!$A:$A,0))+G476*INDEX(Hours!C:C,MATCH(C476,Hours!$A:$A,0))+H476*INDEX(Hours!D:D,MATCH(C476,Hours!$A:$A,0))+I476*INDEX(Hours!E:E,MATCH(C476,Hours!$A:$A,0))+J476*INDEX(Hours!F:F,MATCH(C476,Hours!$A:$A,0)))</f>
        <v>0</v>
      </c>
      <c r="S476" s="19">
        <f t="shared" si="15"/>
        <v>0</v>
      </c>
    </row>
    <row r="477" spans="1:19" x14ac:dyDescent="0.25">
      <c r="A477" s="11" t="str">
        <f>'Bldgs &amp; Rooms'!$A$14</f>
        <v>Main Bldg.</v>
      </c>
      <c r="B477" s="11">
        <f>'Bldgs &amp; Rooms'!$B$14</f>
        <v>0</v>
      </c>
      <c r="C477" s="10" t="str">
        <f>Hours!$A$33</f>
        <v>Motors 201-500 HP</v>
      </c>
      <c r="D477" s="11">
        <f t="shared" si="14"/>
        <v>0</v>
      </c>
      <c r="E477" s="16">
        <f>IF('Components Yr 1'!E477=0,0,'Components Yr 1'!E477)</f>
        <v>0</v>
      </c>
      <c r="F477" s="17">
        <f>IF('Components Yr 1'!F477=0,0,'Components Yr 1'!F477)</f>
        <v>0</v>
      </c>
      <c r="G477" s="17">
        <f>IF('Components Yr 1'!G477=0,0,'Components Yr 1'!G477)</f>
        <v>0</v>
      </c>
      <c r="H477" s="17">
        <f>IF('Components Yr 1'!H477=0,0,'Components Yr 1'!H477)</f>
        <v>0</v>
      </c>
      <c r="I477" s="17">
        <f>IF('Components Yr 1'!I477=0,0,'Components Yr 1'!I477)</f>
        <v>0</v>
      </c>
      <c r="J477" s="17">
        <f>IF('Components Yr 1'!J477=0,0,'Components Yr 1'!J477)</f>
        <v>0</v>
      </c>
      <c r="K477" s="12"/>
      <c r="L477" s="12"/>
      <c r="M477" s="12"/>
      <c r="N477" s="12"/>
      <c r="O477" s="12"/>
      <c r="P477" s="12"/>
      <c r="Q477" s="17"/>
      <c r="R477" s="18">
        <f>IF(SUMPRODUCT((E477:Q477)*1)=0,0,E477*INDEX(Hours!M:M,MATCH(C477,Hours!$A:$A,0))+F477*INDEX(Hours!B:B,MATCH(C477,Hours!$A:$A,0))+G477*INDEX(Hours!C:C,MATCH(C477,Hours!$A:$A,0))+H477*INDEX(Hours!D:D,MATCH(C477,Hours!$A:$A,0))+I477*INDEX(Hours!E:E,MATCH(C477,Hours!$A:$A,0))+J477*INDEX(Hours!F:F,MATCH(C477,Hours!$A:$A,0)))</f>
        <v>0</v>
      </c>
      <c r="S477" s="19">
        <f t="shared" si="15"/>
        <v>0</v>
      </c>
    </row>
    <row r="478" spans="1:19" x14ac:dyDescent="0.25">
      <c r="A478" s="11" t="str">
        <f>'Bldgs &amp; Rooms'!$A$14</f>
        <v>Main Bldg.</v>
      </c>
      <c r="B478" s="11">
        <f>'Bldgs &amp; Rooms'!$B$14</f>
        <v>0</v>
      </c>
      <c r="C478" s="10" t="str">
        <f>Hours!$A$34</f>
        <v>Compressed Air Equipment</v>
      </c>
      <c r="D478" s="11">
        <f t="shared" si="14"/>
        <v>0</v>
      </c>
      <c r="E478" s="16">
        <f>IF('Components Yr 1'!E478=0,0,'Components Yr 1'!E478)</f>
        <v>0</v>
      </c>
      <c r="F478" s="17">
        <f>IF('Components Yr 1'!F478=0,0,'Components Yr 1'!F478)</f>
        <v>0</v>
      </c>
      <c r="G478" s="17">
        <f>IF('Components Yr 1'!G478=0,0,'Components Yr 1'!G478)</f>
        <v>0</v>
      </c>
      <c r="H478" s="17">
        <f>IF('Components Yr 1'!H478=0,0,'Components Yr 1'!H478)</f>
        <v>0</v>
      </c>
      <c r="I478" s="17">
        <f>IF('Components Yr 1'!I478=0,0,'Components Yr 1'!I478)</f>
        <v>0</v>
      </c>
      <c r="J478" s="17">
        <f>IF('Components Yr 1'!J478=0,0,'Components Yr 1'!J478)</f>
        <v>0</v>
      </c>
      <c r="K478" s="12"/>
      <c r="L478" s="12"/>
      <c r="M478" s="12"/>
      <c r="N478" s="12"/>
      <c r="O478" s="12"/>
      <c r="P478" s="12"/>
      <c r="Q478" s="17"/>
      <c r="R478" s="18">
        <f>IF(SUMPRODUCT((E478:Q478)*1)=0,0,E478*INDEX(Hours!M:M,MATCH(C478,Hours!$A:$A,0))+F478*INDEX(Hours!B:B,MATCH(C478,Hours!$A:$A,0))+G478*INDEX(Hours!C:C,MATCH(C478,Hours!$A:$A,0))+H478*INDEX(Hours!D:D,MATCH(C478,Hours!$A:$A,0))+I478*INDEX(Hours!E:E,MATCH(C478,Hours!$A:$A,0))+J478*INDEX(Hours!F:F,MATCH(C478,Hours!$A:$A,0)))</f>
        <v>0</v>
      </c>
      <c r="S478" s="19">
        <f t="shared" si="15"/>
        <v>0</v>
      </c>
    </row>
    <row r="479" spans="1:19" x14ac:dyDescent="0.25">
      <c r="A479" s="11" t="str">
        <f>'Bldgs &amp; Rooms'!$A$14</f>
        <v>Main Bldg.</v>
      </c>
      <c r="B479" s="11">
        <f>'Bldgs &amp; Rooms'!$B$14</f>
        <v>0</v>
      </c>
      <c r="C479" s="10" t="str">
        <f>Hours!$A$35</f>
        <v>HVAC Equipment (Large)</v>
      </c>
      <c r="D479" s="11">
        <f t="shared" si="14"/>
        <v>0</v>
      </c>
      <c r="E479" s="16">
        <f>IF('Components Yr 1'!E479=0,0,'Components Yr 1'!E479)</f>
        <v>0</v>
      </c>
      <c r="F479" s="17">
        <f>IF('Components Yr 1'!F479=0,0,'Components Yr 1'!F479)</f>
        <v>0</v>
      </c>
      <c r="G479" s="17">
        <f>IF('Components Yr 1'!G479=0,0,'Components Yr 1'!G479)</f>
        <v>0</v>
      </c>
      <c r="H479" s="17">
        <f>IF('Components Yr 1'!H479=0,0,'Components Yr 1'!H479)</f>
        <v>0</v>
      </c>
      <c r="I479" s="17">
        <f>IF('Components Yr 1'!I479=0,0,'Components Yr 1'!I479)</f>
        <v>0</v>
      </c>
      <c r="J479" s="17">
        <f>IF('Components Yr 1'!J479=0,0,'Components Yr 1'!J479)</f>
        <v>0</v>
      </c>
      <c r="K479" s="12"/>
      <c r="L479" s="12"/>
      <c r="M479" s="12"/>
      <c r="N479" s="12"/>
      <c r="O479" s="12"/>
      <c r="P479" s="12"/>
      <c r="Q479" s="17"/>
      <c r="R479" s="18">
        <f>IF(SUMPRODUCT((E479:Q479)*1)=0,0,E479*INDEX(Hours!M:M,MATCH(C479,Hours!$A:$A,0))+F479*INDEX(Hours!B:B,MATCH(C479,Hours!$A:$A,0))+G479*INDEX(Hours!C:C,MATCH(C479,Hours!$A:$A,0))+H479*INDEX(Hours!D:D,MATCH(C479,Hours!$A:$A,0))+I479*INDEX(Hours!E:E,MATCH(C479,Hours!$A:$A,0))+J479*INDEX(Hours!F:F,MATCH(C479,Hours!$A:$A,0)))</f>
        <v>0</v>
      </c>
      <c r="S479" s="19">
        <f t="shared" si="15"/>
        <v>0</v>
      </c>
    </row>
    <row r="480" spans="1:19" x14ac:dyDescent="0.25">
      <c r="A480" s="11" t="str">
        <f>'Bldgs &amp; Rooms'!$A$14</f>
        <v>Main Bldg.</v>
      </c>
      <c r="B480" s="11">
        <f>'Bldgs &amp; Rooms'!$B$14</f>
        <v>0</v>
      </c>
      <c r="C480" s="10" t="str">
        <f>Hours!$A$36</f>
        <v>HVAC Equipment (Small)</v>
      </c>
      <c r="D480" s="11">
        <f t="shared" si="14"/>
        <v>0</v>
      </c>
      <c r="E480" s="16">
        <f>IF('Components Yr 1'!E480=0,0,'Components Yr 1'!E480)</f>
        <v>0</v>
      </c>
      <c r="F480" s="17">
        <f>IF('Components Yr 1'!F480=0,0,'Components Yr 1'!F480)</f>
        <v>0</v>
      </c>
      <c r="G480" s="17">
        <f>IF('Components Yr 1'!G480=0,0,'Components Yr 1'!G480)</f>
        <v>0</v>
      </c>
      <c r="H480" s="17">
        <f>IF('Components Yr 1'!H480=0,0,'Components Yr 1'!H480)</f>
        <v>0</v>
      </c>
      <c r="I480" s="17">
        <f>IF('Components Yr 1'!I480=0,0,'Components Yr 1'!I480)</f>
        <v>0</v>
      </c>
      <c r="J480" s="17">
        <f>IF('Components Yr 1'!J480=0,0,'Components Yr 1'!J480)</f>
        <v>0</v>
      </c>
      <c r="K480" s="12"/>
      <c r="L480" s="12"/>
      <c r="M480" s="12"/>
      <c r="N480" s="12"/>
      <c r="O480" s="12"/>
      <c r="P480" s="12"/>
      <c r="Q480" s="17"/>
      <c r="R480" s="18">
        <f>IF(SUMPRODUCT((E480:Q480)*1)=0,0,E480*INDEX(Hours!M:M,MATCH(C480,Hours!$A:$A,0))+F480*INDEX(Hours!B:B,MATCH(C480,Hours!$A:$A,0))+G480*INDEX(Hours!C:C,MATCH(C480,Hours!$A:$A,0))+H480*INDEX(Hours!D:D,MATCH(C480,Hours!$A:$A,0))+I480*INDEX(Hours!E:E,MATCH(C480,Hours!$A:$A,0))+J480*INDEX(Hours!F:F,MATCH(C480,Hours!$A:$A,0)))</f>
        <v>0</v>
      </c>
      <c r="S480" s="19">
        <f t="shared" si="15"/>
        <v>0</v>
      </c>
    </row>
    <row r="481" spans="1:19" x14ac:dyDescent="0.25">
      <c r="A481" s="11" t="str">
        <f>'Bldgs &amp; Rooms'!$A$14</f>
        <v>Main Bldg.</v>
      </c>
      <c r="B481" s="11">
        <f>'Bldgs &amp; Rooms'!$B$14</f>
        <v>0</v>
      </c>
      <c r="C481" s="10" t="str">
        <f>Hours!$A$37</f>
        <v>Uninterruptible Power Supply (UPS) &lt; 50kVA</v>
      </c>
      <c r="D481" s="11">
        <f t="shared" si="14"/>
        <v>0</v>
      </c>
      <c r="E481" s="16">
        <f>IF('Components Yr 1'!E481=0,0,'Components Yr 1'!E481)</f>
        <v>0</v>
      </c>
      <c r="F481" s="17">
        <f>IF('Components Yr 1'!F481=0,0,'Components Yr 1'!F481)</f>
        <v>0</v>
      </c>
      <c r="G481" s="17">
        <f>IF('Components Yr 1'!G481=0,0,'Components Yr 1'!G481)</f>
        <v>0</v>
      </c>
      <c r="H481" s="17">
        <f>IF('Components Yr 1'!H481=0,0,'Components Yr 1'!H481)</f>
        <v>0</v>
      </c>
      <c r="I481" s="17">
        <f>IF('Components Yr 1'!I481=0,0,'Components Yr 1'!I481)</f>
        <v>0</v>
      </c>
      <c r="J481" s="17">
        <f>IF('Components Yr 1'!J481=0,0,'Components Yr 1'!J481)</f>
        <v>0</v>
      </c>
      <c r="K481" s="12"/>
      <c r="L481" s="12"/>
      <c r="M481" s="12"/>
      <c r="N481" s="12"/>
      <c r="O481" s="12"/>
      <c r="P481" s="12"/>
      <c r="Q481" s="17"/>
      <c r="R481" s="18">
        <f>IF(SUMPRODUCT((E481:Q481)*1)=0,0,E481*INDEX(Hours!M:M,MATCH(C481,Hours!$A:$A,0))+F481*INDEX(Hours!B:B,MATCH(C481,Hours!$A:$A,0))+G481*INDEX(Hours!C:C,MATCH(C481,Hours!$A:$A,0))+H481*INDEX(Hours!D:D,MATCH(C481,Hours!$A:$A,0))+I481*INDEX(Hours!E:E,MATCH(C481,Hours!$A:$A,0))+J481*INDEX(Hours!F:F,MATCH(C481,Hours!$A:$A,0)))</f>
        <v>0</v>
      </c>
      <c r="S481" s="19">
        <f t="shared" si="15"/>
        <v>0</v>
      </c>
    </row>
    <row r="482" spans="1:19" x14ac:dyDescent="0.25">
      <c r="A482" s="11" t="str">
        <f>'Bldgs &amp; Rooms'!$A$14</f>
        <v>Main Bldg.</v>
      </c>
      <c r="B482" s="11">
        <f>'Bldgs &amp; Rooms'!$B$14</f>
        <v>0</v>
      </c>
      <c r="C482" s="10" t="str">
        <f>Hours!$A$38</f>
        <v>Uninterruptible Power Supply (UPS) &gt; 50kVA</v>
      </c>
      <c r="D482" s="11">
        <f t="shared" si="14"/>
        <v>0</v>
      </c>
      <c r="E482" s="16">
        <f>IF('Components Yr 1'!E482=0,0,'Components Yr 1'!E482)</f>
        <v>0</v>
      </c>
      <c r="F482" s="17">
        <f>IF('Components Yr 1'!F482=0,0,'Components Yr 1'!F482)</f>
        <v>0</v>
      </c>
      <c r="G482" s="17">
        <f>IF('Components Yr 1'!G482=0,0,'Components Yr 1'!G482)</f>
        <v>0</v>
      </c>
      <c r="H482" s="17">
        <f>IF('Components Yr 1'!H482=0,0,'Components Yr 1'!H482)</f>
        <v>0</v>
      </c>
      <c r="I482" s="17">
        <f>IF('Components Yr 1'!I482=0,0,'Components Yr 1'!I482)</f>
        <v>0</v>
      </c>
      <c r="J482" s="17">
        <f>IF('Components Yr 1'!J482=0,0,'Components Yr 1'!J482)</f>
        <v>0</v>
      </c>
      <c r="K482" s="12"/>
      <c r="L482" s="12"/>
      <c r="M482" s="12"/>
      <c r="N482" s="12"/>
      <c r="O482" s="12"/>
      <c r="P482" s="12"/>
      <c r="Q482" s="17"/>
      <c r="R482" s="18">
        <f>IF(SUMPRODUCT((E482:Q482)*1)=0,0,E482*INDEX(Hours!M:M,MATCH(C482,Hours!$A:$A,0))+F482*INDEX(Hours!B:B,MATCH(C482,Hours!$A:$A,0))+G482*INDEX(Hours!C:C,MATCH(C482,Hours!$A:$A,0))+H482*INDEX(Hours!D:D,MATCH(C482,Hours!$A:$A,0))+I482*INDEX(Hours!E:E,MATCH(C482,Hours!$A:$A,0))+J482*INDEX(Hours!F:F,MATCH(C482,Hours!$A:$A,0)))</f>
        <v>0</v>
      </c>
      <c r="S482" s="19">
        <f t="shared" si="15"/>
        <v>0</v>
      </c>
    </row>
    <row r="483" spans="1:19" x14ac:dyDescent="0.25">
      <c r="A483" s="15" t="str">
        <f>'Bldgs &amp; Rooms'!$A$15</f>
        <v>Main Bldg.</v>
      </c>
      <c r="B483" s="15">
        <f>'Bldgs &amp; Rooms'!$B$15</f>
        <v>0</v>
      </c>
      <c r="C483" s="14" t="str">
        <f>Hours!$A$2</f>
        <v>Switchgear - Incoming Main Service (Per Section)</v>
      </c>
      <c r="D483" s="15">
        <f t="shared" si="14"/>
        <v>0</v>
      </c>
      <c r="E483" s="16">
        <f>IF('Components Yr 1'!E483=0,0,'Components Yr 1'!E483)</f>
        <v>0</v>
      </c>
      <c r="F483" s="17">
        <f>IF('Components Yr 1'!F483=0,0,'Components Yr 1'!F483)</f>
        <v>0</v>
      </c>
      <c r="G483" s="17">
        <f>IF('Components Yr 1'!G483=0,0,'Components Yr 1'!G483)</f>
        <v>0</v>
      </c>
      <c r="H483" s="17">
        <f>IF('Components Yr 1'!H483=0,0,'Components Yr 1'!H483)</f>
        <v>0</v>
      </c>
      <c r="I483" s="17">
        <f>IF('Components Yr 1'!I483=0,0,'Components Yr 1'!I483)</f>
        <v>0</v>
      </c>
      <c r="J483" s="17">
        <f>IF('Components Yr 1'!J483=0,0,'Components Yr 1'!J483)</f>
        <v>0</v>
      </c>
      <c r="K483" s="17">
        <f>IF('Components Yr 1'!K483=0,0,'Components Yr 1'!K483)</f>
        <v>0</v>
      </c>
      <c r="L483" s="17">
        <f>IF('Components Yr 1'!L483=0,0,'Components Yr 1'!L483)</f>
        <v>0</v>
      </c>
      <c r="M483" s="12"/>
      <c r="N483" s="12"/>
      <c r="O483" s="17">
        <f>IF('Components Yr 1'!O483=0,0,'Components Yr 1'!O483)</f>
        <v>0</v>
      </c>
      <c r="P483" s="12"/>
      <c r="Q483" s="17"/>
      <c r="R483" s="18">
        <f>IF(SUMPRODUCT((E483:Q483)*1)=0,0,E483*INDEX(Hours!M:M,MATCH(C483,Hours!$A:$A,0))+F483*INDEX(Hours!B:B,MATCH(C483,Hours!$A:$A,0))+G483*INDEX(Hours!C:C,MATCH(C483,Hours!$A:$A,0))+H483*INDEX(Hours!D:D,MATCH(C483,Hours!$A:$A,0))+I483*INDEX(Hours!E:E,MATCH(C483,Hours!$A:$A,0))+J483*INDEX(Hours!F:F,MATCH(C483,Hours!$A:$A,0))+K483*INDEX(Hours!G:G,MATCH(C483,Hours!$A:$A,0))+L483*INDEX(Hours!H:H,MATCH(C483,Hours!$A:$A,0))+O483*INDEX(Hours!K:K,MATCH(C483,Hours!$A:$A,0)))</f>
        <v>0</v>
      </c>
      <c r="S483" s="19">
        <f t="shared" si="15"/>
        <v>0</v>
      </c>
    </row>
    <row r="484" spans="1:19" x14ac:dyDescent="0.25">
      <c r="A484" s="15" t="str">
        <f>'Bldgs &amp; Rooms'!$A$15</f>
        <v>Main Bldg.</v>
      </c>
      <c r="B484" s="15">
        <f>'Bldgs &amp; Rooms'!$B$15</f>
        <v>0</v>
      </c>
      <c r="C484" s="14" t="str">
        <f>Hours!$A$3</f>
        <v xml:space="preserve">  Switchgear Insulated Case Breakers (Bus Mounted)</v>
      </c>
      <c r="D484" s="15">
        <f t="shared" si="14"/>
        <v>0</v>
      </c>
      <c r="E484" s="16">
        <f>IF('Components Yr 1'!E484=0,0,'Components Yr 1'!E484)</f>
        <v>0</v>
      </c>
      <c r="F484" s="17">
        <f>IF('Components Yr 1'!F484=0,0,'Components Yr 1'!F484)</f>
        <v>0</v>
      </c>
      <c r="G484" s="17">
        <f>IF('Components Yr 1'!G484=0,0,'Components Yr 1'!G484)</f>
        <v>0</v>
      </c>
      <c r="H484" s="17">
        <f>IF('Components Yr 1'!H484=0,0,'Components Yr 1'!H484)</f>
        <v>0</v>
      </c>
      <c r="I484" s="17">
        <f>IF('Components Yr 1'!I484=0,0,'Components Yr 1'!I484)</f>
        <v>0</v>
      </c>
      <c r="J484" s="17">
        <f>IF('Components Yr 1'!J484=0,0,'Components Yr 1'!J484)</f>
        <v>0</v>
      </c>
      <c r="K484" s="17">
        <f>IF('Components Yr 1'!K484=0,0,'Components Yr 1'!K484)</f>
        <v>0</v>
      </c>
      <c r="L484" s="12"/>
      <c r="M484" s="12"/>
      <c r="N484" s="12"/>
      <c r="O484" s="12"/>
      <c r="P484" s="12"/>
      <c r="Q484" s="17"/>
      <c r="R484" s="18">
        <f>IF(SUMPRODUCT((E484:Q484)*1)=0,0,E484*INDEX(Hours!M:M,MATCH(C484,Hours!$A:$A,0))+F484*INDEX(Hours!B:B,MATCH(C484,Hours!$A:$A,0))+G484*INDEX(Hours!C:C,MATCH(C484,Hours!$A:$A,0))+H484*INDEX(Hours!D:D,MATCH(C484,Hours!$A:$A,0))+I484*INDEX(Hours!E:E,MATCH(C484,Hours!$A:$A,0))+J484*INDEX(Hours!F:F,MATCH(C484,Hours!$A:$A,0))+K484*INDEX(Hours!G:G,MATCH(C484,Hours!$A:$A,0)))</f>
        <v>0</v>
      </c>
      <c r="S484" s="19">
        <f t="shared" si="15"/>
        <v>0</v>
      </c>
    </row>
    <row r="485" spans="1:19" x14ac:dyDescent="0.25">
      <c r="A485" s="15" t="str">
        <f>'Bldgs &amp; Rooms'!$A$15</f>
        <v>Main Bldg.</v>
      </c>
      <c r="B485" s="15">
        <f>'Bldgs &amp; Rooms'!$B$15</f>
        <v>0</v>
      </c>
      <c r="C485" s="14" t="str">
        <f>Hours!$A$4</f>
        <v xml:space="preserve">  SwitchGear Drawout Breakers</v>
      </c>
      <c r="D485" s="15">
        <f t="shared" si="14"/>
        <v>0</v>
      </c>
      <c r="E485" s="16">
        <f>IF('Components Yr 1'!E485=0,0,'Components Yr 1'!E485)</f>
        <v>0</v>
      </c>
      <c r="F485" s="17">
        <f>IF('Components Yr 1'!F485=0,0,'Components Yr 1'!F485)</f>
        <v>0</v>
      </c>
      <c r="G485" s="17">
        <f>IF('Components Yr 1'!G485=0,0,'Components Yr 1'!G485)</f>
        <v>0</v>
      </c>
      <c r="H485" s="17">
        <f>IF('Components Yr 1'!H485=0,0,'Components Yr 1'!H485)</f>
        <v>0</v>
      </c>
      <c r="I485" s="17">
        <f>IF('Components Yr 1'!I485=0,0,'Components Yr 1'!I485)</f>
        <v>0</v>
      </c>
      <c r="J485" s="17">
        <f>IF('Components Yr 1'!J485=0,0,'Components Yr 1'!J485)</f>
        <v>0</v>
      </c>
      <c r="K485" s="12"/>
      <c r="L485" s="17">
        <f>IF('Components Yr 1'!L485=0,0,'Components Yr 1'!L485)</f>
        <v>0</v>
      </c>
      <c r="M485" s="12"/>
      <c r="N485" s="12"/>
      <c r="O485" s="12"/>
      <c r="P485" s="12"/>
      <c r="Q485" s="17"/>
      <c r="R485" s="18">
        <f>IF(SUMPRODUCT((E485:Q485)*1)=0,0,E485*INDEX(Hours!M:M,MATCH(C485,Hours!$A:$A,0))+F485*INDEX(Hours!B:B,MATCH(C485,Hours!$A:$A,0))+G485*INDEX(Hours!C:C,MATCH(C485,Hours!$A:$A,0))+H485*INDEX(Hours!D:D,MATCH(C485,Hours!$A:$A,0))+I485*INDEX(Hours!E:E,MATCH(C485,Hours!$A:$A,0))+J485*INDEX(Hours!F:F,MATCH(C485,Hours!$A:$A,0))+L485*INDEX(Hours!H:H,MATCH(C485,Hours!$A:$A,0)))</f>
        <v>0</v>
      </c>
      <c r="S485" s="19">
        <f t="shared" si="15"/>
        <v>0</v>
      </c>
    </row>
    <row r="486" spans="1:19" x14ac:dyDescent="0.25">
      <c r="A486" s="15" t="str">
        <f>'Bldgs &amp; Rooms'!$A$15</f>
        <v>Main Bldg.</v>
      </c>
      <c r="B486" s="15">
        <f>'Bldgs &amp; Rooms'!$B$15</f>
        <v>0</v>
      </c>
      <c r="C486" s="14" t="str">
        <f>Hours!$A$5</f>
        <v>Distribution Switchboard Multi Cover (Per Section)</v>
      </c>
      <c r="D486" s="15">
        <f t="shared" si="14"/>
        <v>0</v>
      </c>
      <c r="E486" s="16">
        <f>IF('Components Yr 1'!E486=0,0,'Components Yr 1'!E486)</f>
        <v>0</v>
      </c>
      <c r="F486" s="17">
        <f>IF('Components Yr 1'!F486=0,0,'Components Yr 1'!F486)</f>
        <v>0</v>
      </c>
      <c r="G486" s="17">
        <f>IF('Components Yr 1'!G486=0,0,'Components Yr 1'!G486)</f>
        <v>0</v>
      </c>
      <c r="H486" s="17">
        <f>IF('Components Yr 1'!H486=0,0,'Components Yr 1'!H486)</f>
        <v>0</v>
      </c>
      <c r="I486" s="17">
        <f>IF('Components Yr 1'!I486=0,0,'Components Yr 1'!I486)</f>
        <v>0</v>
      </c>
      <c r="J486" s="17">
        <f>IF('Components Yr 1'!J486=0,0,'Components Yr 1'!J486)</f>
        <v>0</v>
      </c>
      <c r="K486" s="17">
        <f>IF('Components Yr 1'!K486=0,0,'Components Yr 1'!K486)</f>
        <v>0</v>
      </c>
      <c r="L486" s="12"/>
      <c r="M486" s="12"/>
      <c r="N486" s="12"/>
      <c r="O486" s="17">
        <f>IF('Components Yr 1'!O486=0,0,'Components Yr 1'!O486)</f>
        <v>0</v>
      </c>
      <c r="P486" s="12"/>
      <c r="Q486" s="17"/>
      <c r="R486" s="18">
        <f>IF(SUMPRODUCT((E486:Q486)*1)=0,0,E486*INDEX(Hours!M:M,MATCH(C486,Hours!$A:$A,0))+F486*INDEX(Hours!B:B,MATCH(C486,Hours!$A:$A,0))+G486*INDEX(Hours!C:C,MATCH(C486,Hours!$A:$A,0))+H486*INDEX(Hours!D:D,MATCH(C486,Hours!$A:$A,0))+I486*INDEX(Hours!E:E,MATCH(C486,Hours!$A:$A,0))+J486*INDEX(Hours!F:F,MATCH(C486,Hours!$A:$A,0))+K486*INDEX(Hours!G:G,MATCH(C486,Hours!$A:$A,0))+O486*INDEX(Hours!K:K,MATCH(C486,Hours!$A:$A,0)))</f>
        <v>0</v>
      </c>
      <c r="S486" s="19">
        <f t="shared" si="15"/>
        <v>0</v>
      </c>
    </row>
    <row r="487" spans="1:19" x14ac:dyDescent="0.25">
      <c r="A487" s="15" t="str">
        <f>'Bldgs &amp; Rooms'!$A$15</f>
        <v>Main Bldg.</v>
      </c>
      <c r="B487" s="15">
        <f>'Bldgs &amp; Rooms'!$B$15</f>
        <v>0</v>
      </c>
      <c r="C487" s="14" t="str">
        <f>Hours!$A$6</f>
        <v xml:space="preserve">  Switchboard Disconnects</v>
      </c>
      <c r="D487" s="15">
        <f t="shared" si="14"/>
        <v>0</v>
      </c>
      <c r="E487" s="16">
        <f>IF('Components Yr 1'!E487=0,0,'Components Yr 1'!E487)</f>
        <v>0</v>
      </c>
      <c r="F487" s="17">
        <f>IF('Components Yr 1'!F487=0,0,'Components Yr 1'!F487)</f>
        <v>0</v>
      </c>
      <c r="G487" s="17">
        <f>IF('Components Yr 1'!G487=0,0,'Components Yr 1'!G487)</f>
        <v>0</v>
      </c>
      <c r="H487" s="17">
        <f>IF('Components Yr 1'!H487=0,0,'Components Yr 1'!H487)</f>
        <v>0</v>
      </c>
      <c r="I487" s="17">
        <f>IF('Components Yr 1'!I487=0,0,'Components Yr 1'!I487)</f>
        <v>0</v>
      </c>
      <c r="J487" s="17">
        <f>IF('Components Yr 1'!J487=0,0,'Components Yr 1'!J487)</f>
        <v>0</v>
      </c>
      <c r="K487" s="12"/>
      <c r="L487" s="12"/>
      <c r="M487" s="12"/>
      <c r="N487" s="12"/>
      <c r="O487" s="12"/>
      <c r="P487" s="12"/>
      <c r="Q487" s="17"/>
      <c r="R487" s="18">
        <f>IF(SUMPRODUCT((E487:Q487)*1)=0,0,E487*INDEX(Hours!M:M,MATCH(C487,Hours!$A:$A,0))+F487*INDEX(Hours!B:B,MATCH(C487,Hours!$A:$A,0))+G487*INDEX(Hours!C:C,MATCH(C487,Hours!$A:$A,0))+H487*INDEX(Hours!D:D,MATCH(C487,Hours!$A:$A,0))+I487*INDEX(Hours!E:E,MATCH(C487,Hours!$A:$A,0))+J487*INDEX(Hours!F:F,MATCH(C487,Hours!$A:$A,0)))</f>
        <v>0</v>
      </c>
      <c r="S487" s="19">
        <f t="shared" si="15"/>
        <v>0</v>
      </c>
    </row>
    <row r="488" spans="1:19" x14ac:dyDescent="0.25">
      <c r="A488" s="15" t="str">
        <f>'Bldgs &amp; Rooms'!$A$15</f>
        <v>Main Bldg.</v>
      </c>
      <c r="B488" s="15">
        <f>'Bldgs &amp; Rooms'!$B$15</f>
        <v>0</v>
      </c>
      <c r="C488" s="14" t="str">
        <f>Hours!$A$7</f>
        <v xml:space="preserve">  Switchboard Molded Case Breakers</v>
      </c>
      <c r="D488" s="15">
        <f t="shared" si="14"/>
        <v>0</v>
      </c>
      <c r="E488" s="16">
        <f>IF('Components Yr 1'!E488=0,0,'Components Yr 1'!E488)</f>
        <v>0</v>
      </c>
      <c r="F488" s="17">
        <f>IF('Components Yr 1'!F488=0,0,'Components Yr 1'!F488)</f>
        <v>0</v>
      </c>
      <c r="G488" s="17">
        <f>IF('Components Yr 1'!G488=0,0,'Components Yr 1'!G488)</f>
        <v>0</v>
      </c>
      <c r="H488" s="17">
        <f>IF('Components Yr 1'!H488=0,0,'Components Yr 1'!H488)</f>
        <v>0</v>
      </c>
      <c r="I488" s="17">
        <f>IF('Components Yr 1'!I488=0,0,'Components Yr 1'!I488)</f>
        <v>0</v>
      </c>
      <c r="J488" s="17">
        <f>IF('Components Yr 1'!J488=0,0,'Components Yr 1'!J488)</f>
        <v>0</v>
      </c>
      <c r="K488" s="17">
        <f>IF('Components Yr 1'!K488=0,0,'Components Yr 1'!K488)</f>
        <v>0</v>
      </c>
      <c r="L488" s="12"/>
      <c r="M488" s="12"/>
      <c r="N488" s="12"/>
      <c r="O488" s="12"/>
      <c r="P488" s="12"/>
      <c r="Q488" s="17"/>
      <c r="R488" s="18">
        <f>IF(SUMPRODUCT((E488:Q488)*1)=0,0,E488*INDEX(Hours!M:M,MATCH(C488,Hours!$A:$A,0))+F488*INDEX(Hours!B:B,MATCH(C488,Hours!$A:$A,0))+G488*INDEX(Hours!C:C,MATCH(C488,Hours!$A:$A,0))+H488*INDEX(Hours!D:D,MATCH(C488,Hours!$A:$A,0))+I488*INDEX(Hours!E:E,MATCH(C488,Hours!$A:$A,0))+J488*INDEX(Hours!F:F,MATCH(C488,Hours!$A:$A,0))+K488*INDEX(Hours!G:G,MATCH(C488,Hours!$A:$A,0)))</f>
        <v>0</v>
      </c>
      <c r="S488" s="19">
        <f t="shared" si="15"/>
        <v>0</v>
      </c>
    </row>
    <row r="489" spans="1:19" x14ac:dyDescent="0.25">
      <c r="A489" s="15" t="str">
        <f>'Bldgs &amp; Rooms'!$A$15</f>
        <v>Main Bldg.</v>
      </c>
      <c r="B489" s="15">
        <f>'Bldgs &amp; Rooms'!$B$15</f>
        <v>0</v>
      </c>
      <c r="C489" s="14" t="str">
        <f>Hours!$A$8</f>
        <v>Panelboard-Single Cover &gt; 400A (Distribution Panel)</v>
      </c>
      <c r="D489" s="15">
        <f t="shared" si="14"/>
        <v>0</v>
      </c>
      <c r="E489" s="16">
        <f>IF('Components Yr 1'!E489=0,0,'Components Yr 1'!E489)</f>
        <v>0</v>
      </c>
      <c r="F489" s="17">
        <f>IF('Components Yr 1'!F489=0,0,'Components Yr 1'!F489)</f>
        <v>0</v>
      </c>
      <c r="G489" s="17">
        <f>IF('Components Yr 1'!G489=0,0,'Components Yr 1'!G489)</f>
        <v>0</v>
      </c>
      <c r="H489" s="17">
        <f>IF('Components Yr 1'!H489=0,0,'Components Yr 1'!H489)</f>
        <v>0</v>
      </c>
      <c r="I489" s="17">
        <f>IF('Components Yr 1'!I489=0,0,'Components Yr 1'!I489)</f>
        <v>0</v>
      </c>
      <c r="J489" s="17">
        <f>IF('Components Yr 1'!J489=0,0,'Components Yr 1'!J489)</f>
        <v>0</v>
      </c>
      <c r="K489" s="17">
        <f>IF('Components Yr 1'!K489=0,0,'Components Yr 1'!K489)</f>
        <v>0</v>
      </c>
      <c r="L489" s="12"/>
      <c r="M489" s="12"/>
      <c r="N489" s="12"/>
      <c r="O489" s="17">
        <f>IF('Components Yr 1'!O489=0,0,'Components Yr 1'!O489)</f>
        <v>0</v>
      </c>
      <c r="P489" s="12"/>
      <c r="Q489" s="17"/>
      <c r="R489" s="18">
        <f>IF(SUMPRODUCT((E489:Q489)*1)=0,0,E489*INDEX(Hours!M:M,MATCH(C489,Hours!$A:$A,0))+F489*INDEX(Hours!B:B,MATCH(C489,Hours!$A:$A,0))+G489*INDEX(Hours!C:C,MATCH(C489,Hours!$A:$A,0))+H489*INDEX(Hours!D:D,MATCH(C489,Hours!$A:$A,0))+I489*INDEX(Hours!E:E,MATCH(C489,Hours!$A:$A,0))+J489*INDEX(Hours!F:F,MATCH(C489,Hours!$A:$A,0))+K489*INDEX(Hours!G:G,MATCH(C489,Hours!$A:$A,0))+O489*INDEX(Hours!K:K,MATCH(C489,Hours!$A:$A,0)))</f>
        <v>0</v>
      </c>
      <c r="S489" s="19">
        <f t="shared" si="15"/>
        <v>0</v>
      </c>
    </row>
    <row r="490" spans="1:19" x14ac:dyDescent="0.25">
      <c r="A490" s="15" t="str">
        <f>'Bldgs &amp; Rooms'!$A$15</f>
        <v>Main Bldg.</v>
      </c>
      <c r="B490" s="15">
        <f>'Bldgs &amp; Rooms'!$B$15</f>
        <v>0</v>
      </c>
      <c r="C490" s="14" t="str">
        <f>Hours!$A$9</f>
        <v>Panelboard-Single Cover &lt; 400A (Branch Ckt Panel)</v>
      </c>
      <c r="D490" s="15">
        <f t="shared" si="14"/>
        <v>0</v>
      </c>
      <c r="E490" s="16">
        <f>IF('Components Yr 1'!E490=0,0,'Components Yr 1'!E490)</f>
        <v>0</v>
      </c>
      <c r="F490" s="17">
        <f>IF('Components Yr 1'!F490=0,0,'Components Yr 1'!F490)</f>
        <v>0</v>
      </c>
      <c r="G490" s="17">
        <f>IF('Components Yr 1'!G490=0,0,'Components Yr 1'!G490)</f>
        <v>0</v>
      </c>
      <c r="H490" s="17">
        <f>IF('Components Yr 1'!H490=0,0,'Components Yr 1'!H490)</f>
        <v>0</v>
      </c>
      <c r="I490" s="17">
        <f>IF('Components Yr 1'!I490=0,0,'Components Yr 1'!I490)</f>
        <v>0</v>
      </c>
      <c r="J490" s="17">
        <f>IF('Components Yr 1'!J490=0,0,'Components Yr 1'!J490)</f>
        <v>0</v>
      </c>
      <c r="K490" s="12"/>
      <c r="L490" s="12"/>
      <c r="M490" s="12"/>
      <c r="N490" s="12"/>
      <c r="O490" s="17">
        <f>IF('Components Yr 1'!O490=0,0,'Components Yr 1'!O490)</f>
        <v>0</v>
      </c>
      <c r="P490" s="12"/>
      <c r="Q490" s="17"/>
      <c r="R490" s="18">
        <f>IF(SUMPRODUCT((E490:Q490)*1)=0,0,E490*INDEX(Hours!M:M,MATCH(C490,Hours!$A:$A,0))+F490*INDEX(Hours!B:B,MATCH(C490,Hours!$A:$A,0))+G490*INDEX(Hours!C:C,MATCH(C490,Hours!$A:$A,0))+H490*INDEX(Hours!D:D,MATCH(C490,Hours!$A:$A,0))+I490*INDEX(Hours!E:E,MATCH(C490,Hours!$A:$A,0))+J490*INDEX(Hours!F:F,MATCH(C490,Hours!$A:$A,0))+O490*INDEX(Hours!K:K,MATCH(C490,Hours!$A:$A,0)))</f>
        <v>0</v>
      </c>
      <c r="S490" s="19">
        <f t="shared" si="15"/>
        <v>0</v>
      </c>
    </row>
    <row r="491" spans="1:19" x14ac:dyDescent="0.25">
      <c r="A491" s="15" t="str">
        <f>'Bldgs &amp; Rooms'!$A$15</f>
        <v>Main Bldg.</v>
      </c>
      <c r="B491" s="15">
        <f>'Bldgs &amp; Rooms'!$B$15</f>
        <v>0</v>
      </c>
      <c r="C491" s="14" t="str">
        <f>Hours!$A$10</f>
        <v>Motor Control Center (MCC-Per Vertical Section)</v>
      </c>
      <c r="D491" s="15">
        <f t="shared" si="14"/>
        <v>0</v>
      </c>
      <c r="E491" s="16">
        <f>IF('Components Yr 1'!E491=0,0,'Components Yr 1'!E491)</f>
        <v>0</v>
      </c>
      <c r="F491" s="17">
        <f>IF('Components Yr 1'!F491=0,0,'Components Yr 1'!F491)</f>
        <v>0</v>
      </c>
      <c r="G491" s="17">
        <f>IF('Components Yr 1'!G491=0,0,'Components Yr 1'!G491)</f>
        <v>0</v>
      </c>
      <c r="H491" s="17">
        <f>IF('Components Yr 1'!H491=0,0,'Components Yr 1'!H491)</f>
        <v>0</v>
      </c>
      <c r="I491" s="17">
        <f>IF('Components Yr 1'!I491=0,0,'Components Yr 1'!I491)</f>
        <v>0</v>
      </c>
      <c r="J491" s="17">
        <f>IF('Components Yr 1'!J491=0,0,'Components Yr 1'!J491)</f>
        <v>0</v>
      </c>
      <c r="K491" s="12"/>
      <c r="L491" s="12"/>
      <c r="M491" s="12"/>
      <c r="N491" s="12"/>
      <c r="O491" s="17">
        <f>IF('Components Yr 1'!O491=0,0,'Components Yr 1'!O491)</f>
        <v>0</v>
      </c>
      <c r="P491" s="12"/>
      <c r="Q491" s="17"/>
      <c r="R491" s="18">
        <f>IF(SUMPRODUCT((E491:Q491)*1)=0,0,E491*INDEX(Hours!M:M,MATCH(C491,Hours!$A:$A,0))+F491*INDEX(Hours!B:B,MATCH(C491,Hours!$A:$A,0))+G491*INDEX(Hours!C:C,MATCH(C491,Hours!$A:$A,0))+H491*INDEX(Hours!D:D,MATCH(C491,Hours!$A:$A,0))+I491*INDEX(Hours!E:E,MATCH(C491,Hours!$A:$A,0))+J491*INDEX(Hours!F:F,MATCH(C491,Hours!$A:$A,0))+O491*INDEX(Hours!K:K,MATCH(C491,Hours!$A:$A,0)))</f>
        <v>0</v>
      </c>
      <c r="S491" s="19">
        <f t="shared" si="15"/>
        <v>0</v>
      </c>
    </row>
    <row r="492" spans="1:19" x14ac:dyDescent="0.25">
      <c r="A492" s="15" t="str">
        <f>'Bldgs &amp; Rooms'!$A$15</f>
        <v>Main Bldg.</v>
      </c>
      <c r="B492" s="15">
        <f>'Bldgs &amp; Rooms'!$B$15</f>
        <v>0</v>
      </c>
      <c r="C492" s="14" t="str">
        <f>Hours!$A$11</f>
        <v xml:space="preserve">  MCC: Combination Motor Starters</v>
      </c>
      <c r="D492" s="15">
        <f t="shared" si="14"/>
        <v>0</v>
      </c>
      <c r="E492" s="16">
        <f>IF('Components Yr 1'!E492=0,0,'Components Yr 1'!E492)</f>
        <v>0</v>
      </c>
      <c r="F492" s="17">
        <f>IF('Components Yr 1'!F492=0,0,'Components Yr 1'!F492)</f>
        <v>0</v>
      </c>
      <c r="G492" s="17">
        <f>IF('Components Yr 1'!G492=0,0,'Components Yr 1'!G492)</f>
        <v>0</v>
      </c>
      <c r="H492" s="17">
        <f>IF('Components Yr 1'!H492=0,0,'Components Yr 1'!H492)</f>
        <v>0</v>
      </c>
      <c r="I492" s="17">
        <f>IF('Components Yr 1'!I492=0,0,'Components Yr 1'!I492)</f>
        <v>0</v>
      </c>
      <c r="J492" s="17">
        <f>IF('Components Yr 1'!J492=0,0,'Components Yr 1'!J492)</f>
        <v>0</v>
      </c>
      <c r="K492" s="17">
        <f>IF('Components Yr 1'!K492=0,0,'Components Yr 1'!K492)</f>
        <v>0</v>
      </c>
      <c r="L492" s="12"/>
      <c r="M492" s="12"/>
      <c r="N492" s="12"/>
      <c r="O492" s="17">
        <f>IF('Components Yr 1'!O492=0,0,'Components Yr 1'!O492)</f>
        <v>0</v>
      </c>
      <c r="P492" s="12"/>
      <c r="Q492" s="17"/>
      <c r="R492" s="18">
        <f>IF(SUMPRODUCT((E492:Q492)*1)=0,0,E492*INDEX(Hours!M:M,MATCH(C492,Hours!$A:$A,0))+F492*INDEX(Hours!B:B,MATCH(C492,Hours!$A:$A,0))+G492*INDEX(Hours!C:C,MATCH(C492,Hours!$A:$A,0))+H492*INDEX(Hours!D:D,MATCH(C492,Hours!$A:$A,0))+I492*INDEX(Hours!E:E,MATCH(C492,Hours!$A:$A,0))+J492*INDEX(Hours!F:F,MATCH(C492,Hours!$A:$A,0))+K492*INDEX(Hours!G:G,MATCH(C492,Hours!$A:$A,0))+O492*INDEX(Hours!K:K,MATCH(C492,Hours!$A:$A,0)))</f>
        <v>0</v>
      </c>
      <c r="S492" s="19">
        <f t="shared" si="15"/>
        <v>0</v>
      </c>
    </row>
    <row r="493" spans="1:19" x14ac:dyDescent="0.25">
      <c r="A493" s="15" t="str">
        <f>'Bldgs &amp; Rooms'!$A$15</f>
        <v>Main Bldg.</v>
      </c>
      <c r="B493" s="15">
        <f>'Bldgs &amp; Rooms'!$B$15</f>
        <v>0</v>
      </c>
      <c r="C493" s="14" t="str">
        <f>Hours!$A$12</f>
        <v xml:space="preserve">  MCC: Molded Case Breaker</v>
      </c>
      <c r="D493" s="15">
        <f t="shared" si="14"/>
        <v>0</v>
      </c>
      <c r="E493" s="16">
        <f>IF('Components Yr 1'!E493=0,0,'Components Yr 1'!E493)</f>
        <v>0</v>
      </c>
      <c r="F493" s="17">
        <f>IF('Components Yr 1'!F493=0,0,'Components Yr 1'!F493)</f>
        <v>0</v>
      </c>
      <c r="G493" s="17">
        <f>IF('Components Yr 1'!G493=0,0,'Components Yr 1'!G493)</f>
        <v>0</v>
      </c>
      <c r="H493" s="17">
        <f>IF('Components Yr 1'!H493=0,0,'Components Yr 1'!H493)</f>
        <v>0</v>
      </c>
      <c r="I493" s="17">
        <f>IF('Components Yr 1'!I493=0,0,'Components Yr 1'!I493)</f>
        <v>0</v>
      </c>
      <c r="J493" s="17">
        <f>IF('Components Yr 1'!J493=0,0,'Components Yr 1'!J493)</f>
        <v>0</v>
      </c>
      <c r="K493" s="17">
        <f>IF('Components Yr 1'!K493=0,0,'Components Yr 1'!K493)</f>
        <v>0</v>
      </c>
      <c r="L493" s="12"/>
      <c r="M493" s="12"/>
      <c r="N493" s="12"/>
      <c r="O493" s="12"/>
      <c r="P493" s="12"/>
      <c r="Q493" s="17"/>
      <c r="R493" s="18">
        <f>IF(SUMPRODUCT((E493:Q493)*1)=0,0,E493*INDEX(Hours!M:M,MATCH(C493,Hours!$A:$A,0))+F493*INDEX(Hours!B:B,MATCH(C493,Hours!$A:$A,0))+G493*INDEX(Hours!C:C,MATCH(C493,Hours!$A:$A,0))+H493*INDEX(Hours!D:D,MATCH(C493,Hours!$A:$A,0))+I493*INDEX(Hours!E:E,MATCH(C493,Hours!$A:$A,0))+J493*INDEX(Hours!F:F,MATCH(C493,Hours!$A:$A,0))+K493*INDEX(Hours!G:G,MATCH(C493,Hours!$A:$A,0)))</f>
        <v>0</v>
      </c>
      <c r="S493" s="19">
        <f t="shared" si="15"/>
        <v>0</v>
      </c>
    </row>
    <row r="494" spans="1:19" x14ac:dyDescent="0.25">
      <c r="A494" s="15" t="str">
        <f>'Bldgs &amp; Rooms'!$A$15</f>
        <v>Main Bldg.</v>
      </c>
      <c r="B494" s="15">
        <f>'Bldgs &amp; Rooms'!$B$15</f>
        <v>0</v>
      </c>
      <c r="C494" s="14" t="str">
        <f>Hours!$A$13</f>
        <v xml:space="preserve">  MCC: Individual Disconnect Switch</v>
      </c>
      <c r="D494" s="15">
        <f t="shared" si="14"/>
        <v>0</v>
      </c>
      <c r="E494" s="16">
        <f>IF('Components Yr 1'!E494=0,0,'Components Yr 1'!E494)</f>
        <v>0</v>
      </c>
      <c r="F494" s="17">
        <f>IF('Components Yr 1'!F494=0,0,'Components Yr 1'!F494)</f>
        <v>0</v>
      </c>
      <c r="G494" s="17">
        <f>IF('Components Yr 1'!G494=0,0,'Components Yr 1'!G494)</f>
        <v>0</v>
      </c>
      <c r="H494" s="17">
        <f>IF('Components Yr 1'!H494=0,0,'Components Yr 1'!H494)</f>
        <v>0</v>
      </c>
      <c r="I494" s="17">
        <f>IF('Components Yr 1'!I494=0,0,'Components Yr 1'!I494)</f>
        <v>0</v>
      </c>
      <c r="J494" s="17">
        <f>IF('Components Yr 1'!J494=0,0,'Components Yr 1'!J494)</f>
        <v>0</v>
      </c>
      <c r="K494" s="12"/>
      <c r="L494" s="12"/>
      <c r="M494" s="12"/>
      <c r="N494" s="12"/>
      <c r="O494" s="12"/>
      <c r="P494" s="12"/>
      <c r="Q494" s="17"/>
      <c r="R494" s="18">
        <f>IF(SUMPRODUCT((E494:Q494)*1)=0,0,E494*INDEX(Hours!M:M,MATCH(C494,Hours!$A:$A,0))+F494*INDEX(Hours!B:B,MATCH(C494,Hours!$A:$A,0))+G494*INDEX(Hours!C:C,MATCH(C494,Hours!$A:$A,0))+H494*INDEX(Hours!D:D,MATCH(C494,Hours!$A:$A,0))+I494*INDEX(Hours!E:E,MATCH(C494,Hours!$A:$A,0))+J494*INDEX(Hours!F:F,MATCH(C494,Hours!$A:$A,0)))</f>
        <v>0</v>
      </c>
      <c r="S494" s="19">
        <f t="shared" si="15"/>
        <v>0</v>
      </c>
    </row>
    <row r="495" spans="1:19" x14ac:dyDescent="0.25">
      <c r="A495" s="15" t="str">
        <f>'Bldgs &amp; Rooms'!$A$15</f>
        <v>Main Bldg.</v>
      </c>
      <c r="B495" s="15">
        <f>'Bldgs &amp; Rooms'!$B$15</f>
        <v>0</v>
      </c>
      <c r="C495" s="14" t="str">
        <f>Hours!$A$14</f>
        <v>Motor Control Panel (MCP)</v>
      </c>
      <c r="D495" s="15">
        <f t="shared" si="14"/>
        <v>0</v>
      </c>
      <c r="E495" s="16">
        <f>IF('Components Yr 1'!E495=0,0,'Components Yr 1'!E495)</f>
        <v>0</v>
      </c>
      <c r="F495" s="17">
        <f>IF('Components Yr 1'!F495=0,0,'Components Yr 1'!F495)</f>
        <v>0</v>
      </c>
      <c r="G495" s="17">
        <f>IF('Components Yr 1'!G495=0,0,'Components Yr 1'!G495)</f>
        <v>0</v>
      </c>
      <c r="H495" s="17">
        <f>IF('Components Yr 1'!H495=0,0,'Components Yr 1'!H495)</f>
        <v>0</v>
      </c>
      <c r="I495" s="17">
        <f>IF('Components Yr 1'!I495=0,0,'Components Yr 1'!I495)</f>
        <v>0</v>
      </c>
      <c r="J495" s="17">
        <f>IF('Components Yr 1'!J495=0,0,'Components Yr 1'!J495)</f>
        <v>0</v>
      </c>
      <c r="K495" s="12"/>
      <c r="L495" s="12"/>
      <c r="M495" s="12"/>
      <c r="N495" s="12"/>
      <c r="O495" s="17">
        <f>IF('Components Yr 1'!O495=0,0,'Components Yr 1'!O495)</f>
        <v>0</v>
      </c>
      <c r="P495" s="12"/>
      <c r="Q495" s="17"/>
      <c r="R495" s="18">
        <f>IF(SUMPRODUCT((E495:Q495)*1)=0,0,E495*INDEX(Hours!M:M,MATCH(C495,Hours!$A:$A,0))+F495*INDEX(Hours!B:B,MATCH(C495,Hours!$A:$A,0))+G495*INDEX(Hours!C:C,MATCH(C495,Hours!$A:$A,0))+H495*INDEX(Hours!D:D,MATCH(C495,Hours!$A:$A,0))+I495*INDEX(Hours!E:E,MATCH(C495,Hours!$A:$A,0))+J495*INDEX(Hours!F:F,MATCH(C495,Hours!$A:$A,0))+O495*INDEX(Hours!K:K,MATCH(C495,Hours!$A:$A,0)))</f>
        <v>0</v>
      </c>
      <c r="S495" s="19">
        <f t="shared" si="15"/>
        <v>0</v>
      </c>
    </row>
    <row r="496" spans="1:19" x14ac:dyDescent="0.25">
      <c r="A496" s="15" t="str">
        <f>'Bldgs &amp; Rooms'!$A$15</f>
        <v>Main Bldg.</v>
      </c>
      <c r="B496" s="15">
        <f>'Bldgs &amp; Rooms'!$B$15</f>
        <v>0</v>
      </c>
      <c r="C496" s="14" t="str">
        <f>Hours!$A$15</f>
        <v>VFD Motor Control Panel (VFD-MCP)</v>
      </c>
      <c r="D496" s="15">
        <f t="shared" si="14"/>
        <v>0</v>
      </c>
      <c r="E496" s="16">
        <f>IF('Components Yr 1'!E496=0,0,'Components Yr 1'!E496)</f>
        <v>0</v>
      </c>
      <c r="F496" s="17">
        <f>IF('Components Yr 1'!F496=0,0,'Components Yr 1'!F496)</f>
        <v>0</v>
      </c>
      <c r="G496" s="17">
        <f>IF('Components Yr 1'!G496=0,0,'Components Yr 1'!G496)</f>
        <v>0</v>
      </c>
      <c r="H496" s="17">
        <f>IF('Components Yr 1'!H496=0,0,'Components Yr 1'!H496)</f>
        <v>0</v>
      </c>
      <c r="I496" s="17">
        <f>IF('Components Yr 1'!I496=0,0,'Components Yr 1'!I496)</f>
        <v>0</v>
      </c>
      <c r="J496" s="17">
        <f>IF('Components Yr 1'!J496=0,0,'Components Yr 1'!J496)</f>
        <v>0</v>
      </c>
      <c r="K496" s="12"/>
      <c r="L496" s="12"/>
      <c r="M496" s="12"/>
      <c r="N496" s="12"/>
      <c r="O496" s="17">
        <f>IF('Components Yr 1'!O496=0,0,'Components Yr 1'!O496)</f>
        <v>0</v>
      </c>
      <c r="P496" s="12"/>
      <c r="Q496" s="17"/>
      <c r="R496" s="18">
        <f>IF(SUMPRODUCT((E496:Q496)*1)=0,0,E496*INDEX(Hours!M:M,MATCH(C496,Hours!$A:$A,0))+F496*INDEX(Hours!B:B,MATCH(C496,Hours!$A:$A,0))+G496*INDEX(Hours!C:C,MATCH(C496,Hours!$A:$A,0))+H496*INDEX(Hours!D:D,MATCH(C496,Hours!$A:$A,0))+I496*INDEX(Hours!E:E,MATCH(C496,Hours!$A:$A,0))+J496*INDEX(Hours!F:F,MATCH(C496,Hours!$A:$A,0))+O496*INDEX(Hours!K:K,MATCH(C496,Hours!$A:$A,0)))</f>
        <v>0</v>
      </c>
      <c r="S496" s="19">
        <f t="shared" si="15"/>
        <v>0</v>
      </c>
    </row>
    <row r="497" spans="1:19" x14ac:dyDescent="0.25">
      <c r="A497" s="15" t="str">
        <f>'Bldgs &amp; Rooms'!$A$15</f>
        <v>Main Bldg.</v>
      </c>
      <c r="B497" s="15">
        <f>'Bldgs &amp; Rooms'!$B$15</f>
        <v>0</v>
      </c>
      <c r="C497" s="14" t="str">
        <f>Hours!$A$16</f>
        <v>Individual Disconnect Switch &gt; 100A</v>
      </c>
      <c r="D497" s="15">
        <f t="shared" si="14"/>
        <v>0</v>
      </c>
      <c r="E497" s="16">
        <f>IF('Components Yr 1'!E497=0,0,'Components Yr 1'!E497)</f>
        <v>0</v>
      </c>
      <c r="F497" s="17">
        <f>IF('Components Yr 1'!F497=0,0,'Components Yr 1'!F497)</f>
        <v>0</v>
      </c>
      <c r="G497" s="17">
        <f>IF('Components Yr 1'!G497=0,0,'Components Yr 1'!G497)</f>
        <v>0</v>
      </c>
      <c r="H497" s="17">
        <f>IF('Components Yr 1'!H497=0,0,'Components Yr 1'!H497)</f>
        <v>0</v>
      </c>
      <c r="I497" s="17">
        <f>IF('Components Yr 1'!I497=0,0,'Components Yr 1'!I497)</f>
        <v>0</v>
      </c>
      <c r="J497" s="17">
        <f>IF('Components Yr 1'!J497=0,0,'Components Yr 1'!J497)</f>
        <v>0</v>
      </c>
      <c r="K497" s="17">
        <f>IF('Components Yr 1'!K497=0,0,'Components Yr 1'!K497)</f>
        <v>0</v>
      </c>
      <c r="L497" s="12"/>
      <c r="M497" s="12"/>
      <c r="N497" s="12"/>
      <c r="O497" s="12"/>
      <c r="P497" s="12"/>
      <c r="Q497" s="17"/>
      <c r="R497" s="18">
        <f>IF(SUMPRODUCT((E497:Q497)*1)=0,0,E497*INDEX(Hours!M:M,MATCH(C497,Hours!$A:$A,0))+F497*INDEX(Hours!B:B,MATCH(C497,Hours!$A:$A,0))+G497*INDEX(Hours!C:C,MATCH(C497,Hours!$A:$A,0))+H497*INDEX(Hours!D:D,MATCH(C497,Hours!$A:$A,0))+I497*INDEX(Hours!E:E,MATCH(C497,Hours!$A:$A,0))+J497*INDEX(Hours!F:F,MATCH(C497,Hours!$A:$A,0))+K497*INDEX(Hours!G:G,MATCH(C497,Hours!$A:$A,0)))</f>
        <v>0</v>
      </c>
      <c r="S497" s="19">
        <f t="shared" si="15"/>
        <v>0</v>
      </c>
    </row>
    <row r="498" spans="1:19" x14ac:dyDescent="0.25">
      <c r="A498" s="15" t="str">
        <f>'Bldgs &amp; Rooms'!$A$15</f>
        <v>Main Bldg.</v>
      </c>
      <c r="B498" s="15">
        <f>'Bldgs &amp; Rooms'!$B$15</f>
        <v>0</v>
      </c>
      <c r="C498" s="14" t="str">
        <f>Hours!$A$17</f>
        <v>Individual Molded Case Breaker &gt; 100A</v>
      </c>
      <c r="D498" s="15">
        <f t="shared" si="14"/>
        <v>0</v>
      </c>
      <c r="E498" s="16">
        <f>IF('Components Yr 1'!E498=0,0,'Components Yr 1'!E498)</f>
        <v>0</v>
      </c>
      <c r="F498" s="17">
        <f>IF('Components Yr 1'!F498=0,0,'Components Yr 1'!F498)</f>
        <v>0</v>
      </c>
      <c r="G498" s="17">
        <f>IF('Components Yr 1'!G498=0,0,'Components Yr 1'!G498)</f>
        <v>0</v>
      </c>
      <c r="H498" s="17">
        <f>IF('Components Yr 1'!H498=0,0,'Components Yr 1'!H498)</f>
        <v>0</v>
      </c>
      <c r="I498" s="17">
        <f>IF('Components Yr 1'!I498=0,0,'Components Yr 1'!I498)</f>
        <v>0</v>
      </c>
      <c r="J498" s="17">
        <f>IF('Components Yr 1'!J498=0,0,'Components Yr 1'!J498)</f>
        <v>0</v>
      </c>
      <c r="K498" s="17">
        <f>IF('Components Yr 1'!K498=0,0,'Components Yr 1'!K498)</f>
        <v>0</v>
      </c>
      <c r="L498" s="12"/>
      <c r="M498" s="12"/>
      <c r="N498" s="12"/>
      <c r="O498" s="12"/>
      <c r="P498" s="12"/>
      <c r="Q498" s="17"/>
      <c r="R498" s="18">
        <f>IF(SUMPRODUCT((E498:Q498)*1)=0,0,E498*INDEX(Hours!M:M,MATCH(C498,Hours!$A:$A,0))+F498*INDEX(Hours!B:B,MATCH(C498,Hours!$A:$A,0))+G498*INDEX(Hours!C:C,MATCH(C498,Hours!$A:$A,0))+H498*INDEX(Hours!D:D,MATCH(C498,Hours!$A:$A,0))+I498*INDEX(Hours!E:E,MATCH(C498,Hours!$A:$A,0))+J498*INDEX(Hours!F:F,MATCH(C498,Hours!$A:$A,0))+K498*INDEX(Hours!G:G,MATCH(C498,Hours!$A:$A,0)))</f>
        <v>0</v>
      </c>
      <c r="S498" s="19">
        <f t="shared" si="15"/>
        <v>0</v>
      </c>
    </row>
    <row r="499" spans="1:19" x14ac:dyDescent="0.25">
      <c r="A499" s="15" t="str">
        <f>'Bldgs &amp; Rooms'!$A$15</f>
        <v>Main Bldg.</v>
      </c>
      <c r="B499" s="15">
        <f>'Bldgs &amp; Rooms'!$B$15</f>
        <v>0</v>
      </c>
      <c r="C499" s="14" t="str">
        <f>Hours!$A$18</f>
        <v>Individual Combination Motor Starter &gt; 100A</v>
      </c>
      <c r="D499" s="15">
        <f t="shared" si="14"/>
        <v>0</v>
      </c>
      <c r="E499" s="16">
        <f>IF('Components Yr 1'!E499=0,0,'Components Yr 1'!E499)</f>
        <v>0</v>
      </c>
      <c r="F499" s="17">
        <f>IF('Components Yr 1'!F499=0,0,'Components Yr 1'!F499)</f>
        <v>0</v>
      </c>
      <c r="G499" s="17">
        <f>IF('Components Yr 1'!G499=0,0,'Components Yr 1'!G499)</f>
        <v>0</v>
      </c>
      <c r="H499" s="17">
        <f>IF('Components Yr 1'!H499=0,0,'Components Yr 1'!H499)</f>
        <v>0</v>
      </c>
      <c r="I499" s="17">
        <f>IF('Components Yr 1'!I499=0,0,'Components Yr 1'!I499)</f>
        <v>0</v>
      </c>
      <c r="J499" s="17">
        <f>IF('Components Yr 1'!J499=0,0,'Components Yr 1'!J499)</f>
        <v>0</v>
      </c>
      <c r="K499" s="17">
        <f>IF('Components Yr 1'!K499=0,0,'Components Yr 1'!K499)</f>
        <v>0</v>
      </c>
      <c r="L499" s="12"/>
      <c r="M499" s="12"/>
      <c r="N499" s="12"/>
      <c r="O499" s="12"/>
      <c r="P499" s="12"/>
      <c r="Q499" s="17"/>
      <c r="R499" s="18">
        <f>IF(SUMPRODUCT((E499:Q499)*1)=0,0,E499*INDEX(Hours!M:M,MATCH(C499,Hours!$A:$A,0))+F499*INDEX(Hours!B:B,MATCH(C499,Hours!$A:$A,0))+G499*INDEX(Hours!C:C,MATCH(C499,Hours!$A:$A,0))+H499*INDEX(Hours!D:D,MATCH(C499,Hours!$A:$A,0))+I499*INDEX(Hours!E:E,MATCH(C499,Hours!$A:$A,0))+J499*INDEX(Hours!F:F,MATCH(C499,Hours!$A:$A,0))+K499*INDEX(Hours!G:G,MATCH(C499,Hours!$A:$A,0)))</f>
        <v>0</v>
      </c>
      <c r="S499" s="19">
        <f t="shared" si="15"/>
        <v>0</v>
      </c>
    </row>
    <row r="500" spans="1:19" x14ac:dyDescent="0.25">
      <c r="A500" s="15" t="str">
        <f>'Bldgs &amp; Rooms'!$A$15</f>
        <v>Main Bldg.</v>
      </c>
      <c r="B500" s="15">
        <f>'Bldgs &amp; Rooms'!$B$15</f>
        <v>0</v>
      </c>
      <c r="C500" s="14" t="str">
        <f>Hours!$A$19</f>
        <v>Oil Filled Transformer - 5kV-15kV Primary - Any Size (Pad Mounted)</v>
      </c>
      <c r="D500" s="15">
        <f t="shared" si="14"/>
        <v>0</v>
      </c>
      <c r="E500" s="16">
        <f>IF('Components Yr 1'!E500=0,0,'Components Yr 1'!E500)</f>
        <v>0</v>
      </c>
      <c r="F500" s="17">
        <f>IF('Components Yr 1'!F500=0,0,'Components Yr 1'!F500)</f>
        <v>0</v>
      </c>
      <c r="G500" s="17">
        <f>IF('Components Yr 1'!G500=0,0,'Components Yr 1'!G500)</f>
        <v>0</v>
      </c>
      <c r="H500" s="17">
        <f>IF('Components Yr 1'!H500=0,0,'Components Yr 1'!H500)</f>
        <v>0</v>
      </c>
      <c r="I500" s="17">
        <f>IF('Components Yr 1'!I500=0,0,'Components Yr 1'!I500)</f>
        <v>0</v>
      </c>
      <c r="J500" s="17">
        <f>IF('Components Yr 1'!J500=0,0,'Components Yr 1'!J500)</f>
        <v>0</v>
      </c>
      <c r="K500" s="12"/>
      <c r="L500" s="12"/>
      <c r="M500" s="17">
        <f>IF('Components Yr 1'!M500=0,0,'Components Yr 1'!M500)</f>
        <v>0</v>
      </c>
      <c r="N500" s="17">
        <f>IF('Components Yr 1'!N500=0,0,'Components Yr 1'!N500)</f>
        <v>0</v>
      </c>
      <c r="O500" s="12"/>
      <c r="P500" s="17">
        <f>IF('Components Yr 1'!P500=0,0,'Components Yr 1'!P500)</f>
        <v>0</v>
      </c>
      <c r="Q500" s="17"/>
      <c r="R500" s="18">
        <f>IF(SUMPRODUCT((E500:Q500)*1)=0,0,E500*INDEX(Hours!M:M,MATCH(C500,Hours!$A:$A,0))+F500*INDEX(Hours!B:B,MATCH(C500,Hours!$A:$A,0))+G500*INDEX(Hours!C:C,MATCH(C500,Hours!$A:$A,0))+H500*INDEX(Hours!D:D,MATCH(C500,Hours!$A:$A,0))+I500*INDEX(Hours!E:E,MATCH(C500,Hours!$A:$A,0))+J500*INDEX(Hours!F:F,MATCH(C500,Hours!$A:$A,0))+M500*INDEX(Hours!I:I,MATCH(C500,Hours!$A:$A,0))+N500*INDEX(Hours!J:J,MATCH(C500,Hours!$A:$A,0))+P500*INDEX(Hours!L:L,MATCH(C500,Hours!$A:$A,0)))</f>
        <v>0</v>
      </c>
      <c r="S500" s="19">
        <f t="shared" si="15"/>
        <v>0</v>
      </c>
    </row>
    <row r="501" spans="1:19" x14ac:dyDescent="0.25">
      <c r="A501" s="15" t="str">
        <f>'Bldgs &amp; Rooms'!$A$15</f>
        <v>Main Bldg.</v>
      </c>
      <c r="B501" s="15">
        <f>'Bldgs &amp; Rooms'!$B$15</f>
        <v>0</v>
      </c>
      <c r="C501" s="14" t="str">
        <f>Hours!$A$20</f>
        <v>Oil Filled Transformer - &gt; 15kV Primary (Substation Class)</v>
      </c>
      <c r="D501" s="15">
        <f t="shared" si="14"/>
        <v>0</v>
      </c>
      <c r="E501" s="16">
        <f>IF('Components Yr 1'!E501=0,0,'Components Yr 1'!E501)</f>
        <v>0</v>
      </c>
      <c r="F501" s="17">
        <f>IF('Components Yr 1'!F501=0,0,'Components Yr 1'!F501)</f>
        <v>0</v>
      </c>
      <c r="G501" s="17">
        <f>IF('Components Yr 1'!G501=0,0,'Components Yr 1'!G501)</f>
        <v>0</v>
      </c>
      <c r="H501" s="17">
        <f>IF('Components Yr 1'!H501=0,0,'Components Yr 1'!H501)</f>
        <v>0</v>
      </c>
      <c r="I501" s="17">
        <f>IF('Components Yr 1'!I501=0,0,'Components Yr 1'!I501)</f>
        <v>0</v>
      </c>
      <c r="J501" s="17">
        <f>IF('Components Yr 1'!J501=0,0,'Components Yr 1'!J501)</f>
        <v>0</v>
      </c>
      <c r="K501" s="12"/>
      <c r="L501" s="12"/>
      <c r="M501" s="17">
        <f>IF('Components Yr 1'!M501=0,0,'Components Yr 1'!M501)</f>
        <v>0</v>
      </c>
      <c r="N501" s="17">
        <f>IF('Components Yr 1'!N501=0,0,'Components Yr 1'!N501)</f>
        <v>0</v>
      </c>
      <c r="O501" s="12"/>
      <c r="P501" s="17">
        <f>IF('Components Yr 1'!P501=0,0,'Components Yr 1'!P501)</f>
        <v>0</v>
      </c>
      <c r="Q501" s="17"/>
      <c r="R501" s="18">
        <f>IF(SUMPRODUCT((E501:Q501)*1)=0,0,E501*INDEX(Hours!M:M,MATCH(C501,Hours!$A:$A,0))+F501*INDEX(Hours!B:B,MATCH(C501,Hours!$A:$A,0))+G501*INDEX(Hours!C:C,MATCH(C501,Hours!$A:$A,0))+H501*INDEX(Hours!D:D,MATCH(C501,Hours!$A:$A,0))+I501*INDEX(Hours!E:E,MATCH(C501,Hours!$A:$A,0))+J501*INDEX(Hours!F:F,MATCH(C501,Hours!$A:$A,0))+M501*INDEX(Hours!I:I,MATCH(C501,Hours!$A:$A,0))+N501*INDEX(Hours!J:J,MATCH(C501,Hours!$A:$A,0))+P501*INDEX(Hours!L:L,MATCH(C501,Hours!$A:$A,0)))</f>
        <v>0</v>
      </c>
      <c r="S501" s="19">
        <f t="shared" si="15"/>
        <v>0</v>
      </c>
    </row>
    <row r="502" spans="1:19" x14ac:dyDescent="0.25">
      <c r="A502" s="15" t="str">
        <f>'Bldgs &amp; Rooms'!$A$15</f>
        <v>Main Bldg.</v>
      </c>
      <c r="B502" s="15">
        <f>'Bldgs &amp; Rooms'!$B$15</f>
        <v>0</v>
      </c>
      <c r="C502" s="14" t="str">
        <f>Hours!$A$21</f>
        <v>Dry Type Transformer - &lt; 480V Primary - Any Size kVA</v>
      </c>
      <c r="D502" s="15">
        <f t="shared" si="14"/>
        <v>0</v>
      </c>
      <c r="E502" s="16">
        <f>IF('Components Yr 1'!E502=0,0,'Components Yr 1'!E502)</f>
        <v>0</v>
      </c>
      <c r="F502" s="17">
        <f>IF('Components Yr 1'!F502=0,0,'Components Yr 1'!F502)</f>
        <v>0</v>
      </c>
      <c r="G502" s="17">
        <f>IF('Components Yr 1'!G502=0,0,'Components Yr 1'!G502)</f>
        <v>0</v>
      </c>
      <c r="H502" s="17">
        <f>IF('Components Yr 1'!H502=0,0,'Components Yr 1'!H502)</f>
        <v>0</v>
      </c>
      <c r="I502" s="17">
        <f>IF('Components Yr 1'!I502=0,0,'Components Yr 1'!I502)</f>
        <v>0</v>
      </c>
      <c r="J502" s="17">
        <f>IF('Components Yr 1'!J502=0,0,'Components Yr 1'!J502)</f>
        <v>0</v>
      </c>
      <c r="K502" s="12"/>
      <c r="L502" s="12"/>
      <c r="M502" s="17">
        <f>IF('Components Yr 1'!M502=0,0,'Components Yr 1'!M502)</f>
        <v>0</v>
      </c>
      <c r="N502" s="17">
        <f>IF('Components Yr 1'!N502=0,0,'Components Yr 1'!N502)</f>
        <v>0</v>
      </c>
      <c r="O502" s="12"/>
      <c r="P502" s="12"/>
      <c r="Q502" s="17"/>
      <c r="R502" s="18">
        <f>IF(SUMPRODUCT((E502:Q502)*1)=0,0,E502*INDEX(Hours!M:M,MATCH(C502,Hours!$A:$A,0))+F502*INDEX(Hours!B:B,MATCH(C502,Hours!$A:$A,0))+G502*INDEX(Hours!C:C,MATCH(C502,Hours!$A:$A,0))+H502*INDEX(Hours!D:D,MATCH(C502,Hours!$A:$A,0))+I502*INDEX(Hours!E:E,MATCH(C502,Hours!$A:$A,0))+J502*INDEX(Hours!F:F,MATCH(C502,Hours!$A:$A,0))+M502*INDEX(Hours!I:I,MATCH(C502,Hours!$A:$A,0))+N502*INDEX(Hours!J:J,MATCH(C502,Hours!$A:$A,0)))</f>
        <v>0</v>
      </c>
      <c r="S502" s="19">
        <f t="shared" si="15"/>
        <v>0</v>
      </c>
    </row>
    <row r="503" spans="1:19" x14ac:dyDescent="0.25">
      <c r="A503" s="15" t="str">
        <f>'Bldgs &amp; Rooms'!$A$15</f>
        <v>Main Bldg.</v>
      </c>
      <c r="B503" s="15">
        <f>'Bldgs &amp; Rooms'!$B$15</f>
        <v>0</v>
      </c>
      <c r="C503" s="14" t="str">
        <f>Hours!$A$22</f>
        <v>Power Factor Correction Capacitors</v>
      </c>
      <c r="D503" s="15">
        <f t="shared" si="14"/>
        <v>0</v>
      </c>
      <c r="E503" s="16">
        <f>IF('Components Yr 1'!E503=0,0,'Components Yr 1'!E503)</f>
        <v>0</v>
      </c>
      <c r="F503" s="17">
        <f>IF('Components Yr 1'!F503=0,0,'Components Yr 1'!F503)</f>
        <v>0</v>
      </c>
      <c r="G503" s="17">
        <f>IF('Components Yr 1'!G503=0,0,'Components Yr 1'!G503)</f>
        <v>0</v>
      </c>
      <c r="H503" s="17">
        <f>IF('Components Yr 1'!H503=0,0,'Components Yr 1'!H503)</f>
        <v>0</v>
      </c>
      <c r="I503" s="17">
        <f>IF('Components Yr 1'!I503=0,0,'Components Yr 1'!I503)</f>
        <v>0</v>
      </c>
      <c r="J503" s="17">
        <f>IF('Components Yr 1'!J503=0,0,'Components Yr 1'!J503)</f>
        <v>0</v>
      </c>
      <c r="K503" s="12"/>
      <c r="L503" s="12"/>
      <c r="M503" s="12"/>
      <c r="N503" s="12"/>
      <c r="O503" s="12"/>
      <c r="P503" s="12"/>
      <c r="Q503" s="17"/>
      <c r="R503" s="18">
        <f>IF(SUMPRODUCT((E503:Q503)*1)=0,0,E503*INDEX(Hours!M:M,MATCH(C503,Hours!$A:$A,0))+F503*INDEX(Hours!B:B,MATCH(C503,Hours!$A:$A,0))+G503*INDEX(Hours!C:C,MATCH(C503,Hours!$A:$A,0))+H503*INDEX(Hours!D:D,MATCH(C503,Hours!$A:$A,0))+I503*INDEX(Hours!E:E,MATCH(C503,Hours!$A:$A,0))+J503*INDEX(Hours!F:F,MATCH(C503,Hours!$A:$A,0)))</f>
        <v>0</v>
      </c>
      <c r="S503" s="19">
        <f t="shared" si="15"/>
        <v>0</v>
      </c>
    </row>
    <row r="504" spans="1:19" x14ac:dyDescent="0.25">
      <c r="A504" s="15" t="str">
        <f>'Bldgs &amp; Rooms'!$A$15</f>
        <v>Main Bldg.</v>
      </c>
      <c r="B504" s="15">
        <f>'Bldgs &amp; Rooms'!$B$15</f>
        <v>0</v>
      </c>
      <c r="C504" s="14" t="str">
        <f>Hours!$A$23</f>
        <v>Lighting Contactor &gt; 100A</v>
      </c>
      <c r="D504" s="15">
        <f t="shared" si="14"/>
        <v>0</v>
      </c>
      <c r="E504" s="16">
        <f>IF('Components Yr 1'!E504=0,0,'Components Yr 1'!E504)</f>
        <v>0</v>
      </c>
      <c r="F504" s="17">
        <f>IF('Components Yr 1'!F504=0,0,'Components Yr 1'!F504)</f>
        <v>0</v>
      </c>
      <c r="G504" s="17">
        <f>IF('Components Yr 1'!G504=0,0,'Components Yr 1'!G504)</f>
        <v>0</v>
      </c>
      <c r="H504" s="17">
        <f>IF('Components Yr 1'!H504=0,0,'Components Yr 1'!H504)</f>
        <v>0</v>
      </c>
      <c r="I504" s="17">
        <f>IF('Components Yr 1'!I504=0,0,'Components Yr 1'!I504)</f>
        <v>0</v>
      </c>
      <c r="J504" s="17">
        <f>IF('Components Yr 1'!J504=0,0,'Components Yr 1'!J504)</f>
        <v>0</v>
      </c>
      <c r="K504" s="12"/>
      <c r="L504" s="12"/>
      <c r="M504" s="12"/>
      <c r="N504" s="12"/>
      <c r="O504" s="12"/>
      <c r="P504" s="12"/>
      <c r="Q504" s="17"/>
      <c r="R504" s="18">
        <f>IF(SUMPRODUCT((E504:Q504)*1)=0,0,E504*INDEX(Hours!M:M,MATCH(C504,Hours!$A:$A,0))+F504*INDEX(Hours!B:B,MATCH(C504,Hours!$A:$A,0))+G504*INDEX(Hours!C:C,MATCH(C504,Hours!$A:$A,0))+H504*INDEX(Hours!D:D,MATCH(C504,Hours!$A:$A,0))+I504*INDEX(Hours!E:E,MATCH(C504,Hours!$A:$A,0))+J504*INDEX(Hours!F:F,MATCH(C504,Hours!$A:$A,0)))</f>
        <v>0</v>
      </c>
      <c r="S504" s="19">
        <f t="shared" si="15"/>
        <v>0</v>
      </c>
    </row>
    <row r="505" spans="1:19" x14ac:dyDescent="0.25">
      <c r="A505" s="15" t="str">
        <f>'Bldgs &amp; Rooms'!$A$15</f>
        <v>Main Bldg.</v>
      </c>
      <c r="B505" s="15">
        <f>'Bldgs &amp; Rooms'!$B$15</f>
        <v>0</v>
      </c>
      <c r="C505" s="14" t="str">
        <f>Hours!$A$24</f>
        <v>Power Distribution Unit (PDU)</v>
      </c>
      <c r="D505" s="15">
        <f t="shared" si="14"/>
        <v>0</v>
      </c>
      <c r="E505" s="16">
        <f>IF('Components Yr 1'!E505=0,0,'Components Yr 1'!E505)</f>
        <v>0</v>
      </c>
      <c r="F505" s="17">
        <f>IF('Components Yr 1'!F505=0,0,'Components Yr 1'!F505)</f>
        <v>0</v>
      </c>
      <c r="G505" s="17">
        <f>IF('Components Yr 1'!G505=0,0,'Components Yr 1'!G505)</f>
        <v>0</v>
      </c>
      <c r="H505" s="17">
        <f>IF('Components Yr 1'!H505=0,0,'Components Yr 1'!H505)</f>
        <v>0</v>
      </c>
      <c r="I505" s="17">
        <f>IF('Components Yr 1'!I505=0,0,'Components Yr 1'!I505)</f>
        <v>0</v>
      </c>
      <c r="J505" s="17">
        <f>IF('Components Yr 1'!J505=0,0,'Components Yr 1'!J505)</f>
        <v>0</v>
      </c>
      <c r="K505" s="12"/>
      <c r="L505" s="12"/>
      <c r="M505" s="12"/>
      <c r="N505" s="12"/>
      <c r="O505" s="12"/>
      <c r="P505" s="12"/>
      <c r="Q505" s="17"/>
      <c r="R505" s="18">
        <f>IF(SUMPRODUCT((E505:Q505)*1)=0,0,E505*INDEX(Hours!M:M,MATCH(C505,Hours!$A:$A,0))+F505*INDEX(Hours!B:B,MATCH(C505,Hours!$A:$A,0))+G505*INDEX(Hours!C:C,MATCH(C505,Hours!$A:$A,0))+H505*INDEX(Hours!D:D,MATCH(C505,Hours!$A:$A,0))+I505*INDEX(Hours!E:E,MATCH(C505,Hours!$A:$A,0))+J505*INDEX(Hours!F:F,MATCH(C505,Hours!$A:$A,0)))</f>
        <v>0</v>
      </c>
      <c r="S505" s="19">
        <f t="shared" si="15"/>
        <v>0</v>
      </c>
    </row>
    <row r="506" spans="1:19" x14ac:dyDescent="0.25">
      <c r="A506" s="15" t="str">
        <f>'Bldgs &amp; Rooms'!$A$15</f>
        <v>Main Bldg.</v>
      </c>
      <c r="B506" s="15">
        <f>'Bldgs &amp; Rooms'!$B$15</f>
        <v>0</v>
      </c>
      <c r="C506" s="14" t="str">
        <f>Hours!$A$25</f>
        <v>Wire Trough, Gutter, or Large Junction Boxes</v>
      </c>
      <c r="D506" s="15">
        <f t="shared" si="14"/>
        <v>0</v>
      </c>
      <c r="E506" s="16">
        <f>IF('Components Yr 1'!E506=0,0,'Components Yr 1'!E506)</f>
        <v>0</v>
      </c>
      <c r="F506" s="17">
        <f>IF('Components Yr 1'!F506=0,0,'Components Yr 1'!F506)</f>
        <v>0</v>
      </c>
      <c r="G506" s="17">
        <f>IF('Components Yr 1'!G506=0,0,'Components Yr 1'!G506)</f>
        <v>0</v>
      </c>
      <c r="H506" s="17">
        <f>IF('Components Yr 1'!H506=0,0,'Components Yr 1'!H506)</f>
        <v>0</v>
      </c>
      <c r="I506" s="17">
        <f>IF('Components Yr 1'!I506=0,0,'Components Yr 1'!I506)</f>
        <v>0</v>
      </c>
      <c r="J506" s="17">
        <f>IF('Components Yr 1'!J506=0,0,'Components Yr 1'!J506)</f>
        <v>0</v>
      </c>
      <c r="K506" s="12"/>
      <c r="L506" s="12"/>
      <c r="M506" s="12"/>
      <c r="N506" s="12"/>
      <c r="O506" s="12"/>
      <c r="P506" s="12"/>
      <c r="Q506" s="17"/>
      <c r="R506" s="18">
        <f>IF(SUMPRODUCT((E506:Q506)*1)=0,0,E506*INDEX(Hours!M:M,MATCH(C506,Hours!$A:$A,0))+F506*INDEX(Hours!B:B,MATCH(C506,Hours!$A:$A,0))+G506*INDEX(Hours!C:C,MATCH(C506,Hours!$A:$A,0))+H506*INDEX(Hours!D:D,MATCH(C506,Hours!$A:$A,0))+I506*INDEX(Hours!E:E,MATCH(C506,Hours!$A:$A,0))+J506*INDEX(Hours!F:F,MATCH(C506,Hours!$A:$A,0)))</f>
        <v>0</v>
      </c>
      <c r="S506" s="19">
        <f t="shared" si="15"/>
        <v>0</v>
      </c>
    </row>
    <row r="507" spans="1:19" x14ac:dyDescent="0.25">
      <c r="A507" s="15" t="str">
        <f>'Bldgs &amp; Rooms'!$A$15</f>
        <v>Main Bldg.</v>
      </c>
      <c r="B507" s="15">
        <f>'Bldgs &amp; Rooms'!$B$15</f>
        <v>0</v>
      </c>
      <c r="C507" s="14" t="str">
        <f>Hours!$A$26</f>
        <v>Bus Duct - Vertical or Horizontal (Per 10' section)</v>
      </c>
      <c r="D507" s="15">
        <f t="shared" si="14"/>
        <v>0</v>
      </c>
      <c r="E507" s="16">
        <f>IF('Components Yr 1'!E507=0,0,'Components Yr 1'!E507)</f>
        <v>0</v>
      </c>
      <c r="F507" s="17">
        <f>IF('Components Yr 1'!F507=0,0,'Components Yr 1'!F507)</f>
        <v>0</v>
      </c>
      <c r="G507" s="17">
        <f>IF('Components Yr 1'!G507=0,0,'Components Yr 1'!G507)</f>
        <v>0</v>
      </c>
      <c r="H507" s="17">
        <f>IF('Components Yr 1'!H507=0,0,'Components Yr 1'!H507)</f>
        <v>0</v>
      </c>
      <c r="I507" s="17">
        <f>IF('Components Yr 1'!I507=0,0,'Components Yr 1'!I507)</f>
        <v>0</v>
      </c>
      <c r="J507" s="17">
        <f>IF('Components Yr 1'!J507=0,0,'Components Yr 1'!J507)</f>
        <v>0</v>
      </c>
      <c r="K507" s="12"/>
      <c r="L507" s="12"/>
      <c r="M507" s="12"/>
      <c r="N507" s="12"/>
      <c r="O507" s="12"/>
      <c r="P507" s="12"/>
      <c r="Q507" s="17"/>
      <c r="R507" s="18">
        <f>IF(SUMPRODUCT((E507:Q507)*1)=0,0,E507*INDEX(Hours!M:M,MATCH(C507,Hours!$A:$A,0))+F507*INDEX(Hours!B:B,MATCH(C507,Hours!$A:$A,0))+G507*INDEX(Hours!C:C,MATCH(C507,Hours!$A:$A,0))+H507*INDEX(Hours!D:D,MATCH(C507,Hours!$A:$A,0))+I507*INDEX(Hours!E:E,MATCH(C507,Hours!$A:$A,0))+J507*INDEX(Hours!F:F,MATCH(C507,Hours!$A:$A,0)))</f>
        <v>0</v>
      </c>
      <c r="S507" s="19">
        <f t="shared" si="15"/>
        <v>0</v>
      </c>
    </row>
    <row r="508" spans="1:19" x14ac:dyDescent="0.25">
      <c r="A508" s="15" t="str">
        <f>'Bldgs &amp; Rooms'!$A$15</f>
        <v>Main Bldg.</v>
      </c>
      <c r="B508" s="15">
        <f>'Bldgs &amp; Rooms'!$B$15</f>
        <v>0</v>
      </c>
      <c r="C508" s="14" t="str">
        <f>Hours!$A$27</f>
        <v>Automatic Transfer Switch (ATS) &gt; 100A</v>
      </c>
      <c r="D508" s="15">
        <f t="shared" si="14"/>
        <v>0</v>
      </c>
      <c r="E508" s="16">
        <f>IF('Components Yr 1'!E508=0,0,'Components Yr 1'!E508)</f>
        <v>0</v>
      </c>
      <c r="F508" s="17">
        <f>IF('Components Yr 1'!F508=0,0,'Components Yr 1'!F508)</f>
        <v>0</v>
      </c>
      <c r="G508" s="17">
        <f>IF('Components Yr 1'!G508=0,0,'Components Yr 1'!G508)</f>
        <v>0</v>
      </c>
      <c r="H508" s="17">
        <f>IF('Components Yr 1'!H508=0,0,'Components Yr 1'!H508)</f>
        <v>0</v>
      </c>
      <c r="I508" s="17">
        <f>IF('Components Yr 1'!I508=0,0,'Components Yr 1'!I508)</f>
        <v>0</v>
      </c>
      <c r="J508" s="17">
        <f>IF('Components Yr 1'!J508=0,0,'Components Yr 1'!J508)</f>
        <v>0</v>
      </c>
      <c r="K508" s="12"/>
      <c r="L508" s="12"/>
      <c r="M508" s="12"/>
      <c r="N508" s="12"/>
      <c r="O508" s="12"/>
      <c r="P508" s="12"/>
      <c r="Q508" s="17"/>
      <c r="R508" s="18">
        <f>IF(SUMPRODUCT((E508:Q508)*1)=0,0,E508*INDEX(Hours!M:M,MATCH(C508,Hours!$A:$A,0))+F508*INDEX(Hours!B:B,MATCH(C508,Hours!$A:$A,0))+G508*INDEX(Hours!C:C,MATCH(C508,Hours!$A:$A,0))+H508*INDEX(Hours!D:D,MATCH(C508,Hours!$A:$A,0))+I508*INDEX(Hours!E:E,MATCH(C508,Hours!$A:$A,0))+J508*INDEX(Hours!F:F,MATCH(C508,Hours!$A:$A,0)))</f>
        <v>0</v>
      </c>
      <c r="S508" s="19">
        <f t="shared" si="15"/>
        <v>0</v>
      </c>
    </row>
    <row r="509" spans="1:19" x14ac:dyDescent="0.25">
      <c r="A509" s="15" t="str">
        <f>'Bldgs &amp; Rooms'!$A$15</f>
        <v>Main Bldg.</v>
      </c>
      <c r="B509" s="15">
        <f>'Bldgs &amp; Rooms'!$B$15</f>
        <v>0</v>
      </c>
      <c r="C509" s="14" t="str">
        <f>Hours!$A$28</f>
        <v>Manual Transfer Switch (MTS) &gt; 100A</v>
      </c>
      <c r="D509" s="15">
        <f t="shared" si="14"/>
        <v>0</v>
      </c>
      <c r="E509" s="16">
        <f>IF('Components Yr 1'!E509=0,0,'Components Yr 1'!E509)</f>
        <v>0</v>
      </c>
      <c r="F509" s="17">
        <f>IF('Components Yr 1'!F509=0,0,'Components Yr 1'!F509)</f>
        <v>0</v>
      </c>
      <c r="G509" s="17">
        <f>IF('Components Yr 1'!G509=0,0,'Components Yr 1'!G509)</f>
        <v>0</v>
      </c>
      <c r="H509" s="17">
        <f>IF('Components Yr 1'!H509=0,0,'Components Yr 1'!H509)</f>
        <v>0</v>
      </c>
      <c r="I509" s="17">
        <f>IF('Components Yr 1'!I509=0,0,'Components Yr 1'!I509)</f>
        <v>0</v>
      </c>
      <c r="J509" s="17">
        <f>IF('Components Yr 1'!J509=0,0,'Components Yr 1'!J509)</f>
        <v>0</v>
      </c>
      <c r="K509" s="12"/>
      <c r="L509" s="12"/>
      <c r="M509" s="12"/>
      <c r="N509" s="12"/>
      <c r="O509" s="12"/>
      <c r="P509" s="12"/>
      <c r="Q509" s="17"/>
      <c r="R509" s="18">
        <f>IF(SUMPRODUCT((E509:Q509)*1)=0,0,E509*INDEX(Hours!M:M,MATCH(C509,Hours!$A:$A,0))+F509*INDEX(Hours!B:B,MATCH(C509,Hours!$A:$A,0))+G509*INDEX(Hours!C:C,MATCH(C509,Hours!$A:$A,0))+H509*INDEX(Hours!D:D,MATCH(C509,Hours!$A:$A,0))+I509*INDEX(Hours!E:E,MATCH(C509,Hours!$A:$A,0))+J509*INDEX(Hours!F:F,MATCH(C509,Hours!$A:$A,0)))</f>
        <v>0</v>
      </c>
      <c r="S509" s="19">
        <f t="shared" si="15"/>
        <v>0</v>
      </c>
    </row>
    <row r="510" spans="1:19" x14ac:dyDescent="0.25">
      <c r="A510" s="15" t="str">
        <f>'Bldgs &amp; Rooms'!$A$15</f>
        <v>Main Bldg.</v>
      </c>
      <c r="B510" s="15">
        <f>'Bldgs &amp; Rooms'!$B$15</f>
        <v>0</v>
      </c>
      <c r="C510" s="14" t="str">
        <f>Hours!$A$29</f>
        <v>Variable Frequency Drives (VFD) &lt; 50 HP</v>
      </c>
      <c r="D510" s="15">
        <f t="shared" si="14"/>
        <v>0</v>
      </c>
      <c r="E510" s="16">
        <f>IF('Components Yr 1'!E510=0,0,'Components Yr 1'!E510)</f>
        <v>0</v>
      </c>
      <c r="F510" s="17">
        <f>IF('Components Yr 1'!F510=0,0,'Components Yr 1'!F510)</f>
        <v>0</v>
      </c>
      <c r="G510" s="17">
        <f>IF('Components Yr 1'!G510=0,0,'Components Yr 1'!G510)</f>
        <v>0</v>
      </c>
      <c r="H510" s="17">
        <f>IF('Components Yr 1'!H510=0,0,'Components Yr 1'!H510)</f>
        <v>0</v>
      </c>
      <c r="I510" s="17">
        <f>IF('Components Yr 1'!I510=0,0,'Components Yr 1'!I510)</f>
        <v>0</v>
      </c>
      <c r="J510" s="17">
        <f>IF('Components Yr 1'!J510=0,0,'Components Yr 1'!J510)</f>
        <v>0</v>
      </c>
      <c r="K510" s="12"/>
      <c r="L510" s="12"/>
      <c r="M510" s="12"/>
      <c r="N510" s="12"/>
      <c r="O510" s="12"/>
      <c r="P510" s="12"/>
      <c r="Q510" s="17"/>
      <c r="R510" s="18">
        <f>IF(SUMPRODUCT((E510:Q510)*1)=0,0,E510*INDEX(Hours!M:M,MATCH(C510,Hours!$A:$A,0))+F510*INDEX(Hours!B:B,MATCH(C510,Hours!$A:$A,0))+G510*INDEX(Hours!C:C,MATCH(C510,Hours!$A:$A,0))+H510*INDEX(Hours!D:D,MATCH(C510,Hours!$A:$A,0))+I510*INDEX(Hours!E:E,MATCH(C510,Hours!$A:$A,0))+J510*INDEX(Hours!F:F,MATCH(C510,Hours!$A:$A,0)))</f>
        <v>0</v>
      </c>
      <c r="S510" s="19">
        <f t="shared" si="15"/>
        <v>0</v>
      </c>
    </row>
    <row r="511" spans="1:19" x14ac:dyDescent="0.25">
      <c r="A511" s="15" t="str">
        <f>'Bldgs &amp; Rooms'!$A$15</f>
        <v>Main Bldg.</v>
      </c>
      <c r="B511" s="15">
        <f>'Bldgs &amp; Rooms'!$B$15</f>
        <v>0</v>
      </c>
      <c r="C511" s="14" t="str">
        <f>Hours!$A$30</f>
        <v>Variable Frequency Drives (VFD) 51-200 HP</v>
      </c>
      <c r="D511" s="15">
        <f t="shared" si="14"/>
        <v>0</v>
      </c>
      <c r="E511" s="16">
        <f>IF('Components Yr 1'!E511=0,0,'Components Yr 1'!E511)</f>
        <v>0</v>
      </c>
      <c r="F511" s="17">
        <f>IF('Components Yr 1'!F511=0,0,'Components Yr 1'!F511)</f>
        <v>0</v>
      </c>
      <c r="G511" s="17">
        <f>IF('Components Yr 1'!G511=0,0,'Components Yr 1'!G511)</f>
        <v>0</v>
      </c>
      <c r="H511" s="17">
        <f>IF('Components Yr 1'!H511=0,0,'Components Yr 1'!H511)</f>
        <v>0</v>
      </c>
      <c r="I511" s="17">
        <f>IF('Components Yr 1'!I511=0,0,'Components Yr 1'!I511)</f>
        <v>0</v>
      </c>
      <c r="J511" s="17">
        <f>IF('Components Yr 1'!J511=0,0,'Components Yr 1'!J511)</f>
        <v>0</v>
      </c>
      <c r="K511" s="12"/>
      <c r="L511" s="12"/>
      <c r="M511" s="12"/>
      <c r="N511" s="12"/>
      <c r="O511" s="12"/>
      <c r="P511" s="12"/>
      <c r="Q511" s="17"/>
      <c r="R511" s="18">
        <f>IF(SUMPRODUCT((E511:Q511)*1)=0,0,E511*INDEX(Hours!M:M,MATCH(C511,Hours!$A:$A,0))+F511*INDEX(Hours!B:B,MATCH(C511,Hours!$A:$A,0))+G511*INDEX(Hours!C:C,MATCH(C511,Hours!$A:$A,0))+H511*INDEX(Hours!D:D,MATCH(C511,Hours!$A:$A,0))+I511*INDEX(Hours!E:E,MATCH(C511,Hours!$A:$A,0))+J511*INDEX(Hours!F:F,MATCH(C511,Hours!$A:$A,0)))</f>
        <v>0</v>
      </c>
      <c r="S511" s="19">
        <f t="shared" si="15"/>
        <v>0</v>
      </c>
    </row>
    <row r="512" spans="1:19" x14ac:dyDescent="0.25">
      <c r="A512" s="15" t="str">
        <f>'Bldgs &amp; Rooms'!$A$15</f>
        <v>Main Bldg.</v>
      </c>
      <c r="B512" s="15">
        <f>'Bldgs &amp; Rooms'!$B$15</f>
        <v>0</v>
      </c>
      <c r="C512" s="14" t="str">
        <f>Hours!$A$31</f>
        <v>Motors &lt; 50 HP</v>
      </c>
      <c r="D512" s="15">
        <f t="shared" si="14"/>
        <v>0</v>
      </c>
      <c r="E512" s="16">
        <f>IF('Components Yr 1'!E512=0,0,'Components Yr 1'!E512)</f>
        <v>0</v>
      </c>
      <c r="F512" s="17">
        <f>IF('Components Yr 1'!F512=0,0,'Components Yr 1'!F512)</f>
        <v>0</v>
      </c>
      <c r="G512" s="17">
        <f>IF('Components Yr 1'!G512=0,0,'Components Yr 1'!G512)</f>
        <v>0</v>
      </c>
      <c r="H512" s="17">
        <f>IF('Components Yr 1'!H512=0,0,'Components Yr 1'!H512)</f>
        <v>0</v>
      </c>
      <c r="I512" s="17">
        <f>IF('Components Yr 1'!I512=0,0,'Components Yr 1'!I512)</f>
        <v>0</v>
      </c>
      <c r="J512" s="17">
        <f>IF('Components Yr 1'!J512=0,0,'Components Yr 1'!J512)</f>
        <v>0</v>
      </c>
      <c r="K512" s="12"/>
      <c r="L512" s="12"/>
      <c r="M512" s="12"/>
      <c r="N512" s="12"/>
      <c r="O512" s="12"/>
      <c r="P512" s="12"/>
      <c r="Q512" s="17"/>
      <c r="R512" s="18">
        <f>IF(SUMPRODUCT((E512:Q512)*1)=0,0,E512*INDEX(Hours!M:M,MATCH(C512,Hours!$A:$A,0))+F512*INDEX(Hours!B:B,MATCH(C512,Hours!$A:$A,0))+G512*INDEX(Hours!C:C,MATCH(C512,Hours!$A:$A,0))+H512*INDEX(Hours!D:D,MATCH(C512,Hours!$A:$A,0))+I512*INDEX(Hours!E:E,MATCH(C512,Hours!$A:$A,0))+J512*INDEX(Hours!F:F,MATCH(C512,Hours!$A:$A,0)))</f>
        <v>0</v>
      </c>
      <c r="S512" s="19">
        <f t="shared" si="15"/>
        <v>0</v>
      </c>
    </row>
    <row r="513" spans="1:19" x14ac:dyDescent="0.25">
      <c r="A513" s="15" t="str">
        <f>'Bldgs &amp; Rooms'!$A$15</f>
        <v>Main Bldg.</v>
      </c>
      <c r="B513" s="15">
        <f>'Bldgs &amp; Rooms'!$B$15</f>
        <v>0</v>
      </c>
      <c r="C513" s="14" t="str">
        <f>Hours!$A$32</f>
        <v>Motors 51-200 HP</v>
      </c>
      <c r="D513" s="15">
        <f t="shared" si="14"/>
        <v>0</v>
      </c>
      <c r="E513" s="16">
        <f>IF('Components Yr 1'!E513=0,0,'Components Yr 1'!E513)</f>
        <v>0</v>
      </c>
      <c r="F513" s="17">
        <f>IF('Components Yr 1'!F513=0,0,'Components Yr 1'!F513)</f>
        <v>0</v>
      </c>
      <c r="G513" s="17">
        <f>IF('Components Yr 1'!G513=0,0,'Components Yr 1'!G513)</f>
        <v>0</v>
      </c>
      <c r="H513" s="17">
        <f>IF('Components Yr 1'!H513=0,0,'Components Yr 1'!H513)</f>
        <v>0</v>
      </c>
      <c r="I513" s="17">
        <f>IF('Components Yr 1'!I513=0,0,'Components Yr 1'!I513)</f>
        <v>0</v>
      </c>
      <c r="J513" s="17">
        <f>IF('Components Yr 1'!J513=0,0,'Components Yr 1'!J513)</f>
        <v>0</v>
      </c>
      <c r="K513" s="12"/>
      <c r="L513" s="12"/>
      <c r="M513" s="12"/>
      <c r="N513" s="12"/>
      <c r="O513" s="12"/>
      <c r="P513" s="12"/>
      <c r="Q513" s="17"/>
      <c r="R513" s="18">
        <f>IF(SUMPRODUCT((E513:Q513)*1)=0,0,E513*INDEX(Hours!M:M,MATCH(C513,Hours!$A:$A,0))+F513*INDEX(Hours!B:B,MATCH(C513,Hours!$A:$A,0))+G513*INDEX(Hours!C:C,MATCH(C513,Hours!$A:$A,0))+H513*INDEX(Hours!D:D,MATCH(C513,Hours!$A:$A,0))+I513*INDEX(Hours!E:E,MATCH(C513,Hours!$A:$A,0))+J513*INDEX(Hours!F:F,MATCH(C513,Hours!$A:$A,0)))</f>
        <v>0</v>
      </c>
      <c r="S513" s="19">
        <f t="shared" si="15"/>
        <v>0</v>
      </c>
    </row>
    <row r="514" spans="1:19" x14ac:dyDescent="0.25">
      <c r="A514" s="15" t="str">
        <f>'Bldgs &amp; Rooms'!$A$15</f>
        <v>Main Bldg.</v>
      </c>
      <c r="B514" s="15">
        <f>'Bldgs &amp; Rooms'!$B$15</f>
        <v>0</v>
      </c>
      <c r="C514" s="14" t="str">
        <f>Hours!$A$33</f>
        <v>Motors 201-500 HP</v>
      </c>
      <c r="D514" s="15">
        <f t="shared" ref="D514:D577" si="16">MAX(E514+F514,G514,H514,I514,J514,K514,L514,M514,N514,O514,P514,Q514)</f>
        <v>0</v>
      </c>
      <c r="E514" s="16">
        <f>IF('Components Yr 1'!E514=0,0,'Components Yr 1'!E514)</f>
        <v>0</v>
      </c>
      <c r="F514" s="17">
        <f>IF('Components Yr 1'!F514=0,0,'Components Yr 1'!F514)</f>
        <v>0</v>
      </c>
      <c r="G514" s="17">
        <f>IF('Components Yr 1'!G514=0,0,'Components Yr 1'!G514)</f>
        <v>0</v>
      </c>
      <c r="H514" s="17">
        <f>IF('Components Yr 1'!H514=0,0,'Components Yr 1'!H514)</f>
        <v>0</v>
      </c>
      <c r="I514" s="17">
        <f>IF('Components Yr 1'!I514=0,0,'Components Yr 1'!I514)</f>
        <v>0</v>
      </c>
      <c r="J514" s="17">
        <f>IF('Components Yr 1'!J514=0,0,'Components Yr 1'!J514)</f>
        <v>0</v>
      </c>
      <c r="K514" s="12"/>
      <c r="L514" s="12"/>
      <c r="M514" s="12"/>
      <c r="N514" s="12"/>
      <c r="O514" s="12"/>
      <c r="P514" s="12"/>
      <c r="Q514" s="17"/>
      <c r="R514" s="18">
        <f>IF(SUMPRODUCT((E514:Q514)*1)=0,0,E514*INDEX(Hours!M:M,MATCH(C514,Hours!$A:$A,0))+F514*INDEX(Hours!B:B,MATCH(C514,Hours!$A:$A,0))+G514*INDEX(Hours!C:C,MATCH(C514,Hours!$A:$A,0))+H514*INDEX(Hours!D:D,MATCH(C514,Hours!$A:$A,0))+I514*INDEX(Hours!E:E,MATCH(C514,Hours!$A:$A,0))+J514*INDEX(Hours!F:F,MATCH(C514,Hours!$A:$A,0)))</f>
        <v>0</v>
      </c>
      <c r="S514" s="19">
        <f t="shared" ref="S514:S577" si="17">MAX(E514+F514,G514,H514,I514,J514,K514,L514,M514,N514,O514,P514,Q514)</f>
        <v>0</v>
      </c>
    </row>
    <row r="515" spans="1:19" x14ac:dyDescent="0.25">
      <c r="A515" s="15" t="str">
        <f>'Bldgs &amp; Rooms'!$A$15</f>
        <v>Main Bldg.</v>
      </c>
      <c r="B515" s="15">
        <f>'Bldgs &amp; Rooms'!$B$15</f>
        <v>0</v>
      </c>
      <c r="C515" s="14" t="str">
        <f>Hours!$A$34</f>
        <v>Compressed Air Equipment</v>
      </c>
      <c r="D515" s="15">
        <f t="shared" si="16"/>
        <v>0</v>
      </c>
      <c r="E515" s="16">
        <f>IF('Components Yr 1'!E515=0,0,'Components Yr 1'!E515)</f>
        <v>0</v>
      </c>
      <c r="F515" s="17">
        <f>IF('Components Yr 1'!F515=0,0,'Components Yr 1'!F515)</f>
        <v>0</v>
      </c>
      <c r="G515" s="17">
        <f>IF('Components Yr 1'!G515=0,0,'Components Yr 1'!G515)</f>
        <v>0</v>
      </c>
      <c r="H515" s="17">
        <f>IF('Components Yr 1'!H515=0,0,'Components Yr 1'!H515)</f>
        <v>0</v>
      </c>
      <c r="I515" s="17">
        <f>IF('Components Yr 1'!I515=0,0,'Components Yr 1'!I515)</f>
        <v>0</v>
      </c>
      <c r="J515" s="17">
        <f>IF('Components Yr 1'!J515=0,0,'Components Yr 1'!J515)</f>
        <v>0</v>
      </c>
      <c r="K515" s="12"/>
      <c r="L515" s="12"/>
      <c r="M515" s="12"/>
      <c r="N515" s="12"/>
      <c r="O515" s="12"/>
      <c r="P515" s="12"/>
      <c r="Q515" s="17"/>
      <c r="R515" s="18">
        <f>IF(SUMPRODUCT((E515:Q515)*1)=0,0,E515*INDEX(Hours!M:M,MATCH(C515,Hours!$A:$A,0))+F515*INDEX(Hours!B:B,MATCH(C515,Hours!$A:$A,0))+G515*INDEX(Hours!C:C,MATCH(C515,Hours!$A:$A,0))+H515*INDEX(Hours!D:D,MATCH(C515,Hours!$A:$A,0))+I515*INDEX(Hours!E:E,MATCH(C515,Hours!$A:$A,0))+J515*INDEX(Hours!F:F,MATCH(C515,Hours!$A:$A,0)))</f>
        <v>0</v>
      </c>
      <c r="S515" s="19">
        <f t="shared" si="17"/>
        <v>0</v>
      </c>
    </row>
    <row r="516" spans="1:19" x14ac:dyDescent="0.25">
      <c r="A516" s="15" t="str">
        <f>'Bldgs &amp; Rooms'!$A$15</f>
        <v>Main Bldg.</v>
      </c>
      <c r="B516" s="15">
        <f>'Bldgs &amp; Rooms'!$B$15</f>
        <v>0</v>
      </c>
      <c r="C516" s="14" t="str">
        <f>Hours!$A$35</f>
        <v>HVAC Equipment (Large)</v>
      </c>
      <c r="D516" s="15">
        <f t="shared" si="16"/>
        <v>0</v>
      </c>
      <c r="E516" s="16">
        <f>IF('Components Yr 1'!E516=0,0,'Components Yr 1'!E516)</f>
        <v>0</v>
      </c>
      <c r="F516" s="17">
        <f>IF('Components Yr 1'!F516=0,0,'Components Yr 1'!F516)</f>
        <v>0</v>
      </c>
      <c r="G516" s="17">
        <f>IF('Components Yr 1'!G516=0,0,'Components Yr 1'!G516)</f>
        <v>0</v>
      </c>
      <c r="H516" s="17">
        <f>IF('Components Yr 1'!H516=0,0,'Components Yr 1'!H516)</f>
        <v>0</v>
      </c>
      <c r="I516" s="17">
        <f>IF('Components Yr 1'!I516=0,0,'Components Yr 1'!I516)</f>
        <v>0</v>
      </c>
      <c r="J516" s="17">
        <f>IF('Components Yr 1'!J516=0,0,'Components Yr 1'!J516)</f>
        <v>0</v>
      </c>
      <c r="K516" s="12"/>
      <c r="L516" s="12"/>
      <c r="M516" s="12"/>
      <c r="N516" s="12"/>
      <c r="O516" s="12"/>
      <c r="P516" s="12"/>
      <c r="Q516" s="17"/>
      <c r="R516" s="18">
        <f>IF(SUMPRODUCT((E516:Q516)*1)=0,0,E516*INDEX(Hours!M:M,MATCH(C516,Hours!$A:$A,0))+F516*INDEX(Hours!B:B,MATCH(C516,Hours!$A:$A,0))+G516*INDEX(Hours!C:C,MATCH(C516,Hours!$A:$A,0))+H516*INDEX(Hours!D:D,MATCH(C516,Hours!$A:$A,0))+I516*INDEX(Hours!E:E,MATCH(C516,Hours!$A:$A,0))+J516*INDEX(Hours!F:F,MATCH(C516,Hours!$A:$A,0)))</f>
        <v>0</v>
      </c>
      <c r="S516" s="19">
        <f t="shared" si="17"/>
        <v>0</v>
      </c>
    </row>
    <row r="517" spans="1:19" x14ac:dyDescent="0.25">
      <c r="A517" s="15" t="str">
        <f>'Bldgs &amp; Rooms'!$A$15</f>
        <v>Main Bldg.</v>
      </c>
      <c r="B517" s="15">
        <f>'Bldgs &amp; Rooms'!$B$15</f>
        <v>0</v>
      </c>
      <c r="C517" s="14" t="str">
        <f>Hours!$A$36</f>
        <v>HVAC Equipment (Small)</v>
      </c>
      <c r="D517" s="15">
        <f t="shared" si="16"/>
        <v>0</v>
      </c>
      <c r="E517" s="16">
        <f>IF('Components Yr 1'!E517=0,0,'Components Yr 1'!E517)</f>
        <v>0</v>
      </c>
      <c r="F517" s="17">
        <f>IF('Components Yr 1'!F517=0,0,'Components Yr 1'!F517)</f>
        <v>0</v>
      </c>
      <c r="G517" s="17">
        <f>IF('Components Yr 1'!G517=0,0,'Components Yr 1'!G517)</f>
        <v>0</v>
      </c>
      <c r="H517" s="17">
        <f>IF('Components Yr 1'!H517=0,0,'Components Yr 1'!H517)</f>
        <v>0</v>
      </c>
      <c r="I517" s="17">
        <f>IF('Components Yr 1'!I517=0,0,'Components Yr 1'!I517)</f>
        <v>0</v>
      </c>
      <c r="J517" s="17">
        <f>IF('Components Yr 1'!J517=0,0,'Components Yr 1'!J517)</f>
        <v>0</v>
      </c>
      <c r="K517" s="12"/>
      <c r="L517" s="12"/>
      <c r="M517" s="12"/>
      <c r="N517" s="12"/>
      <c r="O517" s="12"/>
      <c r="P517" s="12"/>
      <c r="Q517" s="17"/>
      <c r="R517" s="18">
        <f>IF(SUMPRODUCT((E517:Q517)*1)=0,0,E517*INDEX(Hours!M:M,MATCH(C517,Hours!$A:$A,0))+F517*INDEX(Hours!B:B,MATCH(C517,Hours!$A:$A,0))+G517*INDEX(Hours!C:C,MATCH(C517,Hours!$A:$A,0))+H517*INDEX(Hours!D:D,MATCH(C517,Hours!$A:$A,0))+I517*INDEX(Hours!E:E,MATCH(C517,Hours!$A:$A,0))+J517*INDEX(Hours!F:F,MATCH(C517,Hours!$A:$A,0)))</f>
        <v>0</v>
      </c>
      <c r="S517" s="19">
        <f t="shared" si="17"/>
        <v>0</v>
      </c>
    </row>
    <row r="518" spans="1:19" x14ac:dyDescent="0.25">
      <c r="A518" s="15" t="str">
        <f>'Bldgs &amp; Rooms'!$A$15</f>
        <v>Main Bldg.</v>
      </c>
      <c r="B518" s="15">
        <f>'Bldgs &amp; Rooms'!$B$15</f>
        <v>0</v>
      </c>
      <c r="C518" s="14" t="str">
        <f>Hours!$A$37</f>
        <v>Uninterruptible Power Supply (UPS) &lt; 50kVA</v>
      </c>
      <c r="D518" s="15">
        <f t="shared" si="16"/>
        <v>0</v>
      </c>
      <c r="E518" s="16">
        <f>IF('Components Yr 1'!E518=0,0,'Components Yr 1'!E518)</f>
        <v>0</v>
      </c>
      <c r="F518" s="17">
        <f>IF('Components Yr 1'!F518=0,0,'Components Yr 1'!F518)</f>
        <v>0</v>
      </c>
      <c r="G518" s="17">
        <f>IF('Components Yr 1'!G518=0,0,'Components Yr 1'!G518)</f>
        <v>0</v>
      </c>
      <c r="H518" s="17">
        <f>IF('Components Yr 1'!H518=0,0,'Components Yr 1'!H518)</f>
        <v>0</v>
      </c>
      <c r="I518" s="17">
        <f>IF('Components Yr 1'!I518=0,0,'Components Yr 1'!I518)</f>
        <v>0</v>
      </c>
      <c r="J518" s="17">
        <f>IF('Components Yr 1'!J518=0,0,'Components Yr 1'!J518)</f>
        <v>0</v>
      </c>
      <c r="K518" s="12"/>
      <c r="L518" s="12"/>
      <c r="M518" s="12"/>
      <c r="N518" s="12"/>
      <c r="O518" s="12"/>
      <c r="P518" s="12"/>
      <c r="Q518" s="17"/>
      <c r="R518" s="18">
        <f>IF(SUMPRODUCT((E518:Q518)*1)=0,0,E518*INDEX(Hours!M:M,MATCH(C518,Hours!$A:$A,0))+F518*INDEX(Hours!B:B,MATCH(C518,Hours!$A:$A,0))+G518*INDEX(Hours!C:C,MATCH(C518,Hours!$A:$A,0))+H518*INDEX(Hours!D:D,MATCH(C518,Hours!$A:$A,0))+I518*INDEX(Hours!E:E,MATCH(C518,Hours!$A:$A,0))+J518*INDEX(Hours!F:F,MATCH(C518,Hours!$A:$A,0)))</f>
        <v>0</v>
      </c>
      <c r="S518" s="19">
        <f t="shared" si="17"/>
        <v>0</v>
      </c>
    </row>
    <row r="519" spans="1:19" x14ac:dyDescent="0.25">
      <c r="A519" s="15" t="str">
        <f>'Bldgs &amp; Rooms'!$A$15</f>
        <v>Main Bldg.</v>
      </c>
      <c r="B519" s="15">
        <f>'Bldgs &amp; Rooms'!$B$15</f>
        <v>0</v>
      </c>
      <c r="C519" s="14" t="str">
        <f>Hours!$A$38</f>
        <v>Uninterruptible Power Supply (UPS) &gt; 50kVA</v>
      </c>
      <c r="D519" s="15">
        <f t="shared" si="16"/>
        <v>0</v>
      </c>
      <c r="E519" s="16">
        <f>IF('Components Yr 1'!E519=0,0,'Components Yr 1'!E519)</f>
        <v>0</v>
      </c>
      <c r="F519" s="17">
        <f>IF('Components Yr 1'!F519=0,0,'Components Yr 1'!F519)</f>
        <v>0</v>
      </c>
      <c r="G519" s="17">
        <f>IF('Components Yr 1'!G519=0,0,'Components Yr 1'!G519)</f>
        <v>0</v>
      </c>
      <c r="H519" s="17">
        <f>IF('Components Yr 1'!H519=0,0,'Components Yr 1'!H519)</f>
        <v>0</v>
      </c>
      <c r="I519" s="17">
        <f>IF('Components Yr 1'!I519=0,0,'Components Yr 1'!I519)</f>
        <v>0</v>
      </c>
      <c r="J519" s="17">
        <f>IF('Components Yr 1'!J519=0,0,'Components Yr 1'!J519)</f>
        <v>0</v>
      </c>
      <c r="K519" s="12"/>
      <c r="L519" s="12"/>
      <c r="M519" s="12"/>
      <c r="N519" s="12"/>
      <c r="O519" s="12"/>
      <c r="P519" s="12"/>
      <c r="Q519" s="17"/>
      <c r="R519" s="18">
        <f>IF(SUMPRODUCT((E519:Q519)*1)=0,0,E519*INDEX(Hours!M:M,MATCH(C519,Hours!$A:$A,0))+F519*INDEX(Hours!B:B,MATCH(C519,Hours!$A:$A,0))+G519*INDEX(Hours!C:C,MATCH(C519,Hours!$A:$A,0))+H519*INDEX(Hours!D:D,MATCH(C519,Hours!$A:$A,0))+I519*INDEX(Hours!E:E,MATCH(C519,Hours!$A:$A,0))+J519*INDEX(Hours!F:F,MATCH(C519,Hours!$A:$A,0)))</f>
        <v>0</v>
      </c>
      <c r="S519" s="19">
        <f t="shared" si="17"/>
        <v>0</v>
      </c>
    </row>
    <row r="520" spans="1:19" x14ac:dyDescent="0.25">
      <c r="A520" s="11" t="str">
        <f>'Bldgs &amp; Rooms'!$A$16</f>
        <v>Main Bldg.</v>
      </c>
      <c r="B520" s="11">
        <f>'Bldgs &amp; Rooms'!$B$16</f>
        <v>0</v>
      </c>
      <c r="C520" s="10" t="str">
        <f>Hours!$A$2</f>
        <v>Switchgear - Incoming Main Service (Per Section)</v>
      </c>
      <c r="D520" s="11">
        <f t="shared" si="16"/>
        <v>0</v>
      </c>
      <c r="E520" s="16">
        <f>IF('Components Yr 1'!E520=0,0,'Components Yr 1'!E520)</f>
        <v>0</v>
      </c>
      <c r="F520" s="17">
        <f>IF('Components Yr 1'!F520=0,0,'Components Yr 1'!F520)</f>
        <v>0</v>
      </c>
      <c r="G520" s="17">
        <f>IF('Components Yr 1'!G520=0,0,'Components Yr 1'!G520)</f>
        <v>0</v>
      </c>
      <c r="H520" s="17">
        <f>IF('Components Yr 1'!H520=0,0,'Components Yr 1'!H520)</f>
        <v>0</v>
      </c>
      <c r="I520" s="17">
        <f>IF('Components Yr 1'!I520=0,0,'Components Yr 1'!I520)</f>
        <v>0</v>
      </c>
      <c r="J520" s="17">
        <f>IF('Components Yr 1'!J520=0,0,'Components Yr 1'!J520)</f>
        <v>0</v>
      </c>
      <c r="K520" s="17">
        <f>IF('Components Yr 1'!K520=0,0,'Components Yr 1'!K520)</f>
        <v>0</v>
      </c>
      <c r="L520" s="17">
        <f>IF('Components Yr 1'!L520=0,0,'Components Yr 1'!L520)</f>
        <v>0</v>
      </c>
      <c r="M520" s="12"/>
      <c r="N520" s="12"/>
      <c r="O520" s="17">
        <f>IF('Components Yr 1'!O520=0,0,'Components Yr 1'!O520)</f>
        <v>0</v>
      </c>
      <c r="P520" s="12"/>
      <c r="Q520" s="17"/>
      <c r="R520" s="18">
        <f>IF(SUMPRODUCT((E520:Q520)*1)=0,0,E520*INDEX(Hours!M:M,MATCH(C520,Hours!$A:$A,0))+F520*INDEX(Hours!B:B,MATCH(C520,Hours!$A:$A,0))+G520*INDEX(Hours!C:C,MATCH(C520,Hours!$A:$A,0))+H520*INDEX(Hours!D:D,MATCH(C520,Hours!$A:$A,0))+I520*INDEX(Hours!E:E,MATCH(C520,Hours!$A:$A,0))+J520*INDEX(Hours!F:F,MATCH(C520,Hours!$A:$A,0))+K520*INDEX(Hours!G:G,MATCH(C520,Hours!$A:$A,0))+L520*INDEX(Hours!H:H,MATCH(C520,Hours!$A:$A,0))+O520*INDEX(Hours!K:K,MATCH(C520,Hours!$A:$A,0)))</f>
        <v>0</v>
      </c>
      <c r="S520" s="19">
        <f t="shared" si="17"/>
        <v>0</v>
      </c>
    </row>
    <row r="521" spans="1:19" x14ac:dyDescent="0.25">
      <c r="A521" s="11" t="str">
        <f>'Bldgs &amp; Rooms'!$A$16</f>
        <v>Main Bldg.</v>
      </c>
      <c r="B521" s="11">
        <f>'Bldgs &amp; Rooms'!$B$16</f>
        <v>0</v>
      </c>
      <c r="C521" s="10" t="str">
        <f>Hours!$A$3</f>
        <v xml:space="preserve">  Switchgear Insulated Case Breakers (Bus Mounted)</v>
      </c>
      <c r="D521" s="11">
        <f t="shared" si="16"/>
        <v>0</v>
      </c>
      <c r="E521" s="16">
        <f>IF('Components Yr 1'!E521=0,0,'Components Yr 1'!E521)</f>
        <v>0</v>
      </c>
      <c r="F521" s="17">
        <f>IF('Components Yr 1'!F521=0,0,'Components Yr 1'!F521)</f>
        <v>0</v>
      </c>
      <c r="G521" s="17">
        <f>IF('Components Yr 1'!G521=0,0,'Components Yr 1'!G521)</f>
        <v>0</v>
      </c>
      <c r="H521" s="17">
        <f>IF('Components Yr 1'!H521=0,0,'Components Yr 1'!H521)</f>
        <v>0</v>
      </c>
      <c r="I521" s="17">
        <f>IF('Components Yr 1'!I521=0,0,'Components Yr 1'!I521)</f>
        <v>0</v>
      </c>
      <c r="J521" s="17">
        <f>IF('Components Yr 1'!J521=0,0,'Components Yr 1'!J521)</f>
        <v>0</v>
      </c>
      <c r="K521" s="17">
        <f>IF('Components Yr 1'!K521=0,0,'Components Yr 1'!K521)</f>
        <v>0</v>
      </c>
      <c r="L521" s="12"/>
      <c r="M521" s="12"/>
      <c r="N521" s="12"/>
      <c r="O521" s="12"/>
      <c r="P521" s="12"/>
      <c r="Q521" s="17"/>
      <c r="R521" s="18">
        <f>IF(SUMPRODUCT((E521:Q521)*1)=0,0,E521*INDEX(Hours!M:M,MATCH(C521,Hours!$A:$A,0))+F521*INDEX(Hours!B:B,MATCH(C521,Hours!$A:$A,0))+G521*INDEX(Hours!C:C,MATCH(C521,Hours!$A:$A,0))+H521*INDEX(Hours!D:D,MATCH(C521,Hours!$A:$A,0))+I521*INDEX(Hours!E:E,MATCH(C521,Hours!$A:$A,0))+J521*INDEX(Hours!F:F,MATCH(C521,Hours!$A:$A,0))+K521*INDEX(Hours!G:G,MATCH(C521,Hours!$A:$A,0)))</f>
        <v>0</v>
      </c>
      <c r="S521" s="19">
        <f t="shared" si="17"/>
        <v>0</v>
      </c>
    </row>
    <row r="522" spans="1:19" x14ac:dyDescent="0.25">
      <c r="A522" s="11" t="str">
        <f>'Bldgs &amp; Rooms'!$A$16</f>
        <v>Main Bldg.</v>
      </c>
      <c r="B522" s="11">
        <f>'Bldgs &amp; Rooms'!$B$16</f>
        <v>0</v>
      </c>
      <c r="C522" s="10" t="str">
        <f>Hours!$A$4</f>
        <v xml:space="preserve">  SwitchGear Drawout Breakers</v>
      </c>
      <c r="D522" s="11">
        <f t="shared" si="16"/>
        <v>0</v>
      </c>
      <c r="E522" s="16">
        <f>IF('Components Yr 1'!E522=0,0,'Components Yr 1'!E522)</f>
        <v>0</v>
      </c>
      <c r="F522" s="17">
        <f>IF('Components Yr 1'!F522=0,0,'Components Yr 1'!F522)</f>
        <v>0</v>
      </c>
      <c r="G522" s="17">
        <f>IF('Components Yr 1'!G522=0,0,'Components Yr 1'!G522)</f>
        <v>0</v>
      </c>
      <c r="H522" s="17">
        <f>IF('Components Yr 1'!H522=0,0,'Components Yr 1'!H522)</f>
        <v>0</v>
      </c>
      <c r="I522" s="17">
        <f>IF('Components Yr 1'!I522=0,0,'Components Yr 1'!I522)</f>
        <v>0</v>
      </c>
      <c r="J522" s="17">
        <f>IF('Components Yr 1'!J522=0,0,'Components Yr 1'!J522)</f>
        <v>0</v>
      </c>
      <c r="K522" s="12"/>
      <c r="L522" s="17">
        <f>IF('Components Yr 1'!L522=0,0,'Components Yr 1'!L522)</f>
        <v>0</v>
      </c>
      <c r="M522" s="12"/>
      <c r="N522" s="12"/>
      <c r="O522" s="12"/>
      <c r="P522" s="12"/>
      <c r="Q522" s="17"/>
      <c r="R522" s="18">
        <f>IF(SUMPRODUCT((E522:Q522)*1)=0,0,E522*INDEX(Hours!M:M,MATCH(C522,Hours!$A:$A,0))+F522*INDEX(Hours!B:B,MATCH(C522,Hours!$A:$A,0))+G522*INDEX(Hours!C:C,MATCH(C522,Hours!$A:$A,0))+H522*INDEX(Hours!D:D,MATCH(C522,Hours!$A:$A,0))+I522*INDEX(Hours!E:E,MATCH(C522,Hours!$A:$A,0))+J522*INDEX(Hours!F:F,MATCH(C522,Hours!$A:$A,0))+L522*INDEX(Hours!H:H,MATCH(C522,Hours!$A:$A,0)))</f>
        <v>0</v>
      </c>
      <c r="S522" s="19">
        <f t="shared" si="17"/>
        <v>0</v>
      </c>
    </row>
    <row r="523" spans="1:19" x14ac:dyDescent="0.25">
      <c r="A523" s="11" t="str">
        <f>'Bldgs &amp; Rooms'!$A$16</f>
        <v>Main Bldg.</v>
      </c>
      <c r="B523" s="11">
        <f>'Bldgs &amp; Rooms'!$B$16</f>
        <v>0</v>
      </c>
      <c r="C523" s="10" t="str">
        <f>Hours!$A$5</f>
        <v>Distribution Switchboard Multi Cover (Per Section)</v>
      </c>
      <c r="D523" s="11">
        <f t="shared" si="16"/>
        <v>0</v>
      </c>
      <c r="E523" s="16">
        <f>IF('Components Yr 1'!E523=0,0,'Components Yr 1'!E523)</f>
        <v>0</v>
      </c>
      <c r="F523" s="17">
        <f>IF('Components Yr 1'!F523=0,0,'Components Yr 1'!F523)</f>
        <v>0</v>
      </c>
      <c r="G523" s="17">
        <f>IF('Components Yr 1'!G523=0,0,'Components Yr 1'!G523)</f>
        <v>0</v>
      </c>
      <c r="H523" s="17">
        <f>IF('Components Yr 1'!H523=0,0,'Components Yr 1'!H523)</f>
        <v>0</v>
      </c>
      <c r="I523" s="17">
        <f>IF('Components Yr 1'!I523=0,0,'Components Yr 1'!I523)</f>
        <v>0</v>
      </c>
      <c r="J523" s="17">
        <f>IF('Components Yr 1'!J523=0,0,'Components Yr 1'!J523)</f>
        <v>0</v>
      </c>
      <c r="K523" s="17">
        <f>IF('Components Yr 1'!K523=0,0,'Components Yr 1'!K523)</f>
        <v>0</v>
      </c>
      <c r="L523" s="12"/>
      <c r="M523" s="12"/>
      <c r="N523" s="12"/>
      <c r="O523" s="17">
        <f>IF('Components Yr 1'!O523=0,0,'Components Yr 1'!O523)</f>
        <v>0</v>
      </c>
      <c r="P523" s="12"/>
      <c r="Q523" s="17"/>
      <c r="R523" s="18">
        <f>IF(SUMPRODUCT((E523:Q523)*1)=0,0,E523*INDEX(Hours!M:M,MATCH(C523,Hours!$A:$A,0))+F523*INDEX(Hours!B:B,MATCH(C523,Hours!$A:$A,0))+G523*INDEX(Hours!C:C,MATCH(C523,Hours!$A:$A,0))+H523*INDEX(Hours!D:D,MATCH(C523,Hours!$A:$A,0))+I523*INDEX(Hours!E:E,MATCH(C523,Hours!$A:$A,0))+J523*INDEX(Hours!F:F,MATCH(C523,Hours!$A:$A,0))+K523*INDEX(Hours!G:G,MATCH(C523,Hours!$A:$A,0))+O523*INDEX(Hours!K:K,MATCH(C523,Hours!$A:$A,0)))</f>
        <v>0</v>
      </c>
      <c r="S523" s="19">
        <f t="shared" si="17"/>
        <v>0</v>
      </c>
    </row>
    <row r="524" spans="1:19" x14ac:dyDescent="0.25">
      <c r="A524" s="11" t="str">
        <f>'Bldgs &amp; Rooms'!$A$16</f>
        <v>Main Bldg.</v>
      </c>
      <c r="B524" s="11">
        <f>'Bldgs &amp; Rooms'!$B$16</f>
        <v>0</v>
      </c>
      <c r="C524" s="10" t="str">
        <f>Hours!$A$6</f>
        <v xml:space="preserve">  Switchboard Disconnects</v>
      </c>
      <c r="D524" s="11">
        <f t="shared" si="16"/>
        <v>0</v>
      </c>
      <c r="E524" s="16">
        <f>IF('Components Yr 1'!E524=0,0,'Components Yr 1'!E524)</f>
        <v>0</v>
      </c>
      <c r="F524" s="17">
        <f>IF('Components Yr 1'!F524=0,0,'Components Yr 1'!F524)</f>
        <v>0</v>
      </c>
      <c r="G524" s="17">
        <f>IF('Components Yr 1'!G524=0,0,'Components Yr 1'!G524)</f>
        <v>0</v>
      </c>
      <c r="H524" s="17">
        <f>IF('Components Yr 1'!H524=0,0,'Components Yr 1'!H524)</f>
        <v>0</v>
      </c>
      <c r="I524" s="17">
        <f>IF('Components Yr 1'!I524=0,0,'Components Yr 1'!I524)</f>
        <v>0</v>
      </c>
      <c r="J524" s="17">
        <f>IF('Components Yr 1'!J524=0,0,'Components Yr 1'!J524)</f>
        <v>0</v>
      </c>
      <c r="K524" s="12"/>
      <c r="L524" s="12"/>
      <c r="M524" s="12"/>
      <c r="N524" s="12"/>
      <c r="O524" s="12"/>
      <c r="P524" s="12"/>
      <c r="Q524" s="17"/>
      <c r="R524" s="18">
        <f>IF(SUMPRODUCT((E524:Q524)*1)=0,0,E524*INDEX(Hours!M:M,MATCH(C524,Hours!$A:$A,0))+F524*INDEX(Hours!B:B,MATCH(C524,Hours!$A:$A,0))+G524*INDEX(Hours!C:C,MATCH(C524,Hours!$A:$A,0))+H524*INDEX(Hours!D:D,MATCH(C524,Hours!$A:$A,0))+I524*INDEX(Hours!E:E,MATCH(C524,Hours!$A:$A,0))+J524*INDEX(Hours!F:F,MATCH(C524,Hours!$A:$A,0)))</f>
        <v>0</v>
      </c>
      <c r="S524" s="19">
        <f t="shared" si="17"/>
        <v>0</v>
      </c>
    </row>
    <row r="525" spans="1:19" x14ac:dyDescent="0.25">
      <c r="A525" s="11" t="str">
        <f>'Bldgs &amp; Rooms'!$A$16</f>
        <v>Main Bldg.</v>
      </c>
      <c r="B525" s="11">
        <f>'Bldgs &amp; Rooms'!$B$16</f>
        <v>0</v>
      </c>
      <c r="C525" s="10" t="str">
        <f>Hours!$A$7</f>
        <v xml:space="preserve">  Switchboard Molded Case Breakers</v>
      </c>
      <c r="D525" s="11">
        <f t="shared" si="16"/>
        <v>0</v>
      </c>
      <c r="E525" s="16">
        <f>IF('Components Yr 1'!E525=0,0,'Components Yr 1'!E525)</f>
        <v>0</v>
      </c>
      <c r="F525" s="17">
        <f>IF('Components Yr 1'!F525=0,0,'Components Yr 1'!F525)</f>
        <v>0</v>
      </c>
      <c r="G525" s="17">
        <f>IF('Components Yr 1'!G525=0,0,'Components Yr 1'!G525)</f>
        <v>0</v>
      </c>
      <c r="H525" s="17">
        <f>IF('Components Yr 1'!H525=0,0,'Components Yr 1'!H525)</f>
        <v>0</v>
      </c>
      <c r="I525" s="17">
        <f>IF('Components Yr 1'!I525=0,0,'Components Yr 1'!I525)</f>
        <v>0</v>
      </c>
      <c r="J525" s="17">
        <f>IF('Components Yr 1'!J525=0,0,'Components Yr 1'!J525)</f>
        <v>0</v>
      </c>
      <c r="K525" s="17">
        <f>IF('Components Yr 1'!K525=0,0,'Components Yr 1'!K525)</f>
        <v>0</v>
      </c>
      <c r="L525" s="12"/>
      <c r="M525" s="12"/>
      <c r="N525" s="12"/>
      <c r="O525" s="12"/>
      <c r="P525" s="12"/>
      <c r="Q525" s="17"/>
      <c r="R525" s="18">
        <f>IF(SUMPRODUCT((E525:Q525)*1)=0,0,E525*INDEX(Hours!M:M,MATCH(C525,Hours!$A:$A,0))+F525*INDEX(Hours!B:B,MATCH(C525,Hours!$A:$A,0))+G525*INDEX(Hours!C:C,MATCH(C525,Hours!$A:$A,0))+H525*INDEX(Hours!D:D,MATCH(C525,Hours!$A:$A,0))+I525*INDEX(Hours!E:E,MATCH(C525,Hours!$A:$A,0))+J525*INDEX(Hours!F:F,MATCH(C525,Hours!$A:$A,0))+K525*INDEX(Hours!G:G,MATCH(C525,Hours!$A:$A,0)))</f>
        <v>0</v>
      </c>
      <c r="S525" s="19">
        <f t="shared" si="17"/>
        <v>0</v>
      </c>
    </row>
    <row r="526" spans="1:19" x14ac:dyDescent="0.25">
      <c r="A526" s="11" t="str">
        <f>'Bldgs &amp; Rooms'!$A$16</f>
        <v>Main Bldg.</v>
      </c>
      <c r="B526" s="11">
        <f>'Bldgs &amp; Rooms'!$B$16</f>
        <v>0</v>
      </c>
      <c r="C526" s="10" t="str">
        <f>Hours!$A$8</f>
        <v>Panelboard-Single Cover &gt; 400A (Distribution Panel)</v>
      </c>
      <c r="D526" s="11">
        <f t="shared" si="16"/>
        <v>0</v>
      </c>
      <c r="E526" s="16">
        <f>IF('Components Yr 1'!E526=0,0,'Components Yr 1'!E526)</f>
        <v>0</v>
      </c>
      <c r="F526" s="17">
        <f>IF('Components Yr 1'!F526=0,0,'Components Yr 1'!F526)</f>
        <v>0</v>
      </c>
      <c r="G526" s="17">
        <f>IF('Components Yr 1'!G526=0,0,'Components Yr 1'!G526)</f>
        <v>0</v>
      </c>
      <c r="H526" s="17">
        <f>IF('Components Yr 1'!H526=0,0,'Components Yr 1'!H526)</f>
        <v>0</v>
      </c>
      <c r="I526" s="17">
        <f>IF('Components Yr 1'!I526=0,0,'Components Yr 1'!I526)</f>
        <v>0</v>
      </c>
      <c r="J526" s="17">
        <f>IF('Components Yr 1'!J526=0,0,'Components Yr 1'!J526)</f>
        <v>0</v>
      </c>
      <c r="K526" s="17">
        <f>IF('Components Yr 1'!K526=0,0,'Components Yr 1'!K526)</f>
        <v>0</v>
      </c>
      <c r="L526" s="12"/>
      <c r="M526" s="12"/>
      <c r="N526" s="12"/>
      <c r="O526" s="17">
        <f>IF('Components Yr 1'!O526=0,0,'Components Yr 1'!O526)</f>
        <v>0</v>
      </c>
      <c r="P526" s="12"/>
      <c r="Q526" s="17"/>
      <c r="R526" s="18">
        <f>IF(SUMPRODUCT((E526:Q526)*1)=0,0,E526*INDEX(Hours!M:M,MATCH(C526,Hours!$A:$A,0))+F526*INDEX(Hours!B:B,MATCH(C526,Hours!$A:$A,0))+G526*INDEX(Hours!C:C,MATCH(C526,Hours!$A:$A,0))+H526*INDEX(Hours!D:D,MATCH(C526,Hours!$A:$A,0))+I526*INDEX(Hours!E:E,MATCH(C526,Hours!$A:$A,0))+J526*INDEX(Hours!F:F,MATCH(C526,Hours!$A:$A,0))+K526*INDEX(Hours!G:G,MATCH(C526,Hours!$A:$A,0))+O526*INDEX(Hours!K:K,MATCH(C526,Hours!$A:$A,0)))</f>
        <v>0</v>
      </c>
      <c r="S526" s="19">
        <f t="shared" si="17"/>
        <v>0</v>
      </c>
    </row>
    <row r="527" spans="1:19" x14ac:dyDescent="0.25">
      <c r="A527" s="11" t="str">
        <f>'Bldgs &amp; Rooms'!$A$16</f>
        <v>Main Bldg.</v>
      </c>
      <c r="B527" s="11">
        <f>'Bldgs &amp; Rooms'!$B$16</f>
        <v>0</v>
      </c>
      <c r="C527" s="10" t="str">
        <f>Hours!$A$9</f>
        <v>Panelboard-Single Cover &lt; 400A (Branch Ckt Panel)</v>
      </c>
      <c r="D527" s="11">
        <f t="shared" si="16"/>
        <v>0</v>
      </c>
      <c r="E527" s="16">
        <f>IF('Components Yr 1'!E527=0,0,'Components Yr 1'!E527)</f>
        <v>0</v>
      </c>
      <c r="F527" s="17">
        <f>IF('Components Yr 1'!F527=0,0,'Components Yr 1'!F527)</f>
        <v>0</v>
      </c>
      <c r="G527" s="17">
        <f>IF('Components Yr 1'!G527=0,0,'Components Yr 1'!G527)</f>
        <v>0</v>
      </c>
      <c r="H527" s="17">
        <f>IF('Components Yr 1'!H527=0,0,'Components Yr 1'!H527)</f>
        <v>0</v>
      </c>
      <c r="I527" s="17">
        <f>IF('Components Yr 1'!I527=0,0,'Components Yr 1'!I527)</f>
        <v>0</v>
      </c>
      <c r="J527" s="17">
        <f>IF('Components Yr 1'!J527=0,0,'Components Yr 1'!J527)</f>
        <v>0</v>
      </c>
      <c r="K527" s="12"/>
      <c r="L527" s="12"/>
      <c r="M527" s="12"/>
      <c r="N527" s="12"/>
      <c r="O527" s="17">
        <f>IF('Components Yr 1'!O527=0,0,'Components Yr 1'!O527)</f>
        <v>0</v>
      </c>
      <c r="P527" s="12"/>
      <c r="Q527" s="17"/>
      <c r="R527" s="18">
        <f>IF(SUMPRODUCT((E527:Q527)*1)=0,0,E527*INDEX(Hours!M:M,MATCH(C527,Hours!$A:$A,0))+F527*INDEX(Hours!B:B,MATCH(C527,Hours!$A:$A,0))+G527*INDEX(Hours!C:C,MATCH(C527,Hours!$A:$A,0))+H527*INDEX(Hours!D:D,MATCH(C527,Hours!$A:$A,0))+I527*INDEX(Hours!E:E,MATCH(C527,Hours!$A:$A,0))+J527*INDEX(Hours!F:F,MATCH(C527,Hours!$A:$A,0))+O527*INDEX(Hours!K:K,MATCH(C527,Hours!$A:$A,0)))</f>
        <v>0</v>
      </c>
      <c r="S527" s="19">
        <f t="shared" si="17"/>
        <v>0</v>
      </c>
    </row>
    <row r="528" spans="1:19" x14ac:dyDescent="0.25">
      <c r="A528" s="11" t="str">
        <f>'Bldgs &amp; Rooms'!$A$16</f>
        <v>Main Bldg.</v>
      </c>
      <c r="B528" s="11">
        <f>'Bldgs &amp; Rooms'!$B$16</f>
        <v>0</v>
      </c>
      <c r="C528" s="10" t="str">
        <f>Hours!$A$10</f>
        <v>Motor Control Center (MCC-Per Vertical Section)</v>
      </c>
      <c r="D528" s="11">
        <f t="shared" si="16"/>
        <v>0</v>
      </c>
      <c r="E528" s="16">
        <f>IF('Components Yr 1'!E528=0,0,'Components Yr 1'!E528)</f>
        <v>0</v>
      </c>
      <c r="F528" s="17">
        <f>IF('Components Yr 1'!F528=0,0,'Components Yr 1'!F528)</f>
        <v>0</v>
      </c>
      <c r="G528" s="17">
        <f>IF('Components Yr 1'!G528=0,0,'Components Yr 1'!G528)</f>
        <v>0</v>
      </c>
      <c r="H528" s="17">
        <f>IF('Components Yr 1'!H528=0,0,'Components Yr 1'!H528)</f>
        <v>0</v>
      </c>
      <c r="I528" s="17">
        <f>IF('Components Yr 1'!I528=0,0,'Components Yr 1'!I528)</f>
        <v>0</v>
      </c>
      <c r="J528" s="17">
        <f>IF('Components Yr 1'!J528=0,0,'Components Yr 1'!J528)</f>
        <v>0</v>
      </c>
      <c r="K528" s="12"/>
      <c r="L528" s="12"/>
      <c r="M528" s="12"/>
      <c r="N528" s="12"/>
      <c r="O528" s="17">
        <f>IF('Components Yr 1'!O528=0,0,'Components Yr 1'!O528)</f>
        <v>0</v>
      </c>
      <c r="P528" s="12"/>
      <c r="Q528" s="17"/>
      <c r="R528" s="18">
        <f>IF(SUMPRODUCT((E528:Q528)*1)=0,0,E528*INDEX(Hours!M:M,MATCH(C528,Hours!$A:$A,0))+F528*INDEX(Hours!B:B,MATCH(C528,Hours!$A:$A,0))+G528*INDEX(Hours!C:C,MATCH(C528,Hours!$A:$A,0))+H528*INDEX(Hours!D:D,MATCH(C528,Hours!$A:$A,0))+I528*INDEX(Hours!E:E,MATCH(C528,Hours!$A:$A,0))+J528*INDEX(Hours!F:F,MATCH(C528,Hours!$A:$A,0))+O528*INDEX(Hours!K:K,MATCH(C528,Hours!$A:$A,0)))</f>
        <v>0</v>
      </c>
      <c r="S528" s="19">
        <f t="shared" si="17"/>
        <v>0</v>
      </c>
    </row>
    <row r="529" spans="1:19" x14ac:dyDescent="0.25">
      <c r="A529" s="11" t="str">
        <f>'Bldgs &amp; Rooms'!$A$16</f>
        <v>Main Bldg.</v>
      </c>
      <c r="B529" s="11">
        <f>'Bldgs &amp; Rooms'!$B$16</f>
        <v>0</v>
      </c>
      <c r="C529" s="10" t="str">
        <f>Hours!$A$11</f>
        <v xml:space="preserve">  MCC: Combination Motor Starters</v>
      </c>
      <c r="D529" s="11">
        <f t="shared" si="16"/>
        <v>0</v>
      </c>
      <c r="E529" s="16">
        <f>IF('Components Yr 1'!E529=0,0,'Components Yr 1'!E529)</f>
        <v>0</v>
      </c>
      <c r="F529" s="17">
        <f>IF('Components Yr 1'!F529=0,0,'Components Yr 1'!F529)</f>
        <v>0</v>
      </c>
      <c r="G529" s="17">
        <f>IF('Components Yr 1'!G529=0,0,'Components Yr 1'!G529)</f>
        <v>0</v>
      </c>
      <c r="H529" s="17">
        <f>IF('Components Yr 1'!H529=0,0,'Components Yr 1'!H529)</f>
        <v>0</v>
      </c>
      <c r="I529" s="17">
        <f>IF('Components Yr 1'!I529=0,0,'Components Yr 1'!I529)</f>
        <v>0</v>
      </c>
      <c r="J529" s="17">
        <f>IF('Components Yr 1'!J529=0,0,'Components Yr 1'!J529)</f>
        <v>0</v>
      </c>
      <c r="K529" s="17">
        <f>IF('Components Yr 1'!K529=0,0,'Components Yr 1'!K529)</f>
        <v>0</v>
      </c>
      <c r="L529" s="12"/>
      <c r="M529" s="12"/>
      <c r="N529" s="12"/>
      <c r="O529" s="17">
        <f>IF('Components Yr 1'!O529=0,0,'Components Yr 1'!O529)</f>
        <v>0</v>
      </c>
      <c r="P529" s="12"/>
      <c r="Q529" s="17"/>
      <c r="R529" s="18">
        <f>IF(SUMPRODUCT((E529:Q529)*1)=0,0,E529*INDEX(Hours!M:M,MATCH(C529,Hours!$A:$A,0))+F529*INDEX(Hours!B:B,MATCH(C529,Hours!$A:$A,0))+G529*INDEX(Hours!C:C,MATCH(C529,Hours!$A:$A,0))+H529*INDEX(Hours!D:D,MATCH(C529,Hours!$A:$A,0))+I529*INDEX(Hours!E:E,MATCH(C529,Hours!$A:$A,0))+J529*INDEX(Hours!F:F,MATCH(C529,Hours!$A:$A,0))+K529*INDEX(Hours!G:G,MATCH(C529,Hours!$A:$A,0))+O529*INDEX(Hours!K:K,MATCH(C529,Hours!$A:$A,0)))</f>
        <v>0</v>
      </c>
      <c r="S529" s="19">
        <f t="shared" si="17"/>
        <v>0</v>
      </c>
    </row>
    <row r="530" spans="1:19" x14ac:dyDescent="0.25">
      <c r="A530" s="11" t="str">
        <f>'Bldgs &amp; Rooms'!$A$16</f>
        <v>Main Bldg.</v>
      </c>
      <c r="B530" s="11">
        <f>'Bldgs &amp; Rooms'!$B$16</f>
        <v>0</v>
      </c>
      <c r="C530" s="10" t="str">
        <f>Hours!$A$12</f>
        <v xml:space="preserve">  MCC: Molded Case Breaker</v>
      </c>
      <c r="D530" s="11">
        <f t="shared" si="16"/>
        <v>0</v>
      </c>
      <c r="E530" s="16">
        <f>IF('Components Yr 1'!E530=0,0,'Components Yr 1'!E530)</f>
        <v>0</v>
      </c>
      <c r="F530" s="17">
        <f>IF('Components Yr 1'!F530=0,0,'Components Yr 1'!F530)</f>
        <v>0</v>
      </c>
      <c r="G530" s="17">
        <f>IF('Components Yr 1'!G530=0,0,'Components Yr 1'!G530)</f>
        <v>0</v>
      </c>
      <c r="H530" s="17">
        <f>IF('Components Yr 1'!H530=0,0,'Components Yr 1'!H530)</f>
        <v>0</v>
      </c>
      <c r="I530" s="17">
        <f>IF('Components Yr 1'!I530=0,0,'Components Yr 1'!I530)</f>
        <v>0</v>
      </c>
      <c r="J530" s="17">
        <f>IF('Components Yr 1'!J530=0,0,'Components Yr 1'!J530)</f>
        <v>0</v>
      </c>
      <c r="K530" s="17">
        <f>IF('Components Yr 1'!K530=0,0,'Components Yr 1'!K530)</f>
        <v>0</v>
      </c>
      <c r="L530" s="12"/>
      <c r="M530" s="12"/>
      <c r="N530" s="12"/>
      <c r="O530" s="12"/>
      <c r="P530" s="12"/>
      <c r="Q530" s="17"/>
      <c r="R530" s="18">
        <f>IF(SUMPRODUCT((E530:Q530)*1)=0,0,E530*INDEX(Hours!M:M,MATCH(C530,Hours!$A:$A,0))+F530*INDEX(Hours!B:B,MATCH(C530,Hours!$A:$A,0))+G530*INDEX(Hours!C:C,MATCH(C530,Hours!$A:$A,0))+H530*INDEX(Hours!D:D,MATCH(C530,Hours!$A:$A,0))+I530*INDEX(Hours!E:E,MATCH(C530,Hours!$A:$A,0))+J530*INDEX(Hours!F:F,MATCH(C530,Hours!$A:$A,0))+K530*INDEX(Hours!G:G,MATCH(C530,Hours!$A:$A,0)))</f>
        <v>0</v>
      </c>
      <c r="S530" s="19">
        <f t="shared" si="17"/>
        <v>0</v>
      </c>
    </row>
    <row r="531" spans="1:19" x14ac:dyDescent="0.25">
      <c r="A531" s="11" t="str">
        <f>'Bldgs &amp; Rooms'!$A$16</f>
        <v>Main Bldg.</v>
      </c>
      <c r="B531" s="11">
        <f>'Bldgs &amp; Rooms'!$B$16</f>
        <v>0</v>
      </c>
      <c r="C531" s="10" t="str">
        <f>Hours!$A$13</f>
        <v xml:space="preserve">  MCC: Individual Disconnect Switch</v>
      </c>
      <c r="D531" s="11">
        <f t="shared" si="16"/>
        <v>0</v>
      </c>
      <c r="E531" s="16">
        <f>IF('Components Yr 1'!E531=0,0,'Components Yr 1'!E531)</f>
        <v>0</v>
      </c>
      <c r="F531" s="17">
        <f>IF('Components Yr 1'!F531=0,0,'Components Yr 1'!F531)</f>
        <v>0</v>
      </c>
      <c r="G531" s="17">
        <f>IF('Components Yr 1'!G531=0,0,'Components Yr 1'!G531)</f>
        <v>0</v>
      </c>
      <c r="H531" s="17">
        <f>IF('Components Yr 1'!H531=0,0,'Components Yr 1'!H531)</f>
        <v>0</v>
      </c>
      <c r="I531" s="17">
        <f>IF('Components Yr 1'!I531=0,0,'Components Yr 1'!I531)</f>
        <v>0</v>
      </c>
      <c r="J531" s="17">
        <f>IF('Components Yr 1'!J531=0,0,'Components Yr 1'!J531)</f>
        <v>0</v>
      </c>
      <c r="K531" s="12"/>
      <c r="L531" s="12"/>
      <c r="M531" s="12"/>
      <c r="N531" s="12"/>
      <c r="O531" s="12"/>
      <c r="P531" s="12"/>
      <c r="Q531" s="17"/>
      <c r="R531" s="18">
        <f>IF(SUMPRODUCT((E531:Q531)*1)=0,0,E531*INDEX(Hours!M:M,MATCH(C531,Hours!$A:$A,0))+F531*INDEX(Hours!B:B,MATCH(C531,Hours!$A:$A,0))+G531*INDEX(Hours!C:C,MATCH(C531,Hours!$A:$A,0))+H531*INDEX(Hours!D:D,MATCH(C531,Hours!$A:$A,0))+I531*INDEX(Hours!E:E,MATCH(C531,Hours!$A:$A,0))+J531*INDEX(Hours!F:F,MATCH(C531,Hours!$A:$A,0)))</f>
        <v>0</v>
      </c>
      <c r="S531" s="19">
        <f t="shared" si="17"/>
        <v>0</v>
      </c>
    </row>
    <row r="532" spans="1:19" x14ac:dyDescent="0.25">
      <c r="A532" s="11" t="str">
        <f>'Bldgs &amp; Rooms'!$A$16</f>
        <v>Main Bldg.</v>
      </c>
      <c r="B532" s="11">
        <f>'Bldgs &amp; Rooms'!$B$16</f>
        <v>0</v>
      </c>
      <c r="C532" s="10" t="str">
        <f>Hours!$A$14</f>
        <v>Motor Control Panel (MCP)</v>
      </c>
      <c r="D532" s="11">
        <f t="shared" si="16"/>
        <v>0</v>
      </c>
      <c r="E532" s="16">
        <f>IF('Components Yr 1'!E532=0,0,'Components Yr 1'!E532)</f>
        <v>0</v>
      </c>
      <c r="F532" s="17">
        <f>IF('Components Yr 1'!F532=0,0,'Components Yr 1'!F532)</f>
        <v>0</v>
      </c>
      <c r="G532" s="17">
        <f>IF('Components Yr 1'!G532=0,0,'Components Yr 1'!G532)</f>
        <v>0</v>
      </c>
      <c r="H532" s="17">
        <f>IF('Components Yr 1'!H532=0,0,'Components Yr 1'!H532)</f>
        <v>0</v>
      </c>
      <c r="I532" s="17">
        <f>IF('Components Yr 1'!I532=0,0,'Components Yr 1'!I532)</f>
        <v>0</v>
      </c>
      <c r="J532" s="17">
        <f>IF('Components Yr 1'!J532=0,0,'Components Yr 1'!J532)</f>
        <v>0</v>
      </c>
      <c r="K532" s="12"/>
      <c r="L532" s="12"/>
      <c r="M532" s="12"/>
      <c r="N532" s="12"/>
      <c r="O532" s="17">
        <f>IF('Components Yr 1'!O532=0,0,'Components Yr 1'!O532)</f>
        <v>0</v>
      </c>
      <c r="P532" s="12"/>
      <c r="Q532" s="17"/>
      <c r="R532" s="18">
        <f>IF(SUMPRODUCT((E532:Q532)*1)=0,0,E532*INDEX(Hours!M:M,MATCH(C532,Hours!$A:$A,0))+F532*INDEX(Hours!B:B,MATCH(C532,Hours!$A:$A,0))+G532*INDEX(Hours!C:C,MATCH(C532,Hours!$A:$A,0))+H532*INDEX(Hours!D:D,MATCH(C532,Hours!$A:$A,0))+I532*INDEX(Hours!E:E,MATCH(C532,Hours!$A:$A,0))+J532*INDEX(Hours!F:F,MATCH(C532,Hours!$A:$A,0))+O532*INDEX(Hours!K:K,MATCH(C532,Hours!$A:$A,0)))</f>
        <v>0</v>
      </c>
      <c r="S532" s="19">
        <f t="shared" si="17"/>
        <v>0</v>
      </c>
    </row>
    <row r="533" spans="1:19" x14ac:dyDescent="0.25">
      <c r="A533" s="11" t="str">
        <f>'Bldgs &amp; Rooms'!$A$16</f>
        <v>Main Bldg.</v>
      </c>
      <c r="B533" s="11">
        <f>'Bldgs &amp; Rooms'!$B$16</f>
        <v>0</v>
      </c>
      <c r="C533" s="10" t="str">
        <f>Hours!$A$15</f>
        <v>VFD Motor Control Panel (VFD-MCP)</v>
      </c>
      <c r="D533" s="11">
        <f t="shared" si="16"/>
        <v>0</v>
      </c>
      <c r="E533" s="16">
        <f>IF('Components Yr 1'!E533=0,0,'Components Yr 1'!E533)</f>
        <v>0</v>
      </c>
      <c r="F533" s="17">
        <f>IF('Components Yr 1'!F533=0,0,'Components Yr 1'!F533)</f>
        <v>0</v>
      </c>
      <c r="G533" s="17">
        <f>IF('Components Yr 1'!G533=0,0,'Components Yr 1'!G533)</f>
        <v>0</v>
      </c>
      <c r="H533" s="17">
        <f>IF('Components Yr 1'!H533=0,0,'Components Yr 1'!H533)</f>
        <v>0</v>
      </c>
      <c r="I533" s="17">
        <f>IF('Components Yr 1'!I533=0,0,'Components Yr 1'!I533)</f>
        <v>0</v>
      </c>
      <c r="J533" s="17">
        <f>IF('Components Yr 1'!J533=0,0,'Components Yr 1'!J533)</f>
        <v>0</v>
      </c>
      <c r="K533" s="12"/>
      <c r="L533" s="12"/>
      <c r="M533" s="12"/>
      <c r="N533" s="12"/>
      <c r="O533" s="17">
        <f>IF('Components Yr 1'!O533=0,0,'Components Yr 1'!O533)</f>
        <v>0</v>
      </c>
      <c r="P533" s="12"/>
      <c r="Q533" s="17"/>
      <c r="R533" s="18">
        <f>IF(SUMPRODUCT((E533:Q533)*1)=0,0,E533*INDEX(Hours!M:M,MATCH(C533,Hours!$A:$A,0))+F533*INDEX(Hours!B:B,MATCH(C533,Hours!$A:$A,0))+G533*INDEX(Hours!C:C,MATCH(C533,Hours!$A:$A,0))+H533*INDEX(Hours!D:D,MATCH(C533,Hours!$A:$A,0))+I533*INDEX(Hours!E:E,MATCH(C533,Hours!$A:$A,0))+J533*INDEX(Hours!F:F,MATCH(C533,Hours!$A:$A,0))+O533*INDEX(Hours!K:K,MATCH(C533,Hours!$A:$A,0)))</f>
        <v>0</v>
      </c>
      <c r="S533" s="19">
        <f t="shared" si="17"/>
        <v>0</v>
      </c>
    </row>
    <row r="534" spans="1:19" x14ac:dyDescent="0.25">
      <c r="A534" s="11" t="str">
        <f>'Bldgs &amp; Rooms'!$A$16</f>
        <v>Main Bldg.</v>
      </c>
      <c r="B534" s="11">
        <f>'Bldgs &amp; Rooms'!$B$16</f>
        <v>0</v>
      </c>
      <c r="C534" s="10" t="str">
        <f>Hours!$A$16</f>
        <v>Individual Disconnect Switch &gt; 100A</v>
      </c>
      <c r="D534" s="11">
        <f t="shared" si="16"/>
        <v>0</v>
      </c>
      <c r="E534" s="16">
        <f>IF('Components Yr 1'!E534=0,0,'Components Yr 1'!E534)</f>
        <v>0</v>
      </c>
      <c r="F534" s="17">
        <f>IF('Components Yr 1'!F534=0,0,'Components Yr 1'!F534)</f>
        <v>0</v>
      </c>
      <c r="G534" s="17">
        <f>IF('Components Yr 1'!G534=0,0,'Components Yr 1'!G534)</f>
        <v>0</v>
      </c>
      <c r="H534" s="17">
        <f>IF('Components Yr 1'!H534=0,0,'Components Yr 1'!H534)</f>
        <v>0</v>
      </c>
      <c r="I534" s="17">
        <f>IF('Components Yr 1'!I534=0,0,'Components Yr 1'!I534)</f>
        <v>0</v>
      </c>
      <c r="J534" s="17">
        <f>IF('Components Yr 1'!J534=0,0,'Components Yr 1'!J534)</f>
        <v>0</v>
      </c>
      <c r="K534" s="17">
        <f>IF('Components Yr 1'!K534=0,0,'Components Yr 1'!K534)</f>
        <v>0</v>
      </c>
      <c r="L534" s="12"/>
      <c r="M534" s="12"/>
      <c r="N534" s="12"/>
      <c r="O534" s="12"/>
      <c r="P534" s="12"/>
      <c r="Q534" s="17"/>
      <c r="R534" s="18">
        <f>IF(SUMPRODUCT((E534:Q534)*1)=0,0,E534*INDEX(Hours!M:M,MATCH(C534,Hours!$A:$A,0))+F534*INDEX(Hours!B:B,MATCH(C534,Hours!$A:$A,0))+G534*INDEX(Hours!C:C,MATCH(C534,Hours!$A:$A,0))+H534*INDEX(Hours!D:D,MATCH(C534,Hours!$A:$A,0))+I534*INDEX(Hours!E:E,MATCH(C534,Hours!$A:$A,0))+J534*INDEX(Hours!F:F,MATCH(C534,Hours!$A:$A,0))+K534*INDEX(Hours!G:G,MATCH(C534,Hours!$A:$A,0)))</f>
        <v>0</v>
      </c>
      <c r="S534" s="19">
        <f t="shared" si="17"/>
        <v>0</v>
      </c>
    </row>
    <row r="535" spans="1:19" x14ac:dyDescent="0.25">
      <c r="A535" s="11" t="str">
        <f>'Bldgs &amp; Rooms'!$A$16</f>
        <v>Main Bldg.</v>
      </c>
      <c r="B535" s="11">
        <f>'Bldgs &amp; Rooms'!$B$16</f>
        <v>0</v>
      </c>
      <c r="C535" s="10" t="str">
        <f>Hours!$A$17</f>
        <v>Individual Molded Case Breaker &gt; 100A</v>
      </c>
      <c r="D535" s="11">
        <f t="shared" si="16"/>
        <v>0</v>
      </c>
      <c r="E535" s="16">
        <f>IF('Components Yr 1'!E535=0,0,'Components Yr 1'!E535)</f>
        <v>0</v>
      </c>
      <c r="F535" s="17">
        <f>IF('Components Yr 1'!F535=0,0,'Components Yr 1'!F535)</f>
        <v>0</v>
      </c>
      <c r="G535" s="17">
        <f>IF('Components Yr 1'!G535=0,0,'Components Yr 1'!G535)</f>
        <v>0</v>
      </c>
      <c r="H535" s="17">
        <f>IF('Components Yr 1'!H535=0,0,'Components Yr 1'!H535)</f>
        <v>0</v>
      </c>
      <c r="I535" s="17">
        <f>IF('Components Yr 1'!I535=0,0,'Components Yr 1'!I535)</f>
        <v>0</v>
      </c>
      <c r="J535" s="17">
        <f>IF('Components Yr 1'!J535=0,0,'Components Yr 1'!J535)</f>
        <v>0</v>
      </c>
      <c r="K535" s="17">
        <f>IF('Components Yr 1'!K535=0,0,'Components Yr 1'!K535)</f>
        <v>0</v>
      </c>
      <c r="L535" s="12"/>
      <c r="M535" s="12"/>
      <c r="N535" s="12"/>
      <c r="O535" s="12"/>
      <c r="P535" s="12"/>
      <c r="Q535" s="17"/>
      <c r="R535" s="18">
        <f>IF(SUMPRODUCT((E535:Q535)*1)=0,0,E535*INDEX(Hours!M:M,MATCH(C535,Hours!$A:$A,0))+F535*INDEX(Hours!B:B,MATCH(C535,Hours!$A:$A,0))+G535*INDEX(Hours!C:C,MATCH(C535,Hours!$A:$A,0))+H535*INDEX(Hours!D:D,MATCH(C535,Hours!$A:$A,0))+I535*INDEX(Hours!E:E,MATCH(C535,Hours!$A:$A,0))+J535*INDEX(Hours!F:F,MATCH(C535,Hours!$A:$A,0))+K535*INDEX(Hours!G:G,MATCH(C535,Hours!$A:$A,0)))</f>
        <v>0</v>
      </c>
      <c r="S535" s="19">
        <f t="shared" si="17"/>
        <v>0</v>
      </c>
    </row>
    <row r="536" spans="1:19" x14ac:dyDescent="0.25">
      <c r="A536" s="11" t="str">
        <f>'Bldgs &amp; Rooms'!$A$16</f>
        <v>Main Bldg.</v>
      </c>
      <c r="B536" s="11">
        <f>'Bldgs &amp; Rooms'!$B$16</f>
        <v>0</v>
      </c>
      <c r="C536" s="10" t="str">
        <f>Hours!$A$18</f>
        <v>Individual Combination Motor Starter &gt; 100A</v>
      </c>
      <c r="D536" s="11">
        <f t="shared" si="16"/>
        <v>0</v>
      </c>
      <c r="E536" s="16">
        <f>IF('Components Yr 1'!E536=0,0,'Components Yr 1'!E536)</f>
        <v>0</v>
      </c>
      <c r="F536" s="17">
        <f>IF('Components Yr 1'!F536=0,0,'Components Yr 1'!F536)</f>
        <v>0</v>
      </c>
      <c r="G536" s="17">
        <f>IF('Components Yr 1'!G536=0,0,'Components Yr 1'!G536)</f>
        <v>0</v>
      </c>
      <c r="H536" s="17">
        <f>IF('Components Yr 1'!H536=0,0,'Components Yr 1'!H536)</f>
        <v>0</v>
      </c>
      <c r="I536" s="17">
        <f>IF('Components Yr 1'!I536=0,0,'Components Yr 1'!I536)</f>
        <v>0</v>
      </c>
      <c r="J536" s="17">
        <f>IF('Components Yr 1'!J536=0,0,'Components Yr 1'!J536)</f>
        <v>0</v>
      </c>
      <c r="K536" s="17">
        <f>IF('Components Yr 1'!K536=0,0,'Components Yr 1'!K536)</f>
        <v>0</v>
      </c>
      <c r="L536" s="12"/>
      <c r="M536" s="12"/>
      <c r="N536" s="12"/>
      <c r="O536" s="12"/>
      <c r="P536" s="12"/>
      <c r="Q536" s="17"/>
      <c r="R536" s="18">
        <f>IF(SUMPRODUCT((E536:Q536)*1)=0,0,E536*INDEX(Hours!M:M,MATCH(C536,Hours!$A:$A,0))+F536*INDEX(Hours!B:B,MATCH(C536,Hours!$A:$A,0))+G536*INDEX(Hours!C:C,MATCH(C536,Hours!$A:$A,0))+H536*INDEX(Hours!D:D,MATCH(C536,Hours!$A:$A,0))+I536*INDEX(Hours!E:E,MATCH(C536,Hours!$A:$A,0))+J536*INDEX(Hours!F:F,MATCH(C536,Hours!$A:$A,0))+K536*INDEX(Hours!G:G,MATCH(C536,Hours!$A:$A,0)))</f>
        <v>0</v>
      </c>
      <c r="S536" s="19">
        <f t="shared" si="17"/>
        <v>0</v>
      </c>
    </row>
    <row r="537" spans="1:19" x14ac:dyDescent="0.25">
      <c r="A537" s="11" t="str">
        <f>'Bldgs &amp; Rooms'!$A$16</f>
        <v>Main Bldg.</v>
      </c>
      <c r="B537" s="11">
        <f>'Bldgs &amp; Rooms'!$B$16</f>
        <v>0</v>
      </c>
      <c r="C537" s="10" t="str">
        <f>Hours!$A$19</f>
        <v>Oil Filled Transformer - 5kV-15kV Primary - Any Size (Pad Mounted)</v>
      </c>
      <c r="D537" s="11">
        <f t="shared" si="16"/>
        <v>0</v>
      </c>
      <c r="E537" s="16">
        <f>IF('Components Yr 1'!E537=0,0,'Components Yr 1'!E537)</f>
        <v>0</v>
      </c>
      <c r="F537" s="17">
        <f>IF('Components Yr 1'!F537=0,0,'Components Yr 1'!F537)</f>
        <v>0</v>
      </c>
      <c r="G537" s="17">
        <f>IF('Components Yr 1'!G537=0,0,'Components Yr 1'!G537)</f>
        <v>0</v>
      </c>
      <c r="H537" s="17">
        <f>IF('Components Yr 1'!H537=0,0,'Components Yr 1'!H537)</f>
        <v>0</v>
      </c>
      <c r="I537" s="17">
        <f>IF('Components Yr 1'!I537=0,0,'Components Yr 1'!I537)</f>
        <v>0</v>
      </c>
      <c r="J537" s="17">
        <f>IF('Components Yr 1'!J537=0,0,'Components Yr 1'!J537)</f>
        <v>0</v>
      </c>
      <c r="K537" s="12"/>
      <c r="L537" s="12"/>
      <c r="M537" s="17">
        <f>IF('Components Yr 1'!M537=0,0,'Components Yr 1'!M537)</f>
        <v>0</v>
      </c>
      <c r="N537" s="17">
        <f>IF('Components Yr 1'!N537=0,0,'Components Yr 1'!N537)</f>
        <v>0</v>
      </c>
      <c r="O537" s="12"/>
      <c r="P537" s="17">
        <f>IF('Components Yr 1'!P537=0,0,'Components Yr 1'!P537)</f>
        <v>0</v>
      </c>
      <c r="Q537" s="17"/>
      <c r="R537" s="18">
        <f>IF(SUMPRODUCT((E537:Q537)*1)=0,0,E537*INDEX(Hours!M:M,MATCH(C537,Hours!$A:$A,0))+F537*INDEX(Hours!B:B,MATCH(C537,Hours!$A:$A,0))+G537*INDEX(Hours!C:C,MATCH(C537,Hours!$A:$A,0))+H537*INDEX(Hours!D:D,MATCH(C537,Hours!$A:$A,0))+I537*INDEX(Hours!E:E,MATCH(C537,Hours!$A:$A,0))+J537*INDEX(Hours!F:F,MATCH(C537,Hours!$A:$A,0))+M537*INDEX(Hours!I:I,MATCH(C537,Hours!$A:$A,0))+N537*INDEX(Hours!J:J,MATCH(C537,Hours!$A:$A,0))+P537*INDEX(Hours!L:L,MATCH(C537,Hours!$A:$A,0)))</f>
        <v>0</v>
      </c>
      <c r="S537" s="19">
        <f t="shared" si="17"/>
        <v>0</v>
      </c>
    </row>
    <row r="538" spans="1:19" x14ac:dyDescent="0.25">
      <c r="A538" s="11" t="str">
        <f>'Bldgs &amp; Rooms'!$A$16</f>
        <v>Main Bldg.</v>
      </c>
      <c r="B538" s="11">
        <f>'Bldgs &amp; Rooms'!$B$16</f>
        <v>0</v>
      </c>
      <c r="C538" s="10" t="str">
        <f>Hours!$A$20</f>
        <v>Oil Filled Transformer - &gt; 15kV Primary (Substation Class)</v>
      </c>
      <c r="D538" s="11">
        <f t="shared" si="16"/>
        <v>0</v>
      </c>
      <c r="E538" s="16">
        <f>IF('Components Yr 1'!E538=0,0,'Components Yr 1'!E538)</f>
        <v>0</v>
      </c>
      <c r="F538" s="17">
        <f>IF('Components Yr 1'!F538=0,0,'Components Yr 1'!F538)</f>
        <v>0</v>
      </c>
      <c r="G538" s="17">
        <f>IF('Components Yr 1'!G538=0,0,'Components Yr 1'!G538)</f>
        <v>0</v>
      </c>
      <c r="H538" s="17">
        <f>IF('Components Yr 1'!H538=0,0,'Components Yr 1'!H538)</f>
        <v>0</v>
      </c>
      <c r="I538" s="17">
        <f>IF('Components Yr 1'!I538=0,0,'Components Yr 1'!I538)</f>
        <v>0</v>
      </c>
      <c r="J538" s="17">
        <f>IF('Components Yr 1'!J538=0,0,'Components Yr 1'!J538)</f>
        <v>0</v>
      </c>
      <c r="K538" s="12"/>
      <c r="L538" s="12"/>
      <c r="M538" s="17">
        <f>IF('Components Yr 1'!M538=0,0,'Components Yr 1'!M538)</f>
        <v>0</v>
      </c>
      <c r="N538" s="17">
        <f>IF('Components Yr 1'!N538=0,0,'Components Yr 1'!N538)</f>
        <v>0</v>
      </c>
      <c r="O538" s="12"/>
      <c r="P538" s="17">
        <f>IF('Components Yr 1'!P538=0,0,'Components Yr 1'!P538)</f>
        <v>0</v>
      </c>
      <c r="Q538" s="17"/>
      <c r="R538" s="18">
        <f>IF(SUMPRODUCT((E538:Q538)*1)=0,0,E538*INDEX(Hours!M:M,MATCH(C538,Hours!$A:$A,0))+F538*INDEX(Hours!B:B,MATCH(C538,Hours!$A:$A,0))+G538*INDEX(Hours!C:C,MATCH(C538,Hours!$A:$A,0))+H538*INDEX(Hours!D:D,MATCH(C538,Hours!$A:$A,0))+I538*INDEX(Hours!E:E,MATCH(C538,Hours!$A:$A,0))+J538*INDEX(Hours!F:F,MATCH(C538,Hours!$A:$A,0))+M538*INDEX(Hours!I:I,MATCH(C538,Hours!$A:$A,0))+N538*INDEX(Hours!J:J,MATCH(C538,Hours!$A:$A,0))+P538*INDEX(Hours!L:L,MATCH(C538,Hours!$A:$A,0)))</f>
        <v>0</v>
      </c>
      <c r="S538" s="19">
        <f t="shared" si="17"/>
        <v>0</v>
      </c>
    </row>
    <row r="539" spans="1:19" x14ac:dyDescent="0.25">
      <c r="A539" s="11" t="str">
        <f>'Bldgs &amp; Rooms'!$A$16</f>
        <v>Main Bldg.</v>
      </c>
      <c r="B539" s="11">
        <f>'Bldgs &amp; Rooms'!$B$16</f>
        <v>0</v>
      </c>
      <c r="C539" s="10" t="str">
        <f>Hours!$A$21</f>
        <v>Dry Type Transformer - &lt; 480V Primary - Any Size kVA</v>
      </c>
      <c r="D539" s="11">
        <f t="shared" si="16"/>
        <v>0</v>
      </c>
      <c r="E539" s="16">
        <f>IF('Components Yr 1'!E539=0,0,'Components Yr 1'!E539)</f>
        <v>0</v>
      </c>
      <c r="F539" s="17">
        <f>IF('Components Yr 1'!F539=0,0,'Components Yr 1'!F539)</f>
        <v>0</v>
      </c>
      <c r="G539" s="17">
        <f>IF('Components Yr 1'!G539=0,0,'Components Yr 1'!G539)</f>
        <v>0</v>
      </c>
      <c r="H539" s="17">
        <f>IF('Components Yr 1'!H539=0,0,'Components Yr 1'!H539)</f>
        <v>0</v>
      </c>
      <c r="I539" s="17">
        <f>IF('Components Yr 1'!I539=0,0,'Components Yr 1'!I539)</f>
        <v>0</v>
      </c>
      <c r="J539" s="17">
        <f>IF('Components Yr 1'!J539=0,0,'Components Yr 1'!J539)</f>
        <v>0</v>
      </c>
      <c r="K539" s="12"/>
      <c r="L539" s="12"/>
      <c r="M539" s="17">
        <f>IF('Components Yr 1'!M539=0,0,'Components Yr 1'!M539)</f>
        <v>0</v>
      </c>
      <c r="N539" s="17">
        <f>IF('Components Yr 1'!N539=0,0,'Components Yr 1'!N539)</f>
        <v>0</v>
      </c>
      <c r="O539" s="12"/>
      <c r="P539" s="12"/>
      <c r="Q539" s="17"/>
      <c r="R539" s="18">
        <f>IF(SUMPRODUCT((E539:Q539)*1)=0,0,E539*INDEX(Hours!M:M,MATCH(C539,Hours!$A:$A,0))+F539*INDEX(Hours!B:B,MATCH(C539,Hours!$A:$A,0))+G539*INDEX(Hours!C:C,MATCH(C539,Hours!$A:$A,0))+H539*INDEX(Hours!D:D,MATCH(C539,Hours!$A:$A,0))+I539*INDEX(Hours!E:E,MATCH(C539,Hours!$A:$A,0))+J539*INDEX(Hours!F:F,MATCH(C539,Hours!$A:$A,0))+M539*INDEX(Hours!I:I,MATCH(C539,Hours!$A:$A,0))+N539*INDEX(Hours!J:J,MATCH(C539,Hours!$A:$A,0)))</f>
        <v>0</v>
      </c>
      <c r="S539" s="19">
        <f t="shared" si="17"/>
        <v>0</v>
      </c>
    </row>
    <row r="540" spans="1:19" x14ac:dyDescent="0.25">
      <c r="A540" s="11" t="str">
        <f>'Bldgs &amp; Rooms'!$A$16</f>
        <v>Main Bldg.</v>
      </c>
      <c r="B540" s="11">
        <f>'Bldgs &amp; Rooms'!$B$16</f>
        <v>0</v>
      </c>
      <c r="C540" s="10" t="str">
        <f>Hours!$A$22</f>
        <v>Power Factor Correction Capacitors</v>
      </c>
      <c r="D540" s="11">
        <f t="shared" si="16"/>
        <v>0</v>
      </c>
      <c r="E540" s="16">
        <f>IF('Components Yr 1'!E540=0,0,'Components Yr 1'!E540)</f>
        <v>0</v>
      </c>
      <c r="F540" s="17">
        <f>IF('Components Yr 1'!F540=0,0,'Components Yr 1'!F540)</f>
        <v>0</v>
      </c>
      <c r="G540" s="17">
        <f>IF('Components Yr 1'!G540=0,0,'Components Yr 1'!G540)</f>
        <v>0</v>
      </c>
      <c r="H540" s="17">
        <f>IF('Components Yr 1'!H540=0,0,'Components Yr 1'!H540)</f>
        <v>0</v>
      </c>
      <c r="I540" s="17">
        <f>IF('Components Yr 1'!I540=0,0,'Components Yr 1'!I540)</f>
        <v>0</v>
      </c>
      <c r="J540" s="17">
        <f>IF('Components Yr 1'!J540=0,0,'Components Yr 1'!J540)</f>
        <v>0</v>
      </c>
      <c r="K540" s="12"/>
      <c r="L540" s="12"/>
      <c r="M540" s="12"/>
      <c r="N540" s="12"/>
      <c r="O540" s="12"/>
      <c r="P540" s="12"/>
      <c r="Q540" s="17"/>
      <c r="R540" s="18">
        <f>IF(SUMPRODUCT((E540:Q540)*1)=0,0,E540*INDEX(Hours!M:M,MATCH(C540,Hours!$A:$A,0))+F540*INDEX(Hours!B:B,MATCH(C540,Hours!$A:$A,0))+G540*INDEX(Hours!C:C,MATCH(C540,Hours!$A:$A,0))+H540*INDEX(Hours!D:D,MATCH(C540,Hours!$A:$A,0))+I540*INDEX(Hours!E:E,MATCH(C540,Hours!$A:$A,0))+J540*INDEX(Hours!F:F,MATCH(C540,Hours!$A:$A,0)))</f>
        <v>0</v>
      </c>
      <c r="S540" s="19">
        <f t="shared" si="17"/>
        <v>0</v>
      </c>
    </row>
    <row r="541" spans="1:19" x14ac:dyDescent="0.25">
      <c r="A541" s="11" t="str">
        <f>'Bldgs &amp; Rooms'!$A$16</f>
        <v>Main Bldg.</v>
      </c>
      <c r="B541" s="11">
        <f>'Bldgs &amp; Rooms'!$B$16</f>
        <v>0</v>
      </c>
      <c r="C541" s="10" t="str">
        <f>Hours!$A$23</f>
        <v>Lighting Contactor &gt; 100A</v>
      </c>
      <c r="D541" s="11">
        <f t="shared" si="16"/>
        <v>0</v>
      </c>
      <c r="E541" s="16">
        <f>IF('Components Yr 1'!E541=0,0,'Components Yr 1'!E541)</f>
        <v>0</v>
      </c>
      <c r="F541" s="17">
        <f>IF('Components Yr 1'!F541=0,0,'Components Yr 1'!F541)</f>
        <v>0</v>
      </c>
      <c r="G541" s="17">
        <f>IF('Components Yr 1'!G541=0,0,'Components Yr 1'!G541)</f>
        <v>0</v>
      </c>
      <c r="H541" s="17">
        <f>IF('Components Yr 1'!H541=0,0,'Components Yr 1'!H541)</f>
        <v>0</v>
      </c>
      <c r="I541" s="17">
        <f>IF('Components Yr 1'!I541=0,0,'Components Yr 1'!I541)</f>
        <v>0</v>
      </c>
      <c r="J541" s="17">
        <f>IF('Components Yr 1'!J541=0,0,'Components Yr 1'!J541)</f>
        <v>0</v>
      </c>
      <c r="K541" s="12"/>
      <c r="L541" s="12"/>
      <c r="M541" s="12"/>
      <c r="N541" s="12"/>
      <c r="O541" s="12"/>
      <c r="P541" s="12"/>
      <c r="Q541" s="17"/>
      <c r="R541" s="18">
        <f>IF(SUMPRODUCT((E541:Q541)*1)=0,0,E541*INDEX(Hours!M:M,MATCH(C541,Hours!$A:$A,0))+F541*INDEX(Hours!B:B,MATCH(C541,Hours!$A:$A,0))+G541*INDEX(Hours!C:C,MATCH(C541,Hours!$A:$A,0))+H541*INDEX(Hours!D:D,MATCH(C541,Hours!$A:$A,0))+I541*INDEX(Hours!E:E,MATCH(C541,Hours!$A:$A,0))+J541*INDEX(Hours!F:F,MATCH(C541,Hours!$A:$A,0)))</f>
        <v>0</v>
      </c>
      <c r="S541" s="19">
        <f t="shared" si="17"/>
        <v>0</v>
      </c>
    </row>
    <row r="542" spans="1:19" x14ac:dyDescent="0.25">
      <c r="A542" s="11" t="str">
        <f>'Bldgs &amp; Rooms'!$A$16</f>
        <v>Main Bldg.</v>
      </c>
      <c r="B542" s="11">
        <f>'Bldgs &amp; Rooms'!$B$16</f>
        <v>0</v>
      </c>
      <c r="C542" s="10" t="str">
        <f>Hours!$A$24</f>
        <v>Power Distribution Unit (PDU)</v>
      </c>
      <c r="D542" s="11">
        <f t="shared" si="16"/>
        <v>0</v>
      </c>
      <c r="E542" s="16">
        <f>IF('Components Yr 1'!E542=0,0,'Components Yr 1'!E542)</f>
        <v>0</v>
      </c>
      <c r="F542" s="17">
        <f>IF('Components Yr 1'!F542=0,0,'Components Yr 1'!F542)</f>
        <v>0</v>
      </c>
      <c r="G542" s="17">
        <f>IF('Components Yr 1'!G542=0,0,'Components Yr 1'!G542)</f>
        <v>0</v>
      </c>
      <c r="H542" s="17">
        <f>IF('Components Yr 1'!H542=0,0,'Components Yr 1'!H542)</f>
        <v>0</v>
      </c>
      <c r="I542" s="17">
        <f>IF('Components Yr 1'!I542=0,0,'Components Yr 1'!I542)</f>
        <v>0</v>
      </c>
      <c r="J542" s="17">
        <f>IF('Components Yr 1'!J542=0,0,'Components Yr 1'!J542)</f>
        <v>0</v>
      </c>
      <c r="K542" s="12"/>
      <c r="L542" s="12"/>
      <c r="M542" s="12"/>
      <c r="N542" s="12"/>
      <c r="O542" s="12"/>
      <c r="P542" s="12"/>
      <c r="Q542" s="17"/>
      <c r="R542" s="18">
        <f>IF(SUMPRODUCT((E542:Q542)*1)=0,0,E542*INDEX(Hours!M:M,MATCH(C542,Hours!$A:$A,0))+F542*INDEX(Hours!B:B,MATCH(C542,Hours!$A:$A,0))+G542*INDEX(Hours!C:C,MATCH(C542,Hours!$A:$A,0))+H542*INDEX(Hours!D:D,MATCH(C542,Hours!$A:$A,0))+I542*INDEX(Hours!E:E,MATCH(C542,Hours!$A:$A,0))+J542*INDEX(Hours!F:F,MATCH(C542,Hours!$A:$A,0)))</f>
        <v>0</v>
      </c>
      <c r="S542" s="19">
        <f t="shared" si="17"/>
        <v>0</v>
      </c>
    </row>
    <row r="543" spans="1:19" x14ac:dyDescent="0.25">
      <c r="A543" s="11" t="str">
        <f>'Bldgs &amp; Rooms'!$A$16</f>
        <v>Main Bldg.</v>
      </c>
      <c r="B543" s="11">
        <f>'Bldgs &amp; Rooms'!$B$16</f>
        <v>0</v>
      </c>
      <c r="C543" s="10" t="str">
        <f>Hours!$A$25</f>
        <v>Wire Trough, Gutter, or Large Junction Boxes</v>
      </c>
      <c r="D543" s="11">
        <f t="shared" si="16"/>
        <v>0</v>
      </c>
      <c r="E543" s="16">
        <f>IF('Components Yr 1'!E543=0,0,'Components Yr 1'!E543)</f>
        <v>0</v>
      </c>
      <c r="F543" s="17">
        <f>IF('Components Yr 1'!F543=0,0,'Components Yr 1'!F543)</f>
        <v>0</v>
      </c>
      <c r="G543" s="17">
        <f>IF('Components Yr 1'!G543=0,0,'Components Yr 1'!G543)</f>
        <v>0</v>
      </c>
      <c r="H543" s="17">
        <f>IF('Components Yr 1'!H543=0,0,'Components Yr 1'!H543)</f>
        <v>0</v>
      </c>
      <c r="I543" s="17">
        <f>IF('Components Yr 1'!I543=0,0,'Components Yr 1'!I543)</f>
        <v>0</v>
      </c>
      <c r="J543" s="17">
        <f>IF('Components Yr 1'!J543=0,0,'Components Yr 1'!J543)</f>
        <v>0</v>
      </c>
      <c r="K543" s="12"/>
      <c r="L543" s="12"/>
      <c r="M543" s="12"/>
      <c r="N543" s="12"/>
      <c r="O543" s="12"/>
      <c r="P543" s="12"/>
      <c r="Q543" s="17"/>
      <c r="R543" s="18">
        <f>IF(SUMPRODUCT((E543:Q543)*1)=0,0,E543*INDEX(Hours!M:M,MATCH(C543,Hours!$A:$A,0))+F543*INDEX(Hours!B:B,MATCH(C543,Hours!$A:$A,0))+G543*INDEX(Hours!C:C,MATCH(C543,Hours!$A:$A,0))+H543*INDEX(Hours!D:D,MATCH(C543,Hours!$A:$A,0))+I543*INDEX(Hours!E:E,MATCH(C543,Hours!$A:$A,0))+J543*INDEX(Hours!F:F,MATCH(C543,Hours!$A:$A,0)))</f>
        <v>0</v>
      </c>
      <c r="S543" s="19">
        <f t="shared" si="17"/>
        <v>0</v>
      </c>
    </row>
    <row r="544" spans="1:19" x14ac:dyDescent="0.25">
      <c r="A544" s="11" t="str">
        <f>'Bldgs &amp; Rooms'!$A$16</f>
        <v>Main Bldg.</v>
      </c>
      <c r="B544" s="11">
        <f>'Bldgs &amp; Rooms'!$B$16</f>
        <v>0</v>
      </c>
      <c r="C544" s="10" t="str">
        <f>Hours!$A$26</f>
        <v>Bus Duct - Vertical or Horizontal (Per 10' section)</v>
      </c>
      <c r="D544" s="11">
        <f t="shared" si="16"/>
        <v>0</v>
      </c>
      <c r="E544" s="16">
        <f>IF('Components Yr 1'!E544=0,0,'Components Yr 1'!E544)</f>
        <v>0</v>
      </c>
      <c r="F544" s="17">
        <f>IF('Components Yr 1'!F544=0,0,'Components Yr 1'!F544)</f>
        <v>0</v>
      </c>
      <c r="G544" s="17">
        <f>IF('Components Yr 1'!G544=0,0,'Components Yr 1'!G544)</f>
        <v>0</v>
      </c>
      <c r="H544" s="17">
        <f>IF('Components Yr 1'!H544=0,0,'Components Yr 1'!H544)</f>
        <v>0</v>
      </c>
      <c r="I544" s="17">
        <f>IF('Components Yr 1'!I544=0,0,'Components Yr 1'!I544)</f>
        <v>0</v>
      </c>
      <c r="J544" s="17">
        <f>IF('Components Yr 1'!J544=0,0,'Components Yr 1'!J544)</f>
        <v>0</v>
      </c>
      <c r="K544" s="12"/>
      <c r="L544" s="12"/>
      <c r="M544" s="12"/>
      <c r="N544" s="12"/>
      <c r="O544" s="12"/>
      <c r="P544" s="12"/>
      <c r="Q544" s="17"/>
      <c r="R544" s="18">
        <f>IF(SUMPRODUCT((E544:Q544)*1)=0,0,E544*INDEX(Hours!M:M,MATCH(C544,Hours!$A:$A,0))+F544*INDEX(Hours!B:B,MATCH(C544,Hours!$A:$A,0))+G544*INDEX(Hours!C:C,MATCH(C544,Hours!$A:$A,0))+H544*INDEX(Hours!D:D,MATCH(C544,Hours!$A:$A,0))+I544*INDEX(Hours!E:E,MATCH(C544,Hours!$A:$A,0))+J544*INDEX(Hours!F:F,MATCH(C544,Hours!$A:$A,0)))</f>
        <v>0</v>
      </c>
      <c r="S544" s="19">
        <f t="shared" si="17"/>
        <v>0</v>
      </c>
    </row>
    <row r="545" spans="1:19" x14ac:dyDescent="0.25">
      <c r="A545" s="11" t="str">
        <f>'Bldgs &amp; Rooms'!$A$16</f>
        <v>Main Bldg.</v>
      </c>
      <c r="B545" s="11">
        <f>'Bldgs &amp; Rooms'!$B$16</f>
        <v>0</v>
      </c>
      <c r="C545" s="10" t="str">
        <f>Hours!$A$27</f>
        <v>Automatic Transfer Switch (ATS) &gt; 100A</v>
      </c>
      <c r="D545" s="11">
        <f t="shared" si="16"/>
        <v>0</v>
      </c>
      <c r="E545" s="16">
        <f>IF('Components Yr 1'!E545=0,0,'Components Yr 1'!E545)</f>
        <v>0</v>
      </c>
      <c r="F545" s="17">
        <f>IF('Components Yr 1'!F545=0,0,'Components Yr 1'!F545)</f>
        <v>0</v>
      </c>
      <c r="G545" s="17">
        <f>IF('Components Yr 1'!G545=0,0,'Components Yr 1'!G545)</f>
        <v>0</v>
      </c>
      <c r="H545" s="17">
        <f>IF('Components Yr 1'!H545=0,0,'Components Yr 1'!H545)</f>
        <v>0</v>
      </c>
      <c r="I545" s="17">
        <f>IF('Components Yr 1'!I545=0,0,'Components Yr 1'!I545)</f>
        <v>0</v>
      </c>
      <c r="J545" s="17">
        <f>IF('Components Yr 1'!J545=0,0,'Components Yr 1'!J545)</f>
        <v>0</v>
      </c>
      <c r="K545" s="12"/>
      <c r="L545" s="12"/>
      <c r="M545" s="12"/>
      <c r="N545" s="12"/>
      <c r="O545" s="12"/>
      <c r="P545" s="12"/>
      <c r="Q545" s="17"/>
      <c r="R545" s="18">
        <f>IF(SUMPRODUCT((E545:Q545)*1)=0,0,E545*INDEX(Hours!M:M,MATCH(C545,Hours!$A:$A,0))+F545*INDEX(Hours!B:B,MATCH(C545,Hours!$A:$A,0))+G545*INDEX(Hours!C:C,MATCH(C545,Hours!$A:$A,0))+H545*INDEX(Hours!D:D,MATCH(C545,Hours!$A:$A,0))+I545*INDEX(Hours!E:E,MATCH(C545,Hours!$A:$A,0))+J545*INDEX(Hours!F:F,MATCH(C545,Hours!$A:$A,0)))</f>
        <v>0</v>
      </c>
      <c r="S545" s="19">
        <f t="shared" si="17"/>
        <v>0</v>
      </c>
    </row>
    <row r="546" spans="1:19" x14ac:dyDescent="0.25">
      <c r="A546" s="11" t="str">
        <f>'Bldgs &amp; Rooms'!$A$16</f>
        <v>Main Bldg.</v>
      </c>
      <c r="B546" s="11">
        <f>'Bldgs &amp; Rooms'!$B$16</f>
        <v>0</v>
      </c>
      <c r="C546" s="10" t="str">
        <f>Hours!$A$28</f>
        <v>Manual Transfer Switch (MTS) &gt; 100A</v>
      </c>
      <c r="D546" s="11">
        <f t="shared" si="16"/>
        <v>0</v>
      </c>
      <c r="E546" s="16">
        <f>IF('Components Yr 1'!E546=0,0,'Components Yr 1'!E546)</f>
        <v>0</v>
      </c>
      <c r="F546" s="17">
        <f>IF('Components Yr 1'!F546=0,0,'Components Yr 1'!F546)</f>
        <v>0</v>
      </c>
      <c r="G546" s="17">
        <f>IF('Components Yr 1'!G546=0,0,'Components Yr 1'!G546)</f>
        <v>0</v>
      </c>
      <c r="H546" s="17">
        <f>IF('Components Yr 1'!H546=0,0,'Components Yr 1'!H546)</f>
        <v>0</v>
      </c>
      <c r="I546" s="17">
        <f>IF('Components Yr 1'!I546=0,0,'Components Yr 1'!I546)</f>
        <v>0</v>
      </c>
      <c r="J546" s="17">
        <f>IF('Components Yr 1'!J546=0,0,'Components Yr 1'!J546)</f>
        <v>0</v>
      </c>
      <c r="K546" s="12"/>
      <c r="L546" s="12"/>
      <c r="M546" s="12"/>
      <c r="N546" s="12"/>
      <c r="O546" s="12"/>
      <c r="P546" s="12"/>
      <c r="Q546" s="17"/>
      <c r="R546" s="18">
        <f>IF(SUMPRODUCT((E546:Q546)*1)=0,0,E546*INDEX(Hours!M:M,MATCH(C546,Hours!$A:$A,0))+F546*INDEX(Hours!B:B,MATCH(C546,Hours!$A:$A,0))+G546*INDEX(Hours!C:C,MATCH(C546,Hours!$A:$A,0))+H546*INDEX(Hours!D:D,MATCH(C546,Hours!$A:$A,0))+I546*INDEX(Hours!E:E,MATCH(C546,Hours!$A:$A,0))+J546*INDEX(Hours!F:F,MATCH(C546,Hours!$A:$A,0)))</f>
        <v>0</v>
      </c>
      <c r="S546" s="19">
        <f t="shared" si="17"/>
        <v>0</v>
      </c>
    </row>
    <row r="547" spans="1:19" x14ac:dyDescent="0.25">
      <c r="A547" s="11" t="str">
        <f>'Bldgs &amp; Rooms'!$A$16</f>
        <v>Main Bldg.</v>
      </c>
      <c r="B547" s="11">
        <f>'Bldgs &amp; Rooms'!$B$16</f>
        <v>0</v>
      </c>
      <c r="C547" s="10" t="str">
        <f>Hours!$A$29</f>
        <v>Variable Frequency Drives (VFD) &lt; 50 HP</v>
      </c>
      <c r="D547" s="11">
        <f t="shared" si="16"/>
        <v>0</v>
      </c>
      <c r="E547" s="16">
        <f>IF('Components Yr 1'!E547=0,0,'Components Yr 1'!E547)</f>
        <v>0</v>
      </c>
      <c r="F547" s="17">
        <f>IF('Components Yr 1'!F547=0,0,'Components Yr 1'!F547)</f>
        <v>0</v>
      </c>
      <c r="G547" s="17">
        <f>IF('Components Yr 1'!G547=0,0,'Components Yr 1'!G547)</f>
        <v>0</v>
      </c>
      <c r="H547" s="17">
        <f>IF('Components Yr 1'!H547=0,0,'Components Yr 1'!H547)</f>
        <v>0</v>
      </c>
      <c r="I547" s="17">
        <f>IF('Components Yr 1'!I547=0,0,'Components Yr 1'!I547)</f>
        <v>0</v>
      </c>
      <c r="J547" s="17">
        <f>IF('Components Yr 1'!J547=0,0,'Components Yr 1'!J547)</f>
        <v>0</v>
      </c>
      <c r="K547" s="12"/>
      <c r="L547" s="12"/>
      <c r="M547" s="12"/>
      <c r="N547" s="12"/>
      <c r="O547" s="12"/>
      <c r="P547" s="12"/>
      <c r="Q547" s="17"/>
      <c r="R547" s="18">
        <f>IF(SUMPRODUCT((E547:Q547)*1)=0,0,E547*INDEX(Hours!M:M,MATCH(C547,Hours!$A:$A,0))+F547*INDEX(Hours!B:B,MATCH(C547,Hours!$A:$A,0))+G547*INDEX(Hours!C:C,MATCH(C547,Hours!$A:$A,0))+H547*INDEX(Hours!D:D,MATCH(C547,Hours!$A:$A,0))+I547*INDEX(Hours!E:E,MATCH(C547,Hours!$A:$A,0))+J547*INDEX(Hours!F:F,MATCH(C547,Hours!$A:$A,0)))</f>
        <v>0</v>
      </c>
      <c r="S547" s="19">
        <f t="shared" si="17"/>
        <v>0</v>
      </c>
    </row>
    <row r="548" spans="1:19" x14ac:dyDescent="0.25">
      <c r="A548" s="11" t="str">
        <f>'Bldgs &amp; Rooms'!$A$16</f>
        <v>Main Bldg.</v>
      </c>
      <c r="B548" s="11">
        <f>'Bldgs &amp; Rooms'!$B$16</f>
        <v>0</v>
      </c>
      <c r="C548" s="10" t="str">
        <f>Hours!$A$30</f>
        <v>Variable Frequency Drives (VFD) 51-200 HP</v>
      </c>
      <c r="D548" s="11">
        <f t="shared" si="16"/>
        <v>0</v>
      </c>
      <c r="E548" s="16">
        <f>IF('Components Yr 1'!E548=0,0,'Components Yr 1'!E548)</f>
        <v>0</v>
      </c>
      <c r="F548" s="17">
        <f>IF('Components Yr 1'!F548=0,0,'Components Yr 1'!F548)</f>
        <v>0</v>
      </c>
      <c r="G548" s="17">
        <f>IF('Components Yr 1'!G548=0,0,'Components Yr 1'!G548)</f>
        <v>0</v>
      </c>
      <c r="H548" s="17">
        <f>IF('Components Yr 1'!H548=0,0,'Components Yr 1'!H548)</f>
        <v>0</v>
      </c>
      <c r="I548" s="17">
        <f>IF('Components Yr 1'!I548=0,0,'Components Yr 1'!I548)</f>
        <v>0</v>
      </c>
      <c r="J548" s="17">
        <f>IF('Components Yr 1'!J548=0,0,'Components Yr 1'!J548)</f>
        <v>0</v>
      </c>
      <c r="K548" s="12"/>
      <c r="L548" s="12"/>
      <c r="M548" s="12"/>
      <c r="N548" s="12"/>
      <c r="O548" s="12"/>
      <c r="P548" s="12"/>
      <c r="Q548" s="17"/>
      <c r="R548" s="18">
        <f>IF(SUMPRODUCT((E548:Q548)*1)=0,0,E548*INDEX(Hours!M:M,MATCH(C548,Hours!$A:$A,0))+F548*INDEX(Hours!B:B,MATCH(C548,Hours!$A:$A,0))+G548*INDEX(Hours!C:C,MATCH(C548,Hours!$A:$A,0))+H548*INDEX(Hours!D:D,MATCH(C548,Hours!$A:$A,0))+I548*INDEX(Hours!E:E,MATCH(C548,Hours!$A:$A,0))+J548*INDEX(Hours!F:F,MATCH(C548,Hours!$A:$A,0)))</f>
        <v>0</v>
      </c>
      <c r="S548" s="19">
        <f t="shared" si="17"/>
        <v>0</v>
      </c>
    </row>
    <row r="549" spans="1:19" x14ac:dyDescent="0.25">
      <c r="A549" s="11" t="str">
        <f>'Bldgs &amp; Rooms'!$A$16</f>
        <v>Main Bldg.</v>
      </c>
      <c r="B549" s="11">
        <f>'Bldgs &amp; Rooms'!$B$16</f>
        <v>0</v>
      </c>
      <c r="C549" s="10" t="str">
        <f>Hours!$A$31</f>
        <v>Motors &lt; 50 HP</v>
      </c>
      <c r="D549" s="11">
        <f t="shared" si="16"/>
        <v>0</v>
      </c>
      <c r="E549" s="16">
        <f>IF('Components Yr 1'!E549=0,0,'Components Yr 1'!E549)</f>
        <v>0</v>
      </c>
      <c r="F549" s="17">
        <f>IF('Components Yr 1'!F549=0,0,'Components Yr 1'!F549)</f>
        <v>0</v>
      </c>
      <c r="G549" s="17">
        <f>IF('Components Yr 1'!G549=0,0,'Components Yr 1'!G549)</f>
        <v>0</v>
      </c>
      <c r="H549" s="17">
        <f>IF('Components Yr 1'!H549=0,0,'Components Yr 1'!H549)</f>
        <v>0</v>
      </c>
      <c r="I549" s="17">
        <f>IF('Components Yr 1'!I549=0,0,'Components Yr 1'!I549)</f>
        <v>0</v>
      </c>
      <c r="J549" s="17">
        <f>IF('Components Yr 1'!J549=0,0,'Components Yr 1'!J549)</f>
        <v>0</v>
      </c>
      <c r="K549" s="12"/>
      <c r="L549" s="12"/>
      <c r="M549" s="12"/>
      <c r="N549" s="12"/>
      <c r="O549" s="12"/>
      <c r="P549" s="12"/>
      <c r="Q549" s="17"/>
      <c r="R549" s="18">
        <f>IF(SUMPRODUCT((E549:Q549)*1)=0,0,E549*INDEX(Hours!M:M,MATCH(C549,Hours!$A:$A,0))+F549*INDEX(Hours!B:B,MATCH(C549,Hours!$A:$A,0))+G549*INDEX(Hours!C:C,MATCH(C549,Hours!$A:$A,0))+H549*INDEX(Hours!D:D,MATCH(C549,Hours!$A:$A,0))+I549*INDEX(Hours!E:E,MATCH(C549,Hours!$A:$A,0))+J549*INDEX(Hours!F:F,MATCH(C549,Hours!$A:$A,0)))</f>
        <v>0</v>
      </c>
      <c r="S549" s="19">
        <f t="shared" si="17"/>
        <v>0</v>
      </c>
    </row>
    <row r="550" spans="1:19" x14ac:dyDescent="0.25">
      <c r="A550" s="11" t="str">
        <f>'Bldgs &amp; Rooms'!$A$16</f>
        <v>Main Bldg.</v>
      </c>
      <c r="B550" s="11">
        <f>'Bldgs &amp; Rooms'!$B$16</f>
        <v>0</v>
      </c>
      <c r="C550" s="10" t="str">
        <f>Hours!$A$32</f>
        <v>Motors 51-200 HP</v>
      </c>
      <c r="D550" s="11">
        <f t="shared" si="16"/>
        <v>0</v>
      </c>
      <c r="E550" s="16">
        <f>IF('Components Yr 1'!E550=0,0,'Components Yr 1'!E550)</f>
        <v>0</v>
      </c>
      <c r="F550" s="17">
        <f>IF('Components Yr 1'!F550=0,0,'Components Yr 1'!F550)</f>
        <v>0</v>
      </c>
      <c r="G550" s="17">
        <f>IF('Components Yr 1'!G550=0,0,'Components Yr 1'!G550)</f>
        <v>0</v>
      </c>
      <c r="H550" s="17">
        <f>IF('Components Yr 1'!H550=0,0,'Components Yr 1'!H550)</f>
        <v>0</v>
      </c>
      <c r="I550" s="17">
        <f>IF('Components Yr 1'!I550=0,0,'Components Yr 1'!I550)</f>
        <v>0</v>
      </c>
      <c r="J550" s="17">
        <f>IF('Components Yr 1'!J550=0,0,'Components Yr 1'!J550)</f>
        <v>0</v>
      </c>
      <c r="K550" s="12"/>
      <c r="L550" s="12"/>
      <c r="M550" s="12"/>
      <c r="N550" s="12"/>
      <c r="O550" s="12"/>
      <c r="P550" s="12"/>
      <c r="Q550" s="17"/>
      <c r="R550" s="18">
        <f>IF(SUMPRODUCT((E550:Q550)*1)=0,0,E550*INDEX(Hours!M:M,MATCH(C550,Hours!$A:$A,0))+F550*INDEX(Hours!B:B,MATCH(C550,Hours!$A:$A,0))+G550*INDEX(Hours!C:C,MATCH(C550,Hours!$A:$A,0))+H550*INDEX(Hours!D:D,MATCH(C550,Hours!$A:$A,0))+I550*INDEX(Hours!E:E,MATCH(C550,Hours!$A:$A,0))+J550*INDEX(Hours!F:F,MATCH(C550,Hours!$A:$A,0)))</f>
        <v>0</v>
      </c>
      <c r="S550" s="19">
        <f t="shared" si="17"/>
        <v>0</v>
      </c>
    </row>
    <row r="551" spans="1:19" x14ac:dyDescent="0.25">
      <c r="A551" s="11" t="str">
        <f>'Bldgs &amp; Rooms'!$A$16</f>
        <v>Main Bldg.</v>
      </c>
      <c r="B551" s="11">
        <f>'Bldgs &amp; Rooms'!$B$16</f>
        <v>0</v>
      </c>
      <c r="C551" s="10" t="str">
        <f>Hours!$A$33</f>
        <v>Motors 201-500 HP</v>
      </c>
      <c r="D551" s="11">
        <f t="shared" si="16"/>
        <v>0</v>
      </c>
      <c r="E551" s="16">
        <f>IF('Components Yr 1'!E551=0,0,'Components Yr 1'!E551)</f>
        <v>0</v>
      </c>
      <c r="F551" s="17">
        <f>IF('Components Yr 1'!F551=0,0,'Components Yr 1'!F551)</f>
        <v>0</v>
      </c>
      <c r="G551" s="17">
        <f>IF('Components Yr 1'!G551=0,0,'Components Yr 1'!G551)</f>
        <v>0</v>
      </c>
      <c r="H551" s="17">
        <f>IF('Components Yr 1'!H551=0,0,'Components Yr 1'!H551)</f>
        <v>0</v>
      </c>
      <c r="I551" s="17">
        <f>IF('Components Yr 1'!I551=0,0,'Components Yr 1'!I551)</f>
        <v>0</v>
      </c>
      <c r="J551" s="17">
        <f>IF('Components Yr 1'!J551=0,0,'Components Yr 1'!J551)</f>
        <v>0</v>
      </c>
      <c r="K551" s="12"/>
      <c r="L551" s="12"/>
      <c r="M551" s="12"/>
      <c r="N551" s="12"/>
      <c r="O551" s="12"/>
      <c r="P551" s="12"/>
      <c r="Q551" s="17"/>
      <c r="R551" s="18">
        <f>IF(SUMPRODUCT((E551:Q551)*1)=0,0,E551*INDEX(Hours!M:M,MATCH(C551,Hours!$A:$A,0))+F551*INDEX(Hours!B:B,MATCH(C551,Hours!$A:$A,0))+G551*INDEX(Hours!C:C,MATCH(C551,Hours!$A:$A,0))+H551*INDEX(Hours!D:D,MATCH(C551,Hours!$A:$A,0))+I551*INDEX(Hours!E:E,MATCH(C551,Hours!$A:$A,0))+J551*INDEX(Hours!F:F,MATCH(C551,Hours!$A:$A,0)))</f>
        <v>0</v>
      </c>
      <c r="S551" s="19">
        <f t="shared" si="17"/>
        <v>0</v>
      </c>
    </row>
    <row r="552" spans="1:19" x14ac:dyDescent="0.25">
      <c r="A552" s="11" t="str">
        <f>'Bldgs &amp; Rooms'!$A$16</f>
        <v>Main Bldg.</v>
      </c>
      <c r="B552" s="11">
        <f>'Bldgs &amp; Rooms'!$B$16</f>
        <v>0</v>
      </c>
      <c r="C552" s="10" t="str">
        <f>Hours!$A$34</f>
        <v>Compressed Air Equipment</v>
      </c>
      <c r="D552" s="11">
        <f t="shared" si="16"/>
        <v>0</v>
      </c>
      <c r="E552" s="16">
        <f>IF('Components Yr 1'!E552=0,0,'Components Yr 1'!E552)</f>
        <v>0</v>
      </c>
      <c r="F552" s="17">
        <f>IF('Components Yr 1'!F552=0,0,'Components Yr 1'!F552)</f>
        <v>0</v>
      </c>
      <c r="G552" s="17">
        <f>IF('Components Yr 1'!G552=0,0,'Components Yr 1'!G552)</f>
        <v>0</v>
      </c>
      <c r="H552" s="17">
        <f>IF('Components Yr 1'!H552=0,0,'Components Yr 1'!H552)</f>
        <v>0</v>
      </c>
      <c r="I552" s="17">
        <f>IF('Components Yr 1'!I552=0,0,'Components Yr 1'!I552)</f>
        <v>0</v>
      </c>
      <c r="J552" s="17">
        <f>IF('Components Yr 1'!J552=0,0,'Components Yr 1'!J552)</f>
        <v>0</v>
      </c>
      <c r="K552" s="12"/>
      <c r="L552" s="12"/>
      <c r="M552" s="12"/>
      <c r="N552" s="12"/>
      <c r="O552" s="12"/>
      <c r="P552" s="12"/>
      <c r="Q552" s="17"/>
      <c r="R552" s="18">
        <f>IF(SUMPRODUCT((E552:Q552)*1)=0,0,E552*INDEX(Hours!M:M,MATCH(C552,Hours!$A:$A,0))+F552*INDEX(Hours!B:B,MATCH(C552,Hours!$A:$A,0))+G552*INDEX(Hours!C:C,MATCH(C552,Hours!$A:$A,0))+H552*INDEX(Hours!D:D,MATCH(C552,Hours!$A:$A,0))+I552*INDEX(Hours!E:E,MATCH(C552,Hours!$A:$A,0))+J552*INDEX(Hours!F:F,MATCH(C552,Hours!$A:$A,0)))</f>
        <v>0</v>
      </c>
      <c r="S552" s="19">
        <f t="shared" si="17"/>
        <v>0</v>
      </c>
    </row>
    <row r="553" spans="1:19" x14ac:dyDescent="0.25">
      <c r="A553" s="11" t="str">
        <f>'Bldgs &amp; Rooms'!$A$16</f>
        <v>Main Bldg.</v>
      </c>
      <c r="B553" s="11">
        <f>'Bldgs &amp; Rooms'!$B$16</f>
        <v>0</v>
      </c>
      <c r="C553" s="10" t="str">
        <f>Hours!$A$35</f>
        <v>HVAC Equipment (Large)</v>
      </c>
      <c r="D553" s="11">
        <f t="shared" si="16"/>
        <v>0</v>
      </c>
      <c r="E553" s="16">
        <f>IF('Components Yr 1'!E553=0,0,'Components Yr 1'!E553)</f>
        <v>0</v>
      </c>
      <c r="F553" s="17">
        <f>IF('Components Yr 1'!F553=0,0,'Components Yr 1'!F553)</f>
        <v>0</v>
      </c>
      <c r="G553" s="17">
        <f>IF('Components Yr 1'!G553=0,0,'Components Yr 1'!G553)</f>
        <v>0</v>
      </c>
      <c r="H553" s="17">
        <f>IF('Components Yr 1'!H553=0,0,'Components Yr 1'!H553)</f>
        <v>0</v>
      </c>
      <c r="I553" s="17">
        <f>IF('Components Yr 1'!I553=0,0,'Components Yr 1'!I553)</f>
        <v>0</v>
      </c>
      <c r="J553" s="17">
        <f>IF('Components Yr 1'!J553=0,0,'Components Yr 1'!J553)</f>
        <v>0</v>
      </c>
      <c r="K553" s="12"/>
      <c r="L553" s="12"/>
      <c r="M553" s="12"/>
      <c r="N553" s="12"/>
      <c r="O553" s="12"/>
      <c r="P553" s="12"/>
      <c r="Q553" s="17"/>
      <c r="R553" s="18">
        <f>IF(SUMPRODUCT((E553:Q553)*1)=0,0,E553*INDEX(Hours!M:M,MATCH(C553,Hours!$A:$A,0))+F553*INDEX(Hours!B:B,MATCH(C553,Hours!$A:$A,0))+G553*INDEX(Hours!C:C,MATCH(C553,Hours!$A:$A,0))+H553*INDEX(Hours!D:D,MATCH(C553,Hours!$A:$A,0))+I553*INDEX(Hours!E:E,MATCH(C553,Hours!$A:$A,0))+J553*INDEX(Hours!F:F,MATCH(C553,Hours!$A:$A,0)))</f>
        <v>0</v>
      </c>
      <c r="S553" s="19">
        <f t="shared" si="17"/>
        <v>0</v>
      </c>
    </row>
    <row r="554" spans="1:19" x14ac:dyDescent="0.25">
      <c r="A554" s="11" t="str">
        <f>'Bldgs &amp; Rooms'!$A$16</f>
        <v>Main Bldg.</v>
      </c>
      <c r="B554" s="11">
        <f>'Bldgs &amp; Rooms'!$B$16</f>
        <v>0</v>
      </c>
      <c r="C554" s="10" t="str">
        <f>Hours!$A$36</f>
        <v>HVAC Equipment (Small)</v>
      </c>
      <c r="D554" s="11">
        <f t="shared" si="16"/>
        <v>0</v>
      </c>
      <c r="E554" s="16">
        <f>IF('Components Yr 1'!E554=0,0,'Components Yr 1'!E554)</f>
        <v>0</v>
      </c>
      <c r="F554" s="17">
        <f>IF('Components Yr 1'!F554=0,0,'Components Yr 1'!F554)</f>
        <v>0</v>
      </c>
      <c r="G554" s="17">
        <f>IF('Components Yr 1'!G554=0,0,'Components Yr 1'!G554)</f>
        <v>0</v>
      </c>
      <c r="H554" s="17">
        <f>IF('Components Yr 1'!H554=0,0,'Components Yr 1'!H554)</f>
        <v>0</v>
      </c>
      <c r="I554" s="17">
        <f>IF('Components Yr 1'!I554=0,0,'Components Yr 1'!I554)</f>
        <v>0</v>
      </c>
      <c r="J554" s="17">
        <f>IF('Components Yr 1'!J554=0,0,'Components Yr 1'!J554)</f>
        <v>0</v>
      </c>
      <c r="K554" s="12"/>
      <c r="L554" s="12"/>
      <c r="M554" s="12"/>
      <c r="N554" s="12"/>
      <c r="O554" s="12"/>
      <c r="P554" s="12"/>
      <c r="Q554" s="17"/>
      <c r="R554" s="18">
        <f>IF(SUMPRODUCT((E554:Q554)*1)=0,0,E554*INDEX(Hours!M:M,MATCH(C554,Hours!$A:$A,0))+F554*INDEX(Hours!B:B,MATCH(C554,Hours!$A:$A,0))+G554*INDEX(Hours!C:C,MATCH(C554,Hours!$A:$A,0))+H554*INDEX(Hours!D:D,MATCH(C554,Hours!$A:$A,0))+I554*INDEX(Hours!E:E,MATCH(C554,Hours!$A:$A,0))+J554*INDEX(Hours!F:F,MATCH(C554,Hours!$A:$A,0)))</f>
        <v>0</v>
      </c>
      <c r="S554" s="19">
        <f t="shared" si="17"/>
        <v>0</v>
      </c>
    </row>
    <row r="555" spans="1:19" x14ac:dyDescent="0.25">
      <c r="A555" s="11" t="str">
        <f>'Bldgs &amp; Rooms'!$A$16</f>
        <v>Main Bldg.</v>
      </c>
      <c r="B555" s="11">
        <f>'Bldgs &amp; Rooms'!$B$16</f>
        <v>0</v>
      </c>
      <c r="C555" s="10" t="str">
        <f>Hours!$A$37</f>
        <v>Uninterruptible Power Supply (UPS) &lt; 50kVA</v>
      </c>
      <c r="D555" s="11">
        <f t="shared" si="16"/>
        <v>0</v>
      </c>
      <c r="E555" s="16">
        <f>IF('Components Yr 1'!E555=0,0,'Components Yr 1'!E555)</f>
        <v>0</v>
      </c>
      <c r="F555" s="17">
        <f>IF('Components Yr 1'!F555=0,0,'Components Yr 1'!F555)</f>
        <v>0</v>
      </c>
      <c r="G555" s="17">
        <f>IF('Components Yr 1'!G555=0,0,'Components Yr 1'!G555)</f>
        <v>0</v>
      </c>
      <c r="H555" s="17">
        <f>IF('Components Yr 1'!H555=0,0,'Components Yr 1'!H555)</f>
        <v>0</v>
      </c>
      <c r="I555" s="17">
        <f>IF('Components Yr 1'!I555=0,0,'Components Yr 1'!I555)</f>
        <v>0</v>
      </c>
      <c r="J555" s="17">
        <f>IF('Components Yr 1'!J555=0,0,'Components Yr 1'!J555)</f>
        <v>0</v>
      </c>
      <c r="K555" s="12"/>
      <c r="L555" s="12"/>
      <c r="M555" s="12"/>
      <c r="N555" s="12"/>
      <c r="O555" s="12"/>
      <c r="P555" s="12"/>
      <c r="Q555" s="17"/>
      <c r="R555" s="18">
        <f>IF(SUMPRODUCT((E555:Q555)*1)=0,0,E555*INDEX(Hours!M:M,MATCH(C555,Hours!$A:$A,0))+F555*INDEX(Hours!B:B,MATCH(C555,Hours!$A:$A,0))+G555*INDEX(Hours!C:C,MATCH(C555,Hours!$A:$A,0))+H555*INDEX(Hours!D:D,MATCH(C555,Hours!$A:$A,0))+I555*INDEX(Hours!E:E,MATCH(C555,Hours!$A:$A,0))+J555*INDEX(Hours!F:F,MATCH(C555,Hours!$A:$A,0)))</f>
        <v>0</v>
      </c>
      <c r="S555" s="19">
        <f t="shared" si="17"/>
        <v>0</v>
      </c>
    </row>
    <row r="556" spans="1:19" x14ac:dyDescent="0.25">
      <c r="A556" s="11" t="str">
        <f>'Bldgs &amp; Rooms'!$A$16</f>
        <v>Main Bldg.</v>
      </c>
      <c r="B556" s="11">
        <f>'Bldgs &amp; Rooms'!$B$16</f>
        <v>0</v>
      </c>
      <c r="C556" s="10" t="str">
        <f>Hours!$A$38</f>
        <v>Uninterruptible Power Supply (UPS) &gt; 50kVA</v>
      </c>
      <c r="D556" s="11">
        <f t="shared" si="16"/>
        <v>0</v>
      </c>
      <c r="E556" s="16">
        <f>IF('Components Yr 1'!E556=0,0,'Components Yr 1'!E556)</f>
        <v>0</v>
      </c>
      <c r="F556" s="17">
        <f>IF('Components Yr 1'!F556=0,0,'Components Yr 1'!F556)</f>
        <v>0</v>
      </c>
      <c r="G556" s="17">
        <f>IF('Components Yr 1'!G556=0,0,'Components Yr 1'!G556)</f>
        <v>0</v>
      </c>
      <c r="H556" s="17">
        <f>IF('Components Yr 1'!H556=0,0,'Components Yr 1'!H556)</f>
        <v>0</v>
      </c>
      <c r="I556" s="17">
        <f>IF('Components Yr 1'!I556=0,0,'Components Yr 1'!I556)</f>
        <v>0</v>
      </c>
      <c r="J556" s="17">
        <f>IF('Components Yr 1'!J556=0,0,'Components Yr 1'!J556)</f>
        <v>0</v>
      </c>
      <c r="K556" s="12"/>
      <c r="L556" s="12"/>
      <c r="M556" s="12"/>
      <c r="N556" s="12"/>
      <c r="O556" s="12"/>
      <c r="P556" s="12"/>
      <c r="Q556" s="17"/>
      <c r="R556" s="18">
        <f>IF(SUMPRODUCT((E556:Q556)*1)=0,0,E556*INDEX(Hours!M:M,MATCH(C556,Hours!$A:$A,0))+F556*INDEX(Hours!B:B,MATCH(C556,Hours!$A:$A,0))+G556*INDEX(Hours!C:C,MATCH(C556,Hours!$A:$A,0))+H556*INDEX(Hours!D:D,MATCH(C556,Hours!$A:$A,0))+I556*INDEX(Hours!E:E,MATCH(C556,Hours!$A:$A,0))+J556*INDEX(Hours!F:F,MATCH(C556,Hours!$A:$A,0)))</f>
        <v>0</v>
      </c>
      <c r="S556" s="19">
        <f t="shared" si="17"/>
        <v>0</v>
      </c>
    </row>
    <row r="557" spans="1:19" x14ac:dyDescent="0.25">
      <c r="A557" s="15" t="str">
        <f>'Bldgs &amp; Rooms'!$A$17</f>
        <v>Main Bldg.</v>
      </c>
      <c r="B557" s="15">
        <f>'Bldgs &amp; Rooms'!$B$17</f>
        <v>0</v>
      </c>
      <c r="C557" s="14" t="str">
        <f>Hours!$A$2</f>
        <v>Switchgear - Incoming Main Service (Per Section)</v>
      </c>
      <c r="D557" s="15">
        <f t="shared" si="16"/>
        <v>0</v>
      </c>
      <c r="E557" s="16">
        <f>IF('Components Yr 1'!E557=0,0,'Components Yr 1'!E557)</f>
        <v>0</v>
      </c>
      <c r="F557" s="17">
        <f>IF('Components Yr 1'!F557=0,0,'Components Yr 1'!F557)</f>
        <v>0</v>
      </c>
      <c r="G557" s="17">
        <f>IF('Components Yr 1'!G557=0,0,'Components Yr 1'!G557)</f>
        <v>0</v>
      </c>
      <c r="H557" s="17">
        <f>IF('Components Yr 1'!H557=0,0,'Components Yr 1'!H557)</f>
        <v>0</v>
      </c>
      <c r="I557" s="17">
        <f>IF('Components Yr 1'!I557=0,0,'Components Yr 1'!I557)</f>
        <v>0</v>
      </c>
      <c r="J557" s="17">
        <f>IF('Components Yr 1'!J557=0,0,'Components Yr 1'!J557)</f>
        <v>0</v>
      </c>
      <c r="K557" s="17">
        <f>IF('Components Yr 1'!K557=0,0,'Components Yr 1'!K557)</f>
        <v>0</v>
      </c>
      <c r="L557" s="17">
        <f>IF('Components Yr 1'!L557=0,0,'Components Yr 1'!L557)</f>
        <v>0</v>
      </c>
      <c r="M557" s="12"/>
      <c r="N557" s="12"/>
      <c r="O557" s="17">
        <f>IF('Components Yr 1'!O557=0,0,'Components Yr 1'!O557)</f>
        <v>0</v>
      </c>
      <c r="P557" s="12"/>
      <c r="Q557" s="17"/>
      <c r="R557" s="18">
        <f>IF(SUMPRODUCT((E557:Q557)*1)=0,0,E557*INDEX(Hours!M:M,MATCH(C557,Hours!$A:$A,0))+F557*INDEX(Hours!B:B,MATCH(C557,Hours!$A:$A,0))+G557*INDEX(Hours!C:C,MATCH(C557,Hours!$A:$A,0))+H557*INDEX(Hours!D:D,MATCH(C557,Hours!$A:$A,0))+I557*INDEX(Hours!E:E,MATCH(C557,Hours!$A:$A,0))+J557*INDEX(Hours!F:F,MATCH(C557,Hours!$A:$A,0))+K557*INDEX(Hours!G:G,MATCH(C557,Hours!$A:$A,0))+L557*INDEX(Hours!H:H,MATCH(C557,Hours!$A:$A,0))+O557*INDEX(Hours!K:K,MATCH(C557,Hours!$A:$A,0)))</f>
        <v>0</v>
      </c>
      <c r="S557" s="19">
        <f t="shared" si="17"/>
        <v>0</v>
      </c>
    </row>
    <row r="558" spans="1:19" x14ac:dyDescent="0.25">
      <c r="A558" s="15" t="str">
        <f>'Bldgs &amp; Rooms'!$A$17</f>
        <v>Main Bldg.</v>
      </c>
      <c r="B558" s="15">
        <f>'Bldgs &amp; Rooms'!$B$17</f>
        <v>0</v>
      </c>
      <c r="C558" s="14" t="str">
        <f>Hours!$A$3</f>
        <v xml:space="preserve">  Switchgear Insulated Case Breakers (Bus Mounted)</v>
      </c>
      <c r="D558" s="15">
        <f t="shared" si="16"/>
        <v>0</v>
      </c>
      <c r="E558" s="16">
        <f>IF('Components Yr 1'!E558=0,0,'Components Yr 1'!E558)</f>
        <v>0</v>
      </c>
      <c r="F558" s="17">
        <f>IF('Components Yr 1'!F558=0,0,'Components Yr 1'!F558)</f>
        <v>0</v>
      </c>
      <c r="G558" s="17">
        <f>IF('Components Yr 1'!G558=0,0,'Components Yr 1'!G558)</f>
        <v>0</v>
      </c>
      <c r="H558" s="17">
        <f>IF('Components Yr 1'!H558=0,0,'Components Yr 1'!H558)</f>
        <v>0</v>
      </c>
      <c r="I558" s="17">
        <f>IF('Components Yr 1'!I558=0,0,'Components Yr 1'!I558)</f>
        <v>0</v>
      </c>
      <c r="J558" s="17">
        <f>IF('Components Yr 1'!J558=0,0,'Components Yr 1'!J558)</f>
        <v>0</v>
      </c>
      <c r="K558" s="17">
        <f>IF('Components Yr 1'!K558=0,0,'Components Yr 1'!K558)</f>
        <v>0</v>
      </c>
      <c r="L558" s="12"/>
      <c r="M558" s="12"/>
      <c r="N558" s="12"/>
      <c r="O558" s="12"/>
      <c r="P558" s="12"/>
      <c r="Q558" s="17"/>
      <c r="R558" s="18">
        <f>IF(SUMPRODUCT((E558:Q558)*1)=0,0,E558*INDEX(Hours!M:M,MATCH(C558,Hours!$A:$A,0))+F558*INDEX(Hours!B:B,MATCH(C558,Hours!$A:$A,0))+G558*INDEX(Hours!C:C,MATCH(C558,Hours!$A:$A,0))+H558*INDEX(Hours!D:D,MATCH(C558,Hours!$A:$A,0))+I558*INDEX(Hours!E:E,MATCH(C558,Hours!$A:$A,0))+J558*INDEX(Hours!F:F,MATCH(C558,Hours!$A:$A,0))+K558*INDEX(Hours!G:G,MATCH(C558,Hours!$A:$A,0)))</f>
        <v>0</v>
      </c>
      <c r="S558" s="19">
        <f t="shared" si="17"/>
        <v>0</v>
      </c>
    </row>
    <row r="559" spans="1:19" x14ac:dyDescent="0.25">
      <c r="A559" s="15" t="str">
        <f>'Bldgs &amp; Rooms'!$A$17</f>
        <v>Main Bldg.</v>
      </c>
      <c r="B559" s="15">
        <f>'Bldgs &amp; Rooms'!$B$17</f>
        <v>0</v>
      </c>
      <c r="C559" s="14" t="str">
        <f>Hours!$A$4</f>
        <v xml:space="preserve">  SwitchGear Drawout Breakers</v>
      </c>
      <c r="D559" s="15">
        <f t="shared" si="16"/>
        <v>0</v>
      </c>
      <c r="E559" s="16">
        <f>IF('Components Yr 1'!E559=0,0,'Components Yr 1'!E559)</f>
        <v>0</v>
      </c>
      <c r="F559" s="17">
        <f>IF('Components Yr 1'!F559=0,0,'Components Yr 1'!F559)</f>
        <v>0</v>
      </c>
      <c r="G559" s="17">
        <f>IF('Components Yr 1'!G559=0,0,'Components Yr 1'!G559)</f>
        <v>0</v>
      </c>
      <c r="H559" s="17">
        <f>IF('Components Yr 1'!H559=0,0,'Components Yr 1'!H559)</f>
        <v>0</v>
      </c>
      <c r="I559" s="17">
        <f>IF('Components Yr 1'!I559=0,0,'Components Yr 1'!I559)</f>
        <v>0</v>
      </c>
      <c r="J559" s="17">
        <f>IF('Components Yr 1'!J559=0,0,'Components Yr 1'!J559)</f>
        <v>0</v>
      </c>
      <c r="K559" s="12"/>
      <c r="L559" s="17">
        <f>IF('Components Yr 1'!L559=0,0,'Components Yr 1'!L559)</f>
        <v>0</v>
      </c>
      <c r="M559" s="12"/>
      <c r="N559" s="12"/>
      <c r="O559" s="12"/>
      <c r="P559" s="12"/>
      <c r="Q559" s="17"/>
      <c r="R559" s="18">
        <f>IF(SUMPRODUCT((E559:Q559)*1)=0,0,E559*INDEX(Hours!M:M,MATCH(C559,Hours!$A:$A,0))+F559*INDEX(Hours!B:B,MATCH(C559,Hours!$A:$A,0))+G559*INDEX(Hours!C:C,MATCH(C559,Hours!$A:$A,0))+H559*INDEX(Hours!D:D,MATCH(C559,Hours!$A:$A,0))+I559*INDEX(Hours!E:E,MATCH(C559,Hours!$A:$A,0))+J559*INDEX(Hours!F:F,MATCH(C559,Hours!$A:$A,0))+L559*INDEX(Hours!H:H,MATCH(C559,Hours!$A:$A,0)))</f>
        <v>0</v>
      </c>
      <c r="S559" s="19">
        <f t="shared" si="17"/>
        <v>0</v>
      </c>
    </row>
    <row r="560" spans="1:19" x14ac:dyDescent="0.25">
      <c r="A560" s="15" t="str">
        <f>'Bldgs &amp; Rooms'!$A$17</f>
        <v>Main Bldg.</v>
      </c>
      <c r="B560" s="15">
        <f>'Bldgs &amp; Rooms'!$B$17</f>
        <v>0</v>
      </c>
      <c r="C560" s="14" t="str">
        <f>Hours!$A$5</f>
        <v>Distribution Switchboard Multi Cover (Per Section)</v>
      </c>
      <c r="D560" s="15">
        <f t="shared" si="16"/>
        <v>0</v>
      </c>
      <c r="E560" s="16">
        <f>IF('Components Yr 1'!E560=0,0,'Components Yr 1'!E560)</f>
        <v>0</v>
      </c>
      <c r="F560" s="17">
        <f>IF('Components Yr 1'!F560=0,0,'Components Yr 1'!F560)</f>
        <v>0</v>
      </c>
      <c r="G560" s="17">
        <f>IF('Components Yr 1'!G560=0,0,'Components Yr 1'!G560)</f>
        <v>0</v>
      </c>
      <c r="H560" s="17">
        <f>IF('Components Yr 1'!H560=0,0,'Components Yr 1'!H560)</f>
        <v>0</v>
      </c>
      <c r="I560" s="17">
        <f>IF('Components Yr 1'!I560=0,0,'Components Yr 1'!I560)</f>
        <v>0</v>
      </c>
      <c r="J560" s="17">
        <f>IF('Components Yr 1'!J560=0,0,'Components Yr 1'!J560)</f>
        <v>0</v>
      </c>
      <c r="K560" s="17">
        <f>IF('Components Yr 1'!K560=0,0,'Components Yr 1'!K560)</f>
        <v>0</v>
      </c>
      <c r="L560" s="12"/>
      <c r="M560" s="12"/>
      <c r="N560" s="12"/>
      <c r="O560" s="17">
        <f>IF('Components Yr 1'!O560=0,0,'Components Yr 1'!O560)</f>
        <v>0</v>
      </c>
      <c r="P560" s="12"/>
      <c r="Q560" s="17"/>
      <c r="R560" s="18">
        <f>IF(SUMPRODUCT((E560:Q560)*1)=0,0,E560*INDEX(Hours!M:M,MATCH(C560,Hours!$A:$A,0))+F560*INDEX(Hours!B:B,MATCH(C560,Hours!$A:$A,0))+G560*INDEX(Hours!C:C,MATCH(C560,Hours!$A:$A,0))+H560*INDEX(Hours!D:D,MATCH(C560,Hours!$A:$A,0))+I560*INDEX(Hours!E:E,MATCH(C560,Hours!$A:$A,0))+J560*INDEX(Hours!F:F,MATCH(C560,Hours!$A:$A,0))+K560*INDEX(Hours!G:G,MATCH(C560,Hours!$A:$A,0))+O560*INDEX(Hours!K:K,MATCH(C560,Hours!$A:$A,0)))</f>
        <v>0</v>
      </c>
      <c r="S560" s="19">
        <f t="shared" si="17"/>
        <v>0</v>
      </c>
    </row>
    <row r="561" spans="1:19" x14ac:dyDescent="0.25">
      <c r="A561" s="15" t="str">
        <f>'Bldgs &amp; Rooms'!$A$17</f>
        <v>Main Bldg.</v>
      </c>
      <c r="B561" s="15">
        <f>'Bldgs &amp; Rooms'!$B$17</f>
        <v>0</v>
      </c>
      <c r="C561" s="14" t="str">
        <f>Hours!$A$6</f>
        <v xml:space="preserve">  Switchboard Disconnects</v>
      </c>
      <c r="D561" s="15">
        <f t="shared" si="16"/>
        <v>0</v>
      </c>
      <c r="E561" s="16">
        <f>IF('Components Yr 1'!E561=0,0,'Components Yr 1'!E561)</f>
        <v>0</v>
      </c>
      <c r="F561" s="17">
        <f>IF('Components Yr 1'!F561=0,0,'Components Yr 1'!F561)</f>
        <v>0</v>
      </c>
      <c r="G561" s="17">
        <f>IF('Components Yr 1'!G561=0,0,'Components Yr 1'!G561)</f>
        <v>0</v>
      </c>
      <c r="H561" s="17">
        <f>IF('Components Yr 1'!H561=0,0,'Components Yr 1'!H561)</f>
        <v>0</v>
      </c>
      <c r="I561" s="17">
        <f>IF('Components Yr 1'!I561=0,0,'Components Yr 1'!I561)</f>
        <v>0</v>
      </c>
      <c r="J561" s="17">
        <f>IF('Components Yr 1'!J561=0,0,'Components Yr 1'!J561)</f>
        <v>0</v>
      </c>
      <c r="K561" s="12"/>
      <c r="L561" s="12"/>
      <c r="M561" s="12"/>
      <c r="N561" s="12"/>
      <c r="O561" s="12"/>
      <c r="P561" s="12"/>
      <c r="Q561" s="17"/>
      <c r="R561" s="18">
        <f>IF(SUMPRODUCT((E561:Q561)*1)=0,0,E561*INDEX(Hours!M:M,MATCH(C561,Hours!$A:$A,0))+F561*INDEX(Hours!B:B,MATCH(C561,Hours!$A:$A,0))+G561*INDEX(Hours!C:C,MATCH(C561,Hours!$A:$A,0))+H561*INDEX(Hours!D:D,MATCH(C561,Hours!$A:$A,0))+I561*INDEX(Hours!E:E,MATCH(C561,Hours!$A:$A,0))+J561*INDEX(Hours!F:F,MATCH(C561,Hours!$A:$A,0)))</f>
        <v>0</v>
      </c>
      <c r="S561" s="19">
        <f t="shared" si="17"/>
        <v>0</v>
      </c>
    </row>
    <row r="562" spans="1:19" x14ac:dyDescent="0.25">
      <c r="A562" s="15" t="str">
        <f>'Bldgs &amp; Rooms'!$A$17</f>
        <v>Main Bldg.</v>
      </c>
      <c r="B562" s="15">
        <f>'Bldgs &amp; Rooms'!$B$17</f>
        <v>0</v>
      </c>
      <c r="C562" s="14" t="str">
        <f>Hours!$A$7</f>
        <v xml:space="preserve">  Switchboard Molded Case Breakers</v>
      </c>
      <c r="D562" s="15">
        <f t="shared" si="16"/>
        <v>0</v>
      </c>
      <c r="E562" s="16">
        <f>IF('Components Yr 1'!E562=0,0,'Components Yr 1'!E562)</f>
        <v>0</v>
      </c>
      <c r="F562" s="17">
        <f>IF('Components Yr 1'!F562=0,0,'Components Yr 1'!F562)</f>
        <v>0</v>
      </c>
      <c r="G562" s="17">
        <f>IF('Components Yr 1'!G562=0,0,'Components Yr 1'!G562)</f>
        <v>0</v>
      </c>
      <c r="H562" s="17">
        <f>IF('Components Yr 1'!H562=0,0,'Components Yr 1'!H562)</f>
        <v>0</v>
      </c>
      <c r="I562" s="17">
        <f>IF('Components Yr 1'!I562=0,0,'Components Yr 1'!I562)</f>
        <v>0</v>
      </c>
      <c r="J562" s="17">
        <f>IF('Components Yr 1'!J562=0,0,'Components Yr 1'!J562)</f>
        <v>0</v>
      </c>
      <c r="K562" s="17">
        <f>IF('Components Yr 1'!K562=0,0,'Components Yr 1'!K562)</f>
        <v>0</v>
      </c>
      <c r="L562" s="12"/>
      <c r="M562" s="12"/>
      <c r="N562" s="12"/>
      <c r="O562" s="12"/>
      <c r="P562" s="12"/>
      <c r="Q562" s="17"/>
      <c r="R562" s="18">
        <f>IF(SUMPRODUCT((E562:Q562)*1)=0,0,E562*INDEX(Hours!M:M,MATCH(C562,Hours!$A:$A,0))+F562*INDEX(Hours!B:B,MATCH(C562,Hours!$A:$A,0))+G562*INDEX(Hours!C:C,MATCH(C562,Hours!$A:$A,0))+H562*INDEX(Hours!D:D,MATCH(C562,Hours!$A:$A,0))+I562*INDEX(Hours!E:E,MATCH(C562,Hours!$A:$A,0))+J562*INDEX(Hours!F:F,MATCH(C562,Hours!$A:$A,0))+K562*INDEX(Hours!G:G,MATCH(C562,Hours!$A:$A,0)))</f>
        <v>0</v>
      </c>
      <c r="S562" s="19">
        <f t="shared" si="17"/>
        <v>0</v>
      </c>
    </row>
    <row r="563" spans="1:19" x14ac:dyDescent="0.25">
      <c r="A563" s="15" t="str">
        <f>'Bldgs &amp; Rooms'!$A$17</f>
        <v>Main Bldg.</v>
      </c>
      <c r="B563" s="15">
        <f>'Bldgs &amp; Rooms'!$B$17</f>
        <v>0</v>
      </c>
      <c r="C563" s="14" t="str">
        <f>Hours!$A$8</f>
        <v>Panelboard-Single Cover &gt; 400A (Distribution Panel)</v>
      </c>
      <c r="D563" s="15">
        <f t="shared" si="16"/>
        <v>0</v>
      </c>
      <c r="E563" s="16">
        <f>IF('Components Yr 1'!E563=0,0,'Components Yr 1'!E563)</f>
        <v>0</v>
      </c>
      <c r="F563" s="17">
        <f>IF('Components Yr 1'!F563=0,0,'Components Yr 1'!F563)</f>
        <v>0</v>
      </c>
      <c r="G563" s="17">
        <f>IF('Components Yr 1'!G563=0,0,'Components Yr 1'!G563)</f>
        <v>0</v>
      </c>
      <c r="H563" s="17">
        <f>IF('Components Yr 1'!H563=0,0,'Components Yr 1'!H563)</f>
        <v>0</v>
      </c>
      <c r="I563" s="17">
        <f>IF('Components Yr 1'!I563=0,0,'Components Yr 1'!I563)</f>
        <v>0</v>
      </c>
      <c r="J563" s="17">
        <f>IF('Components Yr 1'!J563=0,0,'Components Yr 1'!J563)</f>
        <v>0</v>
      </c>
      <c r="K563" s="17">
        <f>IF('Components Yr 1'!K563=0,0,'Components Yr 1'!K563)</f>
        <v>0</v>
      </c>
      <c r="L563" s="12"/>
      <c r="M563" s="12"/>
      <c r="N563" s="12"/>
      <c r="O563" s="17">
        <f>IF('Components Yr 1'!O563=0,0,'Components Yr 1'!O563)</f>
        <v>0</v>
      </c>
      <c r="P563" s="12"/>
      <c r="Q563" s="17"/>
      <c r="R563" s="18">
        <f>IF(SUMPRODUCT((E563:Q563)*1)=0,0,E563*INDEX(Hours!M:M,MATCH(C563,Hours!$A:$A,0))+F563*INDEX(Hours!B:B,MATCH(C563,Hours!$A:$A,0))+G563*INDEX(Hours!C:C,MATCH(C563,Hours!$A:$A,0))+H563*INDEX(Hours!D:D,MATCH(C563,Hours!$A:$A,0))+I563*INDEX(Hours!E:E,MATCH(C563,Hours!$A:$A,0))+J563*INDEX(Hours!F:F,MATCH(C563,Hours!$A:$A,0))+K563*INDEX(Hours!G:G,MATCH(C563,Hours!$A:$A,0))+O563*INDEX(Hours!K:K,MATCH(C563,Hours!$A:$A,0)))</f>
        <v>0</v>
      </c>
      <c r="S563" s="19">
        <f t="shared" si="17"/>
        <v>0</v>
      </c>
    </row>
    <row r="564" spans="1:19" x14ac:dyDescent="0.25">
      <c r="A564" s="15" t="str">
        <f>'Bldgs &amp; Rooms'!$A$17</f>
        <v>Main Bldg.</v>
      </c>
      <c r="B564" s="15">
        <f>'Bldgs &amp; Rooms'!$B$17</f>
        <v>0</v>
      </c>
      <c r="C564" s="14" t="str">
        <f>Hours!$A$9</f>
        <v>Panelboard-Single Cover &lt; 400A (Branch Ckt Panel)</v>
      </c>
      <c r="D564" s="15">
        <f t="shared" si="16"/>
        <v>0</v>
      </c>
      <c r="E564" s="16">
        <f>IF('Components Yr 1'!E564=0,0,'Components Yr 1'!E564)</f>
        <v>0</v>
      </c>
      <c r="F564" s="17">
        <f>IF('Components Yr 1'!F564=0,0,'Components Yr 1'!F564)</f>
        <v>0</v>
      </c>
      <c r="G564" s="17">
        <f>IF('Components Yr 1'!G564=0,0,'Components Yr 1'!G564)</f>
        <v>0</v>
      </c>
      <c r="H564" s="17">
        <f>IF('Components Yr 1'!H564=0,0,'Components Yr 1'!H564)</f>
        <v>0</v>
      </c>
      <c r="I564" s="17">
        <f>IF('Components Yr 1'!I564=0,0,'Components Yr 1'!I564)</f>
        <v>0</v>
      </c>
      <c r="J564" s="17">
        <f>IF('Components Yr 1'!J564=0,0,'Components Yr 1'!J564)</f>
        <v>0</v>
      </c>
      <c r="K564" s="12"/>
      <c r="L564" s="12"/>
      <c r="M564" s="12"/>
      <c r="N564" s="12"/>
      <c r="O564" s="17">
        <f>IF('Components Yr 1'!O564=0,0,'Components Yr 1'!O564)</f>
        <v>0</v>
      </c>
      <c r="P564" s="12"/>
      <c r="Q564" s="17"/>
      <c r="R564" s="18">
        <f>IF(SUMPRODUCT((E564:Q564)*1)=0,0,E564*INDEX(Hours!M:M,MATCH(C564,Hours!$A:$A,0))+F564*INDEX(Hours!B:B,MATCH(C564,Hours!$A:$A,0))+G564*INDEX(Hours!C:C,MATCH(C564,Hours!$A:$A,0))+H564*INDEX(Hours!D:D,MATCH(C564,Hours!$A:$A,0))+I564*INDEX(Hours!E:E,MATCH(C564,Hours!$A:$A,0))+J564*INDEX(Hours!F:F,MATCH(C564,Hours!$A:$A,0))+O564*INDEX(Hours!K:K,MATCH(C564,Hours!$A:$A,0)))</f>
        <v>0</v>
      </c>
      <c r="S564" s="19">
        <f t="shared" si="17"/>
        <v>0</v>
      </c>
    </row>
    <row r="565" spans="1:19" x14ac:dyDescent="0.25">
      <c r="A565" s="15" t="str">
        <f>'Bldgs &amp; Rooms'!$A$17</f>
        <v>Main Bldg.</v>
      </c>
      <c r="B565" s="15">
        <f>'Bldgs &amp; Rooms'!$B$17</f>
        <v>0</v>
      </c>
      <c r="C565" s="14" t="str">
        <f>Hours!$A$10</f>
        <v>Motor Control Center (MCC-Per Vertical Section)</v>
      </c>
      <c r="D565" s="15">
        <f t="shared" si="16"/>
        <v>0</v>
      </c>
      <c r="E565" s="16">
        <f>IF('Components Yr 1'!E565=0,0,'Components Yr 1'!E565)</f>
        <v>0</v>
      </c>
      <c r="F565" s="17">
        <f>IF('Components Yr 1'!F565=0,0,'Components Yr 1'!F565)</f>
        <v>0</v>
      </c>
      <c r="G565" s="17">
        <f>IF('Components Yr 1'!G565=0,0,'Components Yr 1'!G565)</f>
        <v>0</v>
      </c>
      <c r="H565" s="17">
        <f>IF('Components Yr 1'!H565=0,0,'Components Yr 1'!H565)</f>
        <v>0</v>
      </c>
      <c r="I565" s="17">
        <f>IF('Components Yr 1'!I565=0,0,'Components Yr 1'!I565)</f>
        <v>0</v>
      </c>
      <c r="J565" s="17">
        <f>IF('Components Yr 1'!J565=0,0,'Components Yr 1'!J565)</f>
        <v>0</v>
      </c>
      <c r="K565" s="12"/>
      <c r="L565" s="12"/>
      <c r="M565" s="12"/>
      <c r="N565" s="12"/>
      <c r="O565" s="17">
        <f>IF('Components Yr 1'!O565=0,0,'Components Yr 1'!O565)</f>
        <v>0</v>
      </c>
      <c r="P565" s="12"/>
      <c r="Q565" s="17"/>
      <c r="R565" s="18">
        <f>IF(SUMPRODUCT((E565:Q565)*1)=0,0,E565*INDEX(Hours!M:M,MATCH(C565,Hours!$A:$A,0))+F565*INDEX(Hours!B:B,MATCH(C565,Hours!$A:$A,0))+G565*INDEX(Hours!C:C,MATCH(C565,Hours!$A:$A,0))+H565*INDEX(Hours!D:D,MATCH(C565,Hours!$A:$A,0))+I565*INDEX(Hours!E:E,MATCH(C565,Hours!$A:$A,0))+J565*INDEX(Hours!F:F,MATCH(C565,Hours!$A:$A,0))+O565*INDEX(Hours!K:K,MATCH(C565,Hours!$A:$A,0)))</f>
        <v>0</v>
      </c>
      <c r="S565" s="19">
        <f t="shared" si="17"/>
        <v>0</v>
      </c>
    </row>
    <row r="566" spans="1:19" x14ac:dyDescent="0.25">
      <c r="A566" s="15" t="str">
        <f>'Bldgs &amp; Rooms'!$A$17</f>
        <v>Main Bldg.</v>
      </c>
      <c r="B566" s="15">
        <f>'Bldgs &amp; Rooms'!$B$17</f>
        <v>0</v>
      </c>
      <c r="C566" s="14" t="str">
        <f>Hours!$A$11</f>
        <v xml:space="preserve">  MCC: Combination Motor Starters</v>
      </c>
      <c r="D566" s="15">
        <f t="shared" si="16"/>
        <v>0</v>
      </c>
      <c r="E566" s="16">
        <f>IF('Components Yr 1'!E566=0,0,'Components Yr 1'!E566)</f>
        <v>0</v>
      </c>
      <c r="F566" s="17">
        <f>IF('Components Yr 1'!F566=0,0,'Components Yr 1'!F566)</f>
        <v>0</v>
      </c>
      <c r="G566" s="17">
        <f>IF('Components Yr 1'!G566=0,0,'Components Yr 1'!G566)</f>
        <v>0</v>
      </c>
      <c r="H566" s="17">
        <f>IF('Components Yr 1'!H566=0,0,'Components Yr 1'!H566)</f>
        <v>0</v>
      </c>
      <c r="I566" s="17">
        <f>IF('Components Yr 1'!I566=0,0,'Components Yr 1'!I566)</f>
        <v>0</v>
      </c>
      <c r="J566" s="17">
        <f>IF('Components Yr 1'!J566=0,0,'Components Yr 1'!J566)</f>
        <v>0</v>
      </c>
      <c r="K566" s="17">
        <f>IF('Components Yr 1'!K566=0,0,'Components Yr 1'!K566)</f>
        <v>0</v>
      </c>
      <c r="L566" s="12"/>
      <c r="M566" s="12"/>
      <c r="N566" s="12"/>
      <c r="O566" s="17">
        <f>IF('Components Yr 1'!O566=0,0,'Components Yr 1'!O566)</f>
        <v>0</v>
      </c>
      <c r="P566" s="12"/>
      <c r="Q566" s="17"/>
      <c r="R566" s="18">
        <f>IF(SUMPRODUCT((E566:Q566)*1)=0,0,E566*INDEX(Hours!M:M,MATCH(C566,Hours!$A:$A,0))+F566*INDEX(Hours!B:B,MATCH(C566,Hours!$A:$A,0))+G566*INDEX(Hours!C:C,MATCH(C566,Hours!$A:$A,0))+H566*INDEX(Hours!D:D,MATCH(C566,Hours!$A:$A,0))+I566*INDEX(Hours!E:E,MATCH(C566,Hours!$A:$A,0))+J566*INDEX(Hours!F:F,MATCH(C566,Hours!$A:$A,0))+K566*INDEX(Hours!G:G,MATCH(C566,Hours!$A:$A,0))+O566*INDEX(Hours!K:K,MATCH(C566,Hours!$A:$A,0)))</f>
        <v>0</v>
      </c>
      <c r="S566" s="19">
        <f t="shared" si="17"/>
        <v>0</v>
      </c>
    </row>
    <row r="567" spans="1:19" x14ac:dyDescent="0.25">
      <c r="A567" s="15" t="str">
        <f>'Bldgs &amp; Rooms'!$A$17</f>
        <v>Main Bldg.</v>
      </c>
      <c r="B567" s="15">
        <f>'Bldgs &amp; Rooms'!$B$17</f>
        <v>0</v>
      </c>
      <c r="C567" s="14" t="str">
        <f>Hours!$A$12</f>
        <v xml:space="preserve">  MCC: Molded Case Breaker</v>
      </c>
      <c r="D567" s="15">
        <f t="shared" si="16"/>
        <v>0</v>
      </c>
      <c r="E567" s="16">
        <f>IF('Components Yr 1'!E567=0,0,'Components Yr 1'!E567)</f>
        <v>0</v>
      </c>
      <c r="F567" s="17">
        <f>IF('Components Yr 1'!F567=0,0,'Components Yr 1'!F567)</f>
        <v>0</v>
      </c>
      <c r="G567" s="17">
        <f>IF('Components Yr 1'!G567=0,0,'Components Yr 1'!G567)</f>
        <v>0</v>
      </c>
      <c r="H567" s="17">
        <f>IF('Components Yr 1'!H567=0,0,'Components Yr 1'!H567)</f>
        <v>0</v>
      </c>
      <c r="I567" s="17">
        <f>IF('Components Yr 1'!I567=0,0,'Components Yr 1'!I567)</f>
        <v>0</v>
      </c>
      <c r="J567" s="17">
        <f>IF('Components Yr 1'!J567=0,0,'Components Yr 1'!J567)</f>
        <v>0</v>
      </c>
      <c r="K567" s="17">
        <f>IF('Components Yr 1'!K567=0,0,'Components Yr 1'!K567)</f>
        <v>0</v>
      </c>
      <c r="L567" s="12"/>
      <c r="M567" s="12"/>
      <c r="N567" s="12"/>
      <c r="O567" s="12"/>
      <c r="P567" s="12"/>
      <c r="Q567" s="17"/>
      <c r="R567" s="18">
        <f>IF(SUMPRODUCT((E567:Q567)*1)=0,0,E567*INDEX(Hours!M:M,MATCH(C567,Hours!$A:$A,0))+F567*INDEX(Hours!B:B,MATCH(C567,Hours!$A:$A,0))+G567*INDEX(Hours!C:C,MATCH(C567,Hours!$A:$A,0))+H567*INDEX(Hours!D:D,MATCH(C567,Hours!$A:$A,0))+I567*INDEX(Hours!E:E,MATCH(C567,Hours!$A:$A,0))+J567*INDEX(Hours!F:F,MATCH(C567,Hours!$A:$A,0))+K567*INDEX(Hours!G:G,MATCH(C567,Hours!$A:$A,0)))</f>
        <v>0</v>
      </c>
      <c r="S567" s="19">
        <f t="shared" si="17"/>
        <v>0</v>
      </c>
    </row>
    <row r="568" spans="1:19" x14ac:dyDescent="0.25">
      <c r="A568" s="15" t="str">
        <f>'Bldgs &amp; Rooms'!$A$17</f>
        <v>Main Bldg.</v>
      </c>
      <c r="B568" s="15">
        <f>'Bldgs &amp; Rooms'!$B$17</f>
        <v>0</v>
      </c>
      <c r="C568" s="14" t="str">
        <f>Hours!$A$13</f>
        <v xml:space="preserve">  MCC: Individual Disconnect Switch</v>
      </c>
      <c r="D568" s="15">
        <f t="shared" si="16"/>
        <v>0</v>
      </c>
      <c r="E568" s="16">
        <f>IF('Components Yr 1'!E568=0,0,'Components Yr 1'!E568)</f>
        <v>0</v>
      </c>
      <c r="F568" s="17">
        <f>IF('Components Yr 1'!F568=0,0,'Components Yr 1'!F568)</f>
        <v>0</v>
      </c>
      <c r="G568" s="17">
        <f>IF('Components Yr 1'!G568=0,0,'Components Yr 1'!G568)</f>
        <v>0</v>
      </c>
      <c r="H568" s="17">
        <f>IF('Components Yr 1'!H568=0,0,'Components Yr 1'!H568)</f>
        <v>0</v>
      </c>
      <c r="I568" s="17">
        <f>IF('Components Yr 1'!I568=0,0,'Components Yr 1'!I568)</f>
        <v>0</v>
      </c>
      <c r="J568" s="17">
        <f>IF('Components Yr 1'!J568=0,0,'Components Yr 1'!J568)</f>
        <v>0</v>
      </c>
      <c r="K568" s="12"/>
      <c r="L568" s="12"/>
      <c r="M568" s="12"/>
      <c r="N568" s="12"/>
      <c r="O568" s="12"/>
      <c r="P568" s="12"/>
      <c r="Q568" s="17"/>
      <c r="R568" s="18">
        <f>IF(SUMPRODUCT((E568:Q568)*1)=0,0,E568*INDEX(Hours!M:M,MATCH(C568,Hours!$A:$A,0))+F568*INDEX(Hours!B:B,MATCH(C568,Hours!$A:$A,0))+G568*INDEX(Hours!C:C,MATCH(C568,Hours!$A:$A,0))+H568*INDEX(Hours!D:D,MATCH(C568,Hours!$A:$A,0))+I568*INDEX(Hours!E:E,MATCH(C568,Hours!$A:$A,0))+J568*INDEX(Hours!F:F,MATCH(C568,Hours!$A:$A,0)))</f>
        <v>0</v>
      </c>
      <c r="S568" s="19">
        <f t="shared" si="17"/>
        <v>0</v>
      </c>
    </row>
    <row r="569" spans="1:19" x14ac:dyDescent="0.25">
      <c r="A569" s="15" t="str">
        <f>'Bldgs &amp; Rooms'!$A$17</f>
        <v>Main Bldg.</v>
      </c>
      <c r="B569" s="15">
        <f>'Bldgs &amp; Rooms'!$B$17</f>
        <v>0</v>
      </c>
      <c r="C569" s="14" t="str">
        <f>Hours!$A$14</f>
        <v>Motor Control Panel (MCP)</v>
      </c>
      <c r="D569" s="15">
        <f t="shared" si="16"/>
        <v>0</v>
      </c>
      <c r="E569" s="16">
        <f>IF('Components Yr 1'!E569=0,0,'Components Yr 1'!E569)</f>
        <v>0</v>
      </c>
      <c r="F569" s="17">
        <f>IF('Components Yr 1'!F569=0,0,'Components Yr 1'!F569)</f>
        <v>0</v>
      </c>
      <c r="G569" s="17">
        <f>IF('Components Yr 1'!G569=0,0,'Components Yr 1'!G569)</f>
        <v>0</v>
      </c>
      <c r="H569" s="17">
        <f>IF('Components Yr 1'!H569=0,0,'Components Yr 1'!H569)</f>
        <v>0</v>
      </c>
      <c r="I569" s="17">
        <f>IF('Components Yr 1'!I569=0,0,'Components Yr 1'!I569)</f>
        <v>0</v>
      </c>
      <c r="J569" s="17">
        <f>IF('Components Yr 1'!J569=0,0,'Components Yr 1'!J569)</f>
        <v>0</v>
      </c>
      <c r="K569" s="12"/>
      <c r="L569" s="12"/>
      <c r="M569" s="12"/>
      <c r="N569" s="12"/>
      <c r="O569" s="17">
        <f>IF('Components Yr 1'!O569=0,0,'Components Yr 1'!O569)</f>
        <v>0</v>
      </c>
      <c r="P569" s="12"/>
      <c r="Q569" s="17"/>
      <c r="R569" s="18">
        <f>IF(SUMPRODUCT((E569:Q569)*1)=0,0,E569*INDEX(Hours!M:M,MATCH(C569,Hours!$A:$A,0))+F569*INDEX(Hours!B:B,MATCH(C569,Hours!$A:$A,0))+G569*INDEX(Hours!C:C,MATCH(C569,Hours!$A:$A,0))+H569*INDEX(Hours!D:D,MATCH(C569,Hours!$A:$A,0))+I569*INDEX(Hours!E:E,MATCH(C569,Hours!$A:$A,0))+J569*INDEX(Hours!F:F,MATCH(C569,Hours!$A:$A,0))+O569*INDEX(Hours!K:K,MATCH(C569,Hours!$A:$A,0)))</f>
        <v>0</v>
      </c>
      <c r="S569" s="19">
        <f t="shared" si="17"/>
        <v>0</v>
      </c>
    </row>
    <row r="570" spans="1:19" x14ac:dyDescent="0.25">
      <c r="A570" s="15" t="str">
        <f>'Bldgs &amp; Rooms'!$A$17</f>
        <v>Main Bldg.</v>
      </c>
      <c r="B570" s="15">
        <f>'Bldgs &amp; Rooms'!$B$17</f>
        <v>0</v>
      </c>
      <c r="C570" s="14" t="str">
        <f>Hours!$A$15</f>
        <v>VFD Motor Control Panel (VFD-MCP)</v>
      </c>
      <c r="D570" s="15">
        <f t="shared" si="16"/>
        <v>0</v>
      </c>
      <c r="E570" s="16">
        <f>IF('Components Yr 1'!E570=0,0,'Components Yr 1'!E570)</f>
        <v>0</v>
      </c>
      <c r="F570" s="17">
        <f>IF('Components Yr 1'!F570=0,0,'Components Yr 1'!F570)</f>
        <v>0</v>
      </c>
      <c r="G570" s="17">
        <f>IF('Components Yr 1'!G570=0,0,'Components Yr 1'!G570)</f>
        <v>0</v>
      </c>
      <c r="H570" s="17">
        <f>IF('Components Yr 1'!H570=0,0,'Components Yr 1'!H570)</f>
        <v>0</v>
      </c>
      <c r="I570" s="17">
        <f>IF('Components Yr 1'!I570=0,0,'Components Yr 1'!I570)</f>
        <v>0</v>
      </c>
      <c r="J570" s="17">
        <f>IF('Components Yr 1'!J570=0,0,'Components Yr 1'!J570)</f>
        <v>0</v>
      </c>
      <c r="K570" s="12"/>
      <c r="L570" s="12"/>
      <c r="M570" s="12"/>
      <c r="N570" s="12"/>
      <c r="O570" s="17">
        <f>IF('Components Yr 1'!O570=0,0,'Components Yr 1'!O570)</f>
        <v>0</v>
      </c>
      <c r="P570" s="12"/>
      <c r="Q570" s="17"/>
      <c r="R570" s="18">
        <f>IF(SUMPRODUCT((E570:Q570)*1)=0,0,E570*INDEX(Hours!M:M,MATCH(C570,Hours!$A:$A,0))+F570*INDEX(Hours!B:B,MATCH(C570,Hours!$A:$A,0))+G570*INDEX(Hours!C:C,MATCH(C570,Hours!$A:$A,0))+H570*INDEX(Hours!D:D,MATCH(C570,Hours!$A:$A,0))+I570*INDEX(Hours!E:E,MATCH(C570,Hours!$A:$A,0))+J570*INDEX(Hours!F:F,MATCH(C570,Hours!$A:$A,0))+O570*INDEX(Hours!K:K,MATCH(C570,Hours!$A:$A,0)))</f>
        <v>0</v>
      </c>
      <c r="S570" s="19">
        <f t="shared" si="17"/>
        <v>0</v>
      </c>
    </row>
    <row r="571" spans="1:19" x14ac:dyDescent="0.25">
      <c r="A571" s="15" t="str">
        <f>'Bldgs &amp; Rooms'!$A$17</f>
        <v>Main Bldg.</v>
      </c>
      <c r="B571" s="15">
        <f>'Bldgs &amp; Rooms'!$B$17</f>
        <v>0</v>
      </c>
      <c r="C571" s="14" t="str">
        <f>Hours!$A$16</f>
        <v>Individual Disconnect Switch &gt; 100A</v>
      </c>
      <c r="D571" s="15">
        <f t="shared" si="16"/>
        <v>0</v>
      </c>
      <c r="E571" s="16">
        <f>IF('Components Yr 1'!E571=0,0,'Components Yr 1'!E571)</f>
        <v>0</v>
      </c>
      <c r="F571" s="17">
        <f>IF('Components Yr 1'!F571=0,0,'Components Yr 1'!F571)</f>
        <v>0</v>
      </c>
      <c r="G571" s="17">
        <f>IF('Components Yr 1'!G571=0,0,'Components Yr 1'!G571)</f>
        <v>0</v>
      </c>
      <c r="H571" s="17">
        <f>IF('Components Yr 1'!H571=0,0,'Components Yr 1'!H571)</f>
        <v>0</v>
      </c>
      <c r="I571" s="17">
        <f>IF('Components Yr 1'!I571=0,0,'Components Yr 1'!I571)</f>
        <v>0</v>
      </c>
      <c r="J571" s="17">
        <f>IF('Components Yr 1'!J571=0,0,'Components Yr 1'!J571)</f>
        <v>0</v>
      </c>
      <c r="K571" s="17">
        <f>IF('Components Yr 1'!K571=0,0,'Components Yr 1'!K571)</f>
        <v>0</v>
      </c>
      <c r="L571" s="12"/>
      <c r="M571" s="12"/>
      <c r="N571" s="12"/>
      <c r="O571" s="12"/>
      <c r="P571" s="12"/>
      <c r="Q571" s="17"/>
      <c r="R571" s="18">
        <f>IF(SUMPRODUCT((E571:Q571)*1)=0,0,E571*INDEX(Hours!M:M,MATCH(C571,Hours!$A:$A,0))+F571*INDEX(Hours!B:B,MATCH(C571,Hours!$A:$A,0))+G571*INDEX(Hours!C:C,MATCH(C571,Hours!$A:$A,0))+H571*INDEX(Hours!D:D,MATCH(C571,Hours!$A:$A,0))+I571*INDEX(Hours!E:E,MATCH(C571,Hours!$A:$A,0))+J571*INDEX(Hours!F:F,MATCH(C571,Hours!$A:$A,0))+K571*INDEX(Hours!G:G,MATCH(C571,Hours!$A:$A,0)))</f>
        <v>0</v>
      </c>
      <c r="S571" s="19">
        <f t="shared" si="17"/>
        <v>0</v>
      </c>
    </row>
    <row r="572" spans="1:19" x14ac:dyDescent="0.25">
      <c r="A572" s="15" t="str">
        <f>'Bldgs &amp; Rooms'!$A$17</f>
        <v>Main Bldg.</v>
      </c>
      <c r="B572" s="15">
        <f>'Bldgs &amp; Rooms'!$B$17</f>
        <v>0</v>
      </c>
      <c r="C572" s="14" t="str">
        <f>Hours!$A$17</f>
        <v>Individual Molded Case Breaker &gt; 100A</v>
      </c>
      <c r="D572" s="15">
        <f t="shared" si="16"/>
        <v>0</v>
      </c>
      <c r="E572" s="16">
        <f>IF('Components Yr 1'!E572=0,0,'Components Yr 1'!E572)</f>
        <v>0</v>
      </c>
      <c r="F572" s="17">
        <f>IF('Components Yr 1'!F572=0,0,'Components Yr 1'!F572)</f>
        <v>0</v>
      </c>
      <c r="G572" s="17">
        <f>IF('Components Yr 1'!G572=0,0,'Components Yr 1'!G572)</f>
        <v>0</v>
      </c>
      <c r="H572" s="17">
        <f>IF('Components Yr 1'!H572=0,0,'Components Yr 1'!H572)</f>
        <v>0</v>
      </c>
      <c r="I572" s="17">
        <f>IF('Components Yr 1'!I572=0,0,'Components Yr 1'!I572)</f>
        <v>0</v>
      </c>
      <c r="J572" s="17">
        <f>IF('Components Yr 1'!J572=0,0,'Components Yr 1'!J572)</f>
        <v>0</v>
      </c>
      <c r="K572" s="17">
        <f>IF('Components Yr 1'!K572=0,0,'Components Yr 1'!K572)</f>
        <v>0</v>
      </c>
      <c r="L572" s="12"/>
      <c r="M572" s="12"/>
      <c r="N572" s="12"/>
      <c r="O572" s="12"/>
      <c r="P572" s="12"/>
      <c r="Q572" s="17"/>
      <c r="R572" s="18">
        <f>IF(SUMPRODUCT((E572:Q572)*1)=0,0,E572*INDEX(Hours!M:M,MATCH(C572,Hours!$A:$A,0))+F572*INDEX(Hours!B:B,MATCH(C572,Hours!$A:$A,0))+G572*INDEX(Hours!C:C,MATCH(C572,Hours!$A:$A,0))+H572*INDEX(Hours!D:D,MATCH(C572,Hours!$A:$A,0))+I572*INDEX(Hours!E:E,MATCH(C572,Hours!$A:$A,0))+J572*INDEX(Hours!F:F,MATCH(C572,Hours!$A:$A,0))+K572*INDEX(Hours!G:G,MATCH(C572,Hours!$A:$A,0)))</f>
        <v>0</v>
      </c>
      <c r="S572" s="19">
        <f t="shared" si="17"/>
        <v>0</v>
      </c>
    </row>
    <row r="573" spans="1:19" x14ac:dyDescent="0.25">
      <c r="A573" s="15" t="str">
        <f>'Bldgs &amp; Rooms'!$A$17</f>
        <v>Main Bldg.</v>
      </c>
      <c r="B573" s="15">
        <f>'Bldgs &amp; Rooms'!$B$17</f>
        <v>0</v>
      </c>
      <c r="C573" s="14" t="str">
        <f>Hours!$A$18</f>
        <v>Individual Combination Motor Starter &gt; 100A</v>
      </c>
      <c r="D573" s="15">
        <f t="shared" si="16"/>
        <v>0</v>
      </c>
      <c r="E573" s="16">
        <f>IF('Components Yr 1'!E573=0,0,'Components Yr 1'!E573)</f>
        <v>0</v>
      </c>
      <c r="F573" s="17">
        <f>IF('Components Yr 1'!F573=0,0,'Components Yr 1'!F573)</f>
        <v>0</v>
      </c>
      <c r="G573" s="17">
        <f>IF('Components Yr 1'!G573=0,0,'Components Yr 1'!G573)</f>
        <v>0</v>
      </c>
      <c r="H573" s="17">
        <f>IF('Components Yr 1'!H573=0,0,'Components Yr 1'!H573)</f>
        <v>0</v>
      </c>
      <c r="I573" s="17">
        <f>IF('Components Yr 1'!I573=0,0,'Components Yr 1'!I573)</f>
        <v>0</v>
      </c>
      <c r="J573" s="17">
        <f>IF('Components Yr 1'!J573=0,0,'Components Yr 1'!J573)</f>
        <v>0</v>
      </c>
      <c r="K573" s="17">
        <f>IF('Components Yr 1'!K573=0,0,'Components Yr 1'!K573)</f>
        <v>0</v>
      </c>
      <c r="L573" s="12"/>
      <c r="M573" s="12"/>
      <c r="N573" s="12"/>
      <c r="O573" s="12"/>
      <c r="P573" s="12"/>
      <c r="Q573" s="17"/>
      <c r="R573" s="18">
        <f>IF(SUMPRODUCT((E573:Q573)*1)=0,0,E573*INDEX(Hours!M:M,MATCH(C573,Hours!$A:$A,0))+F573*INDEX(Hours!B:B,MATCH(C573,Hours!$A:$A,0))+G573*INDEX(Hours!C:C,MATCH(C573,Hours!$A:$A,0))+H573*INDEX(Hours!D:D,MATCH(C573,Hours!$A:$A,0))+I573*INDEX(Hours!E:E,MATCH(C573,Hours!$A:$A,0))+J573*INDEX(Hours!F:F,MATCH(C573,Hours!$A:$A,0))+K573*INDEX(Hours!G:G,MATCH(C573,Hours!$A:$A,0)))</f>
        <v>0</v>
      </c>
      <c r="S573" s="19">
        <f t="shared" si="17"/>
        <v>0</v>
      </c>
    </row>
    <row r="574" spans="1:19" x14ac:dyDescent="0.25">
      <c r="A574" s="15" t="str">
        <f>'Bldgs &amp; Rooms'!$A$17</f>
        <v>Main Bldg.</v>
      </c>
      <c r="B574" s="15">
        <f>'Bldgs &amp; Rooms'!$B$17</f>
        <v>0</v>
      </c>
      <c r="C574" s="14" t="str">
        <f>Hours!$A$19</f>
        <v>Oil Filled Transformer - 5kV-15kV Primary - Any Size (Pad Mounted)</v>
      </c>
      <c r="D574" s="15">
        <f t="shared" si="16"/>
        <v>0</v>
      </c>
      <c r="E574" s="16">
        <f>IF('Components Yr 1'!E574=0,0,'Components Yr 1'!E574)</f>
        <v>0</v>
      </c>
      <c r="F574" s="17">
        <f>IF('Components Yr 1'!F574=0,0,'Components Yr 1'!F574)</f>
        <v>0</v>
      </c>
      <c r="G574" s="17">
        <f>IF('Components Yr 1'!G574=0,0,'Components Yr 1'!G574)</f>
        <v>0</v>
      </c>
      <c r="H574" s="17">
        <f>IF('Components Yr 1'!H574=0,0,'Components Yr 1'!H574)</f>
        <v>0</v>
      </c>
      <c r="I574" s="17">
        <f>IF('Components Yr 1'!I574=0,0,'Components Yr 1'!I574)</f>
        <v>0</v>
      </c>
      <c r="J574" s="17">
        <f>IF('Components Yr 1'!J574=0,0,'Components Yr 1'!J574)</f>
        <v>0</v>
      </c>
      <c r="K574" s="12"/>
      <c r="L574" s="12"/>
      <c r="M574" s="17">
        <f>IF('Components Yr 1'!M574=0,0,'Components Yr 1'!M574)</f>
        <v>0</v>
      </c>
      <c r="N574" s="17">
        <f>IF('Components Yr 1'!N574=0,0,'Components Yr 1'!N574)</f>
        <v>0</v>
      </c>
      <c r="O574" s="12"/>
      <c r="P574" s="17">
        <f>IF('Components Yr 1'!P574=0,0,'Components Yr 1'!P574)</f>
        <v>0</v>
      </c>
      <c r="Q574" s="17"/>
      <c r="R574" s="18">
        <f>IF(SUMPRODUCT((E574:Q574)*1)=0,0,E574*INDEX(Hours!M:M,MATCH(C574,Hours!$A:$A,0))+F574*INDEX(Hours!B:B,MATCH(C574,Hours!$A:$A,0))+G574*INDEX(Hours!C:C,MATCH(C574,Hours!$A:$A,0))+H574*INDEX(Hours!D:D,MATCH(C574,Hours!$A:$A,0))+I574*INDEX(Hours!E:E,MATCH(C574,Hours!$A:$A,0))+J574*INDEX(Hours!F:F,MATCH(C574,Hours!$A:$A,0))+M574*INDEX(Hours!I:I,MATCH(C574,Hours!$A:$A,0))+N574*INDEX(Hours!J:J,MATCH(C574,Hours!$A:$A,0))+P574*INDEX(Hours!L:L,MATCH(C574,Hours!$A:$A,0)))</f>
        <v>0</v>
      </c>
      <c r="S574" s="19">
        <f t="shared" si="17"/>
        <v>0</v>
      </c>
    </row>
    <row r="575" spans="1:19" x14ac:dyDescent="0.25">
      <c r="A575" s="15" t="str">
        <f>'Bldgs &amp; Rooms'!$A$17</f>
        <v>Main Bldg.</v>
      </c>
      <c r="B575" s="15">
        <f>'Bldgs &amp; Rooms'!$B$17</f>
        <v>0</v>
      </c>
      <c r="C575" s="14" t="str">
        <f>Hours!$A$20</f>
        <v>Oil Filled Transformer - &gt; 15kV Primary (Substation Class)</v>
      </c>
      <c r="D575" s="15">
        <f t="shared" si="16"/>
        <v>0</v>
      </c>
      <c r="E575" s="16">
        <f>IF('Components Yr 1'!E575=0,0,'Components Yr 1'!E575)</f>
        <v>0</v>
      </c>
      <c r="F575" s="17">
        <f>IF('Components Yr 1'!F575=0,0,'Components Yr 1'!F575)</f>
        <v>0</v>
      </c>
      <c r="G575" s="17">
        <f>IF('Components Yr 1'!G575=0,0,'Components Yr 1'!G575)</f>
        <v>0</v>
      </c>
      <c r="H575" s="17">
        <f>IF('Components Yr 1'!H575=0,0,'Components Yr 1'!H575)</f>
        <v>0</v>
      </c>
      <c r="I575" s="17">
        <f>IF('Components Yr 1'!I575=0,0,'Components Yr 1'!I575)</f>
        <v>0</v>
      </c>
      <c r="J575" s="17">
        <f>IF('Components Yr 1'!J575=0,0,'Components Yr 1'!J575)</f>
        <v>0</v>
      </c>
      <c r="K575" s="12"/>
      <c r="L575" s="12"/>
      <c r="M575" s="17">
        <f>IF('Components Yr 1'!M575=0,0,'Components Yr 1'!M575)</f>
        <v>0</v>
      </c>
      <c r="N575" s="17">
        <f>IF('Components Yr 1'!N575=0,0,'Components Yr 1'!N575)</f>
        <v>0</v>
      </c>
      <c r="O575" s="12"/>
      <c r="P575" s="17">
        <f>IF('Components Yr 1'!P575=0,0,'Components Yr 1'!P575)</f>
        <v>0</v>
      </c>
      <c r="Q575" s="17"/>
      <c r="R575" s="18">
        <f>IF(SUMPRODUCT((E575:Q575)*1)=0,0,E575*INDEX(Hours!M:M,MATCH(C575,Hours!$A:$A,0))+F575*INDEX(Hours!B:B,MATCH(C575,Hours!$A:$A,0))+G575*INDEX(Hours!C:C,MATCH(C575,Hours!$A:$A,0))+H575*INDEX(Hours!D:D,MATCH(C575,Hours!$A:$A,0))+I575*INDEX(Hours!E:E,MATCH(C575,Hours!$A:$A,0))+J575*INDEX(Hours!F:F,MATCH(C575,Hours!$A:$A,0))+M575*INDEX(Hours!I:I,MATCH(C575,Hours!$A:$A,0))+N575*INDEX(Hours!J:J,MATCH(C575,Hours!$A:$A,0))+P575*INDEX(Hours!L:L,MATCH(C575,Hours!$A:$A,0)))</f>
        <v>0</v>
      </c>
      <c r="S575" s="19">
        <f t="shared" si="17"/>
        <v>0</v>
      </c>
    </row>
    <row r="576" spans="1:19" x14ac:dyDescent="0.25">
      <c r="A576" s="15" t="str">
        <f>'Bldgs &amp; Rooms'!$A$17</f>
        <v>Main Bldg.</v>
      </c>
      <c r="B576" s="15">
        <f>'Bldgs &amp; Rooms'!$B$17</f>
        <v>0</v>
      </c>
      <c r="C576" s="14" t="str">
        <f>Hours!$A$21</f>
        <v>Dry Type Transformer - &lt; 480V Primary - Any Size kVA</v>
      </c>
      <c r="D576" s="15">
        <f t="shared" si="16"/>
        <v>0</v>
      </c>
      <c r="E576" s="16">
        <f>IF('Components Yr 1'!E576=0,0,'Components Yr 1'!E576)</f>
        <v>0</v>
      </c>
      <c r="F576" s="17">
        <f>IF('Components Yr 1'!F576=0,0,'Components Yr 1'!F576)</f>
        <v>0</v>
      </c>
      <c r="G576" s="17">
        <f>IF('Components Yr 1'!G576=0,0,'Components Yr 1'!G576)</f>
        <v>0</v>
      </c>
      <c r="H576" s="17">
        <f>IF('Components Yr 1'!H576=0,0,'Components Yr 1'!H576)</f>
        <v>0</v>
      </c>
      <c r="I576" s="17">
        <f>IF('Components Yr 1'!I576=0,0,'Components Yr 1'!I576)</f>
        <v>0</v>
      </c>
      <c r="J576" s="17">
        <f>IF('Components Yr 1'!J576=0,0,'Components Yr 1'!J576)</f>
        <v>0</v>
      </c>
      <c r="K576" s="12"/>
      <c r="L576" s="12"/>
      <c r="M576" s="17">
        <f>IF('Components Yr 1'!M576=0,0,'Components Yr 1'!M576)</f>
        <v>0</v>
      </c>
      <c r="N576" s="17">
        <f>IF('Components Yr 1'!N576=0,0,'Components Yr 1'!N576)</f>
        <v>0</v>
      </c>
      <c r="O576" s="12"/>
      <c r="P576" s="12"/>
      <c r="Q576" s="17"/>
      <c r="R576" s="18">
        <f>IF(SUMPRODUCT((E576:Q576)*1)=0,0,E576*INDEX(Hours!M:M,MATCH(C576,Hours!$A:$A,0))+F576*INDEX(Hours!B:B,MATCH(C576,Hours!$A:$A,0))+G576*INDEX(Hours!C:C,MATCH(C576,Hours!$A:$A,0))+H576*INDEX(Hours!D:D,MATCH(C576,Hours!$A:$A,0))+I576*INDEX(Hours!E:E,MATCH(C576,Hours!$A:$A,0))+J576*INDEX(Hours!F:F,MATCH(C576,Hours!$A:$A,0))+M576*INDEX(Hours!I:I,MATCH(C576,Hours!$A:$A,0))+N576*INDEX(Hours!J:J,MATCH(C576,Hours!$A:$A,0)))</f>
        <v>0</v>
      </c>
      <c r="S576" s="19">
        <f t="shared" si="17"/>
        <v>0</v>
      </c>
    </row>
    <row r="577" spans="1:19" x14ac:dyDescent="0.25">
      <c r="A577" s="15" t="str">
        <f>'Bldgs &amp; Rooms'!$A$17</f>
        <v>Main Bldg.</v>
      </c>
      <c r="B577" s="15">
        <f>'Bldgs &amp; Rooms'!$B$17</f>
        <v>0</v>
      </c>
      <c r="C577" s="14" t="str">
        <f>Hours!$A$22</f>
        <v>Power Factor Correction Capacitors</v>
      </c>
      <c r="D577" s="15">
        <f t="shared" si="16"/>
        <v>0</v>
      </c>
      <c r="E577" s="16">
        <f>IF('Components Yr 1'!E577=0,0,'Components Yr 1'!E577)</f>
        <v>0</v>
      </c>
      <c r="F577" s="17">
        <f>IF('Components Yr 1'!F577=0,0,'Components Yr 1'!F577)</f>
        <v>0</v>
      </c>
      <c r="G577" s="17">
        <f>IF('Components Yr 1'!G577=0,0,'Components Yr 1'!G577)</f>
        <v>0</v>
      </c>
      <c r="H577" s="17">
        <f>IF('Components Yr 1'!H577=0,0,'Components Yr 1'!H577)</f>
        <v>0</v>
      </c>
      <c r="I577" s="17">
        <f>IF('Components Yr 1'!I577=0,0,'Components Yr 1'!I577)</f>
        <v>0</v>
      </c>
      <c r="J577" s="17">
        <f>IF('Components Yr 1'!J577=0,0,'Components Yr 1'!J577)</f>
        <v>0</v>
      </c>
      <c r="K577" s="12"/>
      <c r="L577" s="12"/>
      <c r="M577" s="12"/>
      <c r="N577" s="12"/>
      <c r="O577" s="12"/>
      <c r="P577" s="12"/>
      <c r="Q577" s="17"/>
      <c r="R577" s="18">
        <f>IF(SUMPRODUCT((E577:Q577)*1)=0,0,E577*INDEX(Hours!M:M,MATCH(C577,Hours!$A:$A,0))+F577*INDEX(Hours!B:B,MATCH(C577,Hours!$A:$A,0))+G577*INDEX(Hours!C:C,MATCH(C577,Hours!$A:$A,0))+H577*INDEX(Hours!D:D,MATCH(C577,Hours!$A:$A,0))+I577*INDEX(Hours!E:E,MATCH(C577,Hours!$A:$A,0))+J577*INDEX(Hours!F:F,MATCH(C577,Hours!$A:$A,0)))</f>
        <v>0</v>
      </c>
      <c r="S577" s="19">
        <f t="shared" si="17"/>
        <v>0</v>
      </c>
    </row>
    <row r="578" spans="1:19" x14ac:dyDescent="0.25">
      <c r="A578" s="15" t="str">
        <f>'Bldgs &amp; Rooms'!$A$17</f>
        <v>Main Bldg.</v>
      </c>
      <c r="B578" s="15">
        <f>'Bldgs &amp; Rooms'!$B$17</f>
        <v>0</v>
      </c>
      <c r="C578" s="14" t="str">
        <f>Hours!$A$23</f>
        <v>Lighting Contactor &gt; 100A</v>
      </c>
      <c r="D578" s="15">
        <f t="shared" ref="D578:D641" si="18">MAX(E578+F578,G578,H578,I578,J578,K578,L578,M578,N578,O578,P578,Q578)</f>
        <v>0</v>
      </c>
      <c r="E578" s="16">
        <f>IF('Components Yr 1'!E578=0,0,'Components Yr 1'!E578)</f>
        <v>0</v>
      </c>
      <c r="F578" s="17">
        <f>IF('Components Yr 1'!F578=0,0,'Components Yr 1'!F578)</f>
        <v>0</v>
      </c>
      <c r="G578" s="17">
        <f>IF('Components Yr 1'!G578=0,0,'Components Yr 1'!G578)</f>
        <v>0</v>
      </c>
      <c r="H578" s="17">
        <f>IF('Components Yr 1'!H578=0,0,'Components Yr 1'!H578)</f>
        <v>0</v>
      </c>
      <c r="I578" s="17">
        <f>IF('Components Yr 1'!I578=0,0,'Components Yr 1'!I578)</f>
        <v>0</v>
      </c>
      <c r="J578" s="17">
        <f>IF('Components Yr 1'!J578=0,0,'Components Yr 1'!J578)</f>
        <v>0</v>
      </c>
      <c r="K578" s="12"/>
      <c r="L578" s="12"/>
      <c r="M578" s="12"/>
      <c r="N578" s="12"/>
      <c r="O578" s="12"/>
      <c r="P578" s="12"/>
      <c r="Q578" s="17"/>
      <c r="R578" s="18">
        <f>IF(SUMPRODUCT((E578:Q578)*1)=0,0,E578*INDEX(Hours!M:M,MATCH(C578,Hours!$A:$A,0))+F578*INDEX(Hours!B:B,MATCH(C578,Hours!$A:$A,0))+G578*INDEX(Hours!C:C,MATCH(C578,Hours!$A:$A,0))+H578*INDEX(Hours!D:D,MATCH(C578,Hours!$A:$A,0))+I578*INDEX(Hours!E:E,MATCH(C578,Hours!$A:$A,0))+J578*INDEX(Hours!F:F,MATCH(C578,Hours!$A:$A,0)))</f>
        <v>0</v>
      </c>
      <c r="S578" s="19">
        <f t="shared" ref="S578:S641" si="19">MAX(E578+F578,G578,H578,I578,J578,K578,L578,M578,N578,O578,P578,Q578)</f>
        <v>0</v>
      </c>
    </row>
    <row r="579" spans="1:19" x14ac:dyDescent="0.25">
      <c r="A579" s="15" t="str">
        <f>'Bldgs &amp; Rooms'!$A$17</f>
        <v>Main Bldg.</v>
      </c>
      <c r="B579" s="15">
        <f>'Bldgs &amp; Rooms'!$B$17</f>
        <v>0</v>
      </c>
      <c r="C579" s="14" t="str">
        <f>Hours!$A$24</f>
        <v>Power Distribution Unit (PDU)</v>
      </c>
      <c r="D579" s="15">
        <f t="shared" si="18"/>
        <v>0</v>
      </c>
      <c r="E579" s="16">
        <f>IF('Components Yr 1'!E579=0,0,'Components Yr 1'!E579)</f>
        <v>0</v>
      </c>
      <c r="F579" s="17">
        <f>IF('Components Yr 1'!F579=0,0,'Components Yr 1'!F579)</f>
        <v>0</v>
      </c>
      <c r="G579" s="17">
        <f>IF('Components Yr 1'!G579=0,0,'Components Yr 1'!G579)</f>
        <v>0</v>
      </c>
      <c r="H579" s="17">
        <f>IF('Components Yr 1'!H579=0,0,'Components Yr 1'!H579)</f>
        <v>0</v>
      </c>
      <c r="I579" s="17">
        <f>IF('Components Yr 1'!I579=0,0,'Components Yr 1'!I579)</f>
        <v>0</v>
      </c>
      <c r="J579" s="17">
        <f>IF('Components Yr 1'!J579=0,0,'Components Yr 1'!J579)</f>
        <v>0</v>
      </c>
      <c r="K579" s="12"/>
      <c r="L579" s="12"/>
      <c r="M579" s="12"/>
      <c r="N579" s="12"/>
      <c r="O579" s="12"/>
      <c r="P579" s="12"/>
      <c r="Q579" s="17"/>
      <c r="R579" s="18">
        <f>IF(SUMPRODUCT((E579:Q579)*1)=0,0,E579*INDEX(Hours!M:M,MATCH(C579,Hours!$A:$A,0))+F579*INDEX(Hours!B:B,MATCH(C579,Hours!$A:$A,0))+G579*INDEX(Hours!C:C,MATCH(C579,Hours!$A:$A,0))+H579*INDEX(Hours!D:D,MATCH(C579,Hours!$A:$A,0))+I579*INDEX(Hours!E:E,MATCH(C579,Hours!$A:$A,0))+J579*INDEX(Hours!F:F,MATCH(C579,Hours!$A:$A,0)))</f>
        <v>0</v>
      </c>
      <c r="S579" s="19">
        <f t="shared" si="19"/>
        <v>0</v>
      </c>
    </row>
    <row r="580" spans="1:19" x14ac:dyDescent="0.25">
      <c r="A580" s="15" t="str">
        <f>'Bldgs &amp; Rooms'!$A$17</f>
        <v>Main Bldg.</v>
      </c>
      <c r="B580" s="15">
        <f>'Bldgs &amp; Rooms'!$B$17</f>
        <v>0</v>
      </c>
      <c r="C580" s="14" t="str">
        <f>Hours!$A$25</f>
        <v>Wire Trough, Gutter, or Large Junction Boxes</v>
      </c>
      <c r="D580" s="15">
        <f t="shared" si="18"/>
        <v>0</v>
      </c>
      <c r="E580" s="16">
        <f>IF('Components Yr 1'!E580=0,0,'Components Yr 1'!E580)</f>
        <v>0</v>
      </c>
      <c r="F580" s="17">
        <f>IF('Components Yr 1'!F580=0,0,'Components Yr 1'!F580)</f>
        <v>0</v>
      </c>
      <c r="G580" s="17">
        <f>IF('Components Yr 1'!G580=0,0,'Components Yr 1'!G580)</f>
        <v>0</v>
      </c>
      <c r="H580" s="17">
        <f>IF('Components Yr 1'!H580=0,0,'Components Yr 1'!H580)</f>
        <v>0</v>
      </c>
      <c r="I580" s="17">
        <f>IF('Components Yr 1'!I580=0,0,'Components Yr 1'!I580)</f>
        <v>0</v>
      </c>
      <c r="J580" s="17">
        <f>IF('Components Yr 1'!J580=0,0,'Components Yr 1'!J580)</f>
        <v>0</v>
      </c>
      <c r="K580" s="12"/>
      <c r="L580" s="12"/>
      <c r="M580" s="12"/>
      <c r="N580" s="12"/>
      <c r="O580" s="12"/>
      <c r="P580" s="12"/>
      <c r="Q580" s="17"/>
      <c r="R580" s="18">
        <f>IF(SUMPRODUCT((E580:Q580)*1)=0,0,E580*INDEX(Hours!M:M,MATCH(C580,Hours!$A:$A,0))+F580*INDEX(Hours!B:B,MATCH(C580,Hours!$A:$A,0))+G580*INDEX(Hours!C:C,MATCH(C580,Hours!$A:$A,0))+H580*INDEX(Hours!D:D,MATCH(C580,Hours!$A:$A,0))+I580*INDEX(Hours!E:E,MATCH(C580,Hours!$A:$A,0))+J580*INDEX(Hours!F:F,MATCH(C580,Hours!$A:$A,0)))</f>
        <v>0</v>
      </c>
      <c r="S580" s="19">
        <f t="shared" si="19"/>
        <v>0</v>
      </c>
    </row>
    <row r="581" spans="1:19" x14ac:dyDescent="0.25">
      <c r="A581" s="15" t="str">
        <f>'Bldgs &amp; Rooms'!$A$17</f>
        <v>Main Bldg.</v>
      </c>
      <c r="B581" s="15">
        <f>'Bldgs &amp; Rooms'!$B$17</f>
        <v>0</v>
      </c>
      <c r="C581" s="14" t="str">
        <f>Hours!$A$26</f>
        <v>Bus Duct - Vertical or Horizontal (Per 10' section)</v>
      </c>
      <c r="D581" s="15">
        <f t="shared" si="18"/>
        <v>0</v>
      </c>
      <c r="E581" s="16">
        <f>IF('Components Yr 1'!E581=0,0,'Components Yr 1'!E581)</f>
        <v>0</v>
      </c>
      <c r="F581" s="17">
        <f>IF('Components Yr 1'!F581=0,0,'Components Yr 1'!F581)</f>
        <v>0</v>
      </c>
      <c r="G581" s="17">
        <f>IF('Components Yr 1'!G581=0,0,'Components Yr 1'!G581)</f>
        <v>0</v>
      </c>
      <c r="H581" s="17">
        <f>IF('Components Yr 1'!H581=0,0,'Components Yr 1'!H581)</f>
        <v>0</v>
      </c>
      <c r="I581" s="17">
        <f>IF('Components Yr 1'!I581=0,0,'Components Yr 1'!I581)</f>
        <v>0</v>
      </c>
      <c r="J581" s="17">
        <f>IF('Components Yr 1'!J581=0,0,'Components Yr 1'!J581)</f>
        <v>0</v>
      </c>
      <c r="K581" s="12"/>
      <c r="L581" s="12"/>
      <c r="M581" s="12"/>
      <c r="N581" s="12"/>
      <c r="O581" s="12"/>
      <c r="P581" s="12"/>
      <c r="Q581" s="17"/>
      <c r="R581" s="18">
        <f>IF(SUMPRODUCT((E581:Q581)*1)=0,0,E581*INDEX(Hours!M:M,MATCH(C581,Hours!$A:$A,0))+F581*INDEX(Hours!B:B,MATCH(C581,Hours!$A:$A,0))+G581*INDEX(Hours!C:C,MATCH(C581,Hours!$A:$A,0))+H581*INDEX(Hours!D:D,MATCH(C581,Hours!$A:$A,0))+I581*INDEX(Hours!E:E,MATCH(C581,Hours!$A:$A,0))+J581*INDEX(Hours!F:F,MATCH(C581,Hours!$A:$A,0)))</f>
        <v>0</v>
      </c>
      <c r="S581" s="19">
        <f t="shared" si="19"/>
        <v>0</v>
      </c>
    </row>
    <row r="582" spans="1:19" x14ac:dyDescent="0.25">
      <c r="A582" s="15" t="str">
        <f>'Bldgs &amp; Rooms'!$A$17</f>
        <v>Main Bldg.</v>
      </c>
      <c r="B582" s="15">
        <f>'Bldgs &amp; Rooms'!$B$17</f>
        <v>0</v>
      </c>
      <c r="C582" s="14" t="str">
        <f>Hours!$A$27</f>
        <v>Automatic Transfer Switch (ATS) &gt; 100A</v>
      </c>
      <c r="D582" s="15">
        <f t="shared" si="18"/>
        <v>0</v>
      </c>
      <c r="E582" s="16">
        <f>IF('Components Yr 1'!E582=0,0,'Components Yr 1'!E582)</f>
        <v>0</v>
      </c>
      <c r="F582" s="17">
        <f>IF('Components Yr 1'!F582=0,0,'Components Yr 1'!F582)</f>
        <v>0</v>
      </c>
      <c r="G582" s="17">
        <f>IF('Components Yr 1'!G582=0,0,'Components Yr 1'!G582)</f>
        <v>0</v>
      </c>
      <c r="H582" s="17">
        <f>IF('Components Yr 1'!H582=0,0,'Components Yr 1'!H582)</f>
        <v>0</v>
      </c>
      <c r="I582" s="17">
        <f>IF('Components Yr 1'!I582=0,0,'Components Yr 1'!I582)</f>
        <v>0</v>
      </c>
      <c r="J582" s="17">
        <f>IF('Components Yr 1'!J582=0,0,'Components Yr 1'!J582)</f>
        <v>0</v>
      </c>
      <c r="K582" s="12"/>
      <c r="L582" s="12"/>
      <c r="M582" s="12"/>
      <c r="N582" s="12"/>
      <c r="O582" s="12"/>
      <c r="P582" s="12"/>
      <c r="Q582" s="17"/>
      <c r="R582" s="18">
        <f>IF(SUMPRODUCT((E582:Q582)*1)=0,0,E582*INDEX(Hours!M:M,MATCH(C582,Hours!$A:$A,0))+F582*INDEX(Hours!B:B,MATCH(C582,Hours!$A:$A,0))+G582*INDEX(Hours!C:C,MATCH(C582,Hours!$A:$A,0))+H582*INDEX(Hours!D:D,MATCH(C582,Hours!$A:$A,0))+I582*INDEX(Hours!E:E,MATCH(C582,Hours!$A:$A,0))+J582*INDEX(Hours!F:F,MATCH(C582,Hours!$A:$A,0)))</f>
        <v>0</v>
      </c>
      <c r="S582" s="19">
        <f t="shared" si="19"/>
        <v>0</v>
      </c>
    </row>
    <row r="583" spans="1:19" x14ac:dyDescent="0.25">
      <c r="A583" s="15" t="str">
        <f>'Bldgs &amp; Rooms'!$A$17</f>
        <v>Main Bldg.</v>
      </c>
      <c r="B583" s="15">
        <f>'Bldgs &amp; Rooms'!$B$17</f>
        <v>0</v>
      </c>
      <c r="C583" s="14" t="str">
        <f>Hours!$A$28</f>
        <v>Manual Transfer Switch (MTS) &gt; 100A</v>
      </c>
      <c r="D583" s="15">
        <f t="shared" si="18"/>
        <v>0</v>
      </c>
      <c r="E583" s="16">
        <f>IF('Components Yr 1'!E583=0,0,'Components Yr 1'!E583)</f>
        <v>0</v>
      </c>
      <c r="F583" s="17">
        <f>IF('Components Yr 1'!F583=0,0,'Components Yr 1'!F583)</f>
        <v>0</v>
      </c>
      <c r="G583" s="17">
        <f>IF('Components Yr 1'!G583=0,0,'Components Yr 1'!G583)</f>
        <v>0</v>
      </c>
      <c r="H583" s="17">
        <f>IF('Components Yr 1'!H583=0,0,'Components Yr 1'!H583)</f>
        <v>0</v>
      </c>
      <c r="I583" s="17">
        <f>IF('Components Yr 1'!I583=0,0,'Components Yr 1'!I583)</f>
        <v>0</v>
      </c>
      <c r="J583" s="17">
        <f>IF('Components Yr 1'!J583=0,0,'Components Yr 1'!J583)</f>
        <v>0</v>
      </c>
      <c r="K583" s="12"/>
      <c r="L583" s="12"/>
      <c r="M583" s="12"/>
      <c r="N583" s="12"/>
      <c r="O583" s="12"/>
      <c r="P583" s="12"/>
      <c r="Q583" s="17"/>
      <c r="R583" s="18">
        <f>IF(SUMPRODUCT((E583:Q583)*1)=0,0,E583*INDEX(Hours!M:M,MATCH(C583,Hours!$A:$A,0))+F583*INDEX(Hours!B:B,MATCH(C583,Hours!$A:$A,0))+G583*INDEX(Hours!C:C,MATCH(C583,Hours!$A:$A,0))+H583*INDEX(Hours!D:D,MATCH(C583,Hours!$A:$A,0))+I583*INDEX(Hours!E:E,MATCH(C583,Hours!$A:$A,0))+J583*INDEX(Hours!F:F,MATCH(C583,Hours!$A:$A,0)))</f>
        <v>0</v>
      </c>
      <c r="S583" s="19">
        <f t="shared" si="19"/>
        <v>0</v>
      </c>
    </row>
    <row r="584" spans="1:19" x14ac:dyDescent="0.25">
      <c r="A584" s="15" t="str">
        <f>'Bldgs &amp; Rooms'!$A$17</f>
        <v>Main Bldg.</v>
      </c>
      <c r="B584" s="15">
        <f>'Bldgs &amp; Rooms'!$B$17</f>
        <v>0</v>
      </c>
      <c r="C584" s="14" t="str">
        <f>Hours!$A$29</f>
        <v>Variable Frequency Drives (VFD) &lt; 50 HP</v>
      </c>
      <c r="D584" s="15">
        <f t="shared" si="18"/>
        <v>0</v>
      </c>
      <c r="E584" s="16">
        <f>IF('Components Yr 1'!E584=0,0,'Components Yr 1'!E584)</f>
        <v>0</v>
      </c>
      <c r="F584" s="17">
        <f>IF('Components Yr 1'!F584=0,0,'Components Yr 1'!F584)</f>
        <v>0</v>
      </c>
      <c r="G584" s="17">
        <f>IF('Components Yr 1'!G584=0,0,'Components Yr 1'!G584)</f>
        <v>0</v>
      </c>
      <c r="H584" s="17">
        <f>IF('Components Yr 1'!H584=0,0,'Components Yr 1'!H584)</f>
        <v>0</v>
      </c>
      <c r="I584" s="17">
        <f>IF('Components Yr 1'!I584=0,0,'Components Yr 1'!I584)</f>
        <v>0</v>
      </c>
      <c r="J584" s="17">
        <f>IF('Components Yr 1'!J584=0,0,'Components Yr 1'!J584)</f>
        <v>0</v>
      </c>
      <c r="K584" s="12"/>
      <c r="L584" s="12"/>
      <c r="M584" s="12"/>
      <c r="N584" s="12"/>
      <c r="O584" s="12"/>
      <c r="P584" s="12"/>
      <c r="Q584" s="17"/>
      <c r="R584" s="18">
        <f>IF(SUMPRODUCT((E584:Q584)*1)=0,0,E584*INDEX(Hours!M:M,MATCH(C584,Hours!$A:$A,0))+F584*INDEX(Hours!B:B,MATCH(C584,Hours!$A:$A,0))+G584*INDEX(Hours!C:C,MATCH(C584,Hours!$A:$A,0))+H584*INDEX(Hours!D:D,MATCH(C584,Hours!$A:$A,0))+I584*INDEX(Hours!E:E,MATCH(C584,Hours!$A:$A,0))+J584*INDEX(Hours!F:F,MATCH(C584,Hours!$A:$A,0)))</f>
        <v>0</v>
      </c>
      <c r="S584" s="19">
        <f t="shared" si="19"/>
        <v>0</v>
      </c>
    </row>
    <row r="585" spans="1:19" x14ac:dyDescent="0.25">
      <c r="A585" s="15" t="str">
        <f>'Bldgs &amp; Rooms'!$A$17</f>
        <v>Main Bldg.</v>
      </c>
      <c r="B585" s="15">
        <f>'Bldgs &amp; Rooms'!$B$17</f>
        <v>0</v>
      </c>
      <c r="C585" s="14" t="str">
        <f>Hours!$A$30</f>
        <v>Variable Frequency Drives (VFD) 51-200 HP</v>
      </c>
      <c r="D585" s="15">
        <f t="shared" si="18"/>
        <v>0</v>
      </c>
      <c r="E585" s="16">
        <f>IF('Components Yr 1'!E585=0,0,'Components Yr 1'!E585)</f>
        <v>0</v>
      </c>
      <c r="F585" s="17">
        <f>IF('Components Yr 1'!F585=0,0,'Components Yr 1'!F585)</f>
        <v>0</v>
      </c>
      <c r="G585" s="17">
        <f>IF('Components Yr 1'!G585=0,0,'Components Yr 1'!G585)</f>
        <v>0</v>
      </c>
      <c r="H585" s="17">
        <f>IF('Components Yr 1'!H585=0,0,'Components Yr 1'!H585)</f>
        <v>0</v>
      </c>
      <c r="I585" s="17">
        <f>IF('Components Yr 1'!I585=0,0,'Components Yr 1'!I585)</f>
        <v>0</v>
      </c>
      <c r="J585" s="17">
        <f>IF('Components Yr 1'!J585=0,0,'Components Yr 1'!J585)</f>
        <v>0</v>
      </c>
      <c r="K585" s="12"/>
      <c r="L585" s="12"/>
      <c r="M585" s="12"/>
      <c r="N585" s="12"/>
      <c r="O585" s="12"/>
      <c r="P585" s="12"/>
      <c r="Q585" s="17"/>
      <c r="R585" s="18">
        <f>IF(SUMPRODUCT((E585:Q585)*1)=0,0,E585*INDEX(Hours!M:M,MATCH(C585,Hours!$A:$A,0))+F585*INDEX(Hours!B:B,MATCH(C585,Hours!$A:$A,0))+G585*INDEX(Hours!C:C,MATCH(C585,Hours!$A:$A,0))+H585*INDEX(Hours!D:D,MATCH(C585,Hours!$A:$A,0))+I585*INDEX(Hours!E:E,MATCH(C585,Hours!$A:$A,0))+J585*INDEX(Hours!F:F,MATCH(C585,Hours!$A:$A,0)))</f>
        <v>0</v>
      </c>
      <c r="S585" s="19">
        <f t="shared" si="19"/>
        <v>0</v>
      </c>
    </row>
    <row r="586" spans="1:19" x14ac:dyDescent="0.25">
      <c r="A586" s="15" t="str">
        <f>'Bldgs &amp; Rooms'!$A$17</f>
        <v>Main Bldg.</v>
      </c>
      <c r="B586" s="15">
        <f>'Bldgs &amp; Rooms'!$B$17</f>
        <v>0</v>
      </c>
      <c r="C586" s="14" t="str">
        <f>Hours!$A$31</f>
        <v>Motors &lt; 50 HP</v>
      </c>
      <c r="D586" s="15">
        <f t="shared" si="18"/>
        <v>0</v>
      </c>
      <c r="E586" s="16">
        <f>IF('Components Yr 1'!E586=0,0,'Components Yr 1'!E586)</f>
        <v>0</v>
      </c>
      <c r="F586" s="17">
        <f>IF('Components Yr 1'!F586=0,0,'Components Yr 1'!F586)</f>
        <v>0</v>
      </c>
      <c r="G586" s="17">
        <f>IF('Components Yr 1'!G586=0,0,'Components Yr 1'!G586)</f>
        <v>0</v>
      </c>
      <c r="H586" s="17">
        <f>IF('Components Yr 1'!H586=0,0,'Components Yr 1'!H586)</f>
        <v>0</v>
      </c>
      <c r="I586" s="17">
        <f>IF('Components Yr 1'!I586=0,0,'Components Yr 1'!I586)</f>
        <v>0</v>
      </c>
      <c r="J586" s="17">
        <f>IF('Components Yr 1'!J586=0,0,'Components Yr 1'!J586)</f>
        <v>0</v>
      </c>
      <c r="K586" s="12"/>
      <c r="L586" s="12"/>
      <c r="M586" s="12"/>
      <c r="N586" s="12"/>
      <c r="O586" s="12"/>
      <c r="P586" s="12"/>
      <c r="Q586" s="17"/>
      <c r="R586" s="18">
        <f>IF(SUMPRODUCT((E586:Q586)*1)=0,0,E586*INDEX(Hours!M:M,MATCH(C586,Hours!$A:$A,0))+F586*INDEX(Hours!B:B,MATCH(C586,Hours!$A:$A,0))+G586*INDEX(Hours!C:C,MATCH(C586,Hours!$A:$A,0))+H586*INDEX(Hours!D:D,MATCH(C586,Hours!$A:$A,0))+I586*INDEX(Hours!E:E,MATCH(C586,Hours!$A:$A,0))+J586*INDEX(Hours!F:F,MATCH(C586,Hours!$A:$A,0)))</f>
        <v>0</v>
      </c>
      <c r="S586" s="19">
        <f t="shared" si="19"/>
        <v>0</v>
      </c>
    </row>
    <row r="587" spans="1:19" x14ac:dyDescent="0.25">
      <c r="A587" s="15" t="str">
        <f>'Bldgs &amp; Rooms'!$A$17</f>
        <v>Main Bldg.</v>
      </c>
      <c r="B587" s="15">
        <f>'Bldgs &amp; Rooms'!$B$17</f>
        <v>0</v>
      </c>
      <c r="C587" s="14" t="str">
        <f>Hours!$A$32</f>
        <v>Motors 51-200 HP</v>
      </c>
      <c r="D587" s="15">
        <f t="shared" si="18"/>
        <v>0</v>
      </c>
      <c r="E587" s="16">
        <f>IF('Components Yr 1'!E587=0,0,'Components Yr 1'!E587)</f>
        <v>0</v>
      </c>
      <c r="F587" s="17">
        <f>IF('Components Yr 1'!F587=0,0,'Components Yr 1'!F587)</f>
        <v>0</v>
      </c>
      <c r="G587" s="17">
        <f>IF('Components Yr 1'!G587=0,0,'Components Yr 1'!G587)</f>
        <v>0</v>
      </c>
      <c r="H587" s="17">
        <f>IF('Components Yr 1'!H587=0,0,'Components Yr 1'!H587)</f>
        <v>0</v>
      </c>
      <c r="I587" s="17">
        <f>IF('Components Yr 1'!I587=0,0,'Components Yr 1'!I587)</f>
        <v>0</v>
      </c>
      <c r="J587" s="17">
        <f>IF('Components Yr 1'!J587=0,0,'Components Yr 1'!J587)</f>
        <v>0</v>
      </c>
      <c r="K587" s="12"/>
      <c r="L587" s="12"/>
      <c r="M587" s="12"/>
      <c r="N587" s="12"/>
      <c r="O587" s="12"/>
      <c r="P587" s="12"/>
      <c r="Q587" s="17"/>
      <c r="R587" s="18">
        <f>IF(SUMPRODUCT((E587:Q587)*1)=0,0,E587*INDEX(Hours!M:M,MATCH(C587,Hours!$A:$A,0))+F587*INDEX(Hours!B:B,MATCH(C587,Hours!$A:$A,0))+G587*INDEX(Hours!C:C,MATCH(C587,Hours!$A:$A,0))+H587*INDEX(Hours!D:D,MATCH(C587,Hours!$A:$A,0))+I587*INDEX(Hours!E:E,MATCH(C587,Hours!$A:$A,0))+J587*INDEX(Hours!F:F,MATCH(C587,Hours!$A:$A,0)))</f>
        <v>0</v>
      </c>
      <c r="S587" s="19">
        <f t="shared" si="19"/>
        <v>0</v>
      </c>
    </row>
    <row r="588" spans="1:19" x14ac:dyDescent="0.25">
      <c r="A588" s="15" t="str">
        <f>'Bldgs &amp; Rooms'!$A$17</f>
        <v>Main Bldg.</v>
      </c>
      <c r="B588" s="15">
        <f>'Bldgs &amp; Rooms'!$B$17</f>
        <v>0</v>
      </c>
      <c r="C588" s="14" t="str">
        <f>Hours!$A$33</f>
        <v>Motors 201-500 HP</v>
      </c>
      <c r="D588" s="15">
        <f t="shared" si="18"/>
        <v>0</v>
      </c>
      <c r="E588" s="16">
        <f>IF('Components Yr 1'!E588=0,0,'Components Yr 1'!E588)</f>
        <v>0</v>
      </c>
      <c r="F588" s="17">
        <f>IF('Components Yr 1'!F588=0,0,'Components Yr 1'!F588)</f>
        <v>0</v>
      </c>
      <c r="G588" s="17">
        <f>IF('Components Yr 1'!G588=0,0,'Components Yr 1'!G588)</f>
        <v>0</v>
      </c>
      <c r="H588" s="17">
        <f>IF('Components Yr 1'!H588=0,0,'Components Yr 1'!H588)</f>
        <v>0</v>
      </c>
      <c r="I588" s="17">
        <f>IF('Components Yr 1'!I588=0,0,'Components Yr 1'!I588)</f>
        <v>0</v>
      </c>
      <c r="J588" s="17">
        <f>IF('Components Yr 1'!J588=0,0,'Components Yr 1'!J588)</f>
        <v>0</v>
      </c>
      <c r="K588" s="12"/>
      <c r="L588" s="12"/>
      <c r="M588" s="12"/>
      <c r="N588" s="12"/>
      <c r="O588" s="12"/>
      <c r="P588" s="12"/>
      <c r="Q588" s="17"/>
      <c r="R588" s="18">
        <f>IF(SUMPRODUCT((E588:Q588)*1)=0,0,E588*INDEX(Hours!M:M,MATCH(C588,Hours!$A:$A,0))+F588*INDEX(Hours!B:B,MATCH(C588,Hours!$A:$A,0))+G588*INDEX(Hours!C:C,MATCH(C588,Hours!$A:$A,0))+H588*INDEX(Hours!D:D,MATCH(C588,Hours!$A:$A,0))+I588*INDEX(Hours!E:E,MATCH(C588,Hours!$A:$A,0))+J588*INDEX(Hours!F:F,MATCH(C588,Hours!$A:$A,0)))</f>
        <v>0</v>
      </c>
      <c r="S588" s="19">
        <f t="shared" si="19"/>
        <v>0</v>
      </c>
    </row>
    <row r="589" spans="1:19" x14ac:dyDescent="0.25">
      <c r="A589" s="15" t="str">
        <f>'Bldgs &amp; Rooms'!$A$17</f>
        <v>Main Bldg.</v>
      </c>
      <c r="B589" s="15">
        <f>'Bldgs &amp; Rooms'!$B$17</f>
        <v>0</v>
      </c>
      <c r="C589" s="14" t="str">
        <f>Hours!$A$34</f>
        <v>Compressed Air Equipment</v>
      </c>
      <c r="D589" s="15">
        <f t="shared" si="18"/>
        <v>0</v>
      </c>
      <c r="E589" s="16">
        <f>IF('Components Yr 1'!E589=0,0,'Components Yr 1'!E589)</f>
        <v>0</v>
      </c>
      <c r="F589" s="17">
        <f>IF('Components Yr 1'!F589=0,0,'Components Yr 1'!F589)</f>
        <v>0</v>
      </c>
      <c r="G589" s="17">
        <f>IF('Components Yr 1'!G589=0,0,'Components Yr 1'!G589)</f>
        <v>0</v>
      </c>
      <c r="H589" s="17">
        <f>IF('Components Yr 1'!H589=0,0,'Components Yr 1'!H589)</f>
        <v>0</v>
      </c>
      <c r="I589" s="17">
        <f>IF('Components Yr 1'!I589=0,0,'Components Yr 1'!I589)</f>
        <v>0</v>
      </c>
      <c r="J589" s="17">
        <f>IF('Components Yr 1'!J589=0,0,'Components Yr 1'!J589)</f>
        <v>0</v>
      </c>
      <c r="K589" s="12"/>
      <c r="L589" s="12"/>
      <c r="M589" s="12"/>
      <c r="N589" s="12"/>
      <c r="O589" s="12"/>
      <c r="P589" s="12"/>
      <c r="Q589" s="17"/>
      <c r="R589" s="18">
        <f>IF(SUMPRODUCT((E589:Q589)*1)=0,0,E589*INDEX(Hours!M:M,MATCH(C589,Hours!$A:$A,0))+F589*INDEX(Hours!B:B,MATCH(C589,Hours!$A:$A,0))+G589*INDEX(Hours!C:C,MATCH(C589,Hours!$A:$A,0))+H589*INDEX(Hours!D:D,MATCH(C589,Hours!$A:$A,0))+I589*INDEX(Hours!E:E,MATCH(C589,Hours!$A:$A,0))+J589*INDEX(Hours!F:F,MATCH(C589,Hours!$A:$A,0)))</f>
        <v>0</v>
      </c>
      <c r="S589" s="19">
        <f t="shared" si="19"/>
        <v>0</v>
      </c>
    </row>
    <row r="590" spans="1:19" x14ac:dyDescent="0.25">
      <c r="A590" s="15" t="str">
        <f>'Bldgs &amp; Rooms'!$A$17</f>
        <v>Main Bldg.</v>
      </c>
      <c r="B590" s="15">
        <f>'Bldgs &amp; Rooms'!$B$17</f>
        <v>0</v>
      </c>
      <c r="C590" s="14" t="str">
        <f>Hours!$A$35</f>
        <v>HVAC Equipment (Large)</v>
      </c>
      <c r="D590" s="15">
        <f t="shared" si="18"/>
        <v>0</v>
      </c>
      <c r="E590" s="16">
        <f>IF('Components Yr 1'!E590=0,0,'Components Yr 1'!E590)</f>
        <v>0</v>
      </c>
      <c r="F590" s="17">
        <f>IF('Components Yr 1'!F590=0,0,'Components Yr 1'!F590)</f>
        <v>0</v>
      </c>
      <c r="G590" s="17">
        <f>IF('Components Yr 1'!G590=0,0,'Components Yr 1'!G590)</f>
        <v>0</v>
      </c>
      <c r="H590" s="17">
        <f>IF('Components Yr 1'!H590=0,0,'Components Yr 1'!H590)</f>
        <v>0</v>
      </c>
      <c r="I590" s="17">
        <f>IF('Components Yr 1'!I590=0,0,'Components Yr 1'!I590)</f>
        <v>0</v>
      </c>
      <c r="J590" s="17">
        <f>IF('Components Yr 1'!J590=0,0,'Components Yr 1'!J590)</f>
        <v>0</v>
      </c>
      <c r="K590" s="12"/>
      <c r="L590" s="12"/>
      <c r="M590" s="12"/>
      <c r="N590" s="12"/>
      <c r="O590" s="12"/>
      <c r="P590" s="12"/>
      <c r="Q590" s="17"/>
      <c r="R590" s="18">
        <f>IF(SUMPRODUCT((E590:Q590)*1)=0,0,E590*INDEX(Hours!M:M,MATCH(C590,Hours!$A:$A,0))+F590*INDEX(Hours!B:B,MATCH(C590,Hours!$A:$A,0))+G590*INDEX(Hours!C:C,MATCH(C590,Hours!$A:$A,0))+H590*INDEX(Hours!D:D,MATCH(C590,Hours!$A:$A,0))+I590*INDEX(Hours!E:E,MATCH(C590,Hours!$A:$A,0))+J590*INDEX(Hours!F:F,MATCH(C590,Hours!$A:$A,0)))</f>
        <v>0</v>
      </c>
      <c r="S590" s="19">
        <f t="shared" si="19"/>
        <v>0</v>
      </c>
    </row>
    <row r="591" spans="1:19" x14ac:dyDescent="0.25">
      <c r="A591" s="15" t="str">
        <f>'Bldgs &amp; Rooms'!$A$17</f>
        <v>Main Bldg.</v>
      </c>
      <c r="B591" s="15">
        <f>'Bldgs &amp; Rooms'!$B$17</f>
        <v>0</v>
      </c>
      <c r="C591" s="14" t="str">
        <f>Hours!$A$36</f>
        <v>HVAC Equipment (Small)</v>
      </c>
      <c r="D591" s="15">
        <f t="shared" si="18"/>
        <v>0</v>
      </c>
      <c r="E591" s="16">
        <f>IF('Components Yr 1'!E591=0,0,'Components Yr 1'!E591)</f>
        <v>0</v>
      </c>
      <c r="F591" s="17">
        <f>IF('Components Yr 1'!F591=0,0,'Components Yr 1'!F591)</f>
        <v>0</v>
      </c>
      <c r="G591" s="17">
        <f>IF('Components Yr 1'!G591=0,0,'Components Yr 1'!G591)</f>
        <v>0</v>
      </c>
      <c r="H591" s="17">
        <f>IF('Components Yr 1'!H591=0,0,'Components Yr 1'!H591)</f>
        <v>0</v>
      </c>
      <c r="I591" s="17">
        <f>IF('Components Yr 1'!I591=0,0,'Components Yr 1'!I591)</f>
        <v>0</v>
      </c>
      <c r="J591" s="17">
        <f>IF('Components Yr 1'!J591=0,0,'Components Yr 1'!J591)</f>
        <v>0</v>
      </c>
      <c r="K591" s="12"/>
      <c r="L591" s="12"/>
      <c r="M591" s="12"/>
      <c r="N591" s="12"/>
      <c r="O591" s="12"/>
      <c r="P591" s="12"/>
      <c r="Q591" s="17"/>
      <c r="R591" s="18">
        <f>IF(SUMPRODUCT((E591:Q591)*1)=0,0,E591*INDEX(Hours!M:M,MATCH(C591,Hours!$A:$A,0))+F591*INDEX(Hours!B:B,MATCH(C591,Hours!$A:$A,0))+G591*INDEX(Hours!C:C,MATCH(C591,Hours!$A:$A,0))+H591*INDEX(Hours!D:D,MATCH(C591,Hours!$A:$A,0))+I591*INDEX(Hours!E:E,MATCH(C591,Hours!$A:$A,0))+J591*INDEX(Hours!F:F,MATCH(C591,Hours!$A:$A,0)))</f>
        <v>0</v>
      </c>
      <c r="S591" s="19">
        <f t="shared" si="19"/>
        <v>0</v>
      </c>
    </row>
    <row r="592" spans="1:19" x14ac:dyDescent="0.25">
      <c r="A592" s="15" t="str">
        <f>'Bldgs &amp; Rooms'!$A$17</f>
        <v>Main Bldg.</v>
      </c>
      <c r="B592" s="15">
        <f>'Bldgs &amp; Rooms'!$B$17</f>
        <v>0</v>
      </c>
      <c r="C592" s="14" t="str">
        <f>Hours!$A$37</f>
        <v>Uninterruptible Power Supply (UPS) &lt; 50kVA</v>
      </c>
      <c r="D592" s="15">
        <f t="shared" si="18"/>
        <v>0</v>
      </c>
      <c r="E592" s="16">
        <f>IF('Components Yr 1'!E592=0,0,'Components Yr 1'!E592)</f>
        <v>0</v>
      </c>
      <c r="F592" s="17">
        <f>IF('Components Yr 1'!F592=0,0,'Components Yr 1'!F592)</f>
        <v>0</v>
      </c>
      <c r="G592" s="17">
        <f>IF('Components Yr 1'!G592=0,0,'Components Yr 1'!G592)</f>
        <v>0</v>
      </c>
      <c r="H592" s="17">
        <f>IF('Components Yr 1'!H592=0,0,'Components Yr 1'!H592)</f>
        <v>0</v>
      </c>
      <c r="I592" s="17">
        <f>IF('Components Yr 1'!I592=0,0,'Components Yr 1'!I592)</f>
        <v>0</v>
      </c>
      <c r="J592" s="17">
        <f>IF('Components Yr 1'!J592=0,0,'Components Yr 1'!J592)</f>
        <v>0</v>
      </c>
      <c r="K592" s="12"/>
      <c r="L592" s="12"/>
      <c r="M592" s="12"/>
      <c r="N592" s="12"/>
      <c r="O592" s="12"/>
      <c r="P592" s="12"/>
      <c r="Q592" s="17"/>
      <c r="R592" s="18">
        <f>IF(SUMPRODUCT((E592:Q592)*1)=0,0,E592*INDEX(Hours!M:M,MATCH(C592,Hours!$A:$A,0))+F592*INDEX(Hours!B:B,MATCH(C592,Hours!$A:$A,0))+G592*INDEX(Hours!C:C,MATCH(C592,Hours!$A:$A,0))+H592*INDEX(Hours!D:D,MATCH(C592,Hours!$A:$A,0))+I592*INDEX(Hours!E:E,MATCH(C592,Hours!$A:$A,0))+J592*INDEX(Hours!F:F,MATCH(C592,Hours!$A:$A,0)))</f>
        <v>0</v>
      </c>
      <c r="S592" s="19">
        <f t="shared" si="19"/>
        <v>0</v>
      </c>
    </row>
    <row r="593" spans="1:19" x14ac:dyDescent="0.25">
      <c r="A593" s="15" t="str">
        <f>'Bldgs &amp; Rooms'!$A$17</f>
        <v>Main Bldg.</v>
      </c>
      <c r="B593" s="15">
        <f>'Bldgs &amp; Rooms'!$B$17</f>
        <v>0</v>
      </c>
      <c r="C593" s="14" t="str">
        <f>Hours!$A$38</f>
        <v>Uninterruptible Power Supply (UPS) &gt; 50kVA</v>
      </c>
      <c r="D593" s="15">
        <f t="shared" si="18"/>
        <v>0</v>
      </c>
      <c r="E593" s="16">
        <f>IF('Components Yr 1'!E593=0,0,'Components Yr 1'!E593)</f>
        <v>0</v>
      </c>
      <c r="F593" s="17">
        <f>IF('Components Yr 1'!F593=0,0,'Components Yr 1'!F593)</f>
        <v>0</v>
      </c>
      <c r="G593" s="17">
        <f>IF('Components Yr 1'!G593=0,0,'Components Yr 1'!G593)</f>
        <v>0</v>
      </c>
      <c r="H593" s="17">
        <f>IF('Components Yr 1'!H593=0,0,'Components Yr 1'!H593)</f>
        <v>0</v>
      </c>
      <c r="I593" s="17">
        <f>IF('Components Yr 1'!I593=0,0,'Components Yr 1'!I593)</f>
        <v>0</v>
      </c>
      <c r="J593" s="17">
        <f>IF('Components Yr 1'!J593=0,0,'Components Yr 1'!J593)</f>
        <v>0</v>
      </c>
      <c r="K593" s="12"/>
      <c r="L593" s="12"/>
      <c r="M593" s="12"/>
      <c r="N593" s="12"/>
      <c r="O593" s="12"/>
      <c r="P593" s="12"/>
      <c r="Q593" s="17"/>
      <c r="R593" s="18">
        <f>IF(SUMPRODUCT((E593:Q593)*1)=0,0,E593*INDEX(Hours!M:M,MATCH(C593,Hours!$A:$A,0))+F593*INDEX(Hours!B:B,MATCH(C593,Hours!$A:$A,0))+G593*INDEX(Hours!C:C,MATCH(C593,Hours!$A:$A,0))+H593*INDEX(Hours!D:D,MATCH(C593,Hours!$A:$A,0))+I593*INDEX(Hours!E:E,MATCH(C593,Hours!$A:$A,0))+J593*INDEX(Hours!F:F,MATCH(C593,Hours!$A:$A,0)))</f>
        <v>0</v>
      </c>
      <c r="S593" s="19">
        <f t="shared" si="19"/>
        <v>0</v>
      </c>
    </row>
    <row r="594" spans="1:19" x14ac:dyDescent="0.25">
      <c r="A594" s="11" t="str">
        <f>'Bldgs &amp; Rooms'!$A$18</f>
        <v>Main Bldg.</v>
      </c>
      <c r="B594" s="11">
        <f>'Bldgs &amp; Rooms'!$B$18</f>
        <v>0</v>
      </c>
      <c r="C594" s="10" t="str">
        <f>Hours!$A$2</f>
        <v>Switchgear - Incoming Main Service (Per Section)</v>
      </c>
      <c r="D594" s="11">
        <f t="shared" si="18"/>
        <v>0</v>
      </c>
      <c r="E594" s="16">
        <f>IF('Components Yr 1'!E594=0,0,'Components Yr 1'!E594)</f>
        <v>0</v>
      </c>
      <c r="F594" s="17">
        <f>IF('Components Yr 1'!F594=0,0,'Components Yr 1'!F594)</f>
        <v>0</v>
      </c>
      <c r="G594" s="17">
        <f>IF('Components Yr 1'!G594=0,0,'Components Yr 1'!G594)</f>
        <v>0</v>
      </c>
      <c r="H594" s="17">
        <f>IF('Components Yr 1'!H594=0,0,'Components Yr 1'!H594)</f>
        <v>0</v>
      </c>
      <c r="I594" s="17">
        <f>IF('Components Yr 1'!I594=0,0,'Components Yr 1'!I594)</f>
        <v>0</v>
      </c>
      <c r="J594" s="17">
        <f>IF('Components Yr 1'!J594=0,0,'Components Yr 1'!J594)</f>
        <v>0</v>
      </c>
      <c r="K594" s="17">
        <f>IF('Components Yr 1'!K594=0,0,'Components Yr 1'!K594)</f>
        <v>0</v>
      </c>
      <c r="L594" s="17">
        <f>IF('Components Yr 1'!L594=0,0,'Components Yr 1'!L594)</f>
        <v>0</v>
      </c>
      <c r="M594" s="12"/>
      <c r="N594" s="12"/>
      <c r="O594" s="17">
        <f>IF('Components Yr 1'!O594=0,0,'Components Yr 1'!O594)</f>
        <v>0</v>
      </c>
      <c r="P594" s="12"/>
      <c r="Q594" s="17"/>
      <c r="R594" s="18">
        <f>IF(SUMPRODUCT((E594:Q594)*1)=0,0,E594*INDEX(Hours!M:M,MATCH(C594,Hours!$A:$A,0))+F594*INDEX(Hours!B:B,MATCH(C594,Hours!$A:$A,0))+G594*INDEX(Hours!C:C,MATCH(C594,Hours!$A:$A,0))+H594*INDEX(Hours!D:D,MATCH(C594,Hours!$A:$A,0))+I594*INDEX(Hours!E:E,MATCH(C594,Hours!$A:$A,0))+J594*INDEX(Hours!F:F,MATCH(C594,Hours!$A:$A,0))+K594*INDEX(Hours!G:G,MATCH(C594,Hours!$A:$A,0))+L594*INDEX(Hours!H:H,MATCH(C594,Hours!$A:$A,0))+O594*INDEX(Hours!K:K,MATCH(C594,Hours!$A:$A,0)))</f>
        <v>0</v>
      </c>
      <c r="S594" s="19">
        <f t="shared" si="19"/>
        <v>0</v>
      </c>
    </row>
    <row r="595" spans="1:19" x14ac:dyDescent="0.25">
      <c r="A595" s="11" t="str">
        <f>'Bldgs &amp; Rooms'!$A$18</f>
        <v>Main Bldg.</v>
      </c>
      <c r="B595" s="11">
        <f>'Bldgs &amp; Rooms'!$B$18</f>
        <v>0</v>
      </c>
      <c r="C595" s="10" t="str">
        <f>Hours!$A$3</f>
        <v xml:space="preserve">  Switchgear Insulated Case Breakers (Bus Mounted)</v>
      </c>
      <c r="D595" s="11">
        <f t="shared" si="18"/>
        <v>0</v>
      </c>
      <c r="E595" s="16">
        <f>IF('Components Yr 1'!E595=0,0,'Components Yr 1'!E595)</f>
        <v>0</v>
      </c>
      <c r="F595" s="17">
        <f>IF('Components Yr 1'!F595=0,0,'Components Yr 1'!F595)</f>
        <v>0</v>
      </c>
      <c r="G595" s="17">
        <f>IF('Components Yr 1'!G595=0,0,'Components Yr 1'!G595)</f>
        <v>0</v>
      </c>
      <c r="H595" s="17">
        <f>IF('Components Yr 1'!H595=0,0,'Components Yr 1'!H595)</f>
        <v>0</v>
      </c>
      <c r="I595" s="17">
        <f>IF('Components Yr 1'!I595=0,0,'Components Yr 1'!I595)</f>
        <v>0</v>
      </c>
      <c r="J595" s="17">
        <f>IF('Components Yr 1'!J595=0,0,'Components Yr 1'!J595)</f>
        <v>0</v>
      </c>
      <c r="K595" s="17">
        <f>IF('Components Yr 1'!K595=0,0,'Components Yr 1'!K595)</f>
        <v>0</v>
      </c>
      <c r="L595" s="12"/>
      <c r="M595" s="12"/>
      <c r="N595" s="12"/>
      <c r="O595" s="12"/>
      <c r="P595" s="12"/>
      <c r="Q595" s="17"/>
      <c r="R595" s="18">
        <f>IF(SUMPRODUCT((E595:Q595)*1)=0,0,E595*INDEX(Hours!M:M,MATCH(C595,Hours!$A:$A,0))+F595*INDEX(Hours!B:B,MATCH(C595,Hours!$A:$A,0))+G595*INDEX(Hours!C:C,MATCH(C595,Hours!$A:$A,0))+H595*INDEX(Hours!D:D,MATCH(C595,Hours!$A:$A,0))+I595*INDEX(Hours!E:E,MATCH(C595,Hours!$A:$A,0))+J595*INDEX(Hours!F:F,MATCH(C595,Hours!$A:$A,0))+K595*INDEX(Hours!G:G,MATCH(C595,Hours!$A:$A,0)))</f>
        <v>0</v>
      </c>
      <c r="S595" s="19">
        <f t="shared" si="19"/>
        <v>0</v>
      </c>
    </row>
    <row r="596" spans="1:19" x14ac:dyDescent="0.25">
      <c r="A596" s="11" t="str">
        <f>'Bldgs &amp; Rooms'!$A$18</f>
        <v>Main Bldg.</v>
      </c>
      <c r="B596" s="11">
        <f>'Bldgs &amp; Rooms'!$B$18</f>
        <v>0</v>
      </c>
      <c r="C596" s="10" t="str">
        <f>Hours!$A$4</f>
        <v xml:space="preserve">  SwitchGear Drawout Breakers</v>
      </c>
      <c r="D596" s="11">
        <f t="shared" si="18"/>
        <v>0</v>
      </c>
      <c r="E596" s="16">
        <f>IF('Components Yr 1'!E596=0,0,'Components Yr 1'!E596)</f>
        <v>0</v>
      </c>
      <c r="F596" s="17">
        <f>IF('Components Yr 1'!F596=0,0,'Components Yr 1'!F596)</f>
        <v>0</v>
      </c>
      <c r="G596" s="17">
        <f>IF('Components Yr 1'!G596=0,0,'Components Yr 1'!G596)</f>
        <v>0</v>
      </c>
      <c r="H596" s="17">
        <f>IF('Components Yr 1'!H596=0,0,'Components Yr 1'!H596)</f>
        <v>0</v>
      </c>
      <c r="I596" s="17">
        <f>IF('Components Yr 1'!I596=0,0,'Components Yr 1'!I596)</f>
        <v>0</v>
      </c>
      <c r="J596" s="17">
        <f>IF('Components Yr 1'!J596=0,0,'Components Yr 1'!J596)</f>
        <v>0</v>
      </c>
      <c r="K596" s="12"/>
      <c r="L596" s="17">
        <f>IF('Components Yr 1'!L596=0,0,'Components Yr 1'!L596)</f>
        <v>0</v>
      </c>
      <c r="M596" s="12"/>
      <c r="N596" s="12"/>
      <c r="O596" s="12"/>
      <c r="P596" s="12"/>
      <c r="Q596" s="17"/>
      <c r="R596" s="18">
        <f>IF(SUMPRODUCT((E596:Q596)*1)=0,0,E596*INDEX(Hours!M:M,MATCH(C596,Hours!$A:$A,0))+F596*INDEX(Hours!B:B,MATCH(C596,Hours!$A:$A,0))+G596*INDEX(Hours!C:C,MATCH(C596,Hours!$A:$A,0))+H596*INDEX(Hours!D:D,MATCH(C596,Hours!$A:$A,0))+I596*INDEX(Hours!E:E,MATCH(C596,Hours!$A:$A,0))+J596*INDEX(Hours!F:F,MATCH(C596,Hours!$A:$A,0))+L596*INDEX(Hours!H:H,MATCH(C596,Hours!$A:$A,0)))</f>
        <v>0</v>
      </c>
      <c r="S596" s="19">
        <f t="shared" si="19"/>
        <v>0</v>
      </c>
    </row>
    <row r="597" spans="1:19" x14ac:dyDescent="0.25">
      <c r="A597" s="11" t="str">
        <f>'Bldgs &amp; Rooms'!$A$18</f>
        <v>Main Bldg.</v>
      </c>
      <c r="B597" s="11">
        <f>'Bldgs &amp; Rooms'!$B$18</f>
        <v>0</v>
      </c>
      <c r="C597" s="10" t="str">
        <f>Hours!$A$5</f>
        <v>Distribution Switchboard Multi Cover (Per Section)</v>
      </c>
      <c r="D597" s="11">
        <f t="shared" si="18"/>
        <v>0</v>
      </c>
      <c r="E597" s="16">
        <f>IF('Components Yr 1'!E597=0,0,'Components Yr 1'!E597)</f>
        <v>0</v>
      </c>
      <c r="F597" s="17">
        <f>IF('Components Yr 1'!F597=0,0,'Components Yr 1'!F597)</f>
        <v>0</v>
      </c>
      <c r="G597" s="17">
        <f>IF('Components Yr 1'!G597=0,0,'Components Yr 1'!G597)</f>
        <v>0</v>
      </c>
      <c r="H597" s="17">
        <f>IF('Components Yr 1'!H597=0,0,'Components Yr 1'!H597)</f>
        <v>0</v>
      </c>
      <c r="I597" s="17">
        <f>IF('Components Yr 1'!I597=0,0,'Components Yr 1'!I597)</f>
        <v>0</v>
      </c>
      <c r="J597" s="17">
        <f>IF('Components Yr 1'!J597=0,0,'Components Yr 1'!J597)</f>
        <v>0</v>
      </c>
      <c r="K597" s="17">
        <f>IF('Components Yr 1'!K597=0,0,'Components Yr 1'!K597)</f>
        <v>0</v>
      </c>
      <c r="L597" s="12"/>
      <c r="M597" s="12"/>
      <c r="N597" s="12"/>
      <c r="O597" s="17">
        <f>IF('Components Yr 1'!O597=0,0,'Components Yr 1'!O597)</f>
        <v>0</v>
      </c>
      <c r="P597" s="12"/>
      <c r="Q597" s="17"/>
      <c r="R597" s="18">
        <f>IF(SUMPRODUCT((E597:Q597)*1)=0,0,E597*INDEX(Hours!M:M,MATCH(C597,Hours!$A:$A,0))+F597*INDEX(Hours!B:B,MATCH(C597,Hours!$A:$A,0))+G597*INDEX(Hours!C:C,MATCH(C597,Hours!$A:$A,0))+H597*INDEX(Hours!D:D,MATCH(C597,Hours!$A:$A,0))+I597*INDEX(Hours!E:E,MATCH(C597,Hours!$A:$A,0))+J597*INDEX(Hours!F:F,MATCH(C597,Hours!$A:$A,0))+K597*INDEX(Hours!G:G,MATCH(C597,Hours!$A:$A,0))+O597*INDEX(Hours!K:K,MATCH(C597,Hours!$A:$A,0)))</f>
        <v>0</v>
      </c>
      <c r="S597" s="19">
        <f t="shared" si="19"/>
        <v>0</v>
      </c>
    </row>
    <row r="598" spans="1:19" x14ac:dyDescent="0.25">
      <c r="A598" s="11" t="str">
        <f>'Bldgs &amp; Rooms'!$A$18</f>
        <v>Main Bldg.</v>
      </c>
      <c r="B598" s="11">
        <f>'Bldgs &amp; Rooms'!$B$18</f>
        <v>0</v>
      </c>
      <c r="C598" s="10" t="str">
        <f>Hours!$A$6</f>
        <v xml:space="preserve">  Switchboard Disconnects</v>
      </c>
      <c r="D598" s="11">
        <f t="shared" si="18"/>
        <v>0</v>
      </c>
      <c r="E598" s="16">
        <f>IF('Components Yr 1'!E598=0,0,'Components Yr 1'!E598)</f>
        <v>0</v>
      </c>
      <c r="F598" s="17">
        <f>IF('Components Yr 1'!F598=0,0,'Components Yr 1'!F598)</f>
        <v>0</v>
      </c>
      <c r="G598" s="17">
        <f>IF('Components Yr 1'!G598=0,0,'Components Yr 1'!G598)</f>
        <v>0</v>
      </c>
      <c r="H598" s="17">
        <f>IF('Components Yr 1'!H598=0,0,'Components Yr 1'!H598)</f>
        <v>0</v>
      </c>
      <c r="I598" s="17">
        <f>IF('Components Yr 1'!I598=0,0,'Components Yr 1'!I598)</f>
        <v>0</v>
      </c>
      <c r="J598" s="17">
        <f>IF('Components Yr 1'!J598=0,0,'Components Yr 1'!J598)</f>
        <v>0</v>
      </c>
      <c r="K598" s="12"/>
      <c r="L598" s="12"/>
      <c r="M598" s="12"/>
      <c r="N598" s="12"/>
      <c r="O598" s="12"/>
      <c r="P598" s="12"/>
      <c r="Q598" s="17"/>
      <c r="R598" s="18">
        <f>IF(SUMPRODUCT((E598:Q598)*1)=0,0,E598*INDEX(Hours!M:M,MATCH(C598,Hours!$A:$A,0))+F598*INDEX(Hours!B:B,MATCH(C598,Hours!$A:$A,0))+G598*INDEX(Hours!C:C,MATCH(C598,Hours!$A:$A,0))+H598*INDEX(Hours!D:D,MATCH(C598,Hours!$A:$A,0))+I598*INDEX(Hours!E:E,MATCH(C598,Hours!$A:$A,0))+J598*INDEX(Hours!F:F,MATCH(C598,Hours!$A:$A,0)))</f>
        <v>0</v>
      </c>
      <c r="S598" s="19">
        <f t="shared" si="19"/>
        <v>0</v>
      </c>
    </row>
    <row r="599" spans="1:19" x14ac:dyDescent="0.25">
      <c r="A599" s="11" t="str">
        <f>'Bldgs &amp; Rooms'!$A$18</f>
        <v>Main Bldg.</v>
      </c>
      <c r="B599" s="11">
        <f>'Bldgs &amp; Rooms'!$B$18</f>
        <v>0</v>
      </c>
      <c r="C599" s="10" t="str">
        <f>Hours!$A$7</f>
        <v xml:space="preserve">  Switchboard Molded Case Breakers</v>
      </c>
      <c r="D599" s="11">
        <f t="shared" si="18"/>
        <v>0</v>
      </c>
      <c r="E599" s="16">
        <f>IF('Components Yr 1'!E599=0,0,'Components Yr 1'!E599)</f>
        <v>0</v>
      </c>
      <c r="F599" s="17">
        <f>IF('Components Yr 1'!F599=0,0,'Components Yr 1'!F599)</f>
        <v>0</v>
      </c>
      <c r="G599" s="17">
        <f>IF('Components Yr 1'!G599=0,0,'Components Yr 1'!G599)</f>
        <v>0</v>
      </c>
      <c r="H599" s="17">
        <f>IF('Components Yr 1'!H599=0,0,'Components Yr 1'!H599)</f>
        <v>0</v>
      </c>
      <c r="I599" s="17">
        <f>IF('Components Yr 1'!I599=0,0,'Components Yr 1'!I599)</f>
        <v>0</v>
      </c>
      <c r="J599" s="17">
        <f>IF('Components Yr 1'!J599=0,0,'Components Yr 1'!J599)</f>
        <v>0</v>
      </c>
      <c r="K599" s="17">
        <f>IF('Components Yr 1'!K599=0,0,'Components Yr 1'!K599)</f>
        <v>0</v>
      </c>
      <c r="L599" s="12"/>
      <c r="M599" s="12"/>
      <c r="N599" s="12"/>
      <c r="O599" s="12"/>
      <c r="P599" s="12"/>
      <c r="Q599" s="17"/>
      <c r="R599" s="18">
        <f>IF(SUMPRODUCT((E599:Q599)*1)=0,0,E599*INDEX(Hours!M:M,MATCH(C599,Hours!$A:$A,0))+F599*INDEX(Hours!B:B,MATCH(C599,Hours!$A:$A,0))+G599*INDEX(Hours!C:C,MATCH(C599,Hours!$A:$A,0))+H599*INDEX(Hours!D:D,MATCH(C599,Hours!$A:$A,0))+I599*INDEX(Hours!E:E,MATCH(C599,Hours!$A:$A,0))+J599*INDEX(Hours!F:F,MATCH(C599,Hours!$A:$A,0))+K599*INDEX(Hours!G:G,MATCH(C599,Hours!$A:$A,0)))</f>
        <v>0</v>
      </c>
      <c r="S599" s="19">
        <f t="shared" si="19"/>
        <v>0</v>
      </c>
    </row>
    <row r="600" spans="1:19" x14ac:dyDescent="0.25">
      <c r="A600" s="11" t="str">
        <f>'Bldgs &amp; Rooms'!$A$18</f>
        <v>Main Bldg.</v>
      </c>
      <c r="B600" s="11">
        <f>'Bldgs &amp; Rooms'!$B$18</f>
        <v>0</v>
      </c>
      <c r="C600" s="10" t="str">
        <f>Hours!$A$8</f>
        <v>Panelboard-Single Cover &gt; 400A (Distribution Panel)</v>
      </c>
      <c r="D600" s="11">
        <f t="shared" si="18"/>
        <v>0</v>
      </c>
      <c r="E600" s="16">
        <f>IF('Components Yr 1'!E600=0,0,'Components Yr 1'!E600)</f>
        <v>0</v>
      </c>
      <c r="F600" s="17">
        <f>IF('Components Yr 1'!F600=0,0,'Components Yr 1'!F600)</f>
        <v>0</v>
      </c>
      <c r="G600" s="17">
        <f>IF('Components Yr 1'!G600=0,0,'Components Yr 1'!G600)</f>
        <v>0</v>
      </c>
      <c r="H600" s="17">
        <f>IF('Components Yr 1'!H600=0,0,'Components Yr 1'!H600)</f>
        <v>0</v>
      </c>
      <c r="I600" s="17">
        <f>IF('Components Yr 1'!I600=0,0,'Components Yr 1'!I600)</f>
        <v>0</v>
      </c>
      <c r="J600" s="17">
        <f>IF('Components Yr 1'!J600=0,0,'Components Yr 1'!J600)</f>
        <v>0</v>
      </c>
      <c r="K600" s="17">
        <f>IF('Components Yr 1'!K600=0,0,'Components Yr 1'!K600)</f>
        <v>0</v>
      </c>
      <c r="L600" s="12"/>
      <c r="M600" s="12"/>
      <c r="N600" s="12"/>
      <c r="O600" s="17">
        <f>IF('Components Yr 1'!O600=0,0,'Components Yr 1'!O600)</f>
        <v>0</v>
      </c>
      <c r="P600" s="12"/>
      <c r="Q600" s="17"/>
      <c r="R600" s="18">
        <f>IF(SUMPRODUCT((E600:Q600)*1)=0,0,E600*INDEX(Hours!M:M,MATCH(C600,Hours!$A:$A,0))+F600*INDEX(Hours!B:B,MATCH(C600,Hours!$A:$A,0))+G600*INDEX(Hours!C:C,MATCH(C600,Hours!$A:$A,0))+H600*INDEX(Hours!D:D,MATCH(C600,Hours!$A:$A,0))+I600*INDEX(Hours!E:E,MATCH(C600,Hours!$A:$A,0))+J600*INDEX(Hours!F:F,MATCH(C600,Hours!$A:$A,0))+K600*INDEX(Hours!G:G,MATCH(C600,Hours!$A:$A,0))+O600*INDEX(Hours!K:K,MATCH(C600,Hours!$A:$A,0)))</f>
        <v>0</v>
      </c>
      <c r="S600" s="19">
        <f t="shared" si="19"/>
        <v>0</v>
      </c>
    </row>
    <row r="601" spans="1:19" x14ac:dyDescent="0.25">
      <c r="A601" s="11" t="str">
        <f>'Bldgs &amp; Rooms'!$A$18</f>
        <v>Main Bldg.</v>
      </c>
      <c r="B601" s="11">
        <f>'Bldgs &amp; Rooms'!$B$18</f>
        <v>0</v>
      </c>
      <c r="C601" s="10" t="str">
        <f>Hours!$A$9</f>
        <v>Panelboard-Single Cover &lt; 400A (Branch Ckt Panel)</v>
      </c>
      <c r="D601" s="11">
        <f t="shared" si="18"/>
        <v>0</v>
      </c>
      <c r="E601" s="16">
        <f>IF('Components Yr 1'!E601=0,0,'Components Yr 1'!E601)</f>
        <v>0</v>
      </c>
      <c r="F601" s="17">
        <f>IF('Components Yr 1'!F601=0,0,'Components Yr 1'!F601)</f>
        <v>0</v>
      </c>
      <c r="G601" s="17">
        <f>IF('Components Yr 1'!G601=0,0,'Components Yr 1'!G601)</f>
        <v>0</v>
      </c>
      <c r="H601" s="17">
        <f>IF('Components Yr 1'!H601=0,0,'Components Yr 1'!H601)</f>
        <v>0</v>
      </c>
      <c r="I601" s="17">
        <f>IF('Components Yr 1'!I601=0,0,'Components Yr 1'!I601)</f>
        <v>0</v>
      </c>
      <c r="J601" s="17">
        <f>IF('Components Yr 1'!J601=0,0,'Components Yr 1'!J601)</f>
        <v>0</v>
      </c>
      <c r="K601" s="12"/>
      <c r="L601" s="12"/>
      <c r="M601" s="12"/>
      <c r="N601" s="12"/>
      <c r="O601" s="17">
        <f>IF('Components Yr 1'!O601=0,0,'Components Yr 1'!O601)</f>
        <v>0</v>
      </c>
      <c r="P601" s="12"/>
      <c r="Q601" s="17"/>
      <c r="R601" s="18">
        <f>IF(SUMPRODUCT((E601:Q601)*1)=0,0,E601*INDEX(Hours!M:M,MATCH(C601,Hours!$A:$A,0))+F601*INDEX(Hours!B:B,MATCH(C601,Hours!$A:$A,0))+G601*INDEX(Hours!C:C,MATCH(C601,Hours!$A:$A,0))+H601*INDEX(Hours!D:D,MATCH(C601,Hours!$A:$A,0))+I601*INDEX(Hours!E:E,MATCH(C601,Hours!$A:$A,0))+J601*INDEX(Hours!F:F,MATCH(C601,Hours!$A:$A,0))+O601*INDEX(Hours!K:K,MATCH(C601,Hours!$A:$A,0)))</f>
        <v>0</v>
      </c>
      <c r="S601" s="19">
        <f t="shared" si="19"/>
        <v>0</v>
      </c>
    </row>
    <row r="602" spans="1:19" x14ac:dyDescent="0.25">
      <c r="A602" s="11" t="str">
        <f>'Bldgs &amp; Rooms'!$A$18</f>
        <v>Main Bldg.</v>
      </c>
      <c r="B602" s="11">
        <f>'Bldgs &amp; Rooms'!$B$18</f>
        <v>0</v>
      </c>
      <c r="C602" s="10" t="str">
        <f>Hours!$A$10</f>
        <v>Motor Control Center (MCC-Per Vertical Section)</v>
      </c>
      <c r="D602" s="11">
        <f t="shared" si="18"/>
        <v>0</v>
      </c>
      <c r="E602" s="16">
        <f>IF('Components Yr 1'!E602=0,0,'Components Yr 1'!E602)</f>
        <v>0</v>
      </c>
      <c r="F602" s="17">
        <f>IF('Components Yr 1'!F602=0,0,'Components Yr 1'!F602)</f>
        <v>0</v>
      </c>
      <c r="G602" s="17">
        <f>IF('Components Yr 1'!G602=0,0,'Components Yr 1'!G602)</f>
        <v>0</v>
      </c>
      <c r="H602" s="17">
        <f>IF('Components Yr 1'!H602=0,0,'Components Yr 1'!H602)</f>
        <v>0</v>
      </c>
      <c r="I602" s="17">
        <f>IF('Components Yr 1'!I602=0,0,'Components Yr 1'!I602)</f>
        <v>0</v>
      </c>
      <c r="J602" s="17">
        <f>IF('Components Yr 1'!J602=0,0,'Components Yr 1'!J602)</f>
        <v>0</v>
      </c>
      <c r="K602" s="12"/>
      <c r="L602" s="12"/>
      <c r="M602" s="12"/>
      <c r="N602" s="12"/>
      <c r="O602" s="17">
        <f>IF('Components Yr 1'!O602=0,0,'Components Yr 1'!O602)</f>
        <v>0</v>
      </c>
      <c r="P602" s="12"/>
      <c r="Q602" s="17"/>
      <c r="R602" s="18">
        <f>IF(SUMPRODUCT((E602:Q602)*1)=0,0,E602*INDEX(Hours!M:M,MATCH(C602,Hours!$A:$A,0))+F602*INDEX(Hours!B:B,MATCH(C602,Hours!$A:$A,0))+G602*INDEX(Hours!C:C,MATCH(C602,Hours!$A:$A,0))+H602*INDEX(Hours!D:D,MATCH(C602,Hours!$A:$A,0))+I602*INDEX(Hours!E:E,MATCH(C602,Hours!$A:$A,0))+J602*INDEX(Hours!F:F,MATCH(C602,Hours!$A:$A,0))+O602*INDEX(Hours!K:K,MATCH(C602,Hours!$A:$A,0)))</f>
        <v>0</v>
      </c>
      <c r="S602" s="19">
        <f t="shared" si="19"/>
        <v>0</v>
      </c>
    </row>
    <row r="603" spans="1:19" x14ac:dyDescent="0.25">
      <c r="A603" s="11" t="str">
        <f>'Bldgs &amp; Rooms'!$A$18</f>
        <v>Main Bldg.</v>
      </c>
      <c r="B603" s="11">
        <f>'Bldgs &amp; Rooms'!$B$18</f>
        <v>0</v>
      </c>
      <c r="C603" s="10" t="str">
        <f>Hours!$A$11</f>
        <v xml:space="preserve">  MCC: Combination Motor Starters</v>
      </c>
      <c r="D603" s="11">
        <f t="shared" si="18"/>
        <v>0</v>
      </c>
      <c r="E603" s="16">
        <f>IF('Components Yr 1'!E603=0,0,'Components Yr 1'!E603)</f>
        <v>0</v>
      </c>
      <c r="F603" s="17">
        <f>IF('Components Yr 1'!F603=0,0,'Components Yr 1'!F603)</f>
        <v>0</v>
      </c>
      <c r="G603" s="17">
        <f>IF('Components Yr 1'!G603=0,0,'Components Yr 1'!G603)</f>
        <v>0</v>
      </c>
      <c r="H603" s="17">
        <f>IF('Components Yr 1'!H603=0,0,'Components Yr 1'!H603)</f>
        <v>0</v>
      </c>
      <c r="I603" s="17">
        <f>IF('Components Yr 1'!I603=0,0,'Components Yr 1'!I603)</f>
        <v>0</v>
      </c>
      <c r="J603" s="17">
        <f>IF('Components Yr 1'!J603=0,0,'Components Yr 1'!J603)</f>
        <v>0</v>
      </c>
      <c r="K603" s="17">
        <f>IF('Components Yr 1'!K603=0,0,'Components Yr 1'!K603)</f>
        <v>0</v>
      </c>
      <c r="L603" s="12"/>
      <c r="M603" s="12"/>
      <c r="N603" s="12"/>
      <c r="O603" s="17">
        <f>IF('Components Yr 1'!O603=0,0,'Components Yr 1'!O603)</f>
        <v>0</v>
      </c>
      <c r="P603" s="12"/>
      <c r="Q603" s="17"/>
      <c r="R603" s="18">
        <f>IF(SUMPRODUCT((E603:Q603)*1)=0,0,E603*INDEX(Hours!M:M,MATCH(C603,Hours!$A:$A,0))+F603*INDEX(Hours!B:B,MATCH(C603,Hours!$A:$A,0))+G603*INDEX(Hours!C:C,MATCH(C603,Hours!$A:$A,0))+H603*INDEX(Hours!D:D,MATCH(C603,Hours!$A:$A,0))+I603*INDEX(Hours!E:E,MATCH(C603,Hours!$A:$A,0))+J603*INDEX(Hours!F:F,MATCH(C603,Hours!$A:$A,0))+K603*INDEX(Hours!G:G,MATCH(C603,Hours!$A:$A,0))+O603*INDEX(Hours!K:K,MATCH(C603,Hours!$A:$A,0)))</f>
        <v>0</v>
      </c>
      <c r="S603" s="19">
        <f t="shared" si="19"/>
        <v>0</v>
      </c>
    </row>
    <row r="604" spans="1:19" x14ac:dyDescent="0.25">
      <c r="A604" s="11" t="str">
        <f>'Bldgs &amp; Rooms'!$A$18</f>
        <v>Main Bldg.</v>
      </c>
      <c r="B604" s="11">
        <f>'Bldgs &amp; Rooms'!$B$18</f>
        <v>0</v>
      </c>
      <c r="C604" s="10" t="str">
        <f>Hours!$A$12</f>
        <v xml:space="preserve">  MCC: Molded Case Breaker</v>
      </c>
      <c r="D604" s="11">
        <f t="shared" si="18"/>
        <v>0</v>
      </c>
      <c r="E604" s="16">
        <f>IF('Components Yr 1'!E604=0,0,'Components Yr 1'!E604)</f>
        <v>0</v>
      </c>
      <c r="F604" s="17">
        <f>IF('Components Yr 1'!F604=0,0,'Components Yr 1'!F604)</f>
        <v>0</v>
      </c>
      <c r="G604" s="17">
        <f>IF('Components Yr 1'!G604=0,0,'Components Yr 1'!G604)</f>
        <v>0</v>
      </c>
      <c r="H604" s="17">
        <f>IF('Components Yr 1'!H604=0,0,'Components Yr 1'!H604)</f>
        <v>0</v>
      </c>
      <c r="I604" s="17">
        <f>IF('Components Yr 1'!I604=0,0,'Components Yr 1'!I604)</f>
        <v>0</v>
      </c>
      <c r="J604" s="17">
        <f>IF('Components Yr 1'!J604=0,0,'Components Yr 1'!J604)</f>
        <v>0</v>
      </c>
      <c r="K604" s="17">
        <f>IF('Components Yr 1'!K604=0,0,'Components Yr 1'!K604)</f>
        <v>0</v>
      </c>
      <c r="L604" s="12"/>
      <c r="M604" s="12"/>
      <c r="N604" s="12"/>
      <c r="O604" s="12"/>
      <c r="P604" s="12"/>
      <c r="Q604" s="17"/>
      <c r="R604" s="18">
        <f>IF(SUMPRODUCT((E604:Q604)*1)=0,0,E604*INDEX(Hours!M:M,MATCH(C604,Hours!$A:$A,0))+F604*INDEX(Hours!B:B,MATCH(C604,Hours!$A:$A,0))+G604*INDEX(Hours!C:C,MATCH(C604,Hours!$A:$A,0))+H604*INDEX(Hours!D:D,MATCH(C604,Hours!$A:$A,0))+I604*INDEX(Hours!E:E,MATCH(C604,Hours!$A:$A,0))+J604*INDEX(Hours!F:F,MATCH(C604,Hours!$A:$A,0))+K604*INDEX(Hours!G:G,MATCH(C604,Hours!$A:$A,0)))</f>
        <v>0</v>
      </c>
      <c r="S604" s="19">
        <f t="shared" si="19"/>
        <v>0</v>
      </c>
    </row>
    <row r="605" spans="1:19" x14ac:dyDescent="0.25">
      <c r="A605" s="11" t="str">
        <f>'Bldgs &amp; Rooms'!$A$18</f>
        <v>Main Bldg.</v>
      </c>
      <c r="B605" s="11">
        <f>'Bldgs &amp; Rooms'!$B$18</f>
        <v>0</v>
      </c>
      <c r="C605" s="10" t="str">
        <f>Hours!$A$13</f>
        <v xml:space="preserve">  MCC: Individual Disconnect Switch</v>
      </c>
      <c r="D605" s="11">
        <f t="shared" si="18"/>
        <v>0</v>
      </c>
      <c r="E605" s="16">
        <f>IF('Components Yr 1'!E605=0,0,'Components Yr 1'!E605)</f>
        <v>0</v>
      </c>
      <c r="F605" s="17">
        <f>IF('Components Yr 1'!F605=0,0,'Components Yr 1'!F605)</f>
        <v>0</v>
      </c>
      <c r="G605" s="17">
        <f>IF('Components Yr 1'!G605=0,0,'Components Yr 1'!G605)</f>
        <v>0</v>
      </c>
      <c r="H605" s="17">
        <f>IF('Components Yr 1'!H605=0,0,'Components Yr 1'!H605)</f>
        <v>0</v>
      </c>
      <c r="I605" s="17">
        <f>IF('Components Yr 1'!I605=0,0,'Components Yr 1'!I605)</f>
        <v>0</v>
      </c>
      <c r="J605" s="17">
        <f>IF('Components Yr 1'!J605=0,0,'Components Yr 1'!J605)</f>
        <v>0</v>
      </c>
      <c r="K605" s="12"/>
      <c r="L605" s="12"/>
      <c r="M605" s="12"/>
      <c r="N605" s="12"/>
      <c r="O605" s="12"/>
      <c r="P605" s="12"/>
      <c r="Q605" s="17"/>
      <c r="R605" s="18">
        <f>IF(SUMPRODUCT((E605:Q605)*1)=0,0,E605*INDEX(Hours!M:M,MATCH(C605,Hours!$A:$A,0))+F605*INDEX(Hours!B:B,MATCH(C605,Hours!$A:$A,0))+G605*INDEX(Hours!C:C,MATCH(C605,Hours!$A:$A,0))+H605*INDEX(Hours!D:D,MATCH(C605,Hours!$A:$A,0))+I605*INDEX(Hours!E:E,MATCH(C605,Hours!$A:$A,0))+J605*INDEX(Hours!F:F,MATCH(C605,Hours!$A:$A,0)))</f>
        <v>0</v>
      </c>
      <c r="S605" s="19">
        <f t="shared" si="19"/>
        <v>0</v>
      </c>
    </row>
    <row r="606" spans="1:19" x14ac:dyDescent="0.25">
      <c r="A606" s="11" t="str">
        <f>'Bldgs &amp; Rooms'!$A$18</f>
        <v>Main Bldg.</v>
      </c>
      <c r="B606" s="11">
        <f>'Bldgs &amp; Rooms'!$B$18</f>
        <v>0</v>
      </c>
      <c r="C606" s="10" t="str">
        <f>Hours!$A$14</f>
        <v>Motor Control Panel (MCP)</v>
      </c>
      <c r="D606" s="11">
        <f t="shared" si="18"/>
        <v>0</v>
      </c>
      <c r="E606" s="16">
        <f>IF('Components Yr 1'!E606=0,0,'Components Yr 1'!E606)</f>
        <v>0</v>
      </c>
      <c r="F606" s="17">
        <f>IF('Components Yr 1'!F606=0,0,'Components Yr 1'!F606)</f>
        <v>0</v>
      </c>
      <c r="G606" s="17">
        <f>IF('Components Yr 1'!G606=0,0,'Components Yr 1'!G606)</f>
        <v>0</v>
      </c>
      <c r="H606" s="17">
        <f>IF('Components Yr 1'!H606=0,0,'Components Yr 1'!H606)</f>
        <v>0</v>
      </c>
      <c r="I606" s="17">
        <f>IF('Components Yr 1'!I606=0,0,'Components Yr 1'!I606)</f>
        <v>0</v>
      </c>
      <c r="J606" s="17">
        <f>IF('Components Yr 1'!J606=0,0,'Components Yr 1'!J606)</f>
        <v>0</v>
      </c>
      <c r="K606" s="12"/>
      <c r="L606" s="12"/>
      <c r="M606" s="12"/>
      <c r="N606" s="12"/>
      <c r="O606" s="17">
        <f>IF('Components Yr 1'!O606=0,0,'Components Yr 1'!O606)</f>
        <v>0</v>
      </c>
      <c r="P606" s="12"/>
      <c r="Q606" s="17"/>
      <c r="R606" s="18">
        <f>IF(SUMPRODUCT((E606:Q606)*1)=0,0,E606*INDEX(Hours!M:M,MATCH(C606,Hours!$A:$A,0))+F606*INDEX(Hours!B:B,MATCH(C606,Hours!$A:$A,0))+G606*INDEX(Hours!C:C,MATCH(C606,Hours!$A:$A,0))+H606*INDEX(Hours!D:D,MATCH(C606,Hours!$A:$A,0))+I606*INDEX(Hours!E:E,MATCH(C606,Hours!$A:$A,0))+J606*INDEX(Hours!F:F,MATCH(C606,Hours!$A:$A,0))+O606*INDEX(Hours!K:K,MATCH(C606,Hours!$A:$A,0)))</f>
        <v>0</v>
      </c>
      <c r="S606" s="19">
        <f t="shared" si="19"/>
        <v>0</v>
      </c>
    </row>
    <row r="607" spans="1:19" x14ac:dyDescent="0.25">
      <c r="A607" s="11" t="str">
        <f>'Bldgs &amp; Rooms'!$A$18</f>
        <v>Main Bldg.</v>
      </c>
      <c r="B607" s="11">
        <f>'Bldgs &amp; Rooms'!$B$18</f>
        <v>0</v>
      </c>
      <c r="C607" s="10" t="str">
        <f>Hours!$A$15</f>
        <v>VFD Motor Control Panel (VFD-MCP)</v>
      </c>
      <c r="D607" s="11">
        <f t="shared" si="18"/>
        <v>0</v>
      </c>
      <c r="E607" s="16">
        <f>IF('Components Yr 1'!E607=0,0,'Components Yr 1'!E607)</f>
        <v>0</v>
      </c>
      <c r="F607" s="17">
        <f>IF('Components Yr 1'!F607=0,0,'Components Yr 1'!F607)</f>
        <v>0</v>
      </c>
      <c r="G607" s="17">
        <f>IF('Components Yr 1'!G607=0,0,'Components Yr 1'!G607)</f>
        <v>0</v>
      </c>
      <c r="H607" s="17">
        <f>IF('Components Yr 1'!H607=0,0,'Components Yr 1'!H607)</f>
        <v>0</v>
      </c>
      <c r="I607" s="17">
        <f>IF('Components Yr 1'!I607=0,0,'Components Yr 1'!I607)</f>
        <v>0</v>
      </c>
      <c r="J607" s="17">
        <f>IF('Components Yr 1'!J607=0,0,'Components Yr 1'!J607)</f>
        <v>0</v>
      </c>
      <c r="K607" s="12"/>
      <c r="L607" s="12"/>
      <c r="M607" s="12"/>
      <c r="N607" s="12"/>
      <c r="O607" s="17">
        <f>IF('Components Yr 1'!O607=0,0,'Components Yr 1'!O607)</f>
        <v>0</v>
      </c>
      <c r="P607" s="12"/>
      <c r="Q607" s="17"/>
      <c r="R607" s="18">
        <f>IF(SUMPRODUCT((E607:Q607)*1)=0,0,E607*INDEX(Hours!M:M,MATCH(C607,Hours!$A:$A,0))+F607*INDEX(Hours!B:B,MATCH(C607,Hours!$A:$A,0))+G607*INDEX(Hours!C:C,MATCH(C607,Hours!$A:$A,0))+H607*INDEX(Hours!D:D,MATCH(C607,Hours!$A:$A,0))+I607*INDEX(Hours!E:E,MATCH(C607,Hours!$A:$A,0))+J607*INDEX(Hours!F:F,MATCH(C607,Hours!$A:$A,0))+O607*INDEX(Hours!K:K,MATCH(C607,Hours!$A:$A,0)))</f>
        <v>0</v>
      </c>
      <c r="S607" s="19">
        <f t="shared" si="19"/>
        <v>0</v>
      </c>
    </row>
    <row r="608" spans="1:19" x14ac:dyDescent="0.25">
      <c r="A608" s="11" t="str">
        <f>'Bldgs &amp; Rooms'!$A$18</f>
        <v>Main Bldg.</v>
      </c>
      <c r="B608" s="11">
        <f>'Bldgs &amp; Rooms'!$B$18</f>
        <v>0</v>
      </c>
      <c r="C608" s="10" t="str">
        <f>Hours!$A$16</f>
        <v>Individual Disconnect Switch &gt; 100A</v>
      </c>
      <c r="D608" s="11">
        <f t="shared" si="18"/>
        <v>0</v>
      </c>
      <c r="E608" s="16">
        <f>IF('Components Yr 1'!E608=0,0,'Components Yr 1'!E608)</f>
        <v>0</v>
      </c>
      <c r="F608" s="17">
        <f>IF('Components Yr 1'!F608=0,0,'Components Yr 1'!F608)</f>
        <v>0</v>
      </c>
      <c r="G608" s="17">
        <f>IF('Components Yr 1'!G608=0,0,'Components Yr 1'!G608)</f>
        <v>0</v>
      </c>
      <c r="H608" s="17">
        <f>IF('Components Yr 1'!H608=0,0,'Components Yr 1'!H608)</f>
        <v>0</v>
      </c>
      <c r="I608" s="17">
        <f>IF('Components Yr 1'!I608=0,0,'Components Yr 1'!I608)</f>
        <v>0</v>
      </c>
      <c r="J608" s="17">
        <f>IF('Components Yr 1'!J608=0,0,'Components Yr 1'!J608)</f>
        <v>0</v>
      </c>
      <c r="K608" s="17">
        <f>IF('Components Yr 1'!K608=0,0,'Components Yr 1'!K608)</f>
        <v>0</v>
      </c>
      <c r="L608" s="12"/>
      <c r="M608" s="12"/>
      <c r="N608" s="12"/>
      <c r="O608" s="12"/>
      <c r="P608" s="12"/>
      <c r="Q608" s="17"/>
      <c r="R608" s="18">
        <f>IF(SUMPRODUCT((E608:Q608)*1)=0,0,E608*INDEX(Hours!M:M,MATCH(C608,Hours!$A:$A,0))+F608*INDEX(Hours!B:B,MATCH(C608,Hours!$A:$A,0))+G608*INDEX(Hours!C:C,MATCH(C608,Hours!$A:$A,0))+H608*INDEX(Hours!D:D,MATCH(C608,Hours!$A:$A,0))+I608*INDEX(Hours!E:E,MATCH(C608,Hours!$A:$A,0))+J608*INDEX(Hours!F:F,MATCH(C608,Hours!$A:$A,0))+K608*INDEX(Hours!G:G,MATCH(C608,Hours!$A:$A,0)))</f>
        <v>0</v>
      </c>
      <c r="S608" s="19">
        <f t="shared" si="19"/>
        <v>0</v>
      </c>
    </row>
    <row r="609" spans="1:19" x14ac:dyDescent="0.25">
      <c r="A609" s="11" t="str">
        <f>'Bldgs &amp; Rooms'!$A$18</f>
        <v>Main Bldg.</v>
      </c>
      <c r="B609" s="11">
        <f>'Bldgs &amp; Rooms'!$B$18</f>
        <v>0</v>
      </c>
      <c r="C609" s="10" t="str">
        <f>Hours!$A$17</f>
        <v>Individual Molded Case Breaker &gt; 100A</v>
      </c>
      <c r="D609" s="11">
        <f t="shared" si="18"/>
        <v>0</v>
      </c>
      <c r="E609" s="16">
        <f>IF('Components Yr 1'!E609=0,0,'Components Yr 1'!E609)</f>
        <v>0</v>
      </c>
      <c r="F609" s="17">
        <f>IF('Components Yr 1'!F609=0,0,'Components Yr 1'!F609)</f>
        <v>0</v>
      </c>
      <c r="G609" s="17">
        <f>IF('Components Yr 1'!G609=0,0,'Components Yr 1'!G609)</f>
        <v>0</v>
      </c>
      <c r="H609" s="17">
        <f>IF('Components Yr 1'!H609=0,0,'Components Yr 1'!H609)</f>
        <v>0</v>
      </c>
      <c r="I609" s="17">
        <f>IF('Components Yr 1'!I609=0,0,'Components Yr 1'!I609)</f>
        <v>0</v>
      </c>
      <c r="J609" s="17">
        <f>IF('Components Yr 1'!J609=0,0,'Components Yr 1'!J609)</f>
        <v>0</v>
      </c>
      <c r="K609" s="17">
        <f>IF('Components Yr 1'!K609=0,0,'Components Yr 1'!K609)</f>
        <v>0</v>
      </c>
      <c r="L609" s="12"/>
      <c r="M609" s="12"/>
      <c r="N609" s="12"/>
      <c r="O609" s="12"/>
      <c r="P609" s="12"/>
      <c r="Q609" s="17"/>
      <c r="R609" s="18">
        <f>IF(SUMPRODUCT((E609:Q609)*1)=0,0,E609*INDEX(Hours!M:M,MATCH(C609,Hours!$A:$A,0))+F609*INDEX(Hours!B:B,MATCH(C609,Hours!$A:$A,0))+G609*INDEX(Hours!C:C,MATCH(C609,Hours!$A:$A,0))+H609*INDEX(Hours!D:D,MATCH(C609,Hours!$A:$A,0))+I609*INDEX(Hours!E:E,MATCH(C609,Hours!$A:$A,0))+J609*INDEX(Hours!F:F,MATCH(C609,Hours!$A:$A,0))+K609*INDEX(Hours!G:G,MATCH(C609,Hours!$A:$A,0)))</f>
        <v>0</v>
      </c>
      <c r="S609" s="19">
        <f t="shared" si="19"/>
        <v>0</v>
      </c>
    </row>
    <row r="610" spans="1:19" x14ac:dyDescent="0.25">
      <c r="A610" s="11" t="str">
        <f>'Bldgs &amp; Rooms'!$A$18</f>
        <v>Main Bldg.</v>
      </c>
      <c r="B610" s="11">
        <f>'Bldgs &amp; Rooms'!$B$18</f>
        <v>0</v>
      </c>
      <c r="C610" s="10" t="str">
        <f>Hours!$A$18</f>
        <v>Individual Combination Motor Starter &gt; 100A</v>
      </c>
      <c r="D610" s="11">
        <f t="shared" si="18"/>
        <v>0</v>
      </c>
      <c r="E610" s="16">
        <f>IF('Components Yr 1'!E610=0,0,'Components Yr 1'!E610)</f>
        <v>0</v>
      </c>
      <c r="F610" s="17">
        <f>IF('Components Yr 1'!F610=0,0,'Components Yr 1'!F610)</f>
        <v>0</v>
      </c>
      <c r="G610" s="17">
        <f>IF('Components Yr 1'!G610=0,0,'Components Yr 1'!G610)</f>
        <v>0</v>
      </c>
      <c r="H610" s="17">
        <f>IF('Components Yr 1'!H610=0,0,'Components Yr 1'!H610)</f>
        <v>0</v>
      </c>
      <c r="I610" s="17">
        <f>IF('Components Yr 1'!I610=0,0,'Components Yr 1'!I610)</f>
        <v>0</v>
      </c>
      <c r="J610" s="17">
        <f>IF('Components Yr 1'!J610=0,0,'Components Yr 1'!J610)</f>
        <v>0</v>
      </c>
      <c r="K610" s="17">
        <f>IF('Components Yr 1'!K610=0,0,'Components Yr 1'!K610)</f>
        <v>0</v>
      </c>
      <c r="L610" s="12"/>
      <c r="M610" s="12"/>
      <c r="N610" s="12"/>
      <c r="O610" s="12"/>
      <c r="P610" s="12"/>
      <c r="Q610" s="17"/>
      <c r="R610" s="18">
        <f>IF(SUMPRODUCT((E610:Q610)*1)=0,0,E610*INDEX(Hours!M:M,MATCH(C610,Hours!$A:$A,0))+F610*INDEX(Hours!B:B,MATCH(C610,Hours!$A:$A,0))+G610*INDEX(Hours!C:C,MATCH(C610,Hours!$A:$A,0))+H610*INDEX(Hours!D:D,MATCH(C610,Hours!$A:$A,0))+I610*INDEX(Hours!E:E,MATCH(C610,Hours!$A:$A,0))+J610*INDEX(Hours!F:F,MATCH(C610,Hours!$A:$A,0))+K610*INDEX(Hours!G:G,MATCH(C610,Hours!$A:$A,0)))</f>
        <v>0</v>
      </c>
      <c r="S610" s="19">
        <f t="shared" si="19"/>
        <v>0</v>
      </c>
    </row>
    <row r="611" spans="1:19" x14ac:dyDescent="0.25">
      <c r="A611" s="11" t="str">
        <f>'Bldgs &amp; Rooms'!$A$18</f>
        <v>Main Bldg.</v>
      </c>
      <c r="B611" s="11">
        <f>'Bldgs &amp; Rooms'!$B$18</f>
        <v>0</v>
      </c>
      <c r="C611" s="10" t="str">
        <f>Hours!$A$19</f>
        <v>Oil Filled Transformer - 5kV-15kV Primary - Any Size (Pad Mounted)</v>
      </c>
      <c r="D611" s="11">
        <f t="shared" si="18"/>
        <v>0</v>
      </c>
      <c r="E611" s="16">
        <f>IF('Components Yr 1'!E611=0,0,'Components Yr 1'!E611)</f>
        <v>0</v>
      </c>
      <c r="F611" s="17">
        <f>IF('Components Yr 1'!F611=0,0,'Components Yr 1'!F611)</f>
        <v>0</v>
      </c>
      <c r="G611" s="17">
        <f>IF('Components Yr 1'!G611=0,0,'Components Yr 1'!G611)</f>
        <v>0</v>
      </c>
      <c r="H611" s="17">
        <f>IF('Components Yr 1'!H611=0,0,'Components Yr 1'!H611)</f>
        <v>0</v>
      </c>
      <c r="I611" s="17">
        <f>IF('Components Yr 1'!I611=0,0,'Components Yr 1'!I611)</f>
        <v>0</v>
      </c>
      <c r="J611" s="17">
        <f>IF('Components Yr 1'!J611=0,0,'Components Yr 1'!J611)</f>
        <v>0</v>
      </c>
      <c r="K611" s="12"/>
      <c r="L611" s="12"/>
      <c r="M611" s="17">
        <f>IF('Components Yr 1'!M611=0,0,'Components Yr 1'!M611)</f>
        <v>0</v>
      </c>
      <c r="N611" s="17">
        <f>IF('Components Yr 1'!N611=0,0,'Components Yr 1'!N611)</f>
        <v>0</v>
      </c>
      <c r="O611" s="12"/>
      <c r="P611" s="17">
        <f>IF('Components Yr 1'!P611=0,0,'Components Yr 1'!P611)</f>
        <v>0</v>
      </c>
      <c r="Q611" s="17"/>
      <c r="R611" s="18">
        <f>IF(SUMPRODUCT((E611:Q611)*1)=0,0,E611*INDEX(Hours!M:M,MATCH(C611,Hours!$A:$A,0))+F611*INDEX(Hours!B:B,MATCH(C611,Hours!$A:$A,0))+G611*INDEX(Hours!C:C,MATCH(C611,Hours!$A:$A,0))+H611*INDEX(Hours!D:D,MATCH(C611,Hours!$A:$A,0))+I611*INDEX(Hours!E:E,MATCH(C611,Hours!$A:$A,0))+J611*INDEX(Hours!F:F,MATCH(C611,Hours!$A:$A,0))+M611*INDEX(Hours!I:I,MATCH(C611,Hours!$A:$A,0))+N611*INDEX(Hours!J:J,MATCH(C611,Hours!$A:$A,0))+P611*INDEX(Hours!L:L,MATCH(C611,Hours!$A:$A,0)))</f>
        <v>0</v>
      </c>
      <c r="S611" s="19">
        <f t="shared" si="19"/>
        <v>0</v>
      </c>
    </row>
    <row r="612" spans="1:19" x14ac:dyDescent="0.25">
      <c r="A612" s="11" t="str">
        <f>'Bldgs &amp; Rooms'!$A$18</f>
        <v>Main Bldg.</v>
      </c>
      <c r="B612" s="11">
        <f>'Bldgs &amp; Rooms'!$B$18</f>
        <v>0</v>
      </c>
      <c r="C612" s="10" t="str">
        <f>Hours!$A$20</f>
        <v>Oil Filled Transformer - &gt; 15kV Primary (Substation Class)</v>
      </c>
      <c r="D612" s="11">
        <f t="shared" si="18"/>
        <v>0</v>
      </c>
      <c r="E612" s="16">
        <f>IF('Components Yr 1'!E612=0,0,'Components Yr 1'!E612)</f>
        <v>0</v>
      </c>
      <c r="F612" s="17">
        <f>IF('Components Yr 1'!F612=0,0,'Components Yr 1'!F612)</f>
        <v>0</v>
      </c>
      <c r="G612" s="17">
        <f>IF('Components Yr 1'!G612=0,0,'Components Yr 1'!G612)</f>
        <v>0</v>
      </c>
      <c r="H612" s="17">
        <f>IF('Components Yr 1'!H612=0,0,'Components Yr 1'!H612)</f>
        <v>0</v>
      </c>
      <c r="I612" s="17">
        <f>IF('Components Yr 1'!I612=0,0,'Components Yr 1'!I612)</f>
        <v>0</v>
      </c>
      <c r="J612" s="17">
        <f>IF('Components Yr 1'!J612=0,0,'Components Yr 1'!J612)</f>
        <v>0</v>
      </c>
      <c r="K612" s="12"/>
      <c r="L612" s="12"/>
      <c r="M612" s="17">
        <f>IF('Components Yr 1'!M612=0,0,'Components Yr 1'!M612)</f>
        <v>0</v>
      </c>
      <c r="N612" s="17">
        <f>IF('Components Yr 1'!N612=0,0,'Components Yr 1'!N612)</f>
        <v>0</v>
      </c>
      <c r="O612" s="12"/>
      <c r="P612" s="17">
        <f>IF('Components Yr 1'!P612=0,0,'Components Yr 1'!P612)</f>
        <v>0</v>
      </c>
      <c r="Q612" s="17"/>
      <c r="R612" s="18">
        <f>IF(SUMPRODUCT((E612:Q612)*1)=0,0,E612*INDEX(Hours!M:M,MATCH(C612,Hours!$A:$A,0))+F612*INDEX(Hours!B:B,MATCH(C612,Hours!$A:$A,0))+G612*INDEX(Hours!C:C,MATCH(C612,Hours!$A:$A,0))+H612*INDEX(Hours!D:D,MATCH(C612,Hours!$A:$A,0))+I612*INDEX(Hours!E:E,MATCH(C612,Hours!$A:$A,0))+J612*INDEX(Hours!F:F,MATCH(C612,Hours!$A:$A,0))+M612*INDEX(Hours!I:I,MATCH(C612,Hours!$A:$A,0))+N612*INDEX(Hours!J:J,MATCH(C612,Hours!$A:$A,0))+P612*INDEX(Hours!L:L,MATCH(C612,Hours!$A:$A,0)))</f>
        <v>0</v>
      </c>
      <c r="S612" s="19">
        <f t="shared" si="19"/>
        <v>0</v>
      </c>
    </row>
    <row r="613" spans="1:19" x14ac:dyDescent="0.25">
      <c r="A613" s="11" t="str">
        <f>'Bldgs &amp; Rooms'!$A$18</f>
        <v>Main Bldg.</v>
      </c>
      <c r="B613" s="11">
        <f>'Bldgs &amp; Rooms'!$B$18</f>
        <v>0</v>
      </c>
      <c r="C613" s="10" t="str">
        <f>Hours!$A$21</f>
        <v>Dry Type Transformer - &lt; 480V Primary - Any Size kVA</v>
      </c>
      <c r="D613" s="11">
        <f t="shared" si="18"/>
        <v>0</v>
      </c>
      <c r="E613" s="16">
        <f>IF('Components Yr 1'!E613=0,0,'Components Yr 1'!E613)</f>
        <v>0</v>
      </c>
      <c r="F613" s="17">
        <f>IF('Components Yr 1'!F613=0,0,'Components Yr 1'!F613)</f>
        <v>0</v>
      </c>
      <c r="G613" s="17">
        <f>IF('Components Yr 1'!G613=0,0,'Components Yr 1'!G613)</f>
        <v>0</v>
      </c>
      <c r="H613" s="17">
        <f>IF('Components Yr 1'!H613=0,0,'Components Yr 1'!H613)</f>
        <v>0</v>
      </c>
      <c r="I613" s="17">
        <f>IF('Components Yr 1'!I613=0,0,'Components Yr 1'!I613)</f>
        <v>0</v>
      </c>
      <c r="J613" s="17">
        <f>IF('Components Yr 1'!J613=0,0,'Components Yr 1'!J613)</f>
        <v>0</v>
      </c>
      <c r="K613" s="12"/>
      <c r="L613" s="12"/>
      <c r="M613" s="17">
        <f>IF('Components Yr 1'!M613=0,0,'Components Yr 1'!M613)</f>
        <v>0</v>
      </c>
      <c r="N613" s="17">
        <f>IF('Components Yr 1'!N613=0,0,'Components Yr 1'!N613)</f>
        <v>0</v>
      </c>
      <c r="O613" s="12"/>
      <c r="P613" s="12"/>
      <c r="Q613" s="17"/>
      <c r="R613" s="18">
        <f>IF(SUMPRODUCT((E613:Q613)*1)=0,0,E613*INDEX(Hours!M:M,MATCH(C613,Hours!$A:$A,0))+F613*INDEX(Hours!B:B,MATCH(C613,Hours!$A:$A,0))+G613*INDEX(Hours!C:C,MATCH(C613,Hours!$A:$A,0))+H613*INDEX(Hours!D:D,MATCH(C613,Hours!$A:$A,0))+I613*INDEX(Hours!E:E,MATCH(C613,Hours!$A:$A,0))+J613*INDEX(Hours!F:F,MATCH(C613,Hours!$A:$A,0))+M613*INDEX(Hours!I:I,MATCH(C613,Hours!$A:$A,0))+N613*INDEX(Hours!J:J,MATCH(C613,Hours!$A:$A,0)))</f>
        <v>0</v>
      </c>
      <c r="S613" s="19">
        <f t="shared" si="19"/>
        <v>0</v>
      </c>
    </row>
    <row r="614" spans="1:19" x14ac:dyDescent="0.25">
      <c r="A614" s="11" t="str">
        <f>'Bldgs &amp; Rooms'!$A$18</f>
        <v>Main Bldg.</v>
      </c>
      <c r="B614" s="11">
        <f>'Bldgs &amp; Rooms'!$B$18</f>
        <v>0</v>
      </c>
      <c r="C614" s="10" t="str">
        <f>Hours!$A$22</f>
        <v>Power Factor Correction Capacitors</v>
      </c>
      <c r="D614" s="11">
        <f t="shared" si="18"/>
        <v>0</v>
      </c>
      <c r="E614" s="16">
        <f>IF('Components Yr 1'!E614=0,0,'Components Yr 1'!E614)</f>
        <v>0</v>
      </c>
      <c r="F614" s="17">
        <f>IF('Components Yr 1'!F614=0,0,'Components Yr 1'!F614)</f>
        <v>0</v>
      </c>
      <c r="G614" s="17">
        <f>IF('Components Yr 1'!G614=0,0,'Components Yr 1'!G614)</f>
        <v>0</v>
      </c>
      <c r="H614" s="17">
        <f>IF('Components Yr 1'!H614=0,0,'Components Yr 1'!H614)</f>
        <v>0</v>
      </c>
      <c r="I614" s="17">
        <f>IF('Components Yr 1'!I614=0,0,'Components Yr 1'!I614)</f>
        <v>0</v>
      </c>
      <c r="J614" s="17">
        <f>IF('Components Yr 1'!J614=0,0,'Components Yr 1'!J614)</f>
        <v>0</v>
      </c>
      <c r="K614" s="12"/>
      <c r="L614" s="12"/>
      <c r="M614" s="12"/>
      <c r="N614" s="12"/>
      <c r="O614" s="12"/>
      <c r="P614" s="12"/>
      <c r="Q614" s="17"/>
      <c r="R614" s="18">
        <f>IF(SUMPRODUCT((E614:Q614)*1)=0,0,E614*INDEX(Hours!M:M,MATCH(C614,Hours!$A:$A,0))+F614*INDEX(Hours!B:B,MATCH(C614,Hours!$A:$A,0))+G614*INDEX(Hours!C:C,MATCH(C614,Hours!$A:$A,0))+H614*INDEX(Hours!D:D,MATCH(C614,Hours!$A:$A,0))+I614*INDEX(Hours!E:E,MATCH(C614,Hours!$A:$A,0))+J614*INDEX(Hours!F:F,MATCH(C614,Hours!$A:$A,0)))</f>
        <v>0</v>
      </c>
      <c r="S614" s="19">
        <f t="shared" si="19"/>
        <v>0</v>
      </c>
    </row>
    <row r="615" spans="1:19" x14ac:dyDescent="0.25">
      <c r="A615" s="11" t="str">
        <f>'Bldgs &amp; Rooms'!$A$18</f>
        <v>Main Bldg.</v>
      </c>
      <c r="B615" s="11">
        <f>'Bldgs &amp; Rooms'!$B$18</f>
        <v>0</v>
      </c>
      <c r="C615" s="10" t="str">
        <f>Hours!$A$23</f>
        <v>Lighting Contactor &gt; 100A</v>
      </c>
      <c r="D615" s="11">
        <f t="shared" si="18"/>
        <v>0</v>
      </c>
      <c r="E615" s="16">
        <f>IF('Components Yr 1'!E615=0,0,'Components Yr 1'!E615)</f>
        <v>0</v>
      </c>
      <c r="F615" s="17">
        <f>IF('Components Yr 1'!F615=0,0,'Components Yr 1'!F615)</f>
        <v>0</v>
      </c>
      <c r="G615" s="17">
        <f>IF('Components Yr 1'!G615=0,0,'Components Yr 1'!G615)</f>
        <v>0</v>
      </c>
      <c r="H615" s="17">
        <f>IF('Components Yr 1'!H615=0,0,'Components Yr 1'!H615)</f>
        <v>0</v>
      </c>
      <c r="I615" s="17">
        <f>IF('Components Yr 1'!I615=0,0,'Components Yr 1'!I615)</f>
        <v>0</v>
      </c>
      <c r="J615" s="17">
        <f>IF('Components Yr 1'!J615=0,0,'Components Yr 1'!J615)</f>
        <v>0</v>
      </c>
      <c r="K615" s="12"/>
      <c r="L615" s="12"/>
      <c r="M615" s="12"/>
      <c r="N615" s="12"/>
      <c r="O615" s="12"/>
      <c r="P615" s="12"/>
      <c r="Q615" s="17"/>
      <c r="R615" s="18">
        <f>IF(SUMPRODUCT((E615:Q615)*1)=0,0,E615*INDEX(Hours!M:M,MATCH(C615,Hours!$A:$A,0))+F615*INDEX(Hours!B:B,MATCH(C615,Hours!$A:$A,0))+G615*INDEX(Hours!C:C,MATCH(C615,Hours!$A:$A,0))+H615*INDEX(Hours!D:D,MATCH(C615,Hours!$A:$A,0))+I615*INDEX(Hours!E:E,MATCH(C615,Hours!$A:$A,0))+J615*INDEX(Hours!F:F,MATCH(C615,Hours!$A:$A,0)))</f>
        <v>0</v>
      </c>
      <c r="S615" s="19">
        <f t="shared" si="19"/>
        <v>0</v>
      </c>
    </row>
    <row r="616" spans="1:19" x14ac:dyDescent="0.25">
      <c r="A616" s="11" t="str">
        <f>'Bldgs &amp; Rooms'!$A$18</f>
        <v>Main Bldg.</v>
      </c>
      <c r="B616" s="11">
        <f>'Bldgs &amp; Rooms'!$B$18</f>
        <v>0</v>
      </c>
      <c r="C616" s="10" t="str">
        <f>Hours!$A$24</f>
        <v>Power Distribution Unit (PDU)</v>
      </c>
      <c r="D616" s="11">
        <f t="shared" si="18"/>
        <v>0</v>
      </c>
      <c r="E616" s="16">
        <f>IF('Components Yr 1'!E616=0,0,'Components Yr 1'!E616)</f>
        <v>0</v>
      </c>
      <c r="F616" s="17">
        <f>IF('Components Yr 1'!F616=0,0,'Components Yr 1'!F616)</f>
        <v>0</v>
      </c>
      <c r="G616" s="17">
        <f>IF('Components Yr 1'!G616=0,0,'Components Yr 1'!G616)</f>
        <v>0</v>
      </c>
      <c r="H616" s="17">
        <f>IF('Components Yr 1'!H616=0,0,'Components Yr 1'!H616)</f>
        <v>0</v>
      </c>
      <c r="I616" s="17">
        <f>IF('Components Yr 1'!I616=0,0,'Components Yr 1'!I616)</f>
        <v>0</v>
      </c>
      <c r="J616" s="17">
        <f>IF('Components Yr 1'!J616=0,0,'Components Yr 1'!J616)</f>
        <v>0</v>
      </c>
      <c r="K616" s="12"/>
      <c r="L616" s="12"/>
      <c r="M616" s="12"/>
      <c r="N616" s="12"/>
      <c r="O616" s="12"/>
      <c r="P616" s="12"/>
      <c r="Q616" s="17"/>
      <c r="R616" s="18">
        <f>IF(SUMPRODUCT((E616:Q616)*1)=0,0,E616*INDEX(Hours!M:M,MATCH(C616,Hours!$A:$A,0))+F616*INDEX(Hours!B:B,MATCH(C616,Hours!$A:$A,0))+G616*INDEX(Hours!C:C,MATCH(C616,Hours!$A:$A,0))+H616*INDEX(Hours!D:D,MATCH(C616,Hours!$A:$A,0))+I616*INDEX(Hours!E:E,MATCH(C616,Hours!$A:$A,0))+J616*INDEX(Hours!F:F,MATCH(C616,Hours!$A:$A,0)))</f>
        <v>0</v>
      </c>
      <c r="S616" s="19">
        <f t="shared" si="19"/>
        <v>0</v>
      </c>
    </row>
    <row r="617" spans="1:19" x14ac:dyDescent="0.25">
      <c r="A617" s="11" t="str">
        <f>'Bldgs &amp; Rooms'!$A$18</f>
        <v>Main Bldg.</v>
      </c>
      <c r="B617" s="11">
        <f>'Bldgs &amp; Rooms'!$B$18</f>
        <v>0</v>
      </c>
      <c r="C617" s="10" t="str">
        <f>Hours!$A$25</f>
        <v>Wire Trough, Gutter, or Large Junction Boxes</v>
      </c>
      <c r="D617" s="11">
        <f t="shared" si="18"/>
        <v>0</v>
      </c>
      <c r="E617" s="16">
        <f>IF('Components Yr 1'!E617=0,0,'Components Yr 1'!E617)</f>
        <v>0</v>
      </c>
      <c r="F617" s="17">
        <f>IF('Components Yr 1'!F617=0,0,'Components Yr 1'!F617)</f>
        <v>0</v>
      </c>
      <c r="G617" s="17">
        <f>IF('Components Yr 1'!G617=0,0,'Components Yr 1'!G617)</f>
        <v>0</v>
      </c>
      <c r="H617" s="17">
        <f>IF('Components Yr 1'!H617=0,0,'Components Yr 1'!H617)</f>
        <v>0</v>
      </c>
      <c r="I617" s="17">
        <f>IF('Components Yr 1'!I617=0,0,'Components Yr 1'!I617)</f>
        <v>0</v>
      </c>
      <c r="J617" s="17">
        <f>IF('Components Yr 1'!J617=0,0,'Components Yr 1'!J617)</f>
        <v>0</v>
      </c>
      <c r="K617" s="12"/>
      <c r="L617" s="12"/>
      <c r="M617" s="12"/>
      <c r="N617" s="12"/>
      <c r="O617" s="12"/>
      <c r="P617" s="12"/>
      <c r="Q617" s="17"/>
      <c r="R617" s="18">
        <f>IF(SUMPRODUCT((E617:Q617)*1)=0,0,E617*INDEX(Hours!M:M,MATCH(C617,Hours!$A:$A,0))+F617*INDEX(Hours!B:B,MATCH(C617,Hours!$A:$A,0))+G617*INDEX(Hours!C:C,MATCH(C617,Hours!$A:$A,0))+H617*INDEX(Hours!D:D,MATCH(C617,Hours!$A:$A,0))+I617*INDEX(Hours!E:E,MATCH(C617,Hours!$A:$A,0))+J617*INDEX(Hours!F:F,MATCH(C617,Hours!$A:$A,0)))</f>
        <v>0</v>
      </c>
      <c r="S617" s="19">
        <f t="shared" si="19"/>
        <v>0</v>
      </c>
    </row>
    <row r="618" spans="1:19" x14ac:dyDescent="0.25">
      <c r="A618" s="11" t="str">
        <f>'Bldgs &amp; Rooms'!$A$18</f>
        <v>Main Bldg.</v>
      </c>
      <c r="B618" s="11">
        <f>'Bldgs &amp; Rooms'!$B$18</f>
        <v>0</v>
      </c>
      <c r="C618" s="10" t="str">
        <f>Hours!$A$26</f>
        <v>Bus Duct - Vertical or Horizontal (Per 10' section)</v>
      </c>
      <c r="D618" s="11">
        <f t="shared" si="18"/>
        <v>0</v>
      </c>
      <c r="E618" s="16">
        <f>IF('Components Yr 1'!E618=0,0,'Components Yr 1'!E618)</f>
        <v>0</v>
      </c>
      <c r="F618" s="17">
        <f>IF('Components Yr 1'!F618=0,0,'Components Yr 1'!F618)</f>
        <v>0</v>
      </c>
      <c r="G618" s="17">
        <f>IF('Components Yr 1'!G618=0,0,'Components Yr 1'!G618)</f>
        <v>0</v>
      </c>
      <c r="H618" s="17">
        <f>IF('Components Yr 1'!H618=0,0,'Components Yr 1'!H618)</f>
        <v>0</v>
      </c>
      <c r="I618" s="17">
        <f>IF('Components Yr 1'!I618=0,0,'Components Yr 1'!I618)</f>
        <v>0</v>
      </c>
      <c r="J618" s="17">
        <f>IF('Components Yr 1'!J618=0,0,'Components Yr 1'!J618)</f>
        <v>0</v>
      </c>
      <c r="K618" s="12"/>
      <c r="L618" s="12"/>
      <c r="M618" s="12"/>
      <c r="N618" s="12"/>
      <c r="O618" s="12"/>
      <c r="P618" s="12"/>
      <c r="Q618" s="17"/>
      <c r="R618" s="18">
        <f>IF(SUMPRODUCT((E618:Q618)*1)=0,0,E618*INDEX(Hours!M:M,MATCH(C618,Hours!$A:$A,0))+F618*INDEX(Hours!B:B,MATCH(C618,Hours!$A:$A,0))+G618*INDEX(Hours!C:C,MATCH(C618,Hours!$A:$A,0))+H618*INDEX(Hours!D:D,MATCH(C618,Hours!$A:$A,0))+I618*INDEX(Hours!E:E,MATCH(C618,Hours!$A:$A,0))+J618*INDEX(Hours!F:F,MATCH(C618,Hours!$A:$A,0)))</f>
        <v>0</v>
      </c>
      <c r="S618" s="19">
        <f t="shared" si="19"/>
        <v>0</v>
      </c>
    </row>
    <row r="619" spans="1:19" x14ac:dyDescent="0.25">
      <c r="A619" s="11" t="str">
        <f>'Bldgs &amp; Rooms'!$A$18</f>
        <v>Main Bldg.</v>
      </c>
      <c r="B619" s="11">
        <f>'Bldgs &amp; Rooms'!$B$18</f>
        <v>0</v>
      </c>
      <c r="C619" s="10" t="str">
        <f>Hours!$A$27</f>
        <v>Automatic Transfer Switch (ATS) &gt; 100A</v>
      </c>
      <c r="D619" s="11">
        <f t="shared" si="18"/>
        <v>0</v>
      </c>
      <c r="E619" s="16">
        <f>IF('Components Yr 1'!E619=0,0,'Components Yr 1'!E619)</f>
        <v>0</v>
      </c>
      <c r="F619" s="17">
        <f>IF('Components Yr 1'!F619=0,0,'Components Yr 1'!F619)</f>
        <v>0</v>
      </c>
      <c r="G619" s="17">
        <f>IF('Components Yr 1'!G619=0,0,'Components Yr 1'!G619)</f>
        <v>0</v>
      </c>
      <c r="H619" s="17">
        <f>IF('Components Yr 1'!H619=0,0,'Components Yr 1'!H619)</f>
        <v>0</v>
      </c>
      <c r="I619" s="17">
        <f>IF('Components Yr 1'!I619=0,0,'Components Yr 1'!I619)</f>
        <v>0</v>
      </c>
      <c r="J619" s="17">
        <f>IF('Components Yr 1'!J619=0,0,'Components Yr 1'!J619)</f>
        <v>0</v>
      </c>
      <c r="K619" s="12"/>
      <c r="L619" s="12"/>
      <c r="M619" s="12"/>
      <c r="N619" s="12"/>
      <c r="O619" s="12"/>
      <c r="P619" s="12"/>
      <c r="Q619" s="17"/>
      <c r="R619" s="18">
        <f>IF(SUMPRODUCT((E619:Q619)*1)=0,0,E619*INDEX(Hours!M:M,MATCH(C619,Hours!$A:$A,0))+F619*INDEX(Hours!B:B,MATCH(C619,Hours!$A:$A,0))+G619*INDEX(Hours!C:C,MATCH(C619,Hours!$A:$A,0))+H619*INDEX(Hours!D:D,MATCH(C619,Hours!$A:$A,0))+I619*INDEX(Hours!E:E,MATCH(C619,Hours!$A:$A,0))+J619*INDEX(Hours!F:F,MATCH(C619,Hours!$A:$A,0)))</f>
        <v>0</v>
      </c>
      <c r="S619" s="19">
        <f t="shared" si="19"/>
        <v>0</v>
      </c>
    </row>
    <row r="620" spans="1:19" x14ac:dyDescent="0.25">
      <c r="A620" s="11" t="str">
        <f>'Bldgs &amp; Rooms'!$A$18</f>
        <v>Main Bldg.</v>
      </c>
      <c r="B620" s="11">
        <f>'Bldgs &amp; Rooms'!$B$18</f>
        <v>0</v>
      </c>
      <c r="C620" s="10" t="str">
        <f>Hours!$A$28</f>
        <v>Manual Transfer Switch (MTS) &gt; 100A</v>
      </c>
      <c r="D620" s="11">
        <f t="shared" si="18"/>
        <v>0</v>
      </c>
      <c r="E620" s="16">
        <f>IF('Components Yr 1'!E620=0,0,'Components Yr 1'!E620)</f>
        <v>0</v>
      </c>
      <c r="F620" s="17">
        <f>IF('Components Yr 1'!F620=0,0,'Components Yr 1'!F620)</f>
        <v>0</v>
      </c>
      <c r="G620" s="17">
        <f>IF('Components Yr 1'!G620=0,0,'Components Yr 1'!G620)</f>
        <v>0</v>
      </c>
      <c r="H620" s="17">
        <f>IF('Components Yr 1'!H620=0,0,'Components Yr 1'!H620)</f>
        <v>0</v>
      </c>
      <c r="I620" s="17">
        <f>IF('Components Yr 1'!I620=0,0,'Components Yr 1'!I620)</f>
        <v>0</v>
      </c>
      <c r="J620" s="17">
        <f>IF('Components Yr 1'!J620=0,0,'Components Yr 1'!J620)</f>
        <v>0</v>
      </c>
      <c r="K620" s="12"/>
      <c r="L620" s="12"/>
      <c r="M620" s="12"/>
      <c r="N620" s="12"/>
      <c r="O620" s="12"/>
      <c r="P620" s="12"/>
      <c r="Q620" s="17"/>
      <c r="R620" s="18">
        <f>IF(SUMPRODUCT((E620:Q620)*1)=0,0,E620*INDEX(Hours!M:M,MATCH(C620,Hours!$A:$A,0))+F620*INDEX(Hours!B:B,MATCH(C620,Hours!$A:$A,0))+G620*INDEX(Hours!C:C,MATCH(C620,Hours!$A:$A,0))+H620*INDEX(Hours!D:D,MATCH(C620,Hours!$A:$A,0))+I620*INDEX(Hours!E:E,MATCH(C620,Hours!$A:$A,0))+J620*INDEX(Hours!F:F,MATCH(C620,Hours!$A:$A,0)))</f>
        <v>0</v>
      </c>
      <c r="S620" s="19">
        <f t="shared" si="19"/>
        <v>0</v>
      </c>
    </row>
    <row r="621" spans="1:19" x14ac:dyDescent="0.25">
      <c r="A621" s="11" t="str">
        <f>'Bldgs &amp; Rooms'!$A$18</f>
        <v>Main Bldg.</v>
      </c>
      <c r="B621" s="11">
        <f>'Bldgs &amp; Rooms'!$B$18</f>
        <v>0</v>
      </c>
      <c r="C621" s="10" t="str">
        <f>Hours!$A$29</f>
        <v>Variable Frequency Drives (VFD) &lt; 50 HP</v>
      </c>
      <c r="D621" s="11">
        <f t="shared" si="18"/>
        <v>0</v>
      </c>
      <c r="E621" s="16">
        <f>IF('Components Yr 1'!E621=0,0,'Components Yr 1'!E621)</f>
        <v>0</v>
      </c>
      <c r="F621" s="17">
        <f>IF('Components Yr 1'!F621=0,0,'Components Yr 1'!F621)</f>
        <v>0</v>
      </c>
      <c r="G621" s="17">
        <f>IF('Components Yr 1'!G621=0,0,'Components Yr 1'!G621)</f>
        <v>0</v>
      </c>
      <c r="H621" s="17">
        <f>IF('Components Yr 1'!H621=0,0,'Components Yr 1'!H621)</f>
        <v>0</v>
      </c>
      <c r="I621" s="17">
        <f>IF('Components Yr 1'!I621=0,0,'Components Yr 1'!I621)</f>
        <v>0</v>
      </c>
      <c r="J621" s="17">
        <f>IF('Components Yr 1'!J621=0,0,'Components Yr 1'!J621)</f>
        <v>0</v>
      </c>
      <c r="K621" s="12"/>
      <c r="L621" s="12"/>
      <c r="M621" s="12"/>
      <c r="N621" s="12"/>
      <c r="O621" s="12"/>
      <c r="P621" s="12"/>
      <c r="Q621" s="17"/>
      <c r="R621" s="18">
        <f>IF(SUMPRODUCT((E621:Q621)*1)=0,0,E621*INDEX(Hours!M:M,MATCH(C621,Hours!$A:$A,0))+F621*INDEX(Hours!B:B,MATCH(C621,Hours!$A:$A,0))+G621*INDEX(Hours!C:C,MATCH(C621,Hours!$A:$A,0))+H621*INDEX(Hours!D:D,MATCH(C621,Hours!$A:$A,0))+I621*INDEX(Hours!E:E,MATCH(C621,Hours!$A:$A,0))+J621*INDEX(Hours!F:F,MATCH(C621,Hours!$A:$A,0)))</f>
        <v>0</v>
      </c>
      <c r="S621" s="19">
        <f t="shared" si="19"/>
        <v>0</v>
      </c>
    </row>
    <row r="622" spans="1:19" x14ac:dyDescent="0.25">
      <c r="A622" s="11" t="str">
        <f>'Bldgs &amp; Rooms'!$A$18</f>
        <v>Main Bldg.</v>
      </c>
      <c r="B622" s="11">
        <f>'Bldgs &amp; Rooms'!$B$18</f>
        <v>0</v>
      </c>
      <c r="C622" s="10" t="str">
        <f>Hours!$A$30</f>
        <v>Variable Frequency Drives (VFD) 51-200 HP</v>
      </c>
      <c r="D622" s="11">
        <f t="shared" si="18"/>
        <v>0</v>
      </c>
      <c r="E622" s="16">
        <f>IF('Components Yr 1'!E622=0,0,'Components Yr 1'!E622)</f>
        <v>0</v>
      </c>
      <c r="F622" s="17">
        <f>IF('Components Yr 1'!F622=0,0,'Components Yr 1'!F622)</f>
        <v>0</v>
      </c>
      <c r="G622" s="17">
        <f>IF('Components Yr 1'!G622=0,0,'Components Yr 1'!G622)</f>
        <v>0</v>
      </c>
      <c r="H622" s="17">
        <f>IF('Components Yr 1'!H622=0,0,'Components Yr 1'!H622)</f>
        <v>0</v>
      </c>
      <c r="I622" s="17">
        <f>IF('Components Yr 1'!I622=0,0,'Components Yr 1'!I622)</f>
        <v>0</v>
      </c>
      <c r="J622" s="17">
        <f>IF('Components Yr 1'!J622=0,0,'Components Yr 1'!J622)</f>
        <v>0</v>
      </c>
      <c r="K622" s="12"/>
      <c r="L622" s="12"/>
      <c r="M622" s="12"/>
      <c r="N622" s="12"/>
      <c r="O622" s="12"/>
      <c r="P622" s="12"/>
      <c r="Q622" s="17"/>
      <c r="R622" s="18">
        <f>IF(SUMPRODUCT((E622:Q622)*1)=0,0,E622*INDEX(Hours!M:M,MATCH(C622,Hours!$A:$A,0))+F622*INDEX(Hours!B:B,MATCH(C622,Hours!$A:$A,0))+G622*INDEX(Hours!C:C,MATCH(C622,Hours!$A:$A,0))+H622*INDEX(Hours!D:D,MATCH(C622,Hours!$A:$A,0))+I622*INDEX(Hours!E:E,MATCH(C622,Hours!$A:$A,0))+J622*INDEX(Hours!F:F,MATCH(C622,Hours!$A:$A,0)))</f>
        <v>0</v>
      </c>
      <c r="S622" s="19">
        <f t="shared" si="19"/>
        <v>0</v>
      </c>
    </row>
    <row r="623" spans="1:19" x14ac:dyDescent="0.25">
      <c r="A623" s="11" t="str">
        <f>'Bldgs &amp; Rooms'!$A$18</f>
        <v>Main Bldg.</v>
      </c>
      <c r="B623" s="11">
        <f>'Bldgs &amp; Rooms'!$B$18</f>
        <v>0</v>
      </c>
      <c r="C623" s="10" t="str">
        <f>Hours!$A$31</f>
        <v>Motors &lt; 50 HP</v>
      </c>
      <c r="D623" s="11">
        <f t="shared" si="18"/>
        <v>0</v>
      </c>
      <c r="E623" s="16">
        <f>IF('Components Yr 1'!E623=0,0,'Components Yr 1'!E623)</f>
        <v>0</v>
      </c>
      <c r="F623" s="17">
        <f>IF('Components Yr 1'!F623=0,0,'Components Yr 1'!F623)</f>
        <v>0</v>
      </c>
      <c r="G623" s="17">
        <f>IF('Components Yr 1'!G623=0,0,'Components Yr 1'!G623)</f>
        <v>0</v>
      </c>
      <c r="H623" s="17">
        <f>IF('Components Yr 1'!H623=0,0,'Components Yr 1'!H623)</f>
        <v>0</v>
      </c>
      <c r="I623" s="17">
        <f>IF('Components Yr 1'!I623=0,0,'Components Yr 1'!I623)</f>
        <v>0</v>
      </c>
      <c r="J623" s="17">
        <f>IF('Components Yr 1'!J623=0,0,'Components Yr 1'!J623)</f>
        <v>0</v>
      </c>
      <c r="K623" s="12"/>
      <c r="L623" s="12"/>
      <c r="M623" s="12"/>
      <c r="N623" s="12"/>
      <c r="O623" s="12"/>
      <c r="P623" s="12"/>
      <c r="Q623" s="17"/>
      <c r="R623" s="18">
        <f>IF(SUMPRODUCT((E623:Q623)*1)=0,0,E623*INDEX(Hours!M:M,MATCH(C623,Hours!$A:$A,0))+F623*INDEX(Hours!B:B,MATCH(C623,Hours!$A:$A,0))+G623*INDEX(Hours!C:C,MATCH(C623,Hours!$A:$A,0))+H623*INDEX(Hours!D:D,MATCH(C623,Hours!$A:$A,0))+I623*INDEX(Hours!E:E,MATCH(C623,Hours!$A:$A,0))+J623*INDEX(Hours!F:F,MATCH(C623,Hours!$A:$A,0)))</f>
        <v>0</v>
      </c>
      <c r="S623" s="19">
        <f t="shared" si="19"/>
        <v>0</v>
      </c>
    </row>
    <row r="624" spans="1:19" x14ac:dyDescent="0.25">
      <c r="A624" s="11" t="str">
        <f>'Bldgs &amp; Rooms'!$A$18</f>
        <v>Main Bldg.</v>
      </c>
      <c r="B624" s="11">
        <f>'Bldgs &amp; Rooms'!$B$18</f>
        <v>0</v>
      </c>
      <c r="C624" s="10" t="str">
        <f>Hours!$A$32</f>
        <v>Motors 51-200 HP</v>
      </c>
      <c r="D624" s="11">
        <f t="shared" si="18"/>
        <v>0</v>
      </c>
      <c r="E624" s="16">
        <f>IF('Components Yr 1'!E624=0,0,'Components Yr 1'!E624)</f>
        <v>0</v>
      </c>
      <c r="F624" s="17">
        <f>IF('Components Yr 1'!F624=0,0,'Components Yr 1'!F624)</f>
        <v>0</v>
      </c>
      <c r="G624" s="17">
        <f>IF('Components Yr 1'!G624=0,0,'Components Yr 1'!G624)</f>
        <v>0</v>
      </c>
      <c r="H624" s="17">
        <f>IF('Components Yr 1'!H624=0,0,'Components Yr 1'!H624)</f>
        <v>0</v>
      </c>
      <c r="I624" s="17">
        <f>IF('Components Yr 1'!I624=0,0,'Components Yr 1'!I624)</f>
        <v>0</v>
      </c>
      <c r="J624" s="17">
        <f>IF('Components Yr 1'!J624=0,0,'Components Yr 1'!J624)</f>
        <v>0</v>
      </c>
      <c r="K624" s="12"/>
      <c r="L624" s="12"/>
      <c r="M624" s="12"/>
      <c r="N624" s="12"/>
      <c r="O624" s="12"/>
      <c r="P624" s="12"/>
      <c r="Q624" s="17"/>
      <c r="R624" s="18">
        <f>IF(SUMPRODUCT((E624:Q624)*1)=0,0,E624*INDEX(Hours!M:M,MATCH(C624,Hours!$A:$A,0))+F624*INDEX(Hours!B:B,MATCH(C624,Hours!$A:$A,0))+G624*INDEX(Hours!C:C,MATCH(C624,Hours!$A:$A,0))+H624*INDEX(Hours!D:D,MATCH(C624,Hours!$A:$A,0))+I624*INDEX(Hours!E:E,MATCH(C624,Hours!$A:$A,0))+J624*INDEX(Hours!F:F,MATCH(C624,Hours!$A:$A,0)))</f>
        <v>0</v>
      </c>
      <c r="S624" s="19">
        <f t="shared" si="19"/>
        <v>0</v>
      </c>
    </row>
    <row r="625" spans="1:19" x14ac:dyDescent="0.25">
      <c r="A625" s="11" t="str">
        <f>'Bldgs &amp; Rooms'!$A$18</f>
        <v>Main Bldg.</v>
      </c>
      <c r="B625" s="11">
        <f>'Bldgs &amp; Rooms'!$B$18</f>
        <v>0</v>
      </c>
      <c r="C625" s="10" t="str">
        <f>Hours!$A$33</f>
        <v>Motors 201-500 HP</v>
      </c>
      <c r="D625" s="11">
        <f t="shared" si="18"/>
        <v>0</v>
      </c>
      <c r="E625" s="16">
        <f>IF('Components Yr 1'!E625=0,0,'Components Yr 1'!E625)</f>
        <v>0</v>
      </c>
      <c r="F625" s="17">
        <f>IF('Components Yr 1'!F625=0,0,'Components Yr 1'!F625)</f>
        <v>0</v>
      </c>
      <c r="G625" s="17">
        <f>IF('Components Yr 1'!G625=0,0,'Components Yr 1'!G625)</f>
        <v>0</v>
      </c>
      <c r="H625" s="17">
        <f>IF('Components Yr 1'!H625=0,0,'Components Yr 1'!H625)</f>
        <v>0</v>
      </c>
      <c r="I625" s="17">
        <f>IF('Components Yr 1'!I625=0,0,'Components Yr 1'!I625)</f>
        <v>0</v>
      </c>
      <c r="J625" s="17">
        <f>IF('Components Yr 1'!J625=0,0,'Components Yr 1'!J625)</f>
        <v>0</v>
      </c>
      <c r="K625" s="12"/>
      <c r="L625" s="12"/>
      <c r="M625" s="12"/>
      <c r="N625" s="12"/>
      <c r="O625" s="12"/>
      <c r="P625" s="12"/>
      <c r="Q625" s="17"/>
      <c r="R625" s="18">
        <f>IF(SUMPRODUCT((E625:Q625)*1)=0,0,E625*INDEX(Hours!M:M,MATCH(C625,Hours!$A:$A,0))+F625*INDEX(Hours!B:B,MATCH(C625,Hours!$A:$A,0))+G625*INDEX(Hours!C:C,MATCH(C625,Hours!$A:$A,0))+H625*INDEX(Hours!D:D,MATCH(C625,Hours!$A:$A,0))+I625*INDEX(Hours!E:E,MATCH(C625,Hours!$A:$A,0))+J625*INDEX(Hours!F:F,MATCH(C625,Hours!$A:$A,0)))</f>
        <v>0</v>
      </c>
      <c r="S625" s="19">
        <f t="shared" si="19"/>
        <v>0</v>
      </c>
    </row>
    <row r="626" spans="1:19" x14ac:dyDescent="0.25">
      <c r="A626" s="11" t="str">
        <f>'Bldgs &amp; Rooms'!$A$18</f>
        <v>Main Bldg.</v>
      </c>
      <c r="B626" s="11">
        <f>'Bldgs &amp; Rooms'!$B$18</f>
        <v>0</v>
      </c>
      <c r="C626" s="10" t="str">
        <f>Hours!$A$34</f>
        <v>Compressed Air Equipment</v>
      </c>
      <c r="D626" s="11">
        <f t="shared" si="18"/>
        <v>0</v>
      </c>
      <c r="E626" s="16">
        <f>IF('Components Yr 1'!E626=0,0,'Components Yr 1'!E626)</f>
        <v>0</v>
      </c>
      <c r="F626" s="17">
        <f>IF('Components Yr 1'!F626=0,0,'Components Yr 1'!F626)</f>
        <v>0</v>
      </c>
      <c r="G626" s="17">
        <f>IF('Components Yr 1'!G626=0,0,'Components Yr 1'!G626)</f>
        <v>0</v>
      </c>
      <c r="H626" s="17">
        <f>IF('Components Yr 1'!H626=0,0,'Components Yr 1'!H626)</f>
        <v>0</v>
      </c>
      <c r="I626" s="17">
        <f>IF('Components Yr 1'!I626=0,0,'Components Yr 1'!I626)</f>
        <v>0</v>
      </c>
      <c r="J626" s="17">
        <f>IF('Components Yr 1'!J626=0,0,'Components Yr 1'!J626)</f>
        <v>0</v>
      </c>
      <c r="K626" s="12"/>
      <c r="L626" s="12"/>
      <c r="M626" s="12"/>
      <c r="N626" s="12"/>
      <c r="O626" s="12"/>
      <c r="P626" s="12"/>
      <c r="Q626" s="17"/>
      <c r="R626" s="18">
        <f>IF(SUMPRODUCT((E626:Q626)*1)=0,0,E626*INDEX(Hours!M:M,MATCH(C626,Hours!$A:$A,0))+F626*INDEX(Hours!B:B,MATCH(C626,Hours!$A:$A,0))+G626*INDEX(Hours!C:C,MATCH(C626,Hours!$A:$A,0))+H626*INDEX(Hours!D:D,MATCH(C626,Hours!$A:$A,0))+I626*INDEX(Hours!E:E,MATCH(C626,Hours!$A:$A,0))+J626*INDEX(Hours!F:F,MATCH(C626,Hours!$A:$A,0)))</f>
        <v>0</v>
      </c>
      <c r="S626" s="19">
        <f t="shared" si="19"/>
        <v>0</v>
      </c>
    </row>
    <row r="627" spans="1:19" x14ac:dyDescent="0.25">
      <c r="A627" s="11" t="str">
        <f>'Bldgs &amp; Rooms'!$A$18</f>
        <v>Main Bldg.</v>
      </c>
      <c r="B627" s="11">
        <f>'Bldgs &amp; Rooms'!$B$18</f>
        <v>0</v>
      </c>
      <c r="C627" s="10" t="str">
        <f>Hours!$A$35</f>
        <v>HVAC Equipment (Large)</v>
      </c>
      <c r="D627" s="11">
        <f t="shared" si="18"/>
        <v>0</v>
      </c>
      <c r="E627" s="16">
        <f>IF('Components Yr 1'!E627=0,0,'Components Yr 1'!E627)</f>
        <v>0</v>
      </c>
      <c r="F627" s="17">
        <f>IF('Components Yr 1'!F627=0,0,'Components Yr 1'!F627)</f>
        <v>0</v>
      </c>
      <c r="G627" s="17">
        <f>IF('Components Yr 1'!G627=0,0,'Components Yr 1'!G627)</f>
        <v>0</v>
      </c>
      <c r="H627" s="17">
        <f>IF('Components Yr 1'!H627=0,0,'Components Yr 1'!H627)</f>
        <v>0</v>
      </c>
      <c r="I627" s="17">
        <f>IF('Components Yr 1'!I627=0,0,'Components Yr 1'!I627)</f>
        <v>0</v>
      </c>
      <c r="J627" s="17">
        <f>IF('Components Yr 1'!J627=0,0,'Components Yr 1'!J627)</f>
        <v>0</v>
      </c>
      <c r="K627" s="12"/>
      <c r="L627" s="12"/>
      <c r="M627" s="12"/>
      <c r="N627" s="12"/>
      <c r="O627" s="12"/>
      <c r="P627" s="12"/>
      <c r="Q627" s="17"/>
      <c r="R627" s="18">
        <f>IF(SUMPRODUCT((E627:Q627)*1)=0,0,E627*INDEX(Hours!M:M,MATCH(C627,Hours!$A:$A,0))+F627*INDEX(Hours!B:B,MATCH(C627,Hours!$A:$A,0))+G627*INDEX(Hours!C:C,MATCH(C627,Hours!$A:$A,0))+H627*INDEX(Hours!D:D,MATCH(C627,Hours!$A:$A,0))+I627*INDEX(Hours!E:E,MATCH(C627,Hours!$A:$A,0))+J627*INDEX(Hours!F:F,MATCH(C627,Hours!$A:$A,0)))</f>
        <v>0</v>
      </c>
      <c r="S627" s="19">
        <f t="shared" si="19"/>
        <v>0</v>
      </c>
    </row>
    <row r="628" spans="1:19" x14ac:dyDescent="0.25">
      <c r="A628" s="11" t="str">
        <f>'Bldgs &amp; Rooms'!$A$18</f>
        <v>Main Bldg.</v>
      </c>
      <c r="B628" s="11">
        <f>'Bldgs &amp; Rooms'!$B$18</f>
        <v>0</v>
      </c>
      <c r="C628" s="10" t="str">
        <f>Hours!$A$36</f>
        <v>HVAC Equipment (Small)</v>
      </c>
      <c r="D628" s="11">
        <f t="shared" si="18"/>
        <v>0</v>
      </c>
      <c r="E628" s="16">
        <f>IF('Components Yr 1'!E628=0,0,'Components Yr 1'!E628)</f>
        <v>0</v>
      </c>
      <c r="F628" s="17">
        <f>IF('Components Yr 1'!F628=0,0,'Components Yr 1'!F628)</f>
        <v>0</v>
      </c>
      <c r="G628" s="17">
        <f>IF('Components Yr 1'!G628=0,0,'Components Yr 1'!G628)</f>
        <v>0</v>
      </c>
      <c r="H628" s="17">
        <f>IF('Components Yr 1'!H628=0,0,'Components Yr 1'!H628)</f>
        <v>0</v>
      </c>
      <c r="I628" s="17">
        <f>IF('Components Yr 1'!I628=0,0,'Components Yr 1'!I628)</f>
        <v>0</v>
      </c>
      <c r="J628" s="17">
        <f>IF('Components Yr 1'!J628=0,0,'Components Yr 1'!J628)</f>
        <v>0</v>
      </c>
      <c r="K628" s="12"/>
      <c r="L628" s="12"/>
      <c r="M628" s="12"/>
      <c r="N628" s="12"/>
      <c r="O628" s="12"/>
      <c r="P628" s="12"/>
      <c r="Q628" s="17"/>
      <c r="R628" s="18">
        <f>IF(SUMPRODUCT((E628:Q628)*1)=0,0,E628*INDEX(Hours!M:M,MATCH(C628,Hours!$A:$A,0))+F628*INDEX(Hours!B:B,MATCH(C628,Hours!$A:$A,0))+G628*INDEX(Hours!C:C,MATCH(C628,Hours!$A:$A,0))+H628*INDEX(Hours!D:D,MATCH(C628,Hours!$A:$A,0))+I628*INDEX(Hours!E:E,MATCH(C628,Hours!$A:$A,0))+J628*INDEX(Hours!F:F,MATCH(C628,Hours!$A:$A,0)))</f>
        <v>0</v>
      </c>
      <c r="S628" s="19">
        <f t="shared" si="19"/>
        <v>0</v>
      </c>
    </row>
    <row r="629" spans="1:19" x14ac:dyDescent="0.25">
      <c r="A629" s="11" t="str">
        <f>'Bldgs &amp; Rooms'!$A$18</f>
        <v>Main Bldg.</v>
      </c>
      <c r="B629" s="11">
        <f>'Bldgs &amp; Rooms'!$B$18</f>
        <v>0</v>
      </c>
      <c r="C629" s="10" t="str">
        <f>Hours!$A$37</f>
        <v>Uninterruptible Power Supply (UPS) &lt; 50kVA</v>
      </c>
      <c r="D629" s="11">
        <f t="shared" si="18"/>
        <v>0</v>
      </c>
      <c r="E629" s="16">
        <f>IF('Components Yr 1'!E629=0,0,'Components Yr 1'!E629)</f>
        <v>0</v>
      </c>
      <c r="F629" s="17">
        <f>IF('Components Yr 1'!F629=0,0,'Components Yr 1'!F629)</f>
        <v>0</v>
      </c>
      <c r="G629" s="17">
        <f>IF('Components Yr 1'!G629=0,0,'Components Yr 1'!G629)</f>
        <v>0</v>
      </c>
      <c r="H629" s="17">
        <f>IF('Components Yr 1'!H629=0,0,'Components Yr 1'!H629)</f>
        <v>0</v>
      </c>
      <c r="I629" s="17">
        <f>IF('Components Yr 1'!I629=0,0,'Components Yr 1'!I629)</f>
        <v>0</v>
      </c>
      <c r="J629" s="17">
        <f>IF('Components Yr 1'!J629=0,0,'Components Yr 1'!J629)</f>
        <v>0</v>
      </c>
      <c r="K629" s="12"/>
      <c r="L629" s="12"/>
      <c r="M629" s="12"/>
      <c r="N629" s="12"/>
      <c r="O629" s="12"/>
      <c r="P629" s="12"/>
      <c r="Q629" s="17"/>
      <c r="R629" s="18">
        <f>IF(SUMPRODUCT((E629:Q629)*1)=0,0,E629*INDEX(Hours!M:M,MATCH(C629,Hours!$A:$A,0))+F629*INDEX(Hours!B:B,MATCH(C629,Hours!$A:$A,0))+G629*INDEX(Hours!C:C,MATCH(C629,Hours!$A:$A,0))+H629*INDEX(Hours!D:D,MATCH(C629,Hours!$A:$A,0))+I629*INDEX(Hours!E:E,MATCH(C629,Hours!$A:$A,0))+J629*INDEX(Hours!F:F,MATCH(C629,Hours!$A:$A,0)))</f>
        <v>0</v>
      </c>
      <c r="S629" s="19">
        <f t="shared" si="19"/>
        <v>0</v>
      </c>
    </row>
    <row r="630" spans="1:19" x14ac:dyDescent="0.25">
      <c r="A630" s="11" t="str">
        <f>'Bldgs &amp; Rooms'!$A$18</f>
        <v>Main Bldg.</v>
      </c>
      <c r="B630" s="11">
        <f>'Bldgs &amp; Rooms'!$B$18</f>
        <v>0</v>
      </c>
      <c r="C630" s="10" t="str">
        <f>Hours!$A$38</f>
        <v>Uninterruptible Power Supply (UPS) &gt; 50kVA</v>
      </c>
      <c r="D630" s="11">
        <f t="shared" si="18"/>
        <v>0</v>
      </c>
      <c r="E630" s="16">
        <f>IF('Components Yr 1'!E630=0,0,'Components Yr 1'!E630)</f>
        <v>0</v>
      </c>
      <c r="F630" s="17">
        <f>IF('Components Yr 1'!F630=0,0,'Components Yr 1'!F630)</f>
        <v>0</v>
      </c>
      <c r="G630" s="17">
        <f>IF('Components Yr 1'!G630=0,0,'Components Yr 1'!G630)</f>
        <v>0</v>
      </c>
      <c r="H630" s="17">
        <f>IF('Components Yr 1'!H630=0,0,'Components Yr 1'!H630)</f>
        <v>0</v>
      </c>
      <c r="I630" s="17">
        <f>IF('Components Yr 1'!I630=0,0,'Components Yr 1'!I630)</f>
        <v>0</v>
      </c>
      <c r="J630" s="17">
        <f>IF('Components Yr 1'!J630=0,0,'Components Yr 1'!J630)</f>
        <v>0</v>
      </c>
      <c r="K630" s="12"/>
      <c r="L630" s="12"/>
      <c r="M630" s="12"/>
      <c r="N630" s="12"/>
      <c r="O630" s="12"/>
      <c r="P630" s="12"/>
      <c r="Q630" s="17"/>
      <c r="R630" s="18">
        <f>IF(SUMPRODUCT((E630:Q630)*1)=0,0,E630*INDEX(Hours!M:M,MATCH(C630,Hours!$A:$A,0))+F630*INDEX(Hours!B:B,MATCH(C630,Hours!$A:$A,0))+G630*INDEX(Hours!C:C,MATCH(C630,Hours!$A:$A,0))+H630*INDEX(Hours!D:D,MATCH(C630,Hours!$A:$A,0))+I630*INDEX(Hours!E:E,MATCH(C630,Hours!$A:$A,0))+J630*INDEX(Hours!F:F,MATCH(C630,Hours!$A:$A,0)))</f>
        <v>0</v>
      </c>
      <c r="S630" s="19">
        <f t="shared" si="19"/>
        <v>0</v>
      </c>
    </row>
    <row r="631" spans="1:19" x14ac:dyDescent="0.25">
      <c r="A631" s="15" t="str">
        <f>'Bldgs &amp; Rooms'!$A$19</f>
        <v>Main Bldg.</v>
      </c>
      <c r="B631" s="15">
        <f>'Bldgs &amp; Rooms'!$B$19</f>
        <v>0</v>
      </c>
      <c r="C631" s="14" t="str">
        <f>Hours!$A$2</f>
        <v>Switchgear - Incoming Main Service (Per Section)</v>
      </c>
      <c r="D631" s="15">
        <f t="shared" si="18"/>
        <v>0</v>
      </c>
      <c r="E631" s="16">
        <f>IF('Components Yr 1'!E631=0,0,'Components Yr 1'!E631)</f>
        <v>0</v>
      </c>
      <c r="F631" s="17">
        <f>IF('Components Yr 1'!F631=0,0,'Components Yr 1'!F631)</f>
        <v>0</v>
      </c>
      <c r="G631" s="17">
        <f>IF('Components Yr 1'!G631=0,0,'Components Yr 1'!G631)</f>
        <v>0</v>
      </c>
      <c r="H631" s="17">
        <f>IF('Components Yr 1'!H631=0,0,'Components Yr 1'!H631)</f>
        <v>0</v>
      </c>
      <c r="I631" s="17">
        <f>IF('Components Yr 1'!I631=0,0,'Components Yr 1'!I631)</f>
        <v>0</v>
      </c>
      <c r="J631" s="17">
        <f>IF('Components Yr 1'!J631=0,0,'Components Yr 1'!J631)</f>
        <v>0</v>
      </c>
      <c r="K631" s="17">
        <f>IF('Components Yr 1'!K631=0,0,'Components Yr 1'!K631)</f>
        <v>0</v>
      </c>
      <c r="L631" s="17">
        <f>IF('Components Yr 1'!L631=0,0,'Components Yr 1'!L631)</f>
        <v>0</v>
      </c>
      <c r="M631" s="12"/>
      <c r="N631" s="12"/>
      <c r="O631" s="17">
        <f>IF('Components Yr 1'!O631=0,0,'Components Yr 1'!O631)</f>
        <v>0</v>
      </c>
      <c r="P631" s="12"/>
      <c r="Q631" s="17"/>
      <c r="R631" s="18">
        <f>IF(SUMPRODUCT((E631:Q631)*1)=0,0,E631*INDEX(Hours!M:M,MATCH(C631,Hours!$A:$A,0))+F631*INDEX(Hours!B:B,MATCH(C631,Hours!$A:$A,0))+G631*INDEX(Hours!C:C,MATCH(C631,Hours!$A:$A,0))+H631*INDEX(Hours!D:D,MATCH(C631,Hours!$A:$A,0))+I631*INDEX(Hours!E:E,MATCH(C631,Hours!$A:$A,0))+J631*INDEX(Hours!F:F,MATCH(C631,Hours!$A:$A,0))+K631*INDEX(Hours!G:G,MATCH(C631,Hours!$A:$A,0))+L631*INDEX(Hours!H:H,MATCH(C631,Hours!$A:$A,0))+O631*INDEX(Hours!K:K,MATCH(C631,Hours!$A:$A,0)))</f>
        <v>0</v>
      </c>
      <c r="S631" s="19">
        <f t="shared" si="19"/>
        <v>0</v>
      </c>
    </row>
    <row r="632" spans="1:19" x14ac:dyDescent="0.25">
      <c r="A632" s="15" t="str">
        <f>'Bldgs &amp; Rooms'!$A$19</f>
        <v>Main Bldg.</v>
      </c>
      <c r="B632" s="15">
        <f>'Bldgs &amp; Rooms'!$B$19</f>
        <v>0</v>
      </c>
      <c r="C632" s="14" t="str">
        <f>Hours!$A$3</f>
        <v xml:space="preserve">  Switchgear Insulated Case Breakers (Bus Mounted)</v>
      </c>
      <c r="D632" s="15">
        <f t="shared" si="18"/>
        <v>0</v>
      </c>
      <c r="E632" s="16">
        <f>IF('Components Yr 1'!E632=0,0,'Components Yr 1'!E632)</f>
        <v>0</v>
      </c>
      <c r="F632" s="17">
        <f>IF('Components Yr 1'!F632=0,0,'Components Yr 1'!F632)</f>
        <v>0</v>
      </c>
      <c r="G632" s="17">
        <f>IF('Components Yr 1'!G632=0,0,'Components Yr 1'!G632)</f>
        <v>0</v>
      </c>
      <c r="H632" s="17">
        <f>IF('Components Yr 1'!H632=0,0,'Components Yr 1'!H632)</f>
        <v>0</v>
      </c>
      <c r="I632" s="17">
        <f>IF('Components Yr 1'!I632=0,0,'Components Yr 1'!I632)</f>
        <v>0</v>
      </c>
      <c r="J632" s="17">
        <f>IF('Components Yr 1'!J632=0,0,'Components Yr 1'!J632)</f>
        <v>0</v>
      </c>
      <c r="K632" s="17">
        <f>IF('Components Yr 1'!K632=0,0,'Components Yr 1'!K632)</f>
        <v>0</v>
      </c>
      <c r="L632" s="12"/>
      <c r="M632" s="12"/>
      <c r="N632" s="12"/>
      <c r="O632" s="12"/>
      <c r="P632" s="12"/>
      <c r="Q632" s="17"/>
      <c r="R632" s="18">
        <f>IF(SUMPRODUCT((E632:Q632)*1)=0,0,E632*INDEX(Hours!M:M,MATCH(C632,Hours!$A:$A,0))+F632*INDEX(Hours!B:B,MATCH(C632,Hours!$A:$A,0))+G632*INDEX(Hours!C:C,MATCH(C632,Hours!$A:$A,0))+H632*INDEX(Hours!D:D,MATCH(C632,Hours!$A:$A,0))+I632*INDEX(Hours!E:E,MATCH(C632,Hours!$A:$A,0))+J632*INDEX(Hours!F:F,MATCH(C632,Hours!$A:$A,0))+K632*INDEX(Hours!G:G,MATCH(C632,Hours!$A:$A,0)))</f>
        <v>0</v>
      </c>
      <c r="S632" s="19">
        <f t="shared" si="19"/>
        <v>0</v>
      </c>
    </row>
    <row r="633" spans="1:19" x14ac:dyDescent="0.25">
      <c r="A633" s="15" t="str">
        <f>'Bldgs &amp; Rooms'!$A$19</f>
        <v>Main Bldg.</v>
      </c>
      <c r="B633" s="15">
        <f>'Bldgs &amp; Rooms'!$B$19</f>
        <v>0</v>
      </c>
      <c r="C633" s="14" t="str">
        <f>Hours!$A$4</f>
        <v xml:space="preserve">  SwitchGear Drawout Breakers</v>
      </c>
      <c r="D633" s="15">
        <f t="shared" si="18"/>
        <v>0</v>
      </c>
      <c r="E633" s="16">
        <f>IF('Components Yr 1'!E633=0,0,'Components Yr 1'!E633)</f>
        <v>0</v>
      </c>
      <c r="F633" s="17">
        <f>IF('Components Yr 1'!F633=0,0,'Components Yr 1'!F633)</f>
        <v>0</v>
      </c>
      <c r="G633" s="17">
        <f>IF('Components Yr 1'!G633=0,0,'Components Yr 1'!G633)</f>
        <v>0</v>
      </c>
      <c r="H633" s="17">
        <f>IF('Components Yr 1'!H633=0,0,'Components Yr 1'!H633)</f>
        <v>0</v>
      </c>
      <c r="I633" s="17">
        <f>IF('Components Yr 1'!I633=0,0,'Components Yr 1'!I633)</f>
        <v>0</v>
      </c>
      <c r="J633" s="17">
        <f>IF('Components Yr 1'!J633=0,0,'Components Yr 1'!J633)</f>
        <v>0</v>
      </c>
      <c r="K633" s="12"/>
      <c r="L633" s="17">
        <f>IF('Components Yr 1'!L633=0,0,'Components Yr 1'!L633)</f>
        <v>0</v>
      </c>
      <c r="M633" s="12"/>
      <c r="N633" s="12"/>
      <c r="O633" s="12"/>
      <c r="P633" s="12"/>
      <c r="Q633" s="17"/>
      <c r="R633" s="18">
        <f>IF(SUMPRODUCT((E633:Q633)*1)=0,0,E633*INDEX(Hours!M:M,MATCH(C633,Hours!$A:$A,0))+F633*INDEX(Hours!B:B,MATCH(C633,Hours!$A:$A,0))+G633*INDEX(Hours!C:C,MATCH(C633,Hours!$A:$A,0))+H633*INDEX(Hours!D:D,MATCH(C633,Hours!$A:$A,0))+I633*INDEX(Hours!E:E,MATCH(C633,Hours!$A:$A,0))+J633*INDEX(Hours!F:F,MATCH(C633,Hours!$A:$A,0))+L633*INDEX(Hours!H:H,MATCH(C633,Hours!$A:$A,0)))</f>
        <v>0</v>
      </c>
      <c r="S633" s="19">
        <f t="shared" si="19"/>
        <v>0</v>
      </c>
    </row>
    <row r="634" spans="1:19" x14ac:dyDescent="0.25">
      <c r="A634" s="15" t="str">
        <f>'Bldgs &amp; Rooms'!$A$19</f>
        <v>Main Bldg.</v>
      </c>
      <c r="B634" s="15">
        <f>'Bldgs &amp; Rooms'!$B$19</f>
        <v>0</v>
      </c>
      <c r="C634" s="14" t="str">
        <f>Hours!$A$5</f>
        <v>Distribution Switchboard Multi Cover (Per Section)</v>
      </c>
      <c r="D634" s="15">
        <f t="shared" si="18"/>
        <v>0</v>
      </c>
      <c r="E634" s="16">
        <f>IF('Components Yr 1'!E634=0,0,'Components Yr 1'!E634)</f>
        <v>0</v>
      </c>
      <c r="F634" s="17">
        <f>IF('Components Yr 1'!F634=0,0,'Components Yr 1'!F634)</f>
        <v>0</v>
      </c>
      <c r="G634" s="17">
        <f>IF('Components Yr 1'!G634=0,0,'Components Yr 1'!G634)</f>
        <v>0</v>
      </c>
      <c r="H634" s="17">
        <f>IF('Components Yr 1'!H634=0,0,'Components Yr 1'!H634)</f>
        <v>0</v>
      </c>
      <c r="I634" s="17">
        <f>IF('Components Yr 1'!I634=0,0,'Components Yr 1'!I634)</f>
        <v>0</v>
      </c>
      <c r="J634" s="17">
        <f>IF('Components Yr 1'!J634=0,0,'Components Yr 1'!J634)</f>
        <v>0</v>
      </c>
      <c r="K634" s="17">
        <f>IF('Components Yr 1'!K634=0,0,'Components Yr 1'!K634)</f>
        <v>0</v>
      </c>
      <c r="L634" s="12"/>
      <c r="M634" s="12"/>
      <c r="N634" s="12"/>
      <c r="O634" s="17">
        <f>IF('Components Yr 1'!O634=0,0,'Components Yr 1'!O634)</f>
        <v>0</v>
      </c>
      <c r="P634" s="12"/>
      <c r="Q634" s="17"/>
      <c r="R634" s="18">
        <f>IF(SUMPRODUCT((E634:Q634)*1)=0,0,E634*INDEX(Hours!M:M,MATCH(C634,Hours!$A:$A,0))+F634*INDEX(Hours!B:B,MATCH(C634,Hours!$A:$A,0))+G634*INDEX(Hours!C:C,MATCH(C634,Hours!$A:$A,0))+H634*INDEX(Hours!D:D,MATCH(C634,Hours!$A:$A,0))+I634*INDEX(Hours!E:E,MATCH(C634,Hours!$A:$A,0))+J634*INDEX(Hours!F:F,MATCH(C634,Hours!$A:$A,0))+K634*INDEX(Hours!G:G,MATCH(C634,Hours!$A:$A,0))+O634*INDEX(Hours!K:K,MATCH(C634,Hours!$A:$A,0)))</f>
        <v>0</v>
      </c>
      <c r="S634" s="19">
        <f t="shared" si="19"/>
        <v>0</v>
      </c>
    </row>
    <row r="635" spans="1:19" x14ac:dyDescent="0.25">
      <c r="A635" s="15" t="str">
        <f>'Bldgs &amp; Rooms'!$A$19</f>
        <v>Main Bldg.</v>
      </c>
      <c r="B635" s="15">
        <f>'Bldgs &amp; Rooms'!$B$19</f>
        <v>0</v>
      </c>
      <c r="C635" s="14" t="str">
        <f>Hours!$A$6</f>
        <v xml:space="preserve">  Switchboard Disconnects</v>
      </c>
      <c r="D635" s="15">
        <f t="shared" si="18"/>
        <v>0</v>
      </c>
      <c r="E635" s="16">
        <f>IF('Components Yr 1'!E635=0,0,'Components Yr 1'!E635)</f>
        <v>0</v>
      </c>
      <c r="F635" s="17">
        <f>IF('Components Yr 1'!F635=0,0,'Components Yr 1'!F635)</f>
        <v>0</v>
      </c>
      <c r="G635" s="17">
        <f>IF('Components Yr 1'!G635=0,0,'Components Yr 1'!G635)</f>
        <v>0</v>
      </c>
      <c r="H635" s="17">
        <f>IF('Components Yr 1'!H635=0,0,'Components Yr 1'!H635)</f>
        <v>0</v>
      </c>
      <c r="I635" s="17">
        <f>IF('Components Yr 1'!I635=0,0,'Components Yr 1'!I635)</f>
        <v>0</v>
      </c>
      <c r="J635" s="17">
        <f>IF('Components Yr 1'!J635=0,0,'Components Yr 1'!J635)</f>
        <v>0</v>
      </c>
      <c r="K635" s="12"/>
      <c r="L635" s="12"/>
      <c r="M635" s="12"/>
      <c r="N635" s="12"/>
      <c r="O635" s="12"/>
      <c r="P635" s="12"/>
      <c r="Q635" s="17"/>
      <c r="R635" s="18">
        <f>IF(SUMPRODUCT((E635:Q635)*1)=0,0,E635*INDEX(Hours!M:M,MATCH(C635,Hours!$A:$A,0))+F635*INDEX(Hours!B:B,MATCH(C635,Hours!$A:$A,0))+G635*INDEX(Hours!C:C,MATCH(C635,Hours!$A:$A,0))+H635*INDEX(Hours!D:D,MATCH(C635,Hours!$A:$A,0))+I635*INDEX(Hours!E:E,MATCH(C635,Hours!$A:$A,0))+J635*INDEX(Hours!F:F,MATCH(C635,Hours!$A:$A,0)))</f>
        <v>0</v>
      </c>
      <c r="S635" s="19">
        <f t="shared" si="19"/>
        <v>0</v>
      </c>
    </row>
    <row r="636" spans="1:19" x14ac:dyDescent="0.25">
      <c r="A636" s="15" t="str">
        <f>'Bldgs &amp; Rooms'!$A$19</f>
        <v>Main Bldg.</v>
      </c>
      <c r="B636" s="15">
        <f>'Bldgs &amp; Rooms'!$B$19</f>
        <v>0</v>
      </c>
      <c r="C636" s="14" t="str">
        <f>Hours!$A$7</f>
        <v xml:space="preserve">  Switchboard Molded Case Breakers</v>
      </c>
      <c r="D636" s="15">
        <f t="shared" si="18"/>
        <v>0</v>
      </c>
      <c r="E636" s="16">
        <f>IF('Components Yr 1'!E636=0,0,'Components Yr 1'!E636)</f>
        <v>0</v>
      </c>
      <c r="F636" s="17">
        <f>IF('Components Yr 1'!F636=0,0,'Components Yr 1'!F636)</f>
        <v>0</v>
      </c>
      <c r="G636" s="17">
        <f>IF('Components Yr 1'!G636=0,0,'Components Yr 1'!G636)</f>
        <v>0</v>
      </c>
      <c r="H636" s="17">
        <f>IF('Components Yr 1'!H636=0,0,'Components Yr 1'!H636)</f>
        <v>0</v>
      </c>
      <c r="I636" s="17">
        <f>IF('Components Yr 1'!I636=0,0,'Components Yr 1'!I636)</f>
        <v>0</v>
      </c>
      <c r="J636" s="17">
        <f>IF('Components Yr 1'!J636=0,0,'Components Yr 1'!J636)</f>
        <v>0</v>
      </c>
      <c r="K636" s="17">
        <f>IF('Components Yr 1'!K636=0,0,'Components Yr 1'!K636)</f>
        <v>0</v>
      </c>
      <c r="L636" s="12"/>
      <c r="M636" s="12"/>
      <c r="N636" s="12"/>
      <c r="O636" s="12"/>
      <c r="P636" s="12"/>
      <c r="Q636" s="17"/>
      <c r="R636" s="18">
        <f>IF(SUMPRODUCT((E636:Q636)*1)=0,0,E636*INDEX(Hours!M:M,MATCH(C636,Hours!$A:$A,0))+F636*INDEX(Hours!B:B,MATCH(C636,Hours!$A:$A,0))+G636*INDEX(Hours!C:C,MATCH(C636,Hours!$A:$A,0))+H636*INDEX(Hours!D:D,MATCH(C636,Hours!$A:$A,0))+I636*INDEX(Hours!E:E,MATCH(C636,Hours!$A:$A,0))+J636*INDEX(Hours!F:F,MATCH(C636,Hours!$A:$A,0))+K636*INDEX(Hours!G:G,MATCH(C636,Hours!$A:$A,0)))</f>
        <v>0</v>
      </c>
      <c r="S636" s="19">
        <f t="shared" si="19"/>
        <v>0</v>
      </c>
    </row>
    <row r="637" spans="1:19" x14ac:dyDescent="0.25">
      <c r="A637" s="15" t="str">
        <f>'Bldgs &amp; Rooms'!$A$19</f>
        <v>Main Bldg.</v>
      </c>
      <c r="B637" s="15">
        <f>'Bldgs &amp; Rooms'!$B$19</f>
        <v>0</v>
      </c>
      <c r="C637" s="14" t="str">
        <f>Hours!$A$8</f>
        <v>Panelboard-Single Cover &gt; 400A (Distribution Panel)</v>
      </c>
      <c r="D637" s="15">
        <f t="shared" si="18"/>
        <v>0</v>
      </c>
      <c r="E637" s="16">
        <f>IF('Components Yr 1'!E637=0,0,'Components Yr 1'!E637)</f>
        <v>0</v>
      </c>
      <c r="F637" s="17">
        <f>IF('Components Yr 1'!F637=0,0,'Components Yr 1'!F637)</f>
        <v>0</v>
      </c>
      <c r="G637" s="17">
        <f>IF('Components Yr 1'!G637=0,0,'Components Yr 1'!G637)</f>
        <v>0</v>
      </c>
      <c r="H637" s="17">
        <f>IF('Components Yr 1'!H637=0,0,'Components Yr 1'!H637)</f>
        <v>0</v>
      </c>
      <c r="I637" s="17">
        <f>IF('Components Yr 1'!I637=0,0,'Components Yr 1'!I637)</f>
        <v>0</v>
      </c>
      <c r="J637" s="17">
        <f>IF('Components Yr 1'!J637=0,0,'Components Yr 1'!J637)</f>
        <v>0</v>
      </c>
      <c r="K637" s="17">
        <f>IF('Components Yr 1'!K637=0,0,'Components Yr 1'!K637)</f>
        <v>0</v>
      </c>
      <c r="L637" s="12"/>
      <c r="M637" s="12"/>
      <c r="N637" s="12"/>
      <c r="O637" s="17">
        <f>IF('Components Yr 1'!O637=0,0,'Components Yr 1'!O637)</f>
        <v>0</v>
      </c>
      <c r="P637" s="12"/>
      <c r="Q637" s="17"/>
      <c r="R637" s="18">
        <f>IF(SUMPRODUCT((E637:Q637)*1)=0,0,E637*INDEX(Hours!M:M,MATCH(C637,Hours!$A:$A,0))+F637*INDEX(Hours!B:B,MATCH(C637,Hours!$A:$A,0))+G637*INDEX(Hours!C:C,MATCH(C637,Hours!$A:$A,0))+H637*INDEX(Hours!D:D,MATCH(C637,Hours!$A:$A,0))+I637*INDEX(Hours!E:E,MATCH(C637,Hours!$A:$A,0))+J637*INDEX(Hours!F:F,MATCH(C637,Hours!$A:$A,0))+K637*INDEX(Hours!G:G,MATCH(C637,Hours!$A:$A,0))+O637*INDEX(Hours!K:K,MATCH(C637,Hours!$A:$A,0)))</f>
        <v>0</v>
      </c>
      <c r="S637" s="19">
        <f t="shared" si="19"/>
        <v>0</v>
      </c>
    </row>
    <row r="638" spans="1:19" x14ac:dyDescent="0.25">
      <c r="A638" s="15" t="str">
        <f>'Bldgs &amp; Rooms'!$A$19</f>
        <v>Main Bldg.</v>
      </c>
      <c r="B638" s="15">
        <f>'Bldgs &amp; Rooms'!$B$19</f>
        <v>0</v>
      </c>
      <c r="C638" s="14" t="str">
        <f>Hours!$A$9</f>
        <v>Panelboard-Single Cover &lt; 400A (Branch Ckt Panel)</v>
      </c>
      <c r="D638" s="15">
        <f t="shared" si="18"/>
        <v>0</v>
      </c>
      <c r="E638" s="16">
        <f>IF('Components Yr 1'!E638=0,0,'Components Yr 1'!E638)</f>
        <v>0</v>
      </c>
      <c r="F638" s="17">
        <f>IF('Components Yr 1'!F638=0,0,'Components Yr 1'!F638)</f>
        <v>0</v>
      </c>
      <c r="G638" s="17">
        <f>IF('Components Yr 1'!G638=0,0,'Components Yr 1'!G638)</f>
        <v>0</v>
      </c>
      <c r="H638" s="17">
        <f>IF('Components Yr 1'!H638=0,0,'Components Yr 1'!H638)</f>
        <v>0</v>
      </c>
      <c r="I638" s="17">
        <f>IF('Components Yr 1'!I638=0,0,'Components Yr 1'!I638)</f>
        <v>0</v>
      </c>
      <c r="J638" s="17">
        <f>IF('Components Yr 1'!J638=0,0,'Components Yr 1'!J638)</f>
        <v>0</v>
      </c>
      <c r="K638" s="12"/>
      <c r="L638" s="12"/>
      <c r="M638" s="12"/>
      <c r="N638" s="12"/>
      <c r="O638" s="17">
        <f>IF('Components Yr 1'!O638=0,0,'Components Yr 1'!O638)</f>
        <v>0</v>
      </c>
      <c r="P638" s="12"/>
      <c r="Q638" s="17"/>
      <c r="R638" s="18">
        <f>IF(SUMPRODUCT((E638:Q638)*1)=0,0,E638*INDEX(Hours!M:M,MATCH(C638,Hours!$A:$A,0))+F638*INDEX(Hours!B:B,MATCH(C638,Hours!$A:$A,0))+G638*INDEX(Hours!C:C,MATCH(C638,Hours!$A:$A,0))+H638*INDEX(Hours!D:D,MATCH(C638,Hours!$A:$A,0))+I638*INDEX(Hours!E:E,MATCH(C638,Hours!$A:$A,0))+J638*INDEX(Hours!F:F,MATCH(C638,Hours!$A:$A,0))+O638*INDEX(Hours!K:K,MATCH(C638,Hours!$A:$A,0)))</f>
        <v>0</v>
      </c>
      <c r="S638" s="19">
        <f t="shared" si="19"/>
        <v>0</v>
      </c>
    </row>
    <row r="639" spans="1:19" x14ac:dyDescent="0.25">
      <c r="A639" s="15" t="str">
        <f>'Bldgs &amp; Rooms'!$A$19</f>
        <v>Main Bldg.</v>
      </c>
      <c r="B639" s="15">
        <f>'Bldgs &amp; Rooms'!$B$19</f>
        <v>0</v>
      </c>
      <c r="C639" s="14" t="str">
        <f>Hours!$A$10</f>
        <v>Motor Control Center (MCC-Per Vertical Section)</v>
      </c>
      <c r="D639" s="15">
        <f t="shared" si="18"/>
        <v>0</v>
      </c>
      <c r="E639" s="16">
        <f>IF('Components Yr 1'!E639=0,0,'Components Yr 1'!E639)</f>
        <v>0</v>
      </c>
      <c r="F639" s="17">
        <f>IF('Components Yr 1'!F639=0,0,'Components Yr 1'!F639)</f>
        <v>0</v>
      </c>
      <c r="G639" s="17">
        <f>IF('Components Yr 1'!G639=0,0,'Components Yr 1'!G639)</f>
        <v>0</v>
      </c>
      <c r="H639" s="17">
        <f>IF('Components Yr 1'!H639=0,0,'Components Yr 1'!H639)</f>
        <v>0</v>
      </c>
      <c r="I639" s="17">
        <f>IF('Components Yr 1'!I639=0,0,'Components Yr 1'!I639)</f>
        <v>0</v>
      </c>
      <c r="J639" s="17">
        <f>IF('Components Yr 1'!J639=0,0,'Components Yr 1'!J639)</f>
        <v>0</v>
      </c>
      <c r="K639" s="12"/>
      <c r="L639" s="12"/>
      <c r="M639" s="12"/>
      <c r="N639" s="12"/>
      <c r="O639" s="17">
        <f>IF('Components Yr 1'!O639=0,0,'Components Yr 1'!O639)</f>
        <v>0</v>
      </c>
      <c r="P639" s="12"/>
      <c r="Q639" s="17"/>
      <c r="R639" s="18">
        <f>IF(SUMPRODUCT((E639:Q639)*1)=0,0,E639*INDEX(Hours!M:M,MATCH(C639,Hours!$A:$A,0))+F639*INDEX(Hours!B:B,MATCH(C639,Hours!$A:$A,0))+G639*INDEX(Hours!C:C,MATCH(C639,Hours!$A:$A,0))+H639*INDEX(Hours!D:D,MATCH(C639,Hours!$A:$A,0))+I639*INDEX(Hours!E:E,MATCH(C639,Hours!$A:$A,0))+J639*INDEX(Hours!F:F,MATCH(C639,Hours!$A:$A,0))+O639*INDEX(Hours!K:K,MATCH(C639,Hours!$A:$A,0)))</f>
        <v>0</v>
      </c>
      <c r="S639" s="19">
        <f t="shared" si="19"/>
        <v>0</v>
      </c>
    </row>
    <row r="640" spans="1:19" x14ac:dyDescent="0.25">
      <c r="A640" s="15" t="str">
        <f>'Bldgs &amp; Rooms'!$A$19</f>
        <v>Main Bldg.</v>
      </c>
      <c r="B640" s="15">
        <f>'Bldgs &amp; Rooms'!$B$19</f>
        <v>0</v>
      </c>
      <c r="C640" s="14" t="str">
        <f>Hours!$A$11</f>
        <v xml:space="preserve">  MCC: Combination Motor Starters</v>
      </c>
      <c r="D640" s="15">
        <f t="shared" si="18"/>
        <v>0</v>
      </c>
      <c r="E640" s="16">
        <f>IF('Components Yr 1'!E640=0,0,'Components Yr 1'!E640)</f>
        <v>0</v>
      </c>
      <c r="F640" s="17">
        <f>IF('Components Yr 1'!F640=0,0,'Components Yr 1'!F640)</f>
        <v>0</v>
      </c>
      <c r="G640" s="17">
        <f>IF('Components Yr 1'!G640=0,0,'Components Yr 1'!G640)</f>
        <v>0</v>
      </c>
      <c r="H640" s="17">
        <f>IF('Components Yr 1'!H640=0,0,'Components Yr 1'!H640)</f>
        <v>0</v>
      </c>
      <c r="I640" s="17">
        <f>IF('Components Yr 1'!I640=0,0,'Components Yr 1'!I640)</f>
        <v>0</v>
      </c>
      <c r="J640" s="17">
        <f>IF('Components Yr 1'!J640=0,0,'Components Yr 1'!J640)</f>
        <v>0</v>
      </c>
      <c r="K640" s="17">
        <f>IF('Components Yr 1'!K640=0,0,'Components Yr 1'!K640)</f>
        <v>0</v>
      </c>
      <c r="L640" s="12"/>
      <c r="M640" s="12"/>
      <c r="N640" s="12"/>
      <c r="O640" s="17">
        <f>IF('Components Yr 1'!O640=0,0,'Components Yr 1'!O640)</f>
        <v>0</v>
      </c>
      <c r="P640" s="12"/>
      <c r="Q640" s="17"/>
      <c r="R640" s="18">
        <f>IF(SUMPRODUCT((E640:Q640)*1)=0,0,E640*INDEX(Hours!M:M,MATCH(C640,Hours!$A:$A,0))+F640*INDEX(Hours!B:B,MATCH(C640,Hours!$A:$A,0))+G640*INDEX(Hours!C:C,MATCH(C640,Hours!$A:$A,0))+H640*INDEX(Hours!D:D,MATCH(C640,Hours!$A:$A,0))+I640*INDEX(Hours!E:E,MATCH(C640,Hours!$A:$A,0))+J640*INDEX(Hours!F:F,MATCH(C640,Hours!$A:$A,0))+K640*INDEX(Hours!G:G,MATCH(C640,Hours!$A:$A,0))+O640*INDEX(Hours!K:K,MATCH(C640,Hours!$A:$A,0)))</f>
        <v>0</v>
      </c>
      <c r="S640" s="19">
        <f t="shared" si="19"/>
        <v>0</v>
      </c>
    </row>
    <row r="641" spans="1:19" x14ac:dyDescent="0.25">
      <c r="A641" s="15" t="str">
        <f>'Bldgs &amp; Rooms'!$A$19</f>
        <v>Main Bldg.</v>
      </c>
      <c r="B641" s="15">
        <f>'Bldgs &amp; Rooms'!$B$19</f>
        <v>0</v>
      </c>
      <c r="C641" s="14" t="str">
        <f>Hours!$A$12</f>
        <v xml:space="preserve">  MCC: Molded Case Breaker</v>
      </c>
      <c r="D641" s="15">
        <f t="shared" si="18"/>
        <v>0</v>
      </c>
      <c r="E641" s="16">
        <f>IF('Components Yr 1'!E641=0,0,'Components Yr 1'!E641)</f>
        <v>0</v>
      </c>
      <c r="F641" s="17">
        <f>IF('Components Yr 1'!F641=0,0,'Components Yr 1'!F641)</f>
        <v>0</v>
      </c>
      <c r="G641" s="17">
        <f>IF('Components Yr 1'!G641=0,0,'Components Yr 1'!G641)</f>
        <v>0</v>
      </c>
      <c r="H641" s="17">
        <f>IF('Components Yr 1'!H641=0,0,'Components Yr 1'!H641)</f>
        <v>0</v>
      </c>
      <c r="I641" s="17">
        <f>IF('Components Yr 1'!I641=0,0,'Components Yr 1'!I641)</f>
        <v>0</v>
      </c>
      <c r="J641" s="17">
        <f>IF('Components Yr 1'!J641=0,0,'Components Yr 1'!J641)</f>
        <v>0</v>
      </c>
      <c r="K641" s="17">
        <f>IF('Components Yr 1'!K641=0,0,'Components Yr 1'!K641)</f>
        <v>0</v>
      </c>
      <c r="L641" s="12"/>
      <c r="M641" s="12"/>
      <c r="N641" s="12"/>
      <c r="O641" s="12"/>
      <c r="P641" s="12"/>
      <c r="Q641" s="17"/>
      <c r="R641" s="18">
        <f>IF(SUMPRODUCT((E641:Q641)*1)=0,0,E641*INDEX(Hours!M:M,MATCH(C641,Hours!$A:$A,0))+F641*INDEX(Hours!B:B,MATCH(C641,Hours!$A:$A,0))+G641*INDEX(Hours!C:C,MATCH(C641,Hours!$A:$A,0))+H641*INDEX(Hours!D:D,MATCH(C641,Hours!$A:$A,0))+I641*INDEX(Hours!E:E,MATCH(C641,Hours!$A:$A,0))+J641*INDEX(Hours!F:F,MATCH(C641,Hours!$A:$A,0))+K641*INDEX(Hours!G:G,MATCH(C641,Hours!$A:$A,0)))</f>
        <v>0</v>
      </c>
      <c r="S641" s="19">
        <f t="shared" si="19"/>
        <v>0</v>
      </c>
    </row>
    <row r="642" spans="1:19" x14ac:dyDescent="0.25">
      <c r="A642" s="15" t="str">
        <f>'Bldgs &amp; Rooms'!$A$19</f>
        <v>Main Bldg.</v>
      </c>
      <c r="B642" s="15">
        <f>'Bldgs &amp; Rooms'!$B$19</f>
        <v>0</v>
      </c>
      <c r="C642" s="14" t="str">
        <f>Hours!$A$13</f>
        <v xml:space="preserve">  MCC: Individual Disconnect Switch</v>
      </c>
      <c r="D642" s="15">
        <f t="shared" ref="D642:D705" si="20">MAX(E642+F642,G642,H642,I642,J642,K642,L642,M642,N642,O642,P642,Q642)</f>
        <v>0</v>
      </c>
      <c r="E642" s="16">
        <f>IF('Components Yr 1'!E642=0,0,'Components Yr 1'!E642)</f>
        <v>0</v>
      </c>
      <c r="F642" s="17">
        <f>IF('Components Yr 1'!F642=0,0,'Components Yr 1'!F642)</f>
        <v>0</v>
      </c>
      <c r="G642" s="17">
        <f>IF('Components Yr 1'!G642=0,0,'Components Yr 1'!G642)</f>
        <v>0</v>
      </c>
      <c r="H642" s="17">
        <f>IF('Components Yr 1'!H642=0,0,'Components Yr 1'!H642)</f>
        <v>0</v>
      </c>
      <c r="I642" s="17">
        <f>IF('Components Yr 1'!I642=0,0,'Components Yr 1'!I642)</f>
        <v>0</v>
      </c>
      <c r="J642" s="17">
        <f>IF('Components Yr 1'!J642=0,0,'Components Yr 1'!J642)</f>
        <v>0</v>
      </c>
      <c r="K642" s="12"/>
      <c r="L642" s="12"/>
      <c r="M642" s="12"/>
      <c r="N642" s="12"/>
      <c r="O642" s="12"/>
      <c r="P642" s="12"/>
      <c r="Q642" s="17"/>
      <c r="R642" s="18">
        <f>IF(SUMPRODUCT((E642:Q642)*1)=0,0,E642*INDEX(Hours!M:M,MATCH(C642,Hours!$A:$A,0))+F642*INDEX(Hours!B:B,MATCH(C642,Hours!$A:$A,0))+G642*INDEX(Hours!C:C,MATCH(C642,Hours!$A:$A,0))+H642*INDEX(Hours!D:D,MATCH(C642,Hours!$A:$A,0))+I642*INDEX(Hours!E:E,MATCH(C642,Hours!$A:$A,0))+J642*INDEX(Hours!F:F,MATCH(C642,Hours!$A:$A,0)))</f>
        <v>0</v>
      </c>
      <c r="S642" s="19">
        <f t="shared" ref="S642:S705" si="21">MAX(E642+F642,G642,H642,I642,J642,K642,L642,M642,N642,O642,P642,Q642)</f>
        <v>0</v>
      </c>
    </row>
    <row r="643" spans="1:19" x14ac:dyDescent="0.25">
      <c r="A643" s="15" t="str">
        <f>'Bldgs &amp; Rooms'!$A$19</f>
        <v>Main Bldg.</v>
      </c>
      <c r="B643" s="15">
        <f>'Bldgs &amp; Rooms'!$B$19</f>
        <v>0</v>
      </c>
      <c r="C643" s="14" t="str">
        <f>Hours!$A$14</f>
        <v>Motor Control Panel (MCP)</v>
      </c>
      <c r="D643" s="15">
        <f t="shared" si="20"/>
        <v>0</v>
      </c>
      <c r="E643" s="16">
        <f>IF('Components Yr 1'!E643=0,0,'Components Yr 1'!E643)</f>
        <v>0</v>
      </c>
      <c r="F643" s="17">
        <f>IF('Components Yr 1'!F643=0,0,'Components Yr 1'!F643)</f>
        <v>0</v>
      </c>
      <c r="G643" s="17">
        <f>IF('Components Yr 1'!G643=0,0,'Components Yr 1'!G643)</f>
        <v>0</v>
      </c>
      <c r="H643" s="17">
        <f>IF('Components Yr 1'!H643=0,0,'Components Yr 1'!H643)</f>
        <v>0</v>
      </c>
      <c r="I643" s="17">
        <f>IF('Components Yr 1'!I643=0,0,'Components Yr 1'!I643)</f>
        <v>0</v>
      </c>
      <c r="J643" s="17">
        <f>IF('Components Yr 1'!J643=0,0,'Components Yr 1'!J643)</f>
        <v>0</v>
      </c>
      <c r="K643" s="12"/>
      <c r="L643" s="12"/>
      <c r="M643" s="12"/>
      <c r="N643" s="12"/>
      <c r="O643" s="17">
        <f>IF('Components Yr 1'!O643=0,0,'Components Yr 1'!O643)</f>
        <v>0</v>
      </c>
      <c r="P643" s="12"/>
      <c r="Q643" s="17"/>
      <c r="R643" s="18">
        <f>IF(SUMPRODUCT((E643:Q643)*1)=0,0,E643*INDEX(Hours!M:M,MATCH(C643,Hours!$A:$A,0))+F643*INDEX(Hours!B:B,MATCH(C643,Hours!$A:$A,0))+G643*INDEX(Hours!C:C,MATCH(C643,Hours!$A:$A,0))+H643*INDEX(Hours!D:D,MATCH(C643,Hours!$A:$A,0))+I643*INDEX(Hours!E:E,MATCH(C643,Hours!$A:$A,0))+J643*INDEX(Hours!F:F,MATCH(C643,Hours!$A:$A,0))+O643*INDEX(Hours!K:K,MATCH(C643,Hours!$A:$A,0)))</f>
        <v>0</v>
      </c>
      <c r="S643" s="19">
        <f t="shared" si="21"/>
        <v>0</v>
      </c>
    </row>
    <row r="644" spans="1:19" x14ac:dyDescent="0.25">
      <c r="A644" s="15" t="str">
        <f>'Bldgs &amp; Rooms'!$A$19</f>
        <v>Main Bldg.</v>
      </c>
      <c r="B644" s="15">
        <f>'Bldgs &amp; Rooms'!$B$19</f>
        <v>0</v>
      </c>
      <c r="C644" s="14" t="str">
        <f>Hours!$A$15</f>
        <v>VFD Motor Control Panel (VFD-MCP)</v>
      </c>
      <c r="D644" s="15">
        <f t="shared" si="20"/>
        <v>0</v>
      </c>
      <c r="E644" s="16">
        <f>IF('Components Yr 1'!E644=0,0,'Components Yr 1'!E644)</f>
        <v>0</v>
      </c>
      <c r="F644" s="17">
        <f>IF('Components Yr 1'!F644=0,0,'Components Yr 1'!F644)</f>
        <v>0</v>
      </c>
      <c r="G644" s="17">
        <f>IF('Components Yr 1'!G644=0,0,'Components Yr 1'!G644)</f>
        <v>0</v>
      </c>
      <c r="H644" s="17">
        <f>IF('Components Yr 1'!H644=0,0,'Components Yr 1'!H644)</f>
        <v>0</v>
      </c>
      <c r="I644" s="17">
        <f>IF('Components Yr 1'!I644=0,0,'Components Yr 1'!I644)</f>
        <v>0</v>
      </c>
      <c r="J644" s="17">
        <f>IF('Components Yr 1'!J644=0,0,'Components Yr 1'!J644)</f>
        <v>0</v>
      </c>
      <c r="K644" s="12"/>
      <c r="L644" s="12"/>
      <c r="M644" s="12"/>
      <c r="N644" s="12"/>
      <c r="O644" s="17">
        <f>IF('Components Yr 1'!O644=0,0,'Components Yr 1'!O644)</f>
        <v>0</v>
      </c>
      <c r="P644" s="12"/>
      <c r="Q644" s="17"/>
      <c r="R644" s="18">
        <f>IF(SUMPRODUCT((E644:Q644)*1)=0,0,E644*INDEX(Hours!M:M,MATCH(C644,Hours!$A:$A,0))+F644*INDEX(Hours!B:B,MATCH(C644,Hours!$A:$A,0))+G644*INDEX(Hours!C:C,MATCH(C644,Hours!$A:$A,0))+H644*INDEX(Hours!D:D,MATCH(C644,Hours!$A:$A,0))+I644*INDEX(Hours!E:E,MATCH(C644,Hours!$A:$A,0))+J644*INDEX(Hours!F:F,MATCH(C644,Hours!$A:$A,0))+O644*INDEX(Hours!K:K,MATCH(C644,Hours!$A:$A,0)))</f>
        <v>0</v>
      </c>
      <c r="S644" s="19">
        <f t="shared" si="21"/>
        <v>0</v>
      </c>
    </row>
    <row r="645" spans="1:19" x14ac:dyDescent="0.25">
      <c r="A645" s="15" t="str">
        <f>'Bldgs &amp; Rooms'!$A$19</f>
        <v>Main Bldg.</v>
      </c>
      <c r="B645" s="15">
        <f>'Bldgs &amp; Rooms'!$B$19</f>
        <v>0</v>
      </c>
      <c r="C645" s="14" t="str">
        <f>Hours!$A$16</f>
        <v>Individual Disconnect Switch &gt; 100A</v>
      </c>
      <c r="D645" s="15">
        <f t="shared" si="20"/>
        <v>0</v>
      </c>
      <c r="E645" s="16">
        <f>IF('Components Yr 1'!E645=0,0,'Components Yr 1'!E645)</f>
        <v>0</v>
      </c>
      <c r="F645" s="17">
        <f>IF('Components Yr 1'!F645=0,0,'Components Yr 1'!F645)</f>
        <v>0</v>
      </c>
      <c r="G645" s="17">
        <f>IF('Components Yr 1'!G645=0,0,'Components Yr 1'!G645)</f>
        <v>0</v>
      </c>
      <c r="H645" s="17">
        <f>IF('Components Yr 1'!H645=0,0,'Components Yr 1'!H645)</f>
        <v>0</v>
      </c>
      <c r="I645" s="17">
        <f>IF('Components Yr 1'!I645=0,0,'Components Yr 1'!I645)</f>
        <v>0</v>
      </c>
      <c r="J645" s="17">
        <f>IF('Components Yr 1'!J645=0,0,'Components Yr 1'!J645)</f>
        <v>0</v>
      </c>
      <c r="K645" s="17">
        <f>IF('Components Yr 1'!K645=0,0,'Components Yr 1'!K645)</f>
        <v>0</v>
      </c>
      <c r="L645" s="12"/>
      <c r="M645" s="12"/>
      <c r="N645" s="12"/>
      <c r="O645" s="12"/>
      <c r="P645" s="12"/>
      <c r="Q645" s="17"/>
      <c r="R645" s="18">
        <f>IF(SUMPRODUCT((E645:Q645)*1)=0,0,E645*INDEX(Hours!M:M,MATCH(C645,Hours!$A:$A,0))+F645*INDEX(Hours!B:B,MATCH(C645,Hours!$A:$A,0))+G645*INDEX(Hours!C:C,MATCH(C645,Hours!$A:$A,0))+H645*INDEX(Hours!D:D,MATCH(C645,Hours!$A:$A,0))+I645*INDEX(Hours!E:E,MATCH(C645,Hours!$A:$A,0))+J645*INDEX(Hours!F:F,MATCH(C645,Hours!$A:$A,0))+K645*INDEX(Hours!G:G,MATCH(C645,Hours!$A:$A,0)))</f>
        <v>0</v>
      </c>
      <c r="S645" s="19">
        <f t="shared" si="21"/>
        <v>0</v>
      </c>
    </row>
    <row r="646" spans="1:19" x14ac:dyDescent="0.25">
      <c r="A646" s="15" t="str">
        <f>'Bldgs &amp; Rooms'!$A$19</f>
        <v>Main Bldg.</v>
      </c>
      <c r="B646" s="15">
        <f>'Bldgs &amp; Rooms'!$B$19</f>
        <v>0</v>
      </c>
      <c r="C646" s="14" t="str">
        <f>Hours!$A$17</f>
        <v>Individual Molded Case Breaker &gt; 100A</v>
      </c>
      <c r="D646" s="15">
        <f t="shared" si="20"/>
        <v>0</v>
      </c>
      <c r="E646" s="16">
        <f>IF('Components Yr 1'!E646=0,0,'Components Yr 1'!E646)</f>
        <v>0</v>
      </c>
      <c r="F646" s="17">
        <f>IF('Components Yr 1'!F646=0,0,'Components Yr 1'!F646)</f>
        <v>0</v>
      </c>
      <c r="G646" s="17">
        <f>IF('Components Yr 1'!G646=0,0,'Components Yr 1'!G646)</f>
        <v>0</v>
      </c>
      <c r="H646" s="17">
        <f>IF('Components Yr 1'!H646=0,0,'Components Yr 1'!H646)</f>
        <v>0</v>
      </c>
      <c r="I646" s="17">
        <f>IF('Components Yr 1'!I646=0,0,'Components Yr 1'!I646)</f>
        <v>0</v>
      </c>
      <c r="J646" s="17">
        <f>IF('Components Yr 1'!J646=0,0,'Components Yr 1'!J646)</f>
        <v>0</v>
      </c>
      <c r="K646" s="17">
        <f>IF('Components Yr 1'!K646=0,0,'Components Yr 1'!K646)</f>
        <v>0</v>
      </c>
      <c r="L646" s="12"/>
      <c r="M646" s="12"/>
      <c r="N646" s="12"/>
      <c r="O646" s="12"/>
      <c r="P646" s="12"/>
      <c r="Q646" s="17"/>
      <c r="R646" s="18">
        <f>IF(SUMPRODUCT((E646:Q646)*1)=0,0,E646*INDEX(Hours!M:M,MATCH(C646,Hours!$A:$A,0))+F646*INDEX(Hours!B:B,MATCH(C646,Hours!$A:$A,0))+G646*INDEX(Hours!C:C,MATCH(C646,Hours!$A:$A,0))+H646*INDEX(Hours!D:D,MATCH(C646,Hours!$A:$A,0))+I646*INDEX(Hours!E:E,MATCH(C646,Hours!$A:$A,0))+J646*INDEX(Hours!F:F,MATCH(C646,Hours!$A:$A,0))+K646*INDEX(Hours!G:G,MATCH(C646,Hours!$A:$A,0)))</f>
        <v>0</v>
      </c>
      <c r="S646" s="19">
        <f t="shared" si="21"/>
        <v>0</v>
      </c>
    </row>
    <row r="647" spans="1:19" x14ac:dyDescent="0.25">
      <c r="A647" s="15" t="str">
        <f>'Bldgs &amp; Rooms'!$A$19</f>
        <v>Main Bldg.</v>
      </c>
      <c r="B647" s="15">
        <f>'Bldgs &amp; Rooms'!$B$19</f>
        <v>0</v>
      </c>
      <c r="C647" s="14" t="str">
        <f>Hours!$A$18</f>
        <v>Individual Combination Motor Starter &gt; 100A</v>
      </c>
      <c r="D647" s="15">
        <f t="shared" si="20"/>
        <v>0</v>
      </c>
      <c r="E647" s="16">
        <f>IF('Components Yr 1'!E647=0,0,'Components Yr 1'!E647)</f>
        <v>0</v>
      </c>
      <c r="F647" s="17">
        <f>IF('Components Yr 1'!F647=0,0,'Components Yr 1'!F647)</f>
        <v>0</v>
      </c>
      <c r="G647" s="17">
        <f>IF('Components Yr 1'!G647=0,0,'Components Yr 1'!G647)</f>
        <v>0</v>
      </c>
      <c r="H647" s="17">
        <f>IF('Components Yr 1'!H647=0,0,'Components Yr 1'!H647)</f>
        <v>0</v>
      </c>
      <c r="I647" s="17">
        <f>IF('Components Yr 1'!I647=0,0,'Components Yr 1'!I647)</f>
        <v>0</v>
      </c>
      <c r="J647" s="17">
        <f>IF('Components Yr 1'!J647=0,0,'Components Yr 1'!J647)</f>
        <v>0</v>
      </c>
      <c r="K647" s="17">
        <f>IF('Components Yr 1'!K647=0,0,'Components Yr 1'!K647)</f>
        <v>0</v>
      </c>
      <c r="L647" s="12"/>
      <c r="M647" s="12"/>
      <c r="N647" s="12"/>
      <c r="O647" s="12"/>
      <c r="P647" s="12"/>
      <c r="Q647" s="17"/>
      <c r="R647" s="18">
        <f>IF(SUMPRODUCT((E647:Q647)*1)=0,0,E647*INDEX(Hours!M:M,MATCH(C647,Hours!$A:$A,0))+F647*INDEX(Hours!B:B,MATCH(C647,Hours!$A:$A,0))+G647*INDEX(Hours!C:C,MATCH(C647,Hours!$A:$A,0))+H647*INDEX(Hours!D:D,MATCH(C647,Hours!$A:$A,0))+I647*INDEX(Hours!E:E,MATCH(C647,Hours!$A:$A,0))+J647*INDEX(Hours!F:F,MATCH(C647,Hours!$A:$A,0))+K647*INDEX(Hours!G:G,MATCH(C647,Hours!$A:$A,0)))</f>
        <v>0</v>
      </c>
      <c r="S647" s="19">
        <f t="shared" si="21"/>
        <v>0</v>
      </c>
    </row>
    <row r="648" spans="1:19" x14ac:dyDescent="0.25">
      <c r="A648" s="15" t="str">
        <f>'Bldgs &amp; Rooms'!$A$19</f>
        <v>Main Bldg.</v>
      </c>
      <c r="B648" s="15">
        <f>'Bldgs &amp; Rooms'!$B$19</f>
        <v>0</v>
      </c>
      <c r="C648" s="14" t="str">
        <f>Hours!$A$19</f>
        <v>Oil Filled Transformer - 5kV-15kV Primary - Any Size (Pad Mounted)</v>
      </c>
      <c r="D648" s="15">
        <f t="shared" si="20"/>
        <v>0</v>
      </c>
      <c r="E648" s="16">
        <f>IF('Components Yr 1'!E648=0,0,'Components Yr 1'!E648)</f>
        <v>0</v>
      </c>
      <c r="F648" s="17">
        <f>IF('Components Yr 1'!F648=0,0,'Components Yr 1'!F648)</f>
        <v>0</v>
      </c>
      <c r="G648" s="17">
        <f>IF('Components Yr 1'!G648=0,0,'Components Yr 1'!G648)</f>
        <v>0</v>
      </c>
      <c r="H648" s="17">
        <f>IF('Components Yr 1'!H648=0,0,'Components Yr 1'!H648)</f>
        <v>0</v>
      </c>
      <c r="I648" s="17">
        <f>IF('Components Yr 1'!I648=0,0,'Components Yr 1'!I648)</f>
        <v>0</v>
      </c>
      <c r="J648" s="17">
        <f>IF('Components Yr 1'!J648=0,0,'Components Yr 1'!J648)</f>
        <v>0</v>
      </c>
      <c r="K648" s="12"/>
      <c r="L648" s="12"/>
      <c r="M648" s="17">
        <f>IF('Components Yr 1'!M648=0,0,'Components Yr 1'!M648)</f>
        <v>0</v>
      </c>
      <c r="N648" s="17">
        <f>IF('Components Yr 1'!N648=0,0,'Components Yr 1'!N648)</f>
        <v>0</v>
      </c>
      <c r="O648" s="12"/>
      <c r="P648" s="17">
        <f>IF('Components Yr 1'!P648=0,0,'Components Yr 1'!P648)</f>
        <v>0</v>
      </c>
      <c r="Q648" s="17"/>
      <c r="R648" s="18">
        <f>IF(SUMPRODUCT((E648:Q648)*1)=0,0,E648*INDEX(Hours!M:M,MATCH(C648,Hours!$A:$A,0))+F648*INDEX(Hours!B:B,MATCH(C648,Hours!$A:$A,0))+G648*INDEX(Hours!C:C,MATCH(C648,Hours!$A:$A,0))+H648*INDEX(Hours!D:D,MATCH(C648,Hours!$A:$A,0))+I648*INDEX(Hours!E:E,MATCH(C648,Hours!$A:$A,0))+J648*INDEX(Hours!F:F,MATCH(C648,Hours!$A:$A,0))+M648*INDEX(Hours!I:I,MATCH(C648,Hours!$A:$A,0))+N648*INDEX(Hours!J:J,MATCH(C648,Hours!$A:$A,0))+P648*INDEX(Hours!L:L,MATCH(C648,Hours!$A:$A,0)))</f>
        <v>0</v>
      </c>
      <c r="S648" s="19">
        <f t="shared" si="21"/>
        <v>0</v>
      </c>
    </row>
    <row r="649" spans="1:19" x14ac:dyDescent="0.25">
      <c r="A649" s="15" t="str">
        <f>'Bldgs &amp; Rooms'!$A$19</f>
        <v>Main Bldg.</v>
      </c>
      <c r="B649" s="15">
        <f>'Bldgs &amp; Rooms'!$B$19</f>
        <v>0</v>
      </c>
      <c r="C649" s="14" t="str">
        <f>Hours!$A$20</f>
        <v>Oil Filled Transformer - &gt; 15kV Primary (Substation Class)</v>
      </c>
      <c r="D649" s="15">
        <f t="shared" si="20"/>
        <v>0</v>
      </c>
      <c r="E649" s="16">
        <f>IF('Components Yr 1'!E649=0,0,'Components Yr 1'!E649)</f>
        <v>0</v>
      </c>
      <c r="F649" s="17">
        <f>IF('Components Yr 1'!F649=0,0,'Components Yr 1'!F649)</f>
        <v>0</v>
      </c>
      <c r="G649" s="17">
        <f>IF('Components Yr 1'!G649=0,0,'Components Yr 1'!G649)</f>
        <v>0</v>
      </c>
      <c r="H649" s="17">
        <f>IF('Components Yr 1'!H649=0,0,'Components Yr 1'!H649)</f>
        <v>0</v>
      </c>
      <c r="I649" s="17">
        <f>IF('Components Yr 1'!I649=0,0,'Components Yr 1'!I649)</f>
        <v>0</v>
      </c>
      <c r="J649" s="17">
        <f>IF('Components Yr 1'!J649=0,0,'Components Yr 1'!J649)</f>
        <v>0</v>
      </c>
      <c r="K649" s="12"/>
      <c r="L649" s="12"/>
      <c r="M649" s="17">
        <f>IF('Components Yr 1'!M649=0,0,'Components Yr 1'!M649)</f>
        <v>0</v>
      </c>
      <c r="N649" s="17">
        <f>IF('Components Yr 1'!N649=0,0,'Components Yr 1'!N649)</f>
        <v>0</v>
      </c>
      <c r="O649" s="12"/>
      <c r="P649" s="17">
        <f>IF('Components Yr 1'!P649=0,0,'Components Yr 1'!P649)</f>
        <v>0</v>
      </c>
      <c r="Q649" s="17"/>
      <c r="R649" s="18">
        <f>IF(SUMPRODUCT((E649:Q649)*1)=0,0,E649*INDEX(Hours!M:M,MATCH(C649,Hours!$A:$A,0))+F649*INDEX(Hours!B:B,MATCH(C649,Hours!$A:$A,0))+G649*INDEX(Hours!C:C,MATCH(C649,Hours!$A:$A,0))+H649*INDEX(Hours!D:D,MATCH(C649,Hours!$A:$A,0))+I649*INDEX(Hours!E:E,MATCH(C649,Hours!$A:$A,0))+J649*INDEX(Hours!F:F,MATCH(C649,Hours!$A:$A,0))+M649*INDEX(Hours!I:I,MATCH(C649,Hours!$A:$A,0))+N649*INDEX(Hours!J:J,MATCH(C649,Hours!$A:$A,0))+P649*INDEX(Hours!L:L,MATCH(C649,Hours!$A:$A,0)))</f>
        <v>0</v>
      </c>
      <c r="S649" s="19">
        <f t="shared" si="21"/>
        <v>0</v>
      </c>
    </row>
    <row r="650" spans="1:19" x14ac:dyDescent="0.25">
      <c r="A650" s="15" t="str">
        <f>'Bldgs &amp; Rooms'!$A$19</f>
        <v>Main Bldg.</v>
      </c>
      <c r="B650" s="15">
        <f>'Bldgs &amp; Rooms'!$B$19</f>
        <v>0</v>
      </c>
      <c r="C650" s="14" t="str">
        <f>Hours!$A$21</f>
        <v>Dry Type Transformer - &lt; 480V Primary - Any Size kVA</v>
      </c>
      <c r="D650" s="15">
        <f t="shared" si="20"/>
        <v>0</v>
      </c>
      <c r="E650" s="16">
        <f>IF('Components Yr 1'!E650=0,0,'Components Yr 1'!E650)</f>
        <v>0</v>
      </c>
      <c r="F650" s="17">
        <f>IF('Components Yr 1'!F650=0,0,'Components Yr 1'!F650)</f>
        <v>0</v>
      </c>
      <c r="G650" s="17">
        <f>IF('Components Yr 1'!G650=0,0,'Components Yr 1'!G650)</f>
        <v>0</v>
      </c>
      <c r="H650" s="17">
        <f>IF('Components Yr 1'!H650=0,0,'Components Yr 1'!H650)</f>
        <v>0</v>
      </c>
      <c r="I650" s="17">
        <f>IF('Components Yr 1'!I650=0,0,'Components Yr 1'!I650)</f>
        <v>0</v>
      </c>
      <c r="J650" s="17">
        <f>IF('Components Yr 1'!J650=0,0,'Components Yr 1'!J650)</f>
        <v>0</v>
      </c>
      <c r="K650" s="12"/>
      <c r="L650" s="12"/>
      <c r="M650" s="17">
        <f>IF('Components Yr 1'!M650=0,0,'Components Yr 1'!M650)</f>
        <v>0</v>
      </c>
      <c r="N650" s="17">
        <f>IF('Components Yr 1'!N650=0,0,'Components Yr 1'!N650)</f>
        <v>0</v>
      </c>
      <c r="O650" s="12"/>
      <c r="P650" s="12"/>
      <c r="Q650" s="17"/>
      <c r="R650" s="18">
        <f>IF(SUMPRODUCT((E650:Q650)*1)=0,0,E650*INDEX(Hours!M:M,MATCH(C650,Hours!$A:$A,0))+F650*INDEX(Hours!B:B,MATCH(C650,Hours!$A:$A,0))+G650*INDEX(Hours!C:C,MATCH(C650,Hours!$A:$A,0))+H650*INDEX(Hours!D:D,MATCH(C650,Hours!$A:$A,0))+I650*INDEX(Hours!E:E,MATCH(C650,Hours!$A:$A,0))+J650*INDEX(Hours!F:F,MATCH(C650,Hours!$A:$A,0))+M650*INDEX(Hours!I:I,MATCH(C650,Hours!$A:$A,0))+N650*INDEX(Hours!J:J,MATCH(C650,Hours!$A:$A,0)))</f>
        <v>0</v>
      </c>
      <c r="S650" s="19">
        <f t="shared" si="21"/>
        <v>0</v>
      </c>
    </row>
    <row r="651" spans="1:19" x14ac:dyDescent="0.25">
      <c r="A651" s="15" t="str">
        <f>'Bldgs &amp; Rooms'!$A$19</f>
        <v>Main Bldg.</v>
      </c>
      <c r="B651" s="15">
        <f>'Bldgs &amp; Rooms'!$B$19</f>
        <v>0</v>
      </c>
      <c r="C651" s="14" t="str">
        <f>Hours!$A$22</f>
        <v>Power Factor Correction Capacitors</v>
      </c>
      <c r="D651" s="15">
        <f t="shared" si="20"/>
        <v>0</v>
      </c>
      <c r="E651" s="16">
        <f>IF('Components Yr 1'!E651=0,0,'Components Yr 1'!E651)</f>
        <v>0</v>
      </c>
      <c r="F651" s="17">
        <f>IF('Components Yr 1'!F651=0,0,'Components Yr 1'!F651)</f>
        <v>0</v>
      </c>
      <c r="G651" s="17">
        <f>IF('Components Yr 1'!G651=0,0,'Components Yr 1'!G651)</f>
        <v>0</v>
      </c>
      <c r="H651" s="17">
        <f>IF('Components Yr 1'!H651=0,0,'Components Yr 1'!H651)</f>
        <v>0</v>
      </c>
      <c r="I651" s="17">
        <f>IF('Components Yr 1'!I651=0,0,'Components Yr 1'!I651)</f>
        <v>0</v>
      </c>
      <c r="J651" s="17">
        <f>IF('Components Yr 1'!J651=0,0,'Components Yr 1'!J651)</f>
        <v>0</v>
      </c>
      <c r="K651" s="12"/>
      <c r="L651" s="12"/>
      <c r="M651" s="12"/>
      <c r="N651" s="12"/>
      <c r="O651" s="12"/>
      <c r="P651" s="12"/>
      <c r="Q651" s="17"/>
      <c r="R651" s="18">
        <f>IF(SUMPRODUCT((E651:Q651)*1)=0,0,E651*INDEX(Hours!M:M,MATCH(C651,Hours!$A:$A,0))+F651*INDEX(Hours!B:B,MATCH(C651,Hours!$A:$A,0))+G651*INDEX(Hours!C:C,MATCH(C651,Hours!$A:$A,0))+H651*INDEX(Hours!D:D,MATCH(C651,Hours!$A:$A,0))+I651*INDEX(Hours!E:E,MATCH(C651,Hours!$A:$A,0))+J651*INDEX(Hours!F:F,MATCH(C651,Hours!$A:$A,0)))</f>
        <v>0</v>
      </c>
      <c r="S651" s="19">
        <f t="shared" si="21"/>
        <v>0</v>
      </c>
    </row>
    <row r="652" spans="1:19" x14ac:dyDescent="0.25">
      <c r="A652" s="15" t="str">
        <f>'Bldgs &amp; Rooms'!$A$19</f>
        <v>Main Bldg.</v>
      </c>
      <c r="B652" s="15">
        <f>'Bldgs &amp; Rooms'!$B$19</f>
        <v>0</v>
      </c>
      <c r="C652" s="14" t="str">
        <f>Hours!$A$23</f>
        <v>Lighting Contactor &gt; 100A</v>
      </c>
      <c r="D652" s="15">
        <f t="shared" si="20"/>
        <v>0</v>
      </c>
      <c r="E652" s="16">
        <f>IF('Components Yr 1'!E652=0,0,'Components Yr 1'!E652)</f>
        <v>0</v>
      </c>
      <c r="F652" s="17">
        <f>IF('Components Yr 1'!F652=0,0,'Components Yr 1'!F652)</f>
        <v>0</v>
      </c>
      <c r="G652" s="17">
        <f>IF('Components Yr 1'!G652=0,0,'Components Yr 1'!G652)</f>
        <v>0</v>
      </c>
      <c r="H652" s="17">
        <f>IF('Components Yr 1'!H652=0,0,'Components Yr 1'!H652)</f>
        <v>0</v>
      </c>
      <c r="I652" s="17">
        <f>IF('Components Yr 1'!I652=0,0,'Components Yr 1'!I652)</f>
        <v>0</v>
      </c>
      <c r="J652" s="17">
        <f>IF('Components Yr 1'!J652=0,0,'Components Yr 1'!J652)</f>
        <v>0</v>
      </c>
      <c r="K652" s="12"/>
      <c r="L652" s="12"/>
      <c r="M652" s="12"/>
      <c r="N652" s="12"/>
      <c r="O652" s="12"/>
      <c r="P652" s="12"/>
      <c r="Q652" s="17"/>
      <c r="R652" s="18">
        <f>IF(SUMPRODUCT((E652:Q652)*1)=0,0,E652*INDEX(Hours!M:M,MATCH(C652,Hours!$A:$A,0))+F652*INDEX(Hours!B:B,MATCH(C652,Hours!$A:$A,0))+G652*INDEX(Hours!C:C,MATCH(C652,Hours!$A:$A,0))+H652*INDEX(Hours!D:D,MATCH(C652,Hours!$A:$A,0))+I652*INDEX(Hours!E:E,MATCH(C652,Hours!$A:$A,0))+J652*INDEX(Hours!F:F,MATCH(C652,Hours!$A:$A,0)))</f>
        <v>0</v>
      </c>
      <c r="S652" s="19">
        <f t="shared" si="21"/>
        <v>0</v>
      </c>
    </row>
    <row r="653" spans="1:19" x14ac:dyDescent="0.25">
      <c r="A653" s="15" t="str">
        <f>'Bldgs &amp; Rooms'!$A$19</f>
        <v>Main Bldg.</v>
      </c>
      <c r="B653" s="15">
        <f>'Bldgs &amp; Rooms'!$B$19</f>
        <v>0</v>
      </c>
      <c r="C653" s="14" t="str">
        <f>Hours!$A$24</f>
        <v>Power Distribution Unit (PDU)</v>
      </c>
      <c r="D653" s="15">
        <f t="shared" si="20"/>
        <v>0</v>
      </c>
      <c r="E653" s="16">
        <f>IF('Components Yr 1'!E653=0,0,'Components Yr 1'!E653)</f>
        <v>0</v>
      </c>
      <c r="F653" s="17">
        <f>IF('Components Yr 1'!F653=0,0,'Components Yr 1'!F653)</f>
        <v>0</v>
      </c>
      <c r="G653" s="17">
        <f>IF('Components Yr 1'!G653=0,0,'Components Yr 1'!G653)</f>
        <v>0</v>
      </c>
      <c r="H653" s="17">
        <f>IF('Components Yr 1'!H653=0,0,'Components Yr 1'!H653)</f>
        <v>0</v>
      </c>
      <c r="I653" s="17">
        <f>IF('Components Yr 1'!I653=0,0,'Components Yr 1'!I653)</f>
        <v>0</v>
      </c>
      <c r="J653" s="17">
        <f>IF('Components Yr 1'!J653=0,0,'Components Yr 1'!J653)</f>
        <v>0</v>
      </c>
      <c r="K653" s="12"/>
      <c r="L653" s="12"/>
      <c r="M653" s="12"/>
      <c r="N653" s="12"/>
      <c r="O653" s="12"/>
      <c r="P653" s="12"/>
      <c r="Q653" s="17"/>
      <c r="R653" s="18">
        <f>IF(SUMPRODUCT((E653:Q653)*1)=0,0,E653*INDEX(Hours!M:M,MATCH(C653,Hours!$A:$A,0))+F653*INDEX(Hours!B:B,MATCH(C653,Hours!$A:$A,0))+G653*INDEX(Hours!C:C,MATCH(C653,Hours!$A:$A,0))+H653*INDEX(Hours!D:D,MATCH(C653,Hours!$A:$A,0))+I653*INDEX(Hours!E:E,MATCH(C653,Hours!$A:$A,0))+J653*INDEX(Hours!F:F,MATCH(C653,Hours!$A:$A,0)))</f>
        <v>0</v>
      </c>
      <c r="S653" s="19">
        <f t="shared" si="21"/>
        <v>0</v>
      </c>
    </row>
    <row r="654" spans="1:19" x14ac:dyDescent="0.25">
      <c r="A654" s="15" t="str">
        <f>'Bldgs &amp; Rooms'!$A$19</f>
        <v>Main Bldg.</v>
      </c>
      <c r="B654" s="15">
        <f>'Bldgs &amp; Rooms'!$B$19</f>
        <v>0</v>
      </c>
      <c r="C654" s="14" t="str">
        <f>Hours!$A$25</f>
        <v>Wire Trough, Gutter, or Large Junction Boxes</v>
      </c>
      <c r="D654" s="15">
        <f t="shared" si="20"/>
        <v>0</v>
      </c>
      <c r="E654" s="16">
        <f>IF('Components Yr 1'!E654=0,0,'Components Yr 1'!E654)</f>
        <v>0</v>
      </c>
      <c r="F654" s="17">
        <f>IF('Components Yr 1'!F654=0,0,'Components Yr 1'!F654)</f>
        <v>0</v>
      </c>
      <c r="G654" s="17">
        <f>IF('Components Yr 1'!G654=0,0,'Components Yr 1'!G654)</f>
        <v>0</v>
      </c>
      <c r="H654" s="17">
        <f>IF('Components Yr 1'!H654=0,0,'Components Yr 1'!H654)</f>
        <v>0</v>
      </c>
      <c r="I654" s="17">
        <f>IF('Components Yr 1'!I654=0,0,'Components Yr 1'!I654)</f>
        <v>0</v>
      </c>
      <c r="J654" s="17">
        <f>IF('Components Yr 1'!J654=0,0,'Components Yr 1'!J654)</f>
        <v>0</v>
      </c>
      <c r="K654" s="12"/>
      <c r="L654" s="12"/>
      <c r="M654" s="12"/>
      <c r="N654" s="12"/>
      <c r="O654" s="12"/>
      <c r="P654" s="12"/>
      <c r="Q654" s="17"/>
      <c r="R654" s="18">
        <f>IF(SUMPRODUCT((E654:Q654)*1)=0,0,E654*INDEX(Hours!M:M,MATCH(C654,Hours!$A:$A,0))+F654*INDEX(Hours!B:B,MATCH(C654,Hours!$A:$A,0))+G654*INDEX(Hours!C:C,MATCH(C654,Hours!$A:$A,0))+H654*INDEX(Hours!D:D,MATCH(C654,Hours!$A:$A,0))+I654*INDEX(Hours!E:E,MATCH(C654,Hours!$A:$A,0))+J654*INDEX(Hours!F:F,MATCH(C654,Hours!$A:$A,0)))</f>
        <v>0</v>
      </c>
      <c r="S654" s="19">
        <f t="shared" si="21"/>
        <v>0</v>
      </c>
    </row>
    <row r="655" spans="1:19" x14ac:dyDescent="0.25">
      <c r="A655" s="15" t="str">
        <f>'Bldgs &amp; Rooms'!$A$19</f>
        <v>Main Bldg.</v>
      </c>
      <c r="B655" s="15">
        <f>'Bldgs &amp; Rooms'!$B$19</f>
        <v>0</v>
      </c>
      <c r="C655" s="14" t="str">
        <f>Hours!$A$26</f>
        <v>Bus Duct - Vertical or Horizontal (Per 10' section)</v>
      </c>
      <c r="D655" s="15">
        <f t="shared" si="20"/>
        <v>0</v>
      </c>
      <c r="E655" s="16">
        <f>IF('Components Yr 1'!E655=0,0,'Components Yr 1'!E655)</f>
        <v>0</v>
      </c>
      <c r="F655" s="17">
        <f>IF('Components Yr 1'!F655=0,0,'Components Yr 1'!F655)</f>
        <v>0</v>
      </c>
      <c r="G655" s="17">
        <f>IF('Components Yr 1'!G655=0,0,'Components Yr 1'!G655)</f>
        <v>0</v>
      </c>
      <c r="H655" s="17">
        <f>IF('Components Yr 1'!H655=0,0,'Components Yr 1'!H655)</f>
        <v>0</v>
      </c>
      <c r="I655" s="17">
        <f>IF('Components Yr 1'!I655=0,0,'Components Yr 1'!I655)</f>
        <v>0</v>
      </c>
      <c r="J655" s="17">
        <f>IF('Components Yr 1'!J655=0,0,'Components Yr 1'!J655)</f>
        <v>0</v>
      </c>
      <c r="K655" s="12"/>
      <c r="L655" s="12"/>
      <c r="M655" s="12"/>
      <c r="N655" s="12"/>
      <c r="O655" s="12"/>
      <c r="P655" s="12"/>
      <c r="Q655" s="17"/>
      <c r="R655" s="18">
        <f>IF(SUMPRODUCT((E655:Q655)*1)=0,0,E655*INDEX(Hours!M:M,MATCH(C655,Hours!$A:$A,0))+F655*INDEX(Hours!B:B,MATCH(C655,Hours!$A:$A,0))+G655*INDEX(Hours!C:C,MATCH(C655,Hours!$A:$A,0))+H655*INDEX(Hours!D:D,MATCH(C655,Hours!$A:$A,0))+I655*INDEX(Hours!E:E,MATCH(C655,Hours!$A:$A,0))+J655*INDEX(Hours!F:F,MATCH(C655,Hours!$A:$A,0)))</f>
        <v>0</v>
      </c>
      <c r="S655" s="19">
        <f t="shared" si="21"/>
        <v>0</v>
      </c>
    </row>
    <row r="656" spans="1:19" x14ac:dyDescent="0.25">
      <c r="A656" s="15" t="str">
        <f>'Bldgs &amp; Rooms'!$A$19</f>
        <v>Main Bldg.</v>
      </c>
      <c r="B656" s="15">
        <f>'Bldgs &amp; Rooms'!$B$19</f>
        <v>0</v>
      </c>
      <c r="C656" s="14" t="str">
        <f>Hours!$A$27</f>
        <v>Automatic Transfer Switch (ATS) &gt; 100A</v>
      </c>
      <c r="D656" s="15">
        <f t="shared" si="20"/>
        <v>0</v>
      </c>
      <c r="E656" s="16">
        <f>IF('Components Yr 1'!E656=0,0,'Components Yr 1'!E656)</f>
        <v>0</v>
      </c>
      <c r="F656" s="17">
        <f>IF('Components Yr 1'!F656=0,0,'Components Yr 1'!F656)</f>
        <v>0</v>
      </c>
      <c r="G656" s="17">
        <f>IF('Components Yr 1'!G656=0,0,'Components Yr 1'!G656)</f>
        <v>0</v>
      </c>
      <c r="H656" s="17">
        <f>IF('Components Yr 1'!H656=0,0,'Components Yr 1'!H656)</f>
        <v>0</v>
      </c>
      <c r="I656" s="17">
        <f>IF('Components Yr 1'!I656=0,0,'Components Yr 1'!I656)</f>
        <v>0</v>
      </c>
      <c r="J656" s="17">
        <f>IF('Components Yr 1'!J656=0,0,'Components Yr 1'!J656)</f>
        <v>0</v>
      </c>
      <c r="K656" s="12"/>
      <c r="L656" s="12"/>
      <c r="M656" s="12"/>
      <c r="N656" s="12"/>
      <c r="O656" s="12"/>
      <c r="P656" s="12"/>
      <c r="Q656" s="17"/>
      <c r="R656" s="18">
        <f>IF(SUMPRODUCT((E656:Q656)*1)=0,0,E656*INDEX(Hours!M:M,MATCH(C656,Hours!$A:$A,0))+F656*INDEX(Hours!B:B,MATCH(C656,Hours!$A:$A,0))+G656*INDEX(Hours!C:C,MATCH(C656,Hours!$A:$A,0))+H656*INDEX(Hours!D:D,MATCH(C656,Hours!$A:$A,0))+I656*INDEX(Hours!E:E,MATCH(C656,Hours!$A:$A,0))+J656*INDEX(Hours!F:F,MATCH(C656,Hours!$A:$A,0)))</f>
        <v>0</v>
      </c>
      <c r="S656" s="19">
        <f t="shared" si="21"/>
        <v>0</v>
      </c>
    </row>
    <row r="657" spans="1:19" x14ac:dyDescent="0.25">
      <c r="A657" s="15" t="str">
        <f>'Bldgs &amp; Rooms'!$A$19</f>
        <v>Main Bldg.</v>
      </c>
      <c r="B657" s="15">
        <f>'Bldgs &amp; Rooms'!$B$19</f>
        <v>0</v>
      </c>
      <c r="C657" s="14" t="str">
        <f>Hours!$A$28</f>
        <v>Manual Transfer Switch (MTS) &gt; 100A</v>
      </c>
      <c r="D657" s="15">
        <f t="shared" si="20"/>
        <v>0</v>
      </c>
      <c r="E657" s="16">
        <f>IF('Components Yr 1'!E657=0,0,'Components Yr 1'!E657)</f>
        <v>0</v>
      </c>
      <c r="F657" s="17">
        <f>IF('Components Yr 1'!F657=0,0,'Components Yr 1'!F657)</f>
        <v>0</v>
      </c>
      <c r="G657" s="17">
        <f>IF('Components Yr 1'!G657=0,0,'Components Yr 1'!G657)</f>
        <v>0</v>
      </c>
      <c r="H657" s="17">
        <f>IF('Components Yr 1'!H657=0,0,'Components Yr 1'!H657)</f>
        <v>0</v>
      </c>
      <c r="I657" s="17">
        <f>IF('Components Yr 1'!I657=0,0,'Components Yr 1'!I657)</f>
        <v>0</v>
      </c>
      <c r="J657" s="17">
        <f>IF('Components Yr 1'!J657=0,0,'Components Yr 1'!J657)</f>
        <v>0</v>
      </c>
      <c r="K657" s="12"/>
      <c r="L657" s="12"/>
      <c r="M657" s="12"/>
      <c r="N657" s="12"/>
      <c r="O657" s="12"/>
      <c r="P657" s="12"/>
      <c r="Q657" s="17"/>
      <c r="R657" s="18">
        <f>IF(SUMPRODUCT((E657:Q657)*1)=0,0,E657*INDEX(Hours!M:M,MATCH(C657,Hours!$A:$A,0))+F657*INDEX(Hours!B:B,MATCH(C657,Hours!$A:$A,0))+G657*INDEX(Hours!C:C,MATCH(C657,Hours!$A:$A,0))+H657*INDEX(Hours!D:D,MATCH(C657,Hours!$A:$A,0))+I657*INDEX(Hours!E:E,MATCH(C657,Hours!$A:$A,0))+J657*INDEX(Hours!F:F,MATCH(C657,Hours!$A:$A,0)))</f>
        <v>0</v>
      </c>
      <c r="S657" s="19">
        <f t="shared" si="21"/>
        <v>0</v>
      </c>
    </row>
    <row r="658" spans="1:19" x14ac:dyDescent="0.25">
      <c r="A658" s="15" t="str">
        <f>'Bldgs &amp; Rooms'!$A$19</f>
        <v>Main Bldg.</v>
      </c>
      <c r="B658" s="15">
        <f>'Bldgs &amp; Rooms'!$B$19</f>
        <v>0</v>
      </c>
      <c r="C658" s="14" t="str">
        <f>Hours!$A$29</f>
        <v>Variable Frequency Drives (VFD) &lt; 50 HP</v>
      </c>
      <c r="D658" s="15">
        <f t="shared" si="20"/>
        <v>0</v>
      </c>
      <c r="E658" s="16">
        <f>IF('Components Yr 1'!E658=0,0,'Components Yr 1'!E658)</f>
        <v>0</v>
      </c>
      <c r="F658" s="17">
        <f>IF('Components Yr 1'!F658=0,0,'Components Yr 1'!F658)</f>
        <v>0</v>
      </c>
      <c r="G658" s="17">
        <f>IF('Components Yr 1'!G658=0,0,'Components Yr 1'!G658)</f>
        <v>0</v>
      </c>
      <c r="H658" s="17">
        <f>IF('Components Yr 1'!H658=0,0,'Components Yr 1'!H658)</f>
        <v>0</v>
      </c>
      <c r="I658" s="17">
        <f>IF('Components Yr 1'!I658=0,0,'Components Yr 1'!I658)</f>
        <v>0</v>
      </c>
      <c r="J658" s="17">
        <f>IF('Components Yr 1'!J658=0,0,'Components Yr 1'!J658)</f>
        <v>0</v>
      </c>
      <c r="K658" s="12"/>
      <c r="L658" s="12"/>
      <c r="M658" s="12"/>
      <c r="N658" s="12"/>
      <c r="O658" s="12"/>
      <c r="P658" s="12"/>
      <c r="Q658" s="17"/>
      <c r="R658" s="18">
        <f>IF(SUMPRODUCT((E658:Q658)*1)=0,0,E658*INDEX(Hours!M:M,MATCH(C658,Hours!$A:$A,0))+F658*INDEX(Hours!B:B,MATCH(C658,Hours!$A:$A,0))+G658*INDEX(Hours!C:C,MATCH(C658,Hours!$A:$A,0))+H658*INDEX(Hours!D:D,MATCH(C658,Hours!$A:$A,0))+I658*INDEX(Hours!E:E,MATCH(C658,Hours!$A:$A,0))+J658*INDEX(Hours!F:F,MATCH(C658,Hours!$A:$A,0)))</f>
        <v>0</v>
      </c>
      <c r="S658" s="19">
        <f t="shared" si="21"/>
        <v>0</v>
      </c>
    </row>
    <row r="659" spans="1:19" x14ac:dyDescent="0.25">
      <c r="A659" s="15" t="str">
        <f>'Bldgs &amp; Rooms'!$A$19</f>
        <v>Main Bldg.</v>
      </c>
      <c r="B659" s="15">
        <f>'Bldgs &amp; Rooms'!$B$19</f>
        <v>0</v>
      </c>
      <c r="C659" s="14" t="str">
        <f>Hours!$A$30</f>
        <v>Variable Frequency Drives (VFD) 51-200 HP</v>
      </c>
      <c r="D659" s="15">
        <f t="shared" si="20"/>
        <v>0</v>
      </c>
      <c r="E659" s="16">
        <f>IF('Components Yr 1'!E659=0,0,'Components Yr 1'!E659)</f>
        <v>0</v>
      </c>
      <c r="F659" s="17">
        <f>IF('Components Yr 1'!F659=0,0,'Components Yr 1'!F659)</f>
        <v>0</v>
      </c>
      <c r="G659" s="17">
        <f>IF('Components Yr 1'!G659=0,0,'Components Yr 1'!G659)</f>
        <v>0</v>
      </c>
      <c r="H659" s="17">
        <f>IF('Components Yr 1'!H659=0,0,'Components Yr 1'!H659)</f>
        <v>0</v>
      </c>
      <c r="I659" s="17">
        <f>IF('Components Yr 1'!I659=0,0,'Components Yr 1'!I659)</f>
        <v>0</v>
      </c>
      <c r="J659" s="17">
        <f>IF('Components Yr 1'!J659=0,0,'Components Yr 1'!J659)</f>
        <v>0</v>
      </c>
      <c r="K659" s="12"/>
      <c r="L659" s="12"/>
      <c r="M659" s="12"/>
      <c r="N659" s="12"/>
      <c r="O659" s="12"/>
      <c r="P659" s="12"/>
      <c r="Q659" s="17"/>
      <c r="R659" s="18">
        <f>IF(SUMPRODUCT((E659:Q659)*1)=0,0,E659*INDEX(Hours!M:M,MATCH(C659,Hours!$A:$A,0))+F659*INDEX(Hours!B:B,MATCH(C659,Hours!$A:$A,0))+G659*INDEX(Hours!C:C,MATCH(C659,Hours!$A:$A,0))+H659*INDEX(Hours!D:D,MATCH(C659,Hours!$A:$A,0))+I659*INDEX(Hours!E:E,MATCH(C659,Hours!$A:$A,0))+J659*INDEX(Hours!F:F,MATCH(C659,Hours!$A:$A,0)))</f>
        <v>0</v>
      </c>
      <c r="S659" s="19">
        <f t="shared" si="21"/>
        <v>0</v>
      </c>
    </row>
    <row r="660" spans="1:19" x14ac:dyDescent="0.25">
      <c r="A660" s="15" t="str">
        <f>'Bldgs &amp; Rooms'!$A$19</f>
        <v>Main Bldg.</v>
      </c>
      <c r="B660" s="15">
        <f>'Bldgs &amp; Rooms'!$B$19</f>
        <v>0</v>
      </c>
      <c r="C660" s="14" t="str">
        <f>Hours!$A$31</f>
        <v>Motors &lt; 50 HP</v>
      </c>
      <c r="D660" s="15">
        <f t="shared" si="20"/>
        <v>0</v>
      </c>
      <c r="E660" s="16">
        <f>IF('Components Yr 1'!E660=0,0,'Components Yr 1'!E660)</f>
        <v>0</v>
      </c>
      <c r="F660" s="17">
        <f>IF('Components Yr 1'!F660=0,0,'Components Yr 1'!F660)</f>
        <v>0</v>
      </c>
      <c r="G660" s="17">
        <f>IF('Components Yr 1'!G660=0,0,'Components Yr 1'!G660)</f>
        <v>0</v>
      </c>
      <c r="H660" s="17">
        <f>IF('Components Yr 1'!H660=0,0,'Components Yr 1'!H660)</f>
        <v>0</v>
      </c>
      <c r="I660" s="17">
        <f>IF('Components Yr 1'!I660=0,0,'Components Yr 1'!I660)</f>
        <v>0</v>
      </c>
      <c r="J660" s="17">
        <f>IF('Components Yr 1'!J660=0,0,'Components Yr 1'!J660)</f>
        <v>0</v>
      </c>
      <c r="K660" s="12"/>
      <c r="L660" s="12"/>
      <c r="M660" s="12"/>
      <c r="N660" s="12"/>
      <c r="O660" s="12"/>
      <c r="P660" s="12"/>
      <c r="Q660" s="17"/>
      <c r="R660" s="18">
        <f>IF(SUMPRODUCT((E660:Q660)*1)=0,0,E660*INDEX(Hours!M:M,MATCH(C660,Hours!$A:$A,0))+F660*INDEX(Hours!B:B,MATCH(C660,Hours!$A:$A,0))+G660*INDEX(Hours!C:C,MATCH(C660,Hours!$A:$A,0))+H660*INDEX(Hours!D:D,MATCH(C660,Hours!$A:$A,0))+I660*INDEX(Hours!E:E,MATCH(C660,Hours!$A:$A,0))+J660*INDEX(Hours!F:F,MATCH(C660,Hours!$A:$A,0)))</f>
        <v>0</v>
      </c>
      <c r="S660" s="19">
        <f t="shared" si="21"/>
        <v>0</v>
      </c>
    </row>
    <row r="661" spans="1:19" x14ac:dyDescent="0.25">
      <c r="A661" s="15" t="str">
        <f>'Bldgs &amp; Rooms'!$A$19</f>
        <v>Main Bldg.</v>
      </c>
      <c r="B661" s="15">
        <f>'Bldgs &amp; Rooms'!$B$19</f>
        <v>0</v>
      </c>
      <c r="C661" s="14" t="str">
        <f>Hours!$A$32</f>
        <v>Motors 51-200 HP</v>
      </c>
      <c r="D661" s="15">
        <f t="shared" si="20"/>
        <v>0</v>
      </c>
      <c r="E661" s="16">
        <f>IF('Components Yr 1'!E661=0,0,'Components Yr 1'!E661)</f>
        <v>0</v>
      </c>
      <c r="F661" s="17">
        <f>IF('Components Yr 1'!F661=0,0,'Components Yr 1'!F661)</f>
        <v>0</v>
      </c>
      <c r="G661" s="17">
        <f>IF('Components Yr 1'!G661=0,0,'Components Yr 1'!G661)</f>
        <v>0</v>
      </c>
      <c r="H661" s="17">
        <f>IF('Components Yr 1'!H661=0,0,'Components Yr 1'!H661)</f>
        <v>0</v>
      </c>
      <c r="I661" s="17">
        <f>IF('Components Yr 1'!I661=0,0,'Components Yr 1'!I661)</f>
        <v>0</v>
      </c>
      <c r="J661" s="17">
        <f>IF('Components Yr 1'!J661=0,0,'Components Yr 1'!J661)</f>
        <v>0</v>
      </c>
      <c r="K661" s="12"/>
      <c r="L661" s="12"/>
      <c r="M661" s="12"/>
      <c r="N661" s="12"/>
      <c r="O661" s="12"/>
      <c r="P661" s="12"/>
      <c r="Q661" s="17"/>
      <c r="R661" s="18">
        <f>IF(SUMPRODUCT((E661:Q661)*1)=0,0,E661*INDEX(Hours!M:M,MATCH(C661,Hours!$A:$A,0))+F661*INDEX(Hours!B:B,MATCH(C661,Hours!$A:$A,0))+G661*INDEX(Hours!C:C,MATCH(C661,Hours!$A:$A,0))+H661*INDEX(Hours!D:D,MATCH(C661,Hours!$A:$A,0))+I661*INDEX(Hours!E:E,MATCH(C661,Hours!$A:$A,0))+J661*INDEX(Hours!F:F,MATCH(C661,Hours!$A:$A,0)))</f>
        <v>0</v>
      </c>
      <c r="S661" s="19">
        <f t="shared" si="21"/>
        <v>0</v>
      </c>
    </row>
    <row r="662" spans="1:19" x14ac:dyDescent="0.25">
      <c r="A662" s="15" t="str">
        <f>'Bldgs &amp; Rooms'!$A$19</f>
        <v>Main Bldg.</v>
      </c>
      <c r="B662" s="15">
        <f>'Bldgs &amp; Rooms'!$B$19</f>
        <v>0</v>
      </c>
      <c r="C662" s="14" t="str">
        <f>Hours!$A$33</f>
        <v>Motors 201-500 HP</v>
      </c>
      <c r="D662" s="15">
        <f t="shared" si="20"/>
        <v>0</v>
      </c>
      <c r="E662" s="16">
        <f>IF('Components Yr 1'!E662=0,0,'Components Yr 1'!E662)</f>
        <v>0</v>
      </c>
      <c r="F662" s="17">
        <f>IF('Components Yr 1'!F662=0,0,'Components Yr 1'!F662)</f>
        <v>0</v>
      </c>
      <c r="G662" s="17">
        <f>IF('Components Yr 1'!G662=0,0,'Components Yr 1'!G662)</f>
        <v>0</v>
      </c>
      <c r="H662" s="17">
        <f>IF('Components Yr 1'!H662=0,0,'Components Yr 1'!H662)</f>
        <v>0</v>
      </c>
      <c r="I662" s="17">
        <f>IF('Components Yr 1'!I662=0,0,'Components Yr 1'!I662)</f>
        <v>0</v>
      </c>
      <c r="J662" s="17">
        <f>IF('Components Yr 1'!J662=0,0,'Components Yr 1'!J662)</f>
        <v>0</v>
      </c>
      <c r="K662" s="12"/>
      <c r="L662" s="12"/>
      <c r="M662" s="12"/>
      <c r="N662" s="12"/>
      <c r="O662" s="12"/>
      <c r="P662" s="12"/>
      <c r="Q662" s="17"/>
      <c r="R662" s="18">
        <f>IF(SUMPRODUCT((E662:Q662)*1)=0,0,E662*INDEX(Hours!M:M,MATCH(C662,Hours!$A:$A,0))+F662*INDEX(Hours!B:B,MATCH(C662,Hours!$A:$A,0))+G662*INDEX(Hours!C:C,MATCH(C662,Hours!$A:$A,0))+H662*INDEX(Hours!D:D,MATCH(C662,Hours!$A:$A,0))+I662*INDEX(Hours!E:E,MATCH(C662,Hours!$A:$A,0))+J662*INDEX(Hours!F:F,MATCH(C662,Hours!$A:$A,0)))</f>
        <v>0</v>
      </c>
      <c r="S662" s="19">
        <f t="shared" si="21"/>
        <v>0</v>
      </c>
    </row>
    <row r="663" spans="1:19" x14ac:dyDescent="0.25">
      <c r="A663" s="15" t="str">
        <f>'Bldgs &amp; Rooms'!$A$19</f>
        <v>Main Bldg.</v>
      </c>
      <c r="B663" s="15">
        <f>'Bldgs &amp; Rooms'!$B$19</f>
        <v>0</v>
      </c>
      <c r="C663" s="14" t="str">
        <f>Hours!$A$34</f>
        <v>Compressed Air Equipment</v>
      </c>
      <c r="D663" s="15">
        <f t="shared" si="20"/>
        <v>0</v>
      </c>
      <c r="E663" s="16">
        <f>IF('Components Yr 1'!E663=0,0,'Components Yr 1'!E663)</f>
        <v>0</v>
      </c>
      <c r="F663" s="17">
        <f>IF('Components Yr 1'!F663=0,0,'Components Yr 1'!F663)</f>
        <v>0</v>
      </c>
      <c r="G663" s="17">
        <f>IF('Components Yr 1'!G663=0,0,'Components Yr 1'!G663)</f>
        <v>0</v>
      </c>
      <c r="H663" s="17">
        <f>IF('Components Yr 1'!H663=0,0,'Components Yr 1'!H663)</f>
        <v>0</v>
      </c>
      <c r="I663" s="17">
        <f>IF('Components Yr 1'!I663=0,0,'Components Yr 1'!I663)</f>
        <v>0</v>
      </c>
      <c r="J663" s="17">
        <f>IF('Components Yr 1'!J663=0,0,'Components Yr 1'!J663)</f>
        <v>0</v>
      </c>
      <c r="K663" s="12"/>
      <c r="L663" s="12"/>
      <c r="M663" s="12"/>
      <c r="N663" s="12"/>
      <c r="O663" s="12"/>
      <c r="P663" s="12"/>
      <c r="Q663" s="17"/>
      <c r="R663" s="18">
        <f>IF(SUMPRODUCT((E663:Q663)*1)=0,0,E663*INDEX(Hours!M:M,MATCH(C663,Hours!$A:$A,0))+F663*INDEX(Hours!B:B,MATCH(C663,Hours!$A:$A,0))+G663*INDEX(Hours!C:C,MATCH(C663,Hours!$A:$A,0))+H663*INDEX(Hours!D:D,MATCH(C663,Hours!$A:$A,0))+I663*INDEX(Hours!E:E,MATCH(C663,Hours!$A:$A,0))+J663*INDEX(Hours!F:F,MATCH(C663,Hours!$A:$A,0)))</f>
        <v>0</v>
      </c>
      <c r="S663" s="19">
        <f t="shared" si="21"/>
        <v>0</v>
      </c>
    </row>
    <row r="664" spans="1:19" x14ac:dyDescent="0.25">
      <c r="A664" s="15" t="str">
        <f>'Bldgs &amp; Rooms'!$A$19</f>
        <v>Main Bldg.</v>
      </c>
      <c r="B664" s="15">
        <f>'Bldgs &amp; Rooms'!$B$19</f>
        <v>0</v>
      </c>
      <c r="C664" s="14" t="str">
        <f>Hours!$A$35</f>
        <v>HVAC Equipment (Large)</v>
      </c>
      <c r="D664" s="15">
        <f t="shared" si="20"/>
        <v>0</v>
      </c>
      <c r="E664" s="16">
        <f>IF('Components Yr 1'!E664=0,0,'Components Yr 1'!E664)</f>
        <v>0</v>
      </c>
      <c r="F664" s="17">
        <f>IF('Components Yr 1'!F664=0,0,'Components Yr 1'!F664)</f>
        <v>0</v>
      </c>
      <c r="G664" s="17">
        <f>IF('Components Yr 1'!G664=0,0,'Components Yr 1'!G664)</f>
        <v>0</v>
      </c>
      <c r="H664" s="17">
        <f>IF('Components Yr 1'!H664=0,0,'Components Yr 1'!H664)</f>
        <v>0</v>
      </c>
      <c r="I664" s="17">
        <f>IF('Components Yr 1'!I664=0,0,'Components Yr 1'!I664)</f>
        <v>0</v>
      </c>
      <c r="J664" s="17">
        <f>IF('Components Yr 1'!J664=0,0,'Components Yr 1'!J664)</f>
        <v>0</v>
      </c>
      <c r="K664" s="12"/>
      <c r="L664" s="12"/>
      <c r="M664" s="12"/>
      <c r="N664" s="12"/>
      <c r="O664" s="12"/>
      <c r="P664" s="12"/>
      <c r="Q664" s="17"/>
      <c r="R664" s="18">
        <f>IF(SUMPRODUCT((E664:Q664)*1)=0,0,E664*INDEX(Hours!M:M,MATCH(C664,Hours!$A:$A,0))+F664*INDEX(Hours!B:B,MATCH(C664,Hours!$A:$A,0))+G664*INDEX(Hours!C:C,MATCH(C664,Hours!$A:$A,0))+H664*INDEX(Hours!D:D,MATCH(C664,Hours!$A:$A,0))+I664*INDEX(Hours!E:E,MATCH(C664,Hours!$A:$A,0))+J664*INDEX(Hours!F:F,MATCH(C664,Hours!$A:$A,0)))</f>
        <v>0</v>
      </c>
      <c r="S664" s="19">
        <f t="shared" si="21"/>
        <v>0</v>
      </c>
    </row>
    <row r="665" spans="1:19" x14ac:dyDescent="0.25">
      <c r="A665" s="15" t="str">
        <f>'Bldgs &amp; Rooms'!$A$19</f>
        <v>Main Bldg.</v>
      </c>
      <c r="B665" s="15">
        <f>'Bldgs &amp; Rooms'!$B$19</f>
        <v>0</v>
      </c>
      <c r="C665" s="14" t="str">
        <f>Hours!$A$36</f>
        <v>HVAC Equipment (Small)</v>
      </c>
      <c r="D665" s="15">
        <f t="shared" si="20"/>
        <v>0</v>
      </c>
      <c r="E665" s="16">
        <f>IF('Components Yr 1'!E665=0,0,'Components Yr 1'!E665)</f>
        <v>0</v>
      </c>
      <c r="F665" s="17">
        <f>IF('Components Yr 1'!F665=0,0,'Components Yr 1'!F665)</f>
        <v>0</v>
      </c>
      <c r="G665" s="17">
        <f>IF('Components Yr 1'!G665=0,0,'Components Yr 1'!G665)</f>
        <v>0</v>
      </c>
      <c r="H665" s="17">
        <f>IF('Components Yr 1'!H665=0,0,'Components Yr 1'!H665)</f>
        <v>0</v>
      </c>
      <c r="I665" s="17">
        <f>IF('Components Yr 1'!I665=0,0,'Components Yr 1'!I665)</f>
        <v>0</v>
      </c>
      <c r="J665" s="17">
        <f>IF('Components Yr 1'!J665=0,0,'Components Yr 1'!J665)</f>
        <v>0</v>
      </c>
      <c r="K665" s="12"/>
      <c r="L665" s="12"/>
      <c r="M665" s="12"/>
      <c r="N665" s="12"/>
      <c r="O665" s="12"/>
      <c r="P665" s="12"/>
      <c r="Q665" s="17"/>
      <c r="R665" s="18">
        <f>IF(SUMPRODUCT((E665:Q665)*1)=0,0,E665*INDEX(Hours!M:M,MATCH(C665,Hours!$A:$A,0))+F665*INDEX(Hours!B:B,MATCH(C665,Hours!$A:$A,0))+G665*INDEX(Hours!C:C,MATCH(C665,Hours!$A:$A,0))+H665*INDEX(Hours!D:D,MATCH(C665,Hours!$A:$A,0))+I665*INDEX(Hours!E:E,MATCH(C665,Hours!$A:$A,0))+J665*INDEX(Hours!F:F,MATCH(C665,Hours!$A:$A,0)))</f>
        <v>0</v>
      </c>
      <c r="S665" s="19">
        <f t="shared" si="21"/>
        <v>0</v>
      </c>
    </row>
    <row r="666" spans="1:19" x14ac:dyDescent="0.25">
      <c r="A666" s="15" t="str">
        <f>'Bldgs &amp; Rooms'!$A$19</f>
        <v>Main Bldg.</v>
      </c>
      <c r="B666" s="15">
        <f>'Bldgs &amp; Rooms'!$B$19</f>
        <v>0</v>
      </c>
      <c r="C666" s="14" t="str">
        <f>Hours!$A$37</f>
        <v>Uninterruptible Power Supply (UPS) &lt; 50kVA</v>
      </c>
      <c r="D666" s="15">
        <f t="shared" si="20"/>
        <v>0</v>
      </c>
      <c r="E666" s="16">
        <f>IF('Components Yr 1'!E666=0,0,'Components Yr 1'!E666)</f>
        <v>0</v>
      </c>
      <c r="F666" s="17">
        <f>IF('Components Yr 1'!F666=0,0,'Components Yr 1'!F666)</f>
        <v>0</v>
      </c>
      <c r="G666" s="17">
        <f>IF('Components Yr 1'!G666=0,0,'Components Yr 1'!G666)</f>
        <v>0</v>
      </c>
      <c r="H666" s="17">
        <f>IF('Components Yr 1'!H666=0,0,'Components Yr 1'!H666)</f>
        <v>0</v>
      </c>
      <c r="I666" s="17">
        <f>IF('Components Yr 1'!I666=0,0,'Components Yr 1'!I666)</f>
        <v>0</v>
      </c>
      <c r="J666" s="17">
        <f>IF('Components Yr 1'!J666=0,0,'Components Yr 1'!J666)</f>
        <v>0</v>
      </c>
      <c r="K666" s="12"/>
      <c r="L666" s="12"/>
      <c r="M666" s="12"/>
      <c r="N666" s="12"/>
      <c r="O666" s="12"/>
      <c r="P666" s="12"/>
      <c r="Q666" s="17"/>
      <c r="R666" s="18">
        <f>IF(SUMPRODUCT((E666:Q666)*1)=0,0,E666*INDEX(Hours!M:M,MATCH(C666,Hours!$A:$A,0))+F666*INDEX(Hours!B:B,MATCH(C666,Hours!$A:$A,0))+G666*INDEX(Hours!C:C,MATCH(C666,Hours!$A:$A,0))+H666*INDEX(Hours!D:D,MATCH(C666,Hours!$A:$A,0))+I666*INDEX(Hours!E:E,MATCH(C666,Hours!$A:$A,0))+J666*INDEX(Hours!F:F,MATCH(C666,Hours!$A:$A,0)))</f>
        <v>0</v>
      </c>
      <c r="S666" s="19">
        <f t="shared" si="21"/>
        <v>0</v>
      </c>
    </row>
    <row r="667" spans="1:19" x14ac:dyDescent="0.25">
      <c r="A667" s="15" t="str">
        <f>'Bldgs &amp; Rooms'!$A$19</f>
        <v>Main Bldg.</v>
      </c>
      <c r="B667" s="15">
        <f>'Bldgs &amp; Rooms'!$B$19</f>
        <v>0</v>
      </c>
      <c r="C667" s="14" t="str">
        <f>Hours!$A$38</f>
        <v>Uninterruptible Power Supply (UPS) &gt; 50kVA</v>
      </c>
      <c r="D667" s="15">
        <f t="shared" si="20"/>
        <v>0</v>
      </c>
      <c r="E667" s="16">
        <f>IF('Components Yr 1'!E667=0,0,'Components Yr 1'!E667)</f>
        <v>0</v>
      </c>
      <c r="F667" s="17">
        <f>IF('Components Yr 1'!F667=0,0,'Components Yr 1'!F667)</f>
        <v>0</v>
      </c>
      <c r="G667" s="17">
        <f>IF('Components Yr 1'!G667=0,0,'Components Yr 1'!G667)</f>
        <v>0</v>
      </c>
      <c r="H667" s="17">
        <f>IF('Components Yr 1'!H667=0,0,'Components Yr 1'!H667)</f>
        <v>0</v>
      </c>
      <c r="I667" s="17">
        <f>IF('Components Yr 1'!I667=0,0,'Components Yr 1'!I667)</f>
        <v>0</v>
      </c>
      <c r="J667" s="17">
        <f>IF('Components Yr 1'!J667=0,0,'Components Yr 1'!J667)</f>
        <v>0</v>
      </c>
      <c r="K667" s="12"/>
      <c r="L667" s="12"/>
      <c r="M667" s="12"/>
      <c r="N667" s="12"/>
      <c r="O667" s="12"/>
      <c r="P667" s="12"/>
      <c r="Q667" s="17"/>
      <c r="R667" s="18">
        <f>IF(SUMPRODUCT((E667:Q667)*1)=0,0,E667*INDEX(Hours!M:M,MATCH(C667,Hours!$A:$A,0))+F667*INDEX(Hours!B:B,MATCH(C667,Hours!$A:$A,0))+G667*INDEX(Hours!C:C,MATCH(C667,Hours!$A:$A,0))+H667*INDEX(Hours!D:D,MATCH(C667,Hours!$A:$A,0))+I667*INDEX(Hours!E:E,MATCH(C667,Hours!$A:$A,0))+J667*INDEX(Hours!F:F,MATCH(C667,Hours!$A:$A,0)))</f>
        <v>0</v>
      </c>
      <c r="S667" s="19">
        <f t="shared" si="21"/>
        <v>0</v>
      </c>
    </row>
    <row r="668" spans="1:19" x14ac:dyDescent="0.25">
      <c r="A668" s="11" t="str">
        <f>'Bldgs &amp; Rooms'!$A$20</f>
        <v>Main Bldg.</v>
      </c>
      <c r="B668" s="11">
        <f>'Bldgs &amp; Rooms'!$B$20</f>
        <v>0</v>
      </c>
      <c r="C668" s="10" t="str">
        <f>Hours!$A$2</f>
        <v>Switchgear - Incoming Main Service (Per Section)</v>
      </c>
      <c r="D668" s="11">
        <f t="shared" si="20"/>
        <v>0</v>
      </c>
      <c r="E668" s="16">
        <f>IF('Components Yr 1'!E668=0,0,'Components Yr 1'!E668)</f>
        <v>0</v>
      </c>
      <c r="F668" s="17">
        <f>IF('Components Yr 1'!F668=0,0,'Components Yr 1'!F668)</f>
        <v>0</v>
      </c>
      <c r="G668" s="17">
        <f>IF('Components Yr 1'!G668=0,0,'Components Yr 1'!G668)</f>
        <v>0</v>
      </c>
      <c r="H668" s="17">
        <f>IF('Components Yr 1'!H668=0,0,'Components Yr 1'!H668)</f>
        <v>0</v>
      </c>
      <c r="I668" s="17">
        <f>IF('Components Yr 1'!I668=0,0,'Components Yr 1'!I668)</f>
        <v>0</v>
      </c>
      <c r="J668" s="17">
        <f>IF('Components Yr 1'!J668=0,0,'Components Yr 1'!J668)</f>
        <v>0</v>
      </c>
      <c r="K668" s="17">
        <f>IF('Components Yr 1'!K668=0,0,'Components Yr 1'!K668)</f>
        <v>0</v>
      </c>
      <c r="L668" s="17">
        <f>IF('Components Yr 1'!L668=0,0,'Components Yr 1'!L668)</f>
        <v>0</v>
      </c>
      <c r="M668" s="12"/>
      <c r="N668" s="12"/>
      <c r="O668" s="17">
        <f>IF('Components Yr 1'!O668=0,0,'Components Yr 1'!O668)</f>
        <v>0</v>
      </c>
      <c r="P668" s="12"/>
      <c r="Q668" s="17"/>
      <c r="R668" s="18">
        <f>IF(SUMPRODUCT((E668:Q668)*1)=0,0,E668*INDEX(Hours!M:M,MATCH(C668,Hours!$A:$A,0))+F668*INDEX(Hours!B:B,MATCH(C668,Hours!$A:$A,0))+G668*INDEX(Hours!C:C,MATCH(C668,Hours!$A:$A,0))+H668*INDEX(Hours!D:D,MATCH(C668,Hours!$A:$A,0))+I668*INDEX(Hours!E:E,MATCH(C668,Hours!$A:$A,0))+J668*INDEX(Hours!F:F,MATCH(C668,Hours!$A:$A,0))+K668*INDEX(Hours!G:G,MATCH(C668,Hours!$A:$A,0))+L668*INDEX(Hours!H:H,MATCH(C668,Hours!$A:$A,0))+O668*INDEX(Hours!K:K,MATCH(C668,Hours!$A:$A,0)))</f>
        <v>0</v>
      </c>
      <c r="S668" s="19">
        <f t="shared" si="21"/>
        <v>0</v>
      </c>
    </row>
    <row r="669" spans="1:19" x14ac:dyDescent="0.25">
      <c r="A669" s="11" t="str">
        <f>'Bldgs &amp; Rooms'!$A$20</f>
        <v>Main Bldg.</v>
      </c>
      <c r="B669" s="11">
        <f>'Bldgs &amp; Rooms'!$B$20</f>
        <v>0</v>
      </c>
      <c r="C669" s="10" t="str">
        <f>Hours!$A$3</f>
        <v xml:space="preserve">  Switchgear Insulated Case Breakers (Bus Mounted)</v>
      </c>
      <c r="D669" s="11">
        <f t="shared" si="20"/>
        <v>0</v>
      </c>
      <c r="E669" s="16">
        <f>IF('Components Yr 1'!E669=0,0,'Components Yr 1'!E669)</f>
        <v>0</v>
      </c>
      <c r="F669" s="17">
        <f>IF('Components Yr 1'!F669=0,0,'Components Yr 1'!F669)</f>
        <v>0</v>
      </c>
      <c r="G669" s="17">
        <f>IF('Components Yr 1'!G669=0,0,'Components Yr 1'!G669)</f>
        <v>0</v>
      </c>
      <c r="H669" s="17">
        <f>IF('Components Yr 1'!H669=0,0,'Components Yr 1'!H669)</f>
        <v>0</v>
      </c>
      <c r="I669" s="17">
        <f>IF('Components Yr 1'!I669=0,0,'Components Yr 1'!I669)</f>
        <v>0</v>
      </c>
      <c r="J669" s="17">
        <f>IF('Components Yr 1'!J669=0,0,'Components Yr 1'!J669)</f>
        <v>0</v>
      </c>
      <c r="K669" s="17">
        <f>IF('Components Yr 1'!K669=0,0,'Components Yr 1'!K669)</f>
        <v>0</v>
      </c>
      <c r="L669" s="12"/>
      <c r="M669" s="12"/>
      <c r="N669" s="12"/>
      <c r="O669" s="12"/>
      <c r="P669" s="12"/>
      <c r="Q669" s="17"/>
      <c r="R669" s="18">
        <f>IF(SUMPRODUCT((E669:Q669)*1)=0,0,E669*INDEX(Hours!M:M,MATCH(C669,Hours!$A:$A,0))+F669*INDEX(Hours!B:B,MATCH(C669,Hours!$A:$A,0))+G669*INDEX(Hours!C:C,MATCH(C669,Hours!$A:$A,0))+H669*INDEX(Hours!D:D,MATCH(C669,Hours!$A:$A,0))+I669*INDEX(Hours!E:E,MATCH(C669,Hours!$A:$A,0))+J669*INDEX(Hours!F:F,MATCH(C669,Hours!$A:$A,0))+K669*INDEX(Hours!G:G,MATCH(C669,Hours!$A:$A,0)))</f>
        <v>0</v>
      </c>
      <c r="S669" s="19">
        <f t="shared" si="21"/>
        <v>0</v>
      </c>
    </row>
    <row r="670" spans="1:19" x14ac:dyDescent="0.25">
      <c r="A670" s="11" t="str">
        <f>'Bldgs &amp; Rooms'!$A$20</f>
        <v>Main Bldg.</v>
      </c>
      <c r="B670" s="11">
        <f>'Bldgs &amp; Rooms'!$B$20</f>
        <v>0</v>
      </c>
      <c r="C670" s="10" t="str">
        <f>Hours!$A$4</f>
        <v xml:space="preserve">  SwitchGear Drawout Breakers</v>
      </c>
      <c r="D670" s="11">
        <f t="shared" si="20"/>
        <v>0</v>
      </c>
      <c r="E670" s="16">
        <f>IF('Components Yr 1'!E670=0,0,'Components Yr 1'!E670)</f>
        <v>0</v>
      </c>
      <c r="F670" s="17">
        <f>IF('Components Yr 1'!F670=0,0,'Components Yr 1'!F670)</f>
        <v>0</v>
      </c>
      <c r="G670" s="17">
        <f>IF('Components Yr 1'!G670=0,0,'Components Yr 1'!G670)</f>
        <v>0</v>
      </c>
      <c r="H670" s="17">
        <f>IF('Components Yr 1'!H670=0,0,'Components Yr 1'!H670)</f>
        <v>0</v>
      </c>
      <c r="I670" s="17">
        <f>IF('Components Yr 1'!I670=0,0,'Components Yr 1'!I670)</f>
        <v>0</v>
      </c>
      <c r="J670" s="17">
        <f>IF('Components Yr 1'!J670=0,0,'Components Yr 1'!J670)</f>
        <v>0</v>
      </c>
      <c r="K670" s="12"/>
      <c r="L670" s="17">
        <f>IF('Components Yr 1'!L670=0,0,'Components Yr 1'!L670)</f>
        <v>0</v>
      </c>
      <c r="M670" s="12"/>
      <c r="N670" s="12"/>
      <c r="O670" s="12"/>
      <c r="P670" s="12"/>
      <c r="Q670" s="17"/>
      <c r="R670" s="18">
        <f>IF(SUMPRODUCT((E670:Q670)*1)=0,0,E670*INDEX(Hours!M:M,MATCH(C670,Hours!$A:$A,0))+F670*INDEX(Hours!B:B,MATCH(C670,Hours!$A:$A,0))+G670*INDEX(Hours!C:C,MATCH(C670,Hours!$A:$A,0))+H670*INDEX(Hours!D:D,MATCH(C670,Hours!$A:$A,0))+I670*INDEX(Hours!E:E,MATCH(C670,Hours!$A:$A,0))+J670*INDEX(Hours!F:F,MATCH(C670,Hours!$A:$A,0))+L670*INDEX(Hours!H:H,MATCH(C670,Hours!$A:$A,0)))</f>
        <v>0</v>
      </c>
      <c r="S670" s="19">
        <f t="shared" si="21"/>
        <v>0</v>
      </c>
    </row>
    <row r="671" spans="1:19" x14ac:dyDescent="0.25">
      <c r="A671" s="11" t="str">
        <f>'Bldgs &amp; Rooms'!$A$20</f>
        <v>Main Bldg.</v>
      </c>
      <c r="B671" s="11">
        <f>'Bldgs &amp; Rooms'!$B$20</f>
        <v>0</v>
      </c>
      <c r="C671" s="10" t="str">
        <f>Hours!$A$5</f>
        <v>Distribution Switchboard Multi Cover (Per Section)</v>
      </c>
      <c r="D671" s="11">
        <f t="shared" si="20"/>
        <v>0</v>
      </c>
      <c r="E671" s="16">
        <f>IF('Components Yr 1'!E671=0,0,'Components Yr 1'!E671)</f>
        <v>0</v>
      </c>
      <c r="F671" s="17">
        <f>IF('Components Yr 1'!F671=0,0,'Components Yr 1'!F671)</f>
        <v>0</v>
      </c>
      <c r="G671" s="17">
        <f>IF('Components Yr 1'!G671=0,0,'Components Yr 1'!G671)</f>
        <v>0</v>
      </c>
      <c r="H671" s="17">
        <f>IF('Components Yr 1'!H671=0,0,'Components Yr 1'!H671)</f>
        <v>0</v>
      </c>
      <c r="I671" s="17">
        <f>IF('Components Yr 1'!I671=0,0,'Components Yr 1'!I671)</f>
        <v>0</v>
      </c>
      <c r="J671" s="17">
        <f>IF('Components Yr 1'!J671=0,0,'Components Yr 1'!J671)</f>
        <v>0</v>
      </c>
      <c r="K671" s="17">
        <f>IF('Components Yr 1'!K671=0,0,'Components Yr 1'!K671)</f>
        <v>0</v>
      </c>
      <c r="L671" s="12"/>
      <c r="M671" s="12"/>
      <c r="N671" s="12"/>
      <c r="O671" s="17">
        <f>IF('Components Yr 1'!O671=0,0,'Components Yr 1'!O671)</f>
        <v>0</v>
      </c>
      <c r="P671" s="12"/>
      <c r="Q671" s="17"/>
      <c r="R671" s="18">
        <f>IF(SUMPRODUCT((E671:Q671)*1)=0,0,E671*INDEX(Hours!M:M,MATCH(C671,Hours!$A:$A,0))+F671*INDEX(Hours!B:B,MATCH(C671,Hours!$A:$A,0))+G671*INDEX(Hours!C:C,MATCH(C671,Hours!$A:$A,0))+H671*INDEX(Hours!D:D,MATCH(C671,Hours!$A:$A,0))+I671*INDEX(Hours!E:E,MATCH(C671,Hours!$A:$A,0))+J671*INDEX(Hours!F:F,MATCH(C671,Hours!$A:$A,0))+K671*INDEX(Hours!G:G,MATCH(C671,Hours!$A:$A,0))+O671*INDEX(Hours!K:K,MATCH(C671,Hours!$A:$A,0)))</f>
        <v>0</v>
      </c>
      <c r="S671" s="19">
        <f t="shared" si="21"/>
        <v>0</v>
      </c>
    </row>
    <row r="672" spans="1:19" x14ac:dyDescent="0.25">
      <c r="A672" s="11" t="str">
        <f>'Bldgs &amp; Rooms'!$A$20</f>
        <v>Main Bldg.</v>
      </c>
      <c r="B672" s="11">
        <f>'Bldgs &amp; Rooms'!$B$20</f>
        <v>0</v>
      </c>
      <c r="C672" s="10" t="str">
        <f>Hours!$A$6</f>
        <v xml:space="preserve">  Switchboard Disconnects</v>
      </c>
      <c r="D672" s="11">
        <f t="shared" si="20"/>
        <v>0</v>
      </c>
      <c r="E672" s="16">
        <f>IF('Components Yr 1'!E672=0,0,'Components Yr 1'!E672)</f>
        <v>0</v>
      </c>
      <c r="F672" s="17">
        <f>IF('Components Yr 1'!F672=0,0,'Components Yr 1'!F672)</f>
        <v>0</v>
      </c>
      <c r="G672" s="17">
        <f>IF('Components Yr 1'!G672=0,0,'Components Yr 1'!G672)</f>
        <v>0</v>
      </c>
      <c r="H672" s="17">
        <f>IF('Components Yr 1'!H672=0,0,'Components Yr 1'!H672)</f>
        <v>0</v>
      </c>
      <c r="I672" s="17">
        <f>IF('Components Yr 1'!I672=0,0,'Components Yr 1'!I672)</f>
        <v>0</v>
      </c>
      <c r="J672" s="17">
        <f>IF('Components Yr 1'!J672=0,0,'Components Yr 1'!J672)</f>
        <v>0</v>
      </c>
      <c r="K672" s="12"/>
      <c r="L672" s="12"/>
      <c r="M672" s="12"/>
      <c r="N672" s="12"/>
      <c r="O672" s="12"/>
      <c r="P672" s="12"/>
      <c r="Q672" s="17"/>
      <c r="R672" s="18">
        <f>IF(SUMPRODUCT((E672:Q672)*1)=0,0,E672*INDEX(Hours!M:M,MATCH(C672,Hours!$A:$A,0))+F672*INDEX(Hours!B:B,MATCH(C672,Hours!$A:$A,0))+G672*INDEX(Hours!C:C,MATCH(C672,Hours!$A:$A,0))+H672*INDEX(Hours!D:D,MATCH(C672,Hours!$A:$A,0))+I672*INDEX(Hours!E:E,MATCH(C672,Hours!$A:$A,0))+J672*INDEX(Hours!F:F,MATCH(C672,Hours!$A:$A,0)))</f>
        <v>0</v>
      </c>
      <c r="S672" s="19">
        <f t="shared" si="21"/>
        <v>0</v>
      </c>
    </row>
    <row r="673" spans="1:19" x14ac:dyDescent="0.25">
      <c r="A673" s="11" t="str">
        <f>'Bldgs &amp; Rooms'!$A$20</f>
        <v>Main Bldg.</v>
      </c>
      <c r="B673" s="11">
        <f>'Bldgs &amp; Rooms'!$B$20</f>
        <v>0</v>
      </c>
      <c r="C673" s="10" t="str">
        <f>Hours!$A$7</f>
        <v xml:space="preserve">  Switchboard Molded Case Breakers</v>
      </c>
      <c r="D673" s="11">
        <f t="shared" si="20"/>
        <v>0</v>
      </c>
      <c r="E673" s="16">
        <f>IF('Components Yr 1'!E673=0,0,'Components Yr 1'!E673)</f>
        <v>0</v>
      </c>
      <c r="F673" s="17">
        <f>IF('Components Yr 1'!F673=0,0,'Components Yr 1'!F673)</f>
        <v>0</v>
      </c>
      <c r="G673" s="17">
        <f>IF('Components Yr 1'!G673=0,0,'Components Yr 1'!G673)</f>
        <v>0</v>
      </c>
      <c r="H673" s="17">
        <f>IF('Components Yr 1'!H673=0,0,'Components Yr 1'!H673)</f>
        <v>0</v>
      </c>
      <c r="I673" s="17">
        <f>IF('Components Yr 1'!I673=0,0,'Components Yr 1'!I673)</f>
        <v>0</v>
      </c>
      <c r="J673" s="17">
        <f>IF('Components Yr 1'!J673=0,0,'Components Yr 1'!J673)</f>
        <v>0</v>
      </c>
      <c r="K673" s="17">
        <f>IF('Components Yr 1'!K673=0,0,'Components Yr 1'!K673)</f>
        <v>0</v>
      </c>
      <c r="L673" s="12"/>
      <c r="M673" s="12"/>
      <c r="N673" s="12"/>
      <c r="O673" s="12"/>
      <c r="P673" s="12"/>
      <c r="Q673" s="17"/>
      <c r="R673" s="18">
        <f>IF(SUMPRODUCT((E673:Q673)*1)=0,0,E673*INDEX(Hours!M:M,MATCH(C673,Hours!$A:$A,0))+F673*INDEX(Hours!B:B,MATCH(C673,Hours!$A:$A,0))+G673*INDEX(Hours!C:C,MATCH(C673,Hours!$A:$A,0))+H673*INDEX(Hours!D:D,MATCH(C673,Hours!$A:$A,0))+I673*INDEX(Hours!E:E,MATCH(C673,Hours!$A:$A,0))+J673*INDEX(Hours!F:F,MATCH(C673,Hours!$A:$A,0))+K673*INDEX(Hours!G:G,MATCH(C673,Hours!$A:$A,0)))</f>
        <v>0</v>
      </c>
      <c r="S673" s="19">
        <f t="shared" si="21"/>
        <v>0</v>
      </c>
    </row>
    <row r="674" spans="1:19" x14ac:dyDescent="0.25">
      <c r="A674" s="11" t="str">
        <f>'Bldgs &amp; Rooms'!$A$20</f>
        <v>Main Bldg.</v>
      </c>
      <c r="B674" s="11">
        <f>'Bldgs &amp; Rooms'!$B$20</f>
        <v>0</v>
      </c>
      <c r="C674" s="10" t="str">
        <f>Hours!$A$8</f>
        <v>Panelboard-Single Cover &gt; 400A (Distribution Panel)</v>
      </c>
      <c r="D674" s="11">
        <f t="shared" si="20"/>
        <v>0</v>
      </c>
      <c r="E674" s="16">
        <f>IF('Components Yr 1'!E674=0,0,'Components Yr 1'!E674)</f>
        <v>0</v>
      </c>
      <c r="F674" s="17">
        <f>IF('Components Yr 1'!F674=0,0,'Components Yr 1'!F674)</f>
        <v>0</v>
      </c>
      <c r="G674" s="17">
        <f>IF('Components Yr 1'!G674=0,0,'Components Yr 1'!G674)</f>
        <v>0</v>
      </c>
      <c r="H674" s="17">
        <f>IF('Components Yr 1'!H674=0,0,'Components Yr 1'!H674)</f>
        <v>0</v>
      </c>
      <c r="I674" s="17">
        <f>IF('Components Yr 1'!I674=0,0,'Components Yr 1'!I674)</f>
        <v>0</v>
      </c>
      <c r="J674" s="17">
        <f>IF('Components Yr 1'!J674=0,0,'Components Yr 1'!J674)</f>
        <v>0</v>
      </c>
      <c r="K674" s="17">
        <f>IF('Components Yr 1'!K674=0,0,'Components Yr 1'!K674)</f>
        <v>0</v>
      </c>
      <c r="L674" s="12"/>
      <c r="M674" s="12"/>
      <c r="N674" s="12"/>
      <c r="O674" s="17">
        <f>IF('Components Yr 1'!O674=0,0,'Components Yr 1'!O674)</f>
        <v>0</v>
      </c>
      <c r="P674" s="12"/>
      <c r="Q674" s="17"/>
      <c r="R674" s="18">
        <f>IF(SUMPRODUCT((E674:Q674)*1)=0,0,E674*INDEX(Hours!M:M,MATCH(C674,Hours!$A:$A,0))+F674*INDEX(Hours!B:B,MATCH(C674,Hours!$A:$A,0))+G674*INDEX(Hours!C:C,MATCH(C674,Hours!$A:$A,0))+H674*INDEX(Hours!D:D,MATCH(C674,Hours!$A:$A,0))+I674*INDEX(Hours!E:E,MATCH(C674,Hours!$A:$A,0))+J674*INDEX(Hours!F:F,MATCH(C674,Hours!$A:$A,0))+K674*INDEX(Hours!G:G,MATCH(C674,Hours!$A:$A,0))+O674*INDEX(Hours!K:K,MATCH(C674,Hours!$A:$A,0)))</f>
        <v>0</v>
      </c>
      <c r="S674" s="19">
        <f t="shared" si="21"/>
        <v>0</v>
      </c>
    </row>
    <row r="675" spans="1:19" x14ac:dyDescent="0.25">
      <c r="A675" s="11" t="str">
        <f>'Bldgs &amp; Rooms'!$A$20</f>
        <v>Main Bldg.</v>
      </c>
      <c r="B675" s="11">
        <f>'Bldgs &amp; Rooms'!$B$20</f>
        <v>0</v>
      </c>
      <c r="C675" s="10" t="str">
        <f>Hours!$A$9</f>
        <v>Panelboard-Single Cover &lt; 400A (Branch Ckt Panel)</v>
      </c>
      <c r="D675" s="11">
        <f t="shared" si="20"/>
        <v>0</v>
      </c>
      <c r="E675" s="16">
        <f>IF('Components Yr 1'!E675=0,0,'Components Yr 1'!E675)</f>
        <v>0</v>
      </c>
      <c r="F675" s="17">
        <f>IF('Components Yr 1'!F675=0,0,'Components Yr 1'!F675)</f>
        <v>0</v>
      </c>
      <c r="G675" s="17">
        <f>IF('Components Yr 1'!G675=0,0,'Components Yr 1'!G675)</f>
        <v>0</v>
      </c>
      <c r="H675" s="17">
        <f>IF('Components Yr 1'!H675=0,0,'Components Yr 1'!H675)</f>
        <v>0</v>
      </c>
      <c r="I675" s="17">
        <f>IF('Components Yr 1'!I675=0,0,'Components Yr 1'!I675)</f>
        <v>0</v>
      </c>
      <c r="J675" s="17">
        <f>IF('Components Yr 1'!J675=0,0,'Components Yr 1'!J675)</f>
        <v>0</v>
      </c>
      <c r="K675" s="12"/>
      <c r="L675" s="12"/>
      <c r="M675" s="12"/>
      <c r="N675" s="12"/>
      <c r="O675" s="17">
        <f>IF('Components Yr 1'!O675=0,0,'Components Yr 1'!O675)</f>
        <v>0</v>
      </c>
      <c r="P675" s="12"/>
      <c r="Q675" s="17"/>
      <c r="R675" s="18">
        <f>IF(SUMPRODUCT((E675:Q675)*1)=0,0,E675*INDEX(Hours!M:M,MATCH(C675,Hours!$A:$A,0))+F675*INDEX(Hours!B:B,MATCH(C675,Hours!$A:$A,0))+G675*INDEX(Hours!C:C,MATCH(C675,Hours!$A:$A,0))+H675*INDEX(Hours!D:D,MATCH(C675,Hours!$A:$A,0))+I675*INDEX(Hours!E:E,MATCH(C675,Hours!$A:$A,0))+J675*INDEX(Hours!F:F,MATCH(C675,Hours!$A:$A,0))+O675*INDEX(Hours!K:K,MATCH(C675,Hours!$A:$A,0)))</f>
        <v>0</v>
      </c>
      <c r="S675" s="19">
        <f t="shared" si="21"/>
        <v>0</v>
      </c>
    </row>
    <row r="676" spans="1:19" x14ac:dyDescent="0.25">
      <c r="A676" s="11" t="str">
        <f>'Bldgs &amp; Rooms'!$A$20</f>
        <v>Main Bldg.</v>
      </c>
      <c r="B676" s="11">
        <f>'Bldgs &amp; Rooms'!$B$20</f>
        <v>0</v>
      </c>
      <c r="C676" s="10" t="str">
        <f>Hours!$A$10</f>
        <v>Motor Control Center (MCC-Per Vertical Section)</v>
      </c>
      <c r="D676" s="11">
        <f t="shared" si="20"/>
        <v>0</v>
      </c>
      <c r="E676" s="16">
        <f>IF('Components Yr 1'!E676=0,0,'Components Yr 1'!E676)</f>
        <v>0</v>
      </c>
      <c r="F676" s="17">
        <f>IF('Components Yr 1'!F676=0,0,'Components Yr 1'!F676)</f>
        <v>0</v>
      </c>
      <c r="G676" s="17">
        <f>IF('Components Yr 1'!G676=0,0,'Components Yr 1'!G676)</f>
        <v>0</v>
      </c>
      <c r="H676" s="17">
        <f>IF('Components Yr 1'!H676=0,0,'Components Yr 1'!H676)</f>
        <v>0</v>
      </c>
      <c r="I676" s="17">
        <f>IF('Components Yr 1'!I676=0,0,'Components Yr 1'!I676)</f>
        <v>0</v>
      </c>
      <c r="J676" s="17">
        <f>IF('Components Yr 1'!J676=0,0,'Components Yr 1'!J676)</f>
        <v>0</v>
      </c>
      <c r="K676" s="12"/>
      <c r="L676" s="12"/>
      <c r="M676" s="12"/>
      <c r="N676" s="12"/>
      <c r="O676" s="17">
        <f>IF('Components Yr 1'!O676=0,0,'Components Yr 1'!O676)</f>
        <v>0</v>
      </c>
      <c r="P676" s="12"/>
      <c r="Q676" s="17"/>
      <c r="R676" s="18">
        <f>IF(SUMPRODUCT((E676:Q676)*1)=0,0,E676*INDEX(Hours!M:M,MATCH(C676,Hours!$A:$A,0))+F676*INDEX(Hours!B:B,MATCH(C676,Hours!$A:$A,0))+G676*INDEX(Hours!C:C,MATCH(C676,Hours!$A:$A,0))+H676*INDEX(Hours!D:D,MATCH(C676,Hours!$A:$A,0))+I676*INDEX(Hours!E:E,MATCH(C676,Hours!$A:$A,0))+J676*INDEX(Hours!F:F,MATCH(C676,Hours!$A:$A,0))+O676*INDEX(Hours!K:K,MATCH(C676,Hours!$A:$A,0)))</f>
        <v>0</v>
      </c>
      <c r="S676" s="19">
        <f t="shared" si="21"/>
        <v>0</v>
      </c>
    </row>
    <row r="677" spans="1:19" x14ac:dyDescent="0.25">
      <c r="A677" s="11" t="str">
        <f>'Bldgs &amp; Rooms'!$A$20</f>
        <v>Main Bldg.</v>
      </c>
      <c r="B677" s="11">
        <f>'Bldgs &amp; Rooms'!$B$20</f>
        <v>0</v>
      </c>
      <c r="C677" s="10" t="str">
        <f>Hours!$A$11</f>
        <v xml:space="preserve">  MCC: Combination Motor Starters</v>
      </c>
      <c r="D677" s="11">
        <f t="shared" si="20"/>
        <v>0</v>
      </c>
      <c r="E677" s="16">
        <f>IF('Components Yr 1'!E677=0,0,'Components Yr 1'!E677)</f>
        <v>0</v>
      </c>
      <c r="F677" s="17">
        <f>IF('Components Yr 1'!F677=0,0,'Components Yr 1'!F677)</f>
        <v>0</v>
      </c>
      <c r="G677" s="17">
        <f>IF('Components Yr 1'!G677=0,0,'Components Yr 1'!G677)</f>
        <v>0</v>
      </c>
      <c r="H677" s="17">
        <f>IF('Components Yr 1'!H677=0,0,'Components Yr 1'!H677)</f>
        <v>0</v>
      </c>
      <c r="I677" s="17">
        <f>IF('Components Yr 1'!I677=0,0,'Components Yr 1'!I677)</f>
        <v>0</v>
      </c>
      <c r="J677" s="17">
        <f>IF('Components Yr 1'!J677=0,0,'Components Yr 1'!J677)</f>
        <v>0</v>
      </c>
      <c r="K677" s="17">
        <f>IF('Components Yr 1'!K677=0,0,'Components Yr 1'!K677)</f>
        <v>0</v>
      </c>
      <c r="L677" s="12"/>
      <c r="M677" s="12"/>
      <c r="N677" s="12"/>
      <c r="O677" s="17">
        <f>IF('Components Yr 1'!O677=0,0,'Components Yr 1'!O677)</f>
        <v>0</v>
      </c>
      <c r="P677" s="12"/>
      <c r="Q677" s="17"/>
      <c r="R677" s="18">
        <f>IF(SUMPRODUCT((E677:Q677)*1)=0,0,E677*INDEX(Hours!M:M,MATCH(C677,Hours!$A:$A,0))+F677*INDEX(Hours!B:B,MATCH(C677,Hours!$A:$A,0))+G677*INDEX(Hours!C:C,MATCH(C677,Hours!$A:$A,0))+H677*INDEX(Hours!D:D,MATCH(C677,Hours!$A:$A,0))+I677*INDEX(Hours!E:E,MATCH(C677,Hours!$A:$A,0))+J677*INDEX(Hours!F:F,MATCH(C677,Hours!$A:$A,0))+K677*INDEX(Hours!G:G,MATCH(C677,Hours!$A:$A,0))+O677*INDEX(Hours!K:K,MATCH(C677,Hours!$A:$A,0)))</f>
        <v>0</v>
      </c>
      <c r="S677" s="19">
        <f t="shared" si="21"/>
        <v>0</v>
      </c>
    </row>
    <row r="678" spans="1:19" x14ac:dyDescent="0.25">
      <c r="A678" s="11" t="str">
        <f>'Bldgs &amp; Rooms'!$A$20</f>
        <v>Main Bldg.</v>
      </c>
      <c r="B678" s="11">
        <f>'Bldgs &amp; Rooms'!$B$20</f>
        <v>0</v>
      </c>
      <c r="C678" s="10" t="str">
        <f>Hours!$A$12</f>
        <v xml:space="preserve">  MCC: Molded Case Breaker</v>
      </c>
      <c r="D678" s="11">
        <f t="shared" si="20"/>
        <v>0</v>
      </c>
      <c r="E678" s="16">
        <f>IF('Components Yr 1'!E678=0,0,'Components Yr 1'!E678)</f>
        <v>0</v>
      </c>
      <c r="F678" s="17">
        <f>IF('Components Yr 1'!F678=0,0,'Components Yr 1'!F678)</f>
        <v>0</v>
      </c>
      <c r="G678" s="17">
        <f>IF('Components Yr 1'!G678=0,0,'Components Yr 1'!G678)</f>
        <v>0</v>
      </c>
      <c r="H678" s="17">
        <f>IF('Components Yr 1'!H678=0,0,'Components Yr 1'!H678)</f>
        <v>0</v>
      </c>
      <c r="I678" s="17">
        <f>IF('Components Yr 1'!I678=0,0,'Components Yr 1'!I678)</f>
        <v>0</v>
      </c>
      <c r="J678" s="17">
        <f>IF('Components Yr 1'!J678=0,0,'Components Yr 1'!J678)</f>
        <v>0</v>
      </c>
      <c r="K678" s="17">
        <f>IF('Components Yr 1'!K678=0,0,'Components Yr 1'!K678)</f>
        <v>0</v>
      </c>
      <c r="L678" s="12"/>
      <c r="M678" s="12"/>
      <c r="N678" s="12"/>
      <c r="O678" s="12"/>
      <c r="P678" s="12"/>
      <c r="Q678" s="17"/>
      <c r="R678" s="18">
        <f>IF(SUMPRODUCT((E678:Q678)*1)=0,0,E678*INDEX(Hours!M:M,MATCH(C678,Hours!$A:$A,0))+F678*INDEX(Hours!B:B,MATCH(C678,Hours!$A:$A,0))+G678*INDEX(Hours!C:C,MATCH(C678,Hours!$A:$A,0))+H678*INDEX(Hours!D:D,MATCH(C678,Hours!$A:$A,0))+I678*INDEX(Hours!E:E,MATCH(C678,Hours!$A:$A,0))+J678*INDEX(Hours!F:F,MATCH(C678,Hours!$A:$A,0))+K678*INDEX(Hours!G:G,MATCH(C678,Hours!$A:$A,0)))</f>
        <v>0</v>
      </c>
      <c r="S678" s="19">
        <f t="shared" si="21"/>
        <v>0</v>
      </c>
    </row>
    <row r="679" spans="1:19" x14ac:dyDescent="0.25">
      <c r="A679" s="11" t="str">
        <f>'Bldgs &amp; Rooms'!$A$20</f>
        <v>Main Bldg.</v>
      </c>
      <c r="B679" s="11">
        <f>'Bldgs &amp; Rooms'!$B$20</f>
        <v>0</v>
      </c>
      <c r="C679" s="10" t="str">
        <f>Hours!$A$13</f>
        <v xml:space="preserve">  MCC: Individual Disconnect Switch</v>
      </c>
      <c r="D679" s="11">
        <f t="shared" si="20"/>
        <v>0</v>
      </c>
      <c r="E679" s="16">
        <f>IF('Components Yr 1'!E679=0,0,'Components Yr 1'!E679)</f>
        <v>0</v>
      </c>
      <c r="F679" s="17">
        <f>IF('Components Yr 1'!F679=0,0,'Components Yr 1'!F679)</f>
        <v>0</v>
      </c>
      <c r="G679" s="17">
        <f>IF('Components Yr 1'!G679=0,0,'Components Yr 1'!G679)</f>
        <v>0</v>
      </c>
      <c r="H679" s="17">
        <f>IF('Components Yr 1'!H679=0,0,'Components Yr 1'!H679)</f>
        <v>0</v>
      </c>
      <c r="I679" s="17">
        <f>IF('Components Yr 1'!I679=0,0,'Components Yr 1'!I679)</f>
        <v>0</v>
      </c>
      <c r="J679" s="17">
        <f>IF('Components Yr 1'!J679=0,0,'Components Yr 1'!J679)</f>
        <v>0</v>
      </c>
      <c r="K679" s="12"/>
      <c r="L679" s="12"/>
      <c r="M679" s="12"/>
      <c r="N679" s="12"/>
      <c r="O679" s="12"/>
      <c r="P679" s="12"/>
      <c r="Q679" s="17"/>
      <c r="R679" s="18">
        <f>IF(SUMPRODUCT((E679:Q679)*1)=0,0,E679*INDEX(Hours!M:M,MATCH(C679,Hours!$A:$A,0))+F679*INDEX(Hours!B:B,MATCH(C679,Hours!$A:$A,0))+G679*INDEX(Hours!C:C,MATCH(C679,Hours!$A:$A,0))+H679*INDEX(Hours!D:D,MATCH(C679,Hours!$A:$A,0))+I679*INDEX(Hours!E:E,MATCH(C679,Hours!$A:$A,0))+J679*INDEX(Hours!F:F,MATCH(C679,Hours!$A:$A,0)))</f>
        <v>0</v>
      </c>
      <c r="S679" s="19">
        <f t="shared" si="21"/>
        <v>0</v>
      </c>
    </row>
    <row r="680" spans="1:19" x14ac:dyDescent="0.25">
      <c r="A680" s="11" t="str">
        <f>'Bldgs &amp; Rooms'!$A$20</f>
        <v>Main Bldg.</v>
      </c>
      <c r="B680" s="11">
        <f>'Bldgs &amp; Rooms'!$B$20</f>
        <v>0</v>
      </c>
      <c r="C680" s="10" t="str">
        <f>Hours!$A$14</f>
        <v>Motor Control Panel (MCP)</v>
      </c>
      <c r="D680" s="11">
        <f t="shared" si="20"/>
        <v>0</v>
      </c>
      <c r="E680" s="16">
        <f>IF('Components Yr 1'!E680=0,0,'Components Yr 1'!E680)</f>
        <v>0</v>
      </c>
      <c r="F680" s="17">
        <f>IF('Components Yr 1'!F680=0,0,'Components Yr 1'!F680)</f>
        <v>0</v>
      </c>
      <c r="G680" s="17">
        <f>IF('Components Yr 1'!G680=0,0,'Components Yr 1'!G680)</f>
        <v>0</v>
      </c>
      <c r="H680" s="17">
        <f>IF('Components Yr 1'!H680=0,0,'Components Yr 1'!H680)</f>
        <v>0</v>
      </c>
      <c r="I680" s="17">
        <f>IF('Components Yr 1'!I680=0,0,'Components Yr 1'!I680)</f>
        <v>0</v>
      </c>
      <c r="J680" s="17">
        <f>IF('Components Yr 1'!J680=0,0,'Components Yr 1'!J680)</f>
        <v>0</v>
      </c>
      <c r="K680" s="12"/>
      <c r="L680" s="12"/>
      <c r="M680" s="12"/>
      <c r="N680" s="12"/>
      <c r="O680" s="17">
        <f>IF('Components Yr 1'!O680=0,0,'Components Yr 1'!O680)</f>
        <v>0</v>
      </c>
      <c r="P680" s="12"/>
      <c r="Q680" s="17"/>
      <c r="R680" s="18">
        <f>IF(SUMPRODUCT((E680:Q680)*1)=0,0,E680*INDEX(Hours!M:M,MATCH(C680,Hours!$A:$A,0))+F680*INDEX(Hours!B:B,MATCH(C680,Hours!$A:$A,0))+G680*INDEX(Hours!C:C,MATCH(C680,Hours!$A:$A,0))+H680*INDEX(Hours!D:D,MATCH(C680,Hours!$A:$A,0))+I680*INDEX(Hours!E:E,MATCH(C680,Hours!$A:$A,0))+J680*INDEX(Hours!F:F,MATCH(C680,Hours!$A:$A,0))+O680*INDEX(Hours!K:K,MATCH(C680,Hours!$A:$A,0)))</f>
        <v>0</v>
      </c>
      <c r="S680" s="19">
        <f t="shared" si="21"/>
        <v>0</v>
      </c>
    </row>
    <row r="681" spans="1:19" x14ac:dyDescent="0.25">
      <c r="A681" s="11" t="str">
        <f>'Bldgs &amp; Rooms'!$A$20</f>
        <v>Main Bldg.</v>
      </c>
      <c r="B681" s="11">
        <f>'Bldgs &amp; Rooms'!$B$20</f>
        <v>0</v>
      </c>
      <c r="C681" s="10" t="str">
        <f>Hours!$A$15</f>
        <v>VFD Motor Control Panel (VFD-MCP)</v>
      </c>
      <c r="D681" s="11">
        <f t="shared" si="20"/>
        <v>0</v>
      </c>
      <c r="E681" s="16">
        <f>IF('Components Yr 1'!E681=0,0,'Components Yr 1'!E681)</f>
        <v>0</v>
      </c>
      <c r="F681" s="17">
        <f>IF('Components Yr 1'!F681=0,0,'Components Yr 1'!F681)</f>
        <v>0</v>
      </c>
      <c r="G681" s="17">
        <f>IF('Components Yr 1'!G681=0,0,'Components Yr 1'!G681)</f>
        <v>0</v>
      </c>
      <c r="H681" s="17">
        <f>IF('Components Yr 1'!H681=0,0,'Components Yr 1'!H681)</f>
        <v>0</v>
      </c>
      <c r="I681" s="17">
        <f>IF('Components Yr 1'!I681=0,0,'Components Yr 1'!I681)</f>
        <v>0</v>
      </c>
      <c r="J681" s="17">
        <f>IF('Components Yr 1'!J681=0,0,'Components Yr 1'!J681)</f>
        <v>0</v>
      </c>
      <c r="K681" s="12"/>
      <c r="L681" s="12"/>
      <c r="M681" s="12"/>
      <c r="N681" s="12"/>
      <c r="O681" s="17">
        <f>IF('Components Yr 1'!O681=0,0,'Components Yr 1'!O681)</f>
        <v>0</v>
      </c>
      <c r="P681" s="12"/>
      <c r="Q681" s="17"/>
      <c r="R681" s="18">
        <f>IF(SUMPRODUCT((E681:Q681)*1)=0,0,E681*INDEX(Hours!M:M,MATCH(C681,Hours!$A:$A,0))+F681*INDEX(Hours!B:B,MATCH(C681,Hours!$A:$A,0))+G681*INDEX(Hours!C:C,MATCH(C681,Hours!$A:$A,0))+H681*INDEX(Hours!D:D,MATCH(C681,Hours!$A:$A,0))+I681*INDEX(Hours!E:E,MATCH(C681,Hours!$A:$A,0))+J681*INDEX(Hours!F:F,MATCH(C681,Hours!$A:$A,0))+O681*INDEX(Hours!K:K,MATCH(C681,Hours!$A:$A,0)))</f>
        <v>0</v>
      </c>
      <c r="S681" s="19">
        <f t="shared" si="21"/>
        <v>0</v>
      </c>
    </row>
    <row r="682" spans="1:19" x14ac:dyDescent="0.25">
      <c r="A682" s="11" t="str">
        <f>'Bldgs &amp; Rooms'!$A$20</f>
        <v>Main Bldg.</v>
      </c>
      <c r="B682" s="11">
        <f>'Bldgs &amp; Rooms'!$B$20</f>
        <v>0</v>
      </c>
      <c r="C682" s="10" t="str">
        <f>Hours!$A$16</f>
        <v>Individual Disconnect Switch &gt; 100A</v>
      </c>
      <c r="D682" s="11">
        <f t="shared" si="20"/>
        <v>0</v>
      </c>
      <c r="E682" s="16">
        <f>IF('Components Yr 1'!E682=0,0,'Components Yr 1'!E682)</f>
        <v>0</v>
      </c>
      <c r="F682" s="17">
        <f>IF('Components Yr 1'!F682=0,0,'Components Yr 1'!F682)</f>
        <v>0</v>
      </c>
      <c r="G682" s="17">
        <f>IF('Components Yr 1'!G682=0,0,'Components Yr 1'!G682)</f>
        <v>0</v>
      </c>
      <c r="H682" s="17">
        <f>IF('Components Yr 1'!H682=0,0,'Components Yr 1'!H682)</f>
        <v>0</v>
      </c>
      <c r="I682" s="17">
        <f>IF('Components Yr 1'!I682=0,0,'Components Yr 1'!I682)</f>
        <v>0</v>
      </c>
      <c r="J682" s="17">
        <f>IF('Components Yr 1'!J682=0,0,'Components Yr 1'!J682)</f>
        <v>0</v>
      </c>
      <c r="K682" s="17">
        <f>IF('Components Yr 1'!K682=0,0,'Components Yr 1'!K682)</f>
        <v>0</v>
      </c>
      <c r="L682" s="12"/>
      <c r="M682" s="12"/>
      <c r="N682" s="12"/>
      <c r="O682" s="12"/>
      <c r="P682" s="12"/>
      <c r="Q682" s="17"/>
      <c r="R682" s="18">
        <f>IF(SUMPRODUCT((E682:Q682)*1)=0,0,E682*INDEX(Hours!M:M,MATCH(C682,Hours!$A:$A,0))+F682*INDEX(Hours!B:B,MATCH(C682,Hours!$A:$A,0))+G682*INDEX(Hours!C:C,MATCH(C682,Hours!$A:$A,0))+H682*INDEX(Hours!D:D,MATCH(C682,Hours!$A:$A,0))+I682*INDEX(Hours!E:E,MATCH(C682,Hours!$A:$A,0))+J682*INDEX(Hours!F:F,MATCH(C682,Hours!$A:$A,0))+K682*INDEX(Hours!G:G,MATCH(C682,Hours!$A:$A,0)))</f>
        <v>0</v>
      </c>
      <c r="S682" s="19">
        <f t="shared" si="21"/>
        <v>0</v>
      </c>
    </row>
    <row r="683" spans="1:19" x14ac:dyDescent="0.25">
      <c r="A683" s="11" t="str">
        <f>'Bldgs &amp; Rooms'!$A$20</f>
        <v>Main Bldg.</v>
      </c>
      <c r="B683" s="11">
        <f>'Bldgs &amp; Rooms'!$B$20</f>
        <v>0</v>
      </c>
      <c r="C683" s="10" t="str">
        <f>Hours!$A$17</f>
        <v>Individual Molded Case Breaker &gt; 100A</v>
      </c>
      <c r="D683" s="11">
        <f t="shared" si="20"/>
        <v>0</v>
      </c>
      <c r="E683" s="16">
        <f>IF('Components Yr 1'!E683=0,0,'Components Yr 1'!E683)</f>
        <v>0</v>
      </c>
      <c r="F683" s="17">
        <f>IF('Components Yr 1'!F683=0,0,'Components Yr 1'!F683)</f>
        <v>0</v>
      </c>
      <c r="G683" s="17">
        <f>IF('Components Yr 1'!G683=0,0,'Components Yr 1'!G683)</f>
        <v>0</v>
      </c>
      <c r="H683" s="17">
        <f>IF('Components Yr 1'!H683=0,0,'Components Yr 1'!H683)</f>
        <v>0</v>
      </c>
      <c r="I683" s="17">
        <f>IF('Components Yr 1'!I683=0,0,'Components Yr 1'!I683)</f>
        <v>0</v>
      </c>
      <c r="J683" s="17">
        <f>IF('Components Yr 1'!J683=0,0,'Components Yr 1'!J683)</f>
        <v>0</v>
      </c>
      <c r="K683" s="17">
        <f>IF('Components Yr 1'!K683=0,0,'Components Yr 1'!K683)</f>
        <v>0</v>
      </c>
      <c r="L683" s="12"/>
      <c r="M683" s="12"/>
      <c r="N683" s="12"/>
      <c r="O683" s="12"/>
      <c r="P683" s="12"/>
      <c r="Q683" s="17"/>
      <c r="R683" s="18">
        <f>IF(SUMPRODUCT((E683:Q683)*1)=0,0,E683*INDEX(Hours!M:M,MATCH(C683,Hours!$A:$A,0))+F683*INDEX(Hours!B:B,MATCH(C683,Hours!$A:$A,0))+G683*INDEX(Hours!C:C,MATCH(C683,Hours!$A:$A,0))+H683*INDEX(Hours!D:D,MATCH(C683,Hours!$A:$A,0))+I683*INDEX(Hours!E:E,MATCH(C683,Hours!$A:$A,0))+J683*INDEX(Hours!F:F,MATCH(C683,Hours!$A:$A,0))+K683*INDEX(Hours!G:G,MATCH(C683,Hours!$A:$A,0)))</f>
        <v>0</v>
      </c>
      <c r="S683" s="19">
        <f t="shared" si="21"/>
        <v>0</v>
      </c>
    </row>
    <row r="684" spans="1:19" x14ac:dyDescent="0.25">
      <c r="A684" s="11" t="str">
        <f>'Bldgs &amp; Rooms'!$A$20</f>
        <v>Main Bldg.</v>
      </c>
      <c r="B684" s="11">
        <f>'Bldgs &amp; Rooms'!$B$20</f>
        <v>0</v>
      </c>
      <c r="C684" s="10" t="str">
        <f>Hours!$A$18</f>
        <v>Individual Combination Motor Starter &gt; 100A</v>
      </c>
      <c r="D684" s="11">
        <f t="shared" si="20"/>
        <v>0</v>
      </c>
      <c r="E684" s="16">
        <f>IF('Components Yr 1'!E684=0,0,'Components Yr 1'!E684)</f>
        <v>0</v>
      </c>
      <c r="F684" s="17">
        <f>IF('Components Yr 1'!F684=0,0,'Components Yr 1'!F684)</f>
        <v>0</v>
      </c>
      <c r="G684" s="17">
        <f>IF('Components Yr 1'!G684=0,0,'Components Yr 1'!G684)</f>
        <v>0</v>
      </c>
      <c r="H684" s="17">
        <f>IF('Components Yr 1'!H684=0,0,'Components Yr 1'!H684)</f>
        <v>0</v>
      </c>
      <c r="I684" s="17">
        <f>IF('Components Yr 1'!I684=0,0,'Components Yr 1'!I684)</f>
        <v>0</v>
      </c>
      <c r="J684" s="17">
        <f>IF('Components Yr 1'!J684=0,0,'Components Yr 1'!J684)</f>
        <v>0</v>
      </c>
      <c r="K684" s="17">
        <f>IF('Components Yr 1'!K684=0,0,'Components Yr 1'!K684)</f>
        <v>0</v>
      </c>
      <c r="L684" s="12"/>
      <c r="M684" s="12"/>
      <c r="N684" s="12"/>
      <c r="O684" s="12"/>
      <c r="P684" s="12"/>
      <c r="Q684" s="17"/>
      <c r="R684" s="18">
        <f>IF(SUMPRODUCT((E684:Q684)*1)=0,0,E684*INDEX(Hours!M:M,MATCH(C684,Hours!$A:$A,0))+F684*INDEX(Hours!B:B,MATCH(C684,Hours!$A:$A,0))+G684*INDEX(Hours!C:C,MATCH(C684,Hours!$A:$A,0))+H684*INDEX(Hours!D:D,MATCH(C684,Hours!$A:$A,0))+I684*INDEX(Hours!E:E,MATCH(C684,Hours!$A:$A,0))+J684*INDEX(Hours!F:F,MATCH(C684,Hours!$A:$A,0))+K684*INDEX(Hours!G:G,MATCH(C684,Hours!$A:$A,0)))</f>
        <v>0</v>
      </c>
      <c r="S684" s="19">
        <f t="shared" si="21"/>
        <v>0</v>
      </c>
    </row>
    <row r="685" spans="1:19" x14ac:dyDescent="0.25">
      <c r="A685" s="11" t="str">
        <f>'Bldgs &amp; Rooms'!$A$20</f>
        <v>Main Bldg.</v>
      </c>
      <c r="B685" s="11">
        <f>'Bldgs &amp; Rooms'!$B$20</f>
        <v>0</v>
      </c>
      <c r="C685" s="10" t="str">
        <f>Hours!$A$19</f>
        <v>Oil Filled Transformer - 5kV-15kV Primary - Any Size (Pad Mounted)</v>
      </c>
      <c r="D685" s="11">
        <f t="shared" si="20"/>
        <v>0</v>
      </c>
      <c r="E685" s="16">
        <f>IF('Components Yr 1'!E685=0,0,'Components Yr 1'!E685)</f>
        <v>0</v>
      </c>
      <c r="F685" s="17">
        <f>IF('Components Yr 1'!F685=0,0,'Components Yr 1'!F685)</f>
        <v>0</v>
      </c>
      <c r="G685" s="17">
        <f>IF('Components Yr 1'!G685=0,0,'Components Yr 1'!G685)</f>
        <v>0</v>
      </c>
      <c r="H685" s="17">
        <f>IF('Components Yr 1'!H685=0,0,'Components Yr 1'!H685)</f>
        <v>0</v>
      </c>
      <c r="I685" s="17">
        <f>IF('Components Yr 1'!I685=0,0,'Components Yr 1'!I685)</f>
        <v>0</v>
      </c>
      <c r="J685" s="17">
        <f>IF('Components Yr 1'!J685=0,0,'Components Yr 1'!J685)</f>
        <v>0</v>
      </c>
      <c r="K685" s="12"/>
      <c r="L685" s="12"/>
      <c r="M685" s="17">
        <f>IF('Components Yr 1'!M685=0,0,'Components Yr 1'!M685)</f>
        <v>0</v>
      </c>
      <c r="N685" s="17">
        <f>IF('Components Yr 1'!N685=0,0,'Components Yr 1'!N685)</f>
        <v>0</v>
      </c>
      <c r="O685" s="12"/>
      <c r="P685" s="17">
        <f>IF('Components Yr 1'!P685=0,0,'Components Yr 1'!P685)</f>
        <v>0</v>
      </c>
      <c r="Q685" s="17"/>
      <c r="R685" s="18">
        <f>IF(SUMPRODUCT((E685:Q685)*1)=0,0,E685*INDEX(Hours!M:M,MATCH(C685,Hours!$A:$A,0))+F685*INDEX(Hours!B:B,MATCH(C685,Hours!$A:$A,0))+G685*INDEX(Hours!C:C,MATCH(C685,Hours!$A:$A,0))+H685*INDEX(Hours!D:D,MATCH(C685,Hours!$A:$A,0))+I685*INDEX(Hours!E:E,MATCH(C685,Hours!$A:$A,0))+J685*INDEX(Hours!F:F,MATCH(C685,Hours!$A:$A,0))+M685*INDEX(Hours!I:I,MATCH(C685,Hours!$A:$A,0))+N685*INDEX(Hours!J:J,MATCH(C685,Hours!$A:$A,0))+P685*INDEX(Hours!L:L,MATCH(C685,Hours!$A:$A,0)))</f>
        <v>0</v>
      </c>
      <c r="S685" s="19">
        <f t="shared" si="21"/>
        <v>0</v>
      </c>
    </row>
    <row r="686" spans="1:19" x14ac:dyDescent="0.25">
      <c r="A686" s="11" t="str">
        <f>'Bldgs &amp; Rooms'!$A$20</f>
        <v>Main Bldg.</v>
      </c>
      <c r="B686" s="11">
        <f>'Bldgs &amp; Rooms'!$B$20</f>
        <v>0</v>
      </c>
      <c r="C686" s="10" t="str">
        <f>Hours!$A$20</f>
        <v>Oil Filled Transformer - &gt; 15kV Primary (Substation Class)</v>
      </c>
      <c r="D686" s="11">
        <f t="shared" si="20"/>
        <v>0</v>
      </c>
      <c r="E686" s="16">
        <f>IF('Components Yr 1'!E686=0,0,'Components Yr 1'!E686)</f>
        <v>0</v>
      </c>
      <c r="F686" s="17">
        <f>IF('Components Yr 1'!F686=0,0,'Components Yr 1'!F686)</f>
        <v>0</v>
      </c>
      <c r="G686" s="17">
        <f>IF('Components Yr 1'!G686=0,0,'Components Yr 1'!G686)</f>
        <v>0</v>
      </c>
      <c r="H686" s="17">
        <f>IF('Components Yr 1'!H686=0,0,'Components Yr 1'!H686)</f>
        <v>0</v>
      </c>
      <c r="I686" s="17">
        <f>IF('Components Yr 1'!I686=0,0,'Components Yr 1'!I686)</f>
        <v>0</v>
      </c>
      <c r="J686" s="17">
        <f>IF('Components Yr 1'!J686=0,0,'Components Yr 1'!J686)</f>
        <v>0</v>
      </c>
      <c r="K686" s="12"/>
      <c r="L686" s="12"/>
      <c r="M686" s="17">
        <f>IF('Components Yr 1'!M686=0,0,'Components Yr 1'!M686)</f>
        <v>0</v>
      </c>
      <c r="N686" s="17">
        <f>IF('Components Yr 1'!N686=0,0,'Components Yr 1'!N686)</f>
        <v>0</v>
      </c>
      <c r="O686" s="12"/>
      <c r="P686" s="17">
        <f>IF('Components Yr 1'!P686=0,0,'Components Yr 1'!P686)</f>
        <v>0</v>
      </c>
      <c r="Q686" s="17"/>
      <c r="R686" s="18">
        <f>IF(SUMPRODUCT((E686:Q686)*1)=0,0,E686*INDEX(Hours!M:M,MATCH(C686,Hours!$A:$A,0))+F686*INDEX(Hours!B:B,MATCH(C686,Hours!$A:$A,0))+G686*INDEX(Hours!C:C,MATCH(C686,Hours!$A:$A,0))+H686*INDEX(Hours!D:D,MATCH(C686,Hours!$A:$A,0))+I686*INDEX(Hours!E:E,MATCH(C686,Hours!$A:$A,0))+J686*INDEX(Hours!F:F,MATCH(C686,Hours!$A:$A,0))+M686*INDEX(Hours!I:I,MATCH(C686,Hours!$A:$A,0))+N686*INDEX(Hours!J:J,MATCH(C686,Hours!$A:$A,0))+P686*INDEX(Hours!L:L,MATCH(C686,Hours!$A:$A,0)))</f>
        <v>0</v>
      </c>
      <c r="S686" s="19">
        <f t="shared" si="21"/>
        <v>0</v>
      </c>
    </row>
    <row r="687" spans="1:19" x14ac:dyDescent="0.25">
      <c r="A687" s="11" t="str">
        <f>'Bldgs &amp; Rooms'!$A$20</f>
        <v>Main Bldg.</v>
      </c>
      <c r="B687" s="11">
        <f>'Bldgs &amp; Rooms'!$B$20</f>
        <v>0</v>
      </c>
      <c r="C687" s="10" t="str">
        <f>Hours!$A$21</f>
        <v>Dry Type Transformer - &lt; 480V Primary - Any Size kVA</v>
      </c>
      <c r="D687" s="11">
        <f t="shared" si="20"/>
        <v>0</v>
      </c>
      <c r="E687" s="16">
        <f>IF('Components Yr 1'!E687=0,0,'Components Yr 1'!E687)</f>
        <v>0</v>
      </c>
      <c r="F687" s="17">
        <f>IF('Components Yr 1'!F687=0,0,'Components Yr 1'!F687)</f>
        <v>0</v>
      </c>
      <c r="G687" s="17">
        <f>IF('Components Yr 1'!G687=0,0,'Components Yr 1'!G687)</f>
        <v>0</v>
      </c>
      <c r="H687" s="17">
        <f>IF('Components Yr 1'!H687=0,0,'Components Yr 1'!H687)</f>
        <v>0</v>
      </c>
      <c r="I687" s="17">
        <f>IF('Components Yr 1'!I687=0,0,'Components Yr 1'!I687)</f>
        <v>0</v>
      </c>
      <c r="J687" s="17">
        <f>IF('Components Yr 1'!J687=0,0,'Components Yr 1'!J687)</f>
        <v>0</v>
      </c>
      <c r="K687" s="12"/>
      <c r="L687" s="12"/>
      <c r="M687" s="17">
        <f>IF('Components Yr 1'!M687=0,0,'Components Yr 1'!M687)</f>
        <v>0</v>
      </c>
      <c r="N687" s="17">
        <f>IF('Components Yr 1'!N687=0,0,'Components Yr 1'!N687)</f>
        <v>0</v>
      </c>
      <c r="O687" s="12"/>
      <c r="P687" s="12"/>
      <c r="Q687" s="17"/>
      <c r="R687" s="18">
        <f>IF(SUMPRODUCT((E687:Q687)*1)=0,0,E687*INDEX(Hours!M:M,MATCH(C687,Hours!$A:$A,0))+F687*INDEX(Hours!B:B,MATCH(C687,Hours!$A:$A,0))+G687*INDEX(Hours!C:C,MATCH(C687,Hours!$A:$A,0))+H687*INDEX(Hours!D:D,MATCH(C687,Hours!$A:$A,0))+I687*INDEX(Hours!E:E,MATCH(C687,Hours!$A:$A,0))+J687*INDEX(Hours!F:F,MATCH(C687,Hours!$A:$A,0))+M687*INDEX(Hours!I:I,MATCH(C687,Hours!$A:$A,0))+N687*INDEX(Hours!J:J,MATCH(C687,Hours!$A:$A,0)))</f>
        <v>0</v>
      </c>
      <c r="S687" s="19">
        <f t="shared" si="21"/>
        <v>0</v>
      </c>
    </row>
    <row r="688" spans="1:19" x14ac:dyDescent="0.25">
      <c r="A688" s="11" t="str">
        <f>'Bldgs &amp; Rooms'!$A$20</f>
        <v>Main Bldg.</v>
      </c>
      <c r="B688" s="11">
        <f>'Bldgs &amp; Rooms'!$B$20</f>
        <v>0</v>
      </c>
      <c r="C688" s="10" t="str">
        <f>Hours!$A$22</f>
        <v>Power Factor Correction Capacitors</v>
      </c>
      <c r="D688" s="11">
        <f t="shared" si="20"/>
        <v>0</v>
      </c>
      <c r="E688" s="16">
        <f>IF('Components Yr 1'!E688=0,0,'Components Yr 1'!E688)</f>
        <v>0</v>
      </c>
      <c r="F688" s="17">
        <f>IF('Components Yr 1'!F688=0,0,'Components Yr 1'!F688)</f>
        <v>0</v>
      </c>
      <c r="G688" s="17">
        <f>IF('Components Yr 1'!G688=0,0,'Components Yr 1'!G688)</f>
        <v>0</v>
      </c>
      <c r="H688" s="17">
        <f>IF('Components Yr 1'!H688=0,0,'Components Yr 1'!H688)</f>
        <v>0</v>
      </c>
      <c r="I688" s="17">
        <f>IF('Components Yr 1'!I688=0,0,'Components Yr 1'!I688)</f>
        <v>0</v>
      </c>
      <c r="J688" s="17">
        <f>IF('Components Yr 1'!J688=0,0,'Components Yr 1'!J688)</f>
        <v>0</v>
      </c>
      <c r="K688" s="12"/>
      <c r="L688" s="12"/>
      <c r="M688" s="12"/>
      <c r="N688" s="12"/>
      <c r="O688" s="12"/>
      <c r="P688" s="12"/>
      <c r="Q688" s="17"/>
      <c r="R688" s="18">
        <f>IF(SUMPRODUCT((E688:Q688)*1)=0,0,E688*INDEX(Hours!M:M,MATCH(C688,Hours!$A:$A,0))+F688*INDEX(Hours!B:B,MATCH(C688,Hours!$A:$A,0))+G688*INDEX(Hours!C:C,MATCH(C688,Hours!$A:$A,0))+H688*INDEX(Hours!D:D,MATCH(C688,Hours!$A:$A,0))+I688*INDEX(Hours!E:E,MATCH(C688,Hours!$A:$A,0))+J688*INDEX(Hours!F:F,MATCH(C688,Hours!$A:$A,0)))</f>
        <v>0</v>
      </c>
      <c r="S688" s="19">
        <f t="shared" si="21"/>
        <v>0</v>
      </c>
    </row>
    <row r="689" spans="1:19" x14ac:dyDescent="0.25">
      <c r="A689" s="11" t="str">
        <f>'Bldgs &amp; Rooms'!$A$20</f>
        <v>Main Bldg.</v>
      </c>
      <c r="B689" s="11">
        <f>'Bldgs &amp; Rooms'!$B$20</f>
        <v>0</v>
      </c>
      <c r="C689" s="10" t="str">
        <f>Hours!$A$23</f>
        <v>Lighting Contactor &gt; 100A</v>
      </c>
      <c r="D689" s="11">
        <f t="shared" si="20"/>
        <v>0</v>
      </c>
      <c r="E689" s="16">
        <f>IF('Components Yr 1'!E689=0,0,'Components Yr 1'!E689)</f>
        <v>0</v>
      </c>
      <c r="F689" s="17">
        <f>IF('Components Yr 1'!F689=0,0,'Components Yr 1'!F689)</f>
        <v>0</v>
      </c>
      <c r="G689" s="17">
        <f>IF('Components Yr 1'!G689=0,0,'Components Yr 1'!G689)</f>
        <v>0</v>
      </c>
      <c r="H689" s="17">
        <f>IF('Components Yr 1'!H689=0,0,'Components Yr 1'!H689)</f>
        <v>0</v>
      </c>
      <c r="I689" s="17">
        <f>IF('Components Yr 1'!I689=0,0,'Components Yr 1'!I689)</f>
        <v>0</v>
      </c>
      <c r="J689" s="17">
        <f>IF('Components Yr 1'!J689=0,0,'Components Yr 1'!J689)</f>
        <v>0</v>
      </c>
      <c r="K689" s="12"/>
      <c r="L689" s="12"/>
      <c r="M689" s="12"/>
      <c r="N689" s="12"/>
      <c r="O689" s="12"/>
      <c r="P689" s="12"/>
      <c r="Q689" s="17"/>
      <c r="R689" s="18">
        <f>IF(SUMPRODUCT((E689:Q689)*1)=0,0,E689*INDEX(Hours!M:M,MATCH(C689,Hours!$A:$A,0))+F689*INDEX(Hours!B:B,MATCH(C689,Hours!$A:$A,0))+G689*INDEX(Hours!C:C,MATCH(C689,Hours!$A:$A,0))+H689*INDEX(Hours!D:D,MATCH(C689,Hours!$A:$A,0))+I689*INDEX(Hours!E:E,MATCH(C689,Hours!$A:$A,0))+J689*INDEX(Hours!F:F,MATCH(C689,Hours!$A:$A,0)))</f>
        <v>0</v>
      </c>
      <c r="S689" s="19">
        <f t="shared" si="21"/>
        <v>0</v>
      </c>
    </row>
    <row r="690" spans="1:19" x14ac:dyDescent="0.25">
      <c r="A690" s="11" t="str">
        <f>'Bldgs &amp; Rooms'!$A$20</f>
        <v>Main Bldg.</v>
      </c>
      <c r="B690" s="11">
        <f>'Bldgs &amp; Rooms'!$B$20</f>
        <v>0</v>
      </c>
      <c r="C690" s="10" t="str">
        <f>Hours!$A$24</f>
        <v>Power Distribution Unit (PDU)</v>
      </c>
      <c r="D690" s="11">
        <f t="shared" si="20"/>
        <v>0</v>
      </c>
      <c r="E690" s="16">
        <f>IF('Components Yr 1'!E690=0,0,'Components Yr 1'!E690)</f>
        <v>0</v>
      </c>
      <c r="F690" s="17">
        <f>IF('Components Yr 1'!F690=0,0,'Components Yr 1'!F690)</f>
        <v>0</v>
      </c>
      <c r="G690" s="17">
        <f>IF('Components Yr 1'!G690=0,0,'Components Yr 1'!G690)</f>
        <v>0</v>
      </c>
      <c r="H690" s="17">
        <f>IF('Components Yr 1'!H690=0,0,'Components Yr 1'!H690)</f>
        <v>0</v>
      </c>
      <c r="I690" s="17">
        <f>IF('Components Yr 1'!I690=0,0,'Components Yr 1'!I690)</f>
        <v>0</v>
      </c>
      <c r="J690" s="17">
        <f>IF('Components Yr 1'!J690=0,0,'Components Yr 1'!J690)</f>
        <v>0</v>
      </c>
      <c r="K690" s="12"/>
      <c r="L690" s="12"/>
      <c r="M690" s="12"/>
      <c r="N690" s="12"/>
      <c r="O690" s="12"/>
      <c r="P690" s="12"/>
      <c r="Q690" s="17"/>
      <c r="R690" s="18">
        <f>IF(SUMPRODUCT((E690:Q690)*1)=0,0,E690*INDEX(Hours!M:M,MATCH(C690,Hours!$A:$A,0))+F690*INDEX(Hours!B:B,MATCH(C690,Hours!$A:$A,0))+G690*INDEX(Hours!C:C,MATCH(C690,Hours!$A:$A,0))+H690*INDEX(Hours!D:D,MATCH(C690,Hours!$A:$A,0))+I690*INDEX(Hours!E:E,MATCH(C690,Hours!$A:$A,0))+J690*INDEX(Hours!F:F,MATCH(C690,Hours!$A:$A,0)))</f>
        <v>0</v>
      </c>
      <c r="S690" s="19">
        <f t="shared" si="21"/>
        <v>0</v>
      </c>
    </row>
    <row r="691" spans="1:19" x14ac:dyDescent="0.25">
      <c r="A691" s="11" t="str">
        <f>'Bldgs &amp; Rooms'!$A$20</f>
        <v>Main Bldg.</v>
      </c>
      <c r="B691" s="11">
        <f>'Bldgs &amp; Rooms'!$B$20</f>
        <v>0</v>
      </c>
      <c r="C691" s="10" t="str">
        <f>Hours!$A$25</f>
        <v>Wire Trough, Gutter, or Large Junction Boxes</v>
      </c>
      <c r="D691" s="11">
        <f t="shared" si="20"/>
        <v>0</v>
      </c>
      <c r="E691" s="16">
        <f>IF('Components Yr 1'!E691=0,0,'Components Yr 1'!E691)</f>
        <v>0</v>
      </c>
      <c r="F691" s="17">
        <f>IF('Components Yr 1'!F691=0,0,'Components Yr 1'!F691)</f>
        <v>0</v>
      </c>
      <c r="G691" s="17">
        <f>IF('Components Yr 1'!G691=0,0,'Components Yr 1'!G691)</f>
        <v>0</v>
      </c>
      <c r="H691" s="17">
        <f>IF('Components Yr 1'!H691=0,0,'Components Yr 1'!H691)</f>
        <v>0</v>
      </c>
      <c r="I691" s="17">
        <f>IF('Components Yr 1'!I691=0,0,'Components Yr 1'!I691)</f>
        <v>0</v>
      </c>
      <c r="J691" s="17">
        <f>IF('Components Yr 1'!J691=0,0,'Components Yr 1'!J691)</f>
        <v>0</v>
      </c>
      <c r="K691" s="12"/>
      <c r="L691" s="12"/>
      <c r="M691" s="12"/>
      <c r="N691" s="12"/>
      <c r="O691" s="12"/>
      <c r="P691" s="12"/>
      <c r="Q691" s="17"/>
      <c r="R691" s="18">
        <f>IF(SUMPRODUCT((E691:Q691)*1)=0,0,E691*INDEX(Hours!M:M,MATCH(C691,Hours!$A:$A,0))+F691*INDEX(Hours!B:B,MATCH(C691,Hours!$A:$A,0))+G691*INDEX(Hours!C:C,MATCH(C691,Hours!$A:$A,0))+H691*INDEX(Hours!D:D,MATCH(C691,Hours!$A:$A,0))+I691*INDEX(Hours!E:E,MATCH(C691,Hours!$A:$A,0))+J691*INDEX(Hours!F:F,MATCH(C691,Hours!$A:$A,0)))</f>
        <v>0</v>
      </c>
      <c r="S691" s="19">
        <f t="shared" si="21"/>
        <v>0</v>
      </c>
    </row>
    <row r="692" spans="1:19" x14ac:dyDescent="0.25">
      <c r="A692" s="11" t="str">
        <f>'Bldgs &amp; Rooms'!$A$20</f>
        <v>Main Bldg.</v>
      </c>
      <c r="B692" s="11">
        <f>'Bldgs &amp; Rooms'!$B$20</f>
        <v>0</v>
      </c>
      <c r="C692" s="10" t="str">
        <f>Hours!$A$26</f>
        <v>Bus Duct - Vertical or Horizontal (Per 10' section)</v>
      </c>
      <c r="D692" s="11">
        <f t="shared" si="20"/>
        <v>0</v>
      </c>
      <c r="E692" s="16">
        <f>IF('Components Yr 1'!E692=0,0,'Components Yr 1'!E692)</f>
        <v>0</v>
      </c>
      <c r="F692" s="17">
        <f>IF('Components Yr 1'!F692=0,0,'Components Yr 1'!F692)</f>
        <v>0</v>
      </c>
      <c r="G692" s="17">
        <f>IF('Components Yr 1'!G692=0,0,'Components Yr 1'!G692)</f>
        <v>0</v>
      </c>
      <c r="H692" s="17">
        <f>IF('Components Yr 1'!H692=0,0,'Components Yr 1'!H692)</f>
        <v>0</v>
      </c>
      <c r="I692" s="17">
        <f>IF('Components Yr 1'!I692=0,0,'Components Yr 1'!I692)</f>
        <v>0</v>
      </c>
      <c r="J692" s="17">
        <f>IF('Components Yr 1'!J692=0,0,'Components Yr 1'!J692)</f>
        <v>0</v>
      </c>
      <c r="K692" s="12"/>
      <c r="L692" s="12"/>
      <c r="M692" s="12"/>
      <c r="N692" s="12"/>
      <c r="O692" s="12"/>
      <c r="P692" s="12"/>
      <c r="Q692" s="17"/>
      <c r="R692" s="18">
        <f>IF(SUMPRODUCT((E692:Q692)*1)=0,0,E692*INDEX(Hours!M:M,MATCH(C692,Hours!$A:$A,0))+F692*INDEX(Hours!B:B,MATCH(C692,Hours!$A:$A,0))+G692*INDEX(Hours!C:C,MATCH(C692,Hours!$A:$A,0))+H692*INDEX(Hours!D:D,MATCH(C692,Hours!$A:$A,0))+I692*INDEX(Hours!E:E,MATCH(C692,Hours!$A:$A,0))+J692*INDEX(Hours!F:F,MATCH(C692,Hours!$A:$A,0)))</f>
        <v>0</v>
      </c>
      <c r="S692" s="19">
        <f t="shared" si="21"/>
        <v>0</v>
      </c>
    </row>
    <row r="693" spans="1:19" x14ac:dyDescent="0.25">
      <c r="A693" s="11" t="str">
        <f>'Bldgs &amp; Rooms'!$A$20</f>
        <v>Main Bldg.</v>
      </c>
      <c r="B693" s="11">
        <f>'Bldgs &amp; Rooms'!$B$20</f>
        <v>0</v>
      </c>
      <c r="C693" s="10" t="str">
        <f>Hours!$A$27</f>
        <v>Automatic Transfer Switch (ATS) &gt; 100A</v>
      </c>
      <c r="D693" s="11">
        <f t="shared" si="20"/>
        <v>0</v>
      </c>
      <c r="E693" s="16">
        <f>IF('Components Yr 1'!E693=0,0,'Components Yr 1'!E693)</f>
        <v>0</v>
      </c>
      <c r="F693" s="17">
        <f>IF('Components Yr 1'!F693=0,0,'Components Yr 1'!F693)</f>
        <v>0</v>
      </c>
      <c r="G693" s="17">
        <f>IF('Components Yr 1'!G693=0,0,'Components Yr 1'!G693)</f>
        <v>0</v>
      </c>
      <c r="H693" s="17">
        <f>IF('Components Yr 1'!H693=0,0,'Components Yr 1'!H693)</f>
        <v>0</v>
      </c>
      <c r="I693" s="17">
        <f>IF('Components Yr 1'!I693=0,0,'Components Yr 1'!I693)</f>
        <v>0</v>
      </c>
      <c r="J693" s="17">
        <f>IF('Components Yr 1'!J693=0,0,'Components Yr 1'!J693)</f>
        <v>0</v>
      </c>
      <c r="K693" s="12"/>
      <c r="L693" s="12"/>
      <c r="M693" s="12"/>
      <c r="N693" s="12"/>
      <c r="O693" s="12"/>
      <c r="P693" s="12"/>
      <c r="Q693" s="17"/>
      <c r="R693" s="18">
        <f>IF(SUMPRODUCT((E693:Q693)*1)=0,0,E693*INDEX(Hours!M:M,MATCH(C693,Hours!$A:$A,0))+F693*INDEX(Hours!B:B,MATCH(C693,Hours!$A:$A,0))+G693*INDEX(Hours!C:C,MATCH(C693,Hours!$A:$A,0))+H693*INDEX(Hours!D:D,MATCH(C693,Hours!$A:$A,0))+I693*INDEX(Hours!E:E,MATCH(C693,Hours!$A:$A,0))+J693*INDEX(Hours!F:F,MATCH(C693,Hours!$A:$A,0)))</f>
        <v>0</v>
      </c>
      <c r="S693" s="19">
        <f t="shared" si="21"/>
        <v>0</v>
      </c>
    </row>
    <row r="694" spans="1:19" x14ac:dyDescent="0.25">
      <c r="A694" s="11" t="str">
        <f>'Bldgs &amp; Rooms'!$A$20</f>
        <v>Main Bldg.</v>
      </c>
      <c r="B694" s="11">
        <f>'Bldgs &amp; Rooms'!$B$20</f>
        <v>0</v>
      </c>
      <c r="C694" s="10" t="str">
        <f>Hours!$A$28</f>
        <v>Manual Transfer Switch (MTS) &gt; 100A</v>
      </c>
      <c r="D694" s="11">
        <f t="shared" si="20"/>
        <v>0</v>
      </c>
      <c r="E694" s="16">
        <f>IF('Components Yr 1'!E694=0,0,'Components Yr 1'!E694)</f>
        <v>0</v>
      </c>
      <c r="F694" s="17">
        <f>IF('Components Yr 1'!F694=0,0,'Components Yr 1'!F694)</f>
        <v>0</v>
      </c>
      <c r="G694" s="17">
        <f>IF('Components Yr 1'!G694=0,0,'Components Yr 1'!G694)</f>
        <v>0</v>
      </c>
      <c r="H694" s="17">
        <f>IF('Components Yr 1'!H694=0,0,'Components Yr 1'!H694)</f>
        <v>0</v>
      </c>
      <c r="I694" s="17">
        <f>IF('Components Yr 1'!I694=0,0,'Components Yr 1'!I694)</f>
        <v>0</v>
      </c>
      <c r="J694" s="17">
        <f>IF('Components Yr 1'!J694=0,0,'Components Yr 1'!J694)</f>
        <v>0</v>
      </c>
      <c r="K694" s="12"/>
      <c r="L694" s="12"/>
      <c r="M694" s="12"/>
      <c r="N694" s="12"/>
      <c r="O694" s="12"/>
      <c r="P694" s="12"/>
      <c r="Q694" s="17"/>
      <c r="R694" s="18">
        <f>IF(SUMPRODUCT((E694:Q694)*1)=0,0,E694*INDEX(Hours!M:M,MATCH(C694,Hours!$A:$A,0))+F694*INDEX(Hours!B:B,MATCH(C694,Hours!$A:$A,0))+G694*INDEX(Hours!C:C,MATCH(C694,Hours!$A:$A,0))+H694*INDEX(Hours!D:D,MATCH(C694,Hours!$A:$A,0))+I694*INDEX(Hours!E:E,MATCH(C694,Hours!$A:$A,0))+J694*INDEX(Hours!F:F,MATCH(C694,Hours!$A:$A,0)))</f>
        <v>0</v>
      </c>
      <c r="S694" s="19">
        <f t="shared" si="21"/>
        <v>0</v>
      </c>
    </row>
    <row r="695" spans="1:19" x14ac:dyDescent="0.25">
      <c r="A695" s="11" t="str">
        <f>'Bldgs &amp; Rooms'!$A$20</f>
        <v>Main Bldg.</v>
      </c>
      <c r="B695" s="11">
        <f>'Bldgs &amp; Rooms'!$B$20</f>
        <v>0</v>
      </c>
      <c r="C695" s="10" t="str">
        <f>Hours!$A$29</f>
        <v>Variable Frequency Drives (VFD) &lt; 50 HP</v>
      </c>
      <c r="D695" s="11">
        <f t="shared" si="20"/>
        <v>0</v>
      </c>
      <c r="E695" s="16">
        <f>IF('Components Yr 1'!E695=0,0,'Components Yr 1'!E695)</f>
        <v>0</v>
      </c>
      <c r="F695" s="17">
        <f>IF('Components Yr 1'!F695=0,0,'Components Yr 1'!F695)</f>
        <v>0</v>
      </c>
      <c r="G695" s="17">
        <f>IF('Components Yr 1'!G695=0,0,'Components Yr 1'!G695)</f>
        <v>0</v>
      </c>
      <c r="H695" s="17">
        <f>IF('Components Yr 1'!H695=0,0,'Components Yr 1'!H695)</f>
        <v>0</v>
      </c>
      <c r="I695" s="17">
        <f>IF('Components Yr 1'!I695=0,0,'Components Yr 1'!I695)</f>
        <v>0</v>
      </c>
      <c r="J695" s="17">
        <f>IF('Components Yr 1'!J695=0,0,'Components Yr 1'!J695)</f>
        <v>0</v>
      </c>
      <c r="K695" s="12"/>
      <c r="L695" s="12"/>
      <c r="M695" s="12"/>
      <c r="N695" s="12"/>
      <c r="O695" s="12"/>
      <c r="P695" s="12"/>
      <c r="Q695" s="17"/>
      <c r="R695" s="18">
        <f>IF(SUMPRODUCT((E695:Q695)*1)=0,0,E695*INDEX(Hours!M:M,MATCH(C695,Hours!$A:$A,0))+F695*INDEX(Hours!B:B,MATCH(C695,Hours!$A:$A,0))+G695*INDEX(Hours!C:C,MATCH(C695,Hours!$A:$A,0))+H695*INDEX(Hours!D:D,MATCH(C695,Hours!$A:$A,0))+I695*INDEX(Hours!E:E,MATCH(C695,Hours!$A:$A,0))+J695*INDEX(Hours!F:F,MATCH(C695,Hours!$A:$A,0)))</f>
        <v>0</v>
      </c>
      <c r="S695" s="19">
        <f t="shared" si="21"/>
        <v>0</v>
      </c>
    </row>
    <row r="696" spans="1:19" x14ac:dyDescent="0.25">
      <c r="A696" s="11" t="str">
        <f>'Bldgs &amp; Rooms'!$A$20</f>
        <v>Main Bldg.</v>
      </c>
      <c r="B696" s="11">
        <f>'Bldgs &amp; Rooms'!$B$20</f>
        <v>0</v>
      </c>
      <c r="C696" s="10" t="str">
        <f>Hours!$A$30</f>
        <v>Variable Frequency Drives (VFD) 51-200 HP</v>
      </c>
      <c r="D696" s="11">
        <f t="shared" si="20"/>
        <v>0</v>
      </c>
      <c r="E696" s="16">
        <f>IF('Components Yr 1'!E696=0,0,'Components Yr 1'!E696)</f>
        <v>0</v>
      </c>
      <c r="F696" s="17">
        <f>IF('Components Yr 1'!F696=0,0,'Components Yr 1'!F696)</f>
        <v>0</v>
      </c>
      <c r="G696" s="17">
        <f>IF('Components Yr 1'!G696=0,0,'Components Yr 1'!G696)</f>
        <v>0</v>
      </c>
      <c r="H696" s="17">
        <f>IF('Components Yr 1'!H696=0,0,'Components Yr 1'!H696)</f>
        <v>0</v>
      </c>
      <c r="I696" s="17">
        <f>IF('Components Yr 1'!I696=0,0,'Components Yr 1'!I696)</f>
        <v>0</v>
      </c>
      <c r="J696" s="17">
        <f>IF('Components Yr 1'!J696=0,0,'Components Yr 1'!J696)</f>
        <v>0</v>
      </c>
      <c r="K696" s="12"/>
      <c r="L696" s="12"/>
      <c r="M696" s="12"/>
      <c r="N696" s="12"/>
      <c r="O696" s="12"/>
      <c r="P696" s="12"/>
      <c r="Q696" s="17"/>
      <c r="R696" s="18">
        <f>IF(SUMPRODUCT((E696:Q696)*1)=0,0,E696*INDEX(Hours!M:M,MATCH(C696,Hours!$A:$A,0))+F696*INDEX(Hours!B:B,MATCH(C696,Hours!$A:$A,0))+G696*INDEX(Hours!C:C,MATCH(C696,Hours!$A:$A,0))+H696*INDEX(Hours!D:D,MATCH(C696,Hours!$A:$A,0))+I696*INDEX(Hours!E:E,MATCH(C696,Hours!$A:$A,0))+J696*INDEX(Hours!F:F,MATCH(C696,Hours!$A:$A,0)))</f>
        <v>0</v>
      </c>
      <c r="S696" s="19">
        <f t="shared" si="21"/>
        <v>0</v>
      </c>
    </row>
    <row r="697" spans="1:19" x14ac:dyDescent="0.25">
      <c r="A697" s="11" t="str">
        <f>'Bldgs &amp; Rooms'!$A$20</f>
        <v>Main Bldg.</v>
      </c>
      <c r="B697" s="11">
        <f>'Bldgs &amp; Rooms'!$B$20</f>
        <v>0</v>
      </c>
      <c r="C697" s="10" t="str">
        <f>Hours!$A$31</f>
        <v>Motors &lt; 50 HP</v>
      </c>
      <c r="D697" s="11">
        <f t="shared" si="20"/>
        <v>0</v>
      </c>
      <c r="E697" s="16">
        <f>IF('Components Yr 1'!E697=0,0,'Components Yr 1'!E697)</f>
        <v>0</v>
      </c>
      <c r="F697" s="17">
        <f>IF('Components Yr 1'!F697=0,0,'Components Yr 1'!F697)</f>
        <v>0</v>
      </c>
      <c r="G697" s="17">
        <f>IF('Components Yr 1'!G697=0,0,'Components Yr 1'!G697)</f>
        <v>0</v>
      </c>
      <c r="H697" s="17">
        <f>IF('Components Yr 1'!H697=0,0,'Components Yr 1'!H697)</f>
        <v>0</v>
      </c>
      <c r="I697" s="17">
        <f>IF('Components Yr 1'!I697=0,0,'Components Yr 1'!I697)</f>
        <v>0</v>
      </c>
      <c r="J697" s="17">
        <f>IF('Components Yr 1'!J697=0,0,'Components Yr 1'!J697)</f>
        <v>0</v>
      </c>
      <c r="K697" s="12"/>
      <c r="L697" s="12"/>
      <c r="M697" s="12"/>
      <c r="N697" s="12"/>
      <c r="O697" s="12"/>
      <c r="P697" s="12"/>
      <c r="Q697" s="17"/>
      <c r="R697" s="18">
        <f>IF(SUMPRODUCT((E697:Q697)*1)=0,0,E697*INDEX(Hours!M:M,MATCH(C697,Hours!$A:$A,0))+F697*INDEX(Hours!B:B,MATCH(C697,Hours!$A:$A,0))+G697*INDEX(Hours!C:C,MATCH(C697,Hours!$A:$A,0))+H697*INDEX(Hours!D:D,MATCH(C697,Hours!$A:$A,0))+I697*INDEX(Hours!E:E,MATCH(C697,Hours!$A:$A,0))+J697*INDEX(Hours!F:F,MATCH(C697,Hours!$A:$A,0)))</f>
        <v>0</v>
      </c>
      <c r="S697" s="19">
        <f t="shared" si="21"/>
        <v>0</v>
      </c>
    </row>
    <row r="698" spans="1:19" x14ac:dyDescent="0.25">
      <c r="A698" s="11" t="str">
        <f>'Bldgs &amp; Rooms'!$A$20</f>
        <v>Main Bldg.</v>
      </c>
      <c r="B698" s="11">
        <f>'Bldgs &amp; Rooms'!$B$20</f>
        <v>0</v>
      </c>
      <c r="C698" s="10" t="str">
        <f>Hours!$A$32</f>
        <v>Motors 51-200 HP</v>
      </c>
      <c r="D698" s="11">
        <f t="shared" si="20"/>
        <v>0</v>
      </c>
      <c r="E698" s="16">
        <f>IF('Components Yr 1'!E698=0,0,'Components Yr 1'!E698)</f>
        <v>0</v>
      </c>
      <c r="F698" s="17">
        <f>IF('Components Yr 1'!F698=0,0,'Components Yr 1'!F698)</f>
        <v>0</v>
      </c>
      <c r="G698" s="17">
        <f>IF('Components Yr 1'!G698=0,0,'Components Yr 1'!G698)</f>
        <v>0</v>
      </c>
      <c r="H698" s="17">
        <f>IF('Components Yr 1'!H698=0,0,'Components Yr 1'!H698)</f>
        <v>0</v>
      </c>
      <c r="I698" s="17">
        <f>IF('Components Yr 1'!I698=0,0,'Components Yr 1'!I698)</f>
        <v>0</v>
      </c>
      <c r="J698" s="17">
        <f>IF('Components Yr 1'!J698=0,0,'Components Yr 1'!J698)</f>
        <v>0</v>
      </c>
      <c r="K698" s="12"/>
      <c r="L698" s="12"/>
      <c r="M698" s="12"/>
      <c r="N698" s="12"/>
      <c r="O698" s="12"/>
      <c r="P698" s="12"/>
      <c r="Q698" s="17"/>
      <c r="R698" s="18">
        <f>IF(SUMPRODUCT((E698:Q698)*1)=0,0,E698*INDEX(Hours!M:M,MATCH(C698,Hours!$A:$A,0))+F698*INDEX(Hours!B:B,MATCH(C698,Hours!$A:$A,0))+G698*INDEX(Hours!C:C,MATCH(C698,Hours!$A:$A,0))+H698*INDEX(Hours!D:D,MATCH(C698,Hours!$A:$A,0))+I698*INDEX(Hours!E:E,MATCH(C698,Hours!$A:$A,0))+J698*INDEX(Hours!F:F,MATCH(C698,Hours!$A:$A,0)))</f>
        <v>0</v>
      </c>
      <c r="S698" s="19">
        <f t="shared" si="21"/>
        <v>0</v>
      </c>
    </row>
    <row r="699" spans="1:19" x14ac:dyDescent="0.25">
      <c r="A699" s="11" t="str">
        <f>'Bldgs &amp; Rooms'!$A$20</f>
        <v>Main Bldg.</v>
      </c>
      <c r="B699" s="11">
        <f>'Bldgs &amp; Rooms'!$B$20</f>
        <v>0</v>
      </c>
      <c r="C699" s="10" t="str">
        <f>Hours!$A$33</f>
        <v>Motors 201-500 HP</v>
      </c>
      <c r="D699" s="11">
        <f t="shared" si="20"/>
        <v>0</v>
      </c>
      <c r="E699" s="16">
        <f>IF('Components Yr 1'!E699=0,0,'Components Yr 1'!E699)</f>
        <v>0</v>
      </c>
      <c r="F699" s="17">
        <f>IF('Components Yr 1'!F699=0,0,'Components Yr 1'!F699)</f>
        <v>0</v>
      </c>
      <c r="G699" s="17">
        <f>IF('Components Yr 1'!G699=0,0,'Components Yr 1'!G699)</f>
        <v>0</v>
      </c>
      <c r="H699" s="17">
        <f>IF('Components Yr 1'!H699=0,0,'Components Yr 1'!H699)</f>
        <v>0</v>
      </c>
      <c r="I699" s="17">
        <f>IF('Components Yr 1'!I699=0,0,'Components Yr 1'!I699)</f>
        <v>0</v>
      </c>
      <c r="J699" s="17">
        <f>IF('Components Yr 1'!J699=0,0,'Components Yr 1'!J699)</f>
        <v>0</v>
      </c>
      <c r="K699" s="12"/>
      <c r="L699" s="12"/>
      <c r="M699" s="12"/>
      <c r="N699" s="12"/>
      <c r="O699" s="12"/>
      <c r="P699" s="12"/>
      <c r="Q699" s="17"/>
      <c r="R699" s="18">
        <f>IF(SUMPRODUCT((E699:Q699)*1)=0,0,E699*INDEX(Hours!M:M,MATCH(C699,Hours!$A:$A,0))+F699*INDEX(Hours!B:B,MATCH(C699,Hours!$A:$A,0))+G699*INDEX(Hours!C:C,MATCH(C699,Hours!$A:$A,0))+H699*INDEX(Hours!D:D,MATCH(C699,Hours!$A:$A,0))+I699*INDEX(Hours!E:E,MATCH(C699,Hours!$A:$A,0))+J699*INDEX(Hours!F:F,MATCH(C699,Hours!$A:$A,0)))</f>
        <v>0</v>
      </c>
      <c r="S699" s="19">
        <f t="shared" si="21"/>
        <v>0</v>
      </c>
    </row>
    <row r="700" spans="1:19" x14ac:dyDescent="0.25">
      <c r="A700" s="11" t="str">
        <f>'Bldgs &amp; Rooms'!$A$20</f>
        <v>Main Bldg.</v>
      </c>
      <c r="B700" s="11">
        <f>'Bldgs &amp; Rooms'!$B$20</f>
        <v>0</v>
      </c>
      <c r="C700" s="10" t="str">
        <f>Hours!$A$34</f>
        <v>Compressed Air Equipment</v>
      </c>
      <c r="D700" s="11">
        <f t="shared" si="20"/>
        <v>0</v>
      </c>
      <c r="E700" s="16">
        <f>IF('Components Yr 1'!E700=0,0,'Components Yr 1'!E700)</f>
        <v>0</v>
      </c>
      <c r="F700" s="17">
        <f>IF('Components Yr 1'!F700=0,0,'Components Yr 1'!F700)</f>
        <v>0</v>
      </c>
      <c r="G700" s="17">
        <f>IF('Components Yr 1'!G700=0,0,'Components Yr 1'!G700)</f>
        <v>0</v>
      </c>
      <c r="H700" s="17">
        <f>IF('Components Yr 1'!H700=0,0,'Components Yr 1'!H700)</f>
        <v>0</v>
      </c>
      <c r="I700" s="17">
        <f>IF('Components Yr 1'!I700=0,0,'Components Yr 1'!I700)</f>
        <v>0</v>
      </c>
      <c r="J700" s="17">
        <f>IF('Components Yr 1'!J700=0,0,'Components Yr 1'!J700)</f>
        <v>0</v>
      </c>
      <c r="K700" s="12"/>
      <c r="L700" s="12"/>
      <c r="M700" s="12"/>
      <c r="N700" s="12"/>
      <c r="O700" s="12"/>
      <c r="P700" s="12"/>
      <c r="Q700" s="17"/>
      <c r="R700" s="18">
        <f>IF(SUMPRODUCT((E700:Q700)*1)=0,0,E700*INDEX(Hours!M:M,MATCH(C700,Hours!$A:$A,0))+F700*INDEX(Hours!B:B,MATCH(C700,Hours!$A:$A,0))+G700*INDEX(Hours!C:C,MATCH(C700,Hours!$A:$A,0))+H700*INDEX(Hours!D:D,MATCH(C700,Hours!$A:$A,0))+I700*INDEX(Hours!E:E,MATCH(C700,Hours!$A:$A,0))+J700*INDEX(Hours!F:F,MATCH(C700,Hours!$A:$A,0)))</f>
        <v>0</v>
      </c>
      <c r="S700" s="19">
        <f t="shared" si="21"/>
        <v>0</v>
      </c>
    </row>
    <row r="701" spans="1:19" x14ac:dyDescent="0.25">
      <c r="A701" s="11" t="str">
        <f>'Bldgs &amp; Rooms'!$A$20</f>
        <v>Main Bldg.</v>
      </c>
      <c r="B701" s="11">
        <f>'Bldgs &amp; Rooms'!$B$20</f>
        <v>0</v>
      </c>
      <c r="C701" s="10" t="str">
        <f>Hours!$A$35</f>
        <v>HVAC Equipment (Large)</v>
      </c>
      <c r="D701" s="11">
        <f t="shared" si="20"/>
        <v>0</v>
      </c>
      <c r="E701" s="16">
        <f>IF('Components Yr 1'!E701=0,0,'Components Yr 1'!E701)</f>
        <v>0</v>
      </c>
      <c r="F701" s="17">
        <f>IF('Components Yr 1'!F701=0,0,'Components Yr 1'!F701)</f>
        <v>0</v>
      </c>
      <c r="G701" s="17">
        <f>IF('Components Yr 1'!G701=0,0,'Components Yr 1'!G701)</f>
        <v>0</v>
      </c>
      <c r="H701" s="17">
        <f>IF('Components Yr 1'!H701=0,0,'Components Yr 1'!H701)</f>
        <v>0</v>
      </c>
      <c r="I701" s="17">
        <f>IF('Components Yr 1'!I701=0,0,'Components Yr 1'!I701)</f>
        <v>0</v>
      </c>
      <c r="J701" s="17">
        <f>IF('Components Yr 1'!J701=0,0,'Components Yr 1'!J701)</f>
        <v>0</v>
      </c>
      <c r="K701" s="12"/>
      <c r="L701" s="12"/>
      <c r="M701" s="12"/>
      <c r="N701" s="12"/>
      <c r="O701" s="12"/>
      <c r="P701" s="12"/>
      <c r="Q701" s="17"/>
      <c r="R701" s="18">
        <f>IF(SUMPRODUCT((E701:Q701)*1)=0,0,E701*INDEX(Hours!M:M,MATCH(C701,Hours!$A:$A,0))+F701*INDEX(Hours!B:B,MATCH(C701,Hours!$A:$A,0))+G701*INDEX(Hours!C:C,MATCH(C701,Hours!$A:$A,0))+H701*INDEX(Hours!D:D,MATCH(C701,Hours!$A:$A,0))+I701*INDEX(Hours!E:E,MATCH(C701,Hours!$A:$A,0))+J701*INDEX(Hours!F:F,MATCH(C701,Hours!$A:$A,0)))</f>
        <v>0</v>
      </c>
      <c r="S701" s="19">
        <f t="shared" si="21"/>
        <v>0</v>
      </c>
    </row>
    <row r="702" spans="1:19" x14ac:dyDescent="0.25">
      <c r="A702" s="11" t="str">
        <f>'Bldgs &amp; Rooms'!$A$20</f>
        <v>Main Bldg.</v>
      </c>
      <c r="B702" s="11">
        <f>'Bldgs &amp; Rooms'!$B$20</f>
        <v>0</v>
      </c>
      <c r="C702" s="10" t="str">
        <f>Hours!$A$36</f>
        <v>HVAC Equipment (Small)</v>
      </c>
      <c r="D702" s="11">
        <f t="shared" si="20"/>
        <v>0</v>
      </c>
      <c r="E702" s="16">
        <f>IF('Components Yr 1'!E702=0,0,'Components Yr 1'!E702)</f>
        <v>0</v>
      </c>
      <c r="F702" s="17">
        <f>IF('Components Yr 1'!F702=0,0,'Components Yr 1'!F702)</f>
        <v>0</v>
      </c>
      <c r="G702" s="17">
        <f>IF('Components Yr 1'!G702=0,0,'Components Yr 1'!G702)</f>
        <v>0</v>
      </c>
      <c r="H702" s="17">
        <f>IF('Components Yr 1'!H702=0,0,'Components Yr 1'!H702)</f>
        <v>0</v>
      </c>
      <c r="I702" s="17">
        <f>IF('Components Yr 1'!I702=0,0,'Components Yr 1'!I702)</f>
        <v>0</v>
      </c>
      <c r="J702" s="17">
        <f>IF('Components Yr 1'!J702=0,0,'Components Yr 1'!J702)</f>
        <v>0</v>
      </c>
      <c r="K702" s="12"/>
      <c r="L702" s="12"/>
      <c r="M702" s="12"/>
      <c r="N702" s="12"/>
      <c r="O702" s="12"/>
      <c r="P702" s="12"/>
      <c r="Q702" s="17"/>
      <c r="R702" s="18">
        <f>IF(SUMPRODUCT((E702:Q702)*1)=0,0,E702*INDEX(Hours!M:M,MATCH(C702,Hours!$A:$A,0))+F702*INDEX(Hours!B:B,MATCH(C702,Hours!$A:$A,0))+G702*INDEX(Hours!C:C,MATCH(C702,Hours!$A:$A,0))+H702*INDEX(Hours!D:D,MATCH(C702,Hours!$A:$A,0))+I702*INDEX(Hours!E:E,MATCH(C702,Hours!$A:$A,0))+J702*INDEX(Hours!F:F,MATCH(C702,Hours!$A:$A,0)))</f>
        <v>0</v>
      </c>
      <c r="S702" s="19">
        <f t="shared" si="21"/>
        <v>0</v>
      </c>
    </row>
    <row r="703" spans="1:19" x14ac:dyDescent="0.25">
      <c r="A703" s="11" t="str">
        <f>'Bldgs &amp; Rooms'!$A$20</f>
        <v>Main Bldg.</v>
      </c>
      <c r="B703" s="11">
        <f>'Bldgs &amp; Rooms'!$B$20</f>
        <v>0</v>
      </c>
      <c r="C703" s="10" t="str">
        <f>Hours!$A$37</f>
        <v>Uninterruptible Power Supply (UPS) &lt; 50kVA</v>
      </c>
      <c r="D703" s="11">
        <f t="shared" si="20"/>
        <v>0</v>
      </c>
      <c r="E703" s="16">
        <f>IF('Components Yr 1'!E703=0,0,'Components Yr 1'!E703)</f>
        <v>0</v>
      </c>
      <c r="F703" s="17">
        <f>IF('Components Yr 1'!F703=0,0,'Components Yr 1'!F703)</f>
        <v>0</v>
      </c>
      <c r="G703" s="17">
        <f>IF('Components Yr 1'!G703=0,0,'Components Yr 1'!G703)</f>
        <v>0</v>
      </c>
      <c r="H703" s="17">
        <f>IF('Components Yr 1'!H703=0,0,'Components Yr 1'!H703)</f>
        <v>0</v>
      </c>
      <c r="I703" s="17">
        <f>IF('Components Yr 1'!I703=0,0,'Components Yr 1'!I703)</f>
        <v>0</v>
      </c>
      <c r="J703" s="17">
        <f>IF('Components Yr 1'!J703=0,0,'Components Yr 1'!J703)</f>
        <v>0</v>
      </c>
      <c r="K703" s="12"/>
      <c r="L703" s="12"/>
      <c r="M703" s="12"/>
      <c r="N703" s="12"/>
      <c r="O703" s="12"/>
      <c r="P703" s="12"/>
      <c r="Q703" s="17"/>
      <c r="R703" s="18">
        <f>IF(SUMPRODUCT((E703:Q703)*1)=0,0,E703*INDEX(Hours!M:M,MATCH(C703,Hours!$A:$A,0))+F703*INDEX(Hours!B:B,MATCH(C703,Hours!$A:$A,0))+G703*INDEX(Hours!C:C,MATCH(C703,Hours!$A:$A,0))+H703*INDEX(Hours!D:D,MATCH(C703,Hours!$A:$A,0))+I703*INDEX(Hours!E:E,MATCH(C703,Hours!$A:$A,0))+J703*INDEX(Hours!F:F,MATCH(C703,Hours!$A:$A,0)))</f>
        <v>0</v>
      </c>
      <c r="S703" s="19">
        <f t="shared" si="21"/>
        <v>0</v>
      </c>
    </row>
    <row r="704" spans="1:19" x14ac:dyDescent="0.25">
      <c r="A704" s="11" t="str">
        <f>'Bldgs &amp; Rooms'!$A$20</f>
        <v>Main Bldg.</v>
      </c>
      <c r="B704" s="11">
        <f>'Bldgs &amp; Rooms'!$B$20</f>
        <v>0</v>
      </c>
      <c r="C704" s="10" t="str">
        <f>Hours!$A$38</f>
        <v>Uninterruptible Power Supply (UPS) &gt; 50kVA</v>
      </c>
      <c r="D704" s="11">
        <f t="shared" si="20"/>
        <v>0</v>
      </c>
      <c r="E704" s="16">
        <f>IF('Components Yr 1'!E704=0,0,'Components Yr 1'!E704)</f>
        <v>0</v>
      </c>
      <c r="F704" s="17">
        <f>IF('Components Yr 1'!F704=0,0,'Components Yr 1'!F704)</f>
        <v>0</v>
      </c>
      <c r="G704" s="17">
        <f>IF('Components Yr 1'!G704=0,0,'Components Yr 1'!G704)</f>
        <v>0</v>
      </c>
      <c r="H704" s="17">
        <f>IF('Components Yr 1'!H704=0,0,'Components Yr 1'!H704)</f>
        <v>0</v>
      </c>
      <c r="I704" s="17">
        <f>IF('Components Yr 1'!I704=0,0,'Components Yr 1'!I704)</f>
        <v>0</v>
      </c>
      <c r="J704" s="17">
        <f>IF('Components Yr 1'!J704=0,0,'Components Yr 1'!J704)</f>
        <v>0</v>
      </c>
      <c r="K704" s="12"/>
      <c r="L704" s="12"/>
      <c r="M704" s="12"/>
      <c r="N704" s="12"/>
      <c r="O704" s="12"/>
      <c r="P704" s="12"/>
      <c r="Q704" s="17"/>
      <c r="R704" s="18">
        <f>IF(SUMPRODUCT((E704:Q704)*1)=0,0,E704*INDEX(Hours!M:M,MATCH(C704,Hours!$A:$A,0))+F704*INDEX(Hours!B:B,MATCH(C704,Hours!$A:$A,0))+G704*INDEX(Hours!C:C,MATCH(C704,Hours!$A:$A,0))+H704*INDEX(Hours!D:D,MATCH(C704,Hours!$A:$A,0))+I704*INDEX(Hours!E:E,MATCH(C704,Hours!$A:$A,0))+J704*INDEX(Hours!F:F,MATCH(C704,Hours!$A:$A,0)))</f>
        <v>0</v>
      </c>
      <c r="S704" s="19">
        <f t="shared" si="21"/>
        <v>0</v>
      </c>
    </row>
    <row r="705" spans="1:19" x14ac:dyDescent="0.25">
      <c r="A705" s="15" t="str">
        <f>'Bldgs &amp; Rooms'!$A$21</f>
        <v>Main Bldg.</v>
      </c>
      <c r="B705" s="15">
        <f>'Bldgs &amp; Rooms'!$B$21</f>
        <v>0</v>
      </c>
      <c r="C705" s="14" t="str">
        <f>Hours!$A$2</f>
        <v>Switchgear - Incoming Main Service (Per Section)</v>
      </c>
      <c r="D705" s="15">
        <f t="shared" si="20"/>
        <v>0</v>
      </c>
      <c r="E705" s="16">
        <f>IF('Components Yr 1'!E705=0,0,'Components Yr 1'!E705)</f>
        <v>0</v>
      </c>
      <c r="F705" s="17">
        <f>IF('Components Yr 1'!F705=0,0,'Components Yr 1'!F705)</f>
        <v>0</v>
      </c>
      <c r="G705" s="17">
        <f>IF('Components Yr 1'!G705=0,0,'Components Yr 1'!G705)</f>
        <v>0</v>
      </c>
      <c r="H705" s="17">
        <f>IF('Components Yr 1'!H705=0,0,'Components Yr 1'!H705)</f>
        <v>0</v>
      </c>
      <c r="I705" s="17">
        <f>IF('Components Yr 1'!I705=0,0,'Components Yr 1'!I705)</f>
        <v>0</v>
      </c>
      <c r="J705" s="17">
        <f>IF('Components Yr 1'!J705=0,0,'Components Yr 1'!J705)</f>
        <v>0</v>
      </c>
      <c r="K705" s="17">
        <f>IF('Components Yr 1'!K705=0,0,'Components Yr 1'!K705)</f>
        <v>0</v>
      </c>
      <c r="L705" s="17">
        <f>IF('Components Yr 1'!L705=0,0,'Components Yr 1'!L705)</f>
        <v>0</v>
      </c>
      <c r="M705" s="12"/>
      <c r="N705" s="12"/>
      <c r="O705" s="17">
        <f>IF('Components Yr 1'!O705=0,0,'Components Yr 1'!O705)</f>
        <v>0</v>
      </c>
      <c r="P705" s="12"/>
      <c r="Q705" s="17"/>
      <c r="R705" s="18">
        <f>IF(SUMPRODUCT((E705:Q705)*1)=0,0,E705*INDEX(Hours!M:M,MATCH(C705,Hours!$A:$A,0))+F705*INDEX(Hours!B:B,MATCH(C705,Hours!$A:$A,0))+G705*INDEX(Hours!C:C,MATCH(C705,Hours!$A:$A,0))+H705*INDEX(Hours!D:D,MATCH(C705,Hours!$A:$A,0))+I705*INDEX(Hours!E:E,MATCH(C705,Hours!$A:$A,0))+J705*INDEX(Hours!F:F,MATCH(C705,Hours!$A:$A,0))+K705*INDEX(Hours!G:G,MATCH(C705,Hours!$A:$A,0))+L705*INDEX(Hours!H:H,MATCH(C705,Hours!$A:$A,0))+O705*INDEX(Hours!K:K,MATCH(C705,Hours!$A:$A,0)))</f>
        <v>0</v>
      </c>
      <c r="S705" s="19">
        <f t="shared" si="21"/>
        <v>0</v>
      </c>
    </row>
    <row r="706" spans="1:19" x14ac:dyDescent="0.25">
      <c r="A706" s="15" t="str">
        <f>'Bldgs &amp; Rooms'!$A$21</f>
        <v>Main Bldg.</v>
      </c>
      <c r="B706" s="15">
        <f>'Bldgs &amp; Rooms'!$B$21</f>
        <v>0</v>
      </c>
      <c r="C706" s="14" t="str">
        <f>Hours!$A$3</f>
        <v xml:space="preserve">  Switchgear Insulated Case Breakers (Bus Mounted)</v>
      </c>
      <c r="D706" s="15">
        <f t="shared" ref="D706:D769" si="22">MAX(E706+F706,G706,H706,I706,J706,K706,L706,M706,N706,O706,P706,Q706)</f>
        <v>0</v>
      </c>
      <c r="E706" s="16">
        <f>IF('Components Yr 1'!E706=0,0,'Components Yr 1'!E706)</f>
        <v>0</v>
      </c>
      <c r="F706" s="17">
        <f>IF('Components Yr 1'!F706=0,0,'Components Yr 1'!F706)</f>
        <v>0</v>
      </c>
      <c r="G706" s="17">
        <f>IF('Components Yr 1'!G706=0,0,'Components Yr 1'!G706)</f>
        <v>0</v>
      </c>
      <c r="H706" s="17">
        <f>IF('Components Yr 1'!H706=0,0,'Components Yr 1'!H706)</f>
        <v>0</v>
      </c>
      <c r="I706" s="17">
        <f>IF('Components Yr 1'!I706=0,0,'Components Yr 1'!I706)</f>
        <v>0</v>
      </c>
      <c r="J706" s="17">
        <f>IF('Components Yr 1'!J706=0,0,'Components Yr 1'!J706)</f>
        <v>0</v>
      </c>
      <c r="K706" s="17">
        <f>IF('Components Yr 1'!K706=0,0,'Components Yr 1'!K706)</f>
        <v>0</v>
      </c>
      <c r="L706" s="12"/>
      <c r="M706" s="12"/>
      <c r="N706" s="12"/>
      <c r="O706" s="12"/>
      <c r="P706" s="12"/>
      <c r="Q706" s="17"/>
      <c r="R706" s="18">
        <f>IF(SUMPRODUCT((E706:Q706)*1)=0,0,E706*INDEX(Hours!M:M,MATCH(C706,Hours!$A:$A,0))+F706*INDEX(Hours!B:B,MATCH(C706,Hours!$A:$A,0))+G706*INDEX(Hours!C:C,MATCH(C706,Hours!$A:$A,0))+H706*INDEX(Hours!D:D,MATCH(C706,Hours!$A:$A,0))+I706*INDEX(Hours!E:E,MATCH(C706,Hours!$A:$A,0))+J706*INDEX(Hours!F:F,MATCH(C706,Hours!$A:$A,0))+K706*INDEX(Hours!G:G,MATCH(C706,Hours!$A:$A,0)))</f>
        <v>0</v>
      </c>
      <c r="S706" s="19">
        <f t="shared" ref="S706:S769" si="23">MAX(E706+F706,G706,H706,I706,J706,K706,L706,M706,N706,O706,P706,Q706)</f>
        <v>0</v>
      </c>
    </row>
    <row r="707" spans="1:19" x14ac:dyDescent="0.25">
      <c r="A707" s="15" t="str">
        <f>'Bldgs &amp; Rooms'!$A$21</f>
        <v>Main Bldg.</v>
      </c>
      <c r="B707" s="15">
        <f>'Bldgs &amp; Rooms'!$B$21</f>
        <v>0</v>
      </c>
      <c r="C707" s="14" t="str">
        <f>Hours!$A$4</f>
        <v xml:space="preserve">  SwitchGear Drawout Breakers</v>
      </c>
      <c r="D707" s="15">
        <f t="shared" si="22"/>
        <v>0</v>
      </c>
      <c r="E707" s="16">
        <f>IF('Components Yr 1'!E707=0,0,'Components Yr 1'!E707)</f>
        <v>0</v>
      </c>
      <c r="F707" s="17">
        <f>IF('Components Yr 1'!F707=0,0,'Components Yr 1'!F707)</f>
        <v>0</v>
      </c>
      <c r="G707" s="17">
        <f>IF('Components Yr 1'!G707=0,0,'Components Yr 1'!G707)</f>
        <v>0</v>
      </c>
      <c r="H707" s="17">
        <f>IF('Components Yr 1'!H707=0,0,'Components Yr 1'!H707)</f>
        <v>0</v>
      </c>
      <c r="I707" s="17">
        <f>IF('Components Yr 1'!I707=0,0,'Components Yr 1'!I707)</f>
        <v>0</v>
      </c>
      <c r="J707" s="17">
        <f>IF('Components Yr 1'!J707=0,0,'Components Yr 1'!J707)</f>
        <v>0</v>
      </c>
      <c r="K707" s="12"/>
      <c r="L707" s="17">
        <f>IF('Components Yr 1'!L707=0,0,'Components Yr 1'!L707)</f>
        <v>0</v>
      </c>
      <c r="M707" s="12"/>
      <c r="N707" s="12"/>
      <c r="O707" s="12"/>
      <c r="P707" s="12"/>
      <c r="Q707" s="17"/>
      <c r="R707" s="18">
        <f>IF(SUMPRODUCT((E707:Q707)*1)=0,0,E707*INDEX(Hours!M:M,MATCH(C707,Hours!$A:$A,0))+F707*INDEX(Hours!B:B,MATCH(C707,Hours!$A:$A,0))+G707*INDEX(Hours!C:C,MATCH(C707,Hours!$A:$A,0))+H707*INDEX(Hours!D:D,MATCH(C707,Hours!$A:$A,0))+I707*INDEX(Hours!E:E,MATCH(C707,Hours!$A:$A,0))+J707*INDEX(Hours!F:F,MATCH(C707,Hours!$A:$A,0))+L707*INDEX(Hours!H:H,MATCH(C707,Hours!$A:$A,0)))</f>
        <v>0</v>
      </c>
      <c r="S707" s="19">
        <f t="shared" si="23"/>
        <v>0</v>
      </c>
    </row>
    <row r="708" spans="1:19" x14ac:dyDescent="0.25">
      <c r="A708" s="15" t="str">
        <f>'Bldgs &amp; Rooms'!$A$21</f>
        <v>Main Bldg.</v>
      </c>
      <c r="B708" s="15">
        <f>'Bldgs &amp; Rooms'!$B$21</f>
        <v>0</v>
      </c>
      <c r="C708" s="14" t="str">
        <f>Hours!$A$5</f>
        <v>Distribution Switchboard Multi Cover (Per Section)</v>
      </c>
      <c r="D708" s="15">
        <f t="shared" si="22"/>
        <v>0</v>
      </c>
      <c r="E708" s="16">
        <f>IF('Components Yr 1'!E708=0,0,'Components Yr 1'!E708)</f>
        <v>0</v>
      </c>
      <c r="F708" s="17">
        <f>IF('Components Yr 1'!F708=0,0,'Components Yr 1'!F708)</f>
        <v>0</v>
      </c>
      <c r="G708" s="17">
        <f>IF('Components Yr 1'!G708=0,0,'Components Yr 1'!G708)</f>
        <v>0</v>
      </c>
      <c r="H708" s="17">
        <f>IF('Components Yr 1'!H708=0,0,'Components Yr 1'!H708)</f>
        <v>0</v>
      </c>
      <c r="I708" s="17">
        <f>IF('Components Yr 1'!I708=0,0,'Components Yr 1'!I708)</f>
        <v>0</v>
      </c>
      <c r="J708" s="17">
        <f>IF('Components Yr 1'!J708=0,0,'Components Yr 1'!J708)</f>
        <v>0</v>
      </c>
      <c r="K708" s="17">
        <f>IF('Components Yr 1'!K708=0,0,'Components Yr 1'!K708)</f>
        <v>0</v>
      </c>
      <c r="L708" s="12"/>
      <c r="M708" s="12"/>
      <c r="N708" s="12"/>
      <c r="O708" s="17">
        <f>IF('Components Yr 1'!O708=0,0,'Components Yr 1'!O708)</f>
        <v>0</v>
      </c>
      <c r="P708" s="12"/>
      <c r="Q708" s="17"/>
      <c r="R708" s="18">
        <f>IF(SUMPRODUCT((E708:Q708)*1)=0,0,E708*INDEX(Hours!M:M,MATCH(C708,Hours!$A:$A,0))+F708*INDEX(Hours!B:B,MATCH(C708,Hours!$A:$A,0))+G708*INDEX(Hours!C:C,MATCH(C708,Hours!$A:$A,0))+H708*INDEX(Hours!D:D,MATCH(C708,Hours!$A:$A,0))+I708*INDEX(Hours!E:E,MATCH(C708,Hours!$A:$A,0))+J708*INDEX(Hours!F:F,MATCH(C708,Hours!$A:$A,0))+K708*INDEX(Hours!G:G,MATCH(C708,Hours!$A:$A,0))+O708*INDEX(Hours!K:K,MATCH(C708,Hours!$A:$A,0)))</f>
        <v>0</v>
      </c>
      <c r="S708" s="19">
        <f t="shared" si="23"/>
        <v>0</v>
      </c>
    </row>
    <row r="709" spans="1:19" x14ac:dyDescent="0.25">
      <c r="A709" s="15" t="str">
        <f>'Bldgs &amp; Rooms'!$A$21</f>
        <v>Main Bldg.</v>
      </c>
      <c r="B709" s="15">
        <f>'Bldgs &amp; Rooms'!$B$21</f>
        <v>0</v>
      </c>
      <c r="C709" s="14" t="str">
        <f>Hours!$A$6</f>
        <v xml:space="preserve">  Switchboard Disconnects</v>
      </c>
      <c r="D709" s="15">
        <f t="shared" si="22"/>
        <v>0</v>
      </c>
      <c r="E709" s="16">
        <f>IF('Components Yr 1'!E709=0,0,'Components Yr 1'!E709)</f>
        <v>0</v>
      </c>
      <c r="F709" s="17">
        <f>IF('Components Yr 1'!F709=0,0,'Components Yr 1'!F709)</f>
        <v>0</v>
      </c>
      <c r="G709" s="17">
        <f>IF('Components Yr 1'!G709=0,0,'Components Yr 1'!G709)</f>
        <v>0</v>
      </c>
      <c r="H709" s="17">
        <f>IF('Components Yr 1'!H709=0,0,'Components Yr 1'!H709)</f>
        <v>0</v>
      </c>
      <c r="I709" s="17">
        <f>IF('Components Yr 1'!I709=0,0,'Components Yr 1'!I709)</f>
        <v>0</v>
      </c>
      <c r="J709" s="17">
        <f>IF('Components Yr 1'!J709=0,0,'Components Yr 1'!J709)</f>
        <v>0</v>
      </c>
      <c r="K709" s="12"/>
      <c r="L709" s="12"/>
      <c r="M709" s="12"/>
      <c r="N709" s="12"/>
      <c r="O709" s="12"/>
      <c r="P709" s="12"/>
      <c r="Q709" s="17"/>
      <c r="R709" s="18">
        <f>IF(SUMPRODUCT((E709:Q709)*1)=0,0,E709*INDEX(Hours!M:M,MATCH(C709,Hours!$A:$A,0))+F709*INDEX(Hours!B:B,MATCH(C709,Hours!$A:$A,0))+G709*INDEX(Hours!C:C,MATCH(C709,Hours!$A:$A,0))+H709*INDEX(Hours!D:D,MATCH(C709,Hours!$A:$A,0))+I709*INDEX(Hours!E:E,MATCH(C709,Hours!$A:$A,0))+J709*INDEX(Hours!F:F,MATCH(C709,Hours!$A:$A,0)))</f>
        <v>0</v>
      </c>
      <c r="S709" s="19">
        <f t="shared" si="23"/>
        <v>0</v>
      </c>
    </row>
    <row r="710" spans="1:19" x14ac:dyDescent="0.25">
      <c r="A710" s="15" t="str">
        <f>'Bldgs &amp; Rooms'!$A$21</f>
        <v>Main Bldg.</v>
      </c>
      <c r="B710" s="15">
        <f>'Bldgs &amp; Rooms'!$B$21</f>
        <v>0</v>
      </c>
      <c r="C710" s="14" t="str">
        <f>Hours!$A$7</f>
        <v xml:space="preserve">  Switchboard Molded Case Breakers</v>
      </c>
      <c r="D710" s="15">
        <f t="shared" si="22"/>
        <v>0</v>
      </c>
      <c r="E710" s="16">
        <f>IF('Components Yr 1'!E710=0,0,'Components Yr 1'!E710)</f>
        <v>0</v>
      </c>
      <c r="F710" s="17">
        <f>IF('Components Yr 1'!F710=0,0,'Components Yr 1'!F710)</f>
        <v>0</v>
      </c>
      <c r="G710" s="17">
        <f>IF('Components Yr 1'!G710=0,0,'Components Yr 1'!G710)</f>
        <v>0</v>
      </c>
      <c r="H710" s="17">
        <f>IF('Components Yr 1'!H710=0,0,'Components Yr 1'!H710)</f>
        <v>0</v>
      </c>
      <c r="I710" s="17">
        <f>IF('Components Yr 1'!I710=0,0,'Components Yr 1'!I710)</f>
        <v>0</v>
      </c>
      <c r="J710" s="17">
        <f>IF('Components Yr 1'!J710=0,0,'Components Yr 1'!J710)</f>
        <v>0</v>
      </c>
      <c r="K710" s="17">
        <f>IF('Components Yr 1'!K710=0,0,'Components Yr 1'!K710)</f>
        <v>0</v>
      </c>
      <c r="L710" s="12"/>
      <c r="M710" s="12"/>
      <c r="N710" s="12"/>
      <c r="O710" s="12"/>
      <c r="P710" s="12"/>
      <c r="Q710" s="17"/>
      <c r="R710" s="18">
        <f>IF(SUMPRODUCT((E710:Q710)*1)=0,0,E710*INDEX(Hours!M:M,MATCH(C710,Hours!$A:$A,0))+F710*INDEX(Hours!B:B,MATCH(C710,Hours!$A:$A,0))+G710*INDEX(Hours!C:C,MATCH(C710,Hours!$A:$A,0))+H710*INDEX(Hours!D:D,MATCH(C710,Hours!$A:$A,0))+I710*INDEX(Hours!E:E,MATCH(C710,Hours!$A:$A,0))+J710*INDEX(Hours!F:F,MATCH(C710,Hours!$A:$A,0))+K710*INDEX(Hours!G:G,MATCH(C710,Hours!$A:$A,0)))</f>
        <v>0</v>
      </c>
      <c r="S710" s="19">
        <f t="shared" si="23"/>
        <v>0</v>
      </c>
    </row>
    <row r="711" spans="1:19" x14ac:dyDescent="0.25">
      <c r="A711" s="15" t="str">
        <f>'Bldgs &amp; Rooms'!$A$21</f>
        <v>Main Bldg.</v>
      </c>
      <c r="B711" s="15">
        <f>'Bldgs &amp; Rooms'!$B$21</f>
        <v>0</v>
      </c>
      <c r="C711" s="14" t="str">
        <f>Hours!$A$8</f>
        <v>Panelboard-Single Cover &gt; 400A (Distribution Panel)</v>
      </c>
      <c r="D711" s="15">
        <f t="shared" si="22"/>
        <v>0</v>
      </c>
      <c r="E711" s="16">
        <f>IF('Components Yr 1'!E711=0,0,'Components Yr 1'!E711)</f>
        <v>0</v>
      </c>
      <c r="F711" s="17">
        <f>IF('Components Yr 1'!F711=0,0,'Components Yr 1'!F711)</f>
        <v>0</v>
      </c>
      <c r="G711" s="17">
        <f>IF('Components Yr 1'!G711=0,0,'Components Yr 1'!G711)</f>
        <v>0</v>
      </c>
      <c r="H711" s="17">
        <f>IF('Components Yr 1'!H711=0,0,'Components Yr 1'!H711)</f>
        <v>0</v>
      </c>
      <c r="I711" s="17">
        <f>IF('Components Yr 1'!I711=0,0,'Components Yr 1'!I711)</f>
        <v>0</v>
      </c>
      <c r="J711" s="17">
        <f>IF('Components Yr 1'!J711=0,0,'Components Yr 1'!J711)</f>
        <v>0</v>
      </c>
      <c r="K711" s="17">
        <f>IF('Components Yr 1'!K711=0,0,'Components Yr 1'!K711)</f>
        <v>0</v>
      </c>
      <c r="L711" s="12"/>
      <c r="M711" s="12"/>
      <c r="N711" s="12"/>
      <c r="O711" s="17">
        <f>IF('Components Yr 1'!O711=0,0,'Components Yr 1'!O711)</f>
        <v>0</v>
      </c>
      <c r="P711" s="12"/>
      <c r="Q711" s="17"/>
      <c r="R711" s="18">
        <f>IF(SUMPRODUCT((E711:Q711)*1)=0,0,E711*INDEX(Hours!M:M,MATCH(C711,Hours!$A:$A,0))+F711*INDEX(Hours!B:B,MATCH(C711,Hours!$A:$A,0))+G711*INDEX(Hours!C:C,MATCH(C711,Hours!$A:$A,0))+H711*INDEX(Hours!D:D,MATCH(C711,Hours!$A:$A,0))+I711*INDEX(Hours!E:E,MATCH(C711,Hours!$A:$A,0))+J711*INDEX(Hours!F:F,MATCH(C711,Hours!$A:$A,0))+K711*INDEX(Hours!G:G,MATCH(C711,Hours!$A:$A,0))+O711*INDEX(Hours!K:K,MATCH(C711,Hours!$A:$A,0)))</f>
        <v>0</v>
      </c>
      <c r="S711" s="19">
        <f t="shared" si="23"/>
        <v>0</v>
      </c>
    </row>
    <row r="712" spans="1:19" x14ac:dyDescent="0.25">
      <c r="A712" s="15" t="str">
        <f>'Bldgs &amp; Rooms'!$A$21</f>
        <v>Main Bldg.</v>
      </c>
      <c r="B712" s="15">
        <f>'Bldgs &amp; Rooms'!$B$21</f>
        <v>0</v>
      </c>
      <c r="C712" s="14" t="str">
        <f>Hours!$A$9</f>
        <v>Panelboard-Single Cover &lt; 400A (Branch Ckt Panel)</v>
      </c>
      <c r="D712" s="15">
        <f t="shared" si="22"/>
        <v>0</v>
      </c>
      <c r="E712" s="16">
        <f>IF('Components Yr 1'!E712=0,0,'Components Yr 1'!E712)</f>
        <v>0</v>
      </c>
      <c r="F712" s="17">
        <f>IF('Components Yr 1'!F712=0,0,'Components Yr 1'!F712)</f>
        <v>0</v>
      </c>
      <c r="G712" s="17">
        <f>IF('Components Yr 1'!G712=0,0,'Components Yr 1'!G712)</f>
        <v>0</v>
      </c>
      <c r="H712" s="17">
        <f>IF('Components Yr 1'!H712=0,0,'Components Yr 1'!H712)</f>
        <v>0</v>
      </c>
      <c r="I712" s="17">
        <f>IF('Components Yr 1'!I712=0,0,'Components Yr 1'!I712)</f>
        <v>0</v>
      </c>
      <c r="J712" s="17">
        <f>IF('Components Yr 1'!J712=0,0,'Components Yr 1'!J712)</f>
        <v>0</v>
      </c>
      <c r="K712" s="12"/>
      <c r="L712" s="12"/>
      <c r="M712" s="12"/>
      <c r="N712" s="12"/>
      <c r="O712" s="17">
        <f>IF('Components Yr 1'!O712=0,0,'Components Yr 1'!O712)</f>
        <v>0</v>
      </c>
      <c r="P712" s="12"/>
      <c r="Q712" s="17"/>
      <c r="R712" s="18">
        <f>IF(SUMPRODUCT((E712:Q712)*1)=0,0,E712*INDEX(Hours!M:M,MATCH(C712,Hours!$A:$A,0))+F712*INDEX(Hours!B:B,MATCH(C712,Hours!$A:$A,0))+G712*INDEX(Hours!C:C,MATCH(C712,Hours!$A:$A,0))+H712*INDEX(Hours!D:D,MATCH(C712,Hours!$A:$A,0))+I712*INDEX(Hours!E:E,MATCH(C712,Hours!$A:$A,0))+J712*INDEX(Hours!F:F,MATCH(C712,Hours!$A:$A,0))+O712*INDEX(Hours!K:K,MATCH(C712,Hours!$A:$A,0)))</f>
        <v>0</v>
      </c>
      <c r="S712" s="19">
        <f t="shared" si="23"/>
        <v>0</v>
      </c>
    </row>
    <row r="713" spans="1:19" x14ac:dyDescent="0.25">
      <c r="A713" s="15" t="str">
        <f>'Bldgs &amp; Rooms'!$A$21</f>
        <v>Main Bldg.</v>
      </c>
      <c r="B713" s="15">
        <f>'Bldgs &amp; Rooms'!$B$21</f>
        <v>0</v>
      </c>
      <c r="C713" s="14" t="str">
        <f>Hours!$A$10</f>
        <v>Motor Control Center (MCC-Per Vertical Section)</v>
      </c>
      <c r="D713" s="15">
        <f t="shared" si="22"/>
        <v>0</v>
      </c>
      <c r="E713" s="16">
        <f>IF('Components Yr 1'!E713=0,0,'Components Yr 1'!E713)</f>
        <v>0</v>
      </c>
      <c r="F713" s="17">
        <f>IF('Components Yr 1'!F713=0,0,'Components Yr 1'!F713)</f>
        <v>0</v>
      </c>
      <c r="G713" s="17">
        <f>IF('Components Yr 1'!G713=0,0,'Components Yr 1'!G713)</f>
        <v>0</v>
      </c>
      <c r="H713" s="17">
        <f>IF('Components Yr 1'!H713=0,0,'Components Yr 1'!H713)</f>
        <v>0</v>
      </c>
      <c r="I713" s="17">
        <f>IF('Components Yr 1'!I713=0,0,'Components Yr 1'!I713)</f>
        <v>0</v>
      </c>
      <c r="J713" s="17">
        <f>IF('Components Yr 1'!J713=0,0,'Components Yr 1'!J713)</f>
        <v>0</v>
      </c>
      <c r="K713" s="12"/>
      <c r="L713" s="12"/>
      <c r="M713" s="12"/>
      <c r="N713" s="12"/>
      <c r="O713" s="17">
        <f>IF('Components Yr 1'!O713=0,0,'Components Yr 1'!O713)</f>
        <v>0</v>
      </c>
      <c r="P713" s="12"/>
      <c r="Q713" s="17"/>
      <c r="R713" s="18">
        <f>IF(SUMPRODUCT((E713:Q713)*1)=0,0,E713*INDEX(Hours!M:M,MATCH(C713,Hours!$A:$A,0))+F713*INDEX(Hours!B:B,MATCH(C713,Hours!$A:$A,0))+G713*INDEX(Hours!C:C,MATCH(C713,Hours!$A:$A,0))+H713*INDEX(Hours!D:D,MATCH(C713,Hours!$A:$A,0))+I713*INDEX(Hours!E:E,MATCH(C713,Hours!$A:$A,0))+J713*INDEX(Hours!F:F,MATCH(C713,Hours!$A:$A,0))+O713*INDEX(Hours!K:K,MATCH(C713,Hours!$A:$A,0)))</f>
        <v>0</v>
      </c>
      <c r="S713" s="19">
        <f t="shared" si="23"/>
        <v>0</v>
      </c>
    </row>
    <row r="714" spans="1:19" x14ac:dyDescent="0.25">
      <c r="A714" s="15" t="str">
        <f>'Bldgs &amp; Rooms'!$A$21</f>
        <v>Main Bldg.</v>
      </c>
      <c r="B714" s="15">
        <f>'Bldgs &amp; Rooms'!$B$21</f>
        <v>0</v>
      </c>
      <c r="C714" s="14" t="str">
        <f>Hours!$A$11</f>
        <v xml:space="preserve">  MCC: Combination Motor Starters</v>
      </c>
      <c r="D714" s="15">
        <f t="shared" si="22"/>
        <v>0</v>
      </c>
      <c r="E714" s="16">
        <f>IF('Components Yr 1'!E714=0,0,'Components Yr 1'!E714)</f>
        <v>0</v>
      </c>
      <c r="F714" s="17">
        <f>IF('Components Yr 1'!F714=0,0,'Components Yr 1'!F714)</f>
        <v>0</v>
      </c>
      <c r="G714" s="17">
        <f>IF('Components Yr 1'!G714=0,0,'Components Yr 1'!G714)</f>
        <v>0</v>
      </c>
      <c r="H714" s="17">
        <f>IF('Components Yr 1'!H714=0,0,'Components Yr 1'!H714)</f>
        <v>0</v>
      </c>
      <c r="I714" s="17">
        <f>IF('Components Yr 1'!I714=0,0,'Components Yr 1'!I714)</f>
        <v>0</v>
      </c>
      <c r="J714" s="17">
        <f>IF('Components Yr 1'!J714=0,0,'Components Yr 1'!J714)</f>
        <v>0</v>
      </c>
      <c r="K714" s="17">
        <f>IF('Components Yr 1'!K714=0,0,'Components Yr 1'!K714)</f>
        <v>0</v>
      </c>
      <c r="L714" s="12"/>
      <c r="M714" s="12"/>
      <c r="N714" s="12"/>
      <c r="O714" s="17">
        <f>IF('Components Yr 1'!O714=0,0,'Components Yr 1'!O714)</f>
        <v>0</v>
      </c>
      <c r="P714" s="12"/>
      <c r="Q714" s="17"/>
      <c r="R714" s="18">
        <f>IF(SUMPRODUCT((E714:Q714)*1)=0,0,E714*INDEX(Hours!M:M,MATCH(C714,Hours!$A:$A,0))+F714*INDEX(Hours!B:B,MATCH(C714,Hours!$A:$A,0))+G714*INDEX(Hours!C:C,MATCH(C714,Hours!$A:$A,0))+H714*INDEX(Hours!D:D,MATCH(C714,Hours!$A:$A,0))+I714*INDEX(Hours!E:E,MATCH(C714,Hours!$A:$A,0))+J714*INDEX(Hours!F:F,MATCH(C714,Hours!$A:$A,0))+K714*INDEX(Hours!G:G,MATCH(C714,Hours!$A:$A,0))+O714*INDEX(Hours!K:K,MATCH(C714,Hours!$A:$A,0)))</f>
        <v>0</v>
      </c>
      <c r="S714" s="19">
        <f t="shared" si="23"/>
        <v>0</v>
      </c>
    </row>
    <row r="715" spans="1:19" x14ac:dyDescent="0.25">
      <c r="A715" s="15" t="str">
        <f>'Bldgs &amp; Rooms'!$A$21</f>
        <v>Main Bldg.</v>
      </c>
      <c r="B715" s="15">
        <f>'Bldgs &amp; Rooms'!$B$21</f>
        <v>0</v>
      </c>
      <c r="C715" s="14" t="str">
        <f>Hours!$A$12</f>
        <v xml:space="preserve">  MCC: Molded Case Breaker</v>
      </c>
      <c r="D715" s="15">
        <f t="shared" si="22"/>
        <v>0</v>
      </c>
      <c r="E715" s="16">
        <f>IF('Components Yr 1'!E715=0,0,'Components Yr 1'!E715)</f>
        <v>0</v>
      </c>
      <c r="F715" s="17">
        <f>IF('Components Yr 1'!F715=0,0,'Components Yr 1'!F715)</f>
        <v>0</v>
      </c>
      <c r="G715" s="17">
        <f>IF('Components Yr 1'!G715=0,0,'Components Yr 1'!G715)</f>
        <v>0</v>
      </c>
      <c r="H715" s="17">
        <f>IF('Components Yr 1'!H715=0,0,'Components Yr 1'!H715)</f>
        <v>0</v>
      </c>
      <c r="I715" s="17">
        <f>IF('Components Yr 1'!I715=0,0,'Components Yr 1'!I715)</f>
        <v>0</v>
      </c>
      <c r="J715" s="17">
        <f>IF('Components Yr 1'!J715=0,0,'Components Yr 1'!J715)</f>
        <v>0</v>
      </c>
      <c r="K715" s="17">
        <f>IF('Components Yr 1'!K715=0,0,'Components Yr 1'!K715)</f>
        <v>0</v>
      </c>
      <c r="L715" s="12"/>
      <c r="M715" s="12"/>
      <c r="N715" s="12"/>
      <c r="O715" s="12"/>
      <c r="P715" s="12"/>
      <c r="Q715" s="17"/>
      <c r="R715" s="18">
        <f>IF(SUMPRODUCT((E715:Q715)*1)=0,0,E715*INDEX(Hours!M:M,MATCH(C715,Hours!$A:$A,0))+F715*INDEX(Hours!B:B,MATCH(C715,Hours!$A:$A,0))+G715*INDEX(Hours!C:C,MATCH(C715,Hours!$A:$A,0))+H715*INDEX(Hours!D:D,MATCH(C715,Hours!$A:$A,0))+I715*INDEX(Hours!E:E,MATCH(C715,Hours!$A:$A,0))+J715*INDEX(Hours!F:F,MATCH(C715,Hours!$A:$A,0))+K715*INDEX(Hours!G:G,MATCH(C715,Hours!$A:$A,0)))</f>
        <v>0</v>
      </c>
      <c r="S715" s="19">
        <f t="shared" si="23"/>
        <v>0</v>
      </c>
    </row>
    <row r="716" spans="1:19" x14ac:dyDescent="0.25">
      <c r="A716" s="15" t="str">
        <f>'Bldgs &amp; Rooms'!$A$21</f>
        <v>Main Bldg.</v>
      </c>
      <c r="B716" s="15">
        <f>'Bldgs &amp; Rooms'!$B$21</f>
        <v>0</v>
      </c>
      <c r="C716" s="14" t="str">
        <f>Hours!$A$13</f>
        <v xml:space="preserve">  MCC: Individual Disconnect Switch</v>
      </c>
      <c r="D716" s="15">
        <f t="shared" si="22"/>
        <v>0</v>
      </c>
      <c r="E716" s="16">
        <f>IF('Components Yr 1'!E716=0,0,'Components Yr 1'!E716)</f>
        <v>0</v>
      </c>
      <c r="F716" s="17">
        <f>IF('Components Yr 1'!F716=0,0,'Components Yr 1'!F716)</f>
        <v>0</v>
      </c>
      <c r="G716" s="17">
        <f>IF('Components Yr 1'!G716=0,0,'Components Yr 1'!G716)</f>
        <v>0</v>
      </c>
      <c r="H716" s="17">
        <f>IF('Components Yr 1'!H716=0,0,'Components Yr 1'!H716)</f>
        <v>0</v>
      </c>
      <c r="I716" s="17">
        <f>IF('Components Yr 1'!I716=0,0,'Components Yr 1'!I716)</f>
        <v>0</v>
      </c>
      <c r="J716" s="17">
        <f>IF('Components Yr 1'!J716=0,0,'Components Yr 1'!J716)</f>
        <v>0</v>
      </c>
      <c r="K716" s="12"/>
      <c r="L716" s="12"/>
      <c r="M716" s="12"/>
      <c r="N716" s="12"/>
      <c r="O716" s="12"/>
      <c r="P716" s="12"/>
      <c r="Q716" s="17"/>
      <c r="R716" s="18">
        <f>IF(SUMPRODUCT((E716:Q716)*1)=0,0,E716*INDEX(Hours!M:M,MATCH(C716,Hours!$A:$A,0))+F716*INDEX(Hours!B:B,MATCH(C716,Hours!$A:$A,0))+G716*INDEX(Hours!C:C,MATCH(C716,Hours!$A:$A,0))+H716*INDEX(Hours!D:D,MATCH(C716,Hours!$A:$A,0))+I716*INDEX(Hours!E:E,MATCH(C716,Hours!$A:$A,0))+J716*INDEX(Hours!F:F,MATCH(C716,Hours!$A:$A,0)))</f>
        <v>0</v>
      </c>
      <c r="S716" s="19">
        <f t="shared" si="23"/>
        <v>0</v>
      </c>
    </row>
    <row r="717" spans="1:19" x14ac:dyDescent="0.25">
      <c r="A717" s="15" t="str">
        <f>'Bldgs &amp; Rooms'!$A$21</f>
        <v>Main Bldg.</v>
      </c>
      <c r="B717" s="15">
        <f>'Bldgs &amp; Rooms'!$B$21</f>
        <v>0</v>
      </c>
      <c r="C717" s="14" t="str">
        <f>Hours!$A$14</f>
        <v>Motor Control Panel (MCP)</v>
      </c>
      <c r="D717" s="15">
        <f t="shared" si="22"/>
        <v>0</v>
      </c>
      <c r="E717" s="16">
        <f>IF('Components Yr 1'!E717=0,0,'Components Yr 1'!E717)</f>
        <v>0</v>
      </c>
      <c r="F717" s="17">
        <f>IF('Components Yr 1'!F717=0,0,'Components Yr 1'!F717)</f>
        <v>0</v>
      </c>
      <c r="G717" s="17">
        <f>IF('Components Yr 1'!G717=0,0,'Components Yr 1'!G717)</f>
        <v>0</v>
      </c>
      <c r="H717" s="17">
        <f>IF('Components Yr 1'!H717=0,0,'Components Yr 1'!H717)</f>
        <v>0</v>
      </c>
      <c r="I717" s="17">
        <f>IF('Components Yr 1'!I717=0,0,'Components Yr 1'!I717)</f>
        <v>0</v>
      </c>
      <c r="J717" s="17">
        <f>IF('Components Yr 1'!J717=0,0,'Components Yr 1'!J717)</f>
        <v>0</v>
      </c>
      <c r="K717" s="12"/>
      <c r="L717" s="12"/>
      <c r="M717" s="12"/>
      <c r="N717" s="12"/>
      <c r="O717" s="17">
        <f>IF('Components Yr 1'!O717=0,0,'Components Yr 1'!O717)</f>
        <v>0</v>
      </c>
      <c r="P717" s="12"/>
      <c r="Q717" s="17"/>
      <c r="R717" s="18">
        <f>IF(SUMPRODUCT((E717:Q717)*1)=0,0,E717*INDEX(Hours!M:M,MATCH(C717,Hours!$A:$A,0))+F717*INDEX(Hours!B:B,MATCH(C717,Hours!$A:$A,0))+G717*INDEX(Hours!C:C,MATCH(C717,Hours!$A:$A,0))+H717*INDEX(Hours!D:D,MATCH(C717,Hours!$A:$A,0))+I717*INDEX(Hours!E:E,MATCH(C717,Hours!$A:$A,0))+J717*INDEX(Hours!F:F,MATCH(C717,Hours!$A:$A,0))+O717*INDEX(Hours!K:K,MATCH(C717,Hours!$A:$A,0)))</f>
        <v>0</v>
      </c>
      <c r="S717" s="19">
        <f t="shared" si="23"/>
        <v>0</v>
      </c>
    </row>
    <row r="718" spans="1:19" x14ac:dyDescent="0.25">
      <c r="A718" s="15" t="str">
        <f>'Bldgs &amp; Rooms'!$A$21</f>
        <v>Main Bldg.</v>
      </c>
      <c r="B718" s="15">
        <f>'Bldgs &amp; Rooms'!$B$21</f>
        <v>0</v>
      </c>
      <c r="C718" s="14" t="str">
        <f>Hours!$A$15</f>
        <v>VFD Motor Control Panel (VFD-MCP)</v>
      </c>
      <c r="D718" s="15">
        <f t="shared" si="22"/>
        <v>0</v>
      </c>
      <c r="E718" s="16">
        <f>IF('Components Yr 1'!E718=0,0,'Components Yr 1'!E718)</f>
        <v>0</v>
      </c>
      <c r="F718" s="17">
        <f>IF('Components Yr 1'!F718=0,0,'Components Yr 1'!F718)</f>
        <v>0</v>
      </c>
      <c r="G718" s="17">
        <f>IF('Components Yr 1'!G718=0,0,'Components Yr 1'!G718)</f>
        <v>0</v>
      </c>
      <c r="H718" s="17">
        <f>IF('Components Yr 1'!H718=0,0,'Components Yr 1'!H718)</f>
        <v>0</v>
      </c>
      <c r="I718" s="17">
        <f>IF('Components Yr 1'!I718=0,0,'Components Yr 1'!I718)</f>
        <v>0</v>
      </c>
      <c r="J718" s="17">
        <f>IF('Components Yr 1'!J718=0,0,'Components Yr 1'!J718)</f>
        <v>0</v>
      </c>
      <c r="K718" s="12"/>
      <c r="L718" s="12"/>
      <c r="M718" s="12"/>
      <c r="N718" s="12"/>
      <c r="O718" s="17">
        <f>IF('Components Yr 1'!O718=0,0,'Components Yr 1'!O718)</f>
        <v>0</v>
      </c>
      <c r="P718" s="12"/>
      <c r="Q718" s="17"/>
      <c r="R718" s="18">
        <f>IF(SUMPRODUCT((E718:Q718)*1)=0,0,E718*INDEX(Hours!M:M,MATCH(C718,Hours!$A:$A,0))+F718*INDEX(Hours!B:B,MATCH(C718,Hours!$A:$A,0))+G718*INDEX(Hours!C:C,MATCH(C718,Hours!$A:$A,0))+H718*INDEX(Hours!D:D,MATCH(C718,Hours!$A:$A,0))+I718*INDEX(Hours!E:E,MATCH(C718,Hours!$A:$A,0))+J718*INDEX(Hours!F:F,MATCH(C718,Hours!$A:$A,0))+O718*INDEX(Hours!K:K,MATCH(C718,Hours!$A:$A,0)))</f>
        <v>0</v>
      </c>
      <c r="S718" s="19">
        <f t="shared" si="23"/>
        <v>0</v>
      </c>
    </row>
    <row r="719" spans="1:19" x14ac:dyDescent="0.25">
      <c r="A719" s="15" t="str">
        <f>'Bldgs &amp; Rooms'!$A$21</f>
        <v>Main Bldg.</v>
      </c>
      <c r="B719" s="15">
        <f>'Bldgs &amp; Rooms'!$B$21</f>
        <v>0</v>
      </c>
      <c r="C719" s="14" t="str">
        <f>Hours!$A$16</f>
        <v>Individual Disconnect Switch &gt; 100A</v>
      </c>
      <c r="D719" s="15">
        <f t="shared" si="22"/>
        <v>0</v>
      </c>
      <c r="E719" s="16">
        <f>IF('Components Yr 1'!E719=0,0,'Components Yr 1'!E719)</f>
        <v>0</v>
      </c>
      <c r="F719" s="17">
        <f>IF('Components Yr 1'!F719=0,0,'Components Yr 1'!F719)</f>
        <v>0</v>
      </c>
      <c r="G719" s="17">
        <f>IF('Components Yr 1'!G719=0,0,'Components Yr 1'!G719)</f>
        <v>0</v>
      </c>
      <c r="H719" s="17">
        <f>IF('Components Yr 1'!H719=0,0,'Components Yr 1'!H719)</f>
        <v>0</v>
      </c>
      <c r="I719" s="17">
        <f>IF('Components Yr 1'!I719=0,0,'Components Yr 1'!I719)</f>
        <v>0</v>
      </c>
      <c r="J719" s="17">
        <f>IF('Components Yr 1'!J719=0,0,'Components Yr 1'!J719)</f>
        <v>0</v>
      </c>
      <c r="K719" s="17">
        <f>IF('Components Yr 1'!K719=0,0,'Components Yr 1'!K719)</f>
        <v>0</v>
      </c>
      <c r="L719" s="12"/>
      <c r="M719" s="12"/>
      <c r="N719" s="12"/>
      <c r="O719" s="12"/>
      <c r="P719" s="12"/>
      <c r="Q719" s="17"/>
      <c r="R719" s="18">
        <f>IF(SUMPRODUCT((E719:Q719)*1)=0,0,E719*INDEX(Hours!M:M,MATCH(C719,Hours!$A:$A,0))+F719*INDEX(Hours!B:B,MATCH(C719,Hours!$A:$A,0))+G719*INDEX(Hours!C:C,MATCH(C719,Hours!$A:$A,0))+H719*INDEX(Hours!D:D,MATCH(C719,Hours!$A:$A,0))+I719*INDEX(Hours!E:E,MATCH(C719,Hours!$A:$A,0))+J719*INDEX(Hours!F:F,MATCH(C719,Hours!$A:$A,0))+K719*INDEX(Hours!G:G,MATCH(C719,Hours!$A:$A,0)))</f>
        <v>0</v>
      </c>
      <c r="S719" s="19">
        <f t="shared" si="23"/>
        <v>0</v>
      </c>
    </row>
    <row r="720" spans="1:19" x14ac:dyDescent="0.25">
      <c r="A720" s="15" t="str">
        <f>'Bldgs &amp; Rooms'!$A$21</f>
        <v>Main Bldg.</v>
      </c>
      <c r="B720" s="15">
        <f>'Bldgs &amp; Rooms'!$B$21</f>
        <v>0</v>
      </c>
      <c r="C720" s="14" t="str">
        <f>Hours!$A$17</f>
        <v>Individual Molded Case Breaker &gt; 100A</v>
      </c>
      <c r="D720" s="15">
        <f t="shared" si="22"/>
        <v>0</v>
      </c>
      <c r="E720" s="16">
        <f>IF('Components Yr 1'!E720=0,0,'Components Yr 1'!E720)</f>
        <v>0</v>
      </c>
      <c r="F720" s="17">
        <f>IF('Components Yr 1'!F720=0,0,'Components Yr 1'!F720)</f>
        <v>0</v>
      </c>
      <c r="G720" s="17">
        <f>IF('Components Yr 1'!G720=0,0,'Components Yr 1'!G720)</f>
        <v>0</v>
      </c>
      <c r="H720" s="17">
        <f>IF('Components Yr 1'!H720=0,0,'Components Yr 1'!H720)</f>
        <v>0</v>
      </c>
      <c r="I720" s="17">
        <f>IF('Components Yr 1'!I720=0,0,'Components Yr 1'!I720)</f>
        <v>0</v>
      </c>
      <c r="J720" s="17">
        <f>IF('Components Yr 1'!J720=0,0,'Components Yr 1'!J720)</f>
        <v>0</v>
      </c>
      <c r="K720" s="17">
        <f>IF('Components Yr 1'!K720=0,0,'Components Yr 1'!K720)</f>
        <v>0</v>
      </c>
      <c r="L720" s="12"/>
      <c r="M720" s="12"/>
      <c r="N720" s="12"/>
      <c r="O720" s="12"/>
      <c r="P720" s="12"/>
      <c r="Q720" s="17"/>
      <c r="R720" s="18">
        <f>IF(SUMPRODUCT((E720:Q720)*1)=0,0,E720*INDEX(Hours!M:M,MATCH(C720,Hours!$A:$A,0))+F720*INDEX(Hours!B:B,MATCH(C720,Hours!$A:$A,0))+G720*INDEX(Hours!C:C,MATCH(C720,Hours!$A:$A,0))+H720*INDEX(Hours!D:D,MATCH(C720,Hours!$A:$A,0))+I720*INDEX(Hours!E:E,MATCH(C720,Hours!$A:$A,0))+J720*INDEX(Hours!F:F,MATCH(C720,Hours!$A:$A,0))+K720*INDEX(Hours!G:G,MATCH(C720,Hours!$A:$A,0)))</f>
        <v>0</v>
      </c>
      <c r="S720" s="19">
        <f t="shared" si="23"/>
        <v>0</v>
      </c>
    </row>
    <row r="721" spans="1:19" x14ac:dyDescent="0.25">
      <c r="A721" s="15" t="str">
        <f>'Bldgs &amp; Rooms'!$A$21</f>
        <v>Main Bldg.</v>
      </c>
      <c r="B721" s="15">
        <f>'Bldgs &amp; Rooms'!$B$21</f>
        <v>0</v>
      </c>
      <c r="C721" s="14" t="str">
        <f>Hours!$A$18</f>
        <v>Individual Combination Motor Starter &gt; 100A</v>
      </c>
      <c r="D721" s="15">
        <f t="shared" si="22"/>
        <v>0</v>
      </c>
      <c r="E721" s="16">
        <f>IF('Components Yr 1'!E721=0,0,'Components Yr 1'!E721)</f>
        <v>0</v>
      </c>
      <c r="F721" s="17">
        <f>IF('Components Yr 1'!F721=0,0,'Components Yr 1'!F721)</f>
        <v>0</v>
      </c>
      <c r="G721" s="17">
        <f>IF('Components Yr 1'!G721=0,0,'Components Yr 1'!G721)</f>
        <v>0</v>
      </c>
      <c r="H721" s="17">
        <f>IF('Components Yr 1'!H721=0,0,'Components Yr 1'!H721)</f>
        <v>0</v>
      </c>
      <c r="I721" s="17">
        <f>IF('Components Yr 1'!I721=0,0,'Components Yr 1'!I721)</f>
        <v>0</v>
      </c>
      <c r="J721" s="17">
        <f>IF('Components Yr 1'!J721=0,0,'Components Yr 1'!J721)</f>
        <v>0</v>
      </c>
      <c r="K721" s="17">
        <f>IF('Components Yr 1'!K721=0,0,'Components Yr 1'!K721)</f>
        <v>0</v>
      </c>
      <c r="L721" s="12"/>
      <c r="M721" s="12"/>
      <c r="N721" s="12"/>
      <c r="O721" s="12"/>
      <c r="P721" s="12"/>
      <c r="Q721" s="17"/>
      <c r="R721" s="18">
        <f>IF(SUMPRODUCT((E721:Q721)*1)=0,0,E721*INDEX(Hours!M:M,MATCH(C721,Hours!$A:$A,0))+F721*INDEX(Hours!B:B,MATCH(C721,Hours!$A:$A,0))+G721*INDEX(Hours!C:C,MATCH(C721,Hours!$A:$A,0))+H721*INDEX(Hours!D:D,MATCH(C721,Hours!$A:$A,0))+I721*INDEX(Hours!E:E,MATCH(C721,Hours!$A:$A,0))+J721*INDEX(Hours!F:F,MATCH(C721,Hours!$A:$A,0))+K721*INDEX(Hours!G:G,MATCH(C721,Hours!$A:$A,0)))</f>
        <v>0</v>
      </c>
      <c r="S721" s="19">
        <f t="shared" si="23"/>
        <v>0</v>
      </c>
    </row>
    <row r="722" spans="1:19" x14ac:dyDescent="0.25">
      <c r="A722" s="15" t="str">
        <f>'Bldgs &amp; Rooms'!$A$21</f>
        <v>Main Bldg.</v>
      </c>
      <c r="B722" s="15">
        <f>'Bldgs &amp; Rooms'!$B$21</f>
        <v>0</v>
      </c>
      <c r="C722" s="14" t="str">
        <f>Hours!$A$19</f>
        <v>Oil Filled Transformer - 5kV-15kV Primary - Any Size (Pad Mounted)</v>
      </c>
      <c r="D722" s="15">
        <f t="shared" si="22"/>
        <v>0</v>
      </c>
      <c r="E722" s="16">
        <f>IF('Components Yr 1'!E722=0,0,'Components Yr 1'!E722)</f>
        <v>0</v>
      </c>
      <c r="F722" s="17">
        <f>IF('Components Yr 1'!F722=0,0,'Components Yr 1'!F722)</f>
        <v>0</v>
      </c>
      <c r="G722" s="17">
        <f>IF('Components Yr 1'!G722=0,0,'Components Yr 1'!G722)</f>
        <v>0</v>
      </c>
      <c r="H722" s="17">
        <f>IF('Components Yr 1'!H722=0,0,'Components Yr 1'!H722)</f>
        <v>0</v>
      </c>
      <c r="I722" s="17">
        <f>IF('Components Yr 1'!I722=0,0,'Components Yr 1'!I722)</f>
        <v>0</v>
      </c>
      <c r="J722" s="17">
        <f>IF('Components Yr 1'!J722=0,0,'Components Yr 1'!J722)</f>
        <v>0</v>
      </c>
      <c r="K722" s="12"/>
      <c r="L722" s="12"/>
      <c r="M722" s="17">
        <f>IF('Components Yr 1'!M722=0,0,'Components Yr 1'!M722)</f>
        <v>0</v>
      </c>
      <c r="N722" s="17">
        <f>IF('Components Yr 1'!N722=0,0,'Components Yr 1'!N722)</f>
        <v>0</v>
      </c>
      <c r="O722" s="12"/>
      <c r="P722" s="17">
        <f>IF('Components Yr 1'!P722=0,0,'Components Yr 1'!P722)</f>
        <v>0</v>
      </c>
      <c r="Q722" s="17"/>
      <c r="R722" s="18">
        <f>IF(SUMPRODUCT((E722:Q722)*1)=0,0,E722*INDEX(Hours!M:M,MATCH(C722,Hours!$A:$A,0))+F722*INDEX(Hours!B:B,MATCH(C722,Hours!$A:$A,0))+G722*INDEX(Hours!C:C,MATCH(C722,Hours!$A:$A,0))+H722*INDEX(Hours!D:D,MATCH(C722,Hours!$A:$A,0))+I722*INDEX(Hours!E:E,MATCH(C722,Hours!$A:$A,0))+J722*INDEX(Hours!F:F,MATCH(C722,Hours!$A:$A,0))+M722*INDEX(Hours!I:I,MATCH(C722,Hours!$A:$A,0))+N722*INDEX(Hours!J:J,MATCH(C722,Hours!$A:$A,0))+P722*INDEX(Hours!L:L,MATCH(C722,Hours!$A:$A,0)))</f>
        <v>0</v>
      </c>
      <c r="S722" s="19">
        <f t="shared" si="23"/>
        <v>0</v>
      </c>
    </row>
    <row r="723" spans="1:19" x14ac:dyDescent="0.25">
      <c r="A723" s="15" t="str">
        <f>'Bldgs &amp; Rooms'!$A$21</f>
        <v>Main Bldg.</v>
      </c>
      <c r="B723" s="15">
        <f>'Bldgs &amp; Rooms'!$B$21</f>
        <v>0</v>
      </c>
      <c r="C723" s="14" t="str">
        <f>Hours!$A$20</f>
        <v>Oil Filled Transformer - &gt; 15kV Primary (Substation Class)</v>
      </c>
      <c r="D723" s="15">
        <f t="shared" si="22"/>
        <v>0</v>
      </c>
      <c r="E723" s="16">
        <f>IF('Components Yr 1'!E723=0,0,'Components Yr 1'!E723)</f>
        <v>0</v>
      </c>
      <c r="F723" s="17">
        <f>IF('Components Yr 1'!F723=0,0,'Components Yr 1'!F723)</f>
        <v>0</v>
      </c>
      <c r="G723" s="17">
        <f>IF('Components Yr 1'!G723=0,0,'Components Yr 1'!G723)</f>
        <v>0</v>
      </c>
      <c r="H723" s="17">
        <f>IF('Components Yr 1'!H723=0,0,'Components Yr 1'!H723)</f>
        <v>0</v>
      </c>
      <c r="I723" s="17">
        <f>IF('Components Yr 1'!I723=0,0,'Components Yr 1'!I723)</f>
        <v>0</v>
      </c>
      <c r="J723" s="17">
        <f>IF('Components Yr 1'!J723=0,0,'Components Yr 1'!J723)</f>
        <v>0</v>
      </c>
      <c r="K723" s="12"/>
      <c r="L723" s="12"/>
      <c r="M723" s="17">
        <f>IF('Components Yr 1'!M723=0,0,'Components Yr 1'!M723)</f>
        <v>0</v>
      </c>
      <c r="N723" s="17">
        <f>IF('Components Yr 1'!N723=0,0,'Components Yr 1'!N723)</f>
        <v>0</v>
      </c>
      <c r="O723" s="12"/>
      <c r="P723" s="17">
        <f>IF('Components Yr 1'!P723=0,0,'Components Yr 1'!P723)</f>
        <v>0</v>
      </c>
      <c r="Q723" s="17"/>
      <c r="R723" s="18">
        <f>IF(SUMPRODUCT((E723:Q723)*1)=0,0,E723*INDEX(Hours!M:M,MATCH(C723,Hours!$A:$A,0))+F723*INDEX(Hours!B:B,MATCH(C723,Hours!$A:$A,0))+G723*INDEX(Hours!C:C,MATCH(C723,Hours!$A:$A,0))+H723*INDEX(Hours!D:D,MATCH(C723,Hours!$A:$A,0))+I723*INDEX(Hours!E:E,MATCH(C723,Hours!$A:$A,0))+J723*INDEX(Hours!F:F,MATCH(C723,Hours!$A:$A,0))+M723*INDEX(Hours!I:I,MATCH(C723,Hours!$A:$A,0))+N723*INDEX(Hours!J:J,MATCH(C723,Hours!$A:$A,0))+P723*INDEX(Hours!L:L,MATCH(C723,Hours!$A:$A,0)))</f>
        <v>0</v>
      </c>
      <c r="S723" s="19">
        <f t="shared" si="23"/>
        <v>0</v>
      </c>
    </row>
    <row r="724" spans="1:19" x14ac:dyDescent="0.25">
      <c r="A724" s="15" t="str">
        <f>'Bldgs &amp; Rooms'!$A$21</f>
        <v>Main Bldg.</v>
      </c>
      <c r="B724" s="15">
        <f>'Bldgs &amp; Rooms'!$B$21</f>
        <v>0</v>
      </c>
      <c r="C724" s="14" t="str">
        <f>Hours!$A$21</f>
        <v>Dry Type Transformer - &lt; 480V Primary - Any Size kVA</v>
      </c>
      <c r="D724" s="15">
        <f t="shared" si="22"/>
        <v>0</v>
      </c>
      <c r="E724" s="16">
        <f>IF('Components Yr 1'!E724=0,0,'Components Yr 1'!E724)</f>
        <v>0</v>
      </c>
      <c r="F724" s="17">
        <f>IF('Components Yr 1'!F724=0,0,'Components Yr 1'!F724)</f>
        <v>0</v>
      </c>
      <c r="G724" s="17">
        <f>IF('Components Yr 1'!G724=0,0,'Components Yr 1'!G724)</f>
        <v>0</v>
      </c>
      <c r="H724" s="17">
        <f>IF('Components Yr 1'!H724=0,0,'Components Yr 1'!H724)</f>
        <v>0</v>
      </c>
      <c r="I724" s="17">
        <f>IF('Components Yr 1'!I724=0,0,'Components Yr 1'!I724)</f>
        <v>0</v>
      </c>
      <c r="J724" s="17">
        <f>IF('Components Yr 1'!J724=0,0,'Components Yr 1'!J724)</f>
        <v>0</v>
      </c>
      <c r="K724" s="12"/>
      <c r="L724" s="12"/>
      <c r="M724" s="17">
        <f>IF('Components Yr 1'!M724=0,0,'Components Yr 1'!M724)</f>
        <v>0</v>
      </c>
      <c r="N724" s="17">
        <f>IF('Components Yr 1'!N724=0,0,'Components Yr 1'!N724)</f>
        <v>0</v>
      </c>
      <c r="O724" s="12"/>
      <c r="P724" s="12"/>
      <c r="Q724" s="17"/>
      <c r="R724" s="18">
        <f>IF(SUMPRODUCT((E724:Q724)*1)=0,0,E724*INDEX(Hours!M:M,MATCH(C724,Hours!$A:$A,0))+F724*INDEX(Hours!B:B,MATCH(C724,Hours!$A:$A,0))+G724*INDEX(Hours!C:C,MATCH(C724,Hours!$A:$A,0))+H724*INDEX(Hours!D:D,MATCH(C724,Hours!$A:$A,0))+I724*INDEX(Hours!E:E,MATCH(C724,Hours!$A:$A,0))+J724*INDEX(Hours!F:F,MATCH(C724,Hours!$A:$A,0))+M724*INDEX(Hours!I:I,MATCH(C724,Hours!$A:$A,0))+N724*INDEX(Hours!J:J,MATCH(C724,Hours!$A:$A,0)))</f>
        <v>0</v>
      </c>
      <c r="S724" s="19">
        <f t="shared" si="23"/>
        <v>0</v>
      </c>
    </row>
    <row r="725" spans="1:19" x14ac:dyDescent="0.25">
      <c r="A725" s="15" t="str">
        <f>'Bldgs &amp; Rooms'!$A$21</f>
        <v>Main Bldg.</v>
      </c>
      <c r="B725" s="15">
        <f>'Bldgs &amp; Rooms'!$B$21</f>
        <v>0</v>
      </c>
      <c r="C725" s="14" t="str">
        <f>Hours!$A$22</f>
        <v>Power Factor Correction Capacitors</v>
      </c>
      <c r="D725" s="15">
        <f t="shared" si="22"/>
        <v>0</v>
      </c>
      <c r="E725" s="16">
        <f>IF('Components Yr 1'!E725=0,0,'Components Yr 1'!E725)</f>
        <v>0</v>
      </c>
      <c r="F725" s="17">
        <f>IF('Components Yr 1'!F725=0,0,'Components Yr 1'!F725)</f>
        <v>0</v>
      </c>
      <c r="G725" s="17">
        <f>IF('Components Yr 1'!G725=0,0,'Components Yr 1'!G725)</f>
        <v>0</v>
      </c>
      <c r="H725" s="17">
        <f>IF('Components Yr 1'!H725=0,0,'Components Yr 1'!H725)</f>
        <v>0</v>
      </c>
      <c r="I725" s="17">
        <f>IF('Components Yr 1'!I725=0,0,'Components Yr 1'!I725)</f>
        <v>0</v>
      </c>
      <c r="J725" s="17">
        <f>IF('Components Yr 1'!J725=0,0,'Components Yr 1'!J725)</f>
        <v>0</v>
      </c>
      <c r="K725" s="12"/>
      <c r="L725" s="12"/>
      <c r="M725" s="12"/>
      <c r="N725" s="12"/>
      <c r="O725" s="12"/>
      <c r="P725" s="12"/>
      <c r="Q725" s="17"/>
      <c r="R725" s="18">
        <f>IF(SUMPRODUCT((E725:Q725)*1)=0,0,E725*INDEX(Hours!M:M,MATCH(C725,Hours!$A:$A,0))+F725*INDEX(Hours!B:B,MATCH(C725,Hours!$A:$A,0))+G725*INDEX(Hours!C:C,MATCH(C725,Hours!$A:$A,0))+H725*INDEX(Hours!D:D,MATCH(C725,Hours!$A:$A,0))+I725*INDEX(Hours!E:E,MATCH(C725,Hours!$A:$A,0))+J725*INDEX(Hours!F:F,MATCH(C725,Hours!$A:$A,0)))</f>
        <v>0</v>
      </c>
      <c r="S725" s="19">
        <f t="shared" si="23"/>
        <v>0</v>
      </c>
    </row>
    <row r="726" spans="1:19" x14ac:dyDescent="0.25">
      <c r="A726" s="15" t="str">
        <f>'Bldgs &amp; Rooms'!$A$21</f>
        <v>Main Bldg.</v>
      </c>
      <c r="B726" s="15">
        <f>'Bldgs &amp; Rooms'!$B$21</f>
        <v>0</v>
      </c>
      <c r="C726" s="14" t="str">
        <f>Hours!$A$23</f>
        <v>Lighting Contactor &gt; 100A</v>
      </c>
      <c r="D726" s="15">
        <f t="shared" si="22"/>
        <v>0</v>
      </c>
      <c r="E726" s="16">
        <f>IF('Components Yr 1'!E726=0,0,'Components Yr 1'!E726)</f>
        <v>0</v>
      </c>
      <c r="F726" s="17">
        <f>IF('Components Yr 1'!F726=0,0,'Components Yr 1'!F726)</f>
        <v>0</v>
      </c>
      <c r="G726" s="17">
        <f>IF('Components Yr 1'!G726=0,0,'Components Yr 1'!G726)</f>
        <v>0</v>
      </c>
      <c r="H726" s="17">
        <f>IF('Components Yr 1'!H726=0,0,'Components Yr 1'!H726)</f>
        <v>0</v>
      </c>
      <c r="I726" s="17">
        <f>IF('Components Yr 1'!I726=0,0,'Components Yr 1'!I726)</f>
        <v>0</v>
      </c>
      <c r="J726" s="17">
        <f>IF('Components Yr 1'!J726=0,0,'Components Yr 1'!J726)</f>
        <v>0</v>
      </c>
      <c r="K726" s="12"/>
      <c r="L726" s="12"/>
      <c r="M726" s="12"/>
      <c r="N726" s="12"/>
      <c r="O726" s="12"/>
      <c r="P726" s="12"/>
      <c r="Q726" s="17"/>
      <c r="R726" s="18">
        <f>IF(SUMPRODUCT((E726:Q726)*1)=0,0,E726*INDEX(Hours!M:M,MATCH(C726,Hours!$A:$A,0))+F726*INDEX(Hours!B:B,MATCH(C726,Hours!$A:$A,0))+G726*INDEX(Hours!C:C,MATCH(C726,Hours!$A:$A,0))+H726*INDEX(Hours!D:D,MATCH(C726,Hours!$A:$A,0))+I726*INDEX(Hours!E:E,MATCH(C726,Hours!$A:$A,0))+J726*INDEX(Hours!F:F,MATCH(C726,Hours!$A:$A,0)))</f>
        <v>0</v>
      </c>
      <c r="S726" s="19">
        <f t="shared" si="23"/>
        <v>0</v>
      </c>
    </row>
    <row r="727" spans="1:19" x14ac:dyDescent="0.25">
      <c r="A727" s="15" t="str">
        <f>'Bldgs &amp; Rooms'!$A$21</f>
        <v>Main Bldg.</v>
      </c>
      <c r="B727" s="15">
        <f>'Bldgs &amp; Rooms'!$B$21</f>
        <v>0</v>
      </c>
      <c r="C727" s="14" t="str">
        <f>Hours!$A$24</f>
        <v>Power Distribution Unit (PDU)</v>
      </c>
      <c r="D727" s="15">
        <f t="shared" si="22"/>
        <v>0</v>
      </c>
      <c r="E727" s="16">
        <f>IF('Components Yr 1'!E727=0,0,'Components Yr 1'!E727)</f>
        <v>0</v>
      </c>
      <c r="F727" s="17">
        <f>IF('Components Yr 1'!F727=0,0,'Components Yr 1'!F727)</f>
        <v>0</v>
      </c>
      <c r="G727" s="17">
        <f>IF('Components Yr 1'!G727=0,0,'Components Yr 1'!G727)</f>
        <v>0</v>
      </c>
      <c r="H727" s="17">
        <f>IF('Components Yr 1'!H727=0,0,'Components Yr 1'!H727)</f>
        <v>0</v>
      </c>
      <c r="I727" s="17">
        <f>IF('Components Yr 1'!I727=0,0,'Components Yr 1'!I727)</f>
        <v>0</v>
      </c>
      <c r="J727" s="17">
        <f>IF('Components Yr 1'!J727=0,0,'Components Yr 1'!J727)</f>
        <v>0</v>
      </c>
      <c r="K727" s="12"/>
      <c r="L727" s="12"/>
      <c r="M727" s="12"/>
      <c r="N727" s="12"/>
      <c r="O727" s="12"/>
      <c r="P727" s="12"/>
      <c r="Q727" s="17"/>
      <c r="R727" s="18">
        <f>IF(SUMPRODUCT((E727:Q727)*1)=0,0,E727*INDEX(Hours!M:M,MATCH(C727,Hours!$A:$A,0))+F727*INDEX(Hours!B:B,MATCH(C727,Hours!$A:$A,0))+G727*INDEX(Hours!C:C,MATCH(C727,Hours!$A:$A,0))+H727*INDEX(Hours!D:D,MATCH(C727,Hours!$A:$A,0))+I727*INDEX(Hours!E:E,MATCH(C727,Hours!$A:$A,0))+J727*INDEX(Hours!F:F,MATCH(C727,Hours!$A:$A,0)))</f>
        <v>0</v>
      </c>
      <c r="S727" s="19">
        <f t="shared" si="23"/>
        <v>0</v>
      </c>
    </row>
    <row r="728" spans="1:19" x14ac:dyDescent="0.25">
      <c r="A728" s="15" t="str">
        <f>'Bldgs &amp; Rooms'!$A$21</f>
        <v>Main Bldg.</v>
      </c>
      <c r="B728" s="15">
        <f>'Bldgs &amp; Rooms'!$B$21</f>
        <v>0</v>
      </c>
      <c r="C728" s="14" t="str">
        <f>Hours!$A$25</f>
        <v>Wire Trough, Gutter, or Large Junction Boxes</v>
      </c>
      <c r="D728" s="15">
        <f t="shared" si="22"/>
        <v>0</v>
      </c>
      <c r="E728" s="16">
        <f>IF('Components Yr 1'!E728=0,0,'Components Yr 1'!E728)</f>
        <v>0</v>
      </c>
      <c r="F728" s="17">
        <f>IF('Components Yr 1'!F728=0,0,'Components Yr 1'!F728)</f>
        <v>0</v>
      </c>
      <c r="G728" s="17">
        <f>IF('Components Yr 1'!G728=0,0,'Components Yr 1'!G728)</f>
        <v>0</v>
      </c>
      <c r="H728" s="17">
        <f>IF('Components Yr 1'!H728=0,0,'Components Yr 1'!H728)</f>
        <v>0</v>
      </c>
      <c r="I728" s="17">
        <f>IF('Components Yr 1'!I728=0,0,'Components Yr 1'!I728)</f>
        <v>0</v>
      </c>
      <c r="J728" s="17">
        <f>IF('Components Yr 1'!J728=0,0,'Components Yr 1'!J728)</f>
        <v>0</v>
      </c>
      <c r="K728" s="12"/>
      <c r="L728" s="12"/>
      <c r="M728" s="12"/>
      <c r="N728" s="12"/>
      <c r="O728" s="12"/>
      <c r="P728" s="12"/>
      <c r="Q728" s="17"/>
      <c r="R728" s="18">
        <f>IF(SUMPRODUCT((E728:Q728)*1)=0,0,E728*INDEX(Hours!M:M,MATCH(C728,Hours!$A:$A,0))+F728*INDEX(Hours!B:B,MATCH(C728,Hours!$A:$A,0))+G728*INDEX(Hours!C:C,MATCH(C728,Hours!$A:$A,0))+H728*INDEX(Hours!D:D,MATCH(C728,Hours!$A:$A,0))+I728*INDEX(Hours!E:E,MATCH(C728,Hours!$A:$A,0))+J728*INDEX(Hours!F:F,MATCH(C728,Hours!$A:$A,0)))</f>
        <v>0</v>
      </c>
      <c r="S728" s="19">
        <f t="shared" si="23"/>
        <v>0</v>
      </c>
    </row>
    <row r="729" spans="1:19" x14ac:dyDescent="0.25">
      <c r="A729" s="15" t="str">
        <f>'Bldgs &amp; Rooms'!$A$21</f>
        <v>Main Bldg.</v>
      </c>
      <c r="B729" s="15">
        <f>'Bldgs &amp; Rooms'!$B$21</f>
        <v>0</v>
      </c>
      <c r="C729" s="14" t="str">
        <f>Hours!$A$26</f>
        <v>Bus Duct - Vertical or Horizontal (Per 10' section)</v>
      </c>
      <c r="D729" s="15">
        <f t="shared" si="22"/>
        <v>0</v>
      </c>
      <c r="E729" s="16">
        <f>IF('Components Yr 1'!E729=0,0,'Components Yr 1'!E729)</f>
        <v>0</v>
      </c>
      <c r="F729" s="17">
        <f>IF('Components Yr 1'!F729=0,0,'Components Yr 1'!F729)</f>
        <v>0</v>
      </c>
      <c r="G729" s="17">
        <f>IF('Components Yr 1'!G729=0,0,'Components Yr 1'!G729)</f>
        <v>0</v>
      </c>
      <c r="H729" s="17">
        <f>IF('Components Yr 1'!H729=0,0,'Components Yr 1'!H729)</f>
        <v>0</v>
      </c>
      <c r="I729" s="17">
        <f>IF('Components Yr 1'!I729=0,0,'Components Yr 1'!I729)</f>
        <v>0</v>
      </c>
      <c r="J729" s="17">
        <f>IF('Components Yr 1'!J729=0,0,'Components Yr 1'!J729)</f>
        <v>0</v>
      </c>
      <c r="K729" s="12"/>
      <c r="L729" s="12"/>
      <c r="M729" s="12"/>
      <c r="N729" s="12"/>
      <c r="O729" s="12"/>
      <c r="P729" s="12"/>
      <c r="Q729" s="17"/>
      <c r="R729" s="18">
        <f>IF(SUMPRODUCT((E729:Q729)*1)=0,0,E729*INDEX(Hours!M:M,MATCH(C729,Hours!$A:$A,0))+F729*INDEX(Hours!B:B,MATCH(C729,Hours!$A:$A,0))+G729*INDEX(Hours!C:C,MATCH(C729,Hours!$A:$A,0))+H729*INDEX(Hours!D:D,MATCH(C729,Hours!$A:$A,0))+I729*INDEX(Hours!E:E,MATCH(C729,Hours!$A:$A,0))+J729*INDEX(Hours!F:F,MATCH(C729,Hours!$A:$A,0)))</f>
        <v>0</v>
      </c>
      <c r="S729" s="19">
        <f t="shared" si="23"/>
        <v>0</v>
      </c>
    </row>
    <row r="730" spans="1:19" x14ac:dyDescent="0.25">
      <c r="A730" s="15" t="str">
        <f>'Bldgs &amp; Rooms'!$A$21</f>
        <v>Main Bldg.</v>
      </c>
      <c r="B730" s="15">
        <f>'Bldgs &amp; Rooms'!$B$21</f>
        <v>0</v>
      </c>
      <c r="C730" s="14" t="str">
        <f>Hours!$A$27</f>
        <v>Automatic Transfer Switch (ATS) &gt; 100A</v>
      </c>
      <c r="D730" s="15">
        <f t="shared" si="22"/>
        <v>0</v>
      </c>
      <c r="E730" s="16">
        <f>IF('Components Yr 1'!E730=0,0,'Components Yr 1'!E730)</f>
        <v>0</v>
      </c>
      <c r="F730" s="17">
        <f>IF('Components Yr 1'!F730=0,0,'Components Yr 1'!F730)</f>
        <v>0</v>
      </c>
      <c r="G730" s="17">
        <f>IF('Components Yr 1'!G730=0,0,'Components Yr 1'!G730)</f>
        <v>0</v>
      </c>
      <c r="H730" s="17">
        <f>IF('Components Yr 1'!H730=0,0,'Components Yr 1'!H730)</f>
        <v>0</v>
      </c>
      <c r="I730" s="17">
        <f>IF('Components Yr 1'!I730=0,0,'Components Yr 1'!I730)</f>
        <v>0</v>
      </c>
      <c r="J730" s="17">
        <f>IF('Components Yr 1'!J730=0,0,'Components Yr 1'!J730)</f>
        <v>0</v>
      </c>
      <c r="K730" s="12"/>
      <c r="L730" s="12"/>
      <c r="M730" s="12"/>
      <c r="N730" s="12"/>
      <c r="O730" s="12"/>
      <c r="P730" s="12"/>
      <c r="Q730" s="17"/>
      <c r="R730" s="18">
        <f>IF(SUMPRODUCT((E730:Q730)*1)=0,0,E730*INDEX(Hours!M:M,MATCH(C730,Hours!$A:$A,0))+F730*INDEX(Hours!B:B,MATCH(C730,Hours!$A:$A,0))+G730*INDEX(Hours!C:C,MATCH(C730,Hours!$A:$A,0))+H730*INDEX(Hours!D:D,MATCH(C730,Hours!$A:$A,0))+I730*INDEX(Hours!E:E,MATCH(C730,Hours!$A:$A,0))+J730*INDEX(Hours!F:F,MATCH(C730,Hours!$A:$A,0)))</f>
        <v>0</v>
      </c>
      <c r="S730" s="19">
        <f t="shared" si="23"/>
        <v>0</v>
      </c>
    </row>
    <row r="731" spans="1:19" x14ac:dyDescent="0.25">
      <c r="A731" s="15" t="str">
        <f>'Bldgs &amp; Rooms'!$A$21</f>
        <v>Main Bldg.</v>
      </c>
      <c r="B731" s="15">
        <f>'Bldgs &amp; Rooms'!$B$21</f>
        <v>0</v>
      </c>
      <c r="C731" s="14" t="str">
        <f>Hours!$A$28</f>
        <v>Manual Transfer Switch (MTS) &gt; 100A</v>
      </c>
      <c r="D731" s="15">
        <f t="shared" si="22"/>
        <v>0</v>
      </c>
      <c r="E731" s="16">
        <f>IF('Components Yr 1'!E731=0,0,'Components Yr 1'!E731)</f>
        <v>0</v>
      </c>
      <c r="F731" s="17">
        <f>IF('Components Yr 1'!F731=0,0,'Components Yr 1'!F731)</f>
        <v>0</v>
      </c>
      <c r="G731" s="17">
        <f>IF('Components Yr 1'!G731=0,0,'Components Yr 1'!G731)</f>
        <v>0</v>
      </c>
      <c r="H731" s="17">
        <f>IF('Components Yr 1'!H731=0,0,'Components Yr 1'!H731)</f>
        <v>0</v>
      </c>
      <c r="I731" s="17">
        <f>IF('Components Yr 1'!I731=0,0,'Components Yr 1'!I731)</f>
        <v>0</v>
      </c>
      <c r="J731" s="17">
        <f>IF('Components Yr 1'!J731=0,0,'Components Yr 1'!J731)</f>
        <v>0</v>
      </c>
      <c r="K731" s="12"/>
      <c r="L731" s="12"/>
      <c r="M731" s="12"/>
      <c r="N731" s="12"/>
      <c r="O731" s="12"/>
      <c r="P731" s="12"/>
      <c r="Q731" s="17"/>
      <c r="R731" s="18">
        <f>IF(SUMPRODUCT((E731:Q731)*1)=0,0,E731*INDEX(Hours!M:M,MATCH(C731,Hours!$A:$A,0))+F731*INDEX(Hours!B:B,MATCH(C731,Hours!$A:$A,0))+G731*INDEX(Hours!C:C,MATCH(C731,Hours!$A:$A,0))+H731*INDEX(Hours!D:D,MATCH(C731,Hours!$A:$A,0))+I731*INDEX(Hours!E:E,MATCH(C731,Hours!$A:$A,0))+J731*INDEX(Hours!F:F,MATCH(C731,Hours!$A:$A,0)))</f>
        <v>0</v>
      </c>
      <c r="S731" s="19">
        <f t="shared" si="23"/>
        <v>0</v>
      </c>
    </row>
    <row r="732" spans="1:19" x14ac:dyDescent="0.25">
      <c r="A732" s="15" t="str">
        <f>'Bldgs &amp; Rooms'!$A$21</f>
        <v>Main Bldg.</v>
      </c>
      <c r="B732" s="15">
        <f>'Bldgs &amp; Rooms'!$B$21</f>
        <v>0</v>
      </c>
      <c r="C732" s="14" t="str">
        <f>Hours!$A$29</f>
        <v>Variable Frequency Drives (VFD) &lt; 50 HP</v>
      </c>
      <c r="D732" s="15">
        <f t="shared" si="22"/>
        <v>0</v>
      </c>
      <c r="E732" s="16">
        <f>IF('Components Yr 1'!E732=0,0,'Components Yr 1'!E732)</f>
        <v>0</v>
      </c>
      <c r="F732" s="17">
        <f>IF('Components Yr 1'!F732=0,0,'Components Yr 1'!F732)</f>
        <v>0</v>
      </c>
      <c r="G732" s="17">
        <f>IF('Components Yr 1'!G732=0,0,'Components Yr 1'!G732)</f>
        <v>0</v>
      </c>
      <c r="H732" s="17">
        <f>IF('Components Yr 1'!H732=0,0,'Components Yr 1'!H732)</f>
        <v>0</v>
      </c>
      <c r="I732" s="17">
        <f>IF('Components Yr 1'!I732=0,0,'Components Yr 1'!I732)</f>
        <v>0</v>
      </c>
      <c r="J732" s="17">
        <f>IF('Components Yr 1'!J732=0,0,'Components Yr 1'!J732)</f>
        <v>0</v>
      </c>
      <c r="K732" s="12"/>
      <c r="L732" s="12"/>
      <c r="M732" s="12"/>
      <c r="N732" s="12"/>
      <c r="O732" s="12"/>
      <c r="P732" s="12"/>
      <c r="Q732" s="17"/>
      <c r="R732" s="18">
        <f>IF(SUMPRODUCT((E732:Q732)*1)=0,0,E732*INDEX(Hours!M:M,MATCH(C732,Hours!$A:$A,0))+F732*INDEX(Hours!B:B,MATCH(C732,Hours!$A:$A,0))+G732*INDEX(Hours!C:C,MATCH(C732,Hours!$A:$A,0))+H732*INDEX(Hours!D:D,MATCH(C732,Hours!$A:$A,0))+I732*INDEX(Hours!E:E,MATCH(C732,Hours!$A:$A,0))+J732*INDEX(Hours!F:F,MATCH(C732,Hours!$A:$A,0)))</f>
        <v>0</v>
      </c>
      <c r="S732" s="19">
        <f t="shared" si="23"/>
        <v>0</v>
      </c>
    </row>
    <row r="733" spans="1:19" x14ac:dyDescent="0.25">
      <c r="A733" s="15" t="str">
        <f>'Bldgs &amp; Rooms'!$A$21</f>
        <v>Main Bldg.</v>
      </c>
      <c r="B733" s="15">
        <f>'Bldgs &amp; Rooms'!$B$21</f>
        <v>0</v>
      </c>
      <c r="C733" s="14" t="str">
        <f>Hours!$A$30</f>
        <v>Variable Frequency Drives (VFD) 51-200 HP</v>
      </c>
      <c r="D733" s="15">
        <f t="shared" si="22"/>
        <v>0</v>
      </c>
      <c r="E733" s="16">
        <f>IF('Components Yr 1'!E733=0,0,'Components Yr 1'!E733)</f>
        <v>0</v>
      </c>
      <c r="F733" s="17">
        <f>IF('Components Yr 1'!F733=0,0,'Components Yr 1'!F733)</f>
        <v>0</v>
      </c>
      <c r="G733" s="17">
        <f>IF('Components Yr 1'!G733=0,0,'Components Yr 1'!G733)</f>
        <v>0</v>
      </c>
      <c r="H733" s="17">
        <f>IF('Components Yr 1'!H733=0,0,'Components Yr 1'!H733)</f>
        <v>0</v>
      </c>
      <c r="I733" s="17">
        <f>IF('Components Yr 1'!I733=0,0,'Components Yr 1'!I733)</f>
        <v>0</v>
      </c>
      <c r="J733" s="17">
        <f>IF('Components Yr 1'!J733=0,0,'Components Yr 1'!J733)</f>
        <v>0</v>
      </c>
      <c r="K733" s="12"/>
      <c r="L733" s="12"/>
      <c r="M733" s="12"/>
      <c r="N733" s="12"/>
      <c r="O733" s="12"/>
      <c r="P733" s="12"/>
      <c r="Q733" s="17"/>
      <c r="R733" s="18">
        <f>IF(SUMPRODUCT((E733:Q733)*1)=0,0,E733*INDEX(Hours!M:M,MATCH(C733,Hours!$A:$A,0))+F733*INDEX(Hours!B:B,MATCH(C733,Hours!$A:$A,0))+G733*INDEX(Hours!C:C,MATCH(C733,Hours!$A:$A,0))+H733*INDEX(Hours!D:D,MATCH(C733,Hours!$A:$A,0))+I733*INDEX(Hours!E:E,MATCH(C733,Hours!$A:$A,0))+J733*INDEX(Hours!F:F,MATCH(C733,Hours!$A:$A,0)))</f>
        <v>0</v>
      </c>
      <c r="S733" s="19">
        <f t="shared" si="23"/>
        <v>0</v>
      </c>
    </row>
    <row r="734" spans="1:19" x14ac:dyDescent="0.25">
      <c r="A734" s="15" t="str">
        <f>'Bldgs &amp; Rooms'!$A$21</f>
        <v>Main Bldg.</v>
      </c>
      <c r="B734" s="15">
        <f>'Bldgs &amp; Rooms'!$B$21</f>
        <v>0</v>
      </c>
      <c r="C734" s="14" t="str">
        <f>Hours!$A$31</f>
        <v>Motors &lt; 50 HP</v>
      </c>
      <c r="D734" s="15">
        <f t="shared" si="22"/>
        <v>0</v>
      </c>
      <c r="E734" s="16">
        <f>IF('Components Yr 1'!E734=0,0,'Components Yr 1'!E734)</f>
        <v>0</v>
      </c>
      <c r="F734" s="17">
        <f>IF('Components Yr 1'!F734=0,0,'Components Yr 1'!F734)</f>
        <v>0</v>
      </c>
      <c r="G734" s="17">
        <f>IF('Components Yr 1'!G734=0,0,'Components Yr 1'!G734)</f>
        <v>0</v>
      </c>
      <c r="H734" s="17">
        <f>IF('Components Yr 1'!H734=0,0,'Components Yr 1'!H734)</f>
        <v>0</v>
      </c>
      <c r="I734" s="17">
        <f>IF('Components Yr 1'!I734=0,0,'Components Yr 1'!I734)</f>
        <v>0</v>
      </c>
      <c r="J734" s="17">
        <f>IF('Components Yr 1'!J734=0,0,'Components Yr 1'!J734)</f>
        <v>0</v>
      </c>
      <c r="K734" s="12"/>
      <c r="L734" s="12"/>
      <c r="M734" s="12"/>
      <c r="N734" s="12"/>
      <c r="O734" s="12"/>
      <c r="P734" s="12"/>
      <c r="Q734" s="17"/>
      <c r="R734" s="18">
        <f>IF(SUMPRODUCT((E734:Q734)*1)=0,0,E734*INDEX(Hours!M:M,MATCH(C734,Hours!$A:$A,0))+F734*INDEX(Hours!B:B,MATCH(C734,Hours!$A:$A,0))+G734*INDEX(Hours!C:C,MATCH(C734,Hours!$A:$A,0))+H734*INDEX(Hours!D:D,MATCH(C734,Hours!$A:$A,0))+I734*INDEX(Hours!E:E,MATCH(C734,Hours!$A:$A,0))+J734*INDEX(Hours!F:F,MATCH(C734,Hours!$A:$A,0)))</f>
        <v>0</v>
      </c>
      <c r="S734" s="19">
        <f t="shared" si="23"/>
        <v>0</v>
      </c>
    </row>
    <row r="735" spans="1:19" x14ac:dyDescent="0.25">
      <c r="A735" s="15" t="str">
        <f>'Bldgs &amp; Rooms'!$A$21</f>
        <v>Main Bldg.</v>
      </c>
      <c r="B735" s="15">
        <f>'Bldgs &amp; Rooms'!$B$21</f>
        <v>0</v>
      </c>
      <c r="C735" s="14" t="str">
        <f>Hours!$A$32</f>
        <v>Motors 51-200 HP</v>
      </c>
      <c r="D735" s="15">
        <f t="shared" si="22"/>
        <v>0</v>
      </c>
      <c r="E735" s="16">
        <f>IF('Components Yr 1'!E735=0,0,'Components Yr 1'!E735)</f>
        <v>0</v>
      </c>
      <c r="F735" s="17">
        <f>IF('Components Yr 1'!F735=0,0,'Components Yr 1'!F735)</f>
        <v>0</v>
      </c>
      <c r="G735" s="17">
        <f>IF('Components Yr 1'!G735=0,0,'Components Yr 1'!G735)</f>
        <v>0</v>
      </c>
      <c r="H735" s="17">
        <f>IF('Components Yr 1'!H735=0,0,'Components Yr 1'!H735)</f>
        <v>0</v>
      </c>
      <c r="I735" s="17">
        <f>IF('Components Yr 1'!I735=0,0,'Components Yr 1'!I735)</f>
        <v>0</v>
      </c>
      <c r="J735" s="17">
        <f>IF('Components Yr 1'!J735=0,0,'Components Yr 1'!J735)</f>
        <v>0</v>
      </c>
      <c r="K735" s="12"/>
      <c r="L735" s="12"/>
      <c r="M735" s="12"/>
      <c r="N735" s="12"/>
      <c r="O735" s="12"/>
      <c r="P735" s="12"/>
      <c r="Q735" s="17"/>
      <c r="R735" s="18">
        <f>IF(SUMPRODUCT((E735:Q735)*1)=0,0,E735*INDEX(Hours!M:M,MATCH(C735,Hours!$A:$A,0))+F735*INDEX(Hours!B:B,MATCH(C735,Hours!$A:$A,0))+G735*INDEX(Hours!C:C,MATCH(C735,Hours!$A:$A,0))+H735*INDEX(Hours!D:D,MATCH(C735,Hours!$A:$A,0))+I735*INDEX(Hours!E:E,MATCH(C735,Hours!$A:$A,0))+J735*INDEX(Hours!F:F,MATCH(C735,Hours!$A:$A,0)))</f>
        <v>0</v>
      </c>
      <c r="S735" s="19">
        <f t="shared" si="23"/>
        <v>0</v>
      </c>
    </row>
    <row r="736" spans="1:19" x14ac:dyDescent="0.25">
      <c r="A736" s="15" t="str">
        <f>'Bldgs &amp; Rooms'!$A$21</f>
        <v>Main Bldg.</v>
      </c>
      <c r="B736" s="15">
        <f>'Bldgs &amp; Rooms'!$B$21</f>
        <v>0</v>
      </c>
      <c r="C736" s="14" t="str">
        <f>Hours!$A$33</f>
        <v>Motors 201-500 HP</v>
      </c>
      <c r="D736" s="15">
        <f t="shared" si="22"/>
        <v>0</v>
      </c>
      <c r="E736" s="16">
        <f>IF('Components Yr 1'!E736=0,0,'Components Yr 1'!E736)</f>
        <v>0</v>
      </c>
      <c r="F736" s="17">
        <f>IF('Components Yr 1'!F736=0,0,'Components Yr 1'!F736)</f>
        <v>0</v>
      </c>
      <c r="G736" s="17">
        <f>IF('Components Yr 1'!G736=0,0,'Components Yr 1'!G736)</f>
        <v>0</v>
      </c>
      <c r="H736" s="17">
        <f>IF('Components Yr 1'!H736=0,0,'Components Yr 1'!H736)</f>
        <v>0</v>
      </c>
      <c r="I736" s="17">
        <f>IF('Components Yr 1'!I736=0,0,'Components Yr 1'!I736)</f>
        <v>0</v>
      </c>
      <c r="J736" s="17">
        <f>IF('Components Yr 1'!J736=0,0,'Components Yr 1'!J736)</f>
        <v>0</v>
      </c>
      <c r="K736" s="12"/>
      <c r="L736" s="12"/>
      <c r="M736" s="12"/>
      <c r="N736" s="12"/>
      <c r="O736" s="12"/>
      <c r="P736" s="12"/>
      <c r="Q736" s="17"/>
      <c r="R736" s="18">
        <f>IF(SUMPRODUCT((E736:Q736)*1)=0,0,E736*INDEX(Hours!M:M,MATCH(C736,Hours!$A:$A,0))+F736*INDEX(Hours!B:B,MATCH(C736,Hours!$A:$A,0))+G736*INDEX(Hours!C:C,MATCH(C736,Hours!$A:$A,0))+H736*INDEX(Hours!D:D,MATCH(C736,Hours!$A:$A,0))+I736*INDEX(Hours!E:E,MATCH(C736,Hours!$A:$A,0))+J736*INDEX(Hours!F:F,MATCH(C736,Hours!$A:$A,0)))</f>
        <v>0</v>
      </c>
      <c r="S736" s="19">
        <f t="shared" si="23"/>
        <v>0</v>
      </c>
    </row>
    <row r="737" spans="1:19" x14ac:dyDescent="0.25">
      <c r="A737" s="15" t="str">
        <f>'Bldgs &amp; Rooms'!$A$21</f>
        <v>Main Bldg.</v>
      </c>
      <c r="B737" s="15">
        <f>'Bldgs &amp; Rooms'!$B$21</f>
        <v>0</v>
      </c>
      <c r="C737" s="14" t="str">
        <f>Hours!$A$34</f>
        <v>Compressed Air Equipment</v>
      </c>
      <c r="D737" s="15">
        <f t="shared" si="22"/>
        <v>0</v>
      </c>
      <c r="E737" s="16">
        <f>IF('Components Yr 1'!E737=0,0,'Components Yr 1'!E737)</f>
        <v>0</v>
      </c>
      <c r="F737" s="17">
        <f>IF('Components Yr 1'!F737=0,0,'Components Yr 1'!F737)</f>
        <v>0</v>
      </c>
      <c r="G737" s="17">
        <f>IF('Components Yr 1'!G737=0,0,'Components Yr 1'!G737)</f>
        <v>0</v>
      </c>
      <c r="H737" s="17">
        <f>IF('Components Yr 1'!H737=0,0,'Components Yr 1'!H737)</f>
        <v>0</v>
      </c>
      <c r="I737" s="17">
        <f>IF('Components Yr 1'!I737=0,0,'Components Yr 1'!I737)</f>
        <v>0</v>
      </c>
      <c r="J737" s="17">
        <f>IF('Components Yr 1'!J737=0,0,'Components Yr 1'!J737)</f>
        <v>0</v>
      </c>
      <c r="K737" s="12"/>
      <c r="L737" s="12"/>
      <c r="M737" s="12"/>
      <c r="N737" s="12"/>
      <c r="O737" s="12"/>
      <c r="P737" s="12"/>
      <c r="Q737" s="17"/>
      <c r="R737" s="18">
        <f>IF(SUMPRODUCT((E737:Q737)*1)=0,0,E737*INDEX(Hours!M:M,MATCH(C737,Hours!$A:$A,0))+F737*INDEX(Hours!B:B,MATCH(C737,Hours!$A:$A,0))+G737*INDEX(Hours!C:C,MATCH(C737,Hours!$A:$A,0))+H737*INDEX(Hours!D:D,MATCH(C737,Hours!$A:$A,0))+I737*INDEX(Hours!E:E,MATCH(C737,Hours!$A:$A,0))+J737*INDEX(Hours!F:F,MATCH(C737,Hours!$A:$A,0)))</f>
        <v>0</v>
      </c>
      <c r="S737" s="19">
        <f t="shared" si="23"/>
        <v>0</v>
      </c>
    </row>
    <row r="738" spans="1:19" x14ac:dyDescent="0.25">
      <c r="A738" s="15" t="str">
        <f>'Bldgs &amp; Rooms'!$A$21</f>
        <v>Main Bldg.</v>
      </c>
      <c r="B738" s="15">
        <f>'Bldgs &amp; Rooms'!$B$21</f>
        <v>0</v>
      </c>
      <c r="C738" s="14" t="str">
        <f>Hours!$A$35</f>
        <v>HVAC Equipment (Large)</v>
      </c>
      <c r="D738" s="15">
        <f t="shared" si="22"/>
        <v>0</v>
      </c>
      <c r="E738" s="16">
        <f>IF('Components Yr 1'!E738=0,0,'Components Yr 1'!E738)</f>
        <v>0</v>
      </c>
      <c r="F738" s="17">
        <f>IF('Components Yr 1'!F738=0,0,'Components Yr 1'!F738)</f>
        <v>0</v>
      </c>
      <c r="G738" s="17">
        <f>IF('Components Yr 1'!G738=0,0,'Components Yr 1'!G738)</f>
        <v>0</v>
      </c>
      <c r="H738" s="17">
        <f>IF('Components Yr 1'!H738=0,0,'Components Yr 1'!H738)</f>
        <v>0</v>
      </c>
      <c r="I738" s="17">
        <f>IF('Components Yr 1'!I738=0,0,'Components Yr 1'!I738)</f>
        <v>0</v>
      </c>
      <c r="J738" s="17">
        <f>IF('Components Yr 1'!J738=0,0,'Components Yr 1'!J738)</f>
        <v>0</v>
      </c>
      <c r="K738" s="12"/>
      <c r="L738" s="12"/>
      <c r="M738" s="12"/>
      <c r="N738" s="12"/>
      <c r="O738" s="12"/>
      <c r="P738" s="12"/>
      <c r="Q738" s="17"/>
      <c r="R738" s="18">
        <f>IF(SUMPRODUCT((E738:Q738)*1)=0,0,E738*INDEX(Hours!M:M,MATCH(C738,Hours!$A:$A,0))+F738*INDEX(Hours!B:B,MATCH(C738,Hours!$A:$A,0))+G738*INDEX(Hours!C:C,MATCH(C738,Hours!$A:$A,0))+H738*INDEX(Hours!D:D,MATCH(C738,Hours!$A:$A,0))+I738*INDEX(Hours!E:E,MATCH(C738,Hours!$A:$A,0))+J738*INDEX(Hours!F:F,MATCH(C738,Hours!$A:$A,0)))</f>
        <v>0</v>
      </c>
      <c r="S738" s="19">
        <f t="shared" si="23"/>
        <v>0</v>
      </c>
    </row>
    <row r="739" spans="1:19" x14ac:dyDescent="0.25">
      <c r="A739" s="15" t="str">
        <f>'Bldgs &amp; Rooms'!$A$21</f>
        <v>Main Bldg.</v>
      </c>
      <c r="B739" s="15">
        <f>'Bldgs &amp; Rooms'!$B$21</f>
        <v>0</v>
      </c>
      <c r="C739" s="14" t="str">
        <f>Hours!$A$36</f>
        <v>HVAC Equipment (Small)</v>
      </c>
      <c r="D739" s="15">
        <f t="shared" si="22"/>
        <v>0</v>
      </c>
      <c r="E739" s="16">
        <f>IF('Components Yr 1'!E739=0,0,'Components Yr 1'!E739)</f>
        <v>0</v>
      </c>
      <c r="F739" s="17">
        <f>IF('Components Yr 1'!F739=0,0,'Components Yr 1'!F739)</f>
        <v>0</v>
      </c>
      <c r="G739" s="17">
        <f>IF('Components Yr 1'!G739=0,0,'Components Yr 1'!G739)</f>
        <v>0</v>
      </c>
      <c r="H739" s="17">
        <f>IF('Components Yr 1'!H739=0,0,'Components Yr 1'!H739)</f>
        <v>0</v>
      </c>
      <c r="I739" s="17">
        <f>IF('Components Yr 1'!I739=0,0,'Components Yr 1'!I739)</f>
        <v>0</v>
      </c>
      <c r="J739" s="17">
        <f>IF('Components Yr 1'!J739=0,0,'Components Yr 1'!J739)</f>
        <v>0</v>
      </c>
      <c r="K739" s="12"/>
      <c r="L739" s="12"/>
      <c r="M739" s="12"/>
      <c r="N739" s="12"/>
      <c r="O739" s="12"/>
      <c r="P739" s="12"/>
      <c r="Q739" s="17"/>
      <c r="R739" s="18">
        <f>IF(SUMPRODUCT((E739:Q739)*1)=0,0,E739*INDEX(Hours!M:M,MATCH(C739,Hours!$A:$A,0))+F739*INDEX(Hours!B:B,MATCH(C739,Hours!$A:$A,0))+G739*INDEX(Hours!C:C,MATCH(C739,Hours!$A:$A,0))+H739*INDEX(Hours!D:D,MATCH(C739,Hours!$A:$A,0))+I739*INDEX(Hours!E:E,MATCH(C739,Hours!$A:$A,0))+J739*INDEX(Hours!F:F,MATCH(C739,Hours!$A:$A,0)))</f>
        <v>0</v>
      </c>
      <c r="S739" s="19">
        <f t="shared" si="23"/>
        <v>0</v>
      </c>
    </row>
    <row r="740" spans="1:19" x14ac:dyDescent="0.25">
      <c r="A740" s="15" t="str">
        <f>'Bldgs &amp; Rooms'!$A$21</f>
        <v>Main Bldg.</v>
      </c>
      <c r="B740" s="15">
        <f>'Bldgs &amp; Rooms'!$B$21</f>
        <v>0</v>
      </c>
      <c r="C740" s="14" t="str">
        <f>Hours!$A$37</f>
        <v>Uninterruptible Power Supply (UPS) &lt; 50kVA</v>
      </c>
      <c r="D740" s="15">
        <f t="shared" si="22"/>
        <v>0</v>
      </c>
      <c r="E740" s="16">
        <f>IF('Components Yr 1'!E740=0,0,'Components Yr 1'!E740)</f>
        <v>0</v>
      </c>
      <c r="F740" s="17">
        <f>IF('Components Yr 1'!F740=0,0,'Components Yr 1'!F740)</f>
        <v>0</v>
      </c>
      <c r="G740" s="17">
        <f>IF('Components Yr 1'!G740=0,0,'Components Yr 1'!G740)</f>
        <v>0</v>
      </c>
      <c r="H740" s="17">
        <f>IF('Components Yr 1'!H740=0,0,'Components Yr 1'!H740)</f>
        <v>0</v>
      </c>
      <c r="I740" s="17">
        <f>IF('Components Yr 1'!I740=0,0,'Components Yr 1'!I740)</f>
        <v>0</v>
      </c>
      <c r="J740" s="17">
        <f>IF('Components Yr 1'!J740=0,0,'Components Yr 1'!J740)</f>
        <v>0</v>
      </c>
      <c r="K740" s="12"/>
      <c r="L740" s="12"/>
      <c r="M740" s="12"/>
      <c r="N740" s="12"/>
      <c r="O740" s="12"/>
      <c r="P740" s="12"/>
      <c r="Q740" s="17"/>
      <c r="R740" s="18">
        <f>IF(SUMPRODUCT((E740:Q740)*1)=0,0,E740*INDEX(Hours!M:M,MATCH(C740,Hours!$A:$A,0))+F740*INDEX(Hours!B:B,MATCH(C740,Hours!$A:$A,0))+G740*INDEX(Hours!C:C,MATCH(C740,Hours!$A:$A,0))+H740*INDEX(Hours!D:D,MATCH(C740,Hours!$A:$A,0))+I740*INDEX(Hours!E:E,MATCH(C740,Hours!$A:$A,0))+J740*INDEX(Hours!F:F,MATCH(C740,Hours!$A:$A,0)))</f>
        <v>0</v>
      </c>
      <c r="S740" s="19">
        <f t="shared" si="23"/>
        <v>0</v>
      </c>
    </row>
    <row r="741" spans="1:19" x14ac:dyDescent="0.25">
      <c r="A741" s="15" t="str">
        <f>'Bldgs &amp; Rooms'!$A$21</f>
        <v>Main Bldg.</v>
      </c>
      <c r="B741" s="15">
        <f>'Bldgs &amp; Rooms'!$B$21</f>
        <v>0</v>
      </c>
      <c r="C741" s="14" t="str">
        <f>Hours!$A$38</f>
        <v>Uninterruptible Power Supply (UPS) &gt; 50kVA</v>
      </c>
      <c r="D741" s="15">
        <f t="shared" si="22"/>
        <v>0</v>
      </c>
      <c r="E741" s="16">
        <f>IF('Components Yr 1'!E741=0,0,'Components Yr 1'!E741)</f>
        <v>0</v>
      </c>
      <c r="F741" s="17">
        <f>IF('Components Yr 1'!F741=0,0,'Components Yr 1'!F741)</f>
        <v>0</v>
      </c>
      <c r="G741" s="17">
        <f>IF('Components Yr 1'!G741=0,0,'Components Yr 1'!G741)</f>
        <v>0</v>
      </c>
      <c r="H741" s="17">
        <f>IF('Components Yr 1'!H741=0,0,'Components Yr 1'!H741)</f>
        <v>0</v>
      </c>
      <c r="I741" s="17">
        <f>IF('Components Yr 1'!I741=0,0,'Components Yr 1'!I741)</f>
        <v>0</v>
      </c>
      <c r="J741" s="17">
        <f>IF('Components Yr 1'!J741=0,0,'Components Yr 1'!J741)</f>
        <v>0</v>
      </c>
      <c r="K741" s="12"/>
      <c r="L741" s="12"/>
      <c r="M741" s="12"/>
      <c r="N741" s="12"/>
      <c r="O741" s="12"/>
      <c r="P741" s="12"/>
      <c r="Q741" s="17"/>
      <c r="R741" s="18">
        <f>IF(SUMPRODUCT((E741:Q741)*1)=0,0,E741*INDEX(Hours!M:M,MATCH(C741,Hours!$A:$A,0))+F741*INDEX(Hours!B:B,MATCH(C741,Hours!$A:$A,0))+G741*INDEX(Hours!C:C,MATCH(C741,Hours!$A:$A,0))+H741*INDEX(Hours!D:D,MATCH(C741,Hours!$A:$A,0))+I741*INDEX(Hours!E:E,MATCH(C741,Hours!$A:$A,0))+J741*INDEX(Hours!F:F,MATCH(C741,Hours!$A:$A,0)))</f>
        <v>0</v>
      </c>
      <c r="S741" s="19">
        <f t="shared" si="23"/>
        <v>0</v>
      </c>
    </row>
    <row r="742" spans="1:19" x14ac:dyDescent="0.25">
      <c r="A742" s="11" t="str">
        <f>'Bldgs &amp; Rooms'!$A$22</f>
        <v>Main Bldg.</v>
      </c>
      <c r="B742" s="11">
        <f>'Bldgs &amp; Rooms'!$B$22</f>
        <v>0</v>
      </c>
      <c r="C742" s="10" t="str">
        <f>Hours!$A$2</f>
        <v>Switchgear - Incoming Main Service (Per Section)</v>
      </c>
      <c r="D742" s="11">
        <f t="shared" si="22"/>
        <v>0</v>
      </c>
      <c r="E742" s="16">
        <f>IF('Components Yr 1'!E742=0,0,'Components Yr 1'!E742)</f>
        <v>0</v>
      </c>
      <c r="F742" s="17">
        <f>IF('Components Yr 1'!F742=0,0,'Components Yr 1'!F742)</f>
        <v>0</v>
      </c>
      <c r="G742" s="17">
        <f>IF('Components Yr 1'!G742=0,0,'Components Yr 1'!G742)</f>
        <v>0</v>
      </c>
      <c r="H742" s="17">
        <f>IF('Components Yr 1'!H742=0,0,'Components Yr 1'!H742)</f>
        <v>0</v>
      </c>
      <c r="I742" s="17">
        <f>IF('Components Yr 1'!I742=0,0,'Components Yr 1'!I742)</f>
        <v>0</v>
      </c>
      <c r="J742" s="17">
        <f>IF('Components Yr 1'!J742=0,0,'Components Yr 1'!J742)</f>
        <v>0</v>
      </c>
      <c r="K742" s="17">
        <f>IF('Components Yr 1'!K742=0,0,'Components Yr 1'!K742)</f>
        <v>0</v>
      </c>
      <c r="L742" s="17">
        <f>IF('Components Yr 1'!L742=0,0,'Components Yr 1'!L742)</f>
        <v>0</v>
      </c>
      <c r="M742" s="12"/>
      <c r="N742" s="12"/>
      <c r="O742" s="17">
        <f>IF('Components Yr 1'!O742=0,0,'Components Yr 1'!O742)</f>
        <v>0</v>
      </c>
      <c r="P742" s="12"/>
      <c r="Q742" s="17"/>
      <c r="R742" s="18">
        <f>IF(SUMPRODUCT((E742:Q742)*1)=0,0,E742*INDEX(Hours!M:M,MATCH(C742,Hours!$A:$A,0))+F742*INDEX(Hours!B:B,MATCH(C742,Hours!$A:$A,0))+G742*INDEX(Hours!C:C,MATCH(C742,Hours!$A:$A,0))+H742*INDEX(Hours!D:D,MATCH(C742,Hours!$A:$A,0))+I742*INDEX(Hours!E:E,MATCH(C742,Hours!$A:$A,0))+J742*INDEX(Hours!F:F,MATCH(C742,Hours!$A:$A,0))+K742*INDEX(Hours!G:G,MATCH(C742,Hours!$A:$A,0))+L742*INDEX(Hours!H:H,MATCH(C742,Hours!$A:$A,0))+O742*INDEX(Hours!K:K,MATCH(C742,Hours!$A:$A,0)))</f>
        <v>0</v>
      </c>
      <c r="S742" s="19">
        <f t="shared" si="23"/>
        <v>0</v>
      </c>
    </row>
    <row r="743" spans="1:19" x14ac:dyDescent="0.25">
      <c r="A743" s="11" t="str">
        <f>'Bldgs &amp; Rooms'!$A$22</f>
        <v>Main Bldg.</v>
      </c>
      <c r="B743" s="11">
        <f>'Bldgs &amp; Rooms'!$B$22</f>
        <v>0</v>
      </c>
      <c r="C743" s="10" t="str">
        <f>Hours!$A$3</f>
        <v xml:space="preserve">  Switchgear Insulated Case Breakers (Bus Mounted)</v>
      </c>
      <c r="D743" s="11">
        <f t="shared" si="22"/>
        <v>0</v>
      </c>
      <c r="E743" s="16">
        <f>IF('Components Yr 1'!E743=0,0,'Components Yr 1'!E743)</f>
        <v>0</v>
      </c>
      <c r="F743" s="17">
        <f>IF('Components Yr 1'!F743=0,0,'Components Yr 1'!F743)</f>
        <v>0</v>
      </c>
      <c r="G743" s="17">
        <f>IF('Components Yr 1'!G743=0,0,'Components Yr 1'!G743)</f>
        <v>0</v>
      </c>
      <c r="H743" s="17">
        <f>IF('Components Yr 1'!H743=0,0,'Components Yr 1'!H743)</f>
        <v>0</v>
      </c>
      <c r="I743" s="17">
        <f>IF('Components Yr 1'!I743=0,0,'Components Yr 1'!I743)</f>
        <v>0</v>
      </c>
      <c r="J743" s="17">
        <f>IF('Components Yr 1'!J743=0,0,'Components Yr 1'!J743)</f>
        <v>0</v>
      </c>
      <c r="K743" s="17">
        <f>IF('Components Yr 1'!K743=0,0,'Components Yr 1'!K743)</f>
        <v>0</v>
      </c>
      <c r="L743" s="12"/>
      <c r="M743" s="12"/>
      <c r="N743" s="12"/>
      <c r="O743" s="12"/>
      <c r="P743" s="12"/>
      <c r="Q743" s="17"/>
      <c r="R743" s="18">
        <f>IF(SUMPRODUCT((E743:Q743)*1)=0,0,E743*INDEX(Hours!M:M,MATCH(C743,Hours!$A:$A,0))+F743*INDEX(Hours!B:B,MATCH(C743,Hours!$A:$A,0))+G743*INDEX(Hours!C:C,MATCH(C743,Hours!$A:$A,0))+H743*INDEX(Hours!D:D,MATCH(C743,Hours!$A:$A,0))+I743*INDEX(Hours!E:E,MATCH(C743,Hours!$A:$A,0))+J743*INDEX(Hours!F:F,MATCH(C743,Hours!$A:$A,0))+K743*INDEX(Hours!G:G,MATCH(C743,Hours!$A:$A,0)))</f>
        <v>0</v>
      </c>
      <c r="S743" s="19">
        <f t="shared" si="23"/>
        <v>0</v>
      </c>
    </row>
    <row r="744" spans="1:19" x14ac:dyDescent="0.25">
      <c r="A744" s="11" t="str">
        <f>'Bldgs &amp; Rooms'!$A$22</f>
        <v>Main Bldg.</v>
      </c>
      <c r="B744" s="11">
        <f>'Bldgs &amp; Rooms'!$B$22</f>
        <v>0</v>
      </c>
      <c r="C744" s="10" t="str">
        <f>Hours!$A$4</f>
        <v xml:space="preserve">  SwitchGear Drawout Breakers</v>
      </c>
      <c r="D744" s="11">
        <f t="shared" si="22"/>
        <v>0</v>
      </c>
      <c r="E744" s="16">
        <f>IF('Components Yr 1'!E744=0,0,'Components Yr 1'!E744)</f>
        <v>0</v>
      </c>
      <c r="F744" s="17">
        <f>IF('Components Yr 1'!F744=0,0,'Components Yr 1'!F744)</f>
        <v>0</v>
      </c>
      <c r="G744" s="17">
        <f>IF('Components Yr 1'!G744=0,0,'Components Yr 1'!G744)</f>
        <v>0</v>
      </c>
      <c r="H744" s="17">
        <f>IF('Components Yr 1'!H744=0,0,'Components Yr 1'!H744)</f>
        <v>0</v>
      </c>
      <c r="I744" s="17">
        <f>IF('Components Yr 1'!I744=0,0,'Components Yr 1'!I744)</f>
        <v>0</v>
      </c>
      <c r="J744" s="17">
        <f>IF('Components Yr 1'!J744=0,0,'Components Yr 1'!J744)</f>
        <v>0</v>
      </c>
      <c r="K744" s="12"/>
      <c r="L744" s="17">
        <f>IF('Components Yr 1'!L744=0,0,'Components Yr 1'!L744)</f>
        <v>0</v>
      </c>
      <c r="M744" s="12"/>
      <c r="N744" s="12"/>
      <c r="O744" s="12"/>
      <c r="P744" s="12"/>
      <c r="Q744" s="17"/>
      <c r="R744" s="18">
        <f>IF(SUMPRODUCT((E744:Q744)*1)=0,0,E744*INDEX(Hours!M:M,MATCH(C744,Hours!$A:$A,0))+F744*INDEX(Hours!B:B,MATCH(C744,Hours!$A:$A,0))+G744*INDEX(Hours!C:C,MATCH(C744,Hours!$A:$A,0))+H744*INDEX(Hours!D:D,MATCH(C744,Hours!$A:$A,0))+I744*INDEX(Hours!E:E,MATCH(C744,Hours!$A:$A,0))+J744*INDEX(Hours!F:F,MATCH(C744,Hours!$A:$A,0))+L744*INDEX(Hours!H:H,MATCH(C744,Hours!$A:$A,0)))</f>
        <v>0</v>
      </c>
      <c r="S744" s="19">
        <f t="shared" si="23"/>
        <v>0</v>
      </c>
    </row>
    <row r="745" spans="1:19" x14ac:dyDescent="0.25">
      <c r="A745" s="11" t="str">
        <f>'Bldgs &amp; Rooms'!$A$22</f>
        <v>Main Bldg.</v>
      </c>
      <c r="B745" s="11">
        <f>'Bldgs &amp; Rooms'!$B$22</f>
        <v>0</v>
      </c>
      <c r="C745" s="10" t="str">
        <f>Hours!$A$5</f>
        <v>Distribution Switchboard Multi Cover (Per Section)</v>
      </c>
      <c r="D745" s="11">
        <f t="shared" si="22"/>
        <v>0</v>
      </c>
      <c r="E745" s="16">
        <f>IF('Components Yr 1'!E745=0,0,'Components Yr 1'!E745)</f>
        <v>0</v>
      </c>
      <c r="F745" s="17">
        <f>IF('Components Yr 1'!F745=0,0,'Components Yr 1'!F745)</f>
        <v>0</v>
      </c>
      <c r="G745" s="17">
        <f>IF('Components Yr 1'!G745=0,0,'Components Yr 1'!G745)</f>
        <v>0</v>
      </c>
      <c r="H745" s="17">
        <f>IF('Components Yr 1'!H745=0,0,'Components Yr 1'!H745)</f>
        <v>0</v>
      </c>
      <c r="I745" s="17">
        <f>IF('Components Yr 1'!I745=0,0,'Components Yr 1'!I745)</f>
        <v>0</v>
      </c>
      <c r="J745" s="17">
        <f>IF('Components Yr 1'!J745=0,0,'Components Yr 1'!J745)</f>
        <v>0</v>
      </c>
      <c r="K745" s="17">
        <f>IF('Components Yr 1'!K745=0,0,'Components Yr 1'!K745)</f>
        <v>0</v>
      </c>
      <c r="L745" s="12"/>
      <c r="M745" s="12"/>
      <c r="N745" s="12"/>
      <c r="O745" s="17">
        <f>IF('Components Yr 1'!O745=0,0,'Components Yr 1'!O745)</f>
        <v>0</v>
      </c>
      <c r="P745" s="12"/>
      <c r="Q745" s="17"/>
      <c r="R745" s="18">
        <f>IF(SUMPRODUCT((E745:Q745)*1)=0,0,E745*INDEX(Hours!M:M,MATCH(C745,Hours!$A:$A,0))+F745*INDEX(Hours!B:B,MATCH(C745,Hours!$A:$A,0))+G745*INDEX(Hours!C:C,MATCH(C745,Hours!$A:$A,0))+H745*INDEX(Hours!D:D,MATCH(C745,Hours!$A:$A,0))+I745*INDEX(Hours!E:E,MATCH(C745,Hours!$A:$A,0))+J745*INDEX(Hours!F:F,MATCH(C745,Hours!$A:$A,0))+K745*INDEX(Hours!G:G,MATCH(C745,Hours!$A:$A,0))+O745*INDEX(Hours!K:K,MATCH(C745,Hours!$A:$A,0)))</f>
        <v>0</v>
      </c>
      <c r="S745" s="19">
        <f t="shared" si="23"/>
        <v>0</v>
      </c>
    </row>
    <row r="746" spans="1:19" x14ac:dyDescent="0.25">
      <c r="A746" s="11" t="str">
        <f>'Bldgs &amp; Rooms'!$A$22</f>
        <v>Main Bldg.</v>
      </c>
      <c r="B746" s="11">
        <f>'Bldgs &amp; Rooms'!$B$22</f>
        <v>0</v>
      </c>
      <c r="C746" s="10" t="str">
        <f>Hours!$A$6</f>
        <v xml:space="preserve">  Switchboard Disconnects</v>
      </c>
      <c r="D746" s="11">
        <f t="shared" si="22"/>
        <v>0</v>
      </c>
      <c r="E746" s="16">
        <f>IF('Components Yr 1'!E746=0,0,'Components Yr 1'!E746)</f>
        <v>0</v>
      </c>
      <c r="F746" s="17">
        <f>IF('Components Yr 1'!F746=0,0,'Components Yr 1'!F746)</f>
        <v>0</v>
      </c>
      <c r="G746" s="17">
        <f>IF('Components Yr 1'!G746=0,0,'Components Yr 1'!G746)</f>
        <v>0</v>
      </c>
      <c r="H746" s="17">
        <f>IF('Components Yr 1'!H746=0,0,'Components Yr 1'!H746)</f>
        <v>0</v>
      </c>
      <c r="I746" s="17">
        <f>IF('Components Yr 1'!I746=0,0,'Components Yr 1'!I746)</f>
        <v>0</v>
      </c>
      <c r="J746" s="17">
        <f>IF('Components Yr 1'!J746=0,0,'Components Yr 1'!J746)</f>
        <v>0</v>
      </c>
      <c r="K746" s="12"/>
      <c r="L746" s="12"/>
      <c r="M746" s="12"/>
      <c r="N746" s="12"/>
      <c r="O746" s="12"/>
      <c r="P746" s="12"/>
      <c r="Q746" s="17"/>
      <c r="R746" s="18">
        <f>IF(SUMPRODUCT((E746:Q746)*1)=0,0,E746*INDEX(Hours!M:M,MATCH(C746,Hours!$A:$A,0))+F746*INDEX(Hours!B:B,MATCH(C746,Hours!$A:$A,0))+G746*INDEX(Hours!C:C,MATCH(C746,Hours!$A:$A,0))+H746*INDEX(Hours!D:D,MATCH(C746,Hours!$A:$A,0))+I746*INDEX(Hours!E:E,MATCH(C746,Hours!$A:$A,0))+J746*INDEX(Hours!F:F,MATCH(C746,Hours!$A:$A,0)))</f>
        <v>0</v>
      </c>
      <c r="S746" s="19">
        <f t="shared" si="23"/>
        <v>0</v>
      </c>
    </row>
    <row r="747" spans="1:19" x14ac:dyDescent="0.25">
      <c r="A747" s="11" t="str">
        <f>'Bldgs &amp; Rooms'!$A$22</f>
        <v>Main Bldg.</v>
      </c>
      <c r="B747" s="11">
        <f>'Bldgs &amp; Rooms'!$B$22</f>
        <v>0</v>
      </c>
      <c r="C747" s="10" t="str">
        <f>Hours!$A$7</f>
        <v xml:space="preserve">  Switchboard Molded Case Breakers</v>
      </c>
      <c r="D747" s="11">
        <f t="shared" si="22"/>
        <v>0</v>
      </c>
      <c r="E747" s="16">
        <f>IF('Components Yr 1'!E747=0,0,'Components Yr 1'!E747)</f>
        <v>0</v>
      </c>
      <c r="F747" s="17">
        <f>IF('Components Yr 1'!F747=0,0,'Components Yr 1'!F747)</f>
        <v>0</v>
      </c>
      <c r="G747" s="17">
        <f>IF('Components Yr 1'!G747=0,0,'Components Yr 1'!G747)</f>
        <v>0</v>
      </c>
      <c r="H747" s="17">
        <f>IF('Components Yr 1'!H747=0,0,'Components Yr 1'!H747)</f>
        <v>0</v>
      </c>
      <c r="I747" s="17">
        <f>IF('Components Yr 1'!I747=0,0,'Components Yr 1'!I747)</f>
        <v>0</v>
      </c>
      <c r="J747" s="17">
        <f>IF('Components Yr 1'!J747=0,0,'Components Yr 1'!J747)</f>
        <v>0</v>
      </c>
      <c r="K747" s="17">
        <f>IF('Components Yr 1'!K747=0,0,'Components Yr 1'!K747)</f>
        <v>0</v>
      </c>
      <c r="L747" s="12"/>
      <c r="M747" s="12"/>
      <c r="N747" s="12"/>
      <c r="O747" s="12"/>
      <c r="P747" s="12"/>
      <c r="Q747" s="17"/>
      <c r="R747" s="18">
        <f>IF(SUMPRODUCT((E747:Q747)*1)=0,0,E747*INDEX(Hours!M:M,MATCH(C747,Hours!$A:$A,0))+F747*INDEX(Hours!B:B,MATCH(C747,Hours!$A:$A,0))+G747*INDEX(Hours!C:C,MATCH(C747,Hours!$A:$A,0))+H747*INDEX(Hours!D:D,MATCH(C747,Hours!$A:$A,0))+I747*INDEX(Hours!E:E,MATCH(C747,Hours!$A:$A,0))+J747*INDEX(Hours!F:F,MATCH(C747,Hours!$A:$A,0))+K747*INDEX(Hours!G:G,MATCH(C747,Hours!$A:$A,0)))</f>
        <v>0</v>
      </c>
      <c r="S747" s="19">
        <f t="shared" si="23"/>
        <v>0</v>
      </c>
    </row>
    <row r="748" spans="1:19" x14ac:dyDescent="0.25">
      <c r="A748" s="11" t="str">
        <f>'Bldgs &amp; Rooms'!$A$22</f>
        <v>Main Bldg.</v>
      </c>
      <c r="B748" s="11">
        <f>'Bldgs &amp; Rooms'!$B$22</f>
        <v>0</v>
      </c>
      <c r="C748" s="10" t="str">
        <f>Hours!$A$8</f>
        <v>Panelboard-Single Cover &gt; 400A (Distribution Panel)</v>
      </c>
      <c r="D748" s="11">
        <f t="shared" si="22"/>
        <v>0</v>
      </c>
      <c r="E748" s="16">
        <f>IF('Components Yr 1'!E748=0,0,'Components Yr 1'!E748)</f>
        <v>0</v>
      </c>
      <c r="F748" s="17">
        <f>IF('Components Yr 1'!F748=0,0,'Components Yr 1'!F748)</f>
        <v>0</v>
      </c>
      <c r="G748" s="17">
        <f>IF('Components Yr 1'!G748=0,0,'Components Yr 1'!G748)</f>
        <v>0</v>
      </c>
      <c r="H748" s="17">
        <f>IF('Components Yr 1'!H748=0,0,'Components Yr 1'!H748)</f>
        <v>0</v>
      </c>
      <c r="I748" s="17">
        <f>IF('Components Yr 1'!I748=0,0,'Components Yr 1'!I748)</f>
        <v>0</v>
      </c>
      <c r="J748" s="17">
        <f>IF('Components Yr 1'!J748=0,0,'Components Yr 1'!J748)</f>
        <v>0</v>
      </c>
      <c r="K748" s="17">
        <f>IF('Components Yr 1'!K748=0,0,'Components Yr 1'!K748)</f>
        <v>0</v>
      </c>
      <c r="L748" s="12"/>
      <c r="M748" s="12"/>
      <c r="N748" s="12"/>
      <c r="O748" s="17">
        <f>IF('Components Yr 1'!O748=0,0,'Components Yr 1'!O748)</f>
        <v>0</v>
      </c>
      <c r="P748" s="12"/>
      <c r="Q748" s="17"/>
      <c r="R748" s="18">
        <f>IF(SUMPRODUCT((E748:Q748)*1)=0,0,E748*INDEX(Hours!M:M,MATCH(C748,Hours!$A:$A,0))+F748*INDEX(Hours!B:B,MATCH(C748,Hours!$A:$A,0))+G748*INDEX(Hours!C:C,MATCH(C748,Hours!$A:$A,0))+H748*INDEX(Hours!D:D,MATCH(C748,Hours!$A:$A,0))+I748*INDEX(Hours!E:E,MATCH(C748,Hours!$A:$A,0))+J748*INDEX(Hours!F:F,MATCH(C748,Hours!$A:$A,0))+K748*INDEX(Hours!G:G,MATCH(C748,Hours!$A:$A,0))+O748*INDEX(Hours!K:K,MATCH(C748,Hours!$A:$A,0)))</f>
        <v>0</v>
      </c>
      <c r="S748" s="19">
        <f t="shared" si="23"/>
        <v>0</v>
      </c>
    </row>
    <row r="749" spans="1:19" x14ac:dyDescent="0.25">
      <c r="A749" s="11" t="str">
        <f>'Bldgs &amp; Rooms'!$A$22</f>
        <v>Main Bldg.</v>
      </c>
      <c r="B749" s="11">
        <f>'Bldgs &amp; Rooms'!$B$22</f>
        <v>0</v>
      </c>
      <c r="C749" s="10" t="str">
        <f>Hours!$A$9</f>
        <v>Panelboard-Single Cover &lt; 400A (Branch Ckt Panel)</v>
      </c>
      <c r="D749" s="11">
        <f t="shared" si="22"/>
        <v>0</v>
      </c>
      <c r="E749" s="16">
        <f>IF('Components Yr 1'!E749=0,0,'Components Yr 1'!E749)</f>
        <v>0</v>
      </c>
      <c r="F749" s="17">
        <f>IF('Components Yr 1'!F749=0,0,'Components Yr 1'!F749)</f>
        <v>0</v>
      </c>
      <c r="G749" s="17">
        <f>IF('Components Yr 1'!G749=0,0,'Components Yr 1'!G749)</f>
        <v>0</v>
      </c>
      <c r="H749" s="17">
        <f>IF('Components Yr 1'!H749=0,0,'Components Yr 1'!H749)</f>
        <v>0</v>
      </c>
      <c r="I749" s="17">
        <f>IF('Components Yr 1'!I749=0,0,'Components Yr 1'!I749)</f>
        <v>0</v>
      </c>
      <c r="J749" s="17">
        <f>IF('Components Yr 1'!J749=0,0,'Components Yr 1'!J749)</f>
        <v>0</v>
      </c>
      <c r="K749" s="12"/>
      <c r="L749" s="12"/>
      <c r="M749" s="12"/>
      <c r="N749" s="12"/>
      <c r="O749" s="17">
        <f>IF('Components Yr 1'!O749=0,0,'Components Yr 1'!O749)</f>
        <v>0</v>
      </c>
      <c r="P749" s="12"/>
      <c r="Q749" s="17"/>
      <c r="R749" s="18">
        <f>IF(SUMPRODUCT((E749:Q749)*1)=0,0,E749*INDEX(Hours!M:M,MATCH(C749,Hours!$A:$A,0))+F749*INDEX(Hours!B:B,MATCH(C749,Hours!$A:$A,0))+G749*INDEX(Hours!C:C,MATCH(C749,Hours!$A:$A,0))+H749*INDEX(Hours!D:D,MATCH(C749,Hours!$A:$A,0))+I749*INDEX(Hours!E:E,MATCH(C749,Hours!$A:$A,0))+J749*INDEX(Hours!F:F,MATCH(C749,Hours!$A:$A,0))+O749*INDEX(Hours!K:K,MATCH(C749,Hours!$A:$A,0)))</f>
        <v>0</v>
      </c>
      <c r="S749" s="19">
        <f t="shared" si="23"/>
        <v>0</v>
      </c>
    </row>
    <row r="750" spans="1:19" x14ac:dyDescent="0.25">
      <c r="A750" s="11" t="str">
        <f>'Bldgs &amp; Rooms'!$A$22</f>
        <v>Main Bldg.</v>
      </c>
      <c r="B750" s="11">
        <f>'Bldgs &amp; Rooms'!$B$22</f>
        <v>0</v>
      </c>
      <c r="C750" s="10" t="str">
        <f>Hours!$A$10</f>
        <v>Motor Control Center (MCC-Per Vertical Section)</v>
      </c>
      <c r="D750" s="11">
        <f t="shared" si="22"/>
        <v>0</v>
      </c>
      <c r="E750" s="16">
        <f>IF('Components Yr 1'!E750=0,0,'Components Yr 1'!E750)</f>
        <v>0</v>
      </c>
      <c r="F750" s="17">
        <f>IF('Components Yr 1'!F750=0,0,'Components Yr 1'!F750)</f>
        <v>0</v>
      </c>
      <c r="G750" s="17">
        <f>IF('Components Yr 1'!G750=0,0,'Components Yr 1'!G750)</f>
        <v>0</v>
      </c>
      <c r="H750" s="17">
        <f>IF('Components Yr 1'!H750=0,0,'Components Yr 1'!H750)</f>
        <v>0</v>
      </c>
      <c r="I750" s="17">
        <f>IF('Components Yr 1'!I750=0,0,'Components Yr 1'!I750)</f>
        <v>0</v>
      </c>
      <c r="J750" s="17">
        <f>IF('Components Yr 1'!J750=0,0,'Components Yr 1'!J750)</f>
        <v>0</v>
      </c>
      <c r="K750" s="12"/>
      <c r="L750" s="12"/>
      <c r="M750" s="12"/>
      <c r="N750" s="12"/>
      <c r="O750" s="17">
        <f>IF('Components Yr 1'!O750=0,0,'Components Yr 1'!O750)</f>
        <v>0</v>
      </c>
      <c r="P750" s="12"/>
      <c r="Q750" s="17"/>
      <c r="R750" s="18">
        <f>IF(SUMPRODUCT((E750:Q750)*1)=0,0,E750*INDEX(Hours!M:M,MATCH(C750,Hours!$A:$A,0))+F750*INDEX(Hours!B:B,MATCH(C750,Hours!$A:$A,0))+G750*INDEX(Hours!C:C,MATCH(C750,Hours!$A:$A,0))+H750*INDEX(Hours!D:D,MATCH(C750,Hours!$A:$A,0))+I750*INDEX(Hours!E:E,MATCH(C750,Hours!$A:$A,0))+J750*INDEX(Hours!F:F,MATCH(C750,Hours!$A:$A,0))+O750*INDEX(Hours!K:K,MATCH(C750,Hours!$A:$A,0)))</f>
        <v>0</v>
      </c>
      <c r="S750" s="19">
        <f t="shared" si="23"/>
        <v>0</v>
      </c>
    </row>
    <row r="751" spans="1:19" x14ac:dyDescent="0.25">
      <c r="A751" s="11" t="str">
        <f>'Bldgs &amp; Rooms'!$A$22</f>
        <v>Main Bldg.</v>
      </c>
      <c r="B751" s="11">
        <f>'Bldgs &amp; Rooms'!$B$22</f>
        <v>0</v>
      </c>
      <c r="C751" s="10" t="str">
        <f>Hours!$A$11</f>
        <v xml:space="preserve">  MCC: Combination Motor Starters</v>
      </c>
      <c r="D751" s="11">
        <f t="shared" si="22"/>
        <v>0</v>
      </c>
      <c r="E751" s="16">
        <f>IF('Components Yr 1'!E751=0,0,'Components Yr 1'!E751)</f>
        <v>0</v>
      </c>
      <c r="F751" s="17">
        <f>IF('Components Yr 1'!F751=0,0,'Components Yr 1'!F751)</f>
        <v>0</v>
      </c>
      <c r="G751" s="17">
        <f>IF('Components Yr 1'!G751=0,0,'Components Yr 1'!G751)</f>
        <v>0</v>
      </c>
      <c r="H751" s="17">
        <f>IF('Components Yr 1'!H751=0,0,'Components Yr 1'!H751)</f>
        <v>0</v>
      </c>
      <c r="I751" s="17">
        <f>IF('Components Yr 1'!I751=0,0,'Components Yr 1'!I751)</f>
        <v>0</v>
      </c>
      <c r="J751" s="17">
        <f>IF('Components Yr 1'!J751=0,0,'Components Yr 1'!J751)</f>
        <v>0</v>
      </c>
      <c r="K751" s="17">
        <f>IF('Components Yr 1'!K751=0,0,'Components Yr 1'!K751)</f>
        <v>0</v>
      </c>
      <c r="L751" s="12"/>
      <c r="M751" s="12"/>
      <c r="N751" s="12"/>
      <c r="O751" s="17">
        <f>IF('Components Yr 1'!O751=0,0,'Components Yr 1'!O751)</f>
        <v>0</v>
      </c>
      <c r="P751" s="12"/>
      <c r="Q751" s="17"/>
      <c r="R751" s="18">
        <f>IF(SUMPRODUCT((E751:Q751)*1)=0,0,E751*INDEX(Hours!M:M,MATCH(C751,Hours!$A:$A,0))+F751*INDEX(Hours!B:B,MATCH(C751,Hours!$A:$A,0))+G751*INDEX(Hours!C:C,MATCH(C751,Hours!$A:$A,0))+H751*INDEX(Hours!D:D,MATCH(C751,Hours!$A:$A,0))+I751*INDEX(Hours!E:E,MATCH(C751,Hours!$A:$A,0))+J751*INDEX(Hours!F:F,MATCH(C751,Hours!$A:$A,0))+K751*INDEX(Hours!G:G,MATCH(C751,Hours!$A:$A,0))+O751*INDEX(Hours!K:K,MATCH(C751,Hours!$A:$A,0)))</f>
        <v>0</v>
      </c>
      <c r="S751" s="19">
        <f t="shared" si="23"/>
        <v>0</v>
      </c>
    </row>
    <row r="752" spans="1:19" x14ac:dyDescent="0.25">
      <c r="A752" s="11" t="str">
        <f>'Bldgs &amp; Rooms'!$A$22</f>
        <v>Main Bldg.</v>
      </c>
      <c r="B752" s="11">
        <f>'Bldgs &amp; Rooms'!$B$22</f>
        <v>0</v>
      </c>
      <c r="C752" s="10" t="str">
        <f>Hours!$A$12</f>
        <v xml:space="preserve">  MCC: Molded Case Breaker</v>
      </c>
      <c r="D752" s="11">
        <f t="shared" si="22"/>
        <v>0</v>
      </c>
      <c r="E752" s="16">
        <f>IF('Components Yr 1'!E752=0,0,'Components Yr 1'!E752)</f>
        <v>0</v>
      </c>
      <c r="F752" s="17">
        <f>IF('Components Yr 1'!F752=0,0,'Components Yr 1'!F752)</f>
        <v>0</v>
      </c>
      <c r="G752" s="17">
        <f>IF('Components Yr 1'!G752=0,0,'Components Yr 1'!G752)</f>
        <v>0</v>
      </c>
      <c r="H752" s="17">
        <f>IF('Components Yr 1'!H752=0,0,'Components Yr 1'!H752)</f>
        <v>0</v>
      </c>
      <c r="I752" s="17">
        <f>IF('Components Yr 1'!I752=0,0,'Components Yr 1'!I752)</f>
        <v>0</v>
      </c>
      <c r="J752" s="17">
        <f>IF('Components Yr 1'!J752=0,0,'Components Yr 1'!J752)</f>
        <v>0</v>
      </c>
      <c r="K752" s="17">
        <f>IF('Components Yr 1'!K752=0,0,'Components Yr 1'!K752)</f>
        <v>0</v>
      </c>
      <c r="L752" s="12"/>
      <c r="M752" s="12"/>
      <c r="N752" s="12"/>
      <c r="O752" s="12"/>
      <c r="P752" s="12"/>
      <c r="Q752" s="17"/>
      <c r="R752" s="18">
        <f>IF(SUMPRODUCT((E752:Q752)*1)=0,0,E752*INDEX(Hours!M:M,MATCH(C752,Hours!$A:$A,0))+F752*INDEX(Hours!B:B,MATCH(C752,Hours!$A:$A,0))+G752*INDEX(Hours!C:C,MATCH(C752,Hours!$A:$A,0))+H752*INDEX(Hours!D:D,MATCH(C752,Hours!$A:$A,0))+I752*INDEX(Hours!E:E,MATCH(C752,Hours!$A:$A,0))+J752*INDEX(Hours!F:F,MATCH(C752,Hours!$A:$A,0))+K752*INDEX(Hours!G:G,MATCH(C752,Hours!$A:$A,0)))</f>
        <v>0</v>
      </c>
      <c r="S752" s="19">
        <f t="shared" si="23"/>
        <v>0</v>
      </c>
    </row>
    <row r="753" spans="1:19" x14ac:dyDescent="0.25">
      <c r="A753" s="11" t="str">
        <f>'Bldgs &amp; Rooms'!$A$22</f>
        <v>Main Bldg.</v>
      </c>
      <c r="B753" s="11">
        <f>'Bldgs &amp; Rooms'!$B$22</f>
        <v>0</v>
      </c>
      <c r="C753" s="10" t="str">
        <f>Hours!$A$13</f>
        <v xml:space="preserve">  MCC: Individual Disconnect Switch</v>
      </c>
      <c r="D753" s="11">
        <f t="shared" si="22"/>
        <v>0</v>
      </c>
      <c r="E753" s="16">
        <f>IF('Components Yr 1'!E753=0,0,'Components Yr 1'!E753)</f>
        <v>0</v>
      </c>
      <c r="F753" s="17">
        <f>IF('Components Yr 1'!F753=0,0,'Components Yr 1'!F753)</f>
        <v>0</v>
      </c>
      <c r="G753" s="17">
        <f>IF('Components Yr 1'!G753=0,0,'Components Yr 1'!G753)</f>
        <v>0</v>
      </c>
      <c r="H753" s="17">
        <f>IF('Components Yr 1'!H753=0,0,'Components Yr 1'!H753)</f>
        <v>0</v>
      </c>
      <c r="I753" s="17">
        <f>IF('Components Yr 1'!I753=0,0,'Components Yr 1'!I753)</f>
        <v>0</v>
      </c>
      <c r="J753" s="17">
        <f>IF('Components Yr 1'!J753=0,0,'Components Yr 1'!J753)</f>
        <v>0</v>
      </c>
      <c r="K753" s="12"/>
      <c r="L753" s="12"/>
      <c r="M753" s="12"/>
      <c r="N753" s="12"/>
      <c r="O753" s="12"/>
      <c r="P753" s="12"/>
      <c r="Q753" s="17"/>
      <c r="R753" s="18">
        <f>IF(SUMPRODUCT((E753:Q753)*1)=0,0,E753*INDEX(Hours!M:M,MATCH(C753,Hours!$A:$A,0))+F753*INDEX(Hours!B:B,MATCH(C753,Hours!$A:$A,0))+G753*INDEX(Hours!C:C,MATCH(C753,Hours!$A:$A,0))+H753*INDEX(Hours!D:D,MATCH(C753,Hours!$A:$A,0))+I753*INDEX(Hours!E:E,MATCH(C753,Hours!$A:$A,0))+J753*INDEX(Hours!F:F,MATCH(C753,Hours!$A:$A,0)))</f>
        <v>0</v>
      </c>
      <c r="S753" s="19">
        <f t="shared" si="23"/>
        <v>0</v>
      </c>
    </row>
    <row r="754" spans="1:19" x14ac:dyDescent="0.25">
      <c r="A754" s="11" t="str">
        <f>'Bldgs &amp; Rooms'!$A$22</f>
        <v>Main Bldg.</v>
      </c>
      <c r="B754" s="11">
        <f>'Bldgs &amp; Rooms'!$B$22</f>
        <v>0</v>
      </c>
      <c r="C754" s="10" t="str">
        <f>Hours!$A$14</f>
        <v>Motor Control Panel (MCP)</v>
      </c>
      <c r="D754" s="11">
        <f t="shared" si="22"/>
        <v>0</v>
      </c>
      <c r="E754" s="16">
        <f>IF('Components Yr 1'!E754=0,0,'Components Yr 1'!E754)</f>
        <v>0</v>
      </c>
      <c r="F754" s="17">
        <f>IF('Components Yr 1'!F754=0,0,'Components Yr 1'!F754)</f>
        <v>0</v>
      </c>
      <c r="G754" s="17">
        <f>IF('Components Yr 1'!G754=0,0,'Components Yr 1'!G754)</f>
        <v>0</v>
      </c>
      <c r="H754" s="17">
        <f>IF('Components Yr 1'!H754=0,0,'Components Yr 1'!H754)</f>
        <v>0</v>
      </c>
      <c r="I754" s="17">
        <f>IF('Components Yr 1'!I754=0,0,'Components Yr 1'!I754)</f>
        <v>0</v>
      </c>
      <c r="J754" s="17">
        <f>IF('Components Yr 1'!J754=0,0,'Components Yr 1'!J754)</f>
        <v>0</v>
      </c>
      <c r="K754" s="12"/>
      <c r="L754" s="12"/>
      <c r="M754" s="12"/>
      <c r="N754" s="12"/>
      <c r="O754" s="17">
        <f>IF('Components Yr 1'!O754=0,0,'Components Yr 1'!O754)</f>
        <v>0</v>
      </c>
      <c r="P754" s="12"/>
      <c r="Q754" s="17"/>
      <c r="R754" s="18">
        <f>IF(SUMPRODUCT((E754:Q754)*1)=0,0,E754*INDEX(Hours!M:M,MATCH(C754,Hours!$A:$A,0))+F754*INDEX(Hours!B:B,MATCH(C754,Hours!$A:$A,0))+G754*INDEX(Hours!C:C,MATCH(C754,Hours!$A:$A,0))+H754*INDEX(Hours!D:D,MATCH(C754,Hours!$A:$A,0))+I754*INDEX(Hours!E:E,MATCH(C754,Hours!$A:$A,0))+J754*INDEX(Hours!F:F,MATCH(C754,Hours!$A:$A,0))+O754*INDEX(Hours!K:K,MATCH(C754,Hours!$A:$A,0)))</f>
        <v>0</v>
      </c>
      <c r="S754" s="19">
        <f t="shared" si="23"/>
        <v>0</v>
      </c>
    </row>
    <row r="755" spans="1:19" x14ac:dyDescent="0.25">
      <c r="A755" s="11" t="str">
        <f>'Bldgs &amp; Rooms'!$A$22</f>
        <v>Main Bldg.</v>
      </c>
      <c r="B755" s="11">
        <f>'Bldgs &amp; Rooms'!$B$22</f>
        <v>0</v>
      </c>
      <c r="C755" s="10" t="str">
        <f>Hours!$A$15</f>
        <v>VFD Motor Control Panel (VFD-MCP)</v>
      </c>
      <c r="D755" s="11">
        <f t="shared" si="22"/>
        <v>0</v>
      </c>
      <c r="E755" s="16">
        <f>IF('Components Yr 1'!E755=0,0,'Components Yr 1'!E755)</f>
        <v>0</v>
      </c>
      <c r="F755" s="17">
        <f>IF('Components Yr 1'!F755=0,0,'Components Yr 1'!F755)</f>
        <v>0</v>
      </c>
      <c r="G755" s="17">
        <f>IF('Components Yr 1'!G755=0,0,'Components Yr 1'!G755)</f>
        <v>0</v>
      </c>
      <c r="H755" s="17">
        <f>IF('Components Yr 1'!H755=0,0,'Components Yr 1'!H755)</f>
        <v>0</v>
      </c>
      <c r="I755" s="17">
        <f>IF('Components Yr 1'!I755=0,0,'Components Yr 1'!I755)</f>
        <v>0</v>
      </c>
      <c r="J755" s="17">
        <f>IF('Components Yr 1'!J755=0,0,'Components Yr 1'!J755)</f>
        <v>0</v>
      </c>
      <c r="K755" s="12"/>
      <c r="L755" s="12"/>
      <c r="M755" s="12"/>
      <c r="N755" s="12"/>
      <c r="O755" s="17">
        <f>IF('Components Yr 1'!O755=0,0,'Components Yr 1'!O755)</f>
        <v>0</v>
      </c>
      <c r="P755" s="12"/>
      <c r="Q755" s="17"/>
      <c r="R755" s="18">
        <f>IF(SUMPRODUCT((E755:Q755)*1)=0,0,E755*INDEX(Hours!M:M,MATCH(C755,Hours!$A:$A,0))+F755*INDEX(Hours!B:B,MATCH(C755,Hours!$A:$A,0))+G755*INDEX(Hours!C:C,MATCH(C755,Hours!$A:$A,0))+H755*INDEX(Hours!D:D,MATCH(C755,Hours!$A:$A,0))+I755*INDEX(Hours!E:E,MATCH(C755,Hours!$A:$A,0))+J755*INDEX(Hours!F:F,MATCH(C755,Hours!$A:$A,0))+O755*INDEX(Hours!K:K,MATCH(C755,Hours!$A:$A,0)))</f>
        <v>0</v>
      </c>
      <c r="S755" s="19">
        <f t="shared" si="23"/>
        <v>0</v>
      </c>
    </row>
    <row r="756" spans="1:19" x14ac:dyDescent="0.25">
      <c r="A756" s="11" t="str">
        <f>'Bldgs &amp; Rooms'!$A$22</f>
        <v>Main Bldg.</v>
      </c>
      <c r="B756" s="11">
        <f>'Bldgs &amp; Rooms'!$B$22</f>
        <v>0</v>
      </c>
      <c r="C756" s="10" t="str">
        <f>Hours!$A$16</f>
        <v>Individual Disconnect Switch &gt; 100A</v>
      </c>
      <c r="D756" s="11">
        <f t="shared" si="22"/>
        <v>0</v>
      </c>
      <c r="E756" s="16">
        <f>IF('Components Yr 1'!E756=0,0,'Components Yr 1'!E756)</f>
        <v>0</v>
      </c>
      <c r="F756" s="17">
        <f>IF('Components Yr 1'!F756=0,0,'Components Yr 1'!F756)</f>
        <v>0</v>
      </c>
      <c r="G756" s="17">
        <f>IF('Components Yr 1'!G756=0,0,'Components Yr 1'!G756)</f>
        <v>0</v>
      </c>
      <c r="H756" s="17">
        <f>IF('Components Yr 1'!H756=0,0,'Components Yr 1'!H756)</f>
        <v>0</v>
      </c>
      <c r="I756" s="17">
        <f>IF('Components Yr 1'!I756=0,0,'Components Yr 1'!I756)</f>
        <v>0</v>
      </c>
      <c r="J756" s="17">
        <f>IF('Components Yr 1'!J756=0,0,'Components Yr 1'!J756)</f>
        <v>0</v>
      </c>
      <c r="K756" s="17">
        <f>IF('Components Yr 1'!K756=0,0,'Components Yr 1'!K756)</f>
        <v>0</v>
      </c>
      <c r="L756" s="12"/>
      <c r="M756" s="12"/>
      <c r="N756" s="12"/>
      <c r="O756" s="12"/>
      <c r="P756" s="12"/>
      <c r="Q756" s="17"/>
      <c r="R756" s="18">
        <f>IF(SUMPRODUCT((E756:Q756)*1)=0,0,E756*INDEX(Hours!M:M,MATCH(C756,Hours!$A:$A,0))+F756*INDEX(Hours!B:B,MATCH(C756,Hours!$A:$A,0))+G756*INDEX(Hours!C:C,MATCH(C756,Hours!$A:$A,0))+H756*INDEX(Hours!D:D,MATCH(C756,Hours!$A:$A,0))+I756*INDEX(Hours!E:E,MATCH(C756,Hours!$A:$A,0))+J756*INDEX(Hours!F:F,MATCH(C756,Hours!$A:$A,0))+K756*INDEX(Hours!G:G,MATCH(C756,Hours!$A:$A,0)))</f>
        <v>0</v>
      </c>
      <c r="S756" s="19">
        <f t="shared" si="23"/>
        <v>0</v>
      </c>
    </row>
    <row r="757" spans="1:19" x14ac:dyDescent="0.25">
      <c r="A757" s="11" t="str">
        <f>'Bldgs &amp; Rooms'!$A$22</f>
        <v>Main Bldg.</v>
      </c>
      <c r="B757" s="11">
        <f>'Bldgs &amp; Rooms'!$B$22</f>
        <v>0</v>
      </c>
      <c r="C757" s="10" t="str">
        <f>Hours!$A$17</f>
        <v>Individual Molded Case Breaker &gt; 100A</v>
      </c>
      <c r="D757" s="11">
        <f t="shared" si="22"/>
        <v>0</v>
      </c>
      <c r="E757" s="16">
        <f>IF('Components Yr 1'!E757=0,0,'Components Yr 1'!E757)</f>
        <v>0</v>
      </c>
      <c r="F757" s="17">
        <f>IF('Components Yr 1'!F757=0,0,'Components Yr 1'!F757)</f>
        <v>0</v>
      </c>
      <c r="G757" s="17">
        <f>IF('Components Yr 1'!G757=0,0,'Components Yr 1'!G757)</f>
        <v>0</v>
      </c>
      <c r="H757" s="17">
        <f>IF('Components Yr 1'!H757=0,0,'Components Yr 1'!H757)</f>
        <v>0</v>
      </c>
      <c r="I757" s="17">
        <f>IF('Components Yr 1'!I757=0,0,'Components Yr 1'!I757)</f>
        <v>0</v>
      </c>
      <c r="J757" s="17">
        <f>IF('Components Yr 1'!J757=0,0,'Components Yr 1'!J757)</f>
        <v>0</v>
      </c>
      <c r="K757" s="17">
        <f>IF('Components Yr 1'!K757=0,0,'Components Yr 1'!K757)</f>
        <v>0</v>
      </c>
      <c r="L757" s="12"/>
      <c r="M757" s="12"/>
      <c r="N757" s="12"/>
      <c r="O757" s="12"/>
      <c r="P757" s="12"/>
      <c r="Q757" s="17"/>
      <c r="R757" s="18">
        <f>IF(SUMPRODUCT((E757:Q757)*1)=0,0,E757*INDEX(Hours!M:M,MATCH(C757,Hours!$A:$A,0))+F757*INDEX(Hours!B:B,MATCH(C757,Hours!$A:$A,0))+G757*INDEX(Hours!C:C,MATCH(C757,Hours!$A:$A,0))+H757*INDEX(Hours!D:D,MATCH(C757,Hours!$A:$A,0))+I757*INDEX(Hours!E:E,MATCH(C757,Hours!$A:$A,0))+J757*INDEX(Hours!F:F,MATCH(C757,Hours!$A:$A,0))+K757*INDEX(Hours!G:G,MATCH(C757,Hours!$A:$A,0)))</f>
        <v>0</v>
      </c>
      <c r="S757" s="19">
        <f t="shared" si="23"/>
        <v>0</v>
      </c>
    </row>
    <row r="758" spans="1:19" x14ac:dyDescent="0.25">
      <c r="A758" s="11" t="str">
        <f>'Bldgs &amp; Rooms'!$A$22</f>
        <v>Main Bldg.</v>
      </c>
      <c r="B758" s="11">
        <f>'Bldgs &amp; Rooms'!$B$22</f>
        <v>0</v>
      </c>
      <c r="C758" s="10" t="str">
        <f>Hours!$A$18</f>
        <v>Individual Combination Motor Starter &gt; 100A</v>
      </c>
      <c r="D758" s="11">
        <f t="shared" si="22"/>
        <v>0</v>
      </c>
      <c r="E758" s="16">
        <f>IF('Components Yr 1'!E758=0,0,'Components Yr 1'!E758)</f>
        <v>0</v>
      </c>
      <c r="F758" s="17">
        <f>IF('Components Yr 1'!F758=0,0,'Components Yr 1'!F758)</f>
        <v>0</v>
      </c>
      <c r="G758" s="17">
        <f>IF('Components Yr 1'!G758=0,0,'Components Yr 1'!G758)</f>
        <v>0</v>
      </c>
      <c r="H758" s="17">
        <f>IF('Components Yr 1'!H758=0,0,'Components Yr 1'!H758)</f>
        <v>0</v>
      </c>
      <c r="I758" s="17">
        <f>IF('Components Yr 1'!I758=0,0,'Components Yr 1'!I758)</f>
        <v>0</v>
      </c>
      <c r="J758" s="17">
        <f>IF('Components Yr 1'!J758=0,0,'Components Yr 1'!J758)</f>
        <v>0</v>
      </c>
      <c r="K758" s="17">
        <f>IF('Components Yr 1'!K758=0,0,'Components Yr 1'!K758)</f>
        <v>0</v>
      </c>
      <c r="L758" s="12"/>
      <c r="M758" s="12"/>
      <c r="N758" s="12"/>
      <c r="O758" s="12"/>
      <c r="P758" s="12"/>
      <c r="Q758" s="17"/>
      <c r="R758" s="18">
        <f>IF(SUMPRODUCT((E758:Q758)*1)=0,0,E758*INDEX(Hours!M:M,MATCH(C758,Hours!$A:$A,0))+F758*INDEX(Hours!B:B,MATCH(C758,Hours!$A:$A,0))+G758*INDEX(Hours!C:C,MATCH(C758,Hours!$A:$A,0))+H758*INDEX(Hours!D:D,MATCH(C758,Hours!$A:$A,0))+I758*INDEX(Hours!E:E,MATCH(C758,Hours!$A:$A,0))+J758*INDEX(Hours!F:F,MATCH(C758,Hours!$A:$A,0))+K758*INDEX(Hours!G:G,MATCH(C758,Hours!$A:$A,0)))</f>
        <v>0</v>
      </c>
      <c r="S758" s="19">
        <f t="shared" si="23"/>
        <v>0</v>
      </c>
    </row>
    <row r="759" spans="1:19" x14ac:dyDescent="0.25">
      <c r="A759" s="11" t="str">
        <f>'Bldgs &amp; Rooms'!$A$22</f>
        <v>Main Bldg.</v>
      </c>
      <c r="B759" s="11">
        <f>'Bldgs &amp; Rooms'!$B$22</f>
        <v>0</v>
      </c>
      <c r="C759" s="10" t="str">
        <f>Hours!$A$19</f>
        <v>Oil Filled Transformer - 5kV-15kV Primary - Any Size (Pad Mounted)</v>
      </c>
      <c r="D759" s="11">
        <f t="shared" si="22"/>
        <v>0</v>
      </c>
      <c r="E759" s="16">
        <f>IF('Components Yr 1'!E759=0,0,'Components Yr 1'!E759)</f>
        <v>0</v>
      </c>
      <c r="F759" s="17">
        <f>IF('Components Yr 1'!F759=0,0,'Components Yr 1'!F759)</f>
        <v>0</v>
      </c>
      <c r="G759" s="17">
        <f>IF('Components Yr 1'!G759=0,0,'Components Yr 1'!G759)</f>
        <v>0</v>
      </c>
      <c r="H759" s="17">
        <f>IF('Components Yr 1'!H759=0,0,'Components Yr 1'!H759)</f>
        <v>0</v>
      </c>
      <c r="I759" s="17">
        <f>IF('Components Yr 1'!I759=0,0,'Components Yr 1'!I759)</f>
        <v>0</v>
      </c>
      <c r="J759" s="17">
        <f>IF('Components Yr 1'!J759=0,0,'Components Yr 1'!J759)</f>
        <v>0</v>
      </c>
      <c r="K759" s="12"/>
      <c r="L759" s="12"/>
      <c r="M759" s="17">
        <f>IF('Components Yr 1'!M759=0,0,'Components Yr 1'!M759)</f>
        <v>0</v>
      </c>
      <c r="N759" s="17">
        <f>IF('Components Yr 1'!N759=0,0,'Components Yr 1'!N759)</f>
        <v>0</v>
      </c>
      <c r="O759" s="12"/>
      <c r="P759" s="17">
        <f>IF('Components Yr 1'!P759=0,0,'Components Yr 1'!P759)</f>
        <v>0</v>
      </c>
      <c r="Q759" s="17"/>
      <c r="R759" s="18">
        <f>IF(SUMPRODUCT((E759:Q759)*1)=0,0,E759*INDEX(Hours!M:M,MATCH(C759,Hours!$A:$A,0))+F759*INDEX(Hours!B:B,MATCH(C759,Hours!$A:$A,0))+G759*INDEX(Hours!C:C,MATCH(C759,Hours!$A:$A,0))+H759*INDEX(Hours!D:D,MATCH(C759,Hours!$A:$A,0))+I759*INDEX(Hours!E:E,MATCH(C759,Hours!$A:$A,0))+J759*INDEX(Hours!F:F,MATCH(C759,Hours!$A:$A,0))+M759*INDEX(Hours!I:I,MATCH(C759,Hours!$A:$A,0))+N759*INDEX(Hours!J:J,MATCH(C759,Hours!$A:$A,0))+P759*INDEX(Hours!L:L,MATCH(C759,Hours!$A:$A,0)))</f>
        <v>0</v>
      </c>
      <c r="S759" s="19">
        <f t="shared" si="23"/>
        <v>0</v>
      </c>
    </row>
    <row r="760" spans="1:19" x14ac:dyDescent="0.25">
      <c r="A760" s="11" t="str">
        <f>'Bldgs &amp; Rooms'!$A$22</f>
        <v>Main Bldg.</v>
      </c>
      <c r="B760" s="11">
        <f>'Bldgs &amp; Rooms'!$B$22</f>
        <v>0</v>
      </c>
      <c r="C760" s="10" t="str">
        <f>Hours!$A$20</f>
        <v>Oil Filled Transformer - &gt; 15kV Primary (Substation Class)</v>
      </c>
      <c r="D760" s="11">
        <f t="shared" si="22"/>
        <v>0</v>
      </c>
      <c r="E760" s="16">
        <f>IF('Components Yr 1'!E760=0,0,'Components Yr 1'!E760)</f>
        <v>0</v>
      </c>
      <c r="F760" s="17">
        <f>IF('Components Yr 1'!F760=0,0,'Components Yr 1'!F760)</f>
        <v>0</v>
      </c>
      <c r="G760" s="17">
        <f>IF('Components Yr 1'!G760=0,0,'Components Yr 1'!G760)</f>
        <v>0</v>
      </c>
      <c r="H760" s="17">
        <f>IF('Components Yr 1'!H760=0,0,'Components Yr 1'!H760)</f>
        <v>0</v>
      </c>
      <c r="I760" s="17">
        <f>IF('Components Yr 1'!I760=0,0,'Components Yr 1'!I760)</f>
        <v>0</v>
      </c>
      <c r="J760" s="17">
        <f>IF('Components Yr 1'!J760=0,0,'Components Yr 1'!J760)</f>
        <v>0</v>
      </c>
      <c r="K760" s="12"/>
      <c r="L760" s="12"/>
      <c r="M760" s="17">
        <f>IF('Components Yr 1'!M760=0,0,'Components Yr 1'!M760)</f>
        <v>0</v>
      </c>
      <c r="N760" s="17">
        <f>IF('Components Yr 1'!N760=0,0,'Components Yr 1'!N760)</f>
        <v>0</v>
      </c>
      <c r="O760" s="12"/>
      <c r="P760" s="17">
        <f>IF('Components Yr 1'!P760=0,0,'Components Yr 1'!P760)</f>
        <v>0</v>
      </c>
      <c r="Q760" s="17"/>
      <c r="R760" s="18">
        <f>IF(SUMPRODUCT((E760:Q760)*1)=0,0,E760*INDEX(Hours!M:M,MATCH(C760,Hours!$A:$A,0))+F760*INDEX(Hours!B:B,MATCH(C760,Hours!$A:$A,0))+G760*INDEX(Hours!C:C,MATCH(C760,Hours!$A:$A,0))+H760*INDEX(Hours!D:D,MATCH(C760,Hours!$A:$A,0))+I760*INDEX(Hours!E:E,MATCH(C760,Hours!$A:$A,0))+J760*INDEX(Hours!F:F,MATCH(C760,Hours!$A:$A,0))+M760*INDEX(Hours!I:I,MATCH(C760,Hours!$A:$A,0))+N760*INDEX(Hours!J:J,MATCH(C760,Hours!$A:$A,0))+P760*INDEX(Hours!L:L,MATCH(C760,Hours!$A:$A,0)))</f>
        <v>0</v>
      </c>
      <c r="S760" s="19">
        <f t="shared" si="23"/>
        <v>0</v>
      </c>
    </row>
    <row r="761" spans="1:19" x14ac:dyDescent="0.25">
      <c r="A761" s="11" t="str">
        <f>'Bldgs &amp; Rooms'!$A$22</f>
        <v>Main Bldg.</v>
      </c>
      <c r="B761" s="11">
        <f>'Bldgs &amp; Rooms'!$B$22</f>
        <v>0</v>
      </c>
      <c r="C761" s="10" t="str">
        <f>Hours!$A$21</f>
        <v>Dry Type Transformer - &lt; 480V Primary - Any Size kVA</v>
      </c>
      <c r="D761" s="11">
        <f t="shared" si="22"/>
        <v>0</v>
      </c>
      <c r="E761" s="16">
        <f>IF('Components Yr 1'!E761=0,0,'Components Yr 1'!E761)</f>
        <v>0</v>
      </c>
      <c r="F761" s="17">
        <f>IF('Components Yr 1'!F761=0,0,'Components Yr 1'!F761)</f>
        <v>0</v>
      </c>
      <c r="G761" s="17">
        <f>IF('Components Yr 1'!G761=0,0,'Components Yr 1'!G761)</f>
        <v>0</v>
      </c>
      <c r="H761" s="17">
        <f>IF('Components Yr 1'!H761=0,0,'Components Yr 1'!H761)</f>
        <v>0</v>
      </c>
      <c r="I761" s="17">
        <f>IF('Components Yr 1'!I761=0,0,'Components Yr 1'!I761)</f>
        <v>0</v>
      </c>
      <c r="J761" s="17">
        <f>IF('Components Yr 1'!J761=0,0,'Components Yr 1'!J761)</f>
        <v>0</v>
      </c>
      <c r="K761" s="12"/>
      <c r="L761" s="12"/>
      <c r="M761" s="17">
        <f>IF('Components Yr 1'!M761=0,0,'Components Yr 1'!M761)</f>
        <v>0</v>
      </c>
      <c r="N761" s="17">
        <f>IF('Components Yr 1'!N761=0,0,'Components Yr 1'!N761)</f>
        <v>0</v>
      </c>
      <c r="O761" s="12"/>
      <c r="P761" s="12"/>
      <c r="Q761" s="17"/>
      <c r="R761" s="18">
        <f>IF(SUMPRODUCT((E761:Q761)*1)=0,0,E761*INDEX(Hours!M:M,MATCH(C761,Hours!$A:$A,0))+F761*INDEX(Hours!B:B,MATCH(C761,Hours!$A:$A,0))+G761*INDEX(Hours!C:C,MATCH(C761,Hours!$A:$A,0))+H761*INDEX(Hours!D:D,MATCH(C761,Hours!$A:$A,0))+I761*INDEX(Hours!E:E,MATCH(C761,Hours!$A:$A,0))+J761*INDEX(Hours!F:F,MATCH(C761,Hours!$A:$A,0))+M761*INDEX(Hours!I:I,MATCH(C761,Hours!$A:$A,0))+N761*INDEX(Hours!J:J,MATCH(C761,Hours!$A:$A,0)))</f>
        <v>0</v>
      </c>
      <c r="S761" s="19">
        <f t="shared" si="23"/>
        <v>0</v>
      </c>
    </row>
    <row r="762" spans="1:19" x14ac:dyDescent="0.25">
      <c r="A762" s="11" t="str">
        <f>'Bldgs &amp; Rooms'!$A$22</f>
        <v>Main Bldg.</v>
      </c>
      <c r="B762" s="11">
        <f>'Bldgs &amp; Rooms'!$B$22</f>
        <v>0</v>
      </c>
      <c r="C762" s="10" t="str">
        <f>Hours!$A$22</f>
        <v>Power Factor Correction Capacitors</v>
      </c>
      <c r="D762" s="11">
        <f t="shared" si="22"/>
        <v>0</v>
      </c>
      <c r="E762" s="16">
        <f>IF('Components Yr 1'!E762=0,0,'Components Yr 1'!E762)</f>
        <v>0</v>
      </c>
      <c r="F762" s="17">
        <f>IF('Components Yr 1'!F762=0,0,'Components Yr 1'!F762)</f>
        <v>0</v>
      </c>
      <c r="G762" s="17">
        <f>IF('Components Yr 1'!G762=0,0,'Components Yr 1'!G762)</f>
        <v>0</v>
      </c>
      <c r="H762" s="17">
        <f>IF('Components Yr 1'!H762=0,0,'Components Yr 1'!H762)</f>
        <v>0</v>
      </c>
      <c r="I762" s="17">
        <f>IF('Components Yr 1'!I762=0,0,'Components Yr 1'!I762)</f>
        <v>0</v>
      </c>
      <c r="J762" s="17">
        <f>IF('Components Yr 1'!J762=0,0,'Components Yr 1'!J762)</f>
        <v>0</v>
      </c>
      <c r="K762" s="12"/>
      <c r="L762" s="12"/>
      <c r="M762" s="12"/>
      <c r="N762" s="12"/>
      <c r="O762" s="12"/>
      <c r="P762" s="12"/>
      <c r="Q762" s="17"/>
      <c r="R762" s="18">
        <f>IF(SUMPRODUCT((E762:Q762)*1)=0,0,E762*INDEX(Hours!M:M,MATCH(C762,Hours!$A:$A,0))+F762*INDEX(Hours!B:B,MATCH(C762,Hours!$A:$A,0))+G762*INDEX(Hours!C:C,MATCH(C762,Hours!$A:$A,0))+H762*INDEX(Hours!D:D,MATCH(C762,Hours!$A:$A,0))+I762*INDEX(Hours!E:E,MATCH(C762,Hours!$A:$A,0))+J762*INDEX(Hours!F:F,MATCH(C762,Hours!$A:$A,0)))</f>
        <v>0</v>
      </c>
      <c r="S762" s="19">
        <f t="shared" si="23"/>
        <v>0</v>
      </c>
    </row>
    <row r="763" spans="1:19" x14ac:dyDescent="0.25">
      <c r="A763" s="11" t="str">
        <f>'Bldgs &amp; Rooms'!$A$22</f>
        <v>Main Bldg.</v>
      </c>
      <c r="B763" s="11">
        <f>'Bldgs &amp; Rooms'!$B$22</f>
        <v>0</v>
      </c>
      <c r="C763" s="10" t="str">
        <f>Hours!$A$23</f>
        <v>Lighting Contactor &gt; 100A</v>
      </c>
      <c r="D763" s="11">
        <f t="shared" si="22"/>
        <v>0</v>
      </c>
      <c r="E763" s="16">
        <f>IF('Components Yr 1'!E763=0,0,'Components Yr 1'!E763)</f>
        <v>0</v>
      </c>
      <c r="F763" s="17">
        <f>IF('Components Yr 1'!F763=0,0,'Components Yr 1'!F763)</f>
        <v>0</v>
      </c>
      <c r="G763" s="17">
        <f>IF('Components Yr 1'!G763=0,0,'Components Yr 1'!G763)</f>
        <v>0</v>
      </c>
      <c r="H763" s="17">
        <f>IF('Components Yr 1'!H763=0,0,'Components Yr 1'!H763)</f>
        <v>0</v>
      </c>
      <c r="I763" s="17">
        <f>IF('Components Yr 1'!I763=0,0,'Components Yr 1'!I763)</f>
        <v>0</v>
      </c>
      <c r="J763" s="17">
        <f>IF('Components Yr 1'!J763=0,0,'Components Yr 1'!J763)</f>
        <v>0</v>
      </c>
      <c r="K763" s="12"/>
      <c r="L763" s="12"/>
      <c r="M763" s="12"/>
      <c r="N763" s="12"/>
      <c r="O763" s="12"/>
      <c r="P763" s="12"/>
      <c r="Q763" s="17"/>
      <c r="R763" s="18">
        <f>IF(SUMPRODUCT((E763:Q763)*1)=0,0,E763*INDEX(Hours!M:M,MATCH(C763,Hours!$A:$A,0))+F763*INDEX(Hours!B:B,MATCH(C763,Hours!$A:$A,0))+G763*INDEX(Hours!C:C,MATCH(C763,Hours!$A:$A,0))+H763*INDEX(Hours!D:D,MATCH(C763,Hours!$A:$A,0))+I763*INDEX(Hours!E:E,MATCH(C763,Hours!$A:$A,0))+J763*INDEX(Hours!F:F,MATCH(C763,Hours!$A:$A,0)))</f>
        <v>0</v>
      </c>
      <c r="S763" s="19">
        <f t="shared" si="23"/>
        <v>0</v>
      </c>
    </row>
    <row r="764" spans="1:19" x14ac:dyDescent="0.25">
      <c r="A764" s="11" t="str">
        <f>'Bldgs &amp; Rooms'!$A$22</f>
        <v>Main Bldg.</v>
      </c>
      <c r="B764" s="11">
        <f>'Bldgs &amp; Rooms'!$B$22</f>
        <v>0</v>
      </c>
      <c r="C764" s="10" t="str">
        <f>Hours!$A$24</f>
        <v>Power Distribution Unit (PDU)</v>
      </c>
      <c r="D764" s="11">
        <f t="shared" si="22"/>
        <v>0</v>
      </c>
      <c r="E764" s="16">
        <f>IF('Components Yr 1'!E764=0,0,'Components Yr 1'!E764)</f>
        <v>0</v>
      </c>
      <c r="F764" s="17">
        <f>IF('Components Yr 1'!F764=0,0,'Components Yr 1'!F764)</f>
        <v>0</v>
      </c>
      <c r="G764" s="17">
        <f>IF('Components Yr 1'!G764=0,0,'Components Yr 1'!G764)</f>
        <v>0</v>
      </c>
      <c r="H764" s="17">
        <f>IF('Components Yr 1'!H764=0,0,'Components Yr 1'!H764)</f>
        <v>0</v>
      </c>
      <c r="I764" s="17">
        <f>IF('Components Yr 1'!I764=0,0,'Components Yr 1'!I764)</f>
        <v>0</v>
      </c>
      <c r="J764" s="17">
        <f>IF('Components Yr 1'!J764=0,0,'Components Yr 1'!J764)</f>
        <v>0</v>
      </c>
      <c r="K764" s="12"/>
      <c r="L764" s="12"/>
      <c r="M764" s="12"/>
      <c r="N764" s="12"/>
      <c r="O764" s="12"/>
      <c r="P764" s="12"/>
      <c r="Q764" s="17"/>
      <c r="R764" s="18">
        <f>IF(SUMPRODUCT((E764:Q764)*1)=0,0,E764*INDEX(Hours!M:M,MATCH(C764,Hours!$A:$A,0))+F764*INDEX(Hours!B:B,MATCH(C764,Hours!$A:$A,0))+G764*INDEX(Hours!C:C,MATCH(C764,Hours!$A:$A,0))+H764*INDEX(Hours!D:D,MATCH(C764,Hours!$A:$A,0))+I764*INDEX(Hours!E:E,MATCH(C764,Hours!$A:$A,0))+J764*INDEX(Hours!F:F,MATCH(C764,Hours!$A:$A,0)))</f>
        <v>0</v>
      </c>
      <c r="S764" s="19">
        <f t="shared" si="23"/>
        <v>0</v>
      </c>
    </row>
    <row r="765" spans="1:19" x14ac:dyDescent="0.25">
      <c r="A765" s="11" t="str">
        <f>'Bldgs &amp; Rooms'!$A$22</f>
        <v>Main Bldg.</v>
      </c>
      <c r="B765" s="11">
        <f>'Bldgs &amp; Rooms'!$B$22</f>
        <v>0</v>
      </c>
      <c r="C765" s="10" t="str">
        <f>Hours!$A$25</f>
        <v>Wire Trough, Gutter, or Large Junction Boxes</v>
      </c>
      <c r="D765" s="11">
        <f t="shared" si="22"/>
        <v>0</v>
      </c>
      <c r="E765" s="16">
        <f>IF('Components Yr 1'!E765=0,0,'Components Yr 1'!E765)</f>
        <v>0</v>
      </c>
      <c r="F765" s="17">
        <f>IF('Components Yr 1'!F765=0,0,'Components Yr 1'!F765)</f>
        <v>0</v>
      </c>
      <c r="G765" s="17">
        <f>IF('Components Yr 1'!G765=0,0,'Components Yr 1'!G765)</f>
        <v>0</v>
      </c>
      <c r="H765" s="17">
        <f>IF('Components Yr 1'!H765=0,0,'Components Yr 1'!H765)</f>
        <v>0</v>
      </c>
      <c r="I765" s="17">
        <f>IF('Components Yr 1'!I765=0,0,'Components Yr 1'!I765)</f>
        <v>0</v>
      </c>
      <c r="J765" s="17">
        <f>IF('Components Yr 1'!J765=0,0,'Components Yr 1'!J765)</f>
        <v>0</v>
      </c>
      <c r="K765" s="12"/>
      <c r="L765" s="12"/>
      <c r="M765" s="12"/>
      <c r="N765" s="12"/>
      <c r="O765" s="12"/>
      <c r="P765" s="12"/>
      <c r="Q765" s="17"/>
      <c r="R765" s="18">
        <f>IF(SUMPRODUCT((E765:Q765)*1)=0,0,E765*INDEX(Hours!M:M,MATCH(C765,Hours!$A:$A,0))+F765*INDEX(Hours!B:B,MATCH(C765,Hours!$A:$A,0))+G765*INDEX(Hours!C:C,MATCH(C765,Hours!$A:$A,0))+H765*INDEX(Hours!D:D,MATCH(C765,Hours!$A:$A,0))+I765*INDEX(Hours!E:E,MATCH(C765,Hours!$A:$A,0))+J765*INDEX(Hours!F:F,MATCH(C765,Hours!$A:$A,0)))</f>
        <v>0</v>
      </c>
      <c r="S765" s="19">
        <f t="shared" si="23"/>
        <v>0</v>
      </c>
    </row>
    <row r="766" spans="1:19" x14ac:dyDescent="0.25">
      <c r="A766" s="11" t="str">
        <f>'Bldgs &amp; Rooms'!$A$22</f>
        <v>Main Bldg.</v>
      </c>
      <c r="B766" s="11">
        <f>'Bldgs &amp; Rooms'!$B$22</f>
        <v>0</v>
      </c>
      <c r="C766" s="10" t="str">
        <f>Hours!$A$26</f>
        <v>Bus Duct - Vertical or Horizontal (Per 10' section)</v>
      </c>
      <c r="D766" s="11">
        <f t="shared" si="22"/>
        <v>0</v>
      </c>
      <c r="E766" s="16">
        <f>IF('Components Yr 1'!E766=0,0,'Components Yr 1'!E766)</f>
        <v>0</v>
      </c>
      <c r="F766" s="17">
        <f>IF('Components Yr 1'!F766=0,0,'Components Yr 1'!F766)</f>
        <v>0</v>
      </c>
      <c r="G766" s="17">
        <f>IF('Components Yr 1'!G766=0,0,'Components Yr 1'!G766)</f>
        <v>0</v>
      </c>
      <c r="H766" s="17">
        <f>IF('Components Yr 1'!H766=0,0,'Components Yr 1'!H766)</f>
        <v>0</v>
      </c>
      <c r="I766" s="17">
        <f>IF('Components Yr 1'!I766=0,0,'Components Yr 1'!I766)</f>
        <v>0</v>
      </c>
      <c r="J766" s="17">
        <f>IF('Components Yr 1'!J766=0,0,'Components Yr 1'!J766)</f>
        <v>0</v>
      </c>
      <c r="K766" s="12"/>
      <c r="L766" s="12"/>
      <c r="M766" s="12"/>
      <c r="N766" s="12"/>
      <c r="O766" s="12"/>
      <c r="P766" s="12"/>
      <c r="Q766" s="17"/>
      <c r="R766" s="18">
        <f>IF(SUMPRODUCT((E766:Q766)*1)=0,0,E766*INDEX(Hours!M:M,MATCH(C766,Hours!$A:$A,0))+F766*INDEX(Hours!B:B,MATCH(C766,Hours!$A:$A,0))+G766*INDEX(Hours!C:C,MATCH(C766,Hours!$A:$A,0))+H766*INDEX(Hours!D:D,MATCH(C766,Hours!$A:$A,0))+I766*INDEX(Hours!E:E,MATCH(C766,Hours!$A:$A,0))+J766*INDEX(Hours!F:F,MATCH(C766,Hours!$A:$A,0)))</f>
        <v>0</v>
      </c>
      <c r="S766" s="19">
        <f t="shared" si="23"/>
        <v>0</v>
      </c>
    </row>
    <row r="767" spans="1:19" x14ac:dyDescent="0.25">
      <c r="A767" s="11" t="str">
        <f>'Bldgs &amp; Rooms'!$A$22</f>
        <v>Main Bldg.</v>
      </c>
      <c r="B767" s="11">
        <f>'Bldgs &amp; Rooms'!$B$22</f>
        <v>0</v>
      </c>
      <c r="C767" s="10" t="str">
        <f>Hours!$A$27</f>
        <v>Automatic Transfer Switch (ATS) &gt; 100A</v>
      </c>
      <c r="D767" s="11">
        <f t="shared" si="22"/>
        <v>0</v>
      </c>
      <c r="E767" s="16">
        <f>IF('Components Yr 1'!E767=0,0,'Components Yr 1'!E767)</f>
        <v>0</v>
      </c>
      <c r="F767" s="17">
        <f>IF('Components Yr 1'!F767=0,0,'Components Yr 1'!F767)</f>
        <v>0</v>
      </c>
      <c r="G767" s="17">
        <f>IF('Components Yr 1'!G767=0,0,'Components Yr 1'!G767)</f>
        <v>0</v>
      </c>
      <c r="H767" s="17">
        <f>IF('Components Yr 1'!H767=0,0,'Components Yr 1'!H767)</f>
        <v>0</v>
      </c>
      <c r="I767" s="17">
        <f>IF('Components Yr 1'!I767=0,0,'Components Yr 1'!I767)</f>
        <v>0</v>
      </c>
      <c r="J767" s="17">
        <f>IF('Components Yr 1'!J767=0,0,'Components Yr 1'!J767)</f>
        <v>0</v>
      </c>
      <c r="K767" s="12"/>
      <c r="L767" s="12"/>
      <c r="M767" s="12"/>
      <c r="N767" s="12"/>
      <c r="O767" s="12"/>
      <c r="P767" s="12"/>
      <c r="Q767" s="17"/>
      <c r="R767" s="18">
        <f>IF(SUMPRODUCT((E767:Q767)*1)=0,0,E767*INDEX(Hours!M:M,MATCH(C767,Hours!$A:$A,0))+F767*INDEX(Hours!B:B,MATCH(C767,Hours!$A:$A,0))+G767*INDEX(Hours!C:C,MATCH(C767,Hours!$A:$A,0))+H767*INDEX(Hours!D:D,MATCH(C767,Hours!$A:$A,0))+I767*INDEX(Hours!E:E,MATCH(C767,Hours!$A:$A,0))+J767*INDEX(Hours!F:F,MATCH(C767,Hours!$A:$A,0)))</f>
        <v>0</v>
      </c>
      <c r="S767" s="19">
        <f t="shared" si="23"/>
        <v>0</v>
      </c>
    </row>
    <row r="768" spans="1:19" x14ac:dyDescent="0.25">
      <c r="A768" s="11" t="str">
        <f>'Bldgs &amp; Rooms'!$A$22</f>
        <v>Main Bldg.</v>
      </c>
      <c r="B768" s="11">
        <f>'Bldgs &amp; Rooms'!$B$22</f>
        <v>0</v>
      </c>
      <c r="C768" s="10" t="str">
        <f>Hours!$A$28</f>
        <v>Manual Transfer Switch (MTS) &gt; 100A</v>
      </c>
      <c r="D768" s="11">
        <f t="shared" si="22"/>
        <v>0</v>
      </c>
      <c r="E768" s="16">
        <f>IF('Components Yr 1'!E768=0,0,'Components Yr 1'!E768)</f>
        <v>0</v>
      </c>
      <c r="F768" s="17">
        <f>IF('Components Yr 1'!F768=0,0,'Components Yr 1'!F768)</f>
        <v>0</v>
      </c>
      <c r="G768" s="17">
        <f>IF('Components Yr 1'!G768=0,0,'Components Yr 1'!G768)</f>
        <v>0</v>
      </c>
      <c r="H768" s="17">
        <f>IF('Components Yr 1'!H768=0,0,'Components Yr 1'!H768)</f>
        <v>0</v>
      </c>
      <c r="I768" s="17">
        <f>IF('Components Yr 1'!I768=0,0,'Components Yr 1'!I768)</f>
        <v>0</v>
      </c>
      <c r="J768" s="17">
        <f>IF('Components Yr 1'!J768=0,0,'Components Yr 1'!J768)</f>
        <v>0</v>
      </c>
      <c r="K768" s="12"/>
      <c r="L768" s="12"/>
      <c r="M768" s="12"/>
      <c r="N768" s="12"/>
      <c r="O768" s="12"/>
      <c r="P768" s="12"/>
      <c r="Q768" s="17"/>
      <c r="R768" s="18">
        <f>IF(SUMPRODUCT((E768:Q768)*1)=0,0,E768*INDEX(Hours!M:M,MATCH(C768,Hours!$A:$A,0))+F768*INDEX(Hours!B:B,MATCH(C768,Hours!$A:$A,0))+G768*INDEX(Hours!C:C,MATCH(C768,Hours!$A:$A,0))+H768*INDEX(Hours!D:D,MATCH(C768,Hours!$A:$A,0))+I768*INDEX(Hours!E:E,MATCH(C768,Hours!$A:$A,0))+J768*INDEX(Hours!F:F,MATCH(C768,Hours!$A:$A,0)))</f>
        <v>0</v>
      </c>
      <c r="S768" s="19">
        <f t="shared" si="23"/>
        <v>0</v>
      </c>
    </row>
    <row r="769" spans="1:19" x14ac:dyDescent="0.25">
      <c r="A769" s="11" t="str">
        <f>'Bldgs &amp; Rooms'!$A$22</f>
        <v>Main Bldg.</v>
      </c>
      <c r="B769" s="11">
        <f>'Bldgs &amp; Rooms'!$B$22</f>
        <v>0</v>
      </c>
      <c r="C769" s="10" t="str">
        <f>Hours!$A$29</f>
        <v>Variable Frequency Drives (VFD) &lt; 50 HP</v>
      </c>
      <c r="D769" s="11">
        <f t="shared" si="22"/>
        <v>0</v>
      </c>
      <c r="E769" s="16">
        <f>IF('Components Yr 1'!E769=0,0,'Components Yr 1'!E769)</f>
        <v>0</v>
      </c>
      <c r="F769" s="17">
        <f>IF('Components Yr 1'!F769=0,0,'Components Yr 1'!F769)</f>
        <v>0</v>
      </c>
      <c r="G769" s="17">
        <f>IF('Components Yr 1'!G769=0,0,'Components Yr 1'!G769)</f>
        <v>0</v>
      </c>
      <c r="H769" s="17">
        <f>IF('Components Yr 1'!H769=0,0,'Components Yr 1'!H769)</f>
        <v>0</v>
      </c>
      <c r="I769" s="17">
        <f>IF('Components Yr 1'!I769=0,0,'Components Yr 1'!I769)</f>
        <v>0</v>
      </c>
      <c r="J769" s="17">
        <f>IF('Components Yr 1'!J769=0,0,'Components Yr 1'!J769)</f>
        <v>0</v>
      </c>
      <c r="K769" s="12"/>
      <c r="L769" s="12"/>
      <c r="M769" s="12"/>
      <c r="N769" s="12"/>
      <c r="O769" s="12"/>
      <c r="P769" s="12"/>
      <c r="Q769" s="17"/>
      <c r="R769" s="18">
        <f>IF(SUMPRODUCT((E769:Q769)*1)=0,0,E769*INDEX(Hours!M:M,MATCH(C769,Hours!$A:$A,0))+F769*INDEX(Hours!B:B,MATCH(C769,Hours!$A:$A,0))+G769*INDEX(Hours!C:C,MATCH(C769,Hours!$A:$A,0))+H769*INDEX(Hours!D:D,MATCH(C769,Hours!$A:$A,0))+I769*INDEX(Hours!E:E,MATCH(C769,Hours!$A:$A,0))+J769*INDEX(Hours!F:F,MATCH(C769,Hours!$A:$A,0)))</f>
        <v>0</v>
      </c>
      <c r="S769" s="19">
        <f t="shared" si="23"/>
        <v>0</v>
      </c>
    </row>
    <row r="770" spans="1:19" x14ac:dyDescent="0.25">
      <c r="A770" s="11" t="str">
        <f>'Bldgs &amp; Rooms'!$A$22</f>
        <v>Main Bldg.</v>
      </c>
      <c r="B770" s="11">
        <f>'Bldgs &amp; Rooms'!$B$22</f>
        <v>0</v>
      </c>
      <c r="C770" s="10" t="str">
        <f>Hours!$A$30</f>
        <v>Variable Frequency Drives (VFD) 51-200 HP</v>
      </c>
      <c r="D770" s="11">
        <f t="shared" ref="D770:D833" si="24">MAX(E770+F770,G770,H770,I770,J770,K770,L770,M770,N770,O770,P770,Q770)</f>
        <v>0</v>
      </c>
      <c r="E770" s="16">
        <f>IF('Components Yr 1'!E770=0,0,'Components Yr 1'!E770)</f>
        <v>0</v>
      </c>
      <c r="F770" s="17">
        <f>IF('Components Yr 1'!F770=0,0,'Components Yr 1'!F770)</f>
        <v>0</v>
      </c>
      <c r="G770" s="17">
        <f>IF('Components Yr 1'!G770=0,0,'Components Yr 1'!G770)</f>
        <v>0</v>
      </c>
      <c r="H770" s="17">
        <f>IF('Components Yr 1'!H770=0,0,'Components Yr 1'!H770)</f>
        <v>0</v>
      </c>
      <c r="I770" s="17">
        <f>IF('Components Yr 1'!I770=0,0,'Components Yr 1'!I770)</f>
        <v>0</v>
      </c>
      <c r="J770" s="17">
        <f>IF('Components Yr 1'!J770=0,0,'Components Yr 1'!J770)</f>
        <v>0</v>
      </c>
      <c r="K770" s="12"/>
      <c r="L770" s="12"/>
      <c r="M770" s="12"/>
      <c r="N770" s="12"/>
      <c r="O770" s="12"/>
      <c r="P770" s="12"/>
      <c r="Q770" s="17"/>
      <c r="R770" s="18">
        <f>IF(SUMPRODUCT((E770:Q770)*1)=0,0,E770*INDEX(Hours!M:M,MATCH(C770,Hours!$A:$A,0))+F770*INDEX(Hours!B:B,MATCH(C770,Hours!$A:$A,0))+G770*INDEX(Hours!C:C,MATCH(C770,Hours!$A:$A,0))+H770*INDEX(Hours!D:D,MATCH(C770,Hours!$A:$A,0))+I770*INDEX(Hours!E:E,MATCH(C770,Hours!$A:$A,0))+J770*INDEX(Hours!F:F,MATCH(C770,Hours!$A:$A,0)))</f>
        <v>0</v>
      </c>
      <c r="S770" s="19">
        <f t="shared" ref="S770:S833" si="25">MAX(E770+F770,G770,H770,I770,J770,K770,L770,M770,N770,O770,P770,Q770)</f>
        <v>0</v>
      </c>
    </row>
    <row r="771" spans="1:19" x14ac:dyDescent="0.25">
      <c r="A771" s="11" t="str">
        <f>'Bldgs &amp; Rooms'!$A$22</f>
        <v>Main Bldg.</v>
      </c>
      <c r="B771" s="11">
        <f>'Bldgs &amp; Rooms'!$B$22</f>
        <v>0</v>
      </c>
      <c r="C771" s="10" t="str">
        <f>Hours!$A$31</f>
        <v>Motors &lt; 50 HP</v>
      </c>
      <c r="D771" s="11">
        <f t="shared" si="24"/>
        <v>0</v>
      </c>
      <c r="E771" s="16">
        <f>IF('Components Yr 1'!E771=0,0,'Components Yr 1'!E771)</f>
        <v>0</v>
      </c>
      <c r="F771" s="17">
        <f>IF('Components Yr 1'!F771=0,0,'Components Yr 1'!F771)</f>
        <v>0</v>
      </c>
      <c r="G771" s="17">
        <f>IF('Components Yr 1'!G771=0,0,'Components Yr 1'!G771)</f>
        <v>0</v>
      </c>
      <c r="H771" s="17">
        <f>IF('Components Yr 1'!H771=0,0,'Components Yr 1'!H771)</f>
        <v>0</v>
      </c>
      <c r="I771" s="17">
        <f>IF('Components Yr 1'!I771=0,0,'Components Yr 1'!I771)</f>
        <v>0</v>
      </c>
      <c r="J771" s="17">
        <f>IF('Components Yr 1'!J771=0,0,'Components Yr 1'!J771)</f>
        <v>0</v>
      </c>
      <c r="K771" s="12"/>
      <c r="L771" s="12"/>
      <c r="M771" s="12"/>
      <c r="N771" s="12"/>
      <c r="O771" s="12"/>
      <c r="P771" s="12"/>
      <c r="Q771" s="17"/>
      <c r="R771" s="18">
        <f>IF(SUMPRODUCT((E771:Q771)*1)=0,0,E771*INDEX(Hours!M:M,MATCH(C771,Hours!$A:$A,0))+F771*INDEX(Hours!B:B,MATCH(C771,Hours!$A:$A,0))+G771*INDEX(Hours!C:C,MATCH(C771,Hours!$A:$A,0))+H771*INDEX(Hours!D:D,MATCH(C771,Hours!$A:$A,0))+I771*INDEX(Hours!E:E,MATCH(C771,Hours!$A:$A,0))+J771*INDEX(Hours!F:F,MATCH(C771,Hours!$A:$A,0)))</f>
        <v>0</v>
      </c>
      <c r="S771" s="19">
        <f t="shared" si="25"/>
        <v>0</v>
      </c>
    </row>
    <row r="772" spans="1:19" x14ac:dyDescent="0.25">
      <c r="A772" s="11" t="str">
        <f>'Bldgs &amp; Rooms'!$A$22</f>
        <v>Main Bldg.</v>
      </c>
      <c r="B772" s="11">
        <f>'Bldgs &amp; Rooms'!$B$22</f>
        <v>0</v>
      </c>
      <c r="C772" s="10" t="str">
        <f>Hours!$A$32</f>
        <v>Motors 51-200 HP</v>
      </c>
      <c r="D772" s="11">
        <f t="shared" si="24"/>
        <v>0</v>
      </c>
      <c r="E772" s="16">
        <f>IF('Components Yr 1'!E772=0,0,'Components Yr 1'!E772)</f>
        <v>0</v>
      </c>
      <c r="F772" s="17">
        <f>IF('Components Yr 1'!F772=0,0,'Components Yr 1'!F772)</f>
        <v>0</v>
      </c>
      <c r="G772" s="17">
        <f>IF('Components Yr 1'!G772=0,0,'Components Yr 1'!G772)</f>
        <v>0</v>
      </c>
      <c r="H772" s="17">
        <f>IF('Components Yr 1'!H772=0,0,'Components Yr 1'!H772)</f>
        <v>0</v>
      </c>
      <c r="I772" s="17">
        <f>IF('Components Yr 1'!I772=0,0,'Components Yr 1'!I772)</f>
        <v>0</v>
      </c>
      <c r="J772" s="17">
        <f>IF('Components Yr 1'!J772=0,0,'Components Yr 1'!J772)</f>
        <v>0</v>
      </c>
      <c r="K772" s="12"/>
      <c r="L772" s="12"/>
      <c r="M772" s="12"/>
      <c r="N772" s="12"/>
      <c r="O772" s="12"/>
      <c r="P772" s="12"/>
      <c r="Q772" s="17"/>
      <c r="R772" s="18">
        <f>IF(SUMPRODUCT((E772:Q772)*1)=0,0,E772*INDEX(Hours!M:M,MATCH(C772,Hours!$A:$A,0))+F772*INDEX(Hours!B:B,MATCH(C772,Hours!$A:$A,0))+G772*INDEX(Hours!C:C,MATCH(C772,Hours!$A:$A,0))+H772*INDEX(Hours!D:D,MATCH(C772,Hours!$A:$A,0))+I772*INDEX(Hours!E:E,MATCH(C772,Hours!$A:$A,0))+J772*INDEX(Hours!F:F,MATCH(C772,Hours!$A:$A,0)))</f>
        <v>0</v>
      </c>
      <c r="S772" s="19">
        <f t="shared" si="25"/>
        <v>0</v>
      </c>
    </row>
    <row r="773" spans="1:19" x14ac:dyDescent="0.25">
      <c r="A773" s="11" t="str">
        <f>'Bldgs &amp; Rooms'!$A$22</f>
        <v>Main Bldg.</v>
      </c>
      <c r="B773" s="11">
        <f>'Bldgs &amp; Rooms'!$B$22</f>
        <v>0</v>
      </c>
      <c r="C773" s="10" t="str">
        <f>Hours!$A$33</f>
        <v>Motors 201-500 HP</v>
      </c>
      <c r="D773" s="11">
        <f t="shared" si="24"/>
        <v>0</v>
      </c>
      <c r="E773" s="16">
        <f>IF('Components Yr 1'!E773=0,0,'Components Yr 1'!E773)</f>
        <v>0</v>
      </c>
      <c r="F773" s="17">
        <f>IF('Components Yr 1'!F773=0,0,'Components Yr 1'!F773)</f>
        <v>0</v>
      </c>
      <c r="G773" s="17">
        <f>IF('Components Yr 1'!G773=0,0,'Components Yr 1'!G773)</f>
        <v>0</v>
      </c>
      <c r="H773" s="17">
        <f>IF('Components Yr 1'!H773=0,0,'Components Yr 1'!H773)</f>
        <v>0</v>
      </c>
      <c r="I773" s="17">
        <f>IF('Components Yr 1'!I773=0,0,'Components Yr 1'!I773)</f>
        <v>0</v>
      </c>
      <c r="J773" s="17">
        <f>IF('Components Yr 1'!J773=0,0,'Components Yr 1'!J773)</f>
        <v>0</v>
      </c>
      <c r="K773" s="12"/>
      <c r="L773" s="12"/>
      <c r="M773" s="12"/>
      <c r="N773" s="12"/>
      <c r="O773" s="12"/>
      <c r="P773" s="12"/>
      <c r="Q773" s="17"/>
      <c r="R773" s="18">
        <f>IF(SUMPRODUCT((E773:Q773)*1)=0,0,E773*INDEX(Hours!M:M,MATCH(C773,Hours!$A:$A,0))+F773*INDEX(Hours!B:B,MATCH(C773,Hours!$A:$A,0))+G773*INDEX(Hours!C:C,MATCH(C773,Hours!$A:$A,0))+H773*INDEX(Hours!D:D,MATCH(C773,Hours!$A:$A,0))+I773*INDEX(Hours!E:E,MATCH(C773,Hours!$A:$A,0))+J773*INDEX(Hours!F:F,MATCH(C773,Hours!$A:$A,0)))</f>
        <v>0</v>
      </c>
      <c r="S773" s="19">
        <f t="shared" si="25"/>
        <v>0</v>
      </c>
    </row>
    <row r="774" spans="1:19" x14ac:dyDescent="0.25">
      <c r="A774" s="11" t="str">
        <f>'Bldgs &amp; Rooms'!$A$22</f>
        <v>Main Bldg.</v>
      </c>
      <c r="B774" s="11">
        <f>'Bldgs &amp; Rooms'!$B$22</f>
        <v>0</v>
      </c>
      <c r="C774" s="10" t="str">
        <f>Hours!$A$34</f>
        <v>Compressed Air Equipment</v>
      </c>
      <c r="D774" s="11">
        <f t="shared" si="24"/>
        <v>0</v>
      </c>
      <c r="E774" s="16">
        <f>IF('Components Yr 1'!E774=0,0,'Components Yr 1'!E774)</f>
        <v>0</v>
      </c>
      <c r="F774" s="17">
        <f>IF('Components Yr 1'!F774=0,0,'Components Yr 1'!F774)</f>
        <v>0</v>
      </c>
      <c r="G774" s="17">
        <f>IF('Components Yr 1'!G774=0,0,'Components Yr 1'!G774)</f>
        <v>0</v>
      </c>
      <c r="H774" s="17">
        <f>IF('Components Yr 1'!H774=0,0,'Components Yr 1'!H774)</f>
        <v>0</v>
      </c>
      <c r="I774" s="17">
        <f>IF('Components Yr 1'!I774=0,0,'Components Yr 1'!I774)</f>
        <v>0</v>
      </c>
      <c r="J774" s="17">
        <f>IF('Components Yr 1'!J774=0,0,'Components Yr 1'!J774)</f>
        <v>0</v>
      </c>
      <c r="K774" s="12"/>
      <c r="L774" s="12"/>
      <c r="M774" s="12"/>
      <c r="N774" s="12"/>
      <c r="O774" s="12"/>
      <c r="P774" s="12"/>
      <c r="Q774" s="17"/>
      <c r="R774" s="18">
        <f>IF(SUMPRODUCT((E774:Q774)*1)=0,0,E774*INDEX(Hours!M:M,MATCH(C774,Hours!$A:$A,0))+F774*INDEX(Hours!B:B,MATCH(C774,Hours!$A:$A,0))+G774*INDEX(Hours!C:C,MATCH(C774,Hours!$A:$A,0))+H774*INDEX(Hours!D:D,MATCH(C774,Hours!$A:$A,0))+I774*INDEX(Hours!E:E,MATCH(C774,Hours!$A:$A,0))+J774*INDEX(Hours!F:F,MATCH(C774,Hours!$A:$A,0)))</f>
        <v>0</v>
      </c>
      <c r="S774" s="19">
        <f t="shared" si="25"/>
        <v>0</v>
      </c>
    </row>
    <row r="775" spans="1:19" x14ac:dyDescent="0.25">
      <c r="A775" s="11" t="str">
        <f>'Bldgs &amp; Rooms'!$A$22</f>
        <v>Main Bldg.</v>
      </c>
      <c r="B775" s="11">
        <f>'Bldgs &amp; Rooms'!$B$22</f>
        <v>0</v>
      </c>
      <c r="C775" s="10" t="str">
        <f>Hours!$A$35</f>
        <v>HVAC Equipment (Large)</v>
      </c>
      <c r="D775" s="11">
        <f t="shared" si="24"/>
        <v>0</v>
      </c>
      <c r="E775" s="16">
        <f>IF('Components Yr 1'!E775=0,0,'Components Yr 1'!E775)</f>
        <v>0</v>
      </c>
      <c r="F775" s="17">
        <f>IF('Components Yr 1'!F775=0,0,'Components Yr 1'!F775)</f>
        <v>0</v>
      </c>
      <c r="G775" s="17">
        <f>IF('Components Yr 1'!G775=0,0,'Components Yr 1'!G775)</f>
        <v>0</v>
      </c>
      <c r="H775" s="17">
        <f>IF('Components Yr 1'!H775=0,0,'Components Yr 1'!H775)</f>
        <v>0</v>
      </c>
      <c r="I775" s="17">
        <f>IF('Components Yr 1'!I775=0,0,'Components Yr 1'!I775)</f>
        <v>0</v>
      </c>
      <c r="J775" s="17">
        <f>IF('Components Yr 1'!J775=0,0,'Components Yr 1'!J775)</f>
        <v>0</v>
      </c>
      <c r="K775" s="12"/>
      <c r="L775" s="12"/>
      <c r="M775" s="12"/>
      <c r="N775" s="12"/>
      <c r="O775" s="12"/>
      <c r="P775" s="12"/>
      <c r="Q775" s="17"/>
      <c r="R775" s="18">
        <f>IF(SUMPRODUCT((E775:Q775)*1)=0,0,E775*INDEX(Hours!M:M,MATCH(C775,Hours!$A:$A,0))+F775*INDEX(Hours!B:B,MATCH(C775,Hours!$A:$A,0))+G775*INDEX(Hours!C:C,MATCH(C775,Hours!$A:$A,0))+H775*INDEX(Hours!D:D,MATCH(C775,Hours!$A:$A,0))+I775*INDEX(Hours!E:E,MATCH(C775,Hours!$A:$A,0))+J775*INDEX(Hours!F:F,MATCH(C775,Hours!$A:$A,0)))</f>
        <v>0</v>
      </c>
      <c r="S775" s="19">
        <f t="shared" si="25"/>
        <v>0</v>
      </c>
    </row>
    <row r="776" spans="1:19" x14ac:dyDescent="0.25">
      <c r="A776" s="11" t="str">
        <f>'Bldgs &amp; Rooms'!$A$22</f>
        <v>Main Bldg.</v>
      </c>
      <c r="B776" s="11">
        <f>'Bldgs &amp; Rooms'!$B$22</f>
        <v>0</v>
      </c>
      <c r="C776" s="10" t="str">
        <f>Hours!$A$36</f>
        <v>HVAC Equipment (Small)</v>
      </c>
      <c r="D776" s="11">
        <f t="shared" si="24"/>
        <v>0</v>
      </c>
      <c r="E776" s="16">
        <f>IF('Components Yr 1'!E776=0,0,'Components Yr 1'!E776)</f>
        <v>0</v>
      </c>
      <c r="F776" s="17">
        <f>IF('Components Yr 1'!F776=0,0,'Components Yr 1'!F776)</f>
        <v>0</v>
      </c>
      <c r="G776" s="17">
        <f>IF('Components Yr 1'!G776=0,0,'Components Yr 1'!G776)</f>
        <v>0</v>
      </c>
      <c r="H776" s="17">
        <f>IF('Components Yr 1'!H776=0,0,'Components Yr 1'!H776)</f>
        <v>0</v>
      </c>
      <c r="I776" s="17">
        <f>IF('Components Yr 1'!I776=0,0,'Components Yr 1'!I776)</f>
        <v>0</v>
      </c>
      <c r="J776" s="17">
        <f>IF('Components Yr 1'!J776=0,0,'Components Yr 1'!J776)</f>
        <v>0</v>
      </c>
      <c r="K776" s="12"/>
      <c r="L776" s="12"/>
      <c r="M776" s="12"/>
      <c r="N776" s="12"/>
      <c r="O776" s="12"/>
      <c r="P776" s="12"/>
      <c r="Q776" s="17"/>
      <c r="R776" s="18">
        <f>IF(SUMPRODUCT((E776:Q776)*1)=0,0,E776*INDEX(Hours!M:M,MATCH(C776,Hours!$A:$A,0))+F776*INDEX(Hours!B:B,MATCH(C776,Hours!$A:$A,0))+G776*INDEX(Hours!C:C,MATCH(C776,Hours!$A:$A,0))+H776*INDEX(Hours!D:D,MATCH(C776,Hours!$A:$A,0))+I776*INDEX(Hours!E:E,MATCH(C776,Hours!$A:$A,0))+J776*INDEX(Hours!F:F,MATCH(C776,Hours!$A:$A,0)))</f>
        <v>0</v>
      </c>
      <c r="S776" s="19">
        <f t="shared" si="25"/>
        <v>0</v>
      </c>
    </row>
    <row r="777" spans="1:19" x14ac:dyDescent="0.25">
      <c r="A777" s="11" t="str">
        <f>'Bldgs &amp; Rooms'!$A$22</f>
        <v>Main Bldg.</v>
      </c>
      <c r="B777" s="11">
        <f>'Bldgs &amp; Rooms'!$B$22</f>
        <v>0</v>
      </c>
      <c r="C777" s="10" t="str">
        <f>Hours!$A$37</f>
        <v>Uninterruptible Power Supply (UPS) &lt; 50kVA</v>
      </c>
      <c r="D777" s="11">
        <f t="shared" si="24"/>
        <v>0</v>
      </c>
      <c r="E777" s="16">
        <f>IF('Components Yr 1'!E777=0,0,'Components Yr 1'!E777)</f>
        <v>0</v>
      </c>
      <c r="F777" s="17">
        <f>IF('Components Yr 1'!F777=0,0,'Components Yr 1'!F777)</f>
        <v>0</v>
      </c>
      <c r="G777" s="17">
        <f>IF('Components Yr 1'!G777=0,0,'Components Yr 1'!G777)</f>
        <v>0</v>
      </c>
      <c r="H777" s="17">
        <f>IF('Components Yr 1'!H777=0,0,'Components Yr 1'!H777)</f>
        <v>0</v>
      </c>
      <c r="I777" s="17">
        <f>IF('Components Yr 1'!I777=0,0,'Components Yr 1'!I777)</f>
        <v>0</v>
      </c>
      <c r="J777" s="17">
        <f>IF('Components Yr 1'!J777=0,0,'Components Yr 1'!J777)</f>
        <v>0</v>
      </c>
      <c r="K777" s="12"/>
      <c r="L777" s="12"/>
      <c r="M777" s="12"/>
      <c r="N777" s="12"/>
      <c r="O777" s="12"/>
      <c r="P777" s="12"/>
      <c r="Q777" s="17"/>
      <c r="R777" s="18">
        <f>IF(SUMPRODUCT((E777:Q777)*1)=0,0,E777*INDEX(Hours!M:M,MATCH(C777,Hours!$A:$A,0))+F777*INDEX(Hours!B:B,MATCH(C777,Hours!$A:$A,0))+G777*INDEX(Hours!C:C,MATCH(C777,Hours!$A:$A,0))+H777*INDEX(Hours!D:D,MATCH(C777,Hours!$A:$A,0))+I777*INDEX(Hours!E:E,MATCH(C777,Hours!$A:$A,0))+J777*INDEX(Hours!F:F,MATCH(C777,Hours!$A:$A,0)))</f>
        <v>0</v>
      </c>
      <c r="S777" s="19">
        <f t="shared" si="25"/>
        <v>0</v>
      </c>
    </row>
    <row r="778" spans="1:19" x14ac:dyDescent="0.25">
      <c r="A778" s="11" t="str">
        <f>'Bldgs &amp; Rooms'!$A$22</f>
        <v>Main Bldg.</v>
      </c>
      <c r="B778" s="11">
        <f>'Bldgs &amp; Rooms'!$B$22</f>
        <v>0</v>
      </c>
      <c r="C778" s="10" t="str">
        <f>Hours!$A$38</f>
        <v>Uninterruptible Power Supply (UPS) &gt; 50kVA</v>
      </c>
      <c r="D778" s="11">
        <f t="shared" si="24"/>
        <v>0</v>
      </c>
      <c r="E778" s="16">
        <f>IF('Components Yr 1'!E778=0,0,'Components Yr 1'!E778)</f>
        <v>0</v>
      </c>
      <c r="F778" s="17">
        <f>IF('Components Yr 1'!F778=0,0,'Components Yr 1'!F778)</f>
        <v>0</v>
      </c>
      <c r="G778" s="17">
        <f>IF('Components Yr 1'!G778=0,0,'Components Yr 1'!G778)</f>
        <v>0</v>
      </c>
      <c r="H778" s="17">
        <f>IF('Components Yr 1'!H778=0,0,'Components Yr 1'!H778)</f>
        <v>0</v>
      </c>
      <c r="I778" s="17">
        <f>IF('Components Yr 1'!I778=0,0,'Components Yr 1'!I778)</f>
        <v>0</v>
      </c>
      <c r="J778" s="17">
        <f>IF('Components Yr 1'!J778=0,0,'Components Yr 1'!J778)</f>
        <v>0</v>
      </c>
      <c r="K778" s="12"/>
      <c r="L778" s="12"/>
      <c r="M778" s="12"/>
      <c r="N778" s="12"/>
      <c r="O778" s="12"/>
      <c r="P778" s="12"/>
      <c r="Q778" s="17"/>
      <c r="R778" s="18">
        <f>IF(SUMPRODUCT((E778:Q778)*1)=0,0,E778*INDEX(Hours!M:M,MATCH(C778,Hours!$A:$A,0))+F778*INDEX(Hours!B:B,MATCH(C778,Hours!$A:$A,0))+G778*INDEX(Hours!C:C,MATCH(C778,Hours!$A:$A,0))+H778*INDEX(Hours!D:D,MATCH(C778,Hours!$A:$A,0))+I778*INDEX(Hours!E:E,MATCH(C778,Hours!$A:$A,0))+J778*INDEX(Hours!F:F,MATCH(C778,Hours!$A:$A,0)))</f>
        <v>0</v>
      </c>
      <c r="S778" s="19">
        <f t="shared" si="25"/>
        <v>0</v>
      </c>
    </row>
    <row r="779" spans="1:19" x14ac:dyDescent="0.25">
      <c r="A779" s="15" t="str">
        <f>'Bldgs &amp; Rooms'!$A$23</f>
        <v>Main Bldg.</v>
      </c>
      <c r="B779" s="15">
        <f>'Bldgs &amp; Rooms'!$B$23</f>
        <v>0</v>
      </c>
      <c r="C779" s="14" t="str">
        <f>Hours!$A$2</f>
        <v>Switchgear - Incoming Main Service (Per Section)</v>
      </c>
      <c r="D779" s="15">
        <f t="shared" si="24"/>
        <v>0</v>
      </c>
      <c r="E779" s="16">
        <f>IF('Components Yr 1'!E779=0,0,'Components Yr 1'!E779)</f>
        <v>0</v>
      </c>
      <c r="F779" s="17">
        <f>IF('Components Yr 1'!F779=0,0,'Components Yr 1'!F779)</f>
        <v>0</v>
      </c>
      <c r="G779" s="17">
        <f>IF('Components Yr 1'!G779=0,0,'Components Yr 1'!G779)</f>
        <v>0</v>
      </c>
      <c r="H779" s="17">
        <f>IF('Components Yr 1'!H779=0,0,'Components Yr 1'!H779)</f>
        <v>0</v>
      </c>
      <c r="I779" s="17">
        <f>IF('Components Yr 1'!I779=0,0,'Components Yr 1'!I779)</f>
        <v>0</v>
      </c>
      <c r="J779" s="17">
        <f>IF('Components Yr 1'!J779=0,0,'Components Yr 1'!J779)</f>
        <v>0</v>
      </c>
      <c r="K779" s="17">
        <f>IF('Components Yr 1'!K779=0,0,'Components Yr 1'!K779)</f>
        <v>0</v>
      </c>
      <c r="L779" s="17">
        <f>IF('Components Yr 1'!L779=0,0,'Components Yr 1'!L779)</f>
        <v>0</v>
      </c>
      <c r="M779" s="12"/>
      <c r="N779" s="12"/>
      <c r="O779" s="17">
        <f>IF('Components Yr 1'!O779=0,0,'Components Yr 1'!O779)</f>
        <v>0</v>
      </c>
      <c r="P779" s="12"/>
      <c r="Q779" s="17"/>
      <c r="R779" s="18">
        <f>IF(SUMPRODUCT((E779:Q779)*1)=0,0,E779*INDEX(Hours!M:M,MATCH(C779,Hours!$A:$A,0))+F779*INDEX(Hours!B:B,MATCH(C779,Hours!$A:$A,0))+G779*INDEX(Hours!C:C,MATCH(C779,Hours!$A:$A,0))+H779*INDEX(Hours!D:D,MATCH(C779,Hours!$A:$A,0))+I779*INDEX(Hours!E:E,MATCH(C779,Hours!$A:$A,0))+J779*INDEX(Hours!F:F,MATCH(C779,Hours!$A:$A,0))+K779*INDEX(Hours!G:G,MATCH(C779,Hours!$A:$A,0))+L779*INDEX(Hours!H:H,MATCH(C779,Hours!$A:$A,0))+O779*INDEX(Hours!K:K,MATCH(C779,Hours!$A:$A,0)))</f>
        <v>0</v>
      </c>
      <c r="S779" s="19">
        <f t="shared" si="25"/>
        <v>0</v>
      </c>
    </row>
    <row r="780" spans="1:19" x14ac:dyDescent="0.25">
      <c r="A780" s="15" t="str">
        <f>'Bldgs &amp; Rooms'!$A$23</f>
        <v>Main Bldg.</v>
      </c>
      <c r="B780" s="15">
        <f>'Bldgs &amp; Rooms'!$B$23</f>
        <v>0</v>
      </c>
      <c r="C780" s="14" t="str">
        <f>Hours!$A$3</f>
        <v xml:space="preserve">  Switchgear Insulated Case Breakers (Bus Mounted)</v>
      </c>
      <c r="D780" s="15">
        <f t="shared" si="24"/>
        <v>0</v>
      </c>
      <c r="E780" s="16">
        <f>IF('Components Yr 1'!E780=0,0,'Components Yr 1'!E780)</f>
        <v>0</v>
      </c>
      <c r="F780" s="17">
        <f>IF('Components Yr 1'!F780=0,0,'Components Yr 1'!F780)</f>
        <v>0</v>
      </c>
      <c r="G780" s="17">
        <f>IF('Components Yr 1'!G780=0,0,'Components Yr 1'!G780)</f>
        <v>0</v>
      </c>
      <c r="H780" s="17">
        <f>IF('Components Yr 1'!H780=0,0,'Components Yr 1'!H780)</f>
        <v>0</v>
      </c>
      <c r="I780" s="17">
        <f>IF('Components Yr 1'!I780=0,0,'Components Yr 1'!I780)</f>
        <v>0</v>
      </c>
      <c r="J780" s="17">
        <f>IF('Components Yr 1'!J780=0,0,'Components Yr 1'!J780)</f>
        <v>0</v>
      </c>
      <c r="K780" s="17">
        <f>IF('Components Yr 1'!K780=0,0,'Components Yr 1'!K780)</f>
        <v>0</v>
      </c>
      <c r="L780" s="12"/>
      <c r="M780" s="12"/>
      <c r="N780" s="12"/>
      <c r="O780" s="12"/>
      <c r="P780" s="12"/>
      <c r="Q780" s="17"/>
      <c r="R780" s="18">
        <f>IF(SUMPRODUCT((E780:Q780)*1)=0,0,E780*INDEX(Hours!M:M,MATCH(C780,Hours!$A:$A,0))+F780*INDEX(Hours!B:B,MATCH(C780,Hours!$A:$A,0))+G780*INDEX(Hours!C:C,MATCH(C780,Hours!$A:$A,0))+H780*INDEX(Hours!D:D,MATCH(C780,Hours!$A:$A,0))+I780*INDEX(Hours!E:E,MATCH(C780,Hours!$A:$A,0))+J780*INDEX(Hours!F:F,MATCH(C780,Hours!$A:$A,0))+K780*INDEX(Hours!G:G,MATCH(C780,Hours!$A:$A,0)))</f>
        <v>0</v>
      </c>
      <c r="S780" s="19">
        <f t="shared" si="25"/>
        <v>0</v>
      </c>
    </row>
    <row r="781" spans="1:19" x14ac:dyDescent="0.25">
      <c r="A781" s="15" t="str">
        <f>'Bldgs &amp; Rooms'!$A$23</f>
        <v>Main Bldg.</v>
      </c>
      <c r="B781" s="15">
        <f>'Bldgs &amp; Rooms'!$B$23</f>
        <v>0</v>
      </c>
      <c r="C781" s="14" t="str">
        <f>Hours!$A$4</f>
        <v xml:space="preserve">  SwitchGear Drawout Breakers</v>
      </c>
      <c r="D781" s="15">
        <f t="shared" si="24"/>
        <v>0</v>
      </c>
      <c r="E781" s="16">
        <f>IF('Components Yr 1'!E781=0,0,'Components Yr 1'!E781)</f>
        <v>0</v>
      </c>
      <c r="F781" s="17">
        <f>IF('Components Yr 1'!F781=0,0,'Components Yr 1'!F781)</f>
        <v>0</v>
      </c>
      <c r="G781" s="17">
        <f>IF('Components Yr 1'!G781=0,0,'Components Yr 1'!G781)</f>
        <v>0</v>
      </c>
      <c r="H781" s="17">
        <f>IF('Components Yr 1'!H781=0,0,'Components Yr 1'!H781)</f>
        <v>0</v>
      </c>
      <c r="I781" s="17">
        <f>IF('Components Yr 1'!I781=0,0,'Components Yr 1'!I781)</f>
        <v>0</v>
      </c>
      <c r="J781" s="17">
        <f>IF('Components Yr 1'!J781=0,0,'Components Yr 1'!J781)</f>
        <v>0</v>
      </c>
      <c r="K781" s="12"/>
      <c r="L781" s="17">
        <f>IF('Components Yr 1'!L781=0,0,'Components Yr 1'!L781)</f>
        <v>0</v>
      </c>
      <c r="M781" s="12"/>
      <c r="N781" s="12"/>
      <c r="O781" s="12"/>
      <c r="P781" s="12"/>
      <c r="Q781" s="17"/>
      <c r="R781" s="18">
        <f>IF(SUMPRODUCT((E781:Q781)*1)=0,0,E781*INDEX(Hours!M:M,MATCH(C781,Hours!$A:$A,0))+F781*INDEX(Hours!B:B,MATCH(C781,Hours!$A:$A,0))+G781*INDEX(Hours!C:C,MATCH(C781,Hours!$A:$A,0))+H781*INDEX(Hours!D:D,MATCH(C781,Hours!$A:$A,0))+I781*INDEX(Hours!E:E,MATCH(C781,Hours!$A:$A,0))+J781*INDEX(Hours!F:F,MATCH(C781,Hours!$A:$A,0))+L781*INDEX(Hours!H:H,MATCH(C781,Hours!$A:$A,0)))</f>
        <v>0</v>
      </c>
      <c r="S781" s="19">
        <f t="shared" si="25"/>
        <v>0</v>
      </c>
    </row>
    <row r="782" spans="1:19" x14ac:dyDescent="0.25">
      <c r="A782" s="15" t="str">
        <f>'Bldgs &amp; Rooms'!$A$23</f>
        <v>Main Bldg.</v>
      </c>
      <c r="B782" s="15">
        <f>'Bldgs &amp; Rooms'!$B$23</f>
        <v>0</v>
      </c>
      <c r="C782" s="14" t="str">
        <f>Hours!$A$5</f>
        <v>Distribution Switchboard Multi Cover (Per Section)</v>
      </c>
      <c r="D782" s="15">
        <f t="shared" si="24"/>
        <v>0</v>
      </c>
      <c r="E782" s="16">
        <f>IF('Components Yr 1'!E782=0,0,'Components Yr 1'!E782)</f>
        <v>0</v>
      </c>
      <c r="F782" s="17">
        <f>IF('Components Yr 1'!F782=0,0,'Components Yr 1'!F782)</f>
        <v>0</v>
      </c>
      <c r="G782" s="17">
        <f>IF('Components Yr 1'!G782=0,0,'Components Yr 1'!G782)</f>
        <v>0</v>
      </c>
      <c r="H782" s="17">
        <f>IF('Components Yr 1'!H782=0,0,'Components Yr 1'!H782)</f>
        <v>0</v>
      </c>
      <c r="I782" s="17">
        <f>IF('Components Yr 1'!I782=0,0,'Components Yr 1'!I782)</f>
        <v>0</v>
      </c>
      <c r="J782" s="17">
        <f>IF('Components Yr 1'!J782=0,0,'Components Yr 1'!J782)</f>
        <v>0</v>
      </c>
      <c r="K782" s="17">
        <f>IF('Components Yr 1'!K782=0,0,'Components Yr 1'!K782)</f>
        <v>0</v>
      </c>
      <c r="L782" s="12"/>
      <c r="M782" s="12"/>
      <c r="N782" s="12"/>
      <c r="O782" s="17">
        <f>IF('Components Yr 1'!O782=0,0,'Components Yr 1'!O782)</f>
        <v>0</v>
      </c>
      <c r="P782" s="12"/>
      <c r="Q782" s="17"/>
      <c r="R782" s="18">
        <f>IF(SUMPRODUCT((E782:Q782)*1)=0,0,E782*INDEX(Hours!M:M,MATCH(C782,Hours!$A:$A,0))+F782*INDEX(Hours!B:B,MATCH(C782,Hours!$A:$A,0))+G782*INDEX(Hours!C:C,MATCH(C782,Hours!$A:$A,0))+H782*INDEX(Hours!D:D,MATCH(C782,Hours!$A:$A,0))+I782*INDEX(Hours!E:E,MATCH(C782,Hours!$A:$A,0))+J782*INDEX(Hours!F:F,MATCH(C782,Hours!$A:$A,0))+K782*INDEX(Hours!G:G,MATCH(C782,Hours!$A:$A,0))+O782*INDEX(Hours!K:K,MATCH(C782,Hours!$A:$A,0)))</f>
        <v>0</v>
      </c>
      <c r="S782" s="19">
        <f t="shared" si="25"/>
        <v>0</v>
      </c>
    </row>
    <row r="783" spans="1:19" x14ac:dyDescent="0.25">
      <c r="A783" s="15" t="str">
        <f>'Bldgs &amp; Rooms'!$A$23</f>
        <v>Main Bldg.</v>
      </c>
      <c r="B783" s="15">
        <f>'Bldgs &amp; Rooms'!$B$23</f>
        <v>0</v>
      </c>
      <c r="C783" s="14" t="str">
        <f>Hours!$A$6</f>
        <v xml:space="preserve">  Switchboard Disconnects</v>
      </c>
      <c r="D783" s="15">
        <f t="shared" si="24"/>
        <v>0</v>
      </c>
      <c r="E783" s="16">
        <f>IF('Components Yr 1'!E783=0,0,'Components Yr 1'!E783)</f>
        <v>0</v>
      </c>
      <c r="F783" s="17">
        <f>IF('Components Yr 1'!F783=0,0,'Components Yr 1'!F783)</f>
        <v>0</v>
      </c>
      <c r="G783" s="17">
        <f>IF('Components Yr 1'!G783=0,0,'Components Yr 1'!G783)</f>
        <v>0</v>
      </c>
      <c r="H783" s="17">
        <f>IF('Components Yr 1'!H783=0,0,'Components Yr 1'!H783)</f>
        <v>0</v>
      </c>
      <c r="I783" s="17">
        <f>IF('Components Yr 1'!I783=0,0,'Components Yr 1'!I783)</f>
        <v>0</v>
      </c>
      <c r="J783" s="17">
        <f>IF('Components Yr 1'!J783=0,0,'Components Yr 1'!J783)</f>
        <v>0</v>
      </c>
      <c r="K783" s="12"/>
      <c r="L783" s="12"/>
      <c r="M783" s="12"/>
      <c r="N783" s="12"/>
      <c r="O783" s="12"/>
      <c r="P783" s="12"/>
      <c r="Q783" s="17"/>
      <c r="R783" s="18">
        <f>IF(SUMPRODUCT((E783:Q783)*1)=0,0,E783*INDEX(Hours!M:M,MATCH(C783,Hours!$A:$A,0))+F783*INDEX(Hours!B:B,MATCH(C783,Hours!$A:$A,0))+G783*INDEX(Hours!C:C,MATCH(C783,Hours!$A:$A,0))+H783*INDEX(Hours!D:D,MATCH(C783,Hours!$A:$A,0))+I783*INDEX(Hours!E:E,MATCH(C783,Hours!$A:$A,0))+J783*INDEX(Hours!F:F,MATCH(C783,Hours!$A:$A,0)))</f>
        <v>0</v>
      </c>
      <c r="S783" s="19">
        <f t="shared" si="25"/>
        <v>0</v>
      </c>
    </row>
    <row r="784" spans="1:19" x14ac:dyDescent="0.25">
      <c r="A784" s="15" t="str">
        <f>'Bldgs &amp; Rooms'!$A$23</f>
        <v>Main Bldg.</v>
      </c>
      <c r="B784" s="15">
        <f>'Bldgs &amp; Rooms'!$B$23</f>
        <v>0</v>
      </c>
      <c r="C784" s="14" t="str">
        <f>Hours!$A$7</f>
        <v xml:space="preserve">  Switchboard Molded Case Breakers</v>
      </c>
      <c r="D784" s="15">
        <f t="shared" si="24"/>
        <v>0</v>
      </c>
      <c r="E784" s="16">
        <f>IF('Components Yr 1'!E784=0,0,'Components Yr 1'!E784)</f>
        <v>0</v>
      </c>
      <c r="F784" s="17">
        <f>IF('Components Yr 1'!F784=0,0,'Components Yr 1'!F784)</f>
        <v>0</v>
      </c>
      <c r="G784" s="17">
        <f>IF('Components Yr 1'!G784=0,0,'Components Yr 1'!G784)</f>
        <v>0</v>
      </c>
      <c r="H784" s="17">
        <f>IF('Components Yr 1'!H784=0,0,'Components Yr 1'!H784)</f>
        <v>0</v>
      </c>
      <c r="I784" s="17">
        <f>IF('Components Yr 1'!I784=0,0,'Components Yr 1'!I784)</f>
        <v>0</v>
      </c>
      <c r="J784" s="17">
        <f>IF('Components Yr 1'!J784=0,0,'Components Yr 1'!J784)</f>
        <v>0</v>
      </c>
      <c r="K784" s="17">
        <f>IF('Components Yr 1'!K784=0,0,'Components Yr 1'!K784)</f>
        <v>0</v>
      </c>
      <c r="L784" s="12"/>
      <c r="M784" s="12"/>
      <c r="N784" s="12"/>
      <c r="O784" s="12"/>
      <c r="P784" s="12"/>
      <c r="Q784" s="17"/>
      <c r="R784" s="18">
        <f>IF(SUMPRODUCT((E784:Q784)*1)=0,0,E784*INDEX(Hours!M:M,MATCH(C784,Hours!$A:$A,0))+F784*INDEX(Hours!B:B,MATCH(C784,Hours!$A:$A,0))+G784*INDEX(Hours!C:C,MATCH(C784,Hours!$A:$A,0))+H784*INDEX(Hours!D:D,MATCH(C784,Hours!$A:$A,0))+I784*INDEX(Hours!E:E,MATCH(C784,Hours!$A:$A,0))+J784*INDEX(Hours!F:F,MATCH(C784,Hours!$A:$A,0))+K784*INDEX(Hours!G:G,MATCH(C784,Hours!$A:$A,0)))</f>
        <v>0</v>
      </c>
      <c r="S784" s="19">
        <f t="shared" si="25"/>
        <v>0</v>
      </c>
    </row>
    <row r="785" spans="1:19" x14ac:dyDescent="0.25">
      <c r="A785" s="15" t="str">
        <f>'Bldgs &amp; Rooms'!$A$23</f>
        <v>Main Bldg.</v>
      </c>
      <c r="B785" s="15">
        <f>'Bldgs &amp; Rooms'!$B$23</f>
        <v>0</v>
      </c>
      <c r="C785" s="14" t="str">
        <f>Hours!$A$8</f>
        <v>Panelboard-Single Cover &gt; 400A (Distribution Panel)</v>
      </c>
      <c r="D785" s="15">
        <f t="shared" si="24"/>
        <v>0</v>
      </c>
      <c r="E785" s="16">
        <f>IF('Components Yr 1'!E785=0,0,'Components Yr 1'!E785)</f>
        <v>0</v>
      </c>
      <c r="F785" s="17">
        <f>IF('Components Yr 1'!F785=0,0,'Components Yr 1'!F785)</f>
        <v>0</v>
      </c>
      <c r="G785" s="17">
        <f>IF('Components Yr 1'!G785=0,0,'Components Yr 1'!G785)</f>
        <v>0</v>
      </c>
      <c r="H785" s="17">
        <f>IF('Components Yr 1'!H785=0,0,'Components Yr 1'!H785)</f>
        <v>0</v>
      </c>
      <c r="I785" s="17">
        <f>IF('Components Yr 1'!I785=0,0,'Components Yr 1'!I785)</f>
        <v>0</v>
      </c>
      <c r="J785" s="17">
        <f>IF('Components Yr 1'!J785=0,0,'Components Yr 1'!J785)</f>
        <v>0</v>
      </c>
      <c r="K785" s="17">
        <f>IF('Components Yr 1'!K785=0,0,'Components Yr 1'!K785)</f>
        <v>0</v>
      </c>
      <c r="L785" s="12"/>
      <c r="M785" s="12"/>
      <c r="N785" s="12"/>
      <c r="O785" s="17">
        <f>IF('Components Yr 1'!O785=0,0,'Components Yr 1'!O785)</f>
        <v>0</v>
      </c>
      <c r="P785" s="12"/>
      <c r="Q785" s="17"/>
      <c r="R785" s="18">
        <f>IF(SUMPRODUCT((E785:Q785)*1)=0,0,E785*INDEX(Hours!M:M,MATCH(C785,Hours!$A:$A,0))+F785*INDEX(Hours!B:B,MATCH(C785,Hours!$A:$A,0))+G785*INDEX(Hours!C:C,MATCH(C785,Hours!$A:$A,0))+H785*INDEX(Hours!D:D,MATCH(C785,Hours!$A:$A,0))+I785*INDEX(Hours!E:E,MATCH(C785,Hours!$A:$A,0))+J785*INDEX(Hours!F:F,MATCH(C785,Hours!$A:$A,0))+K785*INDEX(Hours!G:G,MATCH(C785,Hours!$A:$A,0))+O785*INDEX(Hours!K:K,MATCH(C785,Hours!$A:$A,0)))</f>
        <v>0</v>
      </c>
      <c r="S785" s="19">
        <f t="shared" si="25"/>
        <v>0</v>
      </c>
    </row>
    <row r="786" spans="1:19" x14ac:dyDescent="0.25">
      <c r="A786" s="15" t="str">
        <f>'Bldgs &amp; Rooms'!$A$23</f>
        <v>Main Bldg.</v>
      </c>
      <c r="B786" s="15">
        <f>'Bldgs &amp; Rooms'!$B$23</f>
        <v>0</v>
      </c>
      <c r="C786" s="14" t="str">
        <f>Hours!$A$9</f>
        <v>Panelboard-Single Cover &lt; 400A (Branch Ckt Panel)</v>
      </c>
      <c r="D786" s="15">
        <f t="shared" si="24"/>
        <v>0</v>
      </c>
      <c r="E786" s="16">
        <f>IF('Components Yr 1'!E786=0,0,'Components Yr 1'!E786)</f>
        <v>0</v>
      </c>
      <c r="F786" s="17">
        <f>IF('Components Yr 1'!F786=0,0,'Components Yr 1'!F786)</f>
        <v>0</v>
      </c>
      <c r="G786" s="17">
        <f>IF('Components Yr 1'!G786=0,0,'Components Yr 1'!G786)</f>
        <v>0</v>
      </c>
      <c r="H786" s="17">
        <f>IF('Components Yr 1'!H786=0,0,'Components Yr 1'!H786)</f>
        <v>0</v>
      </c>
      <c r="I786" s="17">
        <f>IF('Components Yr 1'!I786=0,0,'Components Yr 1'!I786)</f>
        <v>0</v>
      </c>
      <c r="J786" s="17">
        <f>IF('Components Yr 1'!J786=0,0,'Components Yr 1'!J786)</f>
        <v>0</v>
      </c>
      <c r="K786" s="12"/>
      <c r="L786" s="12"/>
      <c r="M786" s="12"/>
      <c r="N786" s="12"/>
      <c r="O786" s="17">
        <f>IF('Components Yr 1'!O786=0,0,'Components Yr 1'!O786)</f>
        <v>0</v>
      </c>
      <c r="P786" s="12"/>
      <c r="Q786" s="17"/>
      <c r="R786" s="18">
        <f>IF(SUMPRODUCT((E786:Q786)*1)=0,0,E786*INDEX(Hours!M:M,MATCH(C786,Hours!$A:$A,0))+F786*INDEX(Hours!B:B,MATCH(C786,Hours!$A:$A,0))+G786*INDEX(Hours!C:C,MATCH(C786,Hours!$A:$A,0))+H786*INDEX(Hours!D:D,MATCH(C786,Hours!$A:$A,0))+I786*INDEX(Hours!E:E,MATCH(C786,Hours!$A:$A,0))+J786*INDEX(Hours!F:F,MATCH(C786,Hours!$A:$A,0))+O786*INDEX(Hours!K:K,MATCH(C786,Hours!$A:$A,0)))</f>
        <v>0</v>
      </c>
      <c r="S786" s="19">
        <f t="shared" si="25"/>
        <v>0</v>
      </c>
    </row>
    <row r="787" spans="1:19" x14ac:dyDescent="0.25">
      <c r="A787" s="15" t="str">
        <f>'Bldgs &amp; Rooms'!$A$23</f>
        <v>Main Bldg.</v>
      </c>
      <c r="B787" s="15">
        <f>'Bldgs &amp; Rooms'!$B$23</f>
        <v>0</v>
      </c>
      <c r="C787" s="14" t="str">
        <f>Hours!$A$10</f>
        <v>Motor Control Center (MCC-Per Vertical Section)</v>
      </c>
      <c r="D787" s="15">
        <f t="shared" si="24"/>
        <v>0</v>
      </c>
      <c r="E787" s="16">
        <f>IF('Components Yr 1'!E787=0,0,'Components Yr 1'!E787)</f>
        <v>0</v>
      </c>
      <c r="F787" s="17">
        <f>IF('Components Yr 1'!F787=0,0,'Components Yr 1'!F787)</f>
        <v>0</v>
      </c>
      <c r="G787" s="17">
        <f>IF('Components Yr 1'!G787=0,0,'Components Yr 1'!G787)</f>
        <v>0</v>
      </c>
      <c r="H787" s="17">
        <f>IF('Components Yr 1'!H787=0,0,'Components Yr 1'!H787)</f>
        <v>0</v>
      </c>
      <c r="I787" s="17">
        <f>IF('Components Yr 1'!I787=0,0,'Components Yr 1'!I787)</f>
        <v>0</v>
      </c>
      <c r="J787" s="17">
        <f>IF('Components Yr 1'!J787=0,0,'Components Yr 1'!J787)</f>
        <v>0</v>
      </c>
      <c r="K787" s="12"/>
      <c r="L787" s="12"/>
      <c r="M787" s="12"/>
      <c r="N787" s="12"/>
      <c r="O787" s="17">
        <f>IF('Components Yr 1'!O787=0,0,'Components Yr 1'!O787)</f>
        <v>0</v>
      </c>
      <c r="P787" s="12"/>
      <c r="Q787" s="17"/>
      <c r="R787" s="18">
        <f>IF(SUMPRODUCT((E787:Q787)*1)=0,0,E787*INDEX(Hours!M:M,MATCH(C787,Hours!$A:$A,0))+F787*INDEX(Hours!B:B,MATCH(C787,Hours!$A:$A,0))+G787*INDEX(Hours!C:C,MATCH(C787,Hours!$A:$A,0))+H787*INDEX(Hours!D:D,MATCH(C787,Hours!$A:$A,0))+I787*INDEX(Hours!E:E,MATCH(C787,Hours!$A:$A,0))+J787*INDEX(Hours!F:F,MATCH(C787,Hours!$A:$A,0))+O787*INDEX(Hours!K:K,MATCH(C787,Hours!$A:$A,0)))</f>
        <v>0</v>
      </c>
      <c r="S787" s="19">
        <f t="shared" si="25"/>
        <v>0</v>
      </c>
    </row>
    <row r="788" spans="1:19" x14ac:dyDescent="0.25">
      <c r="A788" s="15" t="str">
        <f>'Bldgs &amp; Rooms'!$A$23</f>
        <v>Main Bldg.</v>
      </c>
      <c r="B788" s="15">
        <f>'Bldgs &amp; Rooms'!$B$23</f>
        <v>0</v>
      </c>
      <c r="C788" s="14" t="str">
        <f>Hours!$A$11</f>
        <v xml:space="preserve">  MCC: Combination Motor Starters</v>
      </c>
      <c r="D788" s="15">
        <f t="shared" si="24"/>
        <v>0</v>
      </c>
      <c r="E788" s="16">
        <f>IF('Components Yr 1'!E788=0,0,'Components Yr 1'!E788)</f>
        <v>0</v>
      </c>
      <c r="F788" s="17">
        <f>IF('Components Yr 1'!F788=0,0,'Components Yr 1'!F788)</f>
        <v>0</v>
      </c>
      <c r="G788" s="17">
        <f>IF('Components Yr 1'!G788=0,0,'Components Yr 1'!G788)</f>
        <v>0</v>
      </c>
      <c r="H788" s="17">
        <f>IF('Components Yr 1'!H788=0,0,'Components Yr 1'!H788)</f>
        <v>0</v>
      </c>
      <c r="I788" s="17">
        <f>IF('Components Yr 1'!I788=0,0,'Components Yr 1'!I788)</f>
        <v>0</v>
      </c>
      <c r="J788" s="17">
        <f>IF('Components Yr 1'!J788=0,0,'Components Yr 1'!J788)</f>
        <v>0</v>
      </c>
      <c r="K788" s="17">
        <f>IF('Components Yr 1'!K788=0,0,'Components Yr 1'!K788)</f>
        <v>0</v>
      </c>
      <c r="L788" s="12"/>
      <c r="M788" s="12"/>
      <c r="N788" s="12"/>
      <c r="O788" s="17">
        <f>IF('Components Yr 1'!O788=0,0,'Components Yr 1'!O788)</f>
        <v>0</v>
      </c>
      <c r="P788" s="12"/>
      <c r="Q788" s="17"/>
      <c r="R788" s="18">
        <f>IF(SUMPRODUCT((E788:Q788)*1)=0,0,E788*INDEX(Hours!M:M,MATCH(C788,Hours!$A:$A,0))+F788*INDEX(Hours!B:B,MATCH(C788,Hours!$A:$A,0))+G788*INDEX(Hours!C:C,MATCH(C788,Hours!$A:$A,0))+H788*INDEX(Hours!D:D,MATCH(C788,Hours!$A:$A,0))+I788*INDEX(Hours!E:E,MATCH(C788,Hours!$A:$A,0))+J788*INDEX(Hours!F:F,MATCH(C788,Hours!$A:$A,0))+K788*INDEX(Hours!G:G,MATCH(C788,Hours!$A:$A,0))+O788*INDEX(Hours!K:K,MATCH(C788,Hours!$A:$A,0)))</f>
        <v>0</v>
      </c>
      <c r="S788" s="19">
        <f t="shared" si="25"/>
        <v>0</v>
      </c>
    </row>
    <row r="789" spans="1:19" x14ac:dyDescent="0.25">
      <c r="A789" s="15" t="str">
        <f>'Bldgs &amp; Rooms'!$A$23</f>
        <v>Main Bldg.</v>
      </c>
      <c r="B789" s="15">
        <f>'Bldgs &amp; Rooms'!$B$23</f>
        <v>0</v>
      </c>
      <c r="C789" s="14" t="str">
        <f>Hours!$A$12</f>
        <v xml:space="preserve">  MCC: Molded Case Breaker</v>
      </c>
      <c r="D789" s="15">
        <f t="shared" si="24"/>
        <v>0</v>
      </c>
      <c r="E789" s="16">
        <f>IF('Components Yr 1'!E789=0,0,'Components Yr 1'!E789)</f>
        <v>0</v>
      </c>
      <c r="F789" s="17">
        <f>IF('Components Yr 1'!F789=0,0,'Components Yr 1'!F789)</f>
        <v>0</v>
      </c>
      <c r="G789" s="17">
        <f>IF('Components Yr 1'!G789=0,0,'Components Yr 1'!G789)</f>
        <v>0</v>
      </c>
      <c r="H789" s="17">
        <f>IF('Components Yr 1'!H789=0,0,'Components Yr 1'!H789)</f>
        <v>0</v>
      </c>
      <c r="I789" s="17">
        <f>IF('Components Yr 1'!I789=0,0,'Components Yr 1'!I789)</f>
        <v>0</v>
      </c>
      <c r="J789" s="17">
        <f>IF('Components Yr 1'!J789=0,0,'Components Yr 1'!J789)</f>
        <v>0</v>
      </c>
      <c r="K789" s="17">
        <f>IF('Components Yr 1'!K789=0,0,'Components Yr 1'!K789)</f>
        <v>0</v>
      </c>
      <c r="L789" s="12"/>
      <c r="M789" s="12"/>
      <c r="N789" s="12"/>
      <c r="O789" s="12"/>
      <c r="P789" s="12"/>
      <c r="Q789" s="17"/>
      <c r="R789" s="18">
        <f>IF(SUMPRODUCT((E789:Q789)*1)=0,0,E789*INDEX(Hours!M:M,MATCH(C789,Hours!$A:$A,0))+F789*INDEX(Hours!B:B,MATCH(C789,Hours!$A:$A,0))+G789*INDEX(Hours!C:C,MATCH(C789,Hours!$A:$A,0))+H789*INDEX(Hours!D:D,MATCH(C789,Hours!$A:$A,0))+I789*INDEX(Hours!E:E,MATCH(C789,Hours!$A:$A,0))+J789*INDEX(Hours!F:F,MATCH(C789,Hours!$A:$A,0))+K789*INDEX(Hours!G:G,MATCH(C789,Hours!$A:$A,0)))</f>
        <v>0</v>
      </c>
      <c r="S789" s="19">
        <f t="shared" si="25"/>
        <v>0</v>
      </c>
    </row>
    <row r="790" spans="1:19" x14ac:dyDescent="0.25">
      <c r="A790" s="15" t="str">
        <f>'Bldgs &amp; Rooms'!$A$23</f>
        <v>Main Bldg.</v>
      </c>
      <c r="B790" s="15">
        <f>'Bldgs &amp; Rooms'!$B$23</f>
        <v>0</v>
      </c>
      <c r="C790" s="14" t="str">
        <f>Hours!$A$13</f>
        <v xml:space="preserve">  MCC: Individual Disconnect Switch</v>
      </c>
      <c r="D790" s="15">
        <f t="shared" si="24"/>
        <v>0</v>
      </c>
      <c r="E790" s="16">
        <f>IF('Components Yr 1'!E790=0,0,'Components Yr 1'!E790)</f>
        <v>0</v>
      </c>
      <c r="F790" s="17">
        <f>IF('Components Yr 1'!F790=0,0,'Components Yr 1'!F790)</f>
        <v>0</v>
      </c>
      <c r="G790" s="17">
        <f>IF('Components Yr 1'!G790=0,0,'Components Yr 1'!G790)</f>
        <v>0</v>
      </c>
      <c r="H790" s="17">
        <f>IF('Components Yr 1'!H790=0,0,'Components Yr 1'!H790)</f>
        <v>0</v>
      </c>
      <c r="I790" s="17">
        <f>IF('Components Yr 1'!I790=0,0,'Components Yr 1'!I790)</f>
        <v>0</v>
      </c>
      <c r="J790" s="17">
        <f>IF('Components Yr 1'!J790=0,0,'Components Yr 1'!J790)</f>
        <v>0</v>
      </c>
      <c r="K790" s="12"/>
      <c r="L790" s="12"/>
      <c r="M790" s="12"/>
      <c r="N790" s="12"/>
      <c r="O790" s="12"/>
      <c r="P790" s="12"/>
      <c r="Q790" s="17"/>
      <c r="R790" s="18">
        <f>IF(SUMPRODUCT((E790:Q790)*1)=0,0,E790*INDEX(Hours!M:M,MATCH(C790,Hours!$A:$A,0))+F790*INDEX(Hours!B:B,MATCH(C790,Hours!$A:$A,0))+G790*INDEX(Hours!C:C,MATCH(C790,Hours!$A:$A,0))+H790*INDEX(Hours!D:D,MATCH(C790,Hours!$A:$A,0))+I790*INDEX(Hours!E:E,MATCH(C790,Hours!$A:$A,0))+J790*INDEX(Hours!F:F,MATCH(C790,Hours!$A:$A,0)))</f>
        <v>0</v>
      </c>
      <c r="S790" s="19">
        <f t="shared" si="25"/>
        <v>0</v>
      </c>
    </row>
    <row r="791" spans="1:19" x14ac:dyDescent="0.25">
      <c r="A791" s="15" t="str">
        <f>'Bldgs &amp; Rooms'!$A$23</f>
        <v>Main Bldg.</v>
      </c>
      <c r="B791" s="15">
        <f>'Bldgs &amp; Rooms'!$B$23</f>
        <v>0</v>
      </c>
      <c r="C791" s="14" t="str">
        <f>Hours!$A$14</f>
        <v>Motor Control Panel (MCP)</v>
      </c>
      <c r="D791" s="15">
        <f t="shared" si="24"/>
        <v>0</v>
      </c>
      <c r="E791" s="16">
        <f>IF('Components Yr 1'!E791=0,0,'Components Yr 1'!E791)</f>
        <v>0</v>
      </c>
      <c r="F791" s="17">
        <f>IF('Components Yr 1'!F791=0,0,'Components Yr 1'!F791)</f>
        <v>0</v>
      </c>
      <c r="G791" s="17">
        <f>IF('Components Yr 1'!G791=0,0,'Components Yr 1'!G791)</f>
        <v>0</v>
      </c>
      <c r="H791" s="17">
        <f>IF('Components Yr 1'!H791=0,0,'Components Yr 1'!H791)</f>
        <v>0</v>
      </c>
      <c r="I791" s="17">
        <f>IF('Components Yr 1'!I791=0,0,'Components Yr 1'!I791)</f>
        <v>0</v>
      </c>
      <c r="J791" s="17">
        <f>IF('Components Yr 1'!J791=0,0,'Components Yr 1'!J791)</f>
        <v>0</v>
      </c>
      <c r="K791" s="12"/>
      <c r="L791" s="12"/>
      <c r="M791" s="12"/>
      <c r="N791" s="12"/>
      <c r="O791" s="17">
        <f>IF('Components Yr 1'!O791=0,0,'Components Yr 1'!O791)</f>
        <v>0</v>
      </c>
      <c r="P791" s="12"/>
      <c r="Q791" s="17"/>
      <c r="R791" s="18">
        <f>IF(SUMPRODUCT((E791:Q791)*1)=0,0,E791*INDEX(Hours!M:M,MATCH(C791,Hours!$A:$A,0))+F791*INDEX(Hours!B:B,MATCH(C791,Hours!$A:$A,0))+G791*INDEX(Hours!C:C,MATCH(C791,Hours!$A:$A,0))+H791*INDEX(Hours!D:D,MATCH(C791,Hours!$A:$A,0))+I791*INDEX(Hours!E:E,MATCH(C791,Hours!$A:$A,0))+J791*INDEX(Hours!F:F,MATCH(C791,Hours!$A:$A,0))+O791*INDEX(Hours!K:K,MATCH(C791,Hours!$A:$A,0)))</f>
        <v>0</v>
      </c>
      <c r="S791" s="19">
        <f t="shared" si="25"/>
        <v>0</v>
      </c>
    </row>
    <row r="792" spans="1:19" x14ac:dyDescent="0.25">
      <c r="A792" s="15" t="str">
        <f>'Bldgs &amp; Rooms'!$A$23</f>
        <v>Main Bldg.</v>
      </c>
      <c r="B792" s="15">
        <f>'Bldgs &amp; Rooms'!$B$23</f>
        <v>0</v>
      </c>
      <c r="C792" s="14" t="str">
        <f>Hours!$A$15</f>
        <v>VFD Motor Control Panel (VFD-MCP)</v>
      </c>
      <c r="D792" s="15">
        <f t="shared" si="24"/>
        <v>0</v>
      </c>
      <c r="E792" s="16">
        <f>IF('Components Yr 1'!E792=0,0,'Components Yr 1'!E792)</f>
        <v>0</v>
      </c>
      <c r="F792" s="17">
        <f>IF('Components Yr 1'!F792=0,0,'Components Yr 1'!F792)</f>
        <v>0</v>
      </c>
      <c r="G792" s="17">
        <f>IF('Components Yr 1'!G792=0,0,'Components Yr 1'!G792)</f>
        <v>0</v>
      </c>
      <c r="H792" s="17">
        <f>IF('Components Yr 1'!H792=0,0,'Components Yr 1'!H792)</f>
        <v>0</v>
      </c>
      <c r="I792" s="17">
        <f>IF('Components Yr 1'!I792=0,0,'Components Yr 1'!I792)</f>
        <v>0</v>
      </c>
      <c r="J792" s="17">
        <f>IF('Components Yr 1'!J792=0,0,'Components Yr 1'!J792)</f>
        <v>0</v>
      </c>
      <c r="K792" s="12"/>
      <c r="L792" s="12"/>
      <c r="M792" s="12"/>
      <c r="N792" s="12"/>
      <c r="O792" s="17">
        <f>IF('Components Yr 1'!O792=0,0,'Components Yr 1'!O792)</f>
        <v>0</v>
      </c>
      <c r="P792" s="12"/>
      <c r="Q792" s="17"/>
      <c r="R792" s="18">
        <f>IF(SUMPRODUCT((E792:Q792)*1)=0,0,E792*INDEX(Hours!M:M,MATCH(C792,Hours!$A:$A,0))+F792*INDEX(Hours!B:B,MATCH(C792,Hours!$A:$A,0))+G792*INDEX(Hours!C:C,MATCH(C792,Hours!$A:$A,0))+H792*INDEX(Hours!D:D,MATCH(C792,Hours!$A:$A,0))+I792*INDEX(Hours!E:E,MATCH(C792,Hours!$A:$A,0))+J792*INDEX(Hours!F:F,MATCH(C792,Hours!$A:$A,0))+O792*INDEX(Hours!K:K,MATCH(C792,Hours!$A:$A,0)))</f>
        <v>0</v>
      </c>
      <c r="S792" s="19">
        <f t="shared" si="25"/>
        <v>0</v>
      </c>
    </row>
    <row r="793" spans="1:19" x14ac:dyDescent="0.25">
      <c r="A793" s="15" t="str">
        <f>'Bldgs &amp; Rooms'!$A$23</f>
        <v>Main Bldg.</v>
      </c>
      <c r="B793" s="15">
        <f>'Bldgs &amp; Rooms'!$B$23</f>
        <v>0</v>
      </c>
      <c r="C793" s="14" t="str">
        <f>Hours!$A$16</f>
        <v>Individual Disconnect Switch &gt; 100A</v>
      </c>
      <c r="D793" s="15">
        <f t="shared" si="24"/>
        <v>0</v>
      </c>
      <c r="E793" s="16">
        <f>IF('Components Yr 1'!E793=0,0,'Components Yr 1'!E793)</f>
        <v>0</v>
      </c>
      <c r="F793" s="17">
        <f>IF('Components Yr 1'!F793=0,0,'Components Yr 1'!F793)</f>
        <v>0</v>
      </c>
      <c r="G793" s="17">
        <f>IF('Components Yr 1'!G793=0,0,'Components Yr 1'!G793)</f>
        <v>0</v>
      </c>
      <c r="H793" s="17">
        <f>IF('Components Yr 1'!H793=0,0,'Components Yr 1'!H793)</f>
        <v>0</v>
      </c>
      <c r="I793" s="17">
        <f>IF('Components Yr 1'!I793=0,0,'Components Yr 1'!I793)</f>
        <v>0</v>
      </c>
      <c r="J793" s="17">
        <f>IF('Components Yr 1'!J793=0,0,'Components Yr 1'!J793)</f>
        <v>0</v>
      </c>
      <c r="K793" s="17">
        <f>IF('Components Yr 1'!K793=0,0,'Components Yr 1'!K793)</f>
        <v>0</v>
      </c>
      <c r="L793" s="12"/>
      <c r="M793" s="12"/>
      <c r="N793" s="12"/>
      <c r="O793" s="12"/>
      <c r="P793" s="12"/>
      <c r="Q793" s="17"/>
      <c r="R793" s="18">
        <f>IF(SUMPRODUCT((E793:Q793)*1)=0,0,E793*INDEX(Hours!M:M,MATCH(C793,Hours!$A:$A,0))+F793*INDEX(Hours!B:B,MATCH(C793,Hours!$A:$A,0))+G793*INDEX(Hours!C:C,MATCH(C793,Hours!$A:$A,0))+H793*INDEX(Hours!D:D,MATCH(C793,Hours!$A:$A,0))+I793*INDEX(Hours!E:E,MATCH(C793,Hours!$A:$A,0))+J793*INDEX(Hours!F:F,MATCH(C793,Hours!$A:$A,0))+K793*INDEX(Hours!G:G,MATCH(C793,Hours!$A:$A,0)))</f>
        <v>0</v>
      </c>
      <c r="S793" s="19">
        <f t="shared" si="25"/>
        <v>0</v>
      </c>
    </row>
    <row r="794" spans="1:19" x14ac:dyDescent="0.25">
      <c r="A794" s="15" t="str">
        <f>'Bldgs &amp; Rooms'!$A$23</f>
        <v>Main Bldg.</v>
      </c>
      <c r="B794" s="15">
        <f>'Bldgs &amp; Rooms'!$B$23</f>
        <v>0</v>
      </c>
      <c r="C794" s="14" t="str">
        <f>Hours!$A$17</f>
        <v>Individual Molded Case Breaker &gt; 100A</v>
      </c>
      <c r="D794" s="15">
        <f t="shared" si="24"/>
        <v>0</v>
      </c>
      <c r="E794" s="16">
        <f>IF('Components Yr 1'!E794=0,0,'Components Yr 1'!E794)</f>
        <v>0</v>
      </c>
      <c r="F794" s="17">
        <f>IF('Components Yr 1'!F794=0,0,'Components Yr 1'!F794)</f>
        <v>0</v>
      </c>
      <c r="G794" s="17">
        <f>IF('Components Yr 1'!G794=0,0,'Components Yr 1'!G794)</f>
        <v>0</v>
      </c>
      <c r="H794" s="17">
        <f>IF('Components Yr 1'!H794=0,0,'Components Yr 1'!H794)</f>
        <v>0</v>
      </c>
      <c r="I794" s="17">
        <f>IF('Components Yr 1'!I794=0,0,'Components Yr 1'!I794)</f>
        <v>0</v>
      </c>
      <c r="J794" s="17">
        <f>IF('Components Yr 1'!J794=0,0,'Components Yr 1'!J794)</f>
        <v>0</v>
      </c>
      <c r="K794" s="17">
        <f>IF('Components Yr 1'!K794=0,0,'Components Yr 1'!K794)</f>
        <v>0</v>
      </c>
      <c r="L794" s="12"/>
      <c r="M794" s="12"/>
      <c r="N794" s="12"/>
      <c r="O794" s="12"/>
      <c r="P794" s="12"/>
      <c r="Q794" s="17"/>
      <c r="R794" s="18">
        <f>IF(SUMPRODUCT((E794:Q794)*1)=0,0,E794*INDEX(Hours!M:M,MATCH(C794,Hours!$A:$A,0))+F794*INDEX(Hours!B:B,MATCH(C794,Hours!$A:$A,0))+G794*INDEX(Hours!C:C,MATCH(C794,Hours!$A:$A,0))+H794*INDEX(Hours!D:D,MATCH(C794,Hours!$A:$A,0))+I794*INDEX(Hours!E:E,MATCH(C794,Hours!$A:$A,0))+J794*INDEX(Hours!F:F,MATCH(C794,Hours!$A:$A,0))+K794*INDEX(Hours!G:G,MATCH(C794,Hours!$A:$A,0)))</f>
        <v>0</v>
      </c>
      <c r="S794" s="19">
        <f t="shared" si="25"/>
        <v>0</v>
      </c>
    </row>
    <row r="795" spans="1:19" x14ac:dyDescent="0.25">
      <c r="A795" s="15" t="str">
        <f>'Bldgs &amp; Rooms'!$A$23</f>
        <v>Main Bldg.</v>
      </c>
      <c r="B795" s="15">
        <f>'Bldgs &amp; Rooms'!$B$23</f>
        <v>0</v>
      </c>
      <c r="C795" s="14" t="str">
        <f>Hours!$A$18</f>
        <v>Individual Combination Motor Starter &gt; 100A</v>
      </c>
      <c r="D795" s="15">
        <f t="shared" si="24"/>
        <v>0</v>
      </c>
      <c r="E795" s="16">
        <f>IF('Components Yr 1'!E795=0,0,'Components Yr 1'!E795)</f>
        <v>0</v>
      </c>
      <c r="F795" s="17">
        <f>IF('Components Yr 1'!F795=0,0,'Components Yr 1'!F795)</f>
        <v>0</v>
      </c>
      <c r="G795" s="17">
        <f>IF('Components Yr 1'!G795=0,0,'Components Yr 1'!G795)</f>
        <v>0</v>
      </c>
      <c r="H795" s="17">
        <f>IF('Components Yr 1'!H795=0,0,'Components Yr 1'!H795)</f>
        <v>0</v>
      </c>
      <c r="I795" s="17">
        <f>IF('Components Yr 1'!I795=0,0,'Components Yr 1'!I795)</f>
        <v>0</v>
      </c>
      <c r="J795" s="17">
        <f>IF('Components Yr 1'!J795=0,0,'Components Yr 1'!J795)</f>
        <v>0</v>
      </c>
      <c r="K795" s="17">
        <f>IF('Components Yr 1'!K795=0,0,'Components Yr 1'!K795)</f>
        <v>0</v>
      </c>
      <c r="L795" s="12"/>
      <c r="M795" s="12"/>
      <c r="N795" s="12"/>
      <c r="O795" s="12"/>
      <c r="P795" s="12"/>
      <c r="Q795" s="17"/>
      <c r="R795" s="18">
        <f>IF(SUMPRODUCT((E795:Q795)*1)=0,0,E795*INDEX(Hours!M:M,MATCH(C795,Hours!$A:$A,0))+F795*INDEX(Hours!B:B,MATCH(C795,Hours!$A:$A,0))+G795*INDEX(Hours!C:C,MATCH(C795,Hours!$A:$A,0))+H795*INDEX(Hours!D:D,MATCH(C795,Hours!$A:$A,0))+I795*INDEX(Hours!E:E,MATCH(C795,Hours!$A:$A,0))+J795*INDEX(Hours!F:F,MATCH(C795,Hours!$A:$A,0))+K795*INDEX(Hours!G:G,MATCH(C795,Hours!$A:$A,0)))</f>
        <v>0</v>
      </c>
      <c r="S795" s="19">
        <f t="shared" si="25"/>
        <v>0</v>
      </c>
    </row>
    <row r="796" spans="1:19" x14ac:dyDescent="0.25">
      <c r="A796" s="15" t="str">
        <f>'Bldgs &amp; Rooms'!$A$23</f>
        <v>Main Bldg.</v>
      </c>
      <c r="B796" s="15">
        <f>'Bldgs &amp; Rooms'!$B$23</f>
        <v>0</v>
      </c>
      <c r="C796" s="14" t="str">
        <f>Hours!$A$19</f>
        <v>Oil Filled Transformer - 5kV-15kV Primary - Any Size (Pad Mounted)</v>
      </c>
      <c r="D796" s="15">
        <f t="shared" si="24"/>
        <v>0</v>
      </c>
      <c r="E796" s="16">
        <f>IF('Components Yr 1'!E796=0,0,'Components Yr 1'!E796)</f>
        <v>0</v>
      </c>
      <c r="F796" s="17">
        <f>IF('Components Yr 1'!F796=0,0,'Components Yr 1'!F796)</f>
        <v>0</v>
      </c>
      <c r="G796" s="17">
        <f>IF('Components Yr 1'!G796=0,0,'Components Yr 1'!G796)</f>
        <v>0</v>
      </c>
      <c r="H796" s="17">
        <f>IF('Components Yr 1'!H796=0,0,'Components Yr 1'!H796)</f>
        <v>0</v>
      </c>
      <c r="I796" s="17">
        <f>IF('Components Yr 1'!I796=0,0,'Components Yr 1'!I796)</f>
        <v>0</v>
      </c>
      <c r="J796" s="17">
        <f>IF('Components Yr 1'!J796=0,0,'Components Yr 1'!J796)</f>
        <v>0</v>
      </c>
      <c r="K796" s="12"/>
      <c r="L796" s="12"/>
      <c r="M796" s="17">
        <f>IF('Components Yr 1'!M796=0,0,'Components Yr 1'!M796)</f>
        <v>0</v>
      </c>
      <c r="N796" s="17">
        <f>IF('Components Yr 1'!N796=0,0,'Components Yr 1'!N796)</f>
        <v>0</v>
      </c>
      <c r="O796" s="12"/>
      <c r="P796" s="17">
        <f>IF('Components Yr 1'!P796=0,0,'Components Yr 1'!P796)</f>
        <v>0</v>
      </c>
      <c r="Q796" s="17"/>
      <c r="R796" s="18">
        <f>IF(SUMPRODUCT((E796:Q796)*1)=0,0,E796*INDEX(Hours!M:M,MATCH(C796,Hours!$A:$A,0))+F796*INDEX(Hours!B:B,MATCH(C796,Hours!$A:$A,0))+G796*INDEX(Hours!C:C,MATCH(C796,Hours!$A:$A,0))+H796*INDEX(Hours!D:D,MATCH(C796,Hours!$A:$A,0))+I796*INDEX(Hours!E:E,MATCH(C796,Hours!$A:$A,0))+J796*INDEX(Hours!F:F,MATCH(C796,Hours!$A:$A,0))+M796*INDEX(Hours!I:I,MATCH(C796,Hours!$A:$A,0))+N796*INDEX(Hours!J:J,MATCH(C796,Hours!$A:$A,0))+P796*INDEX(Hours!L:L,MATCH(C796,Hours!$A:$A,0)))</f>
        <v>0</v>
      </c>
      <c r="S796" s="19">
        <f t="shared" si="25"/>
        <v>0</v>
      </c>
    </row>
    <row r="797" spans="1:19" x14ac:dyDescent="0.25">
      <c r="A797" s="15" t="str">
        <f>'Bldgs &amp; Rooms'!$A$23</f>
        <v>Main Bldg.</v>
      </c>
      <c r="B797" s="15">
        <f>'Bldgs &amp; Rooms'!$B$23</f>
        <v>0</v>
      </c>
      <c r="C797" s="14" t="str">
        <f>Hours!$A$20</f>
        <v>Oil Filled Transformer - &gt; 15kV Primary (Substation Class)</v>
      </c>
      <c r="D797" s="15">
        <f t="shared" si="24"/>
        <v>0</v>
      </c>
      <c r="E797" s="16">
        <f>IF('Components Yr 1'!E797=0,0,'Components Yr 1'!E797)</f>
        <v>0</v>
      </c>
      <c r="F797" s="17">
        <f>IF('Components Yr 1'!F797=0,0,'Components Yr 1'!F797)</f>
        <v>0</v>
      </c>
      <c r="G797" s="17">
        <f>IF('Components Yr 1'!G797=0,0,'Components Yr 1'!G797)</f>
        <v>0</v>
      </c>
      <c r="H797" s="17">
        <f>IF('Components Yr 1'!H797=0,0,'Components Yr 1'!H797)</f>
        <v>0</v>
      </c>
      <c r="I797" s="17">
        <f>IF('Components Yr 1'!I797=0,0,'Components Yr 1'!I797)</f>
        <v>0</v>
      </c>
      <c r="J797" s="17">
        <f>IF('Components Yr 1'!J797=0,0,'Components Yr 1'!J797)</f>
        <v>0</v>
      </c>
      <c r="K797" s="12"/>
      <c r="L797" s="12"/>
      <c r="M797" s="17">
        <f>IF('Components Yr 1'!M797=0,0,'Components Yr 1'!M797)</f>
        <v>0</v>
      </c>
      <c r="N797" s="17">
        <f>IF('Components Yr 1'!N797=0,0,'Components Yr 1'!N797)</f>
        <v>0</v>
      </c>
      <c r="O797" s="12"/>
      <c r="P797" s="17">
        <f>IF('Components Yr 1'!P797=0,0,'Components Yr 1'!P797)</f>
        <v>0</v>
      </c>
      <c r="Q797" s="17"/>
      <c r="R797" s="18">
        <f>IF(SUMPRODUCT((E797:Q797)*1)=0,0,E797*INDEX(Hours!M:M,MATCH(C797,Hours!$A:$A,0))+F797*INDEX(Hours!B:B,MATCH(C797,Hours!$A:$A,0))+G797*INDEX(Hours!C:C,MATCH(C797,Hours!$A:$A,0))+H797*INDEX(Hours!D:D,MATCH(C797,Hours!$A:$A,0))+I797*INDEX(Hours!E:E,MATCH(C797,Hours!$A:$A,0))+J797*INDEX(Hours!F:F,MATCH(C797,Hours!$A:$A,0))+M797*INDEX(Hours!I:I,MATCH(C797,Hours!$A:$A,0))+N797*INDEX(Hours!J:J,MATCH(C797,Hours!$A:$A,0))+P797*INDEX(Hours!L:L,MATCH(C797,Hours!$A:$A,0)))</f>
        <v>0</v>
      </c>
      <c r="S797" s="19">
        <f t="shared" si="25"/>
        <v>0</v>
      </c>
    </row>
    <row r="798" spans="1:19" x14ac:dyDescent="0.25">
      <c r="A798" s="15" t="str">
        <f>'Bldgs &amp; Rooms'!$A$23</f>
        <v>Main Bldg.</v>
      </c>
      <c r="B798" s="15">
        <f>'Bldgs &amp; Rooms'!$B$23</f>
        <v>0</v>
      </c>
      <c r="C798" s="14" t="str">
        <f>Hours!$A$21</f>
        <v>Dry Type Transformer - &lt; 480V Primary - Any Size kVA</v>
      </c>
      <c r="D798" s="15">
        <f t="shared" si="24"/>
        <v>0</v>
      </c>
      <c r="E798" s="16">
        <f>IF('Components Yr 1'!E798=0,0,'Components Yr 1'!E798)</f>
        <v>0</v>
      </c>
      <c r="F798" s="17">
        <f>IF('Components Yr 1'!F798=0,0,'Components Yr 1'!F798)</f>
        <v>0</v>
      </c>
      <c r="G798" s="17">
        <f>IF('Components Yr 1'!G798=0,0,'Components Yr 1'!G798)</f>
        <v>0</v>
      </c>
      <c r="H798" s="17">
        <f>IF('Components Yr 1'!H798=0,0,'Components Yr 1'!H798)</f>
        <v>0</v>
      </c>
      <c r="I798" s="17">
        <f>IF('Components Yr 1'!I798=0,0,'Components Yr 1'!I798)</f>
        <v>0</v>
      </c>
      <c r="J798" s="17">
        <f>IF('Components Yr 1'!J798=0,0,'Components Yr 1'!J798)</f>
        <v>0</v>
      </c>
      <c r="K798" s="12"/>
      <c r="L798" s="12"/>
      <c r="M798" s="17">
        <f>IF('Components Yr 1'!M798=0,0,'Components Yr 1'!M798)</f>
        <v>0</v>
      </c>
      <c r="N798" s="17">
        <f>IF('Components Yr 1'!N798=0,0,'Components Yr 1'!N798)</f>
        <v>0</v>
      </c>
      <c r="O798" s="12"/>
      <c r="P798" s="12"/>
      <c r="Q798" s="17"/>
      <c r="R798" s="18">
        <f>IF(SUMPRODUCT((E798:Q798)*1)=0,0,E798*INDEX(Hours!M:M,MATCH(C798,Hours!$A:$A,0))+F798*INDEX(Hours!B:B,MATCH(C798,Hours!$A:$A,0))+G798*INDEX(Hours!C:C,MATCH(C798,Hours!$A:$A,0))+H798*INDEX(Hours!D:D,MATCH(C798,Hours!$A:$A,0))+I798*INDEX(Hours!E:E,MATCH(C798,Hours!$A:$A,0))+J798*INDEX(Hours!F:F,MATCH(C798,Hours!$A:$A,0))+M798*INDEX(Hours!I:I,MATCH(C798,Hours!$A:$A,0))+N798*INDEX(Hours!J:J,MATCH(C798,Hours!$A:$A,0)))</f>
        <v>0</v>
      </c>
      <c r="S798" s="19">
        <f t="shared" si="25"/>
        <v>0</v>
      </c>
    </row>
    <row r="799" spans="1:19" x14ac:dyDescent="0.25">
      <c r="A799" s="15" t="str">
        <f>'Bldgs &amp; Rooms'!$A$23</f>
        <v>Main Bldg.</v>
      </c>
      <c r="B799" s="15">
        <f>'Bldgs &amp; Rooms'!$B$23</f>
        <v>0</v>
      </c>
      <c r="C799" s="14" t="str">
        <f>Hours!$A$22</f>
        <v>Power Factor Correction Capacitors</v>
      </c>
      <c r="D799" s="15">
        <f t="shared" si="24"/>
        <v>0</v>
      </c>
      <c r="E799" s="16">
        <f>IF('Components Yr 1'!E799=0,0,'Components Yr 1'!E799)</f>
        <v>0</v>
      </c>
      <c r="F799" s="17">
        <f>IF('Components Yr 1'!F799=0,0,'Components Yr 1'!F799)</f>
        <v>0</v>
      </c>
      <c r="G799" s="17">
        <f>IF('Components Yr 1'!G799=0,0,'Components Yr 1'!G799)</f>
        <v>0</v>
      </c>
      <c r="H799" s="17">
        <f>IF('Components Yr 1'!H799=0,0,'Components Yr 1'!H799)</f>
        <v>0</v>
      </c>
      <c r="I799" s="17">
        <f>IF('Components Yr 1'!I799=0,0,'Components Yr 1'!I799)</f>
        <v>0</v>
      </c>
      <c r="J799" s="17">
        <f>IF('Components Yr 1'!J799=0,0,'Components Yr 1'!J799)</f>
        <v>0</v>
      </c>
      <c r="K799" s="12"/>
      <c r="L799" s="12"/>
      <c r="M799" s="12"/>
      <c r="N799" s="12"/>
      <c r="O799" s="12"/>
      <c r="P799" s="12"/>
      <c r="Q799" s="17"/>
      <c r="R799" s="18">
        <f>IF(SUMPRODUCT((E799:Q799)*1)=0,0,E799*INDEX(Hours!M:M,MATCH(C799,Hours!$A:$A,0))+F799*INDEX(Hours!B:B,MATCH(C799,Hours!$A:$A,0))+G799*INDEX(Hours!C:C,MATCH(C799,Hours!$A:$A,0))+H799*INDEX(Hours!D:D,MATCH(C799,Hours!$A:$A,0))+I799*INDEX(Hours!E:E,MATCH(C799,Hours!$A:$A,0))+J799*INDEX(Hours!F:F,MATCH(C799,Hours!$A:$A,0)))</f>
        <v>0</v>
      </c>
      <c r="S799" s="19">
        <f t="shared" si="25"/>
        <v>0</v>
      </c>
    </row>
    <row r="800" spans="1:19" x14ac:dyDescent="0.25">
      <c r="A800" s="15" t="str">
        <f>'Bldgs &amp; Rooms'!$A$23</f>
        <v>Main Bldg.</v>
      </c>
      <c r="B800" s="15">
        <f>'Bldgs &amp; Rooms'!$B$23</f>
        <v>0</v>
      </c>
      <c r="C800" s="14" t="str">
        <f>Hours!$A$23</f>
        <v>Lighting Contactor &gt; 100A</v>
      </c>
      <c r="D800" s="15">
        <f t="shared" si="24"/>
        <v>0</v>
      </c>
      <c r="E800" s="16">
        <f>IF('Components Yr 1'!E800=0,0,'Components Yr 1'!E800)</f>
        <v>0</v>
      </c>
      <c r="F800" s="17">
        <f>IF('Components Yr 1'!F800=0,0,'Components Yr 1'!F800)</f>
        <v>0</v>
      </c>
      <c r="G800" s="17">
        <f>IF('Components Yr 1'!G800=0,0,'Components Yr 1'!G800)</f>
        <v>0</v>
      </c>
      <c r="H800" s="17">
        <f>IF('Components Yr 1'!H800=0,0,'Components Yr 1'!H800)</f>
        <v>0</v>
      </c>
      <c r="I800" s="17">
        <f>IF('Components Yr 1'!I800=0,0,'Components Yr 1'!I800)</f>
        <v>0</v>
      </c>
      <c r="J800" s="17">
        <f>IF('Components Yr 1'!J800=0,0,'Components Yr 1'!J800)</f>
        <v>0</v>
      </c>
      <c r="K800" s="12"/>
      <c r="L800" s="12"/>
      <c r="M800" s="12"/>
      <c r="N800" s="12"/>
      <c r="O800" s="12"/>
      <c r="P800" s="12"/>
      <c r="Q800" s="17"/>
      <c r="R800" s="18">
        <f>IF(SUMPRODUCT((E800:Q800)*1)=0,0,E800*INDEX(Hours!M:M,MATCH(C800,Hours!$A:$A,0))+F800*INDEX(Hours!B:B,MATCH(C800,Hours!$A:$A,0))+G800*INDEX(Hours!C:C,MATCH(C800,Hours!$A:$A,0))+H800*INDEX(Hours!D:D,MATCH(C800,Hours!$A:$A,0))+I800*INDEX(Hours!E:E,MATCH(C800,Hours!$A:$A,0))+J800*INDEX(Hours!F:F,MATCH(C800,Hours!$A:$A,0)))</f>
        <v>0</v>
      </c>
      <c r="S800" s="19">
        <f t="shared" si="25"/>
        <v>0</v>
      </c>
    </row>
    <row r="801" spans="1:19" x14ac:dyDescent="0.25">
      <c r="A801" s="15" t="str">
        <f>'Bldgs &amp; Rooms'!$A$23</f>
        <v>Main Bldg.</v>
      </c>
      <c r="B801" s="15">
        <f>'Bldgs &amp; Rooms'!$B$23</f>
        <v>0</v>
      </c>
      <c r="C801" s="14" t="str">
        <f>Hours!$A$24</f>
        <v>Power Distribution Unit (PDU)</v>
      </c>
      <c r="D801" s="15">
        <f t="shared" si="24"/>
        <v>0</v>
      </c>
      <c r="E801" s="16">
        <f>IF('Components Yr 1'!E801=0,0,'Components Yr 1'!E801)</f>
        <v>0</v>
      </c>
      <c r="F801" s="17">
        <f>IF('Components Yr 1'!F801=0,0,'Components Yr 1'!F801)</f>
        <v>0</v>
      </c>
      <c r="G801" s="17">
        <f>IF('Components Yr 1'!G801=0,0,'Components Yr 1'!G801)</f>
        <v>0</v>
      </c>
      <c r="H801" s="17">
        <f>IF('Components Yr 1'!H801=0,0,'Components Yr 1'!H801)</f>
        <v>0</v>
      </c>
      <c r="I801" s="17">
        <f>IF('Components Yr 1'!I801=0,0,'Components Yr 1'!I801)</f>
        <v>0</v>
      </c>
      <c r="J801" s="17">
        <f>IF('Components Yr 1'!J801=0,0,'Components Yr 1'!J801)</f>
        <v>0</v>
      </c>
      <c r="K801" s="12"/>
      <c r="L801" s="12"/>
      <c r="M801" s="12"/>
      <c r="N801" s="12"/>
      <c r="O801" s="12"/>
      <c r="P801" s="12"/>
      <c r="Q801" s="17"/>
      <c r="R801" s="18">
        <f>IF(SUMPRODUCT((E801:Q801)*1)=0,0,E801*INDEX(Hours!M:M,MATCH(C801,Hours!$A:$A,0))+F801*INDEX(Hours!B:B,MATCH(C801,Hours!$A:$A,0))+G801*INDEX(Hours!C:C,MATCH(C801,Hours!$A:$A,0))+H801*INDEX(Hours!D:D,MATCH(C801,Hours!$A:$A,0))+I801*INDEX(Hours!E:E,MATCH(C801,Hours!$A:$A,0))+J801*INDEX(Hours!F:F,MATCH(C801,Hours!$A:$A,0)))</f>
        <v>0</v>
      </c>
      <c r="S801" s="19">
        <f t="shared" si="25"/>
        <v>0</v>
      </c>
    </row>
    <row r="802" spans="1:19" x14ac:dyDescent="0.25">
      <c r="A802" s="15" t="str">
        <f>'Bldgs &amp; Rooms'!$A$23</f>
        <v>Main Bldg.</v>
      </c>
      <c r="B802" s="15">
        <f>'Bldgs &amp; Rooms'!$B$23</f>
        <v>0</v>
      </c>
      <c r="C802" s="14" t="str">
        <f>Hours!$A$25</f>
        <v>Wire Trough, Gutter, or Large Junction Boxes</v>
      </c>
      <c r="D802" s="15">
        <f t="shared" si="24"/>
        <v>0</v>
      </c>
      <c r="E802" s="16">
        <f>IF('Components Yr 1'!E802=0,0,'Components Yr 1'!E802)</f>
        <v>0</v>
      </c>
      <c r="F802" s="17">
        <f>IF('Components Yr 1'!F802=0,0,'Components Yr 1'!F802)</f>
        <v>0</v>
      </c>
      <c r="G802" s="17">
        <f>IF('Components Yr 1'!G802=0,0,'Components Yr 1'!G802)</f>
        <v>0</v>
      </c>
      <c r="H802" s="17">
        <f>IF('Components Yr 1'!H802=0,0,'Components Yr 1'!H802)</f>
        <v>0</v>
      </c>
      <c r="I802" s="17">
        <f>IF('Components Yr 1'!I802=0,0,'Components Yr 1'!I802)</f>
        <v>0</v>
      </c>
      <c r="J802" s="17">
        <f>IF('Components Yr 1'!J802=0,0,'Components Yr 1'!J802)</f>
        <v>0</v>
      </c>
      <c r="K802" s="12"/>
      <c r="L802" s="12"/>
      <c r="M802" s="12"/>
      <c r="N802" s="12"/>
      <c r="O802" s="12"/>
      <c r="P802" s="12"/>
      <c r="Q802" s="17"/>
      <c r="R802" s="18">
        <f>IF(SUMPRODUCT((E802:Q802)*1)=0,0,E802*INDEX(Hours!M:M,MATCH(C802,Hours!$A:$A,0))+F802*INDEX(Hours!B:B,MATCH(C802,Hours!$A:$A,0))+G802*INDEX(Hours!C:C,MATCH(C802,Hours!$A:$A,0))+H802*INDEX(Hours!D:D,MATCH(C802,Hours!$A:$A,0))+I802*INDEX(Hours!E:E,MATCH(C802,Hours!$A:$A,0))+J802*INDEX(Hours!F:F,MATCH(C802,Hours!$A:$A,0)))</f>
        <v>0</v>
      </c>
      <c r="S802" s="19">
        <f t="shared" si="25"/>
        <v>0</v>
      </c>
    </row>
    <row r="803" spans="1:19" x14ac:dyDescent="0.25">
      <c r="A803" s="15" t="str">
        <f>'Bldgs &amp; Rooms'!$A$23</f>
        <v>Main Bldg.</v>
      </c>
      <c r="B803" s="15">
        <f>'Bldgs &amp; Rooms'!$B$23</f>
        <v>0</v>
      </c>
      <c r="C803" s="14" t="str">
        <f>Hours!$A$26</f>
        <v>Bus Duct - Vertical or Horizontal (Per 10' section)</v>
      </c>
      <c r="D803" s="15">
        <f t="shared" si="24"/>
        <v>0</v>
      </c>
      <c r="E803" s="16">
        <f>IF('Components Yr 1'!E803=0,0,'Components Yr 1'!E803)</f>
        <v>0</v>
      </c>
      <c r="F803" s="17">
        <f>IF('Components Yr 1'!F803=0,0,'Components Yr 1'!F803)</f>
        <v>0</v>
      </c>
      <c r="G803" s="17">
        <f>IF('Components Yr 1'!G803=0,0,'Components Yr 1'!G803)</f>
        <v>0</v>
      </c>
      <c r="H803" s="17">
        <f>IF('Components Yr 1'!H803=0,0,'Components Yr 1'!H803)</f>
        <v>0</v>
      </c>
      <c r="I803" s="17">
        <f>IF('Components Yr 1'!I803=0,0,'Components Yr 1'!I803)</f>
        <v>0</v>
      </c>
      <c r="J803" s="17">
        <f>IF('Components Yr 1'!J803=0,0,'Components Yr 1'!J803)</f>
        <v>0</v>
      </c>
      <c r="K803" s="12"/>
      <c r="L803" s="12"/>
      <c r="M803" s="12"/>
      <c r="N803" s="12"/>
      <c r="O803" s="12"/>
      <c r="P803" s="12"/>
      <c r="Q803" s="17"/>
      <c r="R803" s="18">
        <f>IF(SUMPRODUCT((E803:Q803)*1)=0,0,E803*INDEX(Hours!M:M,MATCH(C803,Hours!$A:$A,0))+F803*INDEX(Hours!B:B,MATCH(C803,Hours!$A:$A,0))+G803*INDEX(Hours!C:C,MATCH(C803,Hours!$A:$A,0))+H803*INDEX(Hours!D:D,MATCH(C803,Hours!$A:$A,0))+I803*INDEX(Hours!E:E,MATCH(C803,Hours!$A:$A,0))+J803*INDEX(Hours!F:F,MATCH(C803,Hours!$A:$A,0)))</f>
        <v>0</v>
      </c>
      <c r="S803" s="19">
        <f t="shared" si="25"/>
        <v>0</v>
      </c>
    </row>
    <row r="804" spans="1:19" x14ac:dyDescent="0.25">
      <c r="A804" s="15" t="str">
        <f>'Bldgs &amp; Rooms'!$A$23</f>
        <v>Main Bldg.</v>
      </c>
      <c r="B804" s="15">
        <f>'Bldgs &amp; Rooms'!$B$23</f>
        <v>0</v>
      </c>
      <c r="C804" s="14" t="str">
        <f>Hours!$A$27</f>
        <v>Automatic Transfer Switch (ATS) &gt; 100A</v>
      </c>
      <c r="D804" s="15">
        <f t="shared" si="24"/>
        <v>0</v>
      </c>
      <c r="E804" s="16">
        <f>IF('Components Yr 1'!E804=0,0,'Components Yr 1'!E804)</f>
        <v>0</v>
      </c>
      <c r="F804" s="17">
        <f>IF('Components Yr 1'!F804=0,0,'Components Yr 1'!F804)</f>
        <v>0</v>
      </c>
      <c r="G804" s="17">
        <f>IF('Components Yr 1'!G804=0,0,'Components Yr 1'!G804)</f>
        <v>0</v>
      </c>
      <c r="H804" s="17">
        <f>IF('Components Yr 1'!H804=0,0,'Components Yr 1'!H804)</f>
        <v>0</v>
      </c>
      <c r="I804" s="17">
        <f>IF('Components Yr 1'!I804=0,0,'Components Yr 1'!I804)</f>
        <v>0</v>
      </c>
      <c r="J804" s="17">
        <f>IF('Components Yr 1'!J804=0,0,'Components Yr 1'!J804)</f>
        <v>0</v>
      </c>
      <c r="K804" s="12"/>
      <c r="L804" s="12"/>
      <c r="M804" s="12"/>
      <c r="N804" s="12"/>
      <c r="O804" s="12"/>
      <c r="P804" s="12"/>
      <c r="Q804" s="17"/>
      <c r="R804" s="18">
        <f>IF(SUMPRODUCT((E804:Q804)*1)=0,0,E804*INDEX(Hours!M:M,MATCH(C804,Hours!$A:$A,0))+F804*INDEX(Hours!B:B,MATCH(C804,Hours!$A:$A,0))+G804*INDEX(Hours!C:C,MATCH(C804,Hours!$A:$A,0))+H804*INDEX(Hours!D:D,MATCH(C804,Hours!$A:$A,0))+I804*INDEX(Hours!E:E,MATCH(C804,Hours!$A:$A,0))+J804*INDEX(Hours!F:F,MATCH(C804,Hours!$A:$A,0)))</f>
        <v>0</v>
      </c>
      <c r="S804" s="19">
        <f t="shared" si="25"/>
        <v>0</v>
      </c>
    </row>
    <row r="805" spans="1:19" x14ac:dyDescent="0.25">
      <c r="A805" s="15" t="str">
        <f>'Bldgs &amp; Rooms'!$A$23</f>
        <v>Main Bldg.</v>
      </c>
      <c r="B805" s="15">
        <f>'Bldgs &amp; Rooms'!$B$23</f>
        <v>0</v>
      </c>
      <c r="C805" s="14" t="str">
        <f>Hours!$A$28</f>
        <v>Manual Transfer Switch (MTS) &gt; 100A</v>
      </c>
      <c r="D805" s="15">
        <f t="shared" si="24"/>
        <v>0</v>
      </c>
      <c r="E805" s="16">
        <f>IF('Components Yr 1'!E805=0,0,'Components Yr 1'!E805)</f>
        <v>0</v>
      </c>
      <c r="F805" s="17">
        <f>IF('Components Yr 1'!F805=0,0,'Components Yr 1'!F805)</f>
        <v>0</v>
      </c>
      <c r="G805" s="17">
        <f>IF('Components Yr 1'!G805=0,0,'Components Yr 1'!G805)</f>
        <v>0</v>
      </c>
      <c r="H805" s="17">
        <f>IF('Components Yr 1'!H805=0,0,'Components Yr 1'!H805)</f>
        <v>0</v>
      </c>
      <c r="I805" s="17">
        <f>IF('Components Yr 1'!I805=0,0,'Components Yr 1'!I805)</f>
        <v>0</v>
      </c>
      <c r="J805" s="17">
        <f>IF('Components Yr 1'!J805=0,0,'Components Yr 1'!J805)</f>
        <v>0</v>
      </c>
      <c r="K805" s="12"/>
      <c r="L805" s="12"/>
      <c r="M805" s="12"/>
      <c r="N805" s="12"/>
      <c r="O805" s="12"/>
      <c r="P805" s="12"/>
      <c r="Q805" s="17"/>
      <c r="R805" s="18">
        <f>IF(SUMPRODUCT((E805:Q805)*1)=0,0,E805*INDEX(Hours!M:M,MATCH(C805,Hours!$A:$A,0))+F805*INDEX(Hours!B:B,MATCH(C805,Hours!$A:$A,0))+G805*INDEX(Hours!C:C,MATCH(C805,Hours!$A:$A,0))+H805*INDEX(Hours!D:D,MATCH(C805,Hours!$A:$A,0))+I805*INDEX(Hours!E:E,MATCH(C805,Hours!$A:$A,0))+J805*INDEX(Hours!F:F,MATCH(C805,Hours!$A:$A,0)))</f>
        <v>0</v>
      </c>
      <c r="S805" s="19">
        <f t="shared" si="25"/>
        <v>0</v>
      </c>
    </row>
    <row r="806" spans="1:19" x14ac:dyDescent="0.25">
      <c r="A806" s="15" t="str">
        <f>'Bldgs &amp; Rooms'!$A$23</f>
        <v>Main Bldg.</v>
      </c>
      <c r="B806" s="15">
        <f>'Bldgs &amp; Rooms'!$B$23</f>
        <v>0</v>
      </c>
      <c r="C806" s="14" t="str">
        <f>Hours!$A$29</f>
        <v>Variable Frequency Drives (VFD) &lt; 50 HP</v>
      </c>
      <c r="D806" s="15">
        <f t="shared" si="24"/>
        <v>0</v>
      </c>
      <c r="E806" s="16">
        <f>IF('Components Yr 1'!E806=0,0,'Components Yr 1'!E806)</f>
        <v>0</v>
      </c>
      <c r="F806" s="17">
        <f>IF('Components Yr 1'!F806=0,0,'Components Yr 1'!F806)</f>
        <v>0</v>
      </c>
      <c r="G806" s="17">
        <f>IF('Components Yr 1'!G806=0,0,'Components Yr 1'!G806)</f>
        <v>0</v>
      </c>
      <c r="H806" s="17">
        <f>IF('Components Yr 1'!H806=0,0,'Components Yr 1'!H806)</f>
        <v>0</v>
      </c>
      <c r="I806" s="17">
        <f>IF('Components Yr 1'!I806=0,0,'Components Yr 1'!I806)</f>
        <v>0</v>
      </c>
      <c r="J806" s="17">
        <f>IF('Components Yr 1'!J806=0,0,'Components Yr 1'!J806)</f>
        <v>0</v>
      </c>
      <c r="K806" s="12"/>
      <c r="L806" s="12"/>
      <c r="M806" s="12"/>
      <c r="N806" s="12"/>
      <c r="O806" s="12"/>
      <c r="P806" s="12"/>
      <c r="Q806" s="17"/>
      <c r="R806" s="18">
        <f>IF(SUMPRODUCT((E806:Q806)*1)=0,0,E806*INDEX(Hours!M:M,MATCH(C806,Hours!$A:$A,0))+F806*INDEX(Hours!B:B,MATCH(C806,Hours!$A:$A,0))+G806*INDEX(Hours!C:C,MATCH(C806,Hours!$A:$A,0))+H806*INDEX(Hours!D:D,MATCH(C806,Hours!$A:$A,0))+I806*INDEX(Hours!E:E,MATCH(C806,Hours!$A:$A,0))+J806*INDEX(Hours!F:F,MATCH(C806,Hours!$A:$A,0)))</f>
        <v>0</v>
      </c>
      <c r="S806" s="19">
        <f t="shared" si="25"/>
        <v>0</v>
      </c>
    </row>
    <row r="807" spans="1:19" x14ac:dyDescent="0.25">
      <c r="A807" s="15" t="str">
        <f>'Bldgs &amp; Rooms'!$A$23</f>
        <v>Main Bldg.</v>
      </c>
      <c r="B807" s="15">
        <f>'Bldgs &amp; Rooms'!$B$23</f>
        <v>0</v>
      </c>
      <c r="C807" s="14" t="str">
        <f>Hours!$A$30</f>
        <v>Variable Frequency Drives (VFD) 51-200 HP</v>
      </c>
      <c r="D807" s="15">
        <f t="shared" si="24"/>
        <v>0</v>
      </c>
      <c r="E807" s="16">
        <f>IF('Components Yr 1'!E807=0,0,'Components Yr 1'!E807)</f>
        <v>0</v>
      </c>
      <c r="F807" s="17">
        <f>IF('Components Yr 1'!F807=0,0,'Components Yr 1'!F807)</f>
        <v>0</v>
      </c>
      <c r="G807" s="17">
        <f>IF('Components Yr 1'!G807=0,0,'Components Yr 1'!G807)</f>
        <v>0</v>
      </c>
      <c r="H807" s="17">
        <f>IF('Components Yr 1'!H807=0,0,'Components Yr 1'!H807)</f>
        <v>0</v>
      </c>
      <c r="I807" s="17">
        <f>IF('Components Yr 1'!I807=0,0,'Components Yr 1'!I807)</f>
        <v>0</v>
      </c>
      <c r="J807" s="17">
        <f>IF('Components Yr 1'!J807=0,0,'Components Yr 1'!J807)</f>
        <v>0</v>
      </c>
      <c r="K807" s="12"/>
      <c r="L807" s="12"/>
      <c r="M807" s="12"/>
      <c r="N807" s="12"/>
      <c r="O807" s="12"/>
      <c r="P807" s="12"/>
      <c r="Q807" s="17"/>
      <c r="R807" s="18">
        <f>IF(SUMPRODUCT((E807:Q807)*1)=0,0,E807*INDEX(Hours!M:M,MATCH(C807,Hours!$A:$A,0))+F807*INDEX(Hours!B:B,MATCH(C807,Hours!$A:$A,0))+G807*INDEX(Hours!C:C,MATCH(C807,Hours!$A:$A,0))+H807*INDEX(Hours!D:D,MATCH(C807,Hours!$A:$A,0))+I807*INDEX(Hours!E:E,MATCH(C807,Hours!$A:$A,0))+J807*INDEX(Hours!F:F,MATCH(C807,Hours!$A:$A,0)))</f>
        <v>0</v>
      </c>
      <c r="S807" s="19">
        <f t="shared" si="25"/>
        <v>0</v>
      </c>
    </row>
    <row r="808" spans="1:19" x14ac:dyDescent="0.25">
      <c r="A808" s="15" t="str">
        <f>'Bldgs &amp; Rooms'!$A$23</f>
        <v>Main Bldg.</v>
      </c>
      <c r="B808" s="15">
        <f>'Bldgs &amp; Rooms'!$B$23</f>
        <v>0</v>
      </c>
      <c r="C808" s="14" t="str">
        <f>Hours!$A$31</f>
        <v>Motors &lt; 50 HP</v>
      </c>
      <c r="D808" s="15">
        <f t="shared" si="24"/>
        <v>0</v>
      </c>
      <c r="E808" s="16">
        <f>IF('Components Yr 1'!E808=0,0,'Components Yr 1'!E808)</f>
        <v>0</v>
      </c>
      <c r="F808" s="17">
        <f>IF('Components Yr 1'!F808=0,0,'Components Yr 1'!F808)</f>
        <v>0</v>
      </c>
      <c r="G808" s="17">
        <f>IF('Components Yr 1'!G808=0,0,'Components Yr 1'!G808)</f>
        <v>0</v>
      </c>
      <c r="H808" s="17">
        <f>IF('Components Yr 1'!H808=0,0,'Components Yr 1'!H808)</f>
        <v>0</v>
      </c>
      <c r="I808" s="17">
        <f>IF('Components Yr 1'!I808=0,0,'Components Yr 1'!I808)</f>
        <v>0</v>
      </c>
      <c r="J808" s="17">
        <f>IF('Components Yr 1'!J808=0,0,'Components Yr 1'!J808)</f>
        <v>0</v>
      </c>
      <c r="K808" s="12"/>
      <c r="L808" s="12"/>
      <c r="M808" s="12"/>
      <c r="N808" s="12"/>
      <c r="O808" s="12"/>
      <c r="P808" s="12"/>
      <c r="Q808" s="17"/>
      <c r="R808" s="18">
        <f>IF(SUMPRODUCT((E808:Q808)*1)=0,0,E808*INDEX(Hours!M:M,MATCH(C808,Hours!$A:$A,0))+F808*INDEX(Hours!B:B,MATCH(C808,Hours!$A:$A,0))+G808*INDEX(Hours!C:C,MATCH(C808,Hours!$A:$A,0))+H808*INDEX(Hours!D:D,MATCH(C808,Hours!$A:$A,0))+I808*INDEX(Hours!E:E,MATCH(C808,Hours!$A:$A,0))+J808*INDEX(Hours!F:F,MATCH(C808,Hours!$A:$A,0)))</f>
        <v>0</v>
      </c>
      <c r="S808" s="19">
        <f t="shared" si="25"/>
        <v>0</v>
      </c>
    </row>
    <row r="809" spans="1:19" x14ac:dyDescent="0.25">
      <c r="A809" s="15" t="str">
        <f>'Bldgs &amp; Rooms'!$A$23</f>
        <v>Main Bldg.</v>
      </c>
      <c r="B809" s="15">
        <f>'Bldgs &amp; Rooms'!$B$23</f>
        <v>0</v>
      </c>
      <c r="C809" s="14" t="str">
        <f>Hours!$A$32</f>
        <v>Motors 51-200 HP</v>
      </c>
      <c r="D809" s="15">
        <f t="shared" si="24"/>
        <v>0</v>
      </c>
      <c r="E809" s="16">
        <f>IF('Components Yr 1'!E809=0,0,'Components Yr 1'!E809)</f>
        <v>0</v>
      </c>
      <c r="F809" s="17">
        <f>IF('Components Yr 1'!F809=0,0,'Components Yr 1'!F809)</f>
        <v>0</v>
      </c>
      <c r="G809" s="17">
        <f>IF('Components Yr 1'!G809=0,0,'Components Yr 1'!G809)</f>
        <v>0</v>
      </c>
      <c r="H809" s="17">
        <f>IF('Components Yr 1'!H809=0,0,'Components Yr 1'!H809)</f>
        <v>0</v>
      </c>
      <c r="I809" s="17">
        <f>IF('Components Yr 1'!I809=0,0,'Components Yr 1'!I809)</f>
        <v>0</v>
      </c>
      <c r="J809" s="17">
        <f>IF('Components Yr 1'!J809=0,0,'Components Yr 1'!J809)</f>
        <v>0</v>
      </c>
      <c r="K809" s="12"/>
      <c r="L809" s="12"/>
      <c r="M809" s="12"/>
      <c r="N809" s="12"/>
      <c r="O809" s="12"/>
      <c r="P809" s="12"/>
      <c r="Q809" s="17"/>
      <c r="R809" s="18">
        <f>IF(SUMPRODUCT((E809:Q809)*1)=0,0,E809*INDEX(Hours!M:M,MATCH(C809,Hours!$A:$A,0))+F809*INDEX(Hours!B:B,MATCH(C809,Hours!$A:$A,0))+G809*INDEX(Hours!C:C,MATCH(C809,Hours!$A:$A,0))+H809*INDEX(Hours!D:D,MATCH(C809,Hours!$A:$A,0))+I809*INDEX(Hours!E:E,MATCH(C809,Hours!$A:$A,0))+J809*INDEX(Hours!F:F,MATCH(C809,Hours!$A:$A,0)))</f>
        <v>0</v>
      </c>
      <c r="S809" s="19">
        <f t="shared" si="25"/>
        <v>0</v>
      </c>
    </row>
    <row r="810" spans="1:19" x14ac:dyDescent="0.25">
      <c r="A810" s="15" t="str">
        <f>'Bldgs &amp; Rooms'!$A$23</f>
        <v>Main Bldg.</v>
      </c>
      <c r="B810" s="15">
        <f>'Bldgs &amp; Rooms'!$B$23</f>
        <v>0</v>
      </c>
      <c r="C810" s="14" t="str">
        <f>Hours!$A$33</f>
        <v>Motors 201-500 HP</v>
      </c>
      <c r="D810" s="15">
        <f t="shared" si="24"/>
        <v>0</v>
      </c>
      <c r="E810" s="16">
        <f>IF('Components Yr 1'!E810=0,0,'Components Yr 1'!E810)</f>
        <v>0</v>
      </c>
      <c r="F810" s="17">
        <f>IF('Components Yr 1'!F810=0,0,'Components Yr 1'!F810)</f>
        <v>0</v>
      </c>
      <c r="G810" s="17">
        <f>IF('Components Yr 1'!G810=0,0,'Components Yr 1'!G810)</f>
        <v>0</v>
      </c>
      <c r="H810" s="17">
        <f>IF('Components Yr 1'!H810=0,0,'Components Yr 1'!H810)</f>
        <v>0</v>
      </c>
      <c r="I810" s="17">
        <f>IF('Components Yr 1'!I810=0,0,'Components Yr 1'!I810)</f>
        <v>0</v>
      </c>
      <c r="J810" s="17">
        <f>IF('Components Yr 1'!J810=0,0,'Components Yr 1'!J810)</f>
        <v>0</v>
      </c>
      <c r="K810" s="12"/>
      <c r="L810" s="12"/>
      <c r="M810" s="12"/>
      <c r="N810" s="12"/>
      <c r="O810" s="12"/>
      <c r="P810" s="12"/>
      <c r="Q810" s="17"/>
      <c r="R810" s="18">
        <f>IF(SUMPRODUCT((E810:Q810)*1)=0,0,E810*INDEX(Hours!M:M,MATCH(C810,Hours!$A:$A,0))+F810*INDEX(Hours!B:B,MATCH(C810,Hours!$A:$A,0))+G810*INDEX(Hours!C:C,MATCH(C810,Hours!$A:$A,0))+H810*INDEX(Hours!D:D,MATCH(C810,Hours!$A:$A,0))+I810*INDEX(Hours!E:E,MATCH(C810,Hours!$A:$A,0))+J810*INDEX(Hours!F:F,MATCH(C810,Hours!$A:$A,0)))</f>
        <v>0</v>
      </c>
      <c r="S810" s="19">
        <f t="shared" si="25"/>
        <v>0</v>
      </c>
    </row>
    <row r="811" spans="1:19" x14ac:dyDescent="0.25">
      <c r="A811" s="15" t="str">
        <f>'Bldgs &amp; Rooms'!$A$23</f>
        <v>Main Bldg.</v>
      </c>
      <c r="B811" s="15">
        <f>'Bldgs &amp; Rooms'!$B$23</f>
        <v>0</v>
      </c>
      <c r="C811" s="14" t="str">
        <f>Hours!$A$34</f>
        <v>Compressed Air Equipment</v>
      </c>
      <c r="D811" s="15">
        <f t="shared" si="24"/>
        <v>0</v>
      </c>
      <c r="E811" s="16">
        <f>IF('Components Yr 1'!E811=0,0,'Components Yr 1'!E811)</f>
        <v>0</v>
      </c>
      <c r="F811" s="17">
        <f>IF('Components Yr 1'!F811=0,0,'Components Yr 1'!F811)</f>
        <v>0</v>
      </c>
      <c r="G811" s="17">
        <f>IF('Components Yr 1'!G811=0,0,'Components Yr 1'!G811)</f>
        <v>0</v>
      </c>
      <c r="H811" s="17">
        <f>IF('Components Yr 1'!H811=0,0,'Components Yr 1'!H811)</f>
        <v>0</v>
      </c>
      <c r="I811" s="17">
        <f>IF('Components Yr 1'!I811=0,0,'Components Yr 1'!I811)</f>
        <v>0</v>
      </c>
      <c r="J811" s="17">
        <f>IF('Components Yr 1'!J811=0,0,'Components Yr 1'!J811)</f>
        <v>0</v>
      </c>
      <c r="K811" s="12"/>
      <c r="L811" s="12"/>
      <c r="M811" s="12"/>
      <c r="N811" s="12"/>
      <c r="O811" s="12"/>
      <c r="P811" s="12"/>
      <c r="Q811" s="17"/>
      <c r="R811" s="18">
        <f>IF(SUMPRODUCT((E811:Q811)*1)=0,0,E811*INDEX(Hours!M:M,MATCH(C811,Hours!$A:$A,0))+F811*INDEX(Hours!B:B,MATCH(C811,Hours!$A:$A,0))+G811*INDEX(Hours!C:C,MATCH(C811,Hours!$A:$A,0))+H811*INDEX(Hours!D:D,MATCH(C811,Hours!$A:$A,0))+I811*INDEX(Hours!E:E,MATCH(C811,Hours!$A:$A,0))+J811*INDEX(Hours!F:F,MATCH(C811,Hours!$A:$A,0)))</f>
        <v>0</v>
      </c>
      <c r="S811" s="19">
        <f t="shared" si="25"/>
        <v>0</v>
      </c>
    </row>
    <row r="812" spans="1:19" x14ac:dyDescent="0.25">
      <c r="A812" s="15" t="str">
        <f>'Bldgs &amp; Rooms'!$A$23</f>
        <v>Main Bldg.</v>
      </c>
      <c r="B812" s="15">
        <f>'Bldgs &amp; Rooms'!$B$23</f>
        <v>0</v>
      </c>
      <c r="C812" s="14" t="str">
        <f>Hours!$A$35</f>
        <v>HVAC Equipment (Large)</v>
      </c>
      <c r="D812" s="15">
        <f t="shared" si="24"/>
        <v>0</v>
      </c>
      <c r="E812" s="16">
        <f>IF('Components Yr 1'!E812=0,0,'Components Yr 1'!E812)</f>
        <v>0</v>
      </c>
      <c r="F812" s="17">
        <f>IF('Components Yr 1'!F812=0,0,'Components Yr 1'!F812)</f>
        <v>0</v>
      </c>
      <c r="G812" s="17">
        <f>IF('Components Yr 1'!G812=0,0,'Components Yr 1'!G812)</f>
        <v>0</v>
      </c>
      <c r="H812" s="17">
        <f>IF('Components Yr 1'!H812=0,0,'Components Yr 1'!H812)</f>
        <v>0</v>
      </c>
      <c r="I812" s="17">
        <f>IF('Components Yr 1'!I812=0,0,'Components Yr 1'!I812)</f>
        <v>0</v>
      </c>
      <c r="J812" s="17">
        <f>IF('Components Yr 1'!J812=0,0,'Components Yr 1'!J812)</f>
        <v>0</v>
      </c>
      <c r="K812" s="12"/>
      <c r="L812" s="12"/>
      <c r="M812" s="12"/>
      <c r="N812" s="12"/>
      <c r="O812" s="12"/>
      <c r="P812" s="12"/>
      <c r="Q812" s="17"/>
      <c r="R812" s="18">
        <f>IF(SUMPRODUCT((E812:Q812)*1)=0,0,E812*INDEX(Hours!M:M,MATCH(C812,Hours!$A:$A,0))+F812*INDEX(Hours!B:B,MATCH(C812,Hours!$A:$A,0))+G812*INDEX(Hours!C:C,MATCH(C812,Hours!$A:$A,0))+H812*INDEX(Hours!D:D,MATCH(C812,Hours!$A:$A,0))+I812*INDEX(Hours!E:E,MATCH(C812,Hours!$A:$A,0))+J812*INDEX(Hours!F:F,MATCH(C812,Hours!$A:$A,0)))</f>
        <v>0</v>
      </c>
      <c r="S812" s="19">
        <f t="shared" si="25"/>
        <v>0</v>
      </c>
    </row>
    <row r="813" spans="1:19" x14ac:dyDescent="0.25">
      <c r="A813" s="15" t="str">
        <f>'Bldgs &amp; Rooms'!$A$23</f>
        <v>Main Bldg.</v>
      </c>
      <c r="B813" s="15">
        <f>'Bldgs &amp; Rooms'!$B$23</f>
        <v>0</v>
      </c>
      <c r="C813" s="14" t="str">
        <f>Hours!$A$36</f>
        <v>HVAC Equipment (Small)</v>
      </c>
      <c r="D813" s="15">
        <f t="shared" si="24"/>
        <v>0</v>
      </c>
      <c r="E813" s="16">
        <f>IF('Components Yr 1'!E813=0,0,'Components Yr 1'!E813)</f>
        <v>0</v>
      </c>
      <c r="F813" s="17">
        <f>IF('Components Yr 1'!F813=0,0,'Components Yr 1'!F813)</f>
        <v>0</v>
      </c>
      <c r="G813" s="17">
        <f>IF('Components Yr 1'!G813=0,0,'Components Yr 1'!G813)</f>
        <v>0</v>
      </c>
      <c r="H813" s="17">
        <f>IF('Components Yr 1'!H813=0,0,'Components Yr 1'!H813)</f>
        <v>0</v>
      </c>
      <c r="I813" s="17">
        <f>IF('Components Yr 1'!I813=0,0,'Components Yr 1'!I813)</f>
        <v>0</v>
      </c>
      <c r="J813" s="17">
        <f>IF('Components Yr 1'!J813=0,0,'Components Yr 1'!J813)</f>
        <v>0</v>
      </c>
      <c r="K813" s="12"/>
      <c r="L813" s="12"/>
      <c r="M813" s="12"/>
      <c r="N813" s="12"/>
      <c r="O813" s="12"/>
      <c r="P813" s="12"/>
      <c r="Q813" s="17"/>
      <c r="R813" s="18">
        <f>IF(SUMPRODUCT((E813:Q813)*1)=0,0,E813*INDEX(Hours!M:M,MATCH(C813,Hours!$A:$A,0))+F813*INDEX(Hours!B:B,MATCH(C813,Hours!$A:$A,0))+G813*INDEX(Hours!C:C,MATCH(C813,Hours!$A:$A,0))+H813*INDEX(Hours!D:D,MATCH(C813,Hours!$A:$A,0))+I813*INDEX(Hours!E:E,MATCH(C813,Hours!$A:$A,0))+J813*INDEX(Hours!F:F,MATCH(C813,Hours!$A:$A,0)))</f>
        <v>0</v>
      </c>
      <c r="S813" s="19">
        <f t="shared" si="25"/>
        <v>0</v>
      </c>
    </row>
    <row r="814" spans="1:19" x14ac:dyDescent="0.25">
      <c r="A814" s="15" t="str">
        <f>'Bldgs &amp; Rooms'!$A$23</f>
        <v>Main Bldg.</v>
      </c>
      <c r="B814" s="15">
        <f>'Bldgs &amp; Rooms'!$B$23</f>
        <v>0</v>
      </c>
      <c r="C814" s="14" t="str">
        <f>Hours!$A$37</f>
        <v>Uninterruptible Power Supply (UPS) &lt; 50kVA</v>
      </c>
      <c r="D814" s="15">
        <f t="shared" si="24"/>
        <v>0</v>
      </c>
      <c r="E814" s="16">
        <f>IF('Components Yr 1'!E814=0,0,'Components Yr 1'!E814)</f>
        <v>0</v>
      </c>
      <c r="F814" s="17">
        <f>IF('Components Yr 1'!F814=0,0,'Components Yr 1'!F814)</f>
        <v>0</v>
      </c>
      <c r="G814" s="17">
        <f>IF('Components Yr 1'!G814=0,0,'Components Yr 1'!G814)</f>
        <v>0</v>
      </c>
      <c r="H814" s="17">
        <f>IF('Components Yr 1'!H814=0,0,'Components Yr 1'!H814)</f>
        <v>0</v>
      </c>
      <c r="I814" s="17">
        <f>IF('Components Yr 1'!I814=0,0,'Components Yr 1'!I814)</f>
        <v>0</v>
      </c>
      <c r="J814" s="17">
        <f>IF('Components Yr 1'!J814=0,0,'Components Yr 1'!J814)</f>
        <v>0</v>
      </c>
      <c r="K814" s="12"/>
      <c r="L814" s="12"/>
      <c r="M814" s="12"/>
      <c r="N814" s="12"/>
      <c r="O814" s="12"/>
      <c r="P814" s="12"/>
      <c r="Q814" s="17"/>
      <c r="R814" s="18">
        <f>IF(SUMPRODUCT((E814:Q814)*1)=0,0,E814*INDEX(Hours!M:M,MATCH(C814,Hours!$A:$A,0))+F814*INDEX(Hours!B:B,MATCH(C814,Hours!$A:$A,0))+G814*INDEX(Hours!C:C,MATCH(C814,Hours!$A:$A,0))+H814*INDEX(Hours!D:D,MATCH(C814,Hours!$A:$A,0))+I814*INDEX(Hours!E:E,MATCH(C814,Hours!$A:$A,0))+J814*INDEX(Hours!F:F,MATCH(C814,Hours!$A:$A,0)))</f>
        <v>0</v>
      </c>
      <c r="S814" s="19">
        <f t="shared" si="25"/>
        <v>0</v>
      </c>
    </row>
    <row r="815" spans="1:19" x14ac:dyDescent="0.25">
      <c r="A815" s="15" t="str">
        <f>'Bldgs &amp; Rooms'!$A$23</f>
        <v>Main Bldg.</v>
      </c>
      <c r="B815" s="15">
        <f>'Bldgs &amp; Rooms'!$B$23</f>
        <v>0</v>
      </c>
      <c r="C815" s="14" t="str">
        <f>Hours!$A$38</f>
        <v>Uninterruptible Power Supply (UPS) &gt; 50kVA</v>
      </c>
      <c r="D815" s="15">
        <f t="shared" si="24"/>
        <v>0</v>
      </c>
      <c r="E815" s="16">
        <f>IF('Components Yr 1'!E815=0,0,'Components Yr 1'!E815)</f>
        <v>0</v>
      </c>
      <c r="F815" s="17">
        <f>IF('Components Yr 1'!F815=0,0,'Components Yr 1'!F815)</f>
        <v>0</v>
      </c>
      <c r="G815" s="17">
        <f>IF('Components Yr 1'!G815=0,0,'Components Yr 1'!G815)</f>
        <v>0</v>
      </c>
      <c r="H815" s="17">
        <f>IF('Components Yr 1'!H815=0,0,'Components Yr 1'!H815)</f>
        <v>0</v>
      </c>
      <c r="I815" s="17">
        <f>IF('Components Yr 1'!I815=0,0,'Components Yr 1'!I815)</f>
        <v>0</v>
      </c>
      <c r="J815" s="17">
        <f>IF('Components Yr 1'!J815=0,0,'Components Yr 1'!J815)</f>
        <v>0</v>
      </c>
      <c r="K815" s="12"/>
      <c r="L815" s="12"/>
      <c r="M815" s="12"/>
      <c r="N815" s="12"/>
      <c r="O815" s="12"/>
      <c r="P815" s="12"/>
      <c r="Q815" s="17"/>
      <c r="R815" s="18">
        <f>IF(SUMPRODUCT((E815:Q815)*1)=0,0,E815*INDEX(Hours!M:M,MATCH(C815,Hours!$A:$A,0))+F815*INDEX(Hours!B:B,MATCH(C815,Hours!$A:$A,0))+G815*INDEX(Hours!C:C,MATCH(C815,Hours!$A:$A,0))+H815*INDEX(Hours!D:D,MATCH(C815,Hours!$A:$A,0))+I815*INDEX(Hours!E:E,MATCH(C815,Hours!$A:$A,0))+J815*INDEX(Hours!F:F,MATCH(C815,Hours!$A:$A,0)))</f>
        <v>0</v>
      </c>
      <c r="S815" s="19">
        <f t="shared" si="25"/>
        <v>0</v>
      </c>
    </row>
    <row r="816" spans="1:19" x14ac:dyDescent="0.25">
      <c r="A816" s="11" t="str">
        <f>'Bldgs &amp; Rooms'!$A$24</f>
        <v>Main Bldg.</v>
      </c>
      <c r="B816" s="11">
        <f>'Bldgs &amp; Rooms'!$B$24</f>
        <v>0</v>
      </c>
      <c r="C816" s="10" t="str">
        <f>Hours!$A$2</f>
        <v>Switchgear - Incoming Main Service (Per Section)</v>
      </c>
      <c r="D816" s="11">
        <f t="shared" si="24"/>
        <v>0</v>
      </c>
      <c r="E816" s="16">
        <f>IF('Components Yr 1'!E816=0,0,'Components Yr 1'!E816)</f>
        <v>0</v>
      </c>
      <c r="F816" s="17">
        <f>IF('Components Yr 1'!F816=0,0,'Components Yr 1'!F816)</f>
        <v>0</v>
      </c>
      <c r="G816" s="17">
        <f>IF('Components Yr 1'!G816=0,0,'Components Yr 1'!G816)</f>
        <v>0</v>
      </c>
      <c r="H816" s="17">
        <f>IF('Components Yr 1'!H816=0,0,'Components Yr 1'!H816)</f>
        <v>0</v>
      </c>
      <c r="I816" s="17">
        <f>IF('Components Yr 1'!I816=0,0,'Components Yr 1'!I816)</f>
        <v>0</v>
      </c>
      <c r="J816" s="17">
        <f>IF('Components Yr 1'!J816=0,0,'Components Yr 1'!J816)</f>
        <v>0</v>
      </c>
      <c r="K816" s="17">
        <f>IF('Components Yr 1'!K816=0,0,'Components Yr 1'!K816)</f>
        <v>0</v>
      </c>
      <c r="L816" s="17">
        <f>IF('Components Yr 1'!L816=0,0,'Components Yr 1'!L816)</f>
        <v>0</v>
      </c>
      <c r="M816" s="12"/>
      <c r="N816" s="12"/>
      <c r="O816" s="17">
        <f>IF('Components Yr 1'!O816=0,0,'Components Yr 1'!O816)</f>
        <v>0</v>
      </c>
      <c r="P816" s="12"/>
      <c r="Q816" s="17"/>
      <c r="R816" s="18">
        <f>IF(SUMPRODUCT((E816:Q816)*1)=0,0,E816*INDEX(Hours!M:M,MATCH(C816,Hours!$A:$A,0))+F816*INDEX(Hours!B:B,MATCH(C816,Hours!$A:$A,0))+G816*INDEX(Hours!C:C,MATCH(C816,Hours!$A:$A,0))+H816*INDEX(Hours!D:D,MATCH(C816,Hours!$A:$A,0))+I816*INDEX(Hours!E:E,MATCH(C816,Hours!$A:$A,0))+J816*INDEX(Hours!F:F,MATCH(C816,Hours!$A:$A,0))+K816*INDEX(Hours!G:G,MATCH(C816,Hours!$A:$A,0))+L816*INDEX(Hours!H:H,MATCH(C816,Hours!$A:$A,0))+O816*INDEX(Hours!K:K,MATCH(C816,Hours!$A:$A,0)))</f>
        <v>0</v>
      </c>
      <c r="S816" s="19">
        <f t="shared" si="25"/>
        <v>0</v>
      </c>
    </row>
    <row r="817" spans="1:19" x14ac:dyDescent="0.25">
      <c r="A817" s="11" t="str">
        <f>'Bldgs &amp; Rooms'!$A$24</f>
        <v>Main Bldg.</v>
      </c>
      <c r="B817" s="11">
        <f>'Bldgs &amp; Rooms'!$B$24</f>
        <v>0</v>
      </c>
      <c r="C817" s="10" t="str">
        <f>Hours!$A$3</f>
        <v xml:space="preserve">  Switchgear Insulated Case Breakers (Bus Mounted)</v>
      </c>
      <c r="D817" s="11">
        <f t="shared" si="24"/>
        <v>0</v>
      </c>
      <c r="E817" s="16">
        <f>IF('Components Yr 1'!E817=0,0,'Components Yr 1'!E817)</f>
        <v>0</v>
      </c>
      <c r="F817" s="17">
        <f>IF('Components Yr 1'!F817=0,0,'Components Yr 1'!F817)</f>
        <v>0</v>
      </c>
      <c r="G817" s="17">
        <f>IF('Components Yr 1'!G817=0,0,'Components Yr 1'!G817)</f>
        <v>0</v>
      </c>
      <c r="H817" s="17">
        <f>IF('Components Yr 1'!H817=0,0,'Components Yr 1'!H817)</f>
        <v>0</v>
      </c>
      <c r="I817" s="17">
        <f>IF('Components Yr 1'!I817=0,0,'Components Yr 1'!I817)</f>
        <v>0</v>
      </c>
      <c r="J817" s="17">
        <f>IF('Components Yr 1'!J817=0,0,'Components Yr 1'!J817)</f>
        <v>0</v>
      </c>
      <c r="K817" s="17">
        <f>IF('Components Yr 1'!K817=0,0,'Components Yr 1'!K817)</f>
        <v>0</v>
      </c>
      <c r="L817" s="12"/>
      <c r="M817" s="12"/>
      <c r="N817" s="12"/>
      <c r="O817" s="12"/>
      <c r="P817" s="12"/>
      <c r="Q817" s="17"/>
      <c r="R817" s="18">
        <f>IF(SUMPRODUCT((E817:Q817)*1)=0,0,E817*INDEX(Hours!M:M,MATCH(C817,Hours!$A:$A,0))+F817*INDEX(Hours!B:B,MATCH(C817,Hours!$A:$A,0))+G817*INDEX(Hours!C:C,MATCH(C817,Hours!$A:$A,0))+H817*INDEX(Hours!D:D,MATCH(C817,Hours!$A:$A,0))+I817*INDEX(Hours!E:E,MATCH(C817,Hours!$A:$A,0))+J817*INDEX(Hours!F:F,MATCH(C817,Hours!$A:$A,0))+K817*INDEX(Hours!G:G,MATCH(C817,Hours!$A:$A,0)))</f>
        <v>0</v>
      </c>
      <c r="S817" s="19">
        <f t="shared" si="25"/>
        <v>0</v>
      </c>
    </row>
    <row r="818" spans="1:19" x14ac:dyDescent="0.25">
      <c r="A818" s="11" t="str">
        <f>'Bldgs &amp; Rooms'!$A$24</f>
        <v>Main Bldg.</v>
      </c>
      <c r="B818" s="11">
        <f>'Bldgs &amp; Rooms'!$B$24</f>
        <v>0</v>
      </c>
      <c r="C818" s="10" t="str">
        <f>Hours!$A$4</f>
        <v xml:space="preserve">  SwitchGear Drawout Breakers</v>
      </c>
      <c r="D818" s="11">
        <f t="shared" si="24"/>
        <v>0</v>
      </c>
      <c r="E818" s="16">
        <f>IF('Components Yr 1'!E818=0,0,'Components Yr 1'!E818)</f>
        <v>0</v>
      </c>
      <c r="F818" s="17">
        <f>IF('Components Yr 1'!F818=0,0,'Components Yr 1'!F818)</f>
        <v>0</v>
      </c>
      <c r="G818" s="17">
        <f>IF('Components Yr 1'!G818=0,0,'Components Yr 1'!G818)</f>
        <v>0</v>
      </c>
      <c r="H818" s="17">
        <f>IF('Components Yr 1'!H818=0,0,'Components Yr 1'!H818)</f>
        <v>0</v>
      </c>
      <c r="I818" s="17">
        <f>IF('Components Yr 1'!I818=0,0,'Components Yr 1'!I818)</f>
        <v>0</v>
      </c>
      <c r="J818" s="17">
        <f>IF('Components Yr 1'!J818=0,0,'Components Yr 1'!J818)</f>
        <v>0</v>
      </c>
      <c r="K818" s="12"/>
      <c r="L818" s="17">
        <f>IF('Components Yr 1'!L818=0,0,'Components Yr 1'!L818)</f>
        <v>0</v>
      </c>
      <c r="M818" s="12"/>
      <c r="N818" s="12"/>
      <c r="O818" s="12"/>
      <c r="P818" s="12"/>
      <c r="Q818" s="17"/>
      <c r="R818" s="18">
        <f>IF(SUMPRODUCT((E818:Q818)*1)=0,0,E818*INDEX(Hours!M:M,MATCH(C818,Hours!$A:$A,0))+F818*INDEX(Hours!B:B,MATCH(C818,Hours!$A:$A,0))+G818*INDEX(Hours!C:C,MATCH(C818,Hours!$A:$A,0))+H818*INDEX(Hours!D:D,MATCH(C818,Hours!$A:$A,0))+I818*INDEX(Hours!E:E,MATCH(C818,Hours!$A:$A,0))+J818*INDEX(Hours!F:F,MATCH(C818,Hours!$A:$A,0))+L818*INDEX(Hours!H:H,MATCH(C818,Hours!$A:$A,0)))</f>
        <v>0</v>
      </c>
      <c r="S818" s="19">
        <f t="shared" si="25"/>
        <v>0</v>
      </c>
    </row>
    <row r="819" spans="1:19" x14ac:dyDescent="0.25">
      <c r="A819" s="11" t="str">
        <f>'Bldgs &amp; Rooms'!$A$24</f>
        <v>Main Bldg.</v>
      </c>
      <c r="B819" s="11">
        <f>'Bldgs &amp; Rooms'!$B$24</f>
        <v>0</v>
      </c>
      <c r="C819" s="10" t="str">
        <f>Hours!$A$5</f>
        <v>Distribution Switchboard Multi Cover (Per Section)</v>
      </c>
      <c r="D819" s="11">
        <f t="shared" si="24"/>
        <v>0</v>
      </c>
      <c r="E819" s="16">
        <f>IF('Components Yr 1'!E819=0,0,'Components Yr 1'!E819)</f>
        <v>0</v>
      </c>
      <c r="F819" s="17">
        <f>IF('Components Yr 1'!F819=0,0,'Components Yr 1'!F819)</f>
        <v>0</v>
      </c>
      <c r="G819" s="17">
        <f>IF('Components Yr 1'!G819=0,0,'Components Yr 1'!G819)</f>
        <v>0</v>
      </c>
      <c r="H819" s="17">
        <f>IF('Components Yr 1'!H819=0,0,'Components Yr 1'!H819)</f>
        <v>0</v>
      </c>
      <c r="I819" s="17">
        <f>IF('Components Yr 1'!I819=0,0,'Components Yr 1'!I819)</f>
        <v>0</v>
      </c>
      <c r="J819" s="17">
        <f>IF('Components Yr 1'!J819=0,0,'Components Yr 1'!J819)</f>
        <v>0</v>
      </c>
      <c r="K819" s="17">
        <f>IF('Components Yr 1'!K819=0,0,'Components Yr 1'!K819)</f>
        <v>0</v>
      </c>
      <c r="L819" s="12"/>
      <c r="M819" s="12"/>
      <c r="N819" s="12"/>
      <c r="O819" s="17">
        <f>IF('Components Yr 1'!O819=0,0,'Components Yr 1'!O819)</f>
        <v>0</v>
      </c>
      <c r="P819" s="12"/>
      <c r="Q819" s="17"/>
      <c r="R819" s="18">
        <f>IF(SUMPRODUCT((E819:Q819)*1)=0,0,E819*INDEX(Hours!M:M,MATCH(C819,Hours!$A:$A,0))+F819*INDEX(Hours!B:B,MATCH(C819,Hours!$A:$A,0))+G819*INDEX(Hours!C:C,MATCH(C819,Hours!$A:$A,0))+H819*INDEX(Hours!D:D,MATCH(C819,Hours!$A:$A,0))+I819*INDEX(Hours!E:E,MATCH(C819,Hours!$A:$A,0))+J819*INDEX(Hours!F:F,MATCH(C819,Hours!$A:$A,0))+K819*INDEX(Hours!G:G,MATCH(C819,Hours!$A:$A,0))+O819*INDEX(Hours!K:K,MATCH(C819,Hours!$A:$A,0)))</f>
        <v>0</v>
      </c>
      <c r="S819" s="19">
        <f t="shared" si="25"/>
        <v>0</v>
      </c>
    </row>
    <row r="820" spans="1:19" x14ac:dyDescent="0.25">
      <c r="A820" s="11" t="str">
        <f>'Bldgs &amp; Rooms'!$A$24</f>
        <v>Main Bldg.</v>
      </c>
      <c r="B820" s="11">
        <f>'Bldgs &amp; Rooms'!$B$24</f>
        <v>0</v>
      </c>
      <c r="C820" s="10" t="str">
        <f>Hours!$A$6</f>
        <v xml:space="preserve">  Switchboard Disconnects</v>
      </c>
      <c r="D820" s="11">
        <f t="shared" si="24"/>
        <v>0</v>
      </c>
      <c r="E820" s="16">
        <f>IF('Components Yr 1'!E820=0,0,'Components Yr 1'!E820)</f>
        <v>0</v>
      </c>
      <c r="F820" s="17">
        <f>IF('Components Yr 1'!F820=0,0,'Components Yr 1'!F820)</f>
        <v>0</v>
      </c>
      <c r="G820" s="17">
        <f>IF('Components Yr 1'!G820=0,0,'Components Yr 1'!G820)</f>
        <v>0</v>
      </c>
      <c r="H820" s="17">
        <f>IF('Components Yr 1'!H820=0,0,'Components Yr 1'!H820)</f>
        <v>0</v>
      </c>
      <c r="I820" s="17">
        <f>IF('Components Yr 1'!I820=0,0,'Components Yr 1'!I820)</f>
        <v>0</v>
      </c>
      <c r="J820" s="17">
        <f>IF('Components Yr 1'!J820=0,0,'Components Yr 1'!J820)</f>
        <v>0</v>
      </c>
      <c r="K820" s="12"/>
      <c r="L820" s="12"/>
      <c r="M820" s="12"/>
      <c r="N820" s="12"/>
      <c r="O820" s="12"/>
      <c r="P820" s="12"/>
      <c r="Q820" s="17"/>
      <c r="R820" s="18">
        <f>IF(SUMPRODUCT((E820:Q820)*1)=0,0,E820*INDEX(Hours!M:M,MATCH(C820,Hours!$A:$A,0))+F820*INDEX(Hours!B:B,MATCH(C820,Hours!$A:$A,0))+G820*INDEX(Hours!C:C,MATCH(C820,Hours!$A:$A,0))+H820*INDEX(Hours!D:D,MATCH(C820,Hours!$A:$A,0))+I820*INDEX(Hours!E:E,MATCH(C820,Hours!$A:$A,0))+J820*INDEX(Hours!F:F,MATCH(C820,Hours!$A:$A,0)))</f>
        <v>0</v>
      </c>
      <c r="S820" s="19">
        <f t="shared" si="25"/>
        <v>0</v>
      </c>
    </row>
    <row r="821" spans="1:19" x14ac:dyDescent="0.25">
      <c r="A821" s="11" t="str">
        <f>'Bldgs &amp; Rooms'!$A$24</f>
        <v>Main Bldg.</v>
      </c>
      <c r="B821" s="11">
        <f>'Bldgs &amp; Rooms'!$B$24</f>
        <v>0</v>
      </c>
      <c r="C821" s="10" t="str">
        <f>Hours!$A$7</f>
        <v xml:space="preserve">  Switchboard Molded Case Breakers</v>
      </c>
      <c r="D821" s="11">
        <f t="shared" si="24"/>
        <v>0</v>
      </c>
      <c r="E821" s="16">
        <f>IF('Components Yr 1'!E821=0,0,'Components Yr 1'!E821)</f>
        <v>0</v>
      </c>
      <c r="F821" s="17">
        <f>IF('Components Yr 1'!F821=0,0,'Components Yr 1'!F821)</f>
        <v>0</v>
      </c>
      <c r="G821" s="17">
        <f>IF('Components Yr 1'!G821=0,0,'Components Yr 1'!G821)</f>
        <v>0</v>
      </c>
      <c r="H821" s="17">
        <f>IF('Components Yr 1'!H821=0,0,'Components Yr 1'!H821)</f>
        <v>0</v>
      </c>
      <c r="I821" s="17">
        <f>IF('Components Yr 1'!I821=0,0,'Components Yr 1'!I821)</f>
        <v>0</v>
      </c>
      <c r="J821" s="17">
        <f>IF('Components Yr 1'!J821=0,0,'Components Yr 1'!J821)</f>
        <v>0</v>
      </c>
      <c r="K821" s="17">
        <f>IF('Components Yr 1'!K821=0,0,'Components Yr 1'!K821)</f>
        <v>0</v>
      </c>
      <c r="L821" s="12"/>
      <c r="M821" s="12"/>
      <c r="N821" s="12"/>
      <c r="O821" s="12"/>
      <c r="P821" s="12"/>
      <c r="Q821" s="17"/>
      <c r="R821" s="18">
        <f>IF(SUMPRODUCT((E821:Q821)*1)=0,0,E821*INDEX(Hours!M:M,MATCH(C821,Hours!$A:$A,0))+F821*INDEX(Hours!B:B,MATCH(C821,Hours!$A:$A,0))+G821*INDEX(Hours!C:C,MATCH(C821,Hours!$A:$A,0))+H821*INDEX(Hours!D:D,MATCH(C821,Hours!$A:$A,0))+I821*INDEX(Hours!E:E,MATCH(C821,Hours!$A:$A,0))+J821*INDEX(Hours!F:F,MATCH(C821,Hours!$A:$A,0))+K821*INDEX(Hours!G:G,MATCH(C821,Hours!$A:$A,0)))</f>
        <v>0</v>
      </c>
      <c r="S821" s="19">
        <f t="shared" si="25"/>
        <v>0</v>
      </c>
    </row>
    <row r="822" spans="1:19" x14ac:dyDescent="0.25">
      <c r="A822" s="11" t="str">
        <f>'Bldgs &amp; Rooms'!$A$24</f>
        <v>Main Bldg.</v>
      </c>
      <c r="B822" s="11">
        <f>'Bldgs &amp; Rooms'!$B$24</f>
        <v>0</v>
      </c>
      <c r="C822" s="10" t="str">
        <f>Hours!$A$8</f>
        <v>Panelboard-Single Cover &gt; 400A (Distribution Panel)</v>
      </c>
      <c r="D822" s="11">
        <f t="shared" si="24"/>
        <v>0</v>
      </c>
      <c r="E822" s="16">
        <f>IF('Components Yr 1'!E822=0,0,'Components Yr 1'!E822)</f>
        <v>0</v>
      </c>
      <c r="F822" s="17">
        <f>IF('Components Yr 1'!F822=0,0,'Components Yr 1'!F822)</f>
        <v>0</v>
      </c>
      <c r="G822" s="17">
        <f>IF('Components Yr 1'!G822=0,0,'Components Yr 1'!G822)</f>
        <v>0</v>
      </c>
      <c r="H822" s="17">
        <f>IF('Components Yr 1'!H822=0,0,'Components Yr 1'!H822)</f>
        <v>0</v>
      </c>
      <c r="I822" s="17">
        <f>IF('Components Yr 1'!I822=0,0,'Components Yr 1'!I822)</f>
        <v>0</v>
      </c>
      <c r="J822" s="17">
        <f>IF('Components Yr 1'!J822=0,0,'Components Yr 1'!J822)</f>
        <v>0</v>
      </c>
      <c r="K822" s="17">
        <f>IF('Components Yr 1'!K822=0,0,'Components Yr 1'!K822)</f>
        <v>0</v>
      </c>
      <c r="L822" s="12"/>
      <c r="M822" s="12"/>
      <c r="N822" s="12"/>
      <c r="O822" s="17">
        <f>IF('Components Yr 1'!O822=0,0,'Components Yr 1'!O822)</f>
        <v>0</v>
      </c>
      <c r="P822" s="12"/>
      <c r="Q822" s="17"/>
      <c r="R822" s="18">
        <f>IF(SUMPRODUCT((E822:Q822)*1)=0,0,E822*INDEX(Hours!M:M,MATCH(C822,Hours!$A:$A,0))+F822*INDEX(Hours!B:B,MATCH(C822,Hours!$A:$A,0))+G822*INDEX(Hours!C:C,MATCH(C822,Hours!$A:$A,0))+H822*INDEX(Hours!D:D,MATCH(C822,Hours!$A:$A,0))+I822*INDEX(Hours!E:E,MATCH(C822,Hours!$A:$A,0))+J822*INDEX(Hours!F:F,MATCH(C822,Hours!$A:$A,0))+K822*INDEX(Hours!G:G,MATCH(C822,Hours!$A:$A,0))+O822*INDEX(Hours!K:K,MATCH(C822,Hours!$A:$A,0)))</f>
        <v>0</v>
      </c>
      <c r="S822" s="19">
        <f t="shared" si="25"/>
        <v>0</v>
      </c>
    </row>
    <row r="823" spans="1:19" x14ac:dyDescent="0.25">
      <c r="A823" s="11" t="str">
        <f>'Bldgs &amp; Rooms'!$A$24</f>
        <v>Main Bldg.</v>
      </c>
      <c r="B823" s="11">
        <f>'Bldgs &amp; Rooms'!$B$24</f>
        <v>0</v>
      </c>
      <c r="C823" s="10" t="str">
        <f>Hours!$A$9</f>
        <v>Panelboard-Single Cover &lt; 400A (Branch Ckt Panel)</v>
      </c>
      <c r="D823" s="11">
        <f t="shared" si="24"/>
        <v>0</v>
      </c>
      <c r="E823" s="16">
        <f>IF('Components Yr 1'!E823=0,0,'Components Yr 1'!E823)</f>
        <v>0</v>
      </c>
      <c r="F823" s="17">
        <f>IF('Components Yr 1'!F823=0,0,'Components Yr 1'!F823)</f>
        <v>0</v>
      </c>
      <c r="G823" s="17">
        <f>IF('Components Yr 1'!G823=0,0,'Components Yr 1'!G823)</f>
        <v>0</v>
      </c>
      <c r="H823" s="17">
        <f>IF('Components Yr 1'!H823=0,0,'Components Yr 1'!H823)</f>
        <v>0</v>
      </c>
      <c r="I823" s="17">
        <f>IF('Components Yr 1'!I823=0,0,'Components Yr 1'!I823)</f>
        <v>0</v>
      </c>
      <c r="J823" s="17">
        <f>IF('Components Yr 1'!J823=0,0,'Components Yr 1'!J823)</f>
        <v>0</v>
      </c>
      <c r="K823" s="12"/>
      <c r="L823" s="12"/>
      <c r="M823" s="12"/>
      <c r="N823" s="12"/>
      <c r="O823" s="17">
        <f>IF('Components Yr 1'!O823=0,0,'Components Yr 1'!O823)</f>
        <v>0</v>
      </c>
      <c r="P823" s="12"/>
      <c r="Q823" s="17"/>
      <c r="R823" s="18">
        <f>IF(SUMPRODUCT((E823:Q823)*1)=0,0,E823*INDEX(Hours!M:M,MATCH(C823,Hours!$A:$A,0))+F823*INDEX(Hours!B:B,MATCH(C823,Hours!$A:$A,0))+G823*INDEX(Hours!C:C,MATCH(C823,Hours!$A:$A,0))+H823*INDEX(Hours!D:D,MATCH(C823,Hours!$A:$A,0))+I823*INDEX(Hours!E:E,MATCH(C823,Hours!$A:$A,0))+J823*INDEX(Hours!F:F,MATCH(C823,Hours!$A:$A,0))+O823*INDEX(Hours!K:K,MATCH(C823,Hours!$A:$A,0)))</f>
        <v>0</v>
      </c>
      <c r="S823" s="19">
        <f t="shared" si="25"/>
        <v>0</v>
      </c>
    </row>
    <row r="824" spans="1:19" x14ac:dyDescent="0.25">
      <c r="A824" s="11" t="str">
        <f>'Bldgs &amp; Rooms'!$A$24</f>
        <v>Main Bldg.</v>
      </c>
      <c r="B824" s="11">
        <f>'Bldgs &amp; Rooms'!$B$24</f>
        <v>0</v>
      </c>
      <c r="C824" s="10" t="str">
        <f>Hours!$A$10</f>
        <v>Motor Control Center (MCC-Per Vertical Section)</v>
      </c>
      <c r="D824" s="11">
        <f t="shared" si="24"/>
        <v>0</v>
      </c>
      <c r="E824" s="16">
        <f>IF('Components Yr 1'!E824=0,0,'Components Yr 1'!E824)</f>
        <v>0</v>
      </c>
      <c r="F824" s="17">
        <f>IF('Components Yr 1'!F824=0,0,'Components Yr 1'!F824)</f>
        <v>0</v>
      </c>
      <c r="G824" s="17">
        <f>IF('Components Yr 1'!G824=0,0,'Components Yr 1'!G824)</f>
        <v>0</v>
      </c>
      <c r="H824" s="17">
        <f>IF('Components Yr 1'!H824=0,0,'Components Yr 1'!H824)</f>
        <v>0</v>
      </c>
      <c r="I824" s="17">
        <f>IF('Components Yr 1'!I824=0,0,'Components Yr 1'!I824)</f>
        <v>0</v>
      </c>
      <c r="J824" s="17">
        <f>IF('Components Yr 1'!J824=0,0,'Components Yr 1'!J824)</f>
        <v>0</v>
      </c>
      <c r="K824" s="12"/>
      <c r="L824" s="12"/>
      <c r="M824" s="12"/>
      <c r="N824" s="12"/>
      <c r="O824" s="17">
        <f>IF('Components Yr 1'!O824=0,0,'Components Yr 1'!O824)</f>
        <v>0</v>
      </c>
      <c r="P824" s="12"/>
      <c r="Q824" s="17"/>
      <c r="R824" s="18">
        <f>IF(SUMPRODUCT((E824:Q824)*1)=0,0,E824*INDEX(Hours!M:M,MATCH(C824,Hours!$A:$A,0))+F824*INDEX(Hours!B:B,MATCH(C824,Hours!$A:$A,0))+G824*INDEX(Hours!C:C,MATCH(C824,Hours!$A:$A,0))+H824*INDEX(Hours!D:D,MATCH(C824,Hours!$A:$A,0))+I824*INDEX(Hours!E:E,MATCH(C824,Hours!$A:$A,0))+J824*INDEX(Hours!F:F,MATCH(C824,Hours!$A:$A,0))+O824*INDEX(Hours!K:K,MATCH(C824,Hours!$A:$A,0)))</f>
        <v>0</v>
      </c>
      <c r="S824" s="19">
        <f t="shared" si="25"/>
        <v>0</v>
      </c>
    </row>
    <row r="825" spans="1:19" x14ac:dyDescent="0.25">
      <c r="A825" s="11" t="str">
        <f>'Bldgs &amp; Rooms'!$A$24</f>
        <v>Main Bldg.</v>
      </c>
      <c r="B825" s="11">
        <f>'Bldgs &amp; Rooms'!$B$24</f>
        <v>0</v>
      </c>
      <c r="C825" s="10" t="str">
        <f>Hours!$A$11</f>
        <v xml:space="preserve">  MCC: Combination Motor Starters</v>
      </c>
      <c r="D825" s="11">
        <f t="shared" si="24"/>
        <v>0</v>
      </c>
      <c r="E825" s="16">
        <f>IF('Components Yr 1'!E825=0,0,'Components Yr 1'!E825)</f>
        <v>0</v>
      </c>
      <c r="F825" s="17">
        <f>IF('Components Yr 1'!F825=0,0,'Components Yr 1'!F825)</f>
        <v>0</v>
      </c>
      <c r="G825" s="17">
        <f>IF('Components Yr 1'!G825=0,0,'Components Yr 1'!G825)</f>
        <v>0</v>
      </c>
      <c r="H825" s="17">
        <f>IF('Components Yr 1'!H825=0,0,'Components Yr 1'!H825)</f>
        <v>0</v>
      </c>
      <c r="I825" s="17">
        <f>IF('Components Yr 1'!I825=0,0,'Components Yr 1'!I825)</f>
        <v>0</v>
      </c>
      <c r="J825" s="17">
        <f>IF('Components Yr 1'!J825=0,0,'Components Yr 1'!J825)</f>
        <v>0</v>
      </c>
      <c r="K825" s="17">
        <f>IF('Components Yr 1'!K825=0,0,'Components Yr 1'!K825)</f>
        <v>0</v>
      </c>
      <c r="L825" s="12"/>
      <c r="M825" s="12"/>
      <c r="N825" s="12"/>
      <c r="O825" s="17">
        <f>IF('Components Yr 1'!O825=0,0,'Components Yr 1'!O825)</f>
        <v>0</v>
      </c>
      <c r="P825" s="12"/>
      <c r="Q825" s="17"/>
      <c r="R825" s="18">
        <f>IF(SUMPRODUCT((E825:Q825)*1)=0,0,E825*INDEX(Hours!M:M,MATCH(C825,Hours!$A:$A,0))+F825*INDEX(Hours!B:B,MATCH(C825,Hours!$A:$A,0))+G825*INDEX(Hours!C:C,MATCH(C825,Hours!$A:$A,0))+H825*INDEX(Hours!D:D,MATCH(C825,Hours!$A:$A,0))+I825*INDEX(Hours!E:E,MATCH(C825,Hours!$A:$A,0))+J825*INDEX(Hours!F:F,MATCH(C825,Hours!$A:$A,0))+K825*INDEX(Hours!G:G,MATCH(C825,Hours!$A:$A,0))+O825*INDEX(Hours!K:K,MATCH(C825,Hours!$A:$A,0)))</f>
        <v>0</v>
      </c>
      <c r="S825" s="19">
        <f t="shared" si="25"/>
        <v>0</v>
      </c>
    </row>
    <row r="826" spans="1:19" x14ac:dyDescent="0.25">
      <c r="A826" s="11" t="str">
        <f>'Bldgs &amp; Rooms'!$A$24</f>
        <v>Main Bldg.</v>
      </c>
      <c r="B826" s="11">
        <f>'Bldgs &amp; Rooms'!$B$24</f>
        <v>0</v>
      </c>
      <c r="C826" s="10" t="str">
        <f>Hours!$A$12</f>
        <v xml:space="preserve">  MCC: Molded Case Breaker</v>
      </c>
      <c r="D826" s="11">
        <f t="shared" si="24"/>
        <v>0</v>
      </c>
      <c r="E826" s="16">
        <f>IF('Components Yr 1'!E826=0,0,'Components Yr 1'!E826)</f>
        <v>0</v>
      </c>
      <c r="F826" s="17">
        <f>IF('Components Yr 1'!F826=0,0,'Components Yr 1'!F826)</f>
        <v>0</v>
      </c>
      <c r="G826" s="17">
        <f>IF('Components Yr 1'!G826=0,0,'Components Yr 1'!G826)</f>
        <v>0</v>
      </c>
      <c r="H826" s="17">
        <f>IF('Components Yr 1'!H826=0,0,'Components Yr 1'!H826)</f>
        <v>0</v>
      </c>
      <c r="I826" s="17">
        <f>IF('Components Yr 1'!I826=0,0,'Components Yr 1'!I826)</f>
        <v>0</v>
      </c>
      <c r="J826" s="17">
        <f>IF('Components Yr 1'!J826=0,0,'Components Yr 1'!J826)</f>
        <v>0</v>
      </c>
      <c r="K826" s="17">
        <f>IF('Components Yr 1'!K826=0,0,'Components Yr 1'!K826)</f>
        <v>0</v>
      </c>
      <c r="L826" s="12"/>
      <c r="M826" s="12"/>
      <c r="N826" s="12"/>
      <c r="O826" s="12"/>
      <c r="P826" s="12"/>
      <c r="Q826" s="17"/>
      <c r="R826" s="18">
        <f>IF(SUMPRODUCT((E826:Q826)*1)=0,0,E826*INDEX(Hours!M:M,MATCH(C826,Hours!$A:$A,0))+F826*INDEX(Hours!B:B,MATCH(C826,Hours!$A:$A,0))+G826*INDEX(Hours!C:C,MATCH(C826,Hours!$A:$A,0))+H826*INDEX(Hours!D:D,MATCH(C826,Hours!$A:$A,0))+I826*INDEX(Hours!E:E,MATCH(C826,Hours!$A:$A,0))+J826*INDEX(Hours!F:F,MATCH(C826,Hours!$A:$A,0))+K826*INDEX(Hours!G:G,MATCH(C826,Hours!$A:$A,0)))</f>
        <v>0</v>
      </c>
      <c r="S826" s="19">
        <f t="shared" si="25"/>
        <v>0</v>
      </c>
    </row>
    <row r="827" spans="1:19" x14ac:dyDescent="0.25">
      <c r="A827" s="11" t="str">
        <f>'Bldgs &amp; Rooms'!$A$24</f>
        <v>Main Bldg.</v>
      </c>
      <c r="B827" s="11">
        <f>'Bldgs &amp; Rooms'!$B$24</f>
        <v>0</v>
      </c>
      <c r="C827" s="10" t="str">
        <f>Hours!$A$13</f>
        <v xml:space="preserve">  MCC: Individual Disconnect Switch</v>
      </c>
      <c r="D827" s="11">
        <f t="shared" si="24"/>
        <v>0</v>
      </c>
      <c r="E827" s="16">
        <f>IF('Components Yr 1'!E827=0,0,'Components Yr 1'!E827)</f>
        <v>0</v>
      </c>
      <c r="F827" s="17">
        <f>IF('Components Yr 1'!F827=0,0,'Components Yr 1'!F827)</f>
        <v>0</v>
      </c>
      <c r="G827" s="17">
        <f>IF('Components Yr 1'!G827=0,0,'Components Yr 1'!G827)</f>
        <v>0</v>
      </c>
      <c r="H827" s="17">
        <f>IF('Components Yr 1'!H827=0,0,'Components Yr 1'!H827)</f>
        <v>0</v>
      </c>
      <c r="I827" s="17">
        <f>IF('Components Yr 1'!I827=0,0,'Components Yr 1'!I827)</f>
        <v>0</v>
      </c>
      <c r="J827" s="17">
        <f>IF('Components Yr 1'!J827=0,0,'Components Yr 1'!J827)</f>
        <v>0</v>
      </c>
      <c r="K827" s="12"/>
      <c r="L827" s="12"/>
      <c r="M827" s="12"/>
      <c r="N827" s="12"/>
      <c r="O827" s="12"/>
      <c r="P827" s="12"/>
      <c r="Q827" s="17"/>
      <c r="R827" s="18">
        <f>IF(SUMPRODUCT((E827:Q827)*1)=0,0,E827*INDEX(Hours!M:M,MATCH(C827,Hours!$A:$A,0))+F827*INDEX(Hours!B:B,MATCH(C827,Hours!$A:$A,0))+G827*INDEX(Hours!C:C,MATCH(C827,Hours!$A:$A,0))+H827*INDEX(Hours!D:D,MATCH(C827,Hours!$A:$A,0))+I827*INDEX(Hours!E:E,MATCH(C827,Hours!$A:$A,0))+J827*INDEX(Hours!F:F,MATCH(C827,Hours!$A:$A,0)))</f>
        <v>0</v>
      </c>
      <c r="S827" s="19">
        <f t="shared" si="25"/>
        <v>0</v>
      </c>
    </row>
    <row r="828" spans="1:19" x14ac:dyDescent="0.25">
      <c r="A828" s="11" t="str">
        <f>'Bldgs &amp; Rooms'!$A$24</f>
        <v>Main Bldg.</v>
      </c>
      <c r="B828" s="11">
        <f>'Bldgs &amp; Rooms'!$B$24</f>
        <v>0</v>
      </c>
      <c r="C828" s="10" t="str">
        <f>Hours!$A$14</f>
        <v>Motor Control Panel (MCP)</v>
      </c>
      <c r="D828" s="11">
        <f t="shared" si="24"/>
        <v>0</v>
      </c>
      <c r="E828" s="16">
        <f>IF('Components Yr 1'!E828=0,0,'Components Yr 1'!E828)</f>
        <v>0</v>
      </c>
      <c r="F828" s="17">
        <f>IF('Components Yr 1'!F828=0,0,'Components Yr 1'!F828)</f>
        <v>0</v>
      </c>
      <c r="G828" s="17">
        <f>IF('Components Yr 1'!G828=0,0,'Components Yr 1'!G828)</f>
        <v>0</v>
      </c>
      <c r="H828" s="17">
        <f>IF('Components Yr 1'!H828=0,0,'Components Yr 1'!H828)</f>
        <v>0</v>
      </c>
      <c r="I828" s="17">
        <f>IF('Components Yr 1'!I828=0,0,'Components Yr 1'!I828)</f>
        <v>0</v>
      </c>
      <c r="J828" s="17">
        <f>IF('Components Yr 1'!J828=0,0,'Components Yr 1'!J828)</f>
        <v>0</v>
      </c>
      <c r="K828" s="12"/>
      <c r="L828" s="12"/>
      <c r="M828" s="12"/>
      <c r="N828" s="12"/>
      <c r="O828" s="17">
        <f>IF('Components Yr 1'!O828=0,0,'Components Yr 1'!O828)</f>
        <v>0</v>
      </c>
      <c r="P828" s="12"/>
      <c r="Q828" s="17"/>
      <c r="R828" s="18">
        <f>IF(SUMPRODUCT((E828:Q828)*1)=0,0,E828*INDEX(Hours!M:M,MATCH(C828,Hours!$A:$A,0))+F828*INDEX(Hours!B:B,MATCH(C828,Hours!$A:$A,0))+G828*INDEX(Hours!C:C,MATCH(C828,Hours!$A:$A,0))+H828*INDEX(Hours!D:D,MATCH(C828,Hours!$A:$A,0))+I828*INDEX(Hours!E:E,MATCH(C828,Hours!$A:$A,0))+J828*INDEX(Hours!F:F,MATCH(C828,Hours!$A:$A,0))+O828*INDEX(Hours!K:K,MATCH(C828,Hours!$A:$A,0)))</f>
        <v>0</v>
      </c>
      <c r="S828" s="19">
        <f t="shared" si="25"/>
        <v>0</v>
      </c>
    </row>
    <row r="829" spans="1:19" x14ac:dyDescent="0.25">
      <c r="A829" s="11" t="str">
        <f>'Bldgs &amp; Rooms'!$A$24</f>
        <v>Main Bldg.</v>
      </c>
      <c r="B829" s="11">
        <f>'Bldgs &amp; Rooms'!$B$24</f>
        <v>0</v>
      </c>
      <c r="C829" s="10" t="str">
        <f>Hours!$A$15</f>
        <v>VFD Motor Control Panel (VFD-MCP)</v>
      </c>
      <c r="D829" s="11">
        <f t="shared" si="24"/>
        <v>0</v>
      </c>
      <c r="E829" s="16">
        <f>IF('Components Yr 1'!E829=0,0,'Components Yr 1'!E829)</f>
        <v>0</v>
      </c>
      <c r="F829" s="17">
        <f>IF('Components Yr 1'!F829=0,0,'Components Yr 1'!F829)</f>
        <v>0</v>
      </c>
      <c r="G829" s="17">
        <f>IF('Components Yr 1'!G829=0,0,'Components Yr 1'!G829)</f>
        <v>0</v>
      </c>
      <c r="H829" s="17">
        <f>IF('Components Yr 1'!H829=0,0,'Components Yr 1'!H829)</f>
        <v>0</v>
      </c>
      <c r="I829" s="17">
        <f>IF('Components Yr 1'!I829=0,0,'Components Yr 1'!I829)</f>
        <v>0</v>
      </c>
      <c r="J829" s="17">
        <f>IF('Components Yr 1'!J829=0,0,'Components Yr 1'!J829)</f>
        <v>0</v>
      </c>
      <c r="K829" s="12"/>
      <c r="L829" s="12"/>
      <c r="M829" s="12"/>
      <c r="N829" s="12"/>
      <c r="O829" s="17">
        <f>IF('Components Yr 1'!O829=0,0,'Components Yr 1'!O829)</f>
        <v>0</v>
      </c>
      <c r="P829" s="12"/>
      <c r="Q829" s="17"/>
      <c r="R829" s="18">
        <f>IF(SUMPRODUCT((E829:Q829)*1)=0,0,E829*INDEX(Hours!M:M,MATCH(C829,Hours!$A:$A,0))+F829*INDEX(Hours!B:B,MATCH(C829,Hours!$A:$A,0))+G829*INDEX(Hours!C:C,MATCH(C829,Hours!$A:$A,0))+H829*INDEX(Hours!D:D,MATCH(C829,Hours!$A:$A,0))+I829*INDEX(Hours!E:E,MATCH(C829,Hours!$A:$A,0))+J829*INDEX(Hours!F:F,MATCH(C829,Hours!$A:$A,0))+O829*INDEX(Hours!K:K,MATCH(C829,Hours!$A:$A,0)))</f>
        <v>0</v>
      </c>
      <c r="S829" s="19">
        <f t="shared" si="25"/>
        <v>0</v>
      </c>
    </row>
    <row r="830" spans="1:19" x14ac:dyDescent="0.25">
      <c r="A830" s="11" t="str">
        <f>'Bldgs &amp; Rooms'!$A$24</f>
        <v>Main Bldg.</v>
      </c>
      <c r="B830" s="11">
        <f>'Bldgs &amp; Rooms'!$B$24</f>
        <v>0</v>
      </c>
      <c r="C830" s="10" t="str">
        <f>Hours!$A$16</f>
        <v>Individual Disconnect Switch &gt; 100A</v>
      </c>
      <c r="D830" s="11">
        <f t="shared" si="24"/>
        <v>0</v>
      </c>
      <c r="E830" s="16">
        <f>IF('Components Yr 1'!E830=0,0,'Components Yr 1'!E830)</f>
        <v>0</v>
      </c>
      <c r="F830" s="17">
        <f>IF('Components Yr 1'!F830=0,0,'Components Yr 1'!F830)</f>
        <v>0</v>
      </c>
      <c r="G830" s="17">
        <f>IF('Components Yr 1'!G830=0,0,'Components Yr 1'!G830)</f>
        <v>0</v>
      </c>
      <c r="H830" s="17">
        <f>IF('Components Yr 1'!H830=0,0,'Components Yr 1'!H830)</f>
        <v>0</v>
      </c>
      <c r="I830" s="17">
        <f>IF('Components Yr 1'!I830=0,0,'Components Yr 1'!I830)</f>
        <v>0</v>
      </c>
      <c r="J830" s="17">
        <f>IF('Components Yr 1'!J830=0,0,'Components Yr 1'!J830)</f>
        <v>0</v>
      </c>
      <c r="K830" s="17">
        <f>IF('Components Yr 1'!K830=0,0,'Components Yr 1'!K830)</f>
        <v>0</v>
      </c>
      <c r="L830" s="12"/>
      <c r="M830" s="12"/>
      <c r="N830" s="12"/>
      <c r="O830" s="12"/>
      <c r="P830" s="12"/>
      <c r="Q830" s="17"/>
      <c r="R830" s="18">
        <f>IF(SUMPRODUCT((E830:Q830)*1)=0,0,E830*INDEX(Hours!M:M,MATCH(C830,Hours!$A:$A,0))+F830*INDEX(Hours!B:B,MATCH(C830,Hours!$A:$A,0))+G830*INDEX(Hours!C:C,MATCH(C830,Hours!$A:$A,0))+H830*INDEX(Hours!D:D,MATCH(C830,Hours!$A:$A,0))+I830*INDEX(Hours!E:E,MATCH(C830,Hours!$A:$A,0))+J830*INDEX(Hours!F:F,MATCH(C830,Hours!$A:$A,0))+K830*INDEX(Hours!G:G,MATCH(C830,Hours!$A:$A,0)))</f>
        <v>0</v>
      </c>
      <c r="S830" s="19">
        <f t="shared" si="25"/>
        <v>0</v>
      </c>
    </row>
    <row r="831" spans="1:19" x14ac:dyDescent="0.25">
      <c r="A831" s="11" t="str">
        <f>'Bldgs &amp; Rooms'!$A$24</f>
        <v>Main Bldg.</v>
      </c>
      <c r="B831" s="11">
        <f>'Bldgs &amp; Rooms'!$B$24</f>
        <v>0</v>
      </c>
      <c r="C831" s="10" t="str">
        <f>Hours!$A$17</f>
        <v>Individual Molded Case Breaker &gt; 100A</v>
      </c>
      <c r="D831" s="11">
        <f t="shared" si="24"/>
        <v>0</v>
      </c>
      <c r="E831" s="16">
        <f>IF('Components Yr 1'!E831=0,0,'Components Yr 1'!E831)</f>
        <v>0</v>
      </c>
      <c r="F831" s="17">
        <f>IF('Components Yr 1'!F831=0,0,'Components Yr 1'!F831)</f>
        <v>0</v>
      </c>
      <c r="G831" s="17">
        <f>IF('Components Yr 1'!G831=0,0,'Components Yr 1'!G831)</f>
        <v>0</v>
      </c>
      <c r="H831" s="17">
        <f>IF('Components Yr 1'!H831=0,0,'Components Yr 1'!H831)</f>
        <v>0</v>
      </c>
      <c r="I831" s="17">
        <f>IF('Components Yr 1'!I831=0,0,'Components Yr 1'!I831)</f>
        <v>0</v>
      </c>
      <c r="J831" s="17">
        <f>IF('Components Yr 1'!J831=0,0,'Components Yr 1'!J831)</f>
        <v>0</v>
      </c>
      <c r="K831" s="17">
        <f>IF('Components Yr 1'!K831=0,0,'Components Yr 1'!K831)</f>
        <v>0</v>
      </c>
      <c r="L831" s="12"/>
      <c r="M831" s="12"/>
      <c r="N831" s="12"/>
      <c r="O831" s="12"/>
      <c r="P831" s="12"/>
      <c r="Q831" s="17"/>
      <c r="R831" s="18">
        <f>IF(SUMPRODUCT((E831:Q831)*1)=0,0,E831*INDEX(Hours!M:M,MATCH(C831,Hours!$A:$A,0))+F831*INDEX(Hours!B:B,MATCH(C831,Hours!$A:$A,0))+G831*INDEX(Hours!C:C,MATCH(C831,Hours!$A:$A,0))+H831*INDEX(Hours!D:D,MATCH(C831,Hours!$A:$A,0))+I831*INDEX(Hours!E:E,MATCH(C831,Hours!$A:$A,0))+J831*INDEX(Hours!F:F,MATCH(C831,Hours!$A:$A,0))+K831*INDEX(Hours!G:G,MATCH(C831,Hours!$A:$A,0)))</f>
        <v>0</v>
      </c>
      <c r="S831" s="19">
        <f t="shared" si="25"/>
        <v>0</v>
      </c>
    </row>
    <row r="832" spans="1:19" x14ac:dyDescent="0.25">
      <c r="A832" s="11" t="str">
        <f>'Bldgs &amp; Rooms'!$A$24</f>
        <v>Main Bldg.</v>
      </c>
      <c r="B832" s="11">
        <f>'Bldgs &amp; Rooms'!$B$24</f>
        <v>0</v>
      </c>
      <c r="C832" s="10" t="str">
        <f>Hours!$A$18</f>
        <v>Individual Combination Motor Starter &gt; 100A</v>
      </c>
      <c r="D832" s="11">
        <f t="shared" si="24"/>
        <v>0</v>
      </c>
      <c r="E832" s="16">
        <f>IF('Components Yr 1'!E832=0,0,'Components Yr 1'!E832)</f>
        <v>0</v>
      </c>
      <c r="F832" s="17">
        <f>IF('Components Yr 1'!F832=0,0,'Components Yr 1'!F832)</f>
        <v>0</v>
      </c>
      <c r="G832" s="17">
        <f>IF('Components Yr 1'!G832=0,0,'Components Yr 1'!G832)</f>
        <v>0</v>
      </c>
      <c r="H832" s="17">
        <f>IF('Components Yr 1'!H832=0,0,'Components Yr 1'!H832)</f>
        <v>0</v>
      </c>
      <c r="I832" s="17">
        <f>IF('Components Yr 1'!I832=0,0,'Components Yr 1'!I832)</f>
        <v>0</v>
      </c>
      <c r="J832" s="17">
        <f>IF('Components Yr 1'!J832=0,0,'Components Yr 1'!J832)</f>
        <v>0</v>
      </c>
      <c r="K832" s="17">
        <f>IF('Components Yr 1'!K832=0,0,'Components Yr 1'!K832)</f>
        <v>0</v>
      </c>
      <c r="L832" s="12"/>
      <c r="M832" s="12"/>
      <c r="N832" s="12"/>
      <c r="O832" s="12"/>
      <c r="P832" s="12"/>
      <c r="Q832" s="17"/>
      <c r="R832" s="18">
        <f>IF(SUMPRODUCT((E832:Q832)*1)=0,0,E832*INDEX(Hours!M:M,MATCH(C832,Hours!$A:$A,0))+F832*INDEX(Hours!B:B,MATCH(C832,Hours!$A:$A,0))+G832*INDEX(Hours!C:C,MATCH(C832,Hours!$A:$A,0))+H832*INDEX(Hours!D:D,MATCH(C832,Hours!$A:$A,0))+I832*INDEX(Hours!E:E,MATCH(C832,Hours!$A:$A,0))+J832*INDEX(Hours!F:F,MATCH(C832,Hours!$A:$A,0))+K832*INDEX(Hours!G:G,MATCH(C832,Hours!$A:$A,0)))</f>
        <v>0</v>
      </c>
      <c r="S832" s="19">
        <f t="shared" si="25"/>
        <v>0</v>
      </c>
    </row>
    <row r="833" spans="1:19" x14ac:dyDescent="0.25">
      <c r="A833" s="11" t="str">
        <f>'Bldgs &amp; Rooms'!$A$24</f>
        <v>Main Bldg.</v>
      </c>
      <c r="B833" s="11">
        <f>'Bldgs &amp; Rooms'!$B$24</f>
        <v>0</v>
      </c>
      <c r="C833" s="10" t="str">
        <f>Hours!$A$19</f>
        <v>Oil Filled Transformer - 5kV-15kV Primary - Any Size (Pad Mounted)</v>
      </c>
      <c r="D833" s="11">
        <f t="shared" si="24"/>
        <v>0</v>
      </c>
      <c r="E833" s="16">
        <f>IF('Components Yr 1'!E833=0,0,'Components Yr 1'!E833)</f>
        <v>0</v>
      </c>
      <c r="F833" s="17">
        <f>IF('Components Yr 1'!F833=0,0,'Components Yr 1'!F833)</f>
        <v>0</v>
      </c>
      <c r="G833" s="17">
        <f>IF('Components Yr 1'!G833=0,0,'Components Yr 1'!G833)</f>
        <v>0</v>
      </c>
      <c r="H833" s="17">
        <f>IF('Components Yr 1'!H833=0,0,'Components Yr 1'!H833)</f>
        <v>0</v>
      </c>
      <c r="I833" s="17">
        <f>IF('Components Yr 1'!I833=0,0,'Components Yr 1'!I833)</f>
        <v>0</v>
      </c>
      <c r="J833" s="17">
        <f>IF('Components Yr 1'!J833=0,0,'Components Yr 1'!J833)</f>
        <v>0</v>
      </c>
      <c r="K833" s="12"/>
      <c r="L833" s="12"/>
      <c r="M833" s="17">
        <f>IF('Components Yr 1'!M833=0,0,'Components Yr 1'!M833)</f>
        <v>0</v>
      </c>
      <c r="N833" s="17">
        <f>IF('Components Yr 1'!N833=0,0,'Components Yr 1'!N833)</f>
        <v>0</v>
      </c>
      <c r="O833" s="12"/>
      <c r="P833" s="17">
        <f>IF('Components Yr 1'!P833=0,0,'Components Yr 1'!P833)</f>
        <v>0</v>
      </c>
      <c r="Q833" s="17"/>
      <c r="R833" s="18">
        <f>IF(SUMPRODUCT((E833:Q833)*1)=0,0,E833*INDEX(Hours!M:M,MATCH(C833,Hours!$A:$A,0))+F833*INDEX(Hours!B:B,MATCH(C833,Hours!$A:$A,0))+G833*INDEX(Hours!C:C,MATCH(C833,Hours!$A:$A,0))+H833*INDEX(Hours!D:D,MATCH(C833,Hours!$A:$A,0))+I833*INDEX(Hours!E:E,MATCH(C833,Hours!$A:$A,0))+J833*INDEX(Hours!F:F,MATCH(C833,Hours!$A:$A,0))+M833*INDEX(Hours!I:I,MATCH(C833,Hours!$A:$A,0))+N833*INDEX(Hours!J:J,MATCH(C833,Hours!$A:$A,0))+P833*INDEX(Hours!L:L,MATCH(C833,Hours!$A:$A,0)))</f>
        <v>0</v>
      </c>
      <c r="S833" s="19">
        <f t="shared" si="25"/>
        <v>0</v>
      </c>
    </row>
    <row r="834" spans="1:19" x14ac:dyDescent="0.25">
      <c r="A834" s="11" t="str">
        <f>'Bldgs &amp; Rooms'!$A$24</f>
        <v>Main Bldg.</v>
      </c>
      <c r="B834" s="11">
        <f>'Bldgs &amp; Rooms'!$B$24</f>
        <v>0</v>
      </c>
      <c r="C834" s="10" t="str">
        <f>Hours!$A$20</f>
        <v>Oil Filled Transformer - &gt; 15kV Primary (Substation Class)</v>
      </c>
      <c r="D834" s="11">
        <f t="shared" ref="D834:D897" si="26">MAX(E834+F834,G834,H834,I834,J834,K834,L834,M834,N834,O834,P834,Q834)</f>
        <v>0</v>
      </c>
      <c r="E834" s="16">
        <f>IF('Components Yr 1'!E834=0,0,'Components Yr 1'!E834)</f>
        <v>0</v>
      </c>
      <c r="F834" s="17">
        <f>IF('Components Yr 1'!F834=0,0,'Components Yr 1'!F834)</f>
        <v>0</v>
      </c>
      <c r="G834" s="17">
        <f>IF('Components Yr 1'!G834=0,0,'Components Yr 1'!G834)</f>
        <v>0</v>
      </c>
      <c r="H834" s="17">
        <f>IF('Components Yr 1'!H834=0,0,'Components Yr 1'!H834)</f>
        <v>0</v>
      </c>
      <c r="I834" s="17">
        <f>IF('Components Yr 1'!I834=0,0,'Components Yr 1'!I834)</f>
        <v>0</v>
      </c>
      <c r="J834" s="17">
        <f>IF('Components Yr 1'!J834=0,0,'Components Yr 1'!J834)</f>
        <v>0</v>
      </c>
      <c r="K834" s="12"/>
      <c r="L834" s="12"/>
      <c r="M834" s="17">
        <f>IF('Components Yr 1'!M834=0,0,'Components Yr 1'!M834)</f>
        <v>0</v>
      </c>
      <c r="N834" s="17">
        <f>IF('Components Yr 1'!N834=0,0,'Components Yr 1'!N834)</f>
        <v>0</v>
      </c>
      <c r="O834" s="12"/>
      <c r="P834" s="17">
        <f>IF('Components Yr 1'!P834=0,0,'Components Yr 1'!P834)</f>
        <v>0</v>
      </c>
      <c r="Q834" s="17"/>
      <c r="R834" s="18">
        <f>IF(SUMPRODUCT((E834:Q834)*1)=0,0,E834*INDEX(Hours!M:M,MATCH(C834,Hours!$A:$A,0))+F834*INDEX(Hours!B:B,MATCH(C834,Hours!$A:$A,0))+G834*INDEX(Hours!C:C,MATCH(C834,Hours!$A:$A,0))+H834*INDEX(Hours!D:D,MATCH(C834,Hours!$A:$A,0))+I834*INDEX(Hours!E:E,MATCH(C834,Hours!$A:$A,0))+J834*INDEX(Hours!F:F,MATCH(C834,Hours!$A:$A,0))+M834*INDEX(Hours!I:I,MATCH(C834,Hours!$A:$A,0))+N834*INDEX(Hours!J:J,MATCH(C834,Hours!$A:$A,0))+P834*INDEX(Hours!L:L,MATCH(C834,Hours!$A:$A,0)))</f>
        <v>0</v>
      </c>
      <c r="S834" s="19">
        <f t="shared" ref="S834:S897" si="27">MAX(E834+F834,G834,H834,I834,J834,K834,L834,M834,N834,O834,P834,Q834)</f>
        <v>0</v>
      </c>
    </row>
    <row r="835" spans="1:19" x14ac:dyDescent="0.25">
      <c r="A835" s="11" t="str">
        <f>'Bldgs &amp; Rooms'!$A$24</f>
        <v>Main Bldg.</v>
      </c>
      <c r="B835" s="11">
        <f>'Bldgs &amp; Rooms'!$B$24</f>
        <v>0</v>
      </c>
      <c r="C835" s="10" t="str">
        <f>Hours!$A$21</f>
        <v>Dry Type Transformer - &lt; 480V Primary - Any Size kVA</v>
      </c>
      <c r="D835" s="11">
        <f t="shared" si="26"/>
        <v>0</v>
      </c>
      <c r="E835" s="16">
        <f>IF('Components Yr 1'!E835=0,0,'Components Yr 1'!E835)</f>
        <v>0</v>
      </c>
      <c r="F835" s="17">
        <f>IF('Components Yr 1'!F835=0,0,'Components Yr 1'!F835)</f>
        <v>0</v>
      </c>
      <c r="G835" s="17">
        <f>IF('Components Yr 1'!G835=0,0,'Components Yr 1'!G835)</f>
        <v>0</v>
      </c>
      <c r="H835" s="17">
        <f>IF('Components Yr 1'!H835=0,0,'Components Yr 1'!H835)</f>
        <v>0</v>
      </c>
      <c r="I835" s="17">
        <f>IF('Components Yr 1'!I835=0,0,'Components Yr 1'!I835)</f>
        <v>0</v>
      </c>
      <c r="J835" s="17">
        <f>IF('Components Yr 1'!J835=0,0,'Components Yr 1'!J835)</f>
        <v>0</v>
      </c>
      <c r="K835" s="12"/>
      <c r="L835" s="12"/>
      <c r="M835" s="17">
        <f>IF('Components Yr 1'!M835=0,0,'Components Yr 1'!M835)</f>
        <v>0</v>
      </c>
      <c r="N835" s="17">
        <f>IF('Components Yr 1'!N835=0,0,'Components Yr 1'!N835)</f>
        <v>0</v>
      </c>
      <c r="O835" s="12"/>
      <c r="P835" s="12"/>
      <c r="Q835" s="17"/>
      <c r="R835" s="18">
        <f>IF(SUMPRODUCT((E835:Q835)*1)=0,0,E835*INDEX(Hours!M:M,MATCH(C835,Hours!$A:$A,0))+F835*INDEX(Hours!B:B,MATCH(C835,Hours!$A:$A,0))+G835*INDEX(Hours!C:C,MATCH(C835,Hours!$A:$A,0))+H835*INDEX(Hours!D:D,MATCH(C835,Hours!$A:$A,0))+I835*INDEX(Hours!E:E,MATCH(C835,Hours!$A:$A,0))+J835*INDEX(Hours!F:F,MATCH(C835,Hours!$A:$A,0))+M835*INDEX(Hours!I:I,MATCH(C835,Hours!$A:$A,0))+N835*INDEX(Hours!J:J,MATCH(C835,Hours!$A:$A,0)))</f>
        <v>0</v>
      </c>
      <c r="S835" s="19">
        <f t="shared" si="27"/>
        <v>0</v>
      </c>
    </row>
    <row r="836" spans="1:19" x14ac:dyDescent="0.25">
      <c r="A836" s="11" t="str">
        <f>'Bldgs &amp; Rooms'!$A$24</f>
        <v>Main Bldg.</v>
      </c>
      <c r="B836" s="11">
        <f>'Bldgs &amp; Rooms'!$B$24</f>
        <v>0</v>
      </c>
      <c r="C836" s="10" t="str">
        <f>Hours!$A$22</f>
        <v>Power Factor Correction Capacitors</v>
      </c>
      <c r="D836" s="11">
        <f t="shared" si="26"/>
        <v>0</v>
      </c>
      <c r="E836" s="16">
        <f>IF('Components Yr 1'!E836=0,0,'Components Yr 1'!E836)</f>
        <v>0</v>
      </c>
      <c r="F836" s="17">
        <f>IF('Components Yr 1'!F836=0,0,'Components Yr 1'!F836)</f>
        <v>0</v>
      </c>
      <c r="G836" s="17">
        <f>IF('Components Yr 1'!G836=0,0,'Components Yr 1'!G836)</f>
        <v>0</v>
      </c>
      <c r="H836" s="17">
        <f>IF('Components Yr 1'!H836=0,0,'Components Yr 1'!H836)</f>
        <v>0</v>
      </c>
      <c r="I836" s="17">
        <f>IF('Components Yr 1'!I836=0,0,'Components Yr 1'!I836)</f>
        <v>0</v>
      </c>
      <c r="J836" s="17">
        <f>IF('Components Yr 1'!J836=0,0,'Components Yr 1'!J836)</f>
        <v>0</v>
      </c>
      <c r="K836" s="12"/>
      <c r="L836" s="12"/>
      <c r="M836" s="12"/>
      <c r="N836" s="12"/>
      <c r="O836" s="12"/>
      <c r="P836" s="12"/>
      <c r="Q836" s="17"/>
      <c r="R836" s="18">
        <f>IF(SUMPRODUCT((E836:Q836)*1)=0,0,E836*INDEX(Hours!M:M,MATCH(C836,Hours!$A:$A,0))+F836*INDEX(Hours!B:B,MATCH(C836,Hours!$A:$A,0))+G836*INDEX(Hours!C:C,MATCH(C836,Hours!$A:$A,0))+H836*INDEX(Hours!D:D,MATCH(C836,Hours!$A:$A,0))+I836*INDEX(Hours!E:E,MATCH(C836,Hours!$A:$A,0))+J836*INDEX(Hours!F:F,MATCH(C836,Hours!$A:$A,0)))</f>
        <v>0</v>
      </c>
      <c r="S836" s="19">
        <f t="shared" si="27"/>
        <v>0</v>
      </c>
    </row>
    <row r="837" spans="1:19" x14ac:dyDescent="0.25">
      <c r="A837" s="11" t="str">
        <f>'Bldgs &amp; Rooms'!$A$24</f>
        <v>Main Bldg.</v>
      </c>
      <c r="B837" s="11">
        <f>'Bldgs &amp; Rooms'!$B$24</f>
        <v>0</v>
      </c>
      <c r="C837" s="10" t="str">
        <f>Hours!$A$23</f>
        <v>Lighting Contactor &gt; 100A</v>
      </c>
      <c r="D837" s="11">
        <f t="shared" si="26"/>
        <v>0</v>
      </c>
      <c r="E837" s="16">
        <f>IF('Components Yr 1'!E837=0,0,'Components Yr 1'!E837)</f>
        <v>0</v>
      </c>
      <c r="F837" s="17">
        <f>IF('Components Yr 1'!F837=0,0,'Components Yr 1'!F837)</f>
        <v>0</v>
      </c>
      <c r="G837" s="17">
        <f>IF('Components Yr 1'!G837=0,0,'Components Yr 1'!G837)</f>
        <v>0</v>
      </c>
      <c r="H837" s="17">
        <f>IF('Components Yr 1'!H837=0,0,'Components Yr 1'!H837)</f>
        <v>0</v>
      </c>
      <c r="I837" s="17">
        <f>IF('Components Yr 1'!I837=0,0,'Components Yr 1'!I837)</f>
        <v>0</v>
      </c>
      <c r="J837" s="17">
        <f>IF('Components Yr 1'!J837=0,0,'Components Yr 1'!J837)</f>
        <v>0</v>
      </c>
      <c r="K837" s="12"/>
      <c r="L837" s="12"/>
      <c r="M837" s="12"/>
      <c r="N837" s="12"/>
      <c r="O837" s="12"/>
      <c r="P837" s="12"/>
      <c r="Q837" s="17"/>
      <c r="R837" s="18">
        <f>IF(SUMPRODUCT((E837:Q837)*1)=0,0,E837*INDEX(Hours!M:M,MATCH(C837,Hours!$A:$A,0))+F837*INDEX(Hours!B:B,MATCH(C837,Hours!$A:$A,0))+G837*INDEX(Hours!C:C,MATCH(C837,Hours!$A:$A,0))+H837*INDEX(Hours!D:D,MATCH(C837,Hours!$A:$A,0))+I837*INDEX(Hours!E:E,MATCH(C837,Hours!$A:$A,0))+J837*INDEX(Hours!F:F,MATCH(C837,Hours!$A:$A,0)))</f>
        <v>0</v>
      </c>
      <c r="S837" s="19">
        <f t="shared" si="27"/>
        <v>0</v>
      </c>
    </row>
    <row r="838" spans="1:19" x14ac:dyDescent="0.25">
      <c r="A838" s="11" t="str">
        <f>'Bldgs &amp; Rooms'!$A$24</f>
        <v>Main Bldg.</v>
      </c>
      <c r="B838" s="11">
        <f>'Bldgs &amp; Rooms'!$B$24</f>
        <v>0</v>
      </c>
      <c r="C838" s="10" t="str">
        <f>Hours!$A$24</f>
        <v>Power Distribution Unit (PDU)</v>
      </c>
      <c r="D838" s="11">
        <f t="shared" si="26"/>
        <v>0</v>
      </c>
      <c r="E838" s="16">
        <f>IF('Components Yr 1'!E838=0,0,'Components Yr 1'!E838)</f>
        <v>0</v>
      </c>
      <c r="F838" s="17">
        <f>IF('Components Yr 1'!F838=0,0,'Components Yr 1'!F838)</f>
        <v>0</v>
      </c>
      <c r="G838" s="17">
        <f>IF('Components Yr 1'!G838=0,0,'Components Yr 1'!G838)</f>
        <v>0</v>
      </c>
      <c r="H838" s="17">
        <f>IF('Components Yr 1'!H838=0,0,'Components Yr 1'!H838)</f>
        <v>0</v>
      </c>
      <c r="I838" s="17">
        <f>IF('Components Yr 1'!I838=0,0,'Components Yr 1'!I838)</f>
        <v>0</v>
      </c>
      <c r="J838" s="17">
        <f>IF('Components Yr 1'!J838=0,0,'Components Yr 1'!J838)</f>
        <v>0</v>
      </c>
      <c r="K838" s="12"/>
      <c r="L838" s="12"/>
      <c r="M838" s="12"/>
      <c r="N838" s="12"/>
      <c r="O838" s="12"/>
      <c r="P838" s="12"/>
      <c r="Q838" s="17"/>
      <c r="R838" s="18">
        <f>IF(SUMPRODUCT((E838:Q838)*1)=0,0,E838*INDEX(Hours!M:M,MATCH(C838,Hours!$A:$A,0))+F838*INDEX(Hours!B:B,MATCH(C838,Hours!$A:$A,0))+G838*INDEX(Hours!C:C,MATCH(C838,Hours!$A:$A,0))+H838*INDEX(Hours!D:D,MATCH(C838,Hours!$A:$A,0))+I838*INDEX(Hours!E:E,MATCH(C838,Hours!$A:$A,0))+J838*INDEX(Hours!F:F,MATCH(C838,Hours!$A:$A,0)))</f>
        <v>0</v>
      </c>
      <c r="S838" s="19">
        <f t="shared" si="27"/>
        <v>0</v>
      </c>
    </row>
    <row r="839" spans="1:19" x14ac:dyDescent="0.25">
      <c r="A839" s="11" t="str">
        <f>'Bldgs &amp; Rooms'!$A$24</f>
        <v>Main Bldg.</v>
      </c>
      <c r="B839" s="11">
        <f>'Bldgs &amp; Rooms'!$B$24</f>
        <v>0</v>
      </c>
      <c r="C839" s="10" t="str">
        <f>Hours!$A$25</f>
        <v>Wire Trough, Gutter, or Large Junction Boxes</v>
      </c>
      <c r="D839" s="11">
        <f t="shared" si="26"/>
        <v>0</v>
      </c>
      <c r="E839" s="16">
        <f>IF('Components Yr 1'!E839=0,0,'Components Yr 1'!E839)</f>
        <v>0</v>
      </c>
      <c r="F839" s="17">
        <f>IF('Components Yr 1'!F839=0,0,'Components Yr 1'!F839)</f>
        <v>0</v>
      </c>
      <c r="G839" s="17">
        <f>IF('Components Yr 1'!G839=0,0,'Components Yr 1'!G839)</f>
        <v>0</v>
      </c>
      <c r="H839" s="17">
        <f>IF('Components Yr 1'!H839=0,0,'Components Yr 1'!H839)</f>
        <v>0</v>
      </c>
      <c r="I839" s="17">
        <f>IF('Components Yr 1'!I839=0,0,'Components Yr 1'!I839)</f>
        <v>0</v>
      </c>
      <c r="J839" s="17">
        <f>IF('Components Yr 1'!J839=0,0,'Components Yr 1'!J839)</f>
        <v>0</v>
      </c>
      <c r="K839" s="12"/>
      <c r="L839" s="12"/>
      <c r="M839" s="12"/>
      <c r="N839" s="12"/>
      <c r="O839" s="12"/>
      <c r="P839" s="12"/>
      <c r="Q839" s="17"/>
      <c r="R839" s="18">
        <f>IF(SUMPRODUCT((E839:Q839)*1)=0,0,E839*INDEX(Hours!M:M,MATCH(C839,Hours!$A:$A,0))+F839*INDEX(Hours!B:B,MATCH(C839,Hours!$A:$A,0))+G839*INDEX(Hours!C:C,MATCH(C839,Hours!$A:$A,0))+H839*INDEX(Hours!D:D,MATCH(C839,Hours!$A:$A,0))+I839*INDEX(Hours!E:E,MATCH(C839,Hours!$A:$A,0))+J839*INDEX(Hours!F:F,MATCH(C839,Hours!$A:$A,0)))</f>
        <v>0</v>
      </c>
      <c r="S839" s="19">
        <f t="shared" si="27"/>
        <v>0</v>
      </c>
    </row>
    <row r="840" spans="1:19" x14ac:dyDescent="0.25">
      <c r="A840" s="11" t="str">
        <f>'Bldgs &amp; Rooms'!$A$24</f>
        <v>Main Bldg.</v>
      </c>
      <c r="B840" s="11">
        <f>'Bldgs &amp; Rooms'!$B$24</f>
        <v>0</v>
      </c>
      <c r="C840" s="10" t="str">
        <f>Hours!$A$26</f>
        <v>Bus Duct - Vertical or Horizontal (Per 10' section)</v>
      </c>
      <c r="D840" s="11">
        <f t="shared" si="26"/>
        <v>0</v>
      </c>
      <c r="E840" s="16">
        <f>IF('Components Yr 1'!E840=0,0,'Components Yr 1'!E840)</f>
        <v>0</v>
      </c>
      <c r="F840" s="17">
        <f>IF('Components Yr 1'!F840=0,0,'Components Yr 1'!F840)</f>
        <v>0</v>
      </c>
      <c r="G840" s="17">
        <f>IF('Components Yr 1'!G840=0,0,'Components Yr 1'!G840)</f>
        <v>0</v>
      </c>
      <c r="H840" s="17">
        <f>IF('Components Yr 1'!H840=0,0,'Components Yr 1'!H840)</f>
        <v>0</v>
      </c>
      <c r="I840" s="17">
        <f>IF('Components Yr 1'!I840=0,0,'Components Yr 1'!I840)</f>
        <v>0</v>
      </c>
      <c r="J840" s="17">
        <f>IF('Components Yr 1'!J840=0,0,'Components Yr 1'!J840)</f>
        <v>0</v>
      </c>
      <c r="K840" s="12"/>
      <c r="L840" s="12"/>
      <c r="M840" s="12"/>
      <c r="N840" s="12"/>
      <c r="O840" s="12"/>
      <c r="P840" s="12"/>
      <c r="Q840" s="17"/>
      <c r="R840" s="18">
        <f>IF(SUMPRODUCT((E840:Q840)*1)=0,0,E840*INDEX(Hours!M:M,MATCH(C840,Hours!$A:$A,0))+F840*INDEX(Hours!B:B,MATCH(C840,Hours!$A:$A,0))+G840*INDEX(Hours!C:C,MATCH(C840,Hours!$A:$A,0))+H840*INDEX(Hours!D:D,MATCH(C840,Hours!$A:$A,0))+I840*INDEX(Hours!E:E,MATCH(C840,Hours!$A:$A,0))+J840*INDEX(Hours!F:F,MATCH(C840,Hours!$A:$A,0)))</f>
        <v>0</v>
      </c>
      <c r="S840" s="19">
        <f t="shared" si="27"/>
        <v>0</v>
      </c>
    </row>
    <row r="841" spans="1:19" x14ac:dyDescent="0.25">
      <c r="A841" s="11" t="str">
        <f>'Bldgs &amp; Rooms'!$A$24</f>
        <v>Main Bldg.</v>
      </c>
      <c r="B841" s="11">
        <f>'Bldgs &amp; Rooms'!$B$24</f>
        <v>0</v>
      </c>
      <c r="C841" s="10" t="str">
        <f>Hours!$A$27</f>
        <v>Automatic Transfer Switch (ATS) &gt; 100A</v>
      </c>
      <c r="D841" s="11">
        <f t="shared" si="26"/>
        <v>0</v>
      </c>
      <c r="E841" s="16">
        <f>IF('Components Yr 1'!E841=0,0,'Components Yr 1'!E841)</f>
        <v>0</v>
      </c>
      <c r="F841" s="17">
        <f>IF('Components Yr 1'!F841=0,0,'Components Yr 1'!F841)</f>
        <v>0</v>
      </c>
      <c r="G841" s="17">
        <f>IF('Components Yr 1'!G841=0,0,'Components Yr 1'!G841)</f>
        <v>0</v>
      </c>
      <c r="H841" s="17">
        <f>IF('Components Yr 1'!H841=0,0,'Components Yr 1'!H841)</f>
        <v>0</v>
      </c>
      <c r="I841" s="17">
        <f>IF('Components Yr 1'!I841=0,0,'Components Yr 1'!I841)</f>
        <v>0</v>
      </c>
      <c r="J841" s="17">
        <f>IF('Components Yr 1'!J841=0,0,'Components Yr 1'!J841)</f>
        <v>0</v>
      </c>
      <c r="K841" s="12"/>
      <c r="L841" s="12"/>
      <c r="M841" s="12"/>
      <c r="N841" s="12"/>
      <c r="O841" s="12"/>
      <c r="P841" s="12"/>
      <c r="Q841" s="17"/>
      <c r="R841" s="18">
        <f>IF(SUMPRODUCT((E841:Q841)*1)=0,0,E841*INDEX(Hours!M:M,MATCH(C841,Hours!$A:$A,0))+F841*INDEX(Hours!B:B,MATCH(C841,Hours!$A:$A,0))+G841*INDEX(Hours!C:C,MATCH(C841,Hours!$A:$A,0))+H841*INDEX(Hours!D:D,MATCH(C841,Hours!$A:$A,0))+I841*INDEX(Hours!E:E,MATCH(C841,Hours!$A:$A,0))+J841*INDEX(Hours!F:F,MATCH(C841,Hours!$A:$A,0)))</f>
        <v>0</v>
      </c>
      <c r="S841" s="19">
        <f t="shared" si="27"/>
        <v>0</v>
      </c>
    </row>
    <row r="842" spans="1:19" x14ac:dyDescent="0.25">
      <c r="A842" s="11" t="str">
        <f>'Bldgs &amp; Rooms'!$A$24</f>
        <v>Main Bldg.</v>
      </c>
      <c r="B842" s="11">
        <f>'Bldgs &amp; Rooms'!$B$24</f>
        <v>0</v>
      </c>
      <c r="C842" s="10" t="str">
        <f>Hours!$A$28</f>
        <v>Manual Transfer Switch (MTS) &gt; 100A</v>
      </c>
      <c r="D842" s="11">
        <f t="shared" si="26"/>
        <v>0</v>
      </c>
      <c r="E842" s="16">
        <f>IF('Components Yr 1'!E842=0,0,'Components Yr 1'!E842)</f>
        <v>0</v>
      </c>
      <c r="F842" s="17">
        <f>IF('Components Yr 1'!F842=0,0,'Components Yr 1'!F842)</f>
        <v>0</v>
      </c>
      <c r="G842" s="17">
        <f>IF('Components Yr 1'!G842=0,0,'Components Yr 1'!G842)</f>
        <v>0</v>
      </c>
      <c r="H842" s="17">
        <f>IF('Components Yr 1'!H842=0,0,'Components Yr 1'!H842)</f>
        <v>0</v>
      </c>
      <c r="I842" s="17">
        <f>IF('Components Yr 1'!I842=0,0,'Components Yr 1'!I842)</f>
        <v>0</v>
      </c>
      <c r="J842" s="17">
        <f>IF('Components Yr 1'!J842=0,0,'Components Yr 1'!J842)</f>
        <v>0</v>
      </c>
      <c r="K842" s="12"/>
      <c r="L842" s="12"/>
      <c r="M842" s="12"/>
      <c r="N842" s="12"/>
      <c r="O842" s="12"/>
      <c r="P842" s="12"/>
      <c r="Q842" s="17"/>
      <c r="R842" s="18">
        <f>IF(SUMPRODUCT((E842:Q842)*1)=0,0,E842*INDEX(Hours!M:M,MATCH(C842,Hours!$A:$A,0))+F842*INDEX(Hours!B:B,MATCH(C842,Hours!$A:$A,0))+G842*INDEX(Hours!C:C,MATCH(C842,Hours!$A:$A,0))+H842*INDEX(Hours!D:D,MATCH(C842,Hours!$A:$A,0))+I842*INDEX(Hours!E:E,MATCH(C842,Hours!$A:$A,0))+J842*INDEX(Hours!F:F,MATCH(C842,Hours!$A:$A,0)))</f>
        <v>0</v>
      </c>
      <c r="S842" s="19">
        <f t="shared" si="27"/>
        <v>0</v>
      </c>
    </row>
    <row r="843" spans="1:19" x14ac:dyDescent="0.25">
      <c r="A843" s="11" t="str">
        <f>'Bldgs &amp; Rooms'!$A$24</f>
        <v>Main Bldg.</v>
      </c>
      <c r="B843" s="11">
        <f>'Bldgs &amp; Rooms'!$B$24</f>
        <v>0</v>
      </c>
      <c r="C843" s="10" t="str">
        <f>Hours!$A$29</f>
        <v>Variable Frequency Drives (VFD) &lt; 50 HP</v>
      </c>
      <c r="D843" s="11">
        <f t="shared" si="26"/>
        <v>0</v>
      </c>
      <c r="E843" s="16">
        <f>IF('Components Yr 1'!E843=0,0,'Components Yr 1'!E843)</f>
        <v>0</v>
      </c>
      <c r="F843" s="17">
        <f>IF('Components Yr 1'!F843=0,0,'Components Yr 1'!F843)</f>
        <v>0</v>
      </c>
      <c r="G843" s="17">
        <f>IF('Components Yr 1'!G843=0,0,'Components Yr 1'!G843)</f>
        <v>0</v>
      </c>
      <c r="H843" s="17">
        <f>IF('Components Yr 1'!H843=0,0,'Components Yr 1'!H843)</f>
        <v>0</v>
      </c>
      <c r="I843" s="17">
        <f>IF('Components Yr 1'!I843=0,0,'Components Yr 1'!I843)</f>
        <v>0</v>
      </c>
      <c r="J843" s="17">
        <f>IF('Components Yr 1'!J843=0,0,'Components Yr 1'!J843)</f>
        <v>0</v>
      </c>
      <c r="K843" s="12"/>
      <c r="L843" s="12"/>
      <c r="M843" s="12"/>
      <c r="N843" s="12"/>
      <c r="O843" s="12"/>
      <c r="P843" s="12"/>
      <c r="Q843" s="17"/>
      <c r="R843" s="18">
        <f>IF(SUMPRODUCT((E843:Q843)*1)=0,0,E843*INDEX(Hours!M:M,MATCH(C843,Hours!$A:$A,0))+F843*INDEX(Hours!B:B,MATCH(C843,Hours!$A:$A,0))+G843*INDEX(Hours!C:C,MATCH(C843,Hours!$A:$A,0))+H843*INDEX(Hours!D:D,MATCH(C843,Hours!$A:$A,0))+I843*INDEX(Hours!E:E,MATCH(C843,Hours!$A:$A,0))+J843*INDEX(Hours!F:F,MATCH(C843,Hours!$A:$A,0)))</f>
        <v>0</v>
      </c>
      <c r="S843" s="19">
        <f t="shared" si="27"/>
        <v>0</v>
      </c>
    </row>
    <row r="844" spans="1:19" x14ac:dyDescent="0.25">
      <c r="A844" s="11" t="str">
        <f>'Bldgs &amp; Rooms'!$A$24</f>
        <v>Main Bldg.</v>
      </c>
      <c r="B844" s="11">
        <f>'Bldgs &amp; Rooms'!$B$24</f>
        <v>0</v>
      </c>
      <c r="C844" s="10" t="str">
        <f>Hours!$A$30</f>
        <v>Variable Frequency Drives (VFD) 51-200 HP</v>
      </c>
      <c r="D844" s="11">
        <f t="shared" si="26"/>
        <v>0</v>
      </c>
      <c r="E844" s="16">
        <f>IF('Components Yr 1'!E844=0,0,'Components Yr 1'!E844)</f>
        <v>0</v>
      </c>
      <c r="F844" s="17">
        <f>IF('Components Yr 1'!F844=0,0,'Components Yr 1'!F844)</f>
        <v>0</v>
      </c>
      <c r="G844" s="17">
        <f>IF('Components Yr 1'!G844=0,0,'Components Yr 1'!G844)</f>
        <v>0</v>
      </c>
      <c r="H844" s="17">
        <f>IF('Components Yr 1'!H844=0,0,'Components Yr 1'!H844)</f>
        <v>0</v>
      </c>
      <c r="I844" s="17">
        <f>IF('Components Yr 1'!I844=0,0,'Components Yr 1'!I844)</f>
        <v>0</v>
      </c>
      <c r="J844" s="17">
        <f>IF('Components Yr 1'!J844=0,0,'Components Yr 1'!J844)</f>
        <v>0</v>
      </c>
      <c r="K844" s="12"/>
      <c r="L844" s="12"/>
      <c r="M844" s="12"/>
      <c r="N844" s="12"/>
      <c r="O844" s="12"/>
      <c r="P844" s="12"/>
      <c r="Q844" s="17"/>
      <c r="R844" s="18">
        <f>IF(SUMPRODUCT((E844:Q844)*1)=0,0,E844*INDEX(Hours!M:M,MATCH(C844,Hours!$A:$A,0))+F844*INDEX(Hours!B:B,MATCH(C844,Hours!$A:$A,0))+G844*INDEX(Hours!C:C,MATCH(C844,Hours!$A:$A,0))+H844*INDEX(Hours!D:D,MATCH(C844,Hours!$A:$A,0))+I844*INDEX(Hours!E:E,MATCH(C844,Hours!$A:$A,0))+J844*INDEX(Hours!F:F,MATCH(C844,Hours!$A:$A,0)))</f>
        <v>0</v>
      </c>
      <c r="S844" s="19">
        <f t="shared" si="27"/>
        <v>0</v>
      </c>
    </row>
    <row r="845" spans="1:19" x14ac:dyDescent="0.25">
      <c r="A845" s="11" t="str">
        <f>'Bldgs &amp; Rooms'!$A$24</f>
        <v>Main Bldg.</v>
      </c>
      <c r="B845" s="11">
        <f>'Bldgs &amp; Rooms'!$B$24</f>
        <v>0</v>
      </c>
      <c r="C845" s="10" t="str">
        <f>Hours!$A$31</f>
        <v>Motors &lt; 50 HP</v>
      </c>
      <c r="D845" s="11">
        <f t="shared" si="26"/>
        <v>0</v>
      </c>
      <c r="E845" s="16">
        <f>IF('Components Yr 1'!E845=0,0,'Components Yr 1'!E845)</f>
        <v>0</v>
      </c>
      <c r="F845" s="17">
        <f>IF('Components Yr 1'!F845=0,0,'Components Yr 1'!F845)</f>
        <v>0</v>
      </c>
      <c r="G845" s="17">
        <f>IF('Components Yr 1'!G845=0,0,'Components Yr 1'!G845)</f>
        <v>0</v>
      </c>
      <c r="H845" s="17">
        <f>IF('Components Yr 1'!H845=0,0,'Components Yr 1'!H845)</f>
        <v>0</v>
      </c>
      <c r="I845" s="17">
        <f>IF('Components Yr 1'!I845=0,0,'Components Yr 1'!I845)</f>
        <v>0</v>
      </c>
      <c r="J845" s="17">
        <f>IF('Components Yr 1'!J845=0,0,'Components Yr 1'!J845)</f>
        <v>0</v>
      </c>
      <c r="K845" s="12"/>
      <c r="L845" s="12"/>
      <c r="M845" s="12"/>
      <c r="N845" s="12"/>
      <c r="O845" s="12"/>
      <c r="P845" s="12"/>
      <c r="Q845" s="17"/>
      <c r="R845" s="18">
        <f>IF(SUMPRODUCT((E845:Q845)*1)=0,0,E845*INDEX(Hours!M:M,MATCH(C845,Hours!$A:$A,0))+F845*INDEX(Hours!B:B,MATCH(C845,Hours!$A:$A,0))+G845*INDEX(Hours!C:C,MATCH(C845,Hours!$A:$A,0))+H845*INDEX(Hours!D:D,MATCH(C845,Hours!$A:$A,0))+I845*INDEX(Hours!E:E,MATCH(C845,Hours!$A:$A,0))+J845*INDEX(Hours!F:F,MATCH(C845,Hours!$A:$A,0)))</f>
        <v>0</v>
      </c>
      <c r="S845" s="19">
        <f t="shared" si="27"/>
        <v>0</v>
      </c>
    </row>
    <row r="846" spans="1:19" x14ac:dyDescent="0.25">
      <c r="A846" s="11" t="str">
        <f>'Bldgs &amp; Rooms'!$A$24</f>
        <v>Main Bldg.</v>
      </c>
      <c r="B846" s="11">
        <f>'Bldgs &amp; Rooms'!$B$24</f>
        <v>0</v>
      </c>
      <c r="C846" s="10" t="str">
        <f>Hours!$A$32</f>
        <v>Motors 51-200 HP</v>
      </c>
      <c r="D846" s="11">
        <f t="shared" si="26"/>
        <v>0</v>
      </c>
      <c r="E846" s="16">
        <f>IF('Components Yr 1'!E846=0,0,'Components Yr 1'!E846)</f>
        <v>0</v>
      </c>
      <c r="F846" s="17">
        <f>IF('Components Yr 1'!F846=0,0,'Components Yr 1'!F846)</f>
        <v>0</v>
      </c>
      <c r="G846" s="17">
        <f>IF('Components Yr 1'!G846=0,0,'Components Yr 1'!G846)</f>
        <v>0</v>
      </c>
      <c r="H846" s="17">
        <f>IF('Components Yr 1'!H846=0,0,'Components Yr 1'!H846)</f>
        <v>0</v>
      </c>
      <c r="I846" s="17">
        <f>IF('Components Yr 1'!I846=0,0,'Components Yr 1'!I846)</f>
        <v>0</v>
      </c>
      <c r="J846" s="17">
        <f>IF('Components Yr 1'!J846=0,0,'Components Yr 1'!J846)</f>
        <v>0</v>
      </c>
      <c r="K846" s="12"/>
      <c r="L846" s="12"/>
      <c r="M846" s="12"/>
      <c r="N846" s="12"/>
      <c r="O846" s="12"/>
      <c r="P846" s="12"/>
      <c r="Q846" s="17"/>
      <c r="R846" s="18">
        <f>IF(SUMPRODUCT((E846:Q846)*1)=0,0,E846*INDEX(Hours!M:M,MATCH(C846,Hours!$A:$A,0))+F846*INDEX(Hours!B:B,MATCH(C846,Hours!$A:$A,0))+G846*INDEX(Hours!C:C,MATCH(C846,Hours!$A:$A,0))+H846*INDEX(Hours!D:D,MATCH(C846,Hours!$A:$A,0))+I846*INDEX(Hours!E:E,MATCH(C846,Hours!$A:$A,0))+J846*INDEX(Hours!F:F,MATCH(C846,Hours!$A:$A,0)))</f>
        <v>0</v>
      </c>
      <c r="S846" s="19">
        <f t="shared" si="27"/>
        <v>0</v>
      </c>
    </row>
    <row r="847" spans="1:19" x14ac:dyDescent="0.25">
      <c r="A847" s="11" t="str">
        <f>'Bldgs &amp; Rooms'!$A$24</f>
        <v>Main Bldg.</v>
      </c>
      <c r="B847" s="11">
        <f>'Bldgs &amp; Rooms'!$B$24</f>
        <v>0</v>
      </c>
      <c r="C847" s="10" t="str">
        <f>Hours!$A$33</f>
        <v>Motors 201-500 HP</v>
      </c>
      <c r="D847" s="11">
        <f t="shared" si="26"/>
        <v>0</v>
      </c>
      <c r="E847" s="16">
        <f>IF('Components Yr 1'!E847=0,0,'Components Yr 1'!E847)</f>
        <v>0</v>
      </c>
      <c r="F847" s="17">
        <f>IF('Components Yr 1'!F847=0,0,'Components Yr 1'!F847)</f>
        <v>0</v>
      </c>
      <c r="G847" s="17">
        <f>IF('Components Yr 1'!G847=0,0,'Components Yr 1'!G847)</f>
        <v>0</v>
      </c>
      <c r="H847" s="17">
        <f>IF('Components Yr 1'!H847=0,0,'Components Yr 1'!H847)</f>
        <v>0</v>
      </c>
      <c r="I847" s="17">
        <f>IF('Components Yr 1'!I847=0,0,'Components Yr 1'!I847)</f>
        <v>0</v>
      </c>
      <c r="J847" s="17">
        <f>IF('Components Yr 1'!J847=0,0,'Components Yr 1'!J847)</f>
        <v>0</v>
      </c>
      <c r="K847" s="12"/>
      <c r="L847" s="12"/>
      <c r="M847" s="12"/>
      <c r="N847" s="12"/>
      <c r="O847" s="12"/>
      <c r="P847" s="12"/>
      <c r="Q847" s="17"/>
      <c r="R847" s="18">
        <f>IF(SUMPRODUCT((E847:Q847)*1)=0,0,E847*INDEX(Hours!M:M,MATCH(C847,Hours!$A:$A,0))+F847*INDEX(Hours!B:B,MATCH(C847,Hours!$A:$A,0))+G847*INDEX(Hours!C:C,MATCH(C847,Hours!$A:$A,0))+H847*INDEX(Hours!D:D,MATCH(C847,Hours!$A:$A,0))+I847*INDEX(Hours!E:E,MATCH(C847,Hours!$A:$A,0))+J847*INDEX(Hours!F:F,MATCH(C847,Hours!$A:$A,0)))</f>
        <v>0</v>
      </c>
      <c r="S847" s="19">
        <f t="shared" si="27"/>
        <v>0</v>
      </c>
    </row>
    <row r="848" spans="1:19" x14ac:dyDescent="0.25">
      <c r="A848" s="11" t="str">
        <f>'Bldgs &amp; Rooms'!$A$24</f>
        <v>Main Bldg.</v>
      </c>
      <c r="B848" s="11">
        <f>'Bldgs &amp; Rooms'!$B$24</f>
        <v>0</v>
      </c>
      <c r="C848" s="10" t="str">
        <f>Hours!$A$34</f>
        <v>Compressed Air Equipment</v>
      </c>
      <c r="D848" s="11">
        <f t="shared" si="26"/>
        <v>0</v>
      </c>
      <c r="E848" s="16">
        <f>IF('Components Yr 1'!E848=0,0,'Components Yr 1'!E848)</f>
        <v>0</v>
      </c>
      <c r="F848" s="17">
        <f>IF('Components Yr 1'!F848=0,0,'Components Yr 1'!F848)</f>
        <v>0</v>
      </c>
      <c r="G848" s="17">
        <f>IF('Components Yr 1'!G848=0,0,'Components Yr 1'!G848)</f>
        <v>0</v>
      </c>
      <c r="H848" s="17">
        <f>IF('Components Yr 1'!H848=0,0,'Components Yr 1'!H848)</f>
        <v>0</v>
      </c>
      <c r="I848" s="17">
        <f>IF('Components Yr 1'!I848=0,0,'Components Yr 1'!I848)</f>
        <v>0</v>
      </c>
      <c r="J848" s="17">
        <f>IF('Components Yr 1'!J848=0,0,'Components Yr 1'!J848)</f>
        <v>0</v>
      </c>
      <c r="K848" s="12"/>
      <c r="L848" s="12"/>
      <c r="M848" s="12"/>
      <c r="N848" s="12"/>
      <c r="O848" s="12"/>
      <c r="P848" s="12"/>
      <c r="Q848" s="17"/>
      <c r="R848" s="18">
        <f>IF(SUMPRODUCT((E848:Q848)*1)=0,0,E848*INDEX(Hours!M:M,MATCH(C848,Hours!$A:$A,0))+F848*INDEX(Hours!B:B,MATCH(C848,Hours!$A:$A,0))+G848*INDEX(Hours!C:C,MATCH(C848,Hours!$A:$A,0))+H848*INDEX(Hours!D:D,MATCH(C848,Hours!$A:$A,0))+I848*INDEX(Hours!E:E,MATCH(C848,Hours!$A:$A,0))+J848*INDEX(Hours!F:F,MATCH(C848,Hours!$A:$A,0)))</f>
        <v>0</v>
      </c>
      <c r="S848" s="19">
        <f t="shared" si="27"/>
        <v>0</v>
      </c>
    </row>
    <row r="849" spans="1:19" x14ac:dyDescent="0.25">
      <c r="A849" s="11" t="str">
        <f>'Bldgs &amp; Rooms'!$A$24</f>
        <v>Main Bldg.</v>
      </c>
      <c r="B849" s="11">
        <f>'Bldgs &amp; Rooms'!$B$24</f>
        <v>0</v>
      </c>
      <c r="C849" s="10" t="str">
        <f>Hours!$A$35</f>
        <v>HVAC Equipment (Large)</v>
      </c>
      <c r="D849" s="11">
        <f t="shared" si="26"/>
        <v>0</v>
      </c>
      <c r="E849" s="16">
        <f>IF('Components Yr 1'!E849=0,0,'Components Yr 1'!E849)</f>
        <v>0</v>
      </c>
      <c r="F849" s="17">
        <f>IF('Components Yr 1'!F849=0,0,'Components Yr 1'!F849)</f>
        <v>0</v>
      </c>
      <c r="G849" s="17">
        <f>IF('Components Yr 1'!G849=0,0,'Components Yr 1'!G849)</f>
        <v>0</v>
      </c>
      <c r="H849" s="17">
        <f>IF('Components Yr 1'!H849=0,0,'Components Yr 1'!H849)</f>
        <v>0</v>
      </c>
      <c r="I849" s="17">
        <f>IF('Components Yr 1'!I849=0,0,'Components Yr 1'!I849)</f>
        <v>0</v>
      </c>
      <c r="J849" s="17">
        <f>IF('Components Yr 1'!J849=0,0,'Components Yr 1'!J849)</f>
        <v>0</v>
      </c>
      <c r="K849" s="12"/>
      <c r="L849" s="12"/>
      <c r="M849" s="12"/>
      <c r="N849" s="12"/>
      <c r="O849" s="12"/>
      <c r="P849" s="12"/>
      <c r="Q849" s="17"/>
      <c r="R849" s="18">
        <f>IF(SUMPRODUCT((E849:Q849)*1)=0,0,E849*INDEX(Hours!M:M,MATCH(C849,Hours!$A:$A,0))+F849*INDEX(Hours!B:B,MATCH(C849,Hours!$A:$A,0))+G849*INDEX(Hours!C:C,MATCH(C849,Hours!$A:$A,0))+H849*INDEX(Hours!D:D,MATCH(C849,Hours!$A:$A,0))+I849*INDEX(Hours!E:E,MATCH(C849,Hours!$A:$A,0))+J849*INDEX(Hours!F:F,MATCH(C849,Hours!$A:$A,0)))</f>
        <v>0</v>
      </c>
      <c r="S849" s="19">
        <f t="shared" si="27"/>
        <v>0</v>
      </c>
    </row>
    <row r="850" spans="1:19" x14ac:dyDescent="0.25">
      <c r="A850" s="11" t="str">
        <f>'Bldgs &amp; Rooms'!$A$24</f>
        <v>Main Bldg.</v>
      </c>
      <c r="B850" s="11">
        <f>'Bldgs &amp; Rooms'!$B$24</f>
        <v>0</v>
      </c>
      <c r="C850" s="10" t="str">
        <f>Hours!$A$36</f>
        <v>HVAC Equipment (Small)</v>
      </c>
      <c r="D850" s="11">
        <f t="shared" si="26"/>
        <v>0</v>
      </c>
      <c r="E850" s="16">
        <f>IF('Components Yr 1'!E850=0,0,'Components Yr 1'!E850)</f>
        <v>0</v>
      </c>
      <c r="F850" s="17">
        <f>IF('Components Yr 1'!F850=0,0,'Components Yr 1'!F850)</f>
        <v>0</v>
      </c>
      <c r="G850" s="17">
        <f>IF('Components Yr 1'!G850=0,0,'Components Yr 1'!G850)</f>
        <v>0</v>
      </c>
      <c r="H850" s="17">
        <f>IF('Components Yr 1'!H850=0,0,'Components Yr 1'!H850)</f>
        <v>0</v>
      </c>
      <c r="I850" s="17">
        <f>IF('Components Yr 1'!I850=0,0,'Components Yr 1'!I850)</f>
        <v>0</v>
      </c>
      <c r="J850" s="17">
        <f>IF('Components Yr 1'!J850=0,0,'Components Yr 1'!J850)</f>
        <v>0</v>
      </c>
      <c r="K850" s="12"/>
      <c r="L850" s="12"/>
      <c r="M850" s="12"/>
      <c r="N850" s="12"/>
      <c r="O850" s="12"/>
      <c r="P850" s="12"/>
      <c r="Q850" s="17"/>
      <c r="R850" s="18">
        <f>IF(SUMPRODUCT((E850:Q850)*1)=0,0,E850*INDEX(Hours!M:M,MATCH(C850,Hours!$A:$A,0))+F850*INDEX(Hours!B:B,MATCH(C850,Hours!$A:$A,0))+G850*INDEX(Hours!C:C,MATCH(C850,Hours!$A:$A,0))+H850*INDEX(Hours!D:D,MATCH(C850,Hours!$A:$A,0))+I850*INDEX(Hours!E:E,MATCH(C850,Hours!$A:$A,0))+J850*INDEX(Hours!F:F,MATCH(C850,Hours!$A:$A,0)))</f>
        <v>0</v>
      </c>
      <c r="S850" s="19">
        <f t="shared" si="27"/>
        <v>0</v>
      </c>
    </row>
    <row r="851" spans="1:19" x14ac:dyDescent="0.25">
      <c r="A851" s="11" t="str">
        <f>'Bldgs &amp; Rooms'!$A$24</f>
        <v>Main Bldg.</v>
      </c>
      <c r="B851" s="11">
        <f>'Bldgs &amp; Rooms'!$B$24</f>
        <v>0</v>
      </c>
      <c r="C851" s="10" t="str">
        <f>Hours!$A$37</f>
        <v>Uninterruptible Power Supply (UPS) &lt; 50kVA</v>
      </c>
      <c r="D851" s="11">
        <f t="shared" si="26"/>
        <v>0</v>
      </c>
      <c r="E851" s="16">
        <f>IF('Components Yr 1'!E851=0,0,'Components Yr 1'!E851)</f>
        <v>0</v>
      </c>
      <c r="F851" s="17">
        <f>IF('Components Yr 1'!F851=0,0,'Components Yr 1'!F851)</f>
        <v>0</v>
      </c>
      <c r="G851" s="17">
        <f>IF('Components Yr 1'!G851=0,0,'Components Yr 1'!G851)</f>
        <v>0</v>
      </c>
      <c r="H851" s="17">
        <f>IF('Components Yr 1'!H851=0,0,'Components Yr 1'!H851)</f>
        <v>0</v>
      </c>
      <c r="I851" s="17">
        <f>IF('Components Yr 1'!I851=0,0,'Components Yr 1'!I851)</f>
        <v>0</v>
      </c>
      <c r="J851" s="17">
        <f>IF('Components Yr 1'!J851=0,0,'Components Yr 1'!J851)</f>
        <v>0</v>
      </c>
      <c r="K851" s="12"/>
      <c r="L851" s="12"/>
      <c r="M851" s="12"/>
      <c r="N851" s="12"/>
      <c r="O851" s="12"/>
      <c r="P851" s="12"/>
      <c r="Q851" s="17"/>
      <c r="R851" s="18">
        <f>IF(SUMPRODUCT((E851:Q851)*1)=0,0,E851*INDEX(Hours!M:M,MATCH(C851,Hours!$A:$A,0))+F851*INDEX(Hours!B:B,MATCH(C851,Hours!$A:$A,0))+G851*INDEX(Hours!C:C,MATCH(C851,Hours!$A:$A,0))+H851*INDEX(Hours!D:D,MATCH(C851,Hours!$A:$A,0))+I851*INDEX(Hours!E:E,MATCH(C851,Hours!$A:$A,0))+J851*INDEX(Hours!F:F,MATCH(C851,Hours!$A:$A,0)))</f>
        <v>0</v>
      </c>
      <c r="S851" s="19">
        <f t="shared" si="27"/>
        <v>0</v>
      </c>
    </row>
    <row r="852" spans="1:19" x14ac:dyDescent="0.25">
      <c r="A852" s="11" t="str">
        <f>'Bldgs &amp; Rooms'!$A$24</f>
        <v>Main Bldg.</v>
      </c>
      <c r="B852" s="11">
        <f>'Bldgs &amp; Rooms'!$B$24</f>
        <v>0</v>
      </c>
      <c r="C852" s="10" t="str">
        <f>Hours!$A$38</f>
        <v>Uninterruptible Power Supply (UPS) &gt; 50kVA</v>
      </c>
      <c r="D852" s="11">
        <f t="shared" si="26"/>
        <v>0</v>
      </c>
      <c r="E852" s="16">
        <f>IF('Components Yr 1'!E852=0,0,'Components Yr 1'!E852)</f>
        <v>0</v>
      </c>
      <c r="F852" s="17">
        <f>IF('Components Yr 1'!F852=0,0,'Components Yr 1'!F852)</f>
        <v>0</v>
      </c>
      <c r="G852" s="17">
        <f>IF('Components Yr 1'!G852=0,0,'Components Yr 1'!G852)</f>
        <v>0</v>
      </c>
      <c r="H852" s="17">
        <f>IF('Components Yr 1'!H852=0,0,'Components Yr 1'!H852)</f>
        <v>0</v>
      </c>
      <c r="I852" s="17">
        <f>IF('Components Yr 1'!I852=0,0,'Components Yr 1'!I852)</f>
        <v>0</v>
      </c>
      <c r="J852" s="17">
        <f>IF('Components Yr 1'!J852=0,0,'Components Yr 1'!J852)</f>
        <v>0</v>
      </c>
      <c r="K852" s="12"/>
      <c r="L852" s="12"/>
      <c r="M852" s="12"/>
      <c r="N852" s="12"/>
      <c r="O852" s="12"/>
      <c r="P852" s="12"/>
      <c r="Q852" s="17"/>
      <c r="R852" s="18">
        <f>IF(SUMPRODUCT((E852:Q852)*1)=0,0,E852*INDEX(Hours!M:M,MATCH(C852,Hours!$A:$A,0))+F852*INDEX(Hours!B:B,MATCH(C852,Hours!$A:$A,0))+G852*INDEX(Hours!C:C,MATCH(C852,Hours!$A:$A,0))+H852*INDEX(Hours!D:D,MATCH(C852,Hours!$A:$A,0))+I852*INDEX(Hours!E:E,MATCH(C852,Hours!$A:$A,0))+J852*INDEX(Hours!F:F,MATCH(C852,Hours!$A:$A,0)))</f>
        <v>0</v>
      </c>
      <c r="S852" s="19">
        <f t="shared" si="27"/>
        <v>0</v>
      </c>
    </row>
    <row r="853" spans="1:19" x14ac:dyDescent="0.25">
      <c r="A853" s="15" t="str">
        <f>'Bldgs &amp; Rooms'!$A$25</f>
        <v>Main Bldg.</v>
      </c>
      <c r="B853" s="15">
        <f>'Bldgs &amp; Rooms'!$B$25</f>
        <v>0</v>
      </c>
      <c r="C853" s="14" t="str">
        <f>Hours!$A$2</f>
        <v>Switchgear - Incoming Main Service (Per Section)</v>
      </c>
      <c r="D853" s="15">
        <f t="shared" si="26"/>
        <v>0</v>
      </c>
      <c r="E853" s="16">
        <f>IF('Components Yr 1'!E853=0,0,'Components Yr 1'!E853)</f>
        <v>0</v>
      </c>
      <c r="F853" s="17">
        <f>IF('Components Yr 1'!F853=0,0,'Components Yr 1'!F853)</f>
        <v>0</v>
      </c>
      <c r="G853" s="17">
        <f>IF('Components Yr 1'!G853=0,0,'Components Yr 1'!G853)</f>
        <v>0</v>
      </c>
      <c r="H853" s="17">
        <f>IF('Components Yr 1'!H853=0,0,'Components Yr 1'!H853)</f>
        <v>0</v>
      </c>
      <c r="I853" s="17">
        <f>IF('Components Yr 1'!I853=0,0,'Components Yr 1'!I853)</f>
        <v>0</v>
      </c>
      <c r="J853" s="17">
        <f>IF('Components Yr 1'!J853=0,0,'Components Yr 1'!J853)</f>
        <v>0</v>
      </c>
      <c r="K853" s="17">
        <f>IF('Components Yr 1'!K853=0,0,'Components Yr 1'!K853)</f>
        <v>0</v>
      </c>
      <c r="L853" s="17">
        <f>IF('Components Yr 1'!L853=0,0,'Components Yr 1'!L853)</f>
        <v>0</v>
      </c>
      <c r="M853" s="12"/>
      <c r="N853" s="12"/>
      <c r="O853" s="17">
        <f>IF('Components Yr 1'!O853=0,0,'Components Yr 1'!O853)</f>
        <v>0</v>
      </c>
      <c r="P853" s="12"/>
      <c r="Q853" s="17"/>
      <c r="R853" s="18">
        <f>IF(SUMPRODUCT((E853:Q853)*1)=0,0,E853*INDEX(Hours!M:M,MATCH(C853,Hours!$A:$A,0))+F853*INDEX(Hours!B:B,MATCH(C853,Hours!$A:$A,0))+G853*INDEX(Hours!C:C,MATCH(C853,Hours!$A:$A,0))+H853*INDEX(Hours!D:D,MATCH(C853,Hours!$A:$A,0))+I853*INDEX(Hours!E:E,MATCH(C853,Hours!$A:$A,0))+J853*INDEX(Hours!F:F,MATCH(C853,Hours!$A:$A,0))+K853*INDEX(Hours!G:G,MATCH(C853,Hours!$A:$A,0))+L853*INDEX(Hours!H:H,MATCH(C853,Hours!$A:$A,0))+O853*INDEX(Hours!K:K,MATCH(C853,Hours!$A:$A,0)))</f>
        <v>0</v>
      </c>
      <c r="S853" s="19">
        <f t="shared" si="27"/>
        <v>0</v>
      </c>
    </row>
    <row r="854" spans="1:19" x14ac:dyDescent="0.25">
      <c r="A854" s="15" t="str">
        <f>'Bldgs &amp; Rooms'!$A$25</f>
        <v>Main Bldg.</v>
      </c>
      <c r="B854" s="15">
        <f>'Bldgs &amp; Rooms'!$B$25</f>
        <v>0</v>
      </c>
      <c r="C854" s="14" t="str">
        <f>Hours!$A$3</f>
        <v xml:space="preserve">  Switchgear Insulated Case Breakers (Bus Mounted)</v>
      </c>
      <c r="D854" s="15">
        <f t="shared" si="26"/>
        <v>0</v>
      </c>
      <c r="E854" s="16">
        <f>IF('Components Yr 1'!E854=0,0,'Components Yr 1'!E854)</f>
        <v>0</v>
      </c>
      <c r="F854" s="17">
        <f>IF('Components Yr 1'!F854=0,0,'Components Yr 1'!F854)</f>
        <v>0</v>
      </c>
      <c r="G854" s="17">
        <f>IF('Components Yr 1'!G854=0,0,'Components Yr 1'!G854)</f>
        <v>0</v>
      </c>
      <c r="H854" s="17">
        <f>IF('Components Yr 1'!H854=0,0,'Components Yr 1'!H854)</f>
        <v>0</v>
      </c>
      <c r="I854" s="17">
        <f>IF('Components Yr 1'!I854=0,0,'Components Yr 1'!I854)</f>
        <v>0</v>
      </c>
      <c r="J854" s="17">
        <f>IF('Components Yr 1'!J854=0,0,'Components Yr 1'!J854)</f>
        <v>0</v>
      </c>
      <c r="K854" s="17">
        <f>IF('Components Yr 1'!K854=0,0,'Components Yr 1'!K854)</f>
        <v>0</v>
      </c>
      <c r="L854" s="12"/>
      <c r="M854" s="12"/>
      <c r="N854" s="12"/>
      <c r="O854" s="12"/>
      <c r="P854" s="12"/>
      <c r="Q854" s="17"/>
      <c r="R854" s="18">
        <f>IF(SUMPRODUCT((E854:Q854)*1)=0,0,E854*INDEX(Hours!M:M,MATCH(C854,Hours!$A:$A,0))+F854*INDEX(Hours!B:B,MATCH(C854,Hours!$A:$A,0))+G854*INDEX(Hours!C:C,MATCH(C854,Hours!$A:$A,0))+H854*INDEX(Hours!D:D,MATCH(C854,Hours!$A:$A,0))+I854*INDEX(Hours!E:E,MATCH(C854,Hours!$A:$A,0))+J854*INDEX(Hours!F:F,MATCH(C854,Hours!$A:$A,0))+K854*INDEX(Hours!G:G,MATCH(C854,Hours!$A:$A,0)))</f>
        <v>0</v>
      </c>
      <c r="S854" s="19">
        <f t="shared" si="27"/>
        <v>0</v>
      </c>
    </row>
    <row r="855" spans="1:19" x14ac:dyDescent="0.25">
      <c r="A855" s="15" t="str">
        <f>'Bldgs &amp; Rooms'!$A$25</f>
        <v>Main Bldg.</v>
      </c>
      <c r="B855" s="15">
        <f>'Bldgs &amp; Rooms'!$B$25</f>
        <v>0</v>
      </c>
      <c r="C855" s="14" t="str">
        <f>Hours!$A$4</f>
        <v xml:space="preserve">  SwitchGear Drawout Breakers</v>
      </c>
      <c r="D855" s="15">
        <f t="shared" si="26"/>
        <v>0</v>
      </c>
      <c r="E855" s="16">
        <f>IF('Components Yr 1'!E855=0,0,'Components Yr 1'!E855)</f>
        <v>0</v>
      </c>
      <c r="F855" s="17">
        <f>IF('Components Yr 1'!F855=0,0,'Components Yr 1'!F855)</f>
        <v>0</v>
      </c>
      <c r="G855" s="17">
        <f>IF('Components Yr 1'!G855=0,0,'Components Yr 1'!G855)</f>
        <v>0</v>
      </c>
      <c r="H855" s="17">
        <f>IF('Components Yr 1'!H855=0,0,'Components Yr 1'!H855)</f>
        <v>0</v>
      </c>
      <c r="I855" s="17">
        <f>IF('Components Yr 1'!I855=0,0,'Components Yr 1'!I855)</f>
        <v>0</v>
      </c>
      <c r="J855" s="17">
        <f>IF('Components Yr 1'!J855=0,0,'Components Yr 1'!J855)</f>
        <v>0</v>
      </c>
      <c r="K855" s="12"/>
      <c r="L855" s="17">
        <f>IF('Components Yr 1'!L855=0,0,'Components Yr 1'!L855)</f>
        <v>0</v>
      </c>
      <c r="M855" s="12"/>
      <c r="N855" s="12"/>
      <c r="O855" s="12"/>
      <c r="P855" s="12"/>
      <c r="Q855" s="17"/>
      <c r="R855" s="18">
        <f>IF(SUMPRODUCT((E855:Q855)*1)=0,0,E855*INDEX(Hours!M:M,MATCH(C855,Hours!$A:$A,0))+F855*INDEX(Hours!B:B,MATCH(C855,Hours!$A:$A,0))+G855*INDEX(Hours!C:C,MATCH(C855,Hours!$A:$A,0))+H855*INDEX(Hours!D:D,MATCH(C855,Hours!$A:$A,0))+I855*INDEX(Hours!E:E,MATCH(C855,Hours!$A:$A,0))+J855*INDEX(Hours!F:F,MATCH(C855,Hours!$A:$A,0))+L855*INDEX(Hours!H:H,MATCH(C855,Hours!$A:$A,0)))</f>
        <v>0</v>
      </c>
      <c r="S855" s="19">
        <f t="shared" si="27"/>
        <v>0</v>
      </c>
    </row>
    <row r="856" spans="1:19" x14ac:dyDescent="0.25">
      <c r="A856" s="15" t="str">
        <f>'Bldgs &amp; Rooms'!$A$25</f>
        <v>Main Bldg.</v>
      </c>
      <c r="B856" s="15">
        <f>'Bldgs &amp; Rooms'!$B$25</f>
        <v>0</v>
      </c>
      <c r="C856" s="14" t="str">
        <f>Hours!$A$5</f>
        <v>Distribution Switchboard Multi Cover (Per Section)</v>
      </c>
      <c r="D856" s="15">
        <f t="shared" si="26"/>
        <v>0</v>
      </c>
      <c r="E856" s="16">
        <f>IF('Components Yr 1'!E856=0,0,'Components Yr 1'!E856)</f>
        <v>0</v>
      </c>
      <c r="F856" s="17">
        <f>IF('Components Yr 1'!F856=0,0,'Components Yr 1'!F856)</f>
        <v>0</v>
      </c>
      <c r="G856" s="17">
        <f>IF('Components Yr 1'!G856=0,0,'Components Yr 1'!G856)</f>
        <v>0</v>
      </c>
      <c r="H856" s="17">
        <f>IF('Components Yr 1'!H856=0,0,'Components Yr 1'!H856)</f>
        <v>0</v>
      </c>
      <c r="I856" s="17">
        <f>IF('Components Yr 1'!I856=0,0,'Components Yr 1'!I856)</f>
        <v>0</v>
      </c>
      <c r="J856" s="17">
        <f>IF('Components Yr 1'!J856=0,0,'Components Yr 1'!J856)</f>
        <v>0</v>
      </c>
      <c r="K856" s="17">
        <f>IF('Components Yr 1'!K856=0,0,'Components Yr 1'!K856)</f>
        <v>0</v>
      </c>
      <c r="L856" s="12"/>
      <c r="M856" s="12"/>
      <c r="N856" s="12"/>
      <c r="O856" s="17">
        <f>IF('Components Yr 1'!O856=0,0,'Components Yr 1'!O856)</f>
        <v>0</v>
      </c>
      <c r="P856" s="12"/>
      <c r="Q856" s="17"/>
      <c r="R856" s="18">
        <f>IF(SUMPRODUCT((E856:Q856)*1)=0,0,E856*INDEX(Hours!M:M,MATCH(C856,Hours!$A:$A,0))+F856*INDEX(Hours!B:B,MATCH(C856,Hours!$A:$A,0))+G856*INDEX(Hours!C:C,MATCH(C856,Hours!$A:$A,0))+H856*INDEX(Hours!D:D,MATCH(C856,Hours!$A:$A,0))+I856*INDEX(Hours!E:E,MATCH(C856,Hours!$A:$A,0))+J856*INDEX(Hours!F:F,MATCH(C856,Hours!$A:$A,0))+K856*INDEX(Hours!G:G,MATCH(C856,Hours!$A:$A,0))+O856*INDEX(Hours!K:K,MATCH(C856,Hours!$A:$A,0)))</f>
        <v>0</v>
      </c>
      <c r="S856" s="19">
        <f t="shared" si="27"/>
        <v>0</v>
      </c>
    </row>
    <row r="857" spans="1:19" x14ac:dyDescent="0.25">
      <c r="A857" s="15" t="str">
        <f>'Bldgs &amp; Rooms'!$A$25</f>
        <v>Main Bldg.</v>
      </c>
      <c r="B857" s="15">
        <f>'Bldgs &amp; Rooms'!$B$25</f>
        <v>0</v>
      </c>
      <c r="C857" s="14" t="str">
        <f>Hours!$A$6</f>
        <v xml:space="preserve">  Switchboard Disconnects</v>
      </c>
      <c r="D857" s="15">
        <f t="shared" si="26"/>
        <v>0</v>
      </c>
      <c r="E857" s="16">
        <f>IF('Components Yr 1'!E857=0,0,'Components Yr 1'!E857)</f>
        <v>0</v>
      </c>
      <c r="F857" s="17">
        <f>IF('Components Yr 1'!F857=0,0,'Components Yr 1'!F857)</f>
        <v>0</v>
      </c>
      <c r="G857" s="17">
        <f>IF('Components Yr 1'!G857=0,0,'Components Yr 1'!G857)</f>
        <v>0</v>
      </c>
      <c r="H857" s="17">
        <f>IF('Components Yr 1'!H857=0,0,'Components Yr 1'!H857)</f>
        <v>0</v>
      </c>
      <c r="I857" s="17">
        <f>IF('Components Yr 1'!I857=0,0,'Components Yr 1'!I857)</f>
        <v>0</v>
      </c>
      <c r="J857" s="17">
        <f>IF('Components Yr 1'!J857=0,0,'Components Yr 1'!J857)</f>
        <v>0</v>
      </c>
      <c r="K857" s="12"/>
      <c r="L857" s="12"/>
      <c r="M857" s="12"/>
      <c r="N857" s="12"/>
      <c r="O857" s="12"/>
      <c r="P857" s="12"/>
      <c r="Q857" s="17"/>
      <c r="R857" s="18">
        <f>IF(SUMPRODUCT((E857:Q857)*1)=0,0,E857*INDEX(Hours!M:M,MATCH(C857,Hours!$A:$A,0))+F857*INDEX(Hours!B:B,MATCH(C857,Hours!$A:$A,0))+G857*INDEX(Hours!C:C,MATCH(C857,Hours!$A:$A,0))+H857*INDEX(Hours!D:D,MATCH(C857,Hours!$A:$A,0))+I857*INDEX(Hours!E:E,MATCH(C857,Hours!$A:$A,0))+J857*INDEX(Hours!F:F,MATCH(C857,Hours!$A:$A,0)))</f>
        <v>0</v>
      </c>
      <c r="S857" s="19">
        <f t="shared" si="27"/>
        <v>0</v>
      </c>
    </row>
    <row r="858" spans="1:19" x14ac:dyDescent="0.25">
      <c r="A858" s="15" t="str">
        <f>'Bldgs &amp; Rooms'!$A$25</f>
        <v>Main Bldg.</v>
      </c>
      <c r="B858" s="15">
        <f>'Bldgs &amp; Rooms'!$B$25</f>
        <v>0</v>
      </c>
      <c r="C858" s="14" t="str">
        <f>Hours!$A$7</f>
        <v xml:space="preserve">  Switchboard Molded Case Breakers</v>
      </c>
      <c r="D858" s="15">
        <f t="shared" si="26"/>
        <v>0</v>
      </c>
      <c r="E858" s="16">
        <f>IF('Components Yr 1'!E858=0,0,'Components Yr 1'!E858)</f>
        <v>0</v>
      </c>
      <c r="F858" s="17">
        <f>IF('Components Yr 1'!F858=0,0,'Components Yr 1'!F858)</f>
        <v>0</v>
      </c>
      <c r="G858" s="17">
        <f>IF('Components Yr 1'!G858=0,0,'Components Yr 1'!G858)</f>
        <v>0</v>
      </c>
      <c r="H858" s="17">
        <f>IF('Components Yr 1'!H858=0,0,'Components Yr 1'!H858)</f>
        <v>0</v>
      </c>
      <c r="I858" s="17">
        <f>IF('Components Yr 1'!I858=0,0,'Components Yr 1'!I858)</f>
        <v>0</v>
      </c>
      <c r="J858" s="17">
        <f>IF('Components Yr 1'!J858=0,0,'Components Yr 1'!J858)</f>
        <v>0</v>
      </c>
      <c r="K858" s="17">
        <f>IF('Components Yr 1'!K858=0,0,'Components Yr 1'!K858)</f>
        <v>0</v>
      </c>
      <c r="L858" s="12"/>
      <c r="M858" s="12"/>
      <c r="N858" s="12"/>
      <c r="O858" s="12"/>
      <c r="P858" s="12"/>
      <c r="Q858" s="17"/>
      <c r="R858" s="18">
        <f>IF(SUMPRODUCT((E858:Q858)*1)=0,0,E858*INDEX(Hours!M:M,MATCH(C858,Hours!$A:$A,0))+F858*INDEX(Hours!B:B,MATCH(C858,Hours!$A:$A,0))+G858*INDEX(Hours!C:C,MATCH(C858,Hours!$A:$A,0))+H858*INDEX(Hours!D:D,MATCH(C858,Hours!$A:$A,0))+I858*INDEX(Hours!E:E,MATCH(C858,Hours!$A:$A,0))+J858*INDEX(Hours!F:F,MATCH(C858,Hours!$A:$A,0))+K858*INDEX(Hours!G:G,MATCH(C858,Hours!$A:$A,0)))</f>
        <v>0</v>
      </c>
      <c r="S858" s="19">
        <f t="shared" si="27"/>
        <v>0</v>
      </c>
    </row>
    <row r="859" spans="1:19" x14ac:dyDescent="0.25">
      <c r="A859" s="15" t="str">
        <f>'Bldgs &amp; Rooms'!$A$25</f>
        <v>Main Bldg.</v>
      </c>
      <c r="B859" s="15">
        <f>'Bldgs &amp; Rooms'!$B$25</f>
        <v>0</v>
      </c>
      <c r="C859" s="14" t="str">
        <f>Hours!$A$8</f>
        <v>Panelboard-Single Cover &gt; 400A (Distribution Panel)</v>
      </c>
      <c r="D859" s="15">
        <f t="shared" si="26"/>
        <v>0</v>
      </c>
      <c r="E859" s="16">
        <f>IF('Components Yr 1'!E859=0,0,'Components Yr 1'!E859)</f>
        <v>0</v>
      </c>
      <c r="F859" s="17">
        <f>IF('Components Yr 1'!F859=0,0,'Components Yr 1'!F859)</f>
        <v>0</v>
      </c>
      <c r="G859" s="17">
        <f>IF('Components Yr 1'!G859=0,0,'Components Yr 1'!G859)</f>
        <v>0</v>
      </c>
      <c r="H859" s="17">
        <f>IF('Components Yr 1'!H859=0,0,'Components Yr 1'!H859)</f>
        <v>0</v>
      </c>
      <c r="I859" s="17">
        <f>IF('Components Yr 1'!I859=0,0,'Components Yr 1'!I859)</f>
        <v>0</v>
      </c>
      <c r="J859" s="17">
        <f>IF('Components Yr 1'!J859=0,0,'Components Yr 1'!J859)</f>
        <v>0</v>
      </c>
      <c r="K859" s="17">
        <f>IF('Components Yr 1'!K859=0,0,'Components Yr 1'!K859)</f>
        <v>0</v>
      </c>
      <c r="L859" s="12"/>
      <c r="M859" s="12"/>
      <c r="N859" s="12"/>
      <c r="O859" s="17">
        <f>IF('Components Yr 1'!O859=0,0,'Components Yr 1'!O859)</f>
        <v>0</v>
      </c>
      <c r="P859" s="12"/>
      <c r="Q859" s="17"/>
      <c r="R859" s="18">
        <f>IF(SUMPRODUCT((E859:Q859)*1)=0,0,E859*INDEX(Hours!M:M,MATCH(C859,Hours!$A:$A,0))+F859*INDEX(Hours!B:B,MATCH(C859,Hours!$A:$A,0))+G859*INDEX(Hours!C:C,MATCH(C859,Hours!$A:$A,0))+H859*INDEX(Hours!D:D,MATCH(C859,Hours!$A:$A,0))+I859*INDEX(Hours!E:E,MATCH(C859,Hours!$A:$A,0))+J859*INDEX(Hours!F:F,MATCH(C859,Hours!$A:$A,0))+K859*INDEX(Hours!G:G,MATCH(C859,Hours!$A:$A,0))+O859*INDEX(Hours!K:K,MATCH(C859,Hours!$A:$A,0)))</f>
        <v>0</v>
      </c>
      <c r="S859" s="19">
        <f t="shared" si="27"/>
        <v>0</v>
      </c>
    </row>
    <row r="860" spans="1:19" x14ac:dyDescent="0.25">
      <c r="A860" s="15" t="str">
        <f>'Bldgs &amp; Rooms'!$A$25</f>
        <v>Main Bldg.</v>
      </c>
      <c r="B860" s="15">
        <f>'Bldgs &amp; Rooms'!$B$25</f>
        <v>0</v>
      </c>
      <c r="C860" s="14" t="str">
        <f>Hours!$A$9</f>
        <v>Panelboard-Single Cover &lt; 400A (Branch Ckt Panel)</v>
      </c>
      <c r="D860" s="15">
        <f t="shared" si="26"/>
        <v>0</v>
      </c>
      <c r="E860" s="16">
        <f>IF('Components Yr 1'!E860=0,0,'Components Yr 1'!E860)</f>
        <v>0</v>
      </c>
      <c r="F860" s="17">
        <f>IF('Components Yr 1'!F860=0,0,'Components Yr 1'!F860)</f>
        <v>0</v>
      </c>
      <c r="G860" s="17">
        <f>IF('Components Yr 1'!G860=0,0,'Components Yr 1'!G860)</f>
        <v>0</v>
      </c>
      <c r="H860" s="17">
        <f>IF('Components Yr 1'!H860=0,0,'Components Yr 1'!H860)</f>
        <v>0</v>
      </c>
      <c r="I860" s="17">
        <f>IF('Components Yr 1'!I860=0,0,'Components Yr 1'!I860)</f>
        <v>0</v>
      </c>
      <c r="J860" s="17">
        <f>IF('Components Yr 1'!J860=0,0,'Components Yr 1'!J860)</f>
        <v>0</v>
      </c>
      <c r="K860" s="12"/>
      <c r="L860" s="12"/>
      <c r="M860" s="12"/>
      <c r="N860" s="12"/>
      <c r="O860" s="17">
        <f>IF('Components Yr 1'!O860=0,0,'Components Yr 1'!O860)</f>
        <v>0</v>
      </c>
      <c r="P860" s="12"/>
      <c r="Q860" s="17"/>
      <c r="R860" s="18">
        <f>IF(SUMPRODUCT((E860:Q860)*1)=0,0,E860*INDEX(Hours!M:M,MATCH(C860,Hours!$A:$A,0))+F860*INDEX(Hours!B:B,MATCH(C860,Hours!$A:$A,0))+G860*INDEX(Hours!C:C,MATCH(C860,Hours!$A:$A,0))+H860*INDEX(Hours!D:D,MATCH(C860,Hours!$A:$A,0))+I860*INDEX(Hours!E:E,MATCH(C860,Hours!$A:$A,0))+J860*INDEX(Hours!F:F,MATCH(C860,Hours!$A:$A,0))+O860*INDEX(Hours!K:K,MATCH(C860,Hours!$A:$A,0)))</f>
        <v>0</v>
      </c>
      <c r="S860" s="19">
        <f t="shared" si="27"/>
        <v>0</v>
      </c>
    </row>
    <row r="861" spans="1:19" x14ac:dyDescent="0.25">
      <c r="A861" s="15" t="str">
        <f>'Bldgs &amp; Rooms'!$A$25</f>
        <v>Main Bldg.</v>
      </c>
      <c r="B861" s="15">
        <f>'Bldgs &amp; Rooms'!$B$25</f>
        <v>0</v>
      </c>
      <c r="C861" s="14" t="str">
        <f>Hours!$A$10</f>
        <v>Motor Control Center (MCC-Per Vertical Section)</v>
      </c>
      <c r="D861" s="15">
        <f t="shared" si="26"/>
        <v>0</v>
      </c>
      <c r="E861" s="16">
        <f>IF('Components Yr 1'!E861=0,0,'Components Yr 1'!E861)</f>
        <v>0</v>
      </c>
      <c r="F861" s="17">
        <f>IF('Components Yr 1'!F861=0,0,'Components Yr 1'!F861)</f>
        <v>0</v>
      </c>
      <c r="G861" s="17">
        <f>IF('Components Yr 1'!G861=0,0,'Components Yr 1'!G861)</f>
        <v>0</v>
      </c>
      <c r="H861" s="17">
        <f>IF('Components Yr 1'!H861=0,0,'Components Yr 1'!H861)</f>
        <v>0</v>
      </c>
      <c r="I861" s="17">
        <f>IF('Components Yr 1'!I861=0,0,'Components Yr 1'!I861)</f>
        <v>0</v>
      </c>
      <c r="J861" s="17">
        <f>IF('Components Yr 1'!J861=0,0,'Components Yr 1'!J861)</f>
        <v>0</v>
      </c>
      <c r="K861" s="12"/>
      <c r="L861" s="12"/>
      <c r="M861" s="12"/>
      <c r="N861" s="12"/>
      <c r="O861" s="17">
        <f>IF('Components Yr 1'!O861=0,0,'Components Yr 1'!O861)</f>
        <v>0</v>
      </c>
      <c r="P861" s="12"/>
      <c r="Q861" s="17"/>
      <c r="R861" s="18">
        <f>IF(SUMPRODUCT((E861:Q861)*1)=0,0,E861*INDEX(Hours!M:M,MATCH(C861,Hours!$A:$A,0))+F861*INDEX(Hours!B:B,MATCH(C861,Hours!$A:$A,0))+G861*INDEX(Hours!C:C,MATCH(C861,Hours!$A:$A,0))+H861*INDEX(Hours!D:D,MATCH(C861,Hours!$A:$A,0))+I861*INDEX(Hours!E:E,MATCH(C861,Hours!$A:$A,0))+J861*INDEX(Hours!F:F,MATCH(C861,Hours!$A:$A,0))+O861*INDEX(Hours!K:K,MATCH(C861,Hours!$A:$A,0)))</f>
        <v>0</v>
      </c>
      <c r="S861" s="19">
        <f t="shared" si="27"/>
        <v>0</v>
      </c>
    </row>
    <row r="862" spans="1:19" x14ac:dyDescent="0.25">
      <c r="A862" s="15" t="str">
        <f>'Bldgs &amp; Rooms'!$A$25</f>
        <v>Main Bldg.</v>
      </c>
      <c r="B862" s="15">
        <f>'Bldgs &amp; Rooms'!$B$25</f>
        <v>0</v>
      </c>
      <c r="C862" s="14" t="str">
        <f>Hours!$A$11</f>
        <v xml:space="preserve">  MCC: Combination Motor Starters</v>
      </c>
      <c r="D862" s="15">
        <f t="shared" si="26"/>
        <v>0</v>
      </c>
      <c r="E862" s="16">
        <f>IF('Components Yr 1'!E862=0,0,'Components Yr 1'!E862)</f>
        <v>0</v>
      </c>
      <c r="F862" s="17">
        <f>IF('Components Yr 1'!F862=0,0,'Components Yr 1'!F862)</f>
        <v>0</v>
      </c>
      <c r="G862" s="17">
        <f>IF('Components Yr 1'!G862=0,0,'Components Yr 1'!G862)</f>
        <v>0</v>
      </c>
      <c r="H862" s="17">
        <f>IF('Components Yr 1'!H862=0,0,'Components Yr 1'!H862)</f>
        <v>0</v>
      </c>
      <c r="I862" s="17">
        <f>IF('Components Yr 1'!I862=0,0,'Components Yr 1'!I862)</f>
        <v>0</v>
      </c>
      <c r="J862" s="17">
        <f>IF('Components Yr 1'!J862=0,0,'Components Yr 1'!J862)</f>
        <v>0</v>
      </c>
      <c r="K862" s="17">
        <f>IF('Components Yr 1'!K862=0,0,'Components Yr 1'!K862)</f>
        <v>0</v>
      </c>
      <c r="L862" s="12"/>
      <c r="M862" s="12"/>
      <c r="N862" s="12"/>
      <c r="O862" s="17">
        <f>IF('Components Yr 1'!O862=0,0,'Components Yr 1'!O862)</f>
        <v>0</v>
      </c>
      <c r="P862" s="12"/>
      <c r="Q862" s="17"/>
      <c r="R862" s="18">
        <f>IF(SUMPRODUCT((E862:Q862)*1)=0,0,E862*INDEX(Hours!M:M,MATCH(C862,Hours!$A:$A,0))+F862*INDEX(Hours!B:B,MATCH(C862,Hours!$A:$A,0))+G862*INDEX(Hours!C:C,MATCH(C862,Hours!$A:$A,0))+H862*INDEX(Hours!D:D,MATCH(C862,Hours!$A:$A,0))+I862*INDEX(Hours!E:E,MATCH(C862,Hours!$A:$A,0))+J862*INDEX(Hours!F:F,MATCH(C862,Hours!$A:$A,0))+K862*INDEX(Hours!G:G,MATCH(C862,Hours!$A:$A,0))+O862*INDEX(Hours!K:K,MATCH(C862,Hours!$A:$A,0)))</f>
        <v>0</v>
      </c>
      <c r="S862" s="19">
        <f t="shared" si="27"/>
        <v>0</v>
      </c>
    </row>
    <row r="863" spans="1:19" x14ac:dyDescent="0.25">
      <c r="A863" s="15" t="str">
        <f>'Bldgs &amp; Rooms'!$A$25</f>
        <v>Main Bldg.</v>
      </c>
      <c r="B863" s="15">
        <f>'Bldgs &amp; Rooms'!$B$25</f>
        <v>0</v>
      </c>
      <c r="C863" s="14" t="str">
        <f>Hours!$A$12</f>
        <v xml:space="preserve">  MCC: Molded Case Breaker</v>
      </c>
      <c r="D863" s="15">
        <f t="shared" si="26"/>
        <v>0</v>
      </c>
      <c r="E863" s="16">
        <f>IF('Components Yr 1'!E863=0,0,'Components Yr 1'!E863)</f>
        <v>0</v>
      </c>
      <c r="F863" s="17">
        <f>IF('Components Yr 1'!F863=0,0,'Components Yr 1'!F863)</f>
        <v>0</v>
      </c>
      <c r="G863" s="17">
        <f>IF('Components Yr 1'!G863=0,0,'Components Yr 1'!G863)</f>
        <v>0</v>
      </c>
      <c r="H863" s="17">
        <f>IF('Components Yr 1'!H863=0,0,'Components Yr 1'!H863)</f>
        <v>0</v>
      </c>
      <c r="I863" s="17">
        <f>IF('Components Yr 1'!I863=0,0,'Components Yr 1'!I863)</f>
        <v>0</v>
      </c>
      <c r="J863" s="17">
        <f>IF('Components Yr 1'!J863=0,0,'Components Yr 1'!J863)</f>
        <v>0</v>
      </c>
      <c r="K863" s="17">
        <f>IF('Components Yr 1'!K863=0,0,'Components Yr 1'!K863)</f>
        <v>0</v>
      </c>
      <c r="L863" s="12"/>
      <c r="M863" s="12"/>
      <c r="N863" s="12"/>
      <c r="O863" s="12"/>
      <c r="P863" s="12"/>
      <c r="Q863" s="17"/>
      <c r="R863" s="18">
        <f>IF(SUMPRODUCT((E863:Q863)*1)=0,0,E863*INDEX(Hours!M:M,MATCH(C863,Hours!$A:$A,0))+F863*INDEX(Hours!B:B,MATCH(C863,Hours!$A:$A,0))+G863*INDEX(Hours!C:C,MATCH(C863,Hours!$A:$A,0))+H863*INDEX(Hours!D:D,MATCH(C863,Hours!$A:$A,0))+I863*INDEX(Hours!E:E,MATCH(C863,Hours!$A:$A,0))+J863*INDEX(Hours!F:F,MATCH(C863,Hours!$A:$A,0))+K863*INDEX(Hours!G:G,MATCH(C863,Hours!$A:$A,0)))</f>
        <v>0</v>
      </c>
      <c r="S863" s="19">
        <f t="shared" si="27"/>
        <v>0</v>
      </c>
    </row>
    <row r="864" spans="1:19" x14ac:dyDescent="0.25">
      <c r="A864" s="15" t="str">
        <f>'Bldgs &amp; Rooms'!$A$25</f>
        <v>Main Bldg.</v>
      </c>
      <c r="B864" s="15">
        <f>'Bldgs &amp; Rooms'!$B$25</f>
        <v>0</v>
      </c>
      <c r="C864" s="14" t="str">
        <f>Hours!$A$13</f>
        <v xml:space="preserve">  MCC: Individual Disconnect Switch</v>
      </c>
      <c r="D864" s="15">
        <f t="shared" si="26"/>
        <v>0</v>
      </c>
      <c r="E864" s="16">
        <f>IF('Components Yr 1'!E864=0,0,'Components Yr 1'!E864)</f>
        <v>0</v>
      </c>
      <c r="F864" s="17">
        <f>IF('Components Yr 1'!F864=0,0,'Components Yr 1'!F864)</f>
        <v>0</v>
      </c>
      <c r="G864" s="17">
        <f>IF('Components Yr 1'!G864=0,0,'Components Yr 1'!G864)</f>
        <v>0</v>
      </c>
      <c r="H864" s="17">
        <f>IF('Components Yr 1'!H864=0,0,'Components Yr 1'!H864)</f>
        <v>0</v>
      </c>
      <c r="I864" s="17">
        <f>IF('Components Yr 1'!I864=0,0,'Components Yr 1'!I864)</f>
        <v>0</v>
      </c>
      <c r="J864" s="17">
        <f>IF('Components Yr 1'!J864=0,0,'Components Yr 1'!J864)</f>
        <v>0</v>
      </c>
      <c r="K864" s="12"/>
      <c r="L864" s="12"/>
      <c r="M864" s="12"/>
      <c r="N864" s="12"/>
      <c r="O864" s="12"/>
      <c r="P864" s="12"/>
      <c r="Q864" s="17"/>
      <c r="R864" s="18">
        <f>IF(SUMPRODUCT((E864:Q864)*1)=0,0,E864*INDEX(Hours!M:M,MATCH(C864,Hours!$A:$A,0))+F864*INDEX(Hours!B:B,MATCH(C864,Hours!$A:$A,0))+G864*INDEX(Hours!C:C,MATCH(C864,Hours!$A:$A,0))+H864*INDEX(Hours!D:D,MATCH(C864,Hours!$A:$A,0))+I864*INDEX(Hours!E:E,MATCH(C864,Hours!$A:$A,0))+J864*INDEX(Hours!F:F,MATCH(C864,Hours!$A:$A,0)))</f>
        <v>0</v>
      </c>
      <c r="S864" s="19">
        <f t="shared" si="27"/>
        <v>0</v>
      </c>
    </row>
    <row r="865" spans="1:19" x14ac:dyDescent="0.25">
      <c r="A865" s="15" t="str">
        <f>'Bldgs &amp; Rooms'!$A$25</f>
        <v>Main Bldg.</v>
      </c>
      <c r="B865" s="15">
        <f>'Bldgs &amp; Rooms'!$B$25</f>
        <v>0</v>
      </c>
      <c r="C865" s="14" t="str">
        <f>Hours!$A$14</f>
        <v>Motor Control Panel (MCP)</v>
      </c>
      <c r="D865" s="15">
        <f t="shared" si="26"/>
        <v>0</v>
      </c>
      <c r="E865" s="16">
        <f>IF('Components Yr 1'!E865=0,0,'Components Yr 1'!E865)</f>
        <v>0</v>
      </c>
      <c r="F865" s="17">
        <f>IF('Components Yr 1'!F865=0,0,'Components Yr 1'!F865)</f>
        <v>0</v>
      </c>
      <c r="G865" s="17">
        <f>IF('Components Yr 1'!G865=0,0,'Components Yr 1'!G865)</f>
        <v>0</v>
      </c>
      <c r="H865" s="17">
        <f>IF('Components Yr 1'!H865=0,0,'Components Yr 1'!H865)</f>
        <v>0</v>
      </c>
      <c r="I865" s="17">
        <f>IF('Components Yr 1'!I865=0,0,'Components Yr 1'!I865)</f>
        <v>0</v>
      </c>
      <c r="J865" s="17">
        <f>IF('Components Yr 1'!J865=0,0,'Components Yr 1'!J865)</f>
        <v>0</v>
      </c>
      <c r="K865" s="12"/>
      <c r="L865" s="12"/>
      <c r="M865" s="12"/>
      <c r="N865" s="12"/>
      <c r="O865" s="17">
        <f>IF('Components Yr 1'!O865=0,0,'Components Yr 1'!O865)</f>
        <v>0</v>
      </c>
      <c r="P865" s="12"/>
      <c r="Q865" s="17"/>
      <c r="R865" s="18">
        <f>IF(SUMPRODUCT((E865:Q865)*1)=0,0,E865*INDEX(Hours!M:M,MATCH(C865,Hours!$A:$A,0))+F865*INDEX(Hours!B:B,MATCH(C865,Hours!$A:$A,0))+G865*INDEX(Hours!C:C,MATCH(C865,Hours!$A:$A,0))+H865*INDEX(Hours!D:D,MATCH(C865,Hours!$A:$A,0))+I865*INDEX(Hours!E:E,MATCH(C865,Hours!$A:$A,0))+J865*INDEX(Hours!F:F,MATCH(C865,Hours!$A:$A,0))+O865*INDEX(Hours!K:K,MATCH(C865,Hours!$A:$A,0)))</f>
        <v>0</v>
      </c>
      <c r="S865" s="19">
        <f t="shared" si="27"/>
        <v>0</v>
      </c>
    </row>
    <row r="866" spans="1:19" x14ac:dyDescent="0.25">
      <c r="A866" s="15" t="str">
        <f>'Bldgs &amp; Rooms'!$A$25</f>
        <v>Main Bldg.</v>
      </c>
      <c r="B866" s="15">
        <f>'Bldgs &amp; Rooms'!$B$25</f>
        <v>0</v>
      </c>
      <c r="C866" s="14" t="str">
        <f>Hours!$A$15</f>
        <v>VFD Motor Control Panel (VFD-MCP)</v>
      </c>
      <c r="D866" s="15">
        <f t="shared" si="26"/>
        <v>0</v>
      </c>
      <c r="E866" s="16">
        <f>IF('Components Yr 1'!E866=0,0,'Components Yr 1'!E866)</f>
        <v>0</v>
      </c>
      <c r="F866" s="17">
        <f>IF('Components Yr 1'!F866=0,0,'Components Yr 1'!F866)</f>
        <v>0</v>
      </c>
      <c r="G866" s="17">
        <f>IF('Components Yr 1'!G866=0,0,'Components Yr 1'!G866)</f>
        <v>0</v>
      </c>
      <c r="H866" s="17">
        <f>IF('Components Yr 1'!H866=0,0,'Components Yr 1'!H866)</f>
        <v>0</v>
      </c>
      <c r="I866" s="17">
        <f>IF('Components Yr 1'!I866=0,0,'Components Yr 1'!I866)</f>
        <v>0</v>
      </c>
      <c r="J866" s="17">
        <f>IF('Components Yr 1'!J866=0,0,'Components Yr 1'!J866)</f>
        <v>0</v>
      </c>
      <c r="K866" s="12"/>
      <c r="L866" s="12"/>
      <c r="M866" s="12"/>
      <c r="N866" s="12"/>
      <c r="O866" s="17">
        <f>IF('Components Yr 1'!O866=0,0,'Components Yr 1'!O866)</f>
        <v>0</v>
      </c>
      <c r="P866" s="12"/>
      <c r="Q866" s="17"/>
      <c r="R866" s="18">
        <f>IF(SUMPRODUCT((E866:Q866)*1)=0,0,E866*INDEX(Hours!M:M,MATCH(C866,Hours!$A:$A,0))+F866*INDEX(Hours!B:B,MATCH(C866,Hours!$A:$A,0))+G866*INDEX(Hours!C:C,MATCH(C866,Hours!$A:$A,0))+H866*INDEX(Hours!D:D,MATCH(C866,Hours!$A:$A,0))+I866*INDEX(Hours!E:E,MATCH(C866,Hours!$A:$A,0))+J866*INDEX(Hours!F:F,MATCH(C866,Hours!$A:$A,0))+O866*INDEX(Hours!K:K,MATCH(C866,Hours!$A:$A,0)))</f>
        <v>0</v>
      </c>
      <c r="S866" s="19">
        <f t="shared" si="27"/>
        <v>0</v>
      </c>
    </row>
    <row r="867" spans="1:19" x14ac:dyDescent="0.25">
      <c r="A867" s="15" t="str">
        <f>'Bldgs &amp; Rooms'!$A$25</f>
        <v>Main Bldg.</v>
      </c>
      <c r="B867" s="15">
        <f>'Bldgs &amp; Rooms'!$B$25</f>
        <v>0</v>
      </c>
      <c r="C867" s="14" t="str">
        <f>Hours!$A$16</f>
        <v>Individual Disconnect Switch &gt; 100A</v>
      </c>
      <c r="D867" s="15">
        <f t="shared" si="26"/>
        <v>0</v>
      </c>
      <c r="E867" s="16">
        <f>IF('Components Yr 1'!E867=0,0,'Components Yr 1'!E867)</f>
        <v>0</v>
      </c>
      <c r="F867" s="17">
        <f>IF('Components Yr 1'!F867=0,0,'Components Yr 1'!F867)</f>
        <v>0</v>
      </c>
      <c r="G867" s="17">
        <f>IF('Components Yr 1'!G867=0,0,'Components Yr 1'!G867)</f>
        <v>0</v>
      </c>
      <c r="H867" s="17">
        <f>IF('Components Yr 1'!H867=0,0,'Components Yr 1'!H867)</f>
        <v>0</v>
      </c>
      <c r="I867" s="17">
        <f>IF('Components Yr 1'!I867=0,0,'Components Yr 1'!I867)</f>
        <v>0</v>
      </c>
      <c r="J867" s="17">
        <f>IF('Components Yr 1'!J867=0,0,'Components Yr 1'!J867)</f>
        <v>0</v>
      </c>
      <c r="K867" s="17">
        <f>IF('Components Yr 1'!K867=0,0,'Components Yr 1'!K867)</f>
        <v>0</v>
      </c>
      <c r="L867" s="12"/>
      <c r="M867" s="12"/>
      <c r="N867" s="12"/>
      <c r="O867" s="12"/>
      <c r="P867" s="12"/>
      <c r="Q867" s="17"/>
      <c r="R867" s="18">
        <f>IF(SUMPRODUCT((E867:Q867)*1)=0,0,E867*INDEX(Hours!M:M,MATCH(C867,Hours!$A:$A,0))+F867*INDEX(Hours!B:B,MATCH(C867,Hours!$A:$A,0))+G867*INDEX(Hours!C:C,MATCH(C867,Hours!$A:$A,0))+H867*INDEX(Hours!D:D,MATCH(C867,Hours!$A:$A,0))+I867*INDEX(Hours!E:E,MATCH(C867,Hours!$A:$A,0))+J867*INDEX(Hours!F:F,MATCH(C867,Hours!$A:$A,0))+K867*INDEX(Hours!G:G,MATCH(C867,Hours!$A:$A,0)))</f>
        <v>0</v>
      </c>
      <c r="S867" s="19">
        <f t="shared" si="27"/>
        <v>0</v>
      </c>
    </row>
    <row r="868" spans="1:19" x14ac:dyDescent="0.25">
      <c r="A868" s="15" t="str">
        <f>'Bldgs &amp; Rooms'!$A$25</f>
        <v>Main Bldg.</v>
      </c>
      <c r="B868" s="15">
        <f>'Bldgs &amp; Rooms'!$B$25</f>
        <v>0</v>
      </c>
      <c r="C868" s="14" t="str">
        <f>Hours!$A$17</f>
        <v>Individual Molded Case Breaker &gt; 100A</v>
      </c>
      <c r="D868" s="15">
        <f t="shared" si="26"/>
        <v>0</v>
      </c>
      <c r="E868" s="16">
        <f>IF('Components Yr 1'!E868=0,0,'Components Yr 1'!E868)</f>
        <v>0</v>
      </c>
      <c r="F868" s="17">
        <f>IF('Components Yr 1'!F868=0,0,'Components Yr 1'!F868)</f>
        <v>0</v>
      </c>
      <c r="G868" s="17">
        <f>IF('Components Yr 1'!G868=0,0,'Components Yr 1'!G868)</f>
        <v>0</v>
      </c>
      <c r="H868" s="17">
        <f>IF('Components Yr 1'!H868=0,0,'Components Yr 1'!H868)</f>
        <v>0</v>
      </c>
      <c r="I868" s="17">
        <f>IF('Components Yr 1'!I868=0,0,'Components Yr 1'!I868)</f>
        <v>0</v>
      </c>
      <c r="J868" s="17">
        <f>IF('Components Yr 1'!J868=0,0,'Components Yr 1'!J868)</f>
        <v>0</v>
      </c>
      <c r="K868" s="17">
        <f>IF('Components Yr 1'!K868=0,0,'Components Yr 1'!K868)</f>
        <v>0</v>
      </c>
      <c r="L868" s="12"/>
      <c r="M868" s="12"/>
      <c r="N868" s="12"/>
      <c r="O868" s="12"/>
      <c r="P868" s="12"/>
      <c r="Q868" s="17"/>
      <c r="R868" s="18">
        <f>IF(SUMPRODUCT((E868:Q868)*1)=0,0,E868*INDEX(Hours!M:M,MATCH(C868,Hours!$A:$A,0))+F868*INDEX(Hours!B:B,MATCH(C868,Hours!$A:$A,0))+G868*INDEX(Hours!C:C,MATCH(C868,Hours!$A:$A,0))+H868*INDEX(Hours!D:D,MATCH(C868,Hours!$A:$A,0))+I868*INDEX(Hours!E:E,MATCH(C868,Hours!$A:$A,0))+J868*INDEX(Hours!F:F,MATCH(C868,Hours!$A:$A,0))+K868*INDEX(Hours!G:G,MATCH(C868,Hours!$A:$A,0)))</f>
        <v>0</v>
      </c>
      <c r="S868" s="19">
        <f t="shared" si="27"/>
        <v>0</v>
      </c>
    </row>
    <row r="869" spans="1:19" x14ac:dyDescent="0.25">
      <c r="A869" s="15" t="str">
        <f>'Bldgs &amp; Rooms'!$A$25</f>
        <v>Main Bldg.</v>
      </c>
      <c r="B869" s="15">
        <f>'Bldgs &amp; Rooms'!$B$25</f>
        <v>0</v>
      </c>
      <c r="C869" s="14" t="str">
        <f>Hours!$A$18</f>
        <v>Individual Combination Motor Starter &gt; 100A</v>
      </c>
      <c r="D869" s="15">
        <f t="shared" si="26"/>
        <v>0</v>
      </c>
      <c r="E869" s="16">
        <f>IF('Components Yr 1'!E869=0,0,'Components Yr 1'!E869)</f>
        <v>0</v>
      </c>
      <c r="F869" s="17">
        <f>IF('Components Yr 1'!F869=0,0,'Components Yr 1'!F869)</f>
        <v>0</v>
      </c>
      <c r="G869" s="17">
        <f>IF('Components Yr 1'!G869=0,0,'Components Yr 1'!G869)</f>
        <v>0</v>
      </c>
      <c r="H869" s="17">
        <f>IF('Components Yr 1'!H869=0,0,'Components Yr 1'!H869)</f>
        <v>0</v>
      </c>
      <c r="I869" s="17">
        <f>IF('Components Yr 1'!I869=0,0,'Components Yr 1'!I869)</f>
        <v>0</v>
      </c>
      <c r="J869" s="17">
        <f>IF('Components Yr 1'!J869=0,0,'Components Yr 1'!J869)</f>
        <v>0</v>
      </c>
      <c r="K869" s="17">
        <f>IF('Components Yr 1'!K869=0,0,'Components Yr 1'!K869)</f>
        <v>0</v>
      </c>
      <c r="L869" s="12"/>
      <c r="M869" s="12"/>
      <c r="N869" s="12"/>
      <c r="O869" s="12"/>
      <c r="P869" s="12"/>
      <c r="Q869" s="17"/>
      <c r="R869" s="18">
        <f>IF(SUMPRODUCT((E869:Q869)*1)=0,0,E869*INDEX(Hours!M:M,MATCH(C869,Hours!$A:$A,0))+F869*INDEX(Hours!B:B,MATCH(C869,Hours!$A:$A,0))+G869*INDEX(Hours!C:C,MATCH(C869,Hours!$A:$A,0))+H869*INDEX(Hours!D:D,MATCH(C869,Hours!$A:$A,0))+I869*INDEX(Hours!E:E,MATCH(C869,Hours!$A:$A,0))+J869*INDEX(Hours!F:F,MATCH(C869,Hours!$A:$A,0))+K869*INDEX(Hours!G:G,MATCH(C869,Hours!$A:$A,0)))</f>
        <v>0</v>
      </c>
      <c r="S869" s="19">
        <f t="shared" si="27"/>
        <v>0</v>
      </c>
    </row>
    <row r="870" spans="1:19" x14ac:dyDescent="0.25">
      <c r="A870" s="15" t="str">
        <f>'Bldgs &amp; Rooms'!$A$25</f>
        <v>Main Bldg.</v>
      </c>
      <c r="B870" s="15">
        <f>'Bldgs &amp; Rooms'!$B$25</f>
        <v>0</v>
      </c>
      <c r="C870" s="14" t="str">
        <f>Hours!$A$19</f>
        <v>Oil Filled Transformer - 5kV-15kV Primary - Any Size (Pad Mounted)</v>
      </c>
      <c r="D870" s="15">
        <f t="shared" si="26"/>
        <v>0</v>
      </c>
      <c r="E870" s="16">
        <f>IF('Components Yr 1'!E870=0,0,'Components Yr 1'!E870)</f>
        <v>0</v>
      </c>
      <c r="F870" s="17">
        <f>IF('Components Yr 1'!F870=0,0,'Components Yr 1'!F870)</f>
        <v>0</v>
      </c>
      <c r="G870" s="17">
        <f>IF('Components Yr 1'!G870=0,0,'Components Yr 1'!G870)</f>
        <v>0</v>
      </c>
      <c r="H870" s="17">
        <f>IF('Components Yr 1'!H870=0,0,'Components Yr 1'!H870)</f>
        <v>0</v>
      </c>
      <c r="I870" s="17">
        <f>IF('Components Yr 1'!I870=0,0,'Components Yr 1'!I870)</f>
        <v>0</v>
      </c>
      <c r="J870" s="17">
        <f>IF('Components Yr 1'!J870=0,0,'Components Yr 1'!J870)</f>
        <v>0</v>
      </c>
      <c r="K870" s="12"/>
      <c r="L870" s="12"/>
      <c r="M870" s="17">
        <f>IF('Components Yr 1'!M870=0,0,'Components Yr 1'!M870)</f>
        <v>0</v>
      </c>
      <c r="N870" s="17">
        <f>IF('Components Yr 1'!N870=0,0,'Components Yr 1'!N870)</f>
        <v>0</v>
      </c>
      <c r="O870" s="12"/>
      <c r="P870" s="17">
        <f>IF('Components Yr 1'!P870=0,0,'Components Yr 1'!P870)</f>
        <v>0</v>
      </c>
      <c r="Q870" s="17"/>
      <c r="R870" s="18">
        <f>IF(SUMPRODUCT((E870:Q870)*1)=0,0,E870*INDEX(Hours!M:M,MATCH(C870,Hours!$A:$A,0))+F870*INDEX(Hours!B:B,MATCH(C870,Hours!$A:$A,0))+G870*INDEX(Hours!C:C,MATCH(C870,Hours!$A:$A,0))+H870*INDEX(Hours!D:D,MATCH(C870,Hours!$A:$A,0))+I870*INDEX(Hours!E:E,MATCH(C870,Hours!$A:$A,0))+J870*INDEX(Hours!F:F,MATCH(C870,Hours!$A:$A,0))+M870*INDEX(Hours!I:I,MATCH(C870,Hours!$A:$A,0))+N870*INDEX(Hours!J:J,MATCH(C870,Hours!$A:$A,0))+P870*INDEX(Hours!L:L,MATCH(C870,Hours!$A:$A,0)))</f>
        <v>0</v>
      </c>
      <c r="S870" s="19">
        <f t="shared" si="27"/>
        <v>0</v>
      </c>
    </row>
    <row r="871" spans="1:19" x14ac:dyDescent="0.25">
      <c r="A871" s="15" t="str">
        <f>'Bldgs &amp; Rooms'!$A$25</f>
        <v>Main Bldg.</v>
      </c>
      <c r="B871" s="15">
        <f>'Bldgs &amp; Rooms'!$B$25</f>
        <v>0</v>
      </c>
      <c r="C871" s="14" t="str">
        <f>Hours!$A$20</f>
        <v>Oil Filled Transformer - &gt; 15kV Primary (Substation Class)</v>
      </c>
      <c r="D871" s="15">
        <f t="shared" si="26"/>
        <v>0</v>
      </c>
      <c r="E871" s="16">
        <f>IF('Components Yr 1'!E871=0,0,'Components Yr 1'!E871)</f>
        <v>0</v>
      </c>
      <c r="F871" s="17">
        <f>IF('Components Yr 1'!F871=0,0,'Components Yr 1'!F871)</f>
        <v>0</v>
      </c>
      <c r="G871" s="17">
        <f>IF('Components Yr 1'!G871=0,0,'Components Yr 1'!G871)</f>
        <v>0</v>
      </c>
      <c r="H871" s="17">
        <f>IF('Components Yr 1'!H871=0,0,'Components Yr 1'!H871)</f>
        <v>0</v>
      </c>
      <c r="I871" s="17">
        <f>IF('Components Yr 1'!I871=0,0,'Components Yr 1'!I871)</f>
        <v>0</v>
      </c>
      <c r="J871" s="17">
        <f>IF('Components Yr 1'!J871=0,0,'Components Yr 1'!J871)</f>
        <v>0</v>
      </c>
      <c r="K871" s="12"/>
      <c r="L871" s="12"/>
      <c r="M871" s="17">
        <f>IF('Components Yr 1'!M871=0,0,'Components Yr 1'!M871)</f>
        <v>0</v>
      </c>
      <c r="N871" s="17">
        <f>IF('Components Yr 1'!N871=0,0,'Components Yr 1'!N871)</f>
        <v>0</v>
      </c>
      <c r="O871" s="12"/>
      <c r="P871" s="17">
        <f>IF('Components Yr 1'!P871=0,0,'Components Yr 1'!P871)</f>
        <v>0</v>
      </c>
      <c r="Q871" s="17"/>
      <c r="R871" s="18">
        <f>IF(SUMPRODUCT((E871:Q871)*1)=0,0,E871*INDEX(Hours!M:M,MATCH(C871,Hours!$A:$A,0))+F871*INDEX(Hours!B:B,MATCH(C871,Hours!$A:$A,0))+G871*INDEX(Hours!C:C,MATCH(C871,Hours!$A:$A,0))+H871*INDEX(Hours!D:D,MATCH(C871,Hours!$A:$A,0))+I871*INDEX(Hours!E:E,MATCH(C871,Hours!$A:$A,0))+J871*INDEX(Hours!F:F,MATCH(C871,Hours!$A:$A,0))+M871*INDEX(Hours!I:I,MATCH(C871,Hours!$A:$A,0))+N871*INDEX(Hours!J:J,MATCH(C871,Hours!$A:$A,0))+P871*INDEX(Hours!L:L,MATCH(C871,Hours!$A:$A,0)))</f>
        <v>0</v>
      </c>
      <c r="S871" s="19">
        <f t="shared" si="27"/>
        <v>0</v>
      </c>
    </row>
    <row r="872" spans="1:19" x14ac:dyDescent="0.25">
      <c r="A872" s="15" t="str">
        <f>'Bldgs &amp; Rooms'!$A$25</f>
        <v>Main Bldg.</v>
      </c>
      <c r="B872" s="15">
        <f>'Bldgs &amp; Rooms'!$B$25</f>
        <v>0</v>
      </c>
      <c r="C872" s="14" t="str">
        <f>Hours!$A$21</f>
        <v>Dry Type Transformer - &lt; 480V Primary - Any Size kVA</v>
      </c>
      <c r="D872" s="15">
        <f t="shared" si="26"/>
        <v>0</v>
      </c>
      <c r="E872" s="16">
        <f>IF('Components Yr 1'!E872=0,0,'Components Yr 1'!E872)</f>
        <v>0</v>
      </c>
      <c r="F872" s="17">
        <f>IF('Components Yr 1'!F872=0,0,'Components Yr 1'!F872)</f>
        <v>0</v>
      </c>
      <c r="G872" s="17">
        <f>IF('Components Yr 1'!G872=0,0,'Components Yr 1'!G872)</f>
        <v>0</v>
      </c>
      <c r="H872" s="17">
        <f>IF('Components Yr 1'!H872=0,0,'Components Yr 1'!H872)</f>
        <v>0</v>
      </c>
      <c r="I872" s="17">
        <f>IF('Components Yr 1'!I872=0,0,'Components Yr 1'!I872)</f>
        <v>0</v>
      </c>
      <c r="J872" s="17">
        <f>IF('Components Yr 1'!J872=0,0,'Components Yr 1'!J872)</f>
        <v>0</v>
      </c>
      <c r="K872" s="12"/>
      <c r="L872" s="12"/>
      <c r="M872" s="17">
        <f>IF('Components Yr 1'!M872=0,0,'Components Yr 1'!M872)</f>
        <v>0</v>
      </c>
      <c r="N872" s="17">
        <f>IF('Components Yr 1'!N872=0,0,'Components Yr 1'!N872)</f>
        <v>0</v>
      </c>
      <c r="O872" s="12"/>
      <c r="P872" s="12"/>
      <c r="Q872" s="17"/>
      <c r="R872" s="18">
        <f>IF(SUMPRODUCT((E872:Q872)*1)=0,0,E872*INDEX(Hours!M:M,MATCH(C872,Hours!$A:$A,0))+F872*INDEX(Hours!B:B,MATCH(C872,Hours!$A:$A,0))+G872*INDEX(Hours!C:C,MATCH(C872,Hours!$A:$A,0))+H872*INDEX(Hours!D:D,MATCH(C872,Hours!$A:$A,0))+I872*INDEX(Hours!E:E,MATCH(C872,Hours!$A:$A,0))+J872*INDEX(Hours!F:F,MATCH(C872,Hours!$A:$A,0))+M872*INDEX(Hours!I:I,MATCH(C872,Hours!$A:$A,0))+N872*INDEX(Hours!J:J,MATCH(C872,Hours!$A:$A,0)))</f>
        <v>0</v>
      </c>
      <c r="S872" s="19">
        <f t="shared" si="27"/>
        <v>0</v>
      </c>
    </row>
    <row r="873" spans="1:19" x14ac:dyDescent="0.25">
      <c r="A873" s="15" t="str">
        <f>'Bldgs &amp; Rooms'!$A$25</f>
        <v>Main Bldg.</v>
      </c>
      <c r="B873" s="15">
        <f>'Bldgs &amp; Rooms'!$B$25</f>
        <v>0</v>
      </c>
      <c r="C873" s="14" t="str">
        <f>Hours!$A$22</f>
        <v>Power Factor Correction Capacitors</v>
      </c>
      <c r="D873" s="15">
        <f t="shared" si="26"/>
        <v>0</v>
      </c>
      <c r="E873" s="16">
        <f>IF('Components Yr 1'!E873=0,0,'Components Yr 1'!E873)</f>
        <v>0</v>
      </c>
      <c r="F873" s="17">
        <f>IF('Components Yr 1'!F873=0,0,'Components Yr 1'!F873)</f>
        <v>0</v>
      </c>
      <c r="G873" s="17">
        <f>IF('Components Yr 1'!G873=0,0,'Components Yr 1'!G873)</f>
        <v>0</v>
      </c>
      <c r="H873" s="17">
        <f>IF('Components Yr 1'!H873=0,0,'Components Yr 1'!H873)</f>
        <v>0</v>
      </c>
      <c r="I873" s="17">
        <f>IF('Components Yr 1'!I873=0,0,'Components Yr 1'!I873)</f>
        <v>0</v>
      </c>
      <c r="J873" s="17">
        <f>IF('Components Yr 1'!J873=0,0,'Components Yr 1'!J873)</f>
        <v>0</v>
      </c>
      <c r="K873" s="12"/>
      <c r="L873" s="12"/>
      <c r="M873" s="12"/>
      <c r="N873" s="12"/>
      <c r="O873" s="12"/>
      <c r="P873" s="12"/>
      <c r="Q873" s="17"/>
      <c r="R873" s="18">
        <f>IF(SUMPRODUCT((E873:Q873)*1)=0,0,E873*INDEX(Hours!M:M,MATCH(C873,Hours!$A:$A,0))+F873*INDEX(Hours!B:B,MATCH(C873,Hours!$A:$A,0))+G873*INDEX(Hours!C:C,MATCH(C873,Hours!$A:$A,0))+H873*INDEX(Hours!D:D,MATCH(C873,Hours!$A:$A,0))+I873*INDEX(Hours!E:E,MATCH(C873,Hours!$A:$A,0))+J873*INDEX(Hours!F:F,MATCH(C873,Hours!$A:$A,0)))</f>
        <v>0</v>
      </c>
      <c r="S873" s="19">
        <f t="shared" si="27"/>
        <v>0</v>
      </c>
    </row>
    <row r="874" spans="1:19" x14ac:dyDescent="0.25">
      <c r="A874" s="15" t="str">
        <f>'Bldgs &amp; Rooms'!$A$25</f>
        <v>Main Bldg.</v>
      </c>
      <c r="B874" s="15">
        <f>'Bldgs &amp; Rooms'!$B$25</f>
        <v>0</v>
      </c>
      <c r="C874" s="14" t="str">
        <f>Hours!$A$23</f>
        <v>Lighting Contactor &gt; 100A</v>
      </c>
      <c r="D874" s="15">
        <f t="shared" si="26"/>
        <v>0</v>
      </c>
      <c r="E874" s="16">
        <f>IF('Components Yr 1'!E874=0,0,'Components Yr 1'!E874)</f>
        <v>0</v>
      </c>
      <c r="F874" s="17">
        <f>IF('Components Yr 1'!F874=0,0,'Components Yr 1'!F874)</f>
        <v>0</v>
      </c>
      <c r="G874" s="17">
        <f>IF('Components Yr 1'!G874=0,0,'Components Yr 1'!G874)</f>
        <v>0</v>
      </c>
      <c r="H874" s="17">
        <f>IF('Components Yr 1'!H874=0,0,'Components Yr 1'!H874)</f>
        <v>0</v>
      </c>
      <c r="I874" s="17">
        <f>IF('Components Yr 1'!I874=0,0,'Components Yr 1'!I874)</f>
        <v>0</v>
      </c>
      <c r="J874" s="17">
        <f>IF('Components Yr 1'!J874=0,0,'Components Yr 1'!J874)</f>
        <v>0</v>
      </c>
      <c r="K874" s="12"/>
      <c r="L874" s="12"/>
      <c r="M874" s="12"/>
      <c r="N874" s="12"/>
      <c r="O874" s="12"/>
      <c r="P874" s="12"/>
      <c r="Q874" s="17"/>
      <c r="R874" s="18">
        <f>IF(SUMPRODUCT((E874:Q874)*1)=0,0,E874*INDEX(Hours!M:M,MATCH(C874,Hours!$A:$A,0))+F874*INDEX(Hours!B:B,MATCH(C874,Hours!$A:$A,0))+G874*INDEX(Hours!C:C,MATCH(C874,Hours!$A:$A,0))+H874*INDEX(Hours!D:D,MATCH(C874,Hours!$A:$A,0))+I874*INDEX(Hours!E:E,MATCH(C874,Hours!$A:$A,0))+J874*INDEX(Hours!F:F,MATCH(C874,Hours!$A:$A,0)))</f>
        <v>0</v>
      </c>
      <c r="S874" s="19">
        <f t="shared" si="27"/>
        <v>0</v>
      </c>
    </row>
    <row r="875" spans="1:19" x14ac:dyDescent="0.25">
      <c r="A875" s="15" t="str">
        <f>'Bldgs &amp; Rooms'!$A$25</f>
        <v>Main Bldg.</v>
      </c>
      <c r="B875" s="15">
        <f>'Bldgs &amp; Rooms'!$B$25</f>
        <v>0</v>
      </c>
      <c r="C875" s="14" t="str">
        <f>Hours!$A$24</f>
        <v>Power Distribution Unit (PDU)</v>
      </c>
      <c r="D875" s="15">
        <f t="shared" si="26"/>
        <v>0</v>
      </c>
      <c r="E875" s="16">
        <f>IF('Components Yr 1'!E875=0,0,'Components Yr 1'!E875)</f>
        <v>0</v>
      </c>
      <c r="F875" s="17">
        <f>IF('Components Yr 1'!F875=0,0,'Components Yr 1'!F875)</f>
        <v>0</v>
      </c>
      <c r="G875" s="17">
        <f>IF('Components Yr 1'!G875=0,0,'Components Yr 1'!G875)</f>
        <v>0</v>
      </c>
      <c r="H875" s="17">
        <f>IF('Components Yr 1'!H875=0,0,'Components Yr 1'!H875)</f>
        <v>0</v>
      </c>
      <c r="I875" s="17">
        <f>IF('Components Yr 1'!I875=0,0,'Components Yr 1'!I875)</f>
        <v>0</v>
      </c>
      <c r="J875" s="17">
        <f>IF('Components Yr 1'!J875=0,0,'Components Yr 1'!J875)</f>
        <v>0</v>
      </c>
      <c r="K875" s="12"/>
      <c r="L875" s="12"/>
      <c r="M875" s="12"/>
      <c r="N875" s="12"/>
      <c r="O875" s="12"/>
      <c r="P875" s="12"/>
      <c r="Q875" s="17"/>
      <c r="R875" s="18">
        <f>IF(SUMPRODUCT((E875:Q875)*1)=0,0,E875*INDEX(Hours!M:M,MATCH(C875,Hours!$A:$A,0))+F875*INDEX(Hours!B:B,MATCH(C875,Hours!$A:$A,0))+G875*INDEX(Hours!C:C,MATCH(C875,Hours!$A:$A,0))+H875*INDEX(Hours!D:D,MATCH(C875,Hours!$A:$A,0))+I875*INDEX(Hours!E:E,MATCH(C875,Hours!$A:$A,0))+J875*INDEX(Hours!F:F,MATCH(C875,Hours!$A:$A,0)))</f>
        <v>0</v>
      </c>
      <c r="S875" s="19">
        <f t="shared" si="27"/>
        <v>0</v>
      </c>
    </row>
    <row r="876" spans="1:19" x14ac:dyDescent="0.25">
      <c r="A876" s="15" t="str">
        <f>'Bldgs &amp; Rooms'!$A$25</f>
        <v>Main Bldg.</v>
      </c>
      <c r="B876" s="15">
        <f>'Bldgs &amp; Rooms'!$B$25</f>
        <v>0</v>
      </c>
      <c r="C876" s="14" t="str">
        <f>Hours!$A$25</f>
        <v>Wire Trough, Gutter, or Large Junction Boxes</v>
      </c>
      <c r="D876" s="15">
        <f t="shared" si="26"/>
        <v>0</v>
      </c>
      <c r="E876" s="16">
        <f>IF('Components Yr 1'!E876=0,0,'Components Yr 1'!E876)</f>
        <v>0</v>
      </c>
      <c r="F876" s="17">
        <f>IF('Components Yr 1'!F876=0,0,'Components Yr 1'!F876)</f>
        <v>0</v>
      </c>
      <c r="G876" s="17">
        <f>IF('Components Yr 1'!G876=0,0,'Components Yr 1'!G876)</f>
        <v>0</v>
      </c>
      <c r="H876" s="17">
        <f>IF('Components Yr 1'!H876=0,0,'Components Yr 1'!H876)</f>
        <v>0</v>
      </c>
      <c r="I876" s="17">
        <f>IF('Components Yr 1'!I876=0,0,'Components Yr 1'!I876)</f>
        <v>0</v>
      </c>
      <c r="J876" s="17">
        <f>IF('Components Yr 1'!J876=0,0,'Components Yr 1'!J876)</f>
        <v>0</v>
      </c>
      <c r="K876" s="12"/>
      <c r="L876" s="12"/>
      <c r="M876" s="12"/>
      <c r="N876" s="12"/>
      <c r="O876" s="12"/>
      <c r="P876" s="12"/>
      <c r="Q876" s="17"/>
      <c r="R876" s="18">
        <f>IF(SUMPRODUCT((E876:Q876)*1)=0,0,E876*INDEX(Hours!M:M,MATCH(C876,Hours!$A:$A,0))+F876*INDEX(Hours!B:B,MATCH(C876,Hours!$A:$A,0))+G876*INDEX(Hours!C:C,MATCH(C876,Hours!$A:$A,0))+H876*INDEX(Hours!D:D,MATCH(C876,Hours!$A:$A,0))+I876*INDEX(Hours!E:E,MATCH(C876,Hours!$A:$A,0))+J876*INDEX(Hours!F:F,MATCH(C876,Hours!$A:$A,0)))</f>
        <v>0</v>
      </c>
      <c r="S876" s="19">
        <f t="shared" si="27"/>
        <v>0</v>
      </c>
    </row>
    <row r="877" spans="1:19" x14ac:dyDescent="0.25">
      <c r="A877" s="15" t="str">
        <f>'Bldgs &amp; Rooms'!$A$25</f>
        <v>Main Bldg.</v>
      </c>
      <c r="B877" s="15">
        <f>'Bldgs &amp; Rooms'!$B$25</f>
        <v>0</v>
      </c>
      <c r="C877" s="14" t="str">
        <f>Hours!$A$26</f>
        <v>Bus Duct - Vertical or Horizontal (Per 10' section)</v>
      </c>
      <c r="D877" s="15">
        <f t="shared" si="26"/>
        <v>0</v>
      </c>
      <c r="E877" s="16">
        <f>IF('Components Yr 1'!E877=0,0,'Components Yr 1'!E877)</f>
        <v>0</v>
      </c>
      <c r="F877" s="17">
        <f>IF('Components Yr 1'!F877=0,0,'Components Yr 1'!F877)</f>
        <v>0</v>
      </c>
      <c r="G877" s="17">
        <f>IF('Components Yr 1'!G877=0,0,'Components Yr 1'!G877)</f>
        <v>0</v>
      </c>
      <c r="H877" s="17">
        <f>IF('Components Yr 1'!H877=0,0,'Components Yr 1'!H877)</f>
        <v>0</v>
      </c>
      <c r="I877" s="17">
        <f>IF('Components Yr 1'!I877=0,0,'Components Yr 1'!I877)</f>
        <v>0</v>
      </c>
      <c r="J877" s="17">
        <f>IF('Components Yr 1'!J877=0,0,'Components Yr 1'!J877)</f>
        <v>0</v>
      </c>
      <c r="K877" s="12"/>
      <c r="L877" s="12"/>
      <c r="M877" s="12"/>
      <c r="N877" s="12"/>
      <c r="O877" s="12"/>
      <c r="P877" s="12"/>
      <c r="Q877" s="17"/>
      <c r="R877" s="18">
        <f>IF(SUMPRODUCT((E877:Q877)*1)=0,0,E877*INDEX(Hours!M:M,MATCH(C877,Hours!$A:$A,0))+F877*INDEX(Hours!B:B,MATCH(C877,Hours!$A:$A,0))+G877*INDEX(Hours!C:C,MATCH(C877,Hours!$A:$A,0))+H877*INDEX(Hours!D:D,MATCH(C877,Hours!$A:$A,0))+I877*INDEX(Hours!E:E,MATCH(C877,Hours!$A:$A,0))+J877*INDEX(Hours!F:F,MATCH(C877,Hours!$A:$A,0)))</f>
        <v>0</v>
      </c>
      <c r="S877" s="19">
        <f t="shared" si="27"/>
        <v>0</v>
      </c>
    </row>
    <row r="878" spans="1:19" x14ac:dyDescent="0.25">
      <c r="A878" s="15" t="str">
        <f>'Bldgs &amp; Rooms'!$A$25</f>
        <v>Main Bldg.</v>
      </c>
      <c r="B878" s="15">
        <f>'Bldgs &amp; Rooms'!$B$25</f>
        <v>0</v>
      </c>
      <c r="C878" s="14" t="str">
        <f>Hours!$A$27</f>
        <v>Automatic Transfer Switch (ATS) &gt; 100A</v>
      </c>
      <c r="D878" s="15">
        <f t="shared" si="26"/>
        <v>0</v>
      </c>
      <c r="E878" s="16">
        <f>IF('Components Yr 1'!E878=0,0,'Components Yr 1'!E878)</f>
        <v>0</v>
      </c>
      <c r="F878" s="17">
        <f>IF('Components Yr 1'!F878=0,0,'Components Yr 1'!F878)</f>
        <v>0</v>
      </c>
      <c r="G878" s="17">
        <f>IF('Components Yr 1'!G878=0,0,'Components Yr 1'!G878)</f>
        <v>0</v>
      </c>
      <c r="H878" s="17">
        <f>IF('Components Yr 1'!H878=0,0,'Components Yr 1'!H878)</f>
        <v>0</v>
      </c>
      <c r="I878" s="17">
        <f>IF('Components Yr 1'!I878=0,0,'Components Yr 1'!I878)</f>
        <v>0</v>
      </c>
      <c r="J878" s="17">
        <f>IF('Components Yr 1'!J878=0,0,'Components Yr 1'!J878)</f>
        <v>0</v>
      </c>
      <c r="K878" s="12"/>
      <c r="L878" s="12"/>
      <c r="M878" s="12"/>
      <c r="N878" s="12"/>
      <c r="O878" s="12"/>
      <c r="P878" s="12"/>
      <c r="Q878" s="17"/>
      <c r="R878" s="18">
        <f>IF(SUMPRODUCT((E878:Q878)*1)=0,0,E878*INDEX(Hours!M:M,MATCH(C878,Hours!$A:$A,0))+F878*INDEX(Hours!B:B,MATCH(C878,Hours!$A:$A,0))+G878*INDEX(Hours!C:C,MATCH(C878,Hours!$A:$A,0))+H878*INDEX(Hours!D:D,MATCH(C878,Hours!$A:$A,0))+I878*INDEX(Hours!E:E,MATCH(C878,Hours!$A:$A,0))+J878*INDEX(Hours!F:F,MATCH(C878,Hours!$A:$A,0)))</f>
        <v>0</v>
      </c>
      <c r="S878" s="19">
        <f t="shared" si="27"/>
        <v>0</v>
      </c>
    </row>
    <row r="879" spans="1:19" x14ac:dyDescent="0.25">
      <c r="A879" s="15" t="str">
        <f>'Bldgs &amp; Rooms'!$A$25</f>
        <v>Main Bldg.</v>
      </c>
      <c r="B879" s="15">
        <f>'Bldgs &amp; Rooms'!$B$25</f>
        <v>0</v>
      </c>
      <c r="C879" s="14" t="str">
        <f>Hours!$A$28</f>
        <v>Manual Transfer Switch (MTS) &gt; 100A</v>
      </c>
      <c r="D879" s="15">
        <f t="shared" si="26"/>
        <v>0</v>
      </c>
      <c r="E879" s="16">
        <f>IF('Components Yr 1'!E879=0,0,'Components Yr 1'!E879)</f>
        <v>0</v>
      </c>
      <c r="F879" s="17">
        <f>IF('Components Yr 1'!F879=0,0,'Components Yr 1'!F879)</f>
        <v>0</v>
      </c>
      <c r="G879" s="17">
        <f>IF('Components Yr 1'!G879=0,0,'Components Yr 1'!G879)</f>
        <v>0</v>
      </c>
      <c r="H879" s="17">
        <f>IF('Components Yr 1'!H879=0,0,'Components Yr 1'!H879)</f>
        <v>0</v>
      </c>
      <c r="I879" s="17">
        <f>IF('Components Yr 1'!I879=0,0,'Components Yr 1'!I879)</f>
        <v>0</v>
      </c>
      <c r="J879" s="17">
        <f>IF('Components Yr 1'!J879=0,0,'Components Yr 1'!J879)</f>
        <v>0</v>
      </c>
      <c r="K879" s="12"/>
      <c r="L879" s="12"/>
      <c r="M879" s="12"/>
      <c r="N879" s="12"/>
      <c r="O879" s="12"/>
      <c r="P879" s="12"/>
      <c r="Q879" s="17"/>
      <c r="R879" s="18">
        <f>IF(SUMPRODUCT((E879:Q879)*1)=0,0,E879*INDEX(Hours!M:M,MATCH(C879,Hours!$A:$A,0))+F879*INDEX(Hours!B:B,MATCH(C879,Hours!$A:$A,0))+G879*INDEX(Hours!C:C,MATCH(C879,Hours!$A:$A,0))+H879*INDEX(Hours!D:D,MATCH(C879,Hours!$A:$A,0))+I879*INDEX(Hours!E:E,MATCH(C879,Hours!$A:$A,0))+J879*INDEX(Hours!F:F,MATCH(C879,Hours!$A:$A,0)))</f>
        <v>0</v>
      </c>
      <c r="S879" s="19">
        <f t="shared" si="27"/>
        <v>0</v>
      </c>
    </row>
    <row r="880" spans="1:19" x14ac:dyDescent="0.25">
      <c r="A880" s="15" t="str">
        <f>'Bldgs &amp; Rooms'!$A$25</f>
        <v>Main Bldg.</v>
      </c>
      <c r="B880" s="15">
        <f>'Bldgs &amp; Rooms'!$B$25</f>
        <v>0</v>
      </c>
      <c r="C880" s="14" t="str">
        <f>Hours!$A$29</f>
        <v>Variable Frequency Drives (VFD) &lt; 50 HP</v>
      </c>
      <c r="D880" s="15">
        <f t="shared" si="26"/>
        <v>0</v>
      </c>
      <c r="E880" s="16">
        <f>IF('Components Yr 1'!E880=0,0,'Components Yr 1'!E880)</f>
        <v>0</v>
      </c>
      <c r="F880" s="17">
        <f>IF('Components Yr 1'!F880=0,0,'Components Yr 1'!F880)</f>
        <v>0</v>
      </c>
      <c r="G880" s="17">
        <f>IF('Components Yr 1'!G880=0,0,'Components Yr 1'!G880)</f>
        <v>0</v>
      </c>
      <c r="H880" s="17">
        <f>IF('Components Yr 1'!H880=0,0,'Components Yr 1'!H880)</f>
        <v>0</v>
      </c>
      <c r="I880" s="17">
        <f>IF('Components Yr 1'!I880=0,0,'Components Yr 1'!I880)</f>
        <v>0</v>
      </c>
      <c r="J880" s="17">
        <f>IF('Components Yr 1'!J880=0,0,'Components Yr 1'!J880)</f>
        <v>0</v>
      </c>
      <c r="K880" s="12"/>
      <c r="L880" s="12"/>
      <c r="M880" s="12"/>
      <c r="N880" s="12"/>
      <c r="O880" s="12"/>
      <c r="P880" s="12"/>
      <c r="Q880" s="17"/>
      <c r="R880" s="18">
        <f>IF(SUMPRODUCT((E880:Q880)*1)=0,0,E880*INDEX(Hours!M:M,MATCH(C880,Hours!$A:$A,0))+F880*INDEX(Hours!B:B,MATCH(C880,Hours!$A:$A,0))+G880*INDEX(Hours!C:C,MATCH(C880,Hours!$A:$A,0))+H880*INDEX(Hours!D:D,MATCH(C880,Hours!$A:$A,0))+I880*INDEX(Hours!E:E,MATCH(C880,Hours!$A:$A,0))+J880*INDEX(Hours!F:F,MATCH(C880,Hours!$A:$A,0)))</f>
        <v>0</v>
      </c>
      <c r="S880" s="19">
        <f t="shared" si="27"/>
        <v>0</v>
      </c>
    </row>
    <row r="881" spans="1:19" x14ac:dyDescent="0.25">
      <c r="A881" s="15" t="str">
        <f>'Bldgs &amp; Rooms'!$A$25</f>
        <v>Main Bldg.</v>
      </c>
      <c r="B881" s="15">
        <f>'Bldgs &amp; Rooms'!$B$25</f>
        <v>0</v>
      </c>
      <c r="C881" s="14" t="str">
        <f>Hours!$A$30</f>
        <v>Variable Frequency Drives (VFD) 51-200 HP</v>
      </c>
      <c r="D881" s="15">
        <f t="shared" si="26"/>
        <v>0</v>
      </c>
      <c r="E881" s="16">
        <f>IF('Components Yr 1'!E881=0,0,'Components Yr 1'!E881)</f>
        <v>0</v>
      </c>
      <c r="F881" s="17">
        <f>IF('Components Yr 1'!F881=0,0,'Components Yr 1'!F881)</f>
        <v>0</v>
      </c>
      <c r="G881" s="17">
        <f>IF('Components Yr 1'!G881=0,0,'Components Yr 1'!G881)</f>
        <v>0</v>
      </c>
      <c r="H881" s="17">
        <f>IF('Components Yr 1'!H881=0,0,'Components Yr 1'!H881)</f>
        <v>0</v>
      </c>
      <c r="I881" s="17">
        <f>IF('Components Yr 1'!I881=0,0,'Components Yr 1'!I881)</f>
        <v>0</v>
      </c>
      <c r="J881" s="17">
        <f>IF('Components Yr 1'!J881=0,0,'Components Yr 1'!J881)</f>
        <v>0</v>
      </c>
      <c r="K881" s="12"/>
      <c r="L881" s="12"/>
      <c r="M881" s="12"/>
      <c r="N881" s="12"/>
      <c r="O881" s="12"/>
      <c r="P881" s="12"/>
      <c r="Q881" s="17"/>
      <c r="R881" s="18">
        <f>IF(SUMPRODUCT((E881:Q881)*1)=0,0,E881*INDEX(Hours!M:M,MATCH(C881,Hours!$A:$A,0))+F881*INDEX(Hours!B:B,MATCH(C881,Hours!$A:$A,0))+G881*INDEX(Hours!C:C,MATCH(C881,Hours!$A:$A,0))+H881*INDEX(Hours!D:D,MATCH(C881,Hours!$A:$A,0))+I881*INDEX(Hours!E:E,MATCH(C881,Hours!$A:$A,0))+J881*INDEX(Hours!F:F,MATCH(C881,Hours!$A:$A,0)))</f>
        <v>0</v>
      </c>
      <c r="S881" s="19">
        <f t="shared" si="27"/>
        <v>0</v>
      </c>
    </row>
    <row r="882" spans="1:19" x14ac:dyDescent="0.25">
      <c r="A882" s="15" t="str">
        <f>'Bldgs &amp; Rooms'!$A$25</f>
        <v>Main Bldg.</v>
      </c>
      <c r="B882" s="15">
        <f>'Bldgs &amp; Rooms'!$B$25</f>
        <v>0</v>
      </c>
      <c r="C882" s="14" t="str">
        <f>Hours!$A$31</f>
        <v>Motors &lt; 50 HP</v>
      </c>
      <c r="D882" s="15">
        <f t="shared" si="26"/>
        <v>0</v>
      </c>
      <c r="E882" s="16">
        <f>IF('Components Yr 1'!E882=0,0,'Components Yr 1'!E882)</f>
        <v>0</v>
      </c>
      <c r="F882" s="17">
        <f>IF('Components Yr 1'!F882=0,0,'Components Yr 1'!F882)</f>
        <v>0</v>
      </c>
      <c r="G882" s="17">
        <f>IF('Components Yr 1'!G882=0,0,'Components Yr 1'!G882)</f>
        <v>0</v>
      </c>
      <c r="H882" s="17">
        <f>IF('Components Yr 1'!H882=0,0,'Components Yr 1'!H882)</f>
        <v>0</v>
      </c>
      <c r="I882" s="17">
        <f>IF('Components Yr 1'!I882=0,0,'Components Yr 1'!I882)</f>
        <v>0</v>
      </c>
      <c r="J882" s="17">
        <f>IF('Components Yr 1'!J882=0,0,'Components Yr 1'!J882)</f>
        <v>0</v>
      </c>
      <c r="K882" s="12"/>
      <c r="L882" s="12"/>
      <c r="M882" s="12"/>
      <c r="N882" s="12"/>
      <c r="O882" s="12"/>
      <c r="P882" s="12"/>
      <c r="Q882" s="17"/>
      <c r="R882" s="18">
        <f>IF(SUMPRODUCT((E882:Q882)*1)=0,0,E882*INDEX(Hours!M:M,MATCH(C882,Hours!$A:$A,0))+F882*INDEX(Hours!B:B,MATCH(C882,Hours!$A:$A,0))+G882*INDEX(Hours!C:C,MATCH(C882,Hours!$A:$A,0))+H882*INDEX(Hours!D:D,MATCH(C882,Hours!$A:$A,0))+I882*INDEX(Hours!E:E,MATCH(C882,Hours!$A:$A,0))+J882*INDEX(Hours!F:F,MATCH(C882,Hours!$A:$A,0)))</f>
        <v>0</v>
      </c>
      <c r="S882" s="19">
        <f t="shared" si="27"/>
        <v>0</v>
      </c>
    </row>
    <row r="883" spans="1:19" x14ac:dyDescent="0.25">
      <c r="A883" s="15" t="str">
        <f>'Bldgs &amp; Rooms'!$A$25</f>
        <v>Main Bldg.</v>
      </c>
      <c r="B883" s="15">
        <f>'Bldgs &amp; Rooms'!$B$25</f>
        <v>0</v>
      </c>
      <c r="C883" s="14" t="str">
        <f>Hours!$A$32</f>
        <v>Motors 51-200 HP</v>
      </c>
      <c r="D883" s="15">
        <f t="shared" si="26"/>
        <v>0</v>
      </c>
      <c r="E883" s="16">
        <f>IF('Components Yr 1'!E883=0,0,'Components Yr 1'!E883)</f>
        <v>0</v>
      </c>
      <c r="F883" s="17">
        <f>IF('Components Yr 1'!F883=0,0,'Components Yr 1'!F883)</f>
        <v>0</v>
      </c>
      <c r="G883" s="17">
        <f>IF('Components Yr 1'!G883=0,0,'Components Yr 1'!G883)</f>
        <v>0</v>
      </c>
      <c r="H883" s="17">
        <f>IF('Components Yr 1'!H883=0,0,'Components Yr 1'!H883)</f>
        <v>0</v>
      </c>
      <c r="I883" s="17">
        <f>IF('Components Yr 1'!I883=0,0,'Components Yr 1'!I883)</f>
        <v>0</v>
      </c>
      <c r="J883" s="17">
        <f>IF('Components Yr 1'!J883=0,0,'Components Yr 1'!J883)</f>
        <v>0</v>
      </c>
      <c r="K883" s="12"/>
      <c r="L883" s="12"/>
      <c r="M883" s="12"/>
      <c r="N883" s="12"/>
      <c r="O883" s="12"/>
      <c r="P883" s="12"/>
      <c r="Q883" s="17"/>
      <c r="R883" s="18">
        <f>IF(SUMPRODUCT((E883:Q883)*1)=0,0,E883*INDEX(Hours!M:M,MATCH(C883,Hours!$A:$A,0))+F883*INDEX(Hours!B:B,MATCH(C883,Hours!$A:$A,0))+G883*INDEX(Hours!C:C,MATCH(C883,Hours!$A:$A,0))+H883*INDEX(Hours!D:D,MATCH(C883,Hours!$A:$A,0))+I883*INDEX(Hours!E:E,MATCH(C883,Hours!$A:$A,0))+J883*INDEX(Hours!F:F,MATCH(C883,Hours!$A:$A,0)))</f>
        <v>0</v>
      </c>
      <c r="S883" s="19">
        <f t="shared" si="27"/>
        <v>0</v>
      </c>
    </row>
    <row r="884" spans="1:19" x14ac:dyDescent="0.25">
      <c r="A884" s="15" t="str">
        <f>'Bldgs &amp; Rooms'!$A$25</f>
        <v>Main Bldg.</v>
      </c>
      <c r="B884" s="15">
        <f>'Bldgs &amp; Rooms'!$B$25</f>
        <v>0</v>
      </c>
      <c r="C884" s="14" t="str">
        <f>Hours!$A$33</f>
        <v>Motors 201-500 HP</v>
      </c>
      <c r="D884" s="15">
        <f t="shared" si="26"/>
        <v>0</v>
      </c>
      <c r="E884" s="16">
        <f>IF('Components Yr 1'!E884=0,0,'Components Yr 1'!E884)</f>
        <v>0</v>
      </c>
      <c r="F884" s="17">
        <f>IF('Components Yr 1'!F884=0,0,'Components Yr 1'!F884)</f>
        <v>0</v>
      </c>
      <c r="G884" s="17">
        <f>IF('Components Yr 1'!G884=0,0,'Components Yr 1'!G884)</f>
        <v>0</v>
      </c>
      <c r="H884" s="17">
        <f>IF('Components Yr 1'!H884=0,0,'Components Yr 1'!H884)</f>
        <v>0</v>
      </c>
      <c r="I884" s="17">
        <f>IF('Components Yr 1'!I884=0,0,'Components Yr 1'!I884)</f>
        <v>0</v>
      </c>
      <c r="J884" s="17">
        <f>IF('Components Yr 1'!J884=0,0,'Components Yr 1'!J884)</f>
        <v>0</v>
      </c>
      <c r="K884" s="12"/>
      <c r="L884" s="12"/>
      <c r="M884" s="12"/>
      <c r="N884" s="12"/>
      <c r="O884" s="12"/>
      <c r="P884" s="12"/>
      <c r="Q884" s="17"/>
      <c r="R884" s="18">
        <f>IF(SUMPRODUCT((E884:Q884)*1)=0,0,E884*INDEX(Hours!M:M,MATCH(C884,Hours!$A:$A,0))+F884*INDEX(Hours!B:B,MATCH(C884,Hours!$A:$A,0))+G884*INDEX(Hours!C:C,MATCH(C884,Hours!$A:$A,0))+H884*INDEX(Hours!D:D,MATCH(C884,Hours!$A:$A,0))+I884*INDEX(Hours!E:E,MATCH(C884,Hours!$A:$A,0))+J884*INDEX(Hours!F:F,MATCH(C884,Hours!$A:$A,0)))</f>
        <v>0</v>
      </c>
      <c r="S884" s="19">
        <f t="shared" si="27"/>
        <v>0</v>
      </c>
    </row>
    <row r="885" spans="1:19" x14ac:dyDescent="0.25">
      <c r="A885" s="15" t="str">
        <f>'Bldgs &amp; Rooms'!$A$25</f>
        <v>Main Bldg.</v>
      </c>
      <c r="B885" s="15">
        <f>'Bldgs &amp; Rooms'!$B$25</f>
        <v>0</v>
      </c>
      <c r="C885" s="14" t="str">
        <f>Hours!$A$34</f>
        <v>Compressed Air Equipment</v>
      </c>
      <c r="D885" s="15">
        <f t="shared" si="26"/>
        <v>0</v>
      </c>
      <c r="E885" s="16">
        <f>IF('Components Yr 1'!E885=0,0,'Components Yr 1'!E885)</f>
        <v>0</v>
      </c>
      <c r="F885" s="17">
        <f>IF('Components Yr 1'!F885=0,0,'Components Yr 1'!F885)</f>
        <v>0</v>
      </c>
      <c r="G885" s="17">
        <f>IF('Components Yr 1'!G885=0,0,'Components Yr 1'!G885)</f>
        <v>0</v>
      </c>
      <c r="H885" s="17">
        <f>IF('Components Yr 1'!H885=0,0,'Components Yr 1'!H885)</f>
        <v>0</v>
      </c>
      <c r="I885" s="17">
        <f>IF('Components Yr 1'!I885=0,0,'Components Yr 1'!I885)</f>
        <v>0</v>
      </c>
      <c r="J885" s="17">
        <f>IF('Components Yr 1'!J885=0,0,'Components Yr 1'!J885)</f>
        <v>0</v>
      </c>
      <c r="K885" s="12"/>
      <c r="L885" s="12"/>
      <c r="M885" s="12"/>
      <c r="N885" s="12"/>
      <c r="O885" s="12"/>
      <c r="P885" s="12"/>
      <c r="Q885" s="17"/>
      <c r="R885" s="18">
        <f>IF(SUMPRODUCT((E885:Q885)*1)=0,0,E885*INDEX(Hours!M:M,MATCH(C885,Hours!$A:$A,0))+F885*INDEX(Hours!B:B,MATCH(C885,Hours!$A:$A,0))+G885*INDEX(Hours!C:C,MATCH(C885,Hours!$A:$A,0))+H885*INDEX(Hours!D:D,MATCH(C885,Hours!$A:$A,0))+I885*INDEX(Hours!E:E,MATCH(C885,Hours!$A:$A,0))+J885*INDEX(Hours!F:F,MATCH(C885,Hours!$A:$A,0)))</f>
        <v>0</v>
      </c>
      <c r="S885" s="19">
        <f t="shared" si="27"/>
        <v>0</v>
      </c>
    </row>
    <row r="886" spans="1:19" x14ac:dyDescent="0.25">
      <c r="A886" s="15" t="str">
        <f>'Bldgs &amp; Rooms'!$A$25</f>
        <v>Main Bldg.</v>
      </c>
      <c r="B886" s="15">
        <f>'Bldgs &amp; Rooms'!$B$25</f>
        <v>0</v>
      </c>
      <c r="C886" s="14" t="str">
        <f>Hours!$A$35</f>
        <v>HVAC Equipment (Large)</v>
      </c>
      <c r="D886" s="15">
        <f t="shared" si="26"/>
        <v>0</v>
      </c>
      <c r="E886" s="16">
        <f>IF('Components Yr 1'!E886=0,0,'Components Yr 1'!E886)</f>
        <v>0</v>
      </c>
      <c r="F886" s="17">
        <f>IF('Components Yr 1'!F886=0,0,'Components Yr 1'!F886)</f>
        <v>0</v>
      </c>
      <c r="G886" s="17">
        <f>IF('Components Yr 1'!G886=0,0,'Components Yr 1'!G886)</f>
        <v>0</v>
      </c>
      <c r="H886" s="17">
        <f>IF('Components Yr 1'!H886=0,0,'Components Yr 1'!H886)</f>
        <v>0</v>
      </c>
      <c r="I886" s="17">
        <f>IF('Components Yr 1'!I886=0,0,'Components Yr 1'!I886)</f>
        <v>0</v>
      </c>
      <c r="J886" s="17">
        <f>IF('Components Yr 1'!J886=0,0,'Components Yr 1'!J886)</f>
        <v>0</v>
      </c>
      <c r="K886" s="12"/>
      <c r="L886" s="12"/>
      <c r="M886" s="12"/>
      <c r="N886" s="12"/>
      <c r="O886" s="12"/>
      <c r="P886" s="12"/>
      <c r="Q886" s="17"/>
      <c r="R886" s="18">
        <f>IF(SUMPRODUCT((E886:Q886)*1)=0,0,E886*INDEX(Hours!M:M,MATCH(C886,Hours!$A:$A,0))+F886*INDEX(Hours!B:B,MATCH(C886,Hours!$A:$A,0))+G886*INDEX(Hours!C:C,MATCH(C886,Hours!$A:$A,0))+H886*INDEX(Hours!D:D,MATCH(C886,Hours!$A:$A,0))+I886*INDEX(Hours!E:E,MATCH(C886,Hours!$A:$A,0))+J886*INDEX(Hours!F:F,MATCH(C886,Hours!$A:$A,0)))</f>
        <v>0</v>
      </c>
      <c r="S886" s="19">
        <f t="shared" si="27"/>
        <v>0</v>
      </c>
    </row>
    <row r="887" spans="1:19" x14ac:dyDescent="0.25">
      <c r="A887" s="15" t="str">
        <f>'Bldgs &amp; Rooms'!$A$25</f>
        <v>Main Bldg.</v>
      </c>
      <c r="B887" s="15">
        <f>'Bldgs &amp; Rooms'!$B$25</f>
        <v>0</v>
      </c>
      <c r="C887" s="14" t="str">
        <f>Hours!$A$36</f>
        <v>HVAC Equipment (Small)</v>
      </c>
      <c r="D887" s="15">
        <f t="shared" si="26"/>
        <v>0</v>
      </c>
      <c r="E887" s="16">
        <f>IF('Components Yr 1'!E887=0,0,'Components Yr 1'!E887)</f>
        <v>0</v>
      </c>
      <c r="F887" s="17">
        <f>IF('Components Yr 1'!F887=0,0,'Components Yr 1'!F887)</f>
        <v>0</v>
      </c>
      <c r="G887" s="17">
        <f>IF('Components Yr 1'!G887=0,0,'Components Yr 1'!G887)</f>
        <v>0</v>
      </c>
      <c r="H887" s="17">
        <f>IF('Components Yr 1'!H887=0,0,'Components Yr 1'!H887)</f>
        <v>0</v>
      </c>
      <c r="I887" s="17">
        <f>IF('Components Yr 1'!I887=0,0,'Components Yr 1'!I887)</f>
        <v>0</v>
      </c>
      <c r="J887" s="17">
        <f>IF('Components Yr 1'!J887=0,0,'Components Yr 1'!J887)</f>
        <v>0</v>
      </c>
      <c r="K887" s="12"/>
      <c r="L887" s="12"/>
      <c r="M887" s="12"/>
      <c r="N887" s="12"/>
      <c r="O887" s="12"/>
      <c r="P887" s="12"/>
      <c r="Q887" s="17"/>
      <c r="R887" s="18">
        <f>IF(SUMPRODUCT((E887:Q887)*1)=0,0,E887*INDEX(Hours!M:M,MATCH(C887,Hours!$A:$A,0))+F887*INDEX(Hours!B:B,MATCH(C887,Hours!$A:$A,0))+G887*INDEX(Hours!C:C,MATCH(C887,Hours!$A:$A,0))+H887*INDEX(Hours!D:D,MATCH(C887,Hours!$A:$A,0))+I887*INDEX(Hours!E:E,MATCH(C887,Hours!$A:$A,0))+J887*INDEX(Hours!F:F,MATCH(C887,Hours!$A:$A,0)))</f>
        <v>0</v>
      </c>
      <c r="S887" s="19">
        <f t="shared" si="27"/>
        <v>0</v>
      </c>
    </row>
    <row r="888" spans="1:19" x14ac:dyDescent="0.25">
      <c r="A888" s="15" t="str">
        <f>'Bldgs &amp; Rooms'!$A$25</f>
        <v>Main Bldg.</v>
      </c>
      <c r="B888" s="15">
        <f>'Bldgs &amp; Rooms'!$B$25</f>
        <v>0</v>
      </c>
      <c r="C888" s="14" t="str">
        <f>Hours!$A$37</f>
        <v>Uninterruptible Power Supply (UPS) &lt; 50kVA</v>
      </c>
      <c r="D888" s="15">
        <f t="shared" si="26"/>
        <v>0</v>
      </c>
      <c r="E888" s="16">
        <f>IF('Components Yr 1'!E888=0,0,'Components Yr 1'!E888)</f>
        <v>0</v>
      </c>
      <c r="F888" s="17">
        <f>IF('Components Yr 1'!F888=0,0,'Components Yr 1'!F888)</f>
        <v>0</v>
      </c>
      <c r="G888" s="17">
        <f>IF('Components Yr 1'!G888=0,0,'Components Yr 1'!G888)</f>
        <v>0</v>
      </c>
      <c r="H888" s="17">
        <f>IF('Components Yr 1'!H888=0,0,'Components Yr 1'!H888)</f>
        <v>0</v>
      </c>
      <c r="I888" s="17">
        <f>IF('Components Yr 1'!I888=0,0,'Components Yr 1'!I888)</f>
        <v>0</v>
      </c>
      <c r="J888" s="17">
        <f>IF('Components Yr 1'!J888=0,0,'Components Yr 1'!J888)</f>
        <v>0</v>
      </c>
      <c r="K888" s="12"/>
      <c r="L888" s="12"/>
      <c r="M888" s="12"/>
      <c r="N888" s="12"/>
      <c r="O888" s="12"/>
      <c r="P888" s="12"/>
      <c r="Q888" s="17"/>
      <c r="R888" s="18">
        <f>IF(SUMPRODUCT((E888:Q888)*1)=0,0,E888*INDEX(Hours!M:M,MATCH(C888,Hours!$A:$A,0))+F888*INDEX(Hours!B:B,MATCH(C888,Hours!$A:$A,0))+G888*INDEX(Hours!C:C,MATCH(C888,Hours!$A:$A,0))+H888*INDEX(Hours!D:D,MATCH(C888,Hours!$A:$A,0))+I888*INDEX(Hours!E:E,MATCH(C888,Hours!$A:$A,0))+J888*INDEX(Hours!F:F,MATCH(C888,Hours!$A:$A,0)))</f>
        <v>0</v>
      </c>
      <c r="S888" s="19">
        <f t="shared" si="27"/>
        <v>0</v>
      </c>
    </row>
    <row r="889" spans="1:19" x14ac:dyDescent="0.25">
      <c r="A889" s="15" t="str">
        <f>'Bldgs &amp; Rooms'!$A$25</f>
        <v>Main Bldg.</v>
      </c>
      <c r="B889" s="15">
        <f>'Bldgs &amp; Rooms'!$B$25</f>
        <v>0</v>
      </c>
      <c r="C889" s="14" t="str">
        <f>Hours!$A$38</f>
        <v>Uninterruptible Power Supply (UPS) &gt; 50kVA</v>
      </c>
      <c r="D889" s="15">
        <f t="shared" si="26"/>
        <v>0</v>
      </c>
      <c r="E889" s="16">
        <f>IF('Components Yr 1'!E889=0,0,'Components Yr 1'!E889)</f>
        <v>0</v>
      </c>
      <c r="F889" s="17">
        <f>IF('Components Yr 1'!F889=0,0,'Components Yr 1'!F889)</f>
        <v>0</v>
      </c>
      <c r="G889" s="17">
        <f>IF('Components Yr 1'!G889=0,0,'Components Yr 1'!G889)</f>
        <v>0</v>
      </c>
      <c r="H889" s="17">
        <f>IF('Components Yr 1'!H889=0,0,'Components Yr 1'!H889)</f>
        <v>0</v>
      </c>
      <c r="I889" s="17">
        <f>IF('Components Yr 1'!I889=0,0,'Components Yr 1'!I889)</f>
        <v>0</v>
      </c>
      <c r="J889" s="17">
        <f>IF('Components Yr 1'!J889=0,0,'Components Yr 1'!J889)</f>
        <v>0</v>
      </c>
      <c r="K889" s="12"/>
      <c r="L889" s="12"/>
      <c r="M889" s="12"/>
      <c r="N889" s="12"/>
      <c r="O889" s="12"/>
      <c r="P889" s="12"/>
      <c r="Q889" s="17"/>
      <c r="R889" s="18">
        <f>IF(SUMPRODUCT((E889:Q889)*1)=0,0,E889*INDEX(Hours!M:M,MATCH(C889,Hours!$A:$A,0))+F889*INDEX(Hours!B:B,MATCH(C889,Hours!$A:$A,0))+G889*INDEX(Hours!C:C,MATCH(C889,Hours!$A:$A,0))+H889*INDEX(Hours!D:D,MATCH(C889,Hours!$A:$A,0))+I889*INDEX(Hours!E:E,MATCH(C889,Hours!$A:$A,0))+J889*INDEX(Hours!F:F,MATCH(C889,Hours!$A:$A,0)))</f>
        <v>0</v>
      </c>
      <c r="S889" s="19">
        <f t="shared" si="27"/>
        <v>0</v>
      </c>
    </row>
    <row r="890" spans="1:19" x14ac:dyDescent="0.25">
      <c r="A890" s="11" t="str">
        <f>'Bldgs &amp; Rooms'!$A$26</f>
        <v>Main Bldg.</v>
      </c>
      <c r="B890" s="11">
        <f>'Bldgs &amp; Rooms'!$B$26</f>
        <v>0</v>
      </c>
      <c r="C890" s="10" t="str">
        <f>Hours!$A$2</f>
        <v>Switchgear - Incoming Main Service (Per Section)</v>
      </c>
      <c r="D890" s="11">
        <f t="shared" si="26"/>
        <v>0</v>
      </c>
      <c r="E890" s="16">
        <f>IF('Components Yr 1'!E890=0,0,'Components Yr 1'!E890)</f>
        <v>0</v>
      </c>
      <c r="F890" s="17">
        <f>IF('Components Yr 1'!F890=0,0,'Components Yr 1'!F890)</f>
        <v>0</v>
      </c>
      <c r="G890" s="17">
        <f>IF('Components Yr 1'!G890=0,0,'Components Yr 1'!G890)</f>
        <v>0</v>
      </c>
      <c r="H890" s="17">
        <f>IF('Components Yr 1'!H890=0,0,'Components Yr 1'!H890)</f>
        <v>0</v>
      </c>
      <c r="I890" s="17">
        <f>IF('Components Yr 1'!I890=0,0,'Components Yr 1'!I890)</f>
        <v>0</v>
      </c>
      <c r="J890" s="17">
        <f>IF('Components Yr 1'!J890=0,0,'Components Yr 1'!J890)</f>
        <v>0</v>
      </c>
      <c r="K890" s="17">
        <f>IF('Components Yr 1'!K890=0,0,'Components Yr 1'!K890)</f>
        <v>0</v>
      </c>
      <c r="L890" s="17">
        <f>IF('Components Yr 1'!L890=0,0,'Components Yr 1'!L890)</f>
        <v>0</v>
      </c>
      <c r="M890" s="12"/>
      <c r="N890" s="12"/>
      <c r="O890" s="17">
        <f>IF('Components Yr 1'!O890=0,0,'Components Yr 1'!O890)</f>
        <v>0</v>
      </c>
      <c r="P890" s="12"/>
      <c r="Q890" s="17"/>
      <c r="R890" s="18">
        <f>IF(SUMPRODUCT((E890:Q890)*1)=0,0,E890*INDEX(Hours!M:M,MATCH(C890,Hours!$A:$A,0))+F890*INDEX(Hours!B:B,MATCH(C890,Hours!$A:$A,0))+G890*INDEX(Hours!C:C,MATCH(C890,Hours!$A:$A,0))+H890*INDEX(Hours!D:D,MATCH(C890,Hours!$A:$A,0))+I890*INDEX(Hours!E:E,MATCH(C890,Hours!$A:$A,0))+J890*INDEX(Hours!F:F,MATCH(C890,Hours!$A:$A,0))+K890*INDEX(Hours!G:G,MATCH(C890,Hours!$A:$A,0))+L890*INDEX(Hours!H:H,MATCH(C890,Hours!$A:$A,0))+O890*INDEX(Hours!K:K,MATCH(C890,Hours!$A:$A,0)))</f>
        <v>0</v>
      </c>
      <c r="S890" s="19">
        <f t="shared" si="27"/>
        <v>0</v>
      </c>
    </row>
    <row r="891" spans="1:19" x14ac:dyDescent="0.25">
      <c r="A891" s="11" t="str">
        <f>'Bldgs &amp; Rooms'!$A$26</f>
        <v>Main Bldg.</v>
      </c>
      <c r="B891" s="11">
        <f>'Bldgs &amp; Rooms'!$B$26</f>
        <v>0</v>
      </c>
      <c r="C891" s="10" t="str">
        <f>Hours!$A$3</f>
        <v xml:space="preserve">  Switchgear Insulated Case Breakers (Bus Mounted)</v>
      </c>
      <c r="D891" s="11">
        <f t="shared" si="26"/>
        <v>0</v>
      </c>
      <c r="E891" s="16">
        <f>IF('Components Yr 1'!E891=0,0,'Components Yr 1'!E891)</f>
        <v>0</v>
      </c>
      <c r="F891" s="17">
        <f>IF('Components Yr 1'!F891=0,0,'Components Yr 1'!F891)</f>
        <v>0</v>
      </c>
      <c r="G891" s="17">
        <f>IF('Components Yr 1'!G891=0,0,'Components Yr 1'!G891)</f>
        <v>0</v>
      </c>
      <c r="H891" s="17">
        <f>IF('Components Yr 1'!H891=0,0,'Components Yr 1'!H891)</f>
        <v>0</v>
      </c>
      <c r="I891" s="17">
        <f>IF('Components Yr 1'!I891=0,0,'Components Yr 1'!I891)</f>
        <v>0</v>
      </c>
      <c r="J891" s="17">
        <f>IF('Components Yr 1'!J891=0,0,'Components Yr 1'!J891)</f>
        <v>0</v>
      </c>
      <c r="K891" s="17">
        <f>IF('Components Yr 1'!K891=0,0,'Components Yr 1'!K891)</f>
        <v>0</v>
      </c>
      <c r="L891" s="12"/>
      <c r="M891" s="12"/>
      <c r="N891" s="12"/>
      <c r="O891" s="12"/>
      <c r="P891" s="12"/>
      <c r="Q891" s="17"/>
      <c r="R891" s="18">
        <f>IF(SUMPRODUCT((E891:Q891)*1)=0,0,E891*INDEX(Hours!M:M,MATCH(C891,Hours!$A:$A,0))+F891*INDEX(Hours!B:B,MATCH(C891,Hours!$A:$A,0))+G891*INDEX(Hours!C:C,MATCH(C891,Hours!$A:$A,0))+H891*INDEX(Hours!D:D,MATCH(C891,Hours!$A:$A,0))+I891*INDEX(Hours!E:E,MATCH(C891,Hours!$A:$A,0))+J891*INDEX(Hours!F:F,MATCH(C891,Hours!$A:$A,0))+K891*INDEX(Hours!G:G,MATCH(C891,Hours!$A:$A,0)))</f>
        <v>0</v>
      </c>
      <c r="S891" s="19">
        <f t="shared" si="27"/>
        <v>0</v>
      </c>
    </row>
    <row r="892" spans="1:19" x14ac:dyDescent="0.25">
      <c r="A892" s="11" t="str">
        <f>'Bldgs &amp; Rooms'!$A$26</f>
        <v>Main Bldg.</v>
      </c>
      <c r="B892" s="11">
        <f>'Bldgs &amp; Rooms'!$B$26</f>
        <v>0</v>
      </c>
      <c r="C892" s="10" t="str">
        <f>Hours!$A$4</f>
        <v xml:space="preserve">  SwitchGear Drawout Breakers</v>
      </c>
      <c r="D892" s="11">
        <f t="shared" si="26"/>
        <v>0</v>
      </c>
      <c r="E892" s="16">
        <f>IF('Components Yr 1'!E892=0,0,'Components Yr 1'!E892)</f>
        <v>0</v>
      </c>
      <c r="F892" s="17">
        <f>IF('Components Yr 1'!F892=0,0,'Components Yr 1'!F892)</f>
        <v>0</v>
      </c>
      <c r="G892" s="17">
        <f>IF('Components Yr 1'!G892=0,0,'Components Yr 1'!G892)</f>
        <v>0</v>
      </c>
      <c r="H892" s="17">
        <f>IF('Components Yr 1'!H892=0,0,'Components Yr 1'!H892)</f>
        <v>0</v>
      </c>
      <c r="I892" s="17">
        <f>IF('Components Yr 1'!I892=0,0,'Components Yr 1'!I892)</f>
        <v>0</v>
      </c>
      <c r="J892" s="17">
        <f>IF('Components Yr 1'!J892=0,0,'Components Yr 1'!J892)</f>
        <v>0</v>
      </c>
      <c r="K892" s="12"/>
      <c r="L892" s="17">
        <f>IF('Components Yr 1'!L892=0,0,'Components Yr 1'!L892)</f>
        <v>0</v>
      </c>
      <c r="M892" s="12"/>
      <c r="N892" s="12"/>
      <c r="O892" s="12"/>
      <c r="P892" s="12"/>
      <c r="Q892" s="17"/>
      <c r="R892" s="18">
        <f>IF(SUMPRODUCT((E892:Q892)*1)=0,0,E892*INDEX(Hours!M:M,MATCH(C892,Hours!$A:$A,0))+F892*INDEX(Hours!B:B,MATCH(C892,Hours!$A:$A,0))+G892*INDEX(Hours!C:C,MATCH(C892,Hours!$A:$A,0))+H892*INDEX(Hours!D:D,MATCH(C892,Hours!$A:$A,0))+I892*INDEX(Hours!E:E,MATCH(C892,Hours!$A:$A,0))+J892*INDEX(Hours!F:F,MATCH(C892,Hours!$A:$A,0))+L892*INDEX(Hours!H:H,MATCH(C892,Hours!$A:$A,0)))</f>
        <v>0</v>
      </c>
      <c r="S892" s="19">
        <f t="shared" si="27"/>
        <v>0</v>
      </c>
    </row>
    <row r="893" spans="1:19" x14ac:dyDescent="0.25">
      <c r="A893" s="11" t="str">
        <f>'Bldgs &amp; Rooms'!$A$26</f>
        <v>Main Bldg.</v>
      </c>
      <c r="B893" s="11">
        <f>'Bldgs &amp; Rooms'!$B$26</f>
        <v>0</v>
      </c>
      <c r="C893" s="10" t="str">
        <f>Hours!$A$5</f>
        <v>Distribution Switchboard Multi Cover (Per Section)</v>
      </c>
      <c r="D893" s="11">
        <f t="shared" si="26"/>
        <v>0</v>
      </c>
      <c r="E893" s="16">
        <f>IF('Components Yr 1'!E893=0,0,'Components Yr 1'!E893)</f>
        <v>0</v>
      </c>
      <c r="F893" s="17">
        <f>IF('Components Yr 1'!F893=0,0,'Components Yr 1'!F893)</f>
        <v>0</v>
      </c>
      <c r="G893" s="17">
        <f>IF('Components Yr 1'!G893=0,0,'Components Yr 1'!G893)</f>
        <v>0</v>
      </c>
      <c r="H893" s="17">
        <f>IF('Components Yr 1'!H893=0,0,'Components Yr 1'!H893)</f>
        <v>0</v>
      </c>
      <c r="I893" s="17">
        <f>IF('Components Yr 1'!I893=0,0,'Components Yr 1'!I893)</f>
        <v>0</v>
      </c>
      <c r="J893" s="17">
        <f>IF('Components Yr 1'!J893=0,0,'Components Yr 1'!J893)</f>
        <v>0</v>
      </c>
      <c r="K893" s="17">
        <f>IF('Components Yr 1'!K893=0,0,'Components Yr 1'!K893)</f>
        <v>0</v>
      </c>
      <c r="L893" s="12"/>
      <c r="M893" s="12"/>
      <c r="N893" s="12"/>
      <c r="O893" s="17">
        <f>IF('Components Yr 1'!O893=0,0,'Components Yr 1'!O893)</f>
        <v>0</v>
      </c>
      <c r="P893" s="12"/>
      <c r="Q893" s="17"/>
      <c r="R893" s="18">
        <f>IF(SUMPRODUCT((E893:Q893)*1)=0,0,E893*INDEX(Hours!M:M,MATCH(C893,Hours!$A:$A,0))+F893*INDEX(Hours!B:B,MATCH(C893,Hours!$A:$A,0))+G893*INDEX(Hours!C:C,MATCH(C893,Hours!$A:$A,0))+H893*INDEX(Hours!D:D,MATCH(C893,Hours!$A:$A,0))+I893*INDEX(Hours!E:E,MATCH(C893,Hours!$A:$A,0))+J893*INDEX(Hours!F:F,MATCH(C893,Hours!$A:$A,0))+K893*INDEX(Hours!G:G,MATCH(C893,Hours!$A:$A,0))+O893*INDEX(Hours!K:K,MATCH(C893,Hours!$A:$A,0)))</f>
        <v>0</v>
      </c>
      <c r="S893" s="19">
        <f t="shared" si="27"/>
        <v>0</v>
      </c>
    </row>
    <row r="894" spans="1:19" x14ac:dyDescent="0.25">
      <c r="A894" s="11" t="str">
        <f>'Bldgs &amp; Rooms'!$A$26</f>
        <v>Main Bldg.</v>
      </c>
      <c r="B894" s="11">
        <f>'Bldgs &amp; Rooms'!$B$26</f>
        <v>0</v>
      </c>
      <c r="C894" s="10" t="str">
        <f>Hours!$A$6</f>
        <v xml:space="preserve">  Switchboard Disconnects</v>
      </c>
      <c r="D894" s="11">
        <f t="shared" si="26"/>
        <v>0</v>
      </c>
      <c r="E894" s="16">
        <f>IF('Components Yr 1'!E894=0,0,'Components Yr 1'!E894)</f>
        <v>0</v>
      </c>
      <c r="F894" s="17">
        <f>IF('Components Yr 1'!F894=0,0,'Components Yr 1'!F894)</f>
        <v>0</v>
      </c>
      <c r="G894" s="17">
        <f>IF('Components Yr 1'!G894=0,0,'Components Yr 1'!G894)</f>
        <v>0</v>
      </c>
      <c r="H894" s="17">
        <f>IF('Components Yr 1'!H894=0,0,'Components Yr 1'!H894)</f>
        <v>0</v>
      </c>
      <c r="I894" s="17">
        <f>IF('Components Yr 1'!I894=0,0,'Components Yr 1'!I894)</f>
        <v>0</v>
      </c>
      <c r="J894" s="17">
        <f>IF('Components Yr 1'!J894=0,0,'Components Yr 1'!J894)</f>
        <v>0</v>
      </c>
      <c r="K894" s="12"/>
      <c r="L894" s="12"/>
      <c r="M894" s="12"/>
      <c r="N894" s="12"/>
      <c r="O894" s="12"/>
      <c r="P894" s="12"/>
      <c r="Q894" s="17"/>
      <c r="R894" s="18">
        <f>IF(SUMPRODUCT((E894:Q894)*1)=0,0,E894*INDEX(Hours!M:M,MATCH(C894,Hours!$A:$A,0))+F894*INDEX(Hours!B:B,MATCH(C894,Hours!$A:$A,0))+G894*INDEX(Hours!C:C,MATCH(C894,Hours!$A:$A,0))+H894*INDEX(Hours!D:D,MATCH(C894,Hours!$A:$A,0))+I894*INDEX(Hours!E:E,MATCH(C894,Hours!$A:$A,0))+J894*INDEX(Hours!F:F,MATCH(C894,Hours!$A:$A,0)))</f>
        <v>0</v>
      </c>
      <c r="S894" s="19">
        <f t="shared" si="27"/>
        <v>0</v>
      </c>
    </row>
    <row r="895" spans="1:19" x14ac:dyDescent="0.25">
      <c r="A895" s="11" t="str">
        <f>'Bldgs &amp; Rooms'!$A$26</f>
        <v>Main Bldg.</v>
      </c>
      <c r="B895" s="11">
        <f>'Bldgs &amp; Rooms'!$B$26</f>
        <v>0</v>
      </c>
      <c r="C895" s="10" t="str">
        <f>Hours!$A$7</f>
        <v xml:space="preserve">  Switchboard Molded Case Breakers</v>
      </c>
      <c r="D895" s="11">
        <f t="shared" si="26"/>
        <v>0</v>
      </c>
      <c r="E895" s="16">
        <f>IF('Components Yr 1'!E895=0,0,'Components Yr 1'!E895)</f>
        <v>0</v>
      </c>
      <c r="F895" s="17">
        <f>IF('Components Yr 1'!F895=0,0,'Components Yr 1'!F895)</f>
        <v>0</v>
      </c>
      <c r="G895" s="17">
        <f>IF('Components Yr 1'!G895=0,0,'Components Yr 1'!G895)</f>
        <v>0</v>
      </c>
      <c r="H895" s="17">
        <f>IF('Components Yr 1'!H895=0,0,'Components Yr 1'!H895)</f>
        <v>0</v>
      </c>
      <c r="I895" s="17">
        <f>IF('Components Yr 1'!I895=0,0,'Components Yr 1'!I895)</f>
        <v>0</v>
      </c>
      <c r="J895" s="17">
        <f>IF('Components Yr 1'!J895=0,0,'Components Yr 1'!J895)</f>
        <v>0</v>
      </c>
      <c r="K895" s="17">
        <f>IF('Components Yr 1'!K895=0,0,'Components Yr 1'!K895)</f>
        <v>0</v>
      </c>
      <c r="L895" s="12"/>
      <c r="M895" s="12"/>
      <c r="N895" s="12"/>
      <c r="O895" s="12"/>
      <c r="P895" s="12"/>
      <c r="Q895" s="17"/>
      <c r="R895" s="18">
        <f>IF(SUMPRODUCT((E895:Q895)*1)=0,0,E895*INDEX(Hours!M:M,MATCH(C895,Hours!$A:$A,0))+F895*INDEX(Hours!B:B,MATCH(C895,Hours!$A:$A,0))+G895*INDEX(Hours!C:C,MATCH(C895,Hours!$A:$A,0))+H895*INDEX(Hours!D:D,MATCH(C895,Hours!$A:$A,0))+I895*INDEX(Hours!E:E,MATCH(C895,Hours!$A:$A,0))+J895*INDEX(Hours!F:F,MATCH(C895,Hours!$A:$A,0))+K895*INDEX(Hours!G:G,MATCH(C895,Hours!$A:$A,0)))</f>
        <v>0</v>
      </c>
      <c r="S895" s="19">
        <f t="shared" si="27"/>
        <v>0</v>
      </c>
    </row>
    <row r="896" spans="1:19" x14ac:dyDescent="0.25">
      <c r="A896" s="11" t="str">
        <f>'Bldgs &amp; Rooms'!$A$26</f>
        <v>Main Bldg.</v>
      </c>
      <c r="B896" s="11">
        <f>'Bldgs &amp; Rooms'!$B$26</f>
        <v>0</v>
      </c>
      <c r="C896" s="10" t="str">
        <f>Hours!$A$8</f>
        <v>Panelboard-Single Cover &gt; 400A (Distribution Panel)</v>
      </c>
      <c r="D896" s="11">
        <f t="shared" si="26"/>
        <v>0</v>
      </c>
      <c r="E896" s="16">
        <f>IF('Components Yr 1'!E896=0,0,'Components Yr 1'!E896)</f>
        <v>0</v>
      </c>
      <c r="F896" s="17">
        <f>IF('Components Yr 1'!F896=0,0,'Components Yr 1'!F896)</f>
        <v>0</v>
      </c>
      <c r="G896" s="17">
        <f>IF('Components Yr 1'!G896=0,0,'Components Yr 1'!G896)</f>
        <v>0</v>
      </c>
      <c r="H896" s="17">
        <f>IF('Components Yr 1'!H896=0,0,'Components Yr 1'!H896)</f>
        <v>0</v>
      </c>
      <c r="I896" s="17">
        <f>IF('Components Yr 1'!I896=0,0,'Components Yr 1'!I896)</f>
        <v>0</v>
      </c>
      <c r="J896" s="17">
        <f>IF('Components Yr 1'!J896=0,0,'Components Yr 1'!J896)</f>
        <v>0</v>
      </c>
      <c r="K896" s="17">
        <f>IF('Components Yr 1'!K896=0,0,'Components Yr 1'!K896)</f>
        <v>0</v>
      </c>
      <c r="L896" s="12"/>
      <c r="M896" s="12"/>
      <c r="N896" s="12"/>
      <c r="O896" s="17">
        <f>IF('Components Yr 1'!O896=0,0,'Components Yr 1'!O896)</f>
        <v>0</v>
      </c>
      <c r="P896" s="12"/>
      <c r="Q896" s="17"/>
      <c r="R896" s="18">
        <f>IF(SUMPRODUCT((E896:Q896)*1)=0,0,E896*INDEX(Hours!M:M,MATCH(C896,Hours!$A:$A,0))+F896*INDEX(Hours!B:B,MATCH(C896,Hours!$A:$A,0))+G896*INDEX(Hours!C:C,MATCH(C896,Hours!$A:$A,0))+H896*INDEX(Hours!D:D,MATCH(C896,Hours!$A:$A,0))+I896*INDEX(Hours!E:E,MATCH(C896,Hours!$A:$A,0))+J896*INDEX(Hours!F:F,MATCH(C896,Hours!$A:$A,0))+K896*INDEX(Hours!G:G,MATCH(C896,Hours!$A:$A,0))+O896*INDEX(Hours!K:K,MATCH(C896,Hours!$A:$A,0)))</f>
        <v>0</v>
      </c>
      <c r="S896" s="19">
        <f t="shared" si="27"/>
        <v>0</v>
      </c>
    </row>
    <row r="897" spans="1:19" x14ac:dyDescent="0.25">
      <c r="A897" s="11" t="str">
        <f>'Bldgs &amp; Rooms'!$A$26</f>
        <v>Main Bldg.</v>
      </c>
      <c r="B897" s="11">
        <f>'Bldgs &amp; Rooms'!$B$26</f>
        <v>0</v>
      </c>
      <c r="C897" s="10" t="str">
        <f>Hours!$A$9</f>
        <v>Panelboard-Single Cover &lt; 400A (Branch Ckt Panel)</v>
      </c>
      <c r="D897" s="11">
        <f t="shared" si="26"/>
        <v>0</v>
      </c>
      <c r="E897" s="16">
        <f>IF('Components Yr 1'!E897=0,0,'Components Yr 1'!E897)</f>
        <v>0</v>
      </c>
      <c r="F897" s="17">
        <f>IF('Components Yr 1'!F897=0,0,'Components Yr 1'!F897)</f>
        <v>0</v>
      </c>
      <c r="G897" s="17">
        <f>IF('Components Yr 1'!G897=0,0,'Components Yr 1'!G897)</f>
        <v>0</v>
      </c>
      <c r="H897" s="17">
        <f>IF('Components Yr 1'!H897=0,0,'Components Yr 1'!H897)</f>
        <v>0</v>
      </c>
      <c r="I897" s="17">
        <f>IF('Components Yr 1'!I897=0,0,'Components Yr 1'!I897)</f>
        <v>0</v>
      </c>
      <c r="J897" s="17">
        <f>IF('Components Yr 1'!J897=0,0,'Components Yr 1'!J897)</f>
        <v>0</v>
      </c>
      <c r="K897" s="12"/>
      <c r="L897" s="12"/>
      <c r="M897" s="12"/>
      <c r="N897" s="12"/>
      <c r="O897" s="17">
        <f>IF('Components Yr 1'!O897=0,0,'Components Yr 1'!O897)</f>
        <v>0</v>
      </c>
      <c r="P897" s="12"/>
      <c r="Q897" s="17"/>
      <c r="R897" s="18">
        <f>IF(SUMPRODUCT((E897:Q897)*1)=0,0,E897*INDEX(Hours!M:M,MATCH(C897,Hours!$A:$A,0))+F897*INDEX(Hours!B:B,MATCH(C897,Hours!$A:$A,0))+G897*INDEX(Hours!C:C,MATCH(C897,Hours!$A:$A,0))+H897*INDEX(Hours!D:D,MATCH(C897,Hours!$A:$A,0))+I897*INDEX(Hours!E:E,MATCH(C897,Hours!$A:$A,0))+J897*INDEX(Hours!F:F,MATCH(C897,Hours!$A:$A,0))+O897*INDEX(Hours!K:K,MATCH(C897,Hours!$A:$A,0)))</f>
        <v>0</v>
      </c>
      <c r="S897" s="19">
        <f t="shared" si="27"/>
        <v>0</v>
      </c>
    </row>
    <row r="898" spans="1:19" x14ac:dyDescent="0.25">
      <c r="A898" s="11" t="str">
        <f>'Bldgs &amp; Rooms'!$A$26</f>
        <v>Main Bldg.</v>
      </c>
      <c r="B898" s="11">
        <f>'Bldgs &amp; Rooms'!$B$26</f>
        <v>0</v>
      </c>
      <c r="C898" s="10" t="str">
        <f>Hours!$A$10</f>
        <v>Motor Control Center (MCC-Per Vertical Section)</v>
      </c>
      <c r="D898" s="11">
        <f t="shared" ref="D898:D961" si="28">MAX(E898+F898,G898,H898,I898,J898,K898,L898,M898,N898,O898,P898,Q898)</f>
        <v>0</v>
      </c>
      <c r="E898" s="16">
        <f>IF('Components Yr 1'!E898=0,0,'Components Yr 1'!E898)</f>
        <v>0</v>
      </c>
      <c r="F898" s="17">
        <f>IF('Components Yr 1'!F898=0,0,'Components Yr 1'!F898)</f>
        <v>0</v>
      </c>
      <c r="G898" s="17">
        <f>IF('Components Yr 1'!G898=0,0,'Components Yr 1'!G898)</f>
        <v>0</v>
      </c>
      <c r="H898" s="17">
        <f>IF('Components Yr 1'!H898=0,0,'Components Yr 1'!H898)</f>
        <v>0</v>
      </c>
      <c r="I898" s="17">
        <f>IF('Components Yr 1'!I898=0,0,'Components Yr 1'!I898)</f>
        <v>0</v>
      </c>
      <c r="J898" s="17">
        <f>IF('Components Yr 1'!J898=0,0,'Components Yr 1'!J898)</f>
        <v>0</v>
      </c>
      <c r="K898" s="12"/>
      <c r="L898" s="12"/>
      <c r="M898" s="12"/>
      <c r="N898" s="12"/>
      <c r="O898" s="17">
        <f>IF('Components Yr 1'!O898=0,0,'Components Yr 1'!O898)</f>
        <v>0</v>
      </c>
      <c r="P898" s="12"/>
      <c r="Q898" s="17"/>
      <c r="R898" s="18">
        <f>IF(SUMPRODUCT((E898:Q898)*1)=0,0,E898*INDEX(Hours!M:M,MATCH(C898,Hours!$A:$A,0))+F898*INDEX(Hours!B:B,MATCH(C898,Hours!$A:$A,0))+G898*INDEX(Hours!C:C,MATCH(C898,Hours!$A:$A,0))+H898*INDEX(Hours!D:D,MATCH(C898,Hours!$A:$A,0))+I898*INDEX(Hours!E:E,MATCH(C898,Hours!$A:$A,0))+J898*INDEX(Hours!F:F,MATCH(C898,Hours!$A:$A,0))+O898*INDEX(Hours!K:K,MATCH(C898,Hours!$A:$A,0)))</f>
        <v>0</v>
      </c>
      <c r="S898" s="19">
        <f t="shared" ref="S898:S961" si="29">MAX(E898+F898,G898,H898,I898,J898,K898,L898,M898,N898,O898,P898,Q898)</f>
        <v>0</v>
      </c>
    </row>
    <row r="899" spans="1:19" x14ac:dyDescent="0.25">
      <c r="A899" s="11" t="str">
        <f>'Bldgs &amp; Rooms'!$A$26</f>
        <v>Main Bldg.</v>
      </c>
      <c r="B899" s="11">
        <f>'Bldgs &amp; Rooms'!$B$26</f>
        <v>0</v>
      </c>
      <c r="C899" s="10" t="str">
        <f>Hours!$A$11</f>
        <v xml:space="preserve">  MCC: Combination Motor Starters</v>
      </c>
      <c r="D899" s="11">
        <f t="shared" si="28"/>
        <v>0</v>
      </c>
      <c r="E899" s="16">
        <f>IF('Components Yr 1'!E899=0,0,'Components Yr 1'!E899)</f>
        <v>0</v>
      </c>
      <c r="F899" s="17">
        <f>IF('Components Yr 1'!F899=0,0,'Components Yr 1'!F899)</f>
        <v>0</v>
      </c>
      <c r="G899" s="17">
        <f>IF('Components Yr 1'!G899=0,0,'Components Yr 1'!G899)</f>
        <v>0</v>
      </c>
      <c r="H899" s="17">
        <f>IF('Components Yr 1'!H899=0,0,'Components Yr 1'!H899)</f>
        <v>0</v>
      </c>
      <c r="I899" s="17">
        <f>IF('Components Yr 1'!I899=0,0,'Components Yr 1'!I899)</f>
        <v>0</v>
      </c>
      <c r="J899" s="17">
        <f>IF('Components Yr 1'!J899=0,0,'Components Yr 1'!J899)</f>
        <v>0</v>
      </c>
      <c r="K899" s="17">
        <f>IF('Components Yr 1'!K899=0,0,'Components Yr 1'!K899)</f>
        <v>0</v>
      </c>
      <c r="L899" s="12"/>
      <c r="M899" s="12"/>
      <c r="N899" s="12"/>
      <c r="O899" s="17">
        <f>IF('Components Yr 1'!O899=0,0,'Components Yr 1'!O899)</f>
        <v>0</v>
      </c>
      <c r="P899" s="12"/>
      <c r="Q899" s="17"/>
      <c r="R899" s="18">
        <f>IF(SUMPRODUCT((E899:Q899)*1)=0,0,E899*INDEX(Hours!M:M,MATCH(C899,Hours!$A:$A,0))+F899*INDEX(Hours!B:B,MATCH(C899,Hours!$A:$A,0))+G899*INDEX(Hours!C:C,MATCH(C899,Hours!$A:$A,0))+H899*INDEX(Hours!D:D,MATCH(C899,Hours!$A:$A,0))+I899*INDEX(Hours!E:E,MATCH(C899,Hours!$A:$A,0))+J899*INDEX(Hours!F:F,MATCH(C899,Hours!$A:$A,0))+K899*INDEX(Hours!G:G,MATCH(C899,Hours!$A:$A,0))+O899*INDEX(Hours!K:K,MATCH(C899,Hours!$A:$A,0)))</f>
        <v>0</v>
      </c>
      <c r="S899" s="19">
        <f t="shared" si="29"/>
        <v>0</v>
      </c>
    </row>
    <row r="900" spans="1:19" x14ac:dyDescent="0.25">
      <c r="A900" s="11" t="str">
        <f>'Bldgs &amp; Rooms'!$A$26</f>
        <v>Main Bldg.</v>
      </c>
      <c r="B900" s="11">
        <f>'Bldgs &amp; Rooms'!$B$26</f>
        <v>0</v>
      </c>
      <c r="C900" s="10" t="str">
        <f>Hours!$A$12</f>
        <v xml:space="preserve">  MCC: Molded Case Breaker</v>
      </c>
      <c r="D900" s="11">
        <f t="shared" si="28"/>
        <v>0</v>
      </c>
      <c r="E900" s="16">
        <f>IF('Components Yr 1'!E900=0,0,'Components Yr 1'!E900)</f>
        <v>0</v>
      </c>
      <c r="F900" s="17">
        <f>IF('Components Yr 1'!F900=0,0,'Components Yr 1'!F900)</f>
        <v>0</v>
      </c>
      <c r="G900" s="17">
        <f>IF('Components Yr 1'!G900=0,0,'Components Yr 1'!G900)</f>
        <v>0</v>
      </c>
      <c r="H900" s="17">
        <f>IF('Components Yr 1'!H900=0,0,'Components Yr 1'!H900)</f>
        <v>0</v>
      </c>
      <c r="I900" s="17">
        <f>IF('Components Yr 1'!I900=0,0,'Components Yr 1'!I900)</f>
        <v>0</v>
      </c>
      <c r="J900" s="17">
        <f>IF('Components Yr 1'!J900=0,0,'Components Yr 1'!J900)</f>
        <v>0</v>
      </c>
      <c r="K900" s="17">
        <f>IF('Components Yr 1'!K900=0,0,'Components Yr 1'!K900)</f>
        <v>0</v>
      </c>
      <c r="L900" s="12"/>
      <c r="M900" s="12"/>
      <c r="N900" s="12"/>
      <c r="O900" s="12"/>
      <c r="P900" s="12"/>
      <c r="Q900" s="17"/>
      <c r="R900" s="18">
        <f>IF(SUMPRODUCT((E900:Q900)*1)=0,0,E900*INDEX(Hours!M:M,MATCH(C900,Hours!$A:$A,0))+F900*INDEX(Hours!B:B,MATCH(C900,Hours!$A:$A,0))+G900*INDEX(Hours!C:C,MATCH(C900,Hours!$A:$A,0))+H900*INDEX(Hours!D:D,MATCH(C900,Hours!$A:$A,0))+I900*INDEX(Hours!E:E,MATCH(C900,Hours!$A:$A,0))+J900*INDEX(Hours!F:F,MATCH(C900,Hours!$A:$A,0))+K900*INDEX(Hours!G:G,MATCH(C900,Hours!$A:$A,0)))</f>
        <v>0</v>
      </c>
      <c r="S900" s="19">
        <f t="shared" si="29"/>
        <v>0</v>
      </c>
    </row>
    <row r="901" spans="1:19" x14ac:dyDescent="0.25">
      <c r="A901" s="11" t="str">
        <f>'Bldgs &amp; Rooms'!$A$26</f>
        <v>Main Bldg.</v>
      </c>
      <c r="B901" s="11">
        <f>'Bldgs &amp; Rooms'!$B$26</f>
        <v>0</v>
      </c>
      <c r="C901" s="10" t="str">
        <f>Hours!$A$13</f>
        <v xml:space="preserve">  MCC: Individual Disconnect Switch</v>
      </c>
      <c r="D901" s="11">
        <f t="shared" si="28"/>
        <v>0</v>
      </c>
      <c r="E901" s="16">
        <f>IF('Components Yr 1'!E901=0,0,'Components Yr 1'!E901)</f>
        <v>0</v>
      </c>
      <c r="F901" s="17">
        <f>IF('Components Yr 1'!F901=0,0,'Components Yr 1'!F901)</f>
        <v>0</v>
      </c>
      <c r="G901" s="17">
        <f>IF('Components Yr 1'!G901=0,0,'Components Yr 1'!G901)</f>
        <v>0</v>
      </c>
      <c r="H901" s="17">
        <f>IF('Components Yr 1'!H901=0,0,'Components Yr 1'!H901)</f>
        <v>0</v>
      </c>
      <c r="I901" s="17">
        <f>IF('Components Yr 1'!I901=0,0,'Components Yr 1'!I901)</f>
        <v>0</v>
      </c>
      <c r="J901" s="17">
        <f>IF('Components Yr 1'!J901=0,0,'Components Yr 1'!J901)</f>
        <v>0</v>
      </c>
      <c r="K901" s="12"/>
      <c r="L901" s="12"/>
      <c r="M901" s="12"/>
      <c r="N901" s="12"/>
      <c r="O901" s="12"/>
      <c r="P901" s="12"/>
      <c r="Q901" s="17"/>
      <c r="R901" s="18">
        <f>IF(SUMPRODUCT((E901:Q901)*1)=0,0,E901*INDEX(Hours!M:M,MATCH(C901,Hours!$A:$A,0))+F901*INDEX(Hours!B:B,MATCH(C901,Hours!$A:$A,0))+G901*INDEX(Hours!C:C,MATCH(C901,Hours!$A:$A,0))+H901*INDEX(Hours!D:D,MATCH(C901,Hours!$A:$A,0))+I901*INDEX(Hours!E:E,MATCH(C901,Hours!$A:$A,0))+J901*INDEX(Hours!F:F,MATCH(C901,Hours!$A:$A,0)))</f>
        <v>0</v>
      </c>
      <c r="S901" s="19">
        <f t="shared" si="29"/>
        <v>0</v>
      </c>
    </row>
    <row r="902" spans="1:19" x14ac:dyDescent="0.25">
      <c r="A902" s="11" t="str">
        <f>'Bldgs &amp; Rooms'!$A$26</f>
        <v>Main Bldg.</v>
      </c>
      <c r="B902" s="11">
        <f>'Bldgs &amp; Rooms'!$B$26</f>
        <v>0</v>
      </c>
      <c r="C902" s="10" t="str">
        <f>Hours!$A$14</f>
        <v>Motor Control Panel (MCP)</v>
      </c>
      <c r="D902" s="11">
        <f t="shared" si="28"/>
        <v>0</v>
      </c>
      <c r="E902" s="16">
        <f>IF('Components Yr 1'!E902=0,0,'Components Yr 1'!E902)</f>
        <v>0</v>
      </c>
      <c r="F902" s="17">
        <f>IF('Components Yr 1'!F902=0,0,'Components Yr 1'!F902)</f>
        <v>0</v>
      </c>
      <c r="G902" s="17">
        <f>IF('Components Yr 1'!G902=0,0,'Components Yr 1'!G902)</f>
        <v>0</v>
      </c>
      <c r="H902" s="17">
        <f>IF('Components Yr 1'!H902=0,0,'Components Yr 1'!H902)</f>
        <v>0</v>
      </c>
      <c r="I902" s="17">
        <f>IF('Components Yr 1'!I902=0,0,'Components Yr 1'!I902)</f>
        <v>0</v>
      </c>
      <c r="J902" s="17">
        <f>IF('Components Yr 1'!J902=0,0,'Components Yr 1'!J902)</f>
        <v>0</v>
      </c>
      <c r="K902" s="12"/>
      <c r="L902" s="12"/>
      <c r="M902" s="12"/>
      <c r="N902" s="12"/>
      <c r="O902" s="17">
        <f>IF('Components Yr 1'!O902=0,0,'Components Yr 1'!O902)</f>
        <v>0</v>
      </c>
      <c r="P902" s="12"/>
      <c r="Q902" s="17"/>
      <c r="R902" s="18">
        <f>IF(SUMPRODUCT((E902:Q902)*1)=0,0,E902*INDEX(Hours!M:M,MATCH(C902,Hours!$A:$A,0))+F902*INDEX(Hours!B:B,MATCH(C902,Hours!$A:$A,0))+G902*INDEX(Hours!C:C,MATCH(C902,Hours!$A:$A,0))+H902*INDEX(Hours!D:D,MATCH(C902,Hours!$A:$A,0))+I902*INDEX(Hours!E:E,MATCH(C902,Hours!$A:$A,0))+J902*INDEX(Hours!F:F,MATCH(C902,Hours!$A:$A,0))+O902*INDEX(Hours!K:K,MATCH(C902,Hours!$A:$A,0)))</f>
        <v>0</v>
      </c>
      <c r="S902" s="19">
        <f t="shared" si="29"/>
        <v>0</v>
      </c>
    </row>
    <row r="903" spans="1:19" x14ac:dyDescent="0.25">
      <c r="A903" s="11" t="str">
        <f>'Bldgs &amp; Rooms'!$A$26</f>
        <v>Main Bldg.</v>
      </c>
      <c r="B903" s="11">
        <f>'Bldgs &amp; Rooms'!$B$26</f>
        <v>0</v>
      </c>
      <c r="C903" s="10" t="str">
        <f>Hours!$A$15</f>
        <v>VFD Motor Control Panel (VFD-MCP)</v>
      </c>
      <c r="D903" s="11">
        <f t="shared" si="28"/>
        <v>0</v>
      </c>
      <c r="E903" s="16">
        <f>IF('Components Yr 1'!E903=0,0,'Components Yr 1'!E903)</f>
        <v>0</v>
      </c>
      <c r="F903" s="17">
        <f>IF('Components Yr 1'!F903=0,0,'Components Yr 1'!F903)</f>
        <v>0</v>
      </c>
      <c r="G903" s="17">
        <f>IF('Components Yr 1'!G903=0,0,'Components Yr 1'!G903)</f>
        <v>0</v>
      </c>
      <c r="H903" s="17">
        <f>IF('Components Yr 1'!H903=0,0,'Components Yr 1'!H903)</f>
        <v>0</v>
      </c>
      <c r="I903" s="17">
        <f>IF('Components Yr 1'!I903=0,0,'Components Yr 1'!I903)</f>
        <v>0</v>
      </c>
      <c r="J903" s="17">
        <f>IF('Components Yr 1'!J903=0,0,'Components Yr 1'!J903)</f>
        <v>0</v>
      </c>
      <c r="K903" s="12"/>
      <c r="L903" s="12"/>
      <c r="M903" s="12"/>
      <c r="N903" s="12"/>
      <c r="O903" s="17">
        <f>IF('Components Yr 1'!O903=0,0,'Components Yr 1'!O903)</f>
        <v>0</v>
      </c>
      <c r="P903" s="12"/>
      <c r="Q903" s="17"/>
      <c r="R903" s="18">
        <f>IF(SUMPRODUCT((E903:Q903)*1)=0,0,E903*INDEX(Hours!M:M,MATCH(C903,Hours!$A:$A,0))+F903*INDEX(Hours!B:B,MATCH(C903,Hours!$A:$A,0))+G903*INDEX(Hours!C:C,MATCH(C903,Hours!$A:$A,0))+H903*INDEX(Hours!D:D,MATCH(C903,Hours!$A:$A,0))+I903*INDEX(Hours!E:E,MATCH(C903,Hours!$A:$A,0))+J903*INDEX(Hours!F:F,MATCH(C903,Hours!$A:$A,0))+O903*INDEX(Hours!K:K,MATCH(C903,Hours!$A:$A,0)))</f>
        <v>0</v>
      </c>
      <c r="S903" s="19">
        <f t="shared" si="29"/>
        <v>0</v>
      </c>
    </row>
    <row r="904" spans="1:19" x14ac:dyDescent="0.25">
      <c r="A904" s="11" t="str">
        <f>'Bldgs &amp; Rooms'!$A$26</f>
        <v>Main Bldg.</v>
      </c>
      <c r="B904" s="11">
        <f>'Bldgs &amp; Rooms'!$B$26</f>
        <v>0</v>
      </c>
      <c r="C904" s="10" t="str">
        <f>Hours!$A$16</f>
        <v>Individual Disconnect Switch &gt; 100A</v>
      </c>
      <c r="D904" s="11">
        <f t="shared" si="28"/>
        <v>0</v>
      </c>
      <c r="E904" s="16">
        <f>IF('Components Yr 1'!E904=0,0,'Components Yr 1'!E904)</f>
        <v>0</v>
      </c>
      <c r="F904" s="17">
        <f>IF('Components Yr 1'!F904=0,0,'Components Yr 1'!F904)</f>
        <v>0</v>
      </c>
      <c r="G904" s="17">
        <f>IF('Components Yr 1'!G904=0,0,'Components Yr 1'!G904)</f>
        <v>0</v>
      </c>
      <c r="H904" s="17">
        <f>IF('Components Yr 1'!H904=0,0,'Components Yr 1'!H904)</f>
        <v>0</v>
      </c>
      <c r="I904" s="17">
        <f>IF('Components Yr 1'!I904=0,0,'Components Yr 1'!I904)</f>
        <v>0</v>
      </c>
      <c r="J904" s="17">
        <f>IF('Components Yr 1'!J904=0,0,'Components Yr 1'!J904)</f>
        <v>0</v>
      </c>
      <c r="K904" s="17">
        <f>IF('Components Yr 1'!K904=0,0,'Components Yr 1'!K904)</f>
        <v>0</v>
      </c>
      <c r="L904" s="12"/>
      <c r="M904" s="12"/>
      <c r="N904" s="12"/>
      <c r="O904" s="12"/>
      <c r="P904" s="12"/>
      <c r="Q904" s="17"/>
      <c r="R904" s="18">
        <f>IF(SUMPRODUCT((E904:Q904)*1)=0,0,E904*INDEX(Hours!M:M,MATCH(C904,Hours!$A:$A,0))+F904*INDEX(Hours!B:B,MATCH(C904,Hours!$A:$A,0))+G904*INDEX(Hours!C:C,MATCH(C904,Hours!$A:$A,0))+H904*INDEX(Hours!D:D,MATCH(C904,Hours!$A:$A,0))+I904*INDEX(Hours!E:E,MATCH(C904,Hours!$A:$A,0))+J904*INDEX(Hours!F:F,MATCH(C904,Hours!$A:$A,0))+K904*INDEX(Hours!G:G,MATCH(C904,Hours!$A:$A,0)))</f>
        <v>0</v>
      </c>
      <c r="S904" s="19">
        <f t="shared" si="29"/>
        <v>0</v>
      </c>
    </row>
    <row r="905" spans="1:19" x14ac:dyDescent="0.25">
      <c r="A905" s="11" t="str">
        <f>'Bldgs &amp; Rooms'!$A$26</f>
        <v>Main Bldg.</v>
      </c>
      <c r="B905" s="11">
        <f>'Bldgs &amp; Rooms'!$B$26</f>
        <v>0</v>
      </c>
      <c r="C905" s="10" t="str">
        <f>Hours!$A$17</f>
        <v>Individual Molded Case Breaker &gt; 100A</v>
      </c>
      <c r="D905" s="11">
        <f t="shared" si="28"/>
        <v>0</v>
      </c>
      <c r="E905" s="16">
        <f>IF('Components Yr 1'!E905=0,0,'Components Yr 1'!E905)</f>
        <v>0</v>
      </c>
      <c r="F905" s="17">
        <f>IF('Components Yr 1'!F905=0,0,'Components Yr 1'!F905)</f>
        <v>0</v>
      </c>
      <c r="G905" s="17">
        <f>IF('Components Yr 1'!G905=0,0,'Components Yr 1'!G905)</f>
        <v>0</v>
      </c>
      <c r="H905" s="17">
        <f>IF('Components Yr 1'!H905=0,0,'Components Yr 1'!H905)</f>
        <v>0</v>
      </c>
      <c r="I905" s="17">
        <f>IF('Components Yr 1'!I905=0,0,'Components Yr 1'!I905)</f>
        <v>0</v>
      </c>
      <c r="J905" s="17">
        <f>IF('Components Yr 1'!J905=0,0,'Components Yr 1'!J905)</f>
        <v>0</v>
      </c>
      <c r="K905" s="17">
        <f>IF('Components Yr 1'!K905=0,0,'Components Yr 1'!K905)</f>
        <v>0</v>
      </c>
      <c r="L905" s="12"/>
      <c r="M905" s="12"/>
      <c r="N905" s="12"/>
      <c r="O905" s="12"/>
      <c r="P905" s="12"/>
      <c r="Q905" s="17"/>
      <c r="R905" s="18">
        <f>IF(SUMPRODUCT((E905:Q905)*1)=0,0,E905*INDEX(Hours!M:M,MATCH(C905,Hours!$A:$A,0))+F905*INDEX(Hours!B:B,MATCH(C905,Hours!$A:$A,0))+G905*INDEX(Hours!C:C,MATCH(C905,Hours!$A:$A,0))+H905*INDEX(Hours!D:D,MATCH(C905,Hours!$A:$A,0))+I905*INDEX(Hours!E:E,MATCH(C905,Hours!$A:$A,0))+J905*INDEX(Hours!F:F,MATCH(C905,Hours!$A:$A,0))+K905*INDEX(Hours!G:G,MATCH(C905,Hours!$A:$A,0)))</f>
        <v>0</v>
      </c>
      <c r="S905" s="19">
        <f t="shared" si="29"/>
        <v>0</v>
      </c>
    </row>
    <row r="906" spans="1:19" x14ac:dyDescent="0.25">
      <c r="A906" s="11" t="str">
        <f>'Bldgs &amp; Rooms'!$A$26</f>
        <v>Main Bldg.</v>
      </c>
      <c r="B906" s="11">
        <f>'Bldgs &amp; Rooms'!$B$26</f>
        <v>0</v>
      </c>
      <c r="C906" s="10" t="str">
        <f>Hours!$A$18</f>
        <v>Individual Combination Motor Starter &gt; 100A</v>
      </c>
      <c r="D906" s="11">
        <f t="shared" si="28"/>
        <v>0</v>
      </c>
      <c r="E906" s="16">
        <f>IF('Components Yr 1'!E906=0,0,'Components Yr 1'!E906)</f>
        <v>0</v>
      </c>
      <c r="F906" s="17">
        <f>IF('Components Yr 1'!F906=0,0,'Components Yr 1'!F906)</f>
        <v>0</v>
      </c>
      <c r="G906" s="17">
        <f>IF('Components Yr 1'!G906=0,0,'Components Yr 1'!G906)</f>
        <v>0</v>
      </c>
      <c r="H906" s="17">
        <f>IF('Components Yr 1'!H906=0,0,'Components Yr 1'!H906)</f>
        <v>0</v>
      </c>
      <c r="I906" s="17">
        <f>IF('Components Yr 1'!I906=0,0,'Components Yr 1'!I906)</f>
        <v>0</v>
      </c>
      <c r="J906" s="17">
        <f>IF('Components Yr 1'!J906=0,0,'Components Yr 1'!J906)</f>
        <v>0</v>
      </c>
      <c r="K906" s="17">
        <f>IF('Components Yr 1'!K906=0,0,'Components Yr 1'!K906)</f>
        <v>0</v>
      </c>
      <c r="L906" s="12"/>
      <c r="M906" s="12"/>
      <c r="N906" s="12"/>
      <c r="O906" s="12"/>
      <c r="P906" s="12"/>
      <c r="Q906" s="17"/>
      <c r="R906" s="18">
        <f>IF(SUMPRODUCT((E906:Q906)*1)=0,0,E906*INDEX(Hours!M:M,MATCH(C906,Hours!$A:$A,0))+F906*INDEX(Hours!B:B,MATCH(C906,Hours!$A:$A,0))+G906*INDEX(Hours!C:C,MATCH(C906,Hours!$A:$A,0))+H906*INDEX(Hours!D:D,MATCH(C906,Hours!$A:$A,0))+I906*INDEX(Hours!E:E,MATCH(C906,Hours!$A:$A,0))+J906*INDEX(Hours!F:F,MATCH(C906,Hours!$A:$A,0))+K906*INDEX(Hours!G:G,MATCH(C906,Hours!$A:$A,0)))</f>
        <v>0</v>
      </c>
      <c r="S906" s="19">
        <f t="shared" si="29"/>
        <v>0</v>
      </c>
    </row>
    <row r="907" spans="1:19" x14ac:dyDescent="0.25">
      <c r="A907" s="11" t="str">
        <f>'Bldgs &amp; Rooms'!$A$26</f>
        <v>Main Bldg.</v>
      </c>
      <c r="B907" s="11">
        <f>'Bldgs &amp; Rooms'!$B$26</f>
        <v>0</v>
      </c>
      <c r="C907" s="10" t="str">
        <f>Hours!$A$19</f>
        <v>Oil Filled Transformer - 5kV-15kV Primary - Any Size (Pad Mounted)</v>
      </c>
      <c r="D907" s="11">
        <f t="shared" si="28"/>
        <v>0</v>
      </c>
      <c r="E907" s="16">
        <f>IF('Components Yr 1'!E907=0,0,'Components Yr 1'!E907)</f>
        <v>0</v>
      </c>
      <c r="F907" s="17">
        <f>IF('Components Yr 1'!F907=0,0,'Components Yr 1'!F907)</f>
        <v>0</v>
      </c>
      <c r="G907" s="17">
        <f>IF('Components Yr 1'!G907=0,0,'Components Yr 1'!G907)</f>
        <v>0</v>
      </c>
      <c r="H907" s="17">
        <f>IF('Components Yr 1'!H907=0,0,'Components Yr 1'!H907)</f>
        <v>0</v>
      </c>
      <c r="I907" s="17">
        <f>IF('Components Yr 1'!I907=0,0,'Components Yr 1'!I907)</f>
        <v>0</v>
      </c>
      <c r="J907" s="17">
        <f>IF('Components Yr 1'!J907=0,0,'Components Yr 1'!J907)</f>
        <v>0</v>
      </c>
      <c r="K907" s="12"/>
      <c r="L907" s="12"/>
      <c r="M907" s="17">
        <f>IF('Components Yr 1'!M907=0,0,'Components Yr 1'!M907)</f>
        <v>0</v>
      </c>
      <c r="N907" s="17">
        <f>IF('Components Yr 1'!N907=0,0,'Components Yr 1'!N907)</f>
        <v>0</v>
      </c>
      <c r="O907" s="12"/>
      <c r="P907" s="17">
        <f>IF('Components Yr 1'!P907=0,0,'Components Yr 1'!P907)</f>
        <v>0</v>
      </c>
      <c r="Q907" s="17"/>
      <c r="R907" s="18">
        <f>IF(SUMPRODUCT((E907:Q907)*1)=0,0,E907*INDEX(Hours!M:M,MATCH(C907,Hours!$A:$A,0))+F907*INDEX(Hours!B:B,MATCH(C907,Hours!$A:$A,0))+G907*INDEX(Hours!C:C,MATCH(C907,Hours!$A:$A,0))+H907*INDEX(Hours!D:D,MATCH(C907,Hours!$A:$A,0))+I907*INDEX(Hours!E:E,MATCH(C907,Hours!$A:$A,0))+J907*INDEX(Hours!F:F,MATCH(C907,Hours!$A:$A,0))+M907*INDEX(Hours!I:I,MATCH(C907,Hours!$A:$A,0))+N907*INDEX(Hours!J:J,MATCH(C907,Hours!$A:$A,0))+P907*INDEX(Hours!L:L,MATCH(C907,Hours!$A:$A,0)))</f>
        <v>0</v>
      </c>
      <c r="S907" s="19">
        <f t="shared" si="29"/>
        <v>0</v>
      </c>
    </row>
    <row r="908" spans="1:19" x14ac:dyDescent="0.25">
      <c r="A908" s="11" t="str">
        <f>'Bldgs &amp; Rooms'!$A$26</f>
        <v>Main Bldg.</v>
      </c>
      <c r="B908" s="11">
        <f>'Bldgs &amp; Rooms'!$B$26</f>
        <v>0</v>
      </c>
      <c r="C908" s="10" t="str">
        <f>Hours!$A$20</f>
        <v>Oil Filled Transformer - &gt; 15kV Primary (Substation Class)</v>
      </c>
      <c r="D908" s="11">
        <f t="shared" si="28"/>
        <v>0</v>
      </c>
      <c r="E908" s="16">
        <f>IF('Components Yr 1'!E908=0,0,'Components Yr 1'!E908)</f>
        <v>0</v>
      </c>
      <c r="F908" s="17">
        <f>IF('Components Yr 1'!F908=0,0,'Components Yr 1'!F908)</f>
        <v>0</v>
      </c>
      <c r="G908" s="17">
        <f>IF('Components Yr 1'!G908=0,0,'Components Yr 1'!G908)</f>
        <v>0</v>
      </c>
      <c r="H908" s="17">
        <f>IF('Components Yr 1'!H908=0,0,'Components Yr 1'!H908)</f>
        <v>0</v>
      </c>
      <c r="I908" s="17">
        <f>IF('Components Yr 1'!I908=0,0,'Components Yr 1'!I908)</f>
        <v>0</v>
      </c>
      <c r="J908" s="17">
        <f>IF('Components Yr 1'!J908=0,0,'Components Yr 1'!J908)</f>
        <v>0</v>
      </c>
      <c r="K908" s="12"/>
      <c r="L908" s="12"/>
      <c r="M908" s="17">
        <f>IF('Components Yr 1'!M908=0,0,'Components Yr 1'!M908)</f>
        <v>0</v>
      </c>
      <c r="N908" s="17">
        <f>IF('Components Yr 1'!N908=0,0,'Components Yr 1'!N908)</f>
        <v>0</v>
      </c>
      <c r="O908" s="12"/>
      <c r="P908" s="17">
        <f>IF('Components Yr 1'!P908=0,0,'Components Yr 1'!P908)</f>
        <v>0</v>
      </c>
      <c r="Q908" s="17"/>
      <c r="R908" s="18">
        <f>IF(SUMPRODUCT((E908:Q908)*1)=0,0,E908*INDEX(Hours!M:M,MATCH(C908,Hours!$A:$A,0))+F908*INDEX(Hours!B:B,MATCH(C908,Hours!$A:$A,0))+G908*INDEX(Hours!C:C,MATCH(C908,Hours!$A:$A,0))+H908*INDEX(Hours!D:D,MATCH(C908,Hours!$A:$A,0))+I908*INDEX(Hours!E:E,MATCH(C908,Hours!$A:$A,0))+J908*INDEX(Hours!F:F,MATCH(C908,Hours!$A:$A,0))+M908*INDEX(Hours!I:I,MATCH(C908,Hours!$A:$A,0))+N908*INDEX(Hours!J:J,MATCH(C908,Hours!$A:$A,0))+P908*INDEX(Hours!L:L,MATCH(C908,Hours!$A:$A,0)))</f>
        <v>0</v>
      </c>
      <c r="S908" s="19">
        <f t="shared" si="29"/>
        <v>0</v>
      </c>
    </row>
    <row r="909" spans="1:19" x14ac:dyDescent="0.25">
      <c r="A909" s="11" t="str">
        <f>'Bldgs &amp; Rooms'!$A$26</f>
        <v>Main Bldg.</v>
      </c>
      <c r="B909" s="11">
        <f>'Bldgs &amp; Rooms'!$B$26</f>
        <v>0</v>
      </c>
      <c r="C909" s="10" t="str">
        <f>Hours!$A$21</f>
        <v>Dry Type Transformer - &lt; 480V Primary - Any Size kVA</v>
      </c>
      <c r="D909" s="11">
        <f t="shared" si="28"/>
        <v>0</v>
      </c>
      <c r="E909" s="16">
        <f>IF('Components Yr 1'!E909=0,0,'Components Yr 1'!E909)</f>
        <v>0</v>
      </c>
      <c r="F909" s="17">
        <f>IF('Components Yr 1'!F909=0,0,'Components Yr 1'!F909)</f>
        <v>0</v>
      </c>
      <c r="G909" s="17">
        <f>IF('Components Yr 1'!G909=0,0,'Components Yr 1'!G909)</f>
        <v>0</v>
      </c>
      <c r="H909" s="17">
        <f>IF('Components Yr 1'!H909=0,0,'Components Yr 1'!H909)</f>
        <v>0</v>
      </c>
      <c r="I909" s="17">
        <f>IF('Components Yr 1'!I909=0,0,'Components Yr 1'!I909)</f>
        <v>0</v>
      </c>
      <c r="J909" s="17">
        <f>IF('Components Yr 1'!J909=0,0,'Components Yr 1'!J909)</f>
        <v>0</v>
      </c>
      <c r="K909" s="12"/>
      <c r="L909" s="12"/>
      <c r="M909" s="17">
        <f>IF('Components Yr 1'!M909=0,0,'Components Yr 1'!M909)</f>
        <v>0</v>
      </c>
      <c r="N909" s="17">
        <f>IF('Components Yr 1'!N909=0,0,'Components Yr 1'!N909)</f>
        <v>0</v>
      </c>
      <c r="O909" s="12"/>
      <c r="P909" s="12"/>
      <c r="Q909" s="17"/>
      <c r="R909" s="18">
        <f>IF(SUMPRODUCT((E909:Q909)*1)=0,0,E909*INDEX(Hours!M:M,MATCH(C909,Hours!$A:$A,0))+F909*INDEX(Hours!B:B,MATCH(C909,Hours!$A:$A,0))+G909*INDEX(Hours!C:C,MATCH(C909,Hours!$A:$A,0))+H909*INDEX(Hours!D:D,MATCH(C909,Hours!$A:$A,0))+I909*INDEX(Hours!E:E,MATCH(C909,Hours!$A:$A,0))+J909*INDEX(Hours!F:F,MATCH(C909,Hours!$A:$A,0))+M909*INDEX(Hours!I:I,MATCH(C909,Hours!$A:$A,0))+N909*INDEX(Hours!J:J,MATCH(C909,Hours!$A:$A,0)))</f>
        <v>0</v>
      </c>
      <c r="S909" s="19">
        <f t="shared" si="29"/>
        <v>0</v>
      </c>
    </row>
    <row r="910" spans="1:19" x14ac:dyDescent="0.25">
      <c r="A910" s="11" t="str">
        <f>'Bldgs &amp; Rooms'!$A$26</f>
        <v>Main Bldg.</v>
      </c>
      <c r="B910" s="11">
        <f>'Bldgs &amp; Rooms'!$B$26</f>
        <v>0</v>
      </c>
      <c r="C910" s="10" t="str">
        <f>Hours!$A$22</f>
        <v>Power Factor Correction Capacitors</v>
      </c>
      <c r="D910" s="11">
        <f t="shared" si="28"/>
        <v>0</v>
      </c>
      <c r="E910" s="16">
        <f>IF('Components Yr 1'!E910=0,0,'Components Yr 1'!E910)</f>
        <v>0</v>
      </c>
      <c r="F910" s="17">
        <f>IF('Components Yr 1'!F910=0,0,'Components Yr 1'!F910)</f>
        <v>0</v>
      </c>
      <c r="G910" s="17">
        <f>IF('Components Yr 1'!G910=0,0,'Components Yr 1'!G910)</f>
        <v>0</v>
      </c>
      <c r="H910" s="17">
        <f>IF('Components Yr 1'!H910=0,0,'Components Yr 1'!H910)</f>
        <v>0</v>
      </c>
      <c r="I910" s="17">
        <f>IF('Components Yr 1'!I910=0,0,'Components Yr 1'!I910)</f>
        <v>0</v>
      </c>
      <c r="J910" s="17">
        <f>IF('Components Yr 1'!J910=0,0,'Components Yr 1'!J910)</f>
        <v>0</v>
      </c>
      <c r="K910" s="12"/>
      <c r="L910" s="12"/>
      <c r="M910" s="12"/>
      <c r="N910" s="12"/>
      <c r="O910" s="12"/>
      <c r="P910" s="12"/>
      <c r="Q910" s="17"/>
      <c r="R910" s="18">
        <f>IF(SUMPRODUCT((E910:Q910)*1)=0,0,E910*INDEX(Hours!M:M,MATCH(C910,Hours!$A:$A,0))+F910*INDEX(Hours!B:B,MATCH(C910,Hours!$A:$A,0))+G910*INDEX(Hours!C:C,MATCH(C910,Hours!$A:$A,0))+H910*INDEX(Hours!D:D,MATCH(C910,Hours!$A:$A,0))+I910*INDEX(Hours!E:E,MATCH(C910,Hours!$A:$A,0))+J910*INDEX(Hours!F:F,MATCH(C910,Hours!$A:$A,0)))</f>
        <v>0</v>
      </c>
      <c r="S910" s="19">
        <f t="shared" si="29"/>
        <v>0</v>
      </c>
    </row>
    <row r="911" spans="1:19" x14ac:dyDescent="0.25">
      <c r="A911" s="11" t="str">
        <f>'Bldgs &amp; Rooms'!$A$26</f>
        <v>Main Bldg.</v>
      </c>
      <c r="B911" s="11">
        <f>'Bldgs &amp; Rooms'!$B$26</f>
        <v>0</v>
      </c>
      <c r="C911" s="10" t="str">
        <f>Hours!$A$23</f>
        <v>Lighting Contactor &gt; 100A</v>
      </c>
      <c r="D911" s="11">
        <f t="shared" si="28"/>
        <v>0</v>
      </c>
      <c r="E911" s="16">
        <f>IF('Components Yr 1'!E911=0,0,'Components Yr 1'!E911)</f>
        <v>0</v>
      </c>
      <c r="F911" s="17">
        <f>IF('Components Yr 1'!F911=0,0,'Components Yr 1'!F911)</f>
        <v>0</v>
      </c>
      <c r="G911" s="17">
        <f>IF('Components Yr 1'!G911=0,0,'Components Yr 1'!G911)</f>
        <v>0</v>
      </c>
      <c r="H911" s="17">
        <f>IF('Components Yr 1'!H911=0,0,'Components Yr 1'!H911)</f>
        <v>0</v>
      </c>
      <c r="I911" s="17">
        <f>IF('Components Yr 1'!I911=0,0,'Components Yr 1'!I911)</f>
        <v>0</v>
      </c>
      <c r="J911" s="17">
        <f>IF('Components Yr 1'!J911=0,0,'Components Yr 1'!J911)</f>
        <v>0</v>
      </c>
      <c r="K911" s="12"/>
      <c r="L911" s="12"/>
      <c r="M911" s="12"/>
      <c r="N911" s="12"/>
      <c r="O911" s="12"/>
      <c r="P911" s="12"/>
      <c r="Q911" s="17"/>
      <c r="R911" s="18">
        <f>IF(SUMPRODUCT((E911:Q911)*1)=0,0,E911*INDEX(Hours!M:M,MATCH(C911,Hours!$A:$A,0))+F911*INDEX(Hours!B:B,MATCH(C911,Hours!$A:$A,0))+G911*INDEX(Hours!C:C,MATCH(C911,Hours!$A:$A,0))+H911*INDEX(Hours!D:D,MATCH(C911,Hours!$A:$A,0))+I911*INDEX(Hours!E:E,MATCH(C911,Hours!$A:$A,0))+J911*INDEX(Hours!F:F,MATCH(C911,Hours!$A:$A,0)))</f>
        <v>0</v>
      </c>
      <c r="S911" s="19">
        <f t="shared" si="29"/>
        <v>0</v>
      </c>
    </row>
    <row r="912" spans="1:19" x14ac:dyDescent="0.25">
      <c r="A912" s="11" t="str">
        <f>'Bldgs &amp; Rooms'!$A$26</f>
        <v>Main Bldg.</v>
      </c>
      <c r="B912" s="11">
        <f>'Bldgs &amp; Rooms'!$B$26</f>
        <v>0</v>
      </c>
      <c r="C912" s="10" t="str">
        <f>Hours!$A$24</f>
        <v>Power Distribution Unit (PDU)</v>
      </c>
      <c r="D912" s="11">
        <f t="shared" si="28"/>
        <v>0</v>
      </c>
      <c r="E912" s="16">
        <f>IF('Components Yr 1'!E912=0,0,'Components Yr 1'!E912)</f>
        <v>0</v>
      </c>
      <c r="F912" s="17">
        <f>IF('Components Yr 1'!F912=0,0,'Components Yr 1'!F912)</f>
        <v>0</v>
      </c>
      <c r="G912" s="17">
        <f>IF('Components Yr 1'!G912=0,0,'Components Yr 1'!G912)</f>
        <v>0</v>
      </c>
      <c r="H912" s="17">
        <f>IF('Components Yr 1'!H912=0,0,'Components Yr 1'!H912)</f>
        <v>0</v>
      </c>
      <c r="I912" s="17">
        <f>IF('Components Yr 1'!I912=0,0,'Components Yr 1'!I912)</f>
        <v>0</v>
      </c>
      <c r="J912" s="17">
        <f>IF('Components Yr 1'!J912=0,0,'Components Yr 1'!J912)</f>
        <v>0</v>
      </c>
      <c r="K912" s="12"/>
      <c r="L912" s="12"/>
      <c r="M912" s="12"/>
      <c r="N912" s="12"/>
      <c r="O912" s="12"/>
      <c r="P912" s="12"/>
      <c r="Q912" s="17"/>
      <c r="R912" s="18">
        <f>IF(SUMPRODUCT((E912:Q912)*1)=0,0,E912*INDEX(Hours!M:M,MATCH(C912,Hours!$A:$A,0))+F912*INDEX(Hours!B:B,MATCH(C912,Hours!$A:$A,0))+G912*INDEX(Hours!C:C,MATCH(C912,Hours!$A:$A,0))+H912*INDEX(Hours!D:D,MATCH(C912,Hours!$A:$A,0))+I912*INDEX(Hours!E:E,MATCH(C912,Hours!$A:$A,0))+J912*INDEX(Hours!F:F,MATCH(C912,Hours!$A:$A,0)))</f>
        <v>0</v>
      </c>
      <c r="S912" s="19">
        <f t="shared" si="29"/>
        <v>0</v>
      </c>
    </row>
    <row r="913" spans="1:19" x14ac:dyDescent="0.25">
      <c r="A913" s="11" t="str">
        <f>'Bldgs &amp; Rooms'!$A$26</f>
        <v>Main Bldg.</v>
      </c>
      <c r="B913" s="11">
        <f>'Bldgs &amp; Rooms'!$B$26</f>
        <v>0</v>
      </c>
      <c r="C913" s="10" t="str">
        <f>Hours!$A$25</f>
        <v>Wire Trough, Gutter, or Large Junction Boxes</v>
      </c>
      <c r="D913" s="11">
        <f t="shared" si="28"/>
        <v>0</v>
      </c>
      <c r="E913" s="16">
        <f>IF('Components Yr 1'!E913=0,0,'Components Yr 1'!E913)</f>
        <v>0</v>
      </c>
      <c r="F913" s="17">
        <f>IF('Components Yr 1'!F913=0,0,'Components Yr 1'!F913)</f>
        <v>0</v>
      </c>
      <c r="G913" s="17">
        <f>IF('Components Yr 1'!G913=0,0,'Components Yr 1'!G913)</f>
        <v>0</v>
      </c>
      <c r="H913" s="17">
        <f>IF('Components Yr 1'!H913=0,0,'Components Yr 1'!H913)</f>
        <v>0</v>
      </c>
      <c r="I913" s="17">
        <f>IF('Components Yr 1'!I913=0,0,'Components Yr 1'!I913)</f>
        <v>0</v>
      </c>
      <c r="J913" s="17">
        <f>IF('Components Yr 1'!J913=0,0,'Components Yr 1'!J913)</f>
        <v>0</v>
      </c>
      <c r="K913" s="12"/>
      <c r="L913" s="12"/>
      <c r="M913" s="12"/>
      <c r="N913" s="12"/>
      <c r="O913" s="12"/>
      <c r="P913" s="12"/>
      <c r="Q913" s="17"/>
      <c r="R913" s="18">
        <f>IF(SUMPRODUCT((E913:Q913)*1)=0,0,E913*INDEX(Hours!M:M,MATCH(C913,Hours!$A:$A,0))+F913*INDEX(Hours!B:B,MATCH(C913,Hours!$A:$A,0))+G913*INDEX(Hours!C:C,MATCH(C913,Hours!$A:$A,0))+H913*INDEX(Hours!D:D,MATCH(C913,Hours!$A:$A,0))+I913*INDEX(Hours!E:E,MATCH(C913,Hours!$A:$A,0))+J913*INDEX(Hours!F:F,MATCH(C913,Hours!$A:$A,0)))</f>
        <v>0</v>
      </c>
      <c r="S913" s="19">
        <f t="shared" si="29"/>
        <v>0</v>
      </c>
    </row>
    <row r="914" spans="1:19" x14ac:dyDescent="0.25">
      <c r="A914" s="11" t="str">
        <f>'Bldgs &amp; Rooms'!$A$26</f>
        <v>Main Bldg.</v>
      </c>
      <c r="B914" s="11">
        <f>'Bldgs &amp; Rooms'!$B$26</f>
        <v>0</v>
      </c>
      <c r="C914" s="10" t="str">
        <f>Hours!$A$26</f>
        <v>Bus Duct - Vertical or Horizontal (Per 10' section)</v>
      </c>
      <c r="D914" s="11">
        <f t="shared" si="28"/>
        <v>0</v>
      </c>
      <c r="E914" s="16">
        <f>IF('Components Yr 1'!E914=0,0,'Components Yr 1'!E914)</f>
        <v>0</v>
      </c>
      <c r="F914" s="17">
        <f>IF('Components Yr 1'!F914=0,0,'Components Yr 1'!F914)</f>
        <v>0</v>
      </c>
      <c r="G914" s="17">
        <f>IF('Components Yr 1'!G914=0,0,'Components Yr 1'!G914)</f>
        <v>0</v>
      </c>
      <c r="H914" s="17">
        <f>IF('Components Yr 1'!H914=0,0,'Components Yr 1'!H914)</f>
        <v>0</v>
      </c>
      <c r="I914" s="17">
        <f>IF('Components Yr 1'!I914=0,0,'Components Yr 1'!I914)</f>
        <v>0</v>
      </c>
      <c r="J914" s="17">
        <f>IF('Components Yr 1'!J914=0,0,'Components Yr 1'!J914)</f>
        <v>0</v>
      </c>
      <c r="K914" s="12"/>
      <c r="L914" s="12"/>
      <c r="M914" s="12"/>
      <c r="N914" s="12"/>
      <c r="O914" s="12"/>
      <c r="P914" s="12"/>
      <c r="Q914" s="17"/>
      <c r="R914" s="18">
        <f>IF(SUMPRODUCT((E914:Q914)*1)=0,0,E914*INDEX(Hours!M:M,MATCH(C914,Hours!$A:$A,0))+F914*INDEX(Hours!B:B,MATCH(C914,Hours!$A:$A,0))+G914*INDEX(Hours!C:C,MATCH(C914,Hours!$A:$A,0))+H914*INDEX(Hours!D:D,MATCH(C914,Hours!$A:$A,0))+I914*INDEX(Hours!E:E,MATCH(C914,Hours!$A:$A,0))+J914*INDEX(Hours!F:F,MATCH(C914,Hours!$A:$A,0)))</f>
        <v>0</v>
      </c>
      <c r="S914" s="19">
        <f t="shared" si="29"/>
        <v>0</v>
      </c>
    </row>
    <row r="915" spans="1:19" x14ac:dyDescent="0.25">
      <c r="A915" s="11" t="str">
        <f>'Bldgs &amp; Rooms'!$A$26</f>
        <v>Main Bldg.</v>
      </c>
      <c r="B915" s="11">
        <f>'Bldgs &amp; Rooms'!$B$26</f>
        <v>0</v>
      </c>
      <c r="C915" s="10" t="str">
        <f>Hours!$A$27</f>
        <v>Automatic Transfer Switch (ATS) &gt; 100A</v>
      </c>
      <c r="D915" s="11">
        <f t="shared" si="28"/>
        <v>0</v>
      </c>
      <c r="E915" s="16">
        <f>IF('Components Yr 1'!E915=0,0,'Components Yr 1'!E915)</f>
        <v>0</v>
      </c>
      <c r="F915" s="17">
        <f>IF('Components Yr 1'!F915=0,0,'Components Yr 1'!F915)</f>
        <v>0</v>
      </c>
      <c r="G915" s="17">
        <f>IF('Components Yr 1'!G915=0,0,'Components Yr 1'!G915)</f>
        <v>0</v>
      </c>
      <c r="H915" s="17">
        <f>IF('Components Yr 1'!H915=0,0,'Components Yr 1'!H915)</f>
        <v>0</v>
      </c>
      <c r="I915" s="17">
        <f>IF('Components Yr 1'!I915=0,0,'Components Yr 1'!I915)</f>
        <v>0</v>
      </c>
      <c r="J915" s="17">
        <f>IF('Components Yr 1'!J915=0,0,'Components Yr 1'!J915)</f>
        <v>0</v>
      </c>
      <c r="K915" s="12"/>
      <c r="L915" s="12"/>
      <c r="M915" s="12"/>
      <c r="N915" s="12"/>
      <c r="O915" s="12"/>
      <c r="P915" s="12"/>
      <c r="Q915" s="17"/>
      <c r="R915" s="18">
        <f>IF(SUMPRODUCT((E915:Q915)*1)=0,0,E915*INDEX(Hours!M:M,MATCH(C915,Hours!$A:$A,0))+F915*INDEX(Hours!B:B,MATCH(C915,Hours!$A:$A,0))+G915*INDEX(Hours!C:C,MATCH(C915,Hours!$A:$A,0))+H915*INDEX(Hours!D:D,MATCH(C915,Hours!$A:$A,0))+I915*INDEX(Hours!E:E,MATCH(C915,Hours!$A:$A,0))+J915*INDEX(Hours!F:F,MATCH(C915,Hours!$A:$A,0)))</f>
        <v>0</v>
      </c>
      <c r="S915" s="19">
        <f t="shared" si="29"/>
        <v>0</v>
      </c>
    </row>
    <row r="916" spans="1:19" x14ac:dyDescent="0.25">
      <c r="A916" s="11" t="str">
        <f>'Bldgs &amp; Rooms'!$A$26</f>
        <v>Main Bldg.</v>
      </c>
      <c r="B916" s="11">
        <f>'Bldgs &amp; Rooms'!$B$26</f>
        <v>0</v>
      </c>
      <c r="C916" s="10" t="str">
        <f>Hours!$A$28</f>
        <v>Manual Transfer Switch (MTS) &gt; 100A</v>
      </c>
      <c r="D916" s="11">
        <f t="shared" si="28"/>
        <v>0</v>
      </c>
      <c r="E916" s="16">
        <f>IF('Components Yr 1'!E916=0,0,'Components Yr 1'!E916)</f>
        <v>0</v>
      </c>
      <c r="F916" s="17">
        <f>IF('Components Yr 1'!F916=0,0,'Components Yr 1'!F916)</f>
        <v>0</v>
      </c>
      <c r="G916" s="17">
        <f>IF('Components Yr 1'!G916=0,0,'Components Yr 1'!G916)</f>
        <v>0</v>
      </c>
      <c r="H916" s="17">
        <f>IF('Components Yr 1'!H916=0,0,'Components Yr 1'!H916)</f>
        <v>0</v>
      </c>
      <c r="I916" s="17">
        <f>IF('Components Yr 1'!I916=0,0,'Components Yr 1'!I916)</f>
        <v>0</v>
      </c>
      <c r="J916" s="17">
        <f>IF('Components Yr 1'!J916=0,0,'Components Yr 1'!J916)</f>
        <v>0</v>
      </c>
      <c r="K916" s="12"/>
      <c r="L916" s="12"/>
      <c r="M916" s="12"/>
      <c r="N916" s="12"/>
      <c r="O916" s="12"/>
      <c r="P916" s="12"/>
      <c r="Q916" s="17"/>
      <c r="R916" s="18">
        <f>IF(SUMPRODUCT((E916:Q916)*1)=0,0,E916*INDEX(Hours!M:M,MATCH(C916,Hours!$A:$A,0))+F916*INDEX(Hours!B:B,MATCH(C916,Hours!$A:$A,0))+G916*INDEX(Hours!C:C,MATCH(C916,Hours!$A:$A,0))+H916*INDEX(Hours!D:D,MATCH(C916,Hours!$A:$A,0))+I916*INDEX(Hours!E:E,MATCH(C916,Hours!$A:$A,0))+J916*INDEX(Hours!F:F,MATCH(C916,Hours!$A:$A,0)))</f>
        <v>0</v>
      </c>
      <c r="S916" s="19">
        <f t="shared" si="29"/>
        <v>0</v>
      </c>
    </row>
    <row r="917" spans="1:19" x14ac:dyDescent="0.25">
      <c r="A917" s="11" t="str">
        <f>'Bldgs &amp; Rooms'!$A$26</f>
        <v>Main Bldg.</v>
      </c>
      <c r="B917" s="11">
        <f>'Bldgs &amp; Rooms'!$B$26</f>
        <v>0</v>
      </c>
      <c r="C917" s="10" t="str">
        <f>Hours!$A$29</f>
        <v>Variable Frequency Drives (VFD) &lt; 50 HP</v>
      </c>
      <c r="D917" s="11">
        <f t="shared" si="28"/>
        <v>0</v>
      </c>
      <c r="E917" s="16">
        <f>IF('Components Yr 1'!E917=0,0,'Components Yr 1'!E917)</f>
        <v>0</v>
      </c>
      <c r="F917" s="17">
        <f>IF('Components Yr 1'!F917=0,0,'Components Yr 1'!F917)</f>
        <v>0</v>
      </c>
      <c r="G917" s="17">
        <f>IF('Components Yr 1'!G917=0,0,'Components Yr 1'!G917)</f>
        <v>0</v>
      </c>
      <c r="H917" s="17">
        <f>IF('Components Yr 1'!H917=0,0,'Components Yr 1'!H917)</f>
        <v>0</v>
      </c>
      <c r="I917" s="17">
        <f>IF('Components Yr 1'!I917=0,0,'Components Yr 1'!I917)</f>
        <v>0</v>
      </c>
      <c r="J917" s="17">
        <f>IF('Components Yr 1'!J917=0,0,'Components Yr 1'!J917)</f>
        <v>0</v>
      </c>
      <c r="K917" s="12"/>
      <c r="L917" s="12"/>
      <c r="M917" s="12"/>
      <c r="N917" s="12"/>
      <c r="O917" s="12"/>
      <c r="P917" s="12"/>
      <c r="Q917" s="17"/>
      <c r="R917" s="18">
        <f>IF(SUMPRODUCT((E917:Q917)*1)=0,0,E917*INDEX(Hours!M:M,MATCH(C917,Hours!$A:$A,0))+F917*INDEX(Hours!B:B,MATCH(C917,Hours!$A:$A,0))+G917*INDEX(Hours!C:C,MATCH(C917,Hours!$A:$A,0))+H917*INDEX(Hours!D:D,MATCH(C917,Hours!$A:$A,0))+I917*INDEX(Hours!E:E,MATCH(C917,Hours!$A:$A,0))+J917*INDEX(Hours!F:F,MATCH(C917,Hours!$A:$A,0)))</f>
        <v>0</v>
      </c>
      <c r="S917" s="19">
        <f t="shared" si="29"/>
        <v>0</v>
      </c>
    </row>
    <row r="918" spans="1:19" x14ac:dyDescent="0.25">
      <c r="A918" s="11" t="str">
        <f>'Bldgs &amp; Rooms'!$A$26</f>
        <v>Main Bldg.</v>
      </c>
      <c r="B918" s="11">
        <f>'Bldgs &amp; Rooms'!$B$26</f>
        <v>0</v>
      </c>
      <c r="C918" s="10" t="str">
        <f>Hours!$A$30</f>
        <v>Variable Frequency Drives (VFD) 51-200 HP</v>
      </c>
      <c r="D918" s="11">
        <f t="shared" si="28"/>
        <v>0</v>
      </c>
      <c r="E918" s="16">
        <f>IF('Components Yr 1'!E918=0,0,'Components Yr 1'!E918)</f>
        <v>0</v>
      </c>
      <c r="F918" s="17">
        <f>IF('Components Yr 1'!F918=0,0,'Components Yr 1'!F918)</f>
        <v>0</v>
      </c>
      <c r="G918" s="17">
        <f>IF('Components Yr 1'!G918=0,0,'Components Yr 1'!G918)</f>
        <v>0</v>
      </c>
      <c r="H918" s="17">
        <f>IF('Components Yr 1'!H918=0,0,'Components Yr 1'!H918)</f>
        <v>0</v>
      </c>
      <c r="I918" s="17">
        <f>IF('Components Yr 1'!I918=0,0,'Components Yr 1'!I918)</f>
        <v>0</v>
      </c>
      <c r="J918" s="17">
        <f>IF('Components Yr 1'!J918=0,0,'Components Yr 1'!J918)</f>
        <v>0</v>
      </c>
      <c r="K918" s="12"/>
      <c r="L918" s="12"/>
      <c r="M918" s="12"/>
      <c r="N918" s="12"/>
      <c r="O918" s="12"/>
      <c r="P918" s="12"/>
      <c r="Q918" s="17"/>
      <c r="R918" s="18">
        <f>IF(SUMPRODUCT((E918:Q918)*1)=0,0,E918*INDEX(Hours!M:M,MATCH(C918,Hours!$A:$A,0))+F918*INDEX(Hours!B:B,MATCH(C918,Hours!$A:$A,0))+G918*INDEX(Hours!C:C,MATCH(C918,Hours!$A:$A,0))+H918*INDEX(Hours!D:D,MATCH(C918,Hours!$A:$A,0))+I918*INDEX(Hours!E:E,MATCH(C918,Hours!$A:$A,0))+J918*INDEX(Hours!F:F,MATCH(C918,Hours!$A:$A,0)))</f>
        <v>0</v>
      </c>
      <c r="S918" s="19">
        <f t="shared" si="29"/>
        <v>0</v>
      </c>
    </row>
    <row r="919" spans="1:19" x14ac:dyDescent="0.25">
      <c r="A919" s="11" t="str">
        <f>'Bldgs &amp; Rooms'!$A$26</f>
        <v>Main Bldg.</v>
      </c>
      <c r="B919" s="11">
        <f>'Bldgs &amp; Rooms'!$B$26</f>
        <v>0</v>
      </c>
      <c r="C919" s="10" t="str">
        <f>Hours!$A$31</f>
        <v>Motors &lt; 50 HP</v>
      </c>
      <c r="D919" s="11">
        <f t="shared" si="28"/>
        <v>0</v>
      </c>
      <c r="E919" s="16">
        <f>IF('Components Yr 1'!E919=0,0,'Components Yr 1'!E919)</f>
        <v>0</v>
      </c>
      <c r="F919" s="17">
        <f>IF('Components Yr 1'!F919=0,0,'Components Yr 1'!F919)</f>
        <v>0</v>
      </c>
      <c r="G919" s="17">
        <f>IF('Components Yr 1'!G919=0,0,'Components Yr 1'!G919)</f>
        <v>0</v>
      </c>
      <c r="H919" s="17">
        <f>IF('Components Yr 1'!H919=0,0,'Components Yr 1'!H919)</f>
        <v>0</v>
      </c>
      <c r="I919" s="17">
        <f>IF('Components Yr 1'!I919=0,0,'Components Yr 1'!I919)</f>
        <v>0</v>
      </c>
      <c r="J919" s="17">
        <f>IF('Components Yr 1'!J919=0,0,'Components Yr 1'!J919)</f>
        <v>0</v>
      </c>
      <c r="K919" s="12"/>
      <c r="L919" s="12"/>
      <c r="M919" s="12"/>
      <c r="N919" s="12"/>
      <c r="O919" s="12"/>
      <c r="P919" s="12"/>
      <c r="Q919" s="17"/>
      <c r="R919" s="18">
        <f>IF(SUMPRODUCT((E919:Q919)*1)=0,0,E919*INDEX(Hours!M:M,MATCH(C919,Hours!$A:$A,0))+F919*INDEX(Hours!B:B,MATCH(C919,Hours!$A:$A,0))+G919*INDEX(Hours!C:C,MATCH(C919,Hours!$A:$A,0))+H919*INDEX(Hours!D:D,MATCH(C919,Hours!$A:$A,0))+I919*INDEX(Hours!E:E,MATCH(C919,Hours!$A:$A,0))+J919*INDEX(Hours!F:F,MATCH(C919,Hours!$A:$A,0)))</f>
        <v>0</v>
      </c>
      <c r="S919" s="19">
        <f t="shared" si="29"/>
        <v>0</v>
      </c>
    </row>
    <row r="920" spans="1:19" x14ac:dyDescent="0.25">
      <c r="A920" s="11" t="str">
        <f>'Bldgs &amp; Rooms'!$A$26</f>
        <v>Main Bldg.</v>
      </c>
      <c r="B920" s="11">
        <f>'Bldgs &amp; Rooms'!$B$26</f>
        <v>0</v>
      </c>
      <c r="C920" s="10" t="str">
        <f>Hours!$A$32</f>
        <v>Motors 51-200 HP</v>
      </c>
      <c r="D920" s="11">
        <f t="shared" si="28"/>
        <v>0</v>
      </c>
      <c r="E920" s="16">
        <f>IF('Components Yr 1'!E920=0,0,'Components Yr 1'!E920)</f>
        <v>0</v>
      </c>
      <c r="F920" s="17">
        <f>IF('Components Yr 1'!F920=0,0,'Components Yr 1'!F920)</f>
        <v>0</v>
      </c>
      <c r="G920" s="17">
        <f>IF('Components Yr 1'!G920=0,0,'Components Yr 1'!G920)</f>
        <v>0</v>
      </c>
      <c r="H920" s="17">
        <f>IF('Components Yr 1'!H920=0,0,'Components Yr 1'!H920)</f>
        <v>0</v>
      </c>
      <c r="I920" s="17">
        <f>IF('Components Yr 1'!I920=0,0,'Components Yr 1'!I920)</f>
        <v>0</v>
      </c>
      <c r="J920" s="17">
        <f>IF('Components Yr 1'!J920=0,0,'Components Yr 1'!J920)</f>
        <v>0</v>
      </c>
      <c r="K920" s="12"/>
      <c r="L920" s="12"/>
      <c r="M920" s="12"/>
      <c r="N920" s="12"/>
      <c r="O920" s="12"/>
      <c r="P920" s="12"/>
      <c r="Q920" s="17"/>
      <c r="R920" s="18">
        <f>IF(SUMPRODUCT((E920:Q920)*1)=0,0,E920*INDEX(Hours!M:M,MATCH(C920,Hours!$A:$A,0))+F920*INDEX(Hours!B:B,MATCH(C920,Hours!$A:$A,0))+G920*INDEX(Hours!C:C,MATCH(C920,Hours!$A:$A,0))+H920*INDEX(Hours!D:D,MATCH(C920,Hours!$A:$A,0))+I920*INDEX(Hours!E:E,MATCH(C920,Hours!$A:$A,0))+J920*INDEX(Hours!F:F,MATCH(C920,Hours!$A:$A,0)))</f>
        <v>0</v>
      </c>
      <c r="S920" s="19">
        <f t="shared" si="29"/>
        <v>0</v>
      </c>
    </row>
    <row r="921" spans="1:19" x14ac:dyDescent="0.25">
      <c r="A921" s="11" t="str">
        <f>'Bldgs &amp; Rooms'!$A$26</f>
        <v>Main Bldg.</v>
      </c>
      <c r="B921" s="11">
        <f>'Bldgs &amp; Rooms'!$B$26</f>
        <v>0</v>
      </c>
      <c r="C921" s="10" t="str">
        <f>Hours!$A$33</f>
        <v>Motors 201-500 HP</v>
      </c>
      <c r="D921" s="11">
        <f t="shared" si="28"/>
        <v>0</v>
      </c>
      <c r="E921" s="16">
        <f>IF('Components Yr 1'!E921=0,0,'Components Yr 1'!E921)</f>
        <v>0</v>
      </c>
      <c r="F921" s="17">
        <f>IF('Components Yr 1'!F921=0,0,'Components Yr 1'!F921)</f>
        <v>0</v>
      </c>
      <c r="G921" s="17">
        <f>IF('Components Yr 1'!G921=0,0,'Components Yr 1'!G921)</f>
        <v>0</v>
      </c>
      <c r="H921" s="17">
        <f>IF('Components Yr 1'!H921=0,0,'Components Yr 1'!H921)</f>
        <v>0</v>
      </c>
      <c r="I921" s="17">
        <f>IF('Components Yr 1'!I921=0,0,'Components Yr 1'!I921)</f>
        <v>0</v>
      </c>
      <c r="J921" s="17">
        <f>IF('Components Yr 1'!J921=0,0,'Components Yr 1'!J921)</f>
        <v>0</v>
      </c>
      <c r="K921" s="12"/>
      <c r="L921" s="12"/>
      <c r="M921" s="12"/>
      <c r="N921" s="12"/>
      <c r="O921" s="12"/>
      <c r="P921" s="12"/>
      <c r="Q921" s="17"/>
      <c r="R921" s="18">
        <f>IF(SUMPRODUCT((E921:Q921)*1)=0,0,E921*INDEX(Hours!M:M,MATCH(C921,Hours!$A:$A,0))+F921*INDEX(Hours!B:B,MATCH(C921,Hours!$A:$A,0))+G921*INDEX(Hours!C:C,MATCH(C921,Hours!$A:$A,0))+H921*INDEX(Hours!D:D,MATCH(C921,Hours!$A:$A,0))+I921*INDEX(Hours!E:E,MATCH(C921,Hours!$A:$A,0))+J921*INDEX(Hours!F:F,MATCH(C921,Hours!$A:$A,0)))</f>
        <v>0</v>
      </c>
      <c r="S921" s="19">
        <f t="shared" si="29"/>
        <v>0</v>
      </c>
    </row>
    <row r="922" spans="1:19" x14ac:dyDescent="0.25">
      <c r="A922" s="11" t="str">
        <f>'Bldgs &amp; Rooms'!$A$26</f>
        <v>Main Bldg.</v>
      </c>
      <c r="B922" s="11">
        <f>'Bldgs &amp; Rooms'!$B$26</f>
        <v>0</v>
      </c>
      <c r="C922" s="10" t="str">
        <f>Hours!$A$34</f>
        <v>Compressed Air Equipment</v>
      </c>
      <c r="D922" s="11">
        <f t="shared" si="28"/>
        <v>0</v>
      </c>
      <c r="E922" s="16">
        <f>IF('Components Yr 1'!E922=0,0,'Components Yr 1'!E922)</f>
        <v>0</v>
      </c>
      <c r="F922" s="17">
        <f>IF('Components Yr 1'!F922=0,0,'Components Yr 1'!F922)</f>
        <v>0</v>
      </c>
      <c r="G922" s="17">
        <f>IF('Components Yr 1'!G922=0,0,'Components Yr 1'!G922)</f>
        <v>0</v>
      </c>
      <c r="H922" s="17">
        <f>IF('Components Yr 1'!H922=0,0,'Components Yr 1'!H922)</f>
        <v>0</v>
      </c>
      <c r="I922" s="17">
        <f>IF('Components Yr 1'!I922=0,0,'Components Yr 1'!I922)</f>
        <v>0</v>
      </c>
      <c r="J922" s="17">
        <f>IF('Components Yr 1'!J922=0,0,'Components Yr 1'!J922)</f>
        <v>0</v>
      </c>
      <c r="K922" s="12"/>
      <c r="L922" s="12"/>
      <c r="M922" s="12"/>
      <c r="N922" s="12"/>
      <c r="O922" s="12"/>
      <c r="P922" s="12"/>
      <c r="Q922" s="17"/>
      <c r="R922" s="18">
        <f>IF(SUMPRODUCT((E922:Q922)*1)=0,0,E922*INDEX(Hours!M:M,MATCH(C922,Hours!$A:$A,0))+F922*INDEX(Hours!B:B,MATCH(C922,Hours!$A:$A,0))+G922*INDEX(Hours!C:C,MATCH(C922,Hours!$A:$A,0))+H922*INDEX(Hours!D:D,MATCH(C922,Hours!$A:$A,0))+I922*INDEX(Hours!E:E,MATCH(C922,Hours!$A:$A,0))+J922*INDEX(Hours!F:F,MATCH(C922,Hours!$A:$A,0)))</f>
        <v>0</v>
      </c>
      <c r="S922" s="19">
        <f t="shared" si="29"/>
        <v>0</v>
      </c>
    </row>
    <row r="923" spans="1:19" x14ac:dyDescent="0.25">
      <c r="A923" s="11" t="str">
        <f>'Bldgs &amp; Rooms'!$A$26</f>
        <v>Main Bldg.</v>
      </c>
      <c r="B923" s="11">
        <f>'Bldgs &amp; Rooms'!$B$26</f>
        <v>0</v>
      </c>
      <c r="C923" s="10" t="str">
        <f>Hours!$A$35</f>
        <v>HVAC Equipment (Large)</v>
      </c>
      <c r="D923" s="11">
        <f t="shared" si="28"/>
        <v>0</v>
      </c>
      <c r="E923" s="16">
        <f>IF('Components Yr 1'!E923=0,0,'Components Yr 1'!E923)</f>
        <v>0</v>
      </c>
      <c r="F923" s="17">
        <f>IF('Components Yr 1'!F923=0,0,'Components Yr 1'!F923)</f>
        <v>0</v>
      </c>
      <c r="G923" s="17">
        <f>IF('Components Yr 1'!G923=0,0,'Components Yr 1'!G923)</f>
        <v>0</v>
      </c>
      <c r="H923" s="17">
        <f>IF('Components Yr 1'!H923=0,0,'Components Yr 1'!H923)</f>
        <v>0</v>
      </c>
      <c r="I923" s="17">
        <f>IF('Components Yr 1'!I923=0,0,'Components Yr 1'!I923)</f>
        <v>0</v>
      </c>
      <c r="J923" s="17">
        <f>IF('Components Yr 1'!J923=0,0,'Components Yr 1'!J923)</f>
        <v>0</v>
      </c>
      <c r="K923" s="12"/>
      <c r="L923" s="12"/>
      <c r="M923" s="12"/>
      <c r="N923" s="12"/>
      <c r="O923" s="12"/>
      <c r="P923" s="12"/>
      <c r="Q923" s="17"/>
      <c r="R923" s="18">
        <f>IF(SUMPRODUCT((E923:Q923)*1)=0,0,E923*INDEX(Hours!M:M,MATCH(C923,Hours!$A:$A,0))+F923*INDEX(Hours!B:B,MATCH(C923,Hours!$A:$A,0))+G923*INDEX(Hours!C:C,MATCH(C923,Hours!$A:$A,0))+H923*INDEX(Hours!D:D,MATCH(C923,Hours!$A:$A,0))+I923*INDEX(Hours!E:E,MATCH(C923,Hours!$A:$A,0))+J923*INDEX(Hours!F:F,MATCH(C923,Hours!$A:$A,0)))</f>
        <v>0</v>
      </c>
      <c r="S923" s="19">
        <f t="shared" si="29"/>
        <v>0</v>
      </c>
    </row>
    <row r="924" spans="1:19" x14ac:dyDescent="0.25">
      <c r="A924" s="11" t="str">
        <f>'Bldgs &amp; Rooms'!$A$26</f>
        <v>Main Bldg.</v>
      </c>
      <c r="B924" s="11">
        <f>'Bldgs &amp; Rooms'!$B$26</f>
        <v>0</v>
      </c>
      <c r="C924" s="10" t="str">
        <f>Hours!$A$36</f>
        <v>HVAC Equipment (Small)</v>
      </c>
      <c r="D924" s="11">
        <f t="shared" si="28"/>
        <v>0</v>
      </c>
      <c r="E924" s="16">
        <f>IF('Components Yr 1'!E924=0,0,'Components Yr 1'!E924)</f>
        <v>0</v>
      </c>
      <c r="F924" s="17">
        <f>IF('Components Yr 1'!F924=0,0,'Components Yr 1'!F924)</f>
        <v>0</v>
      </c>
      <c r="G924" s="17">
        <f>IF('Components Yr 1'!G924=0,0,'Components Yr 1'!G924)</f>
        <v>0</v>
      </c>
      <c r="H924" s="17">
        <f>IF('Components Yr 1'!H924=0,0,'Components Yr 1'!H924)</f>
        <v>0</v>
      </c>
      <c r="I924" s="17">
        <f>IF('Components Yr 1'!I924=0,0,'Components Yr 1'!I924)</f>
        <v>0</v>
      </c>
      <c r="J924" s="17">
        <f>IF('Components Yr 1'!J924=0,0,'Components Yr 1'!J924)</f>
        <v>0</v>
      </c>
      <c r="K924" s="12"/>
      <c r="L924" s="12"/>
      <c r="M924" s="12"/>
      <c r="N924" s="12"/>
      <c r="O924" s="12"/>
      <c r="P924" s="12"/>
      <c r="Q924" s="17"/>
      <c r="R924" s="18">
        <f>IF(SUMPRODUCT((E924:Q924)*1)=0,0,E924*INDEX(Hours!M:M,MATCH(C924,Hours!$A:$A,0))+F924*INDEX(Hours!B:B,MATCH(C924,Hours!$A:$A,0))+G924*INDEX(Hours!C:C,MATCH(C924,Hours!$A:$A,0))+H924*INDEX(Hours!D:D,MATCH(C924,Hours!$A:$A,0))+I924*INDEX(Hours!E:E,MATCH(C924,Hours!$A:$A,0))+J924*INDEX(Hours!F:F,MATCH(C924,Hours!$A:$A,0)))</f>
        <v>0</v>
      </c>
      <c r="S924" s="19">
        <f t="shared" si="29"/>
        <v>0</v>
      </c>
    </row>
    <row r="925" spans="1:19" x14ac:dyDescent="0.25">
      <c r="A925" s="11" t="str">
        <f>'Bldgs &amp; Rooms'!$A$26</f>
        <v>Main Bldg.</v>
      </c>
      <c r="B925" s="11">
        <f>'Bldgs &amp; Rooms'!$B$26</f>
        <v>0</v>
      </c>
      <c r="C925" s="10" t="str">
        <f>Hours!$A$37</f>
        <v>Uninterruptible Power Supply (UPS) &lt; 50kVA</v>
      </c>
      <c r="D925" s="11">
        <f t="shared" si="28"/>
        <v>0</v>
      </c>
      <c r="E925" s="16">
        <f>IF('Components Yr 1'!E925=0,0,'Components Yr 1'!E925)</f>
        <v>0</v>
      </c>
      <c r="F925" s="17">
        <f>IF('Components Yr 1'!F925=0,0,'Components Yr 1'!F925)</f>
        <v>0</v>
      </c>
      <c r="G925" s="17">
        <f>IF('Components Yr 1'!G925=0,0,'Components Yr 1'!G925)</f>
        <v>0</v>
      </c>
      <c r="H925" s="17">
        <f>IF('Components Yr 1'!H925=0,0,'Components Yr 1'!H925)</f>
        <v>0</v>
      </c>
      <c r="I925" s="17">
        <f>IF('Components Yr 1'!I925=0,0,'Components Yr 1'!I925)</f>
        <v>0</v>
      </c>
      <c r="J925" s="17">
        <f>IF('Components Yr 1'!J925=0,0,'Components Yr 1'!J925)</f>
        <v>0</v>
      </c>
      <c r="K925" s="12"/>
      <c r="L925" s="12"/>
      <c r="M925" s="12"/>
      <c r="N925" s="12"/>
      <c r="O925" s="12"/>
      <c r="P925" s="12"/>
      <c r="Q925" s="17"/>
      <c r="R925" s="18">
        <f>IF(SUMPRODUCT((E925:Q925)*1)=0,0,E925*INDEX(Hours!M:M,MATCH(C925,Hours!$A:$A,0))+F925*INDEX(Hours!B:B,MATCH(C925,Hours!$A:$A,0))+G925*INDEX(Hours!C:C,MATCH(C925,Hours!$A:$A,0))+H925*INDEX(Hours!D:D,MATCH(C925,Hours!$A:$A,0))+I925*INDEX(Hours!E:E,MATCH(C925,Hours!$A:$A,0))+J925*INDEX(Hours!F:F,MATCH(C925,Hours!$A:$A,0)))</f>
        <v>0</v>
      </c>
      <c r="S925" s="19">
        <f t="shared" si="29"/>
        <v>0</v>
      </c>
    </row>
    <row r="926" spans="1:19" x14ac:dyDescent="0.25">
      <c r="A926" s="11" t="str">
        <f>'Bldgs &amp; Rooms'!$A$26</f>
        <v>Main Bldg.</v>
      </c>
      <c r="B926" s="11">
        <f>'Bldgs &amp; Rooms'!$B$26</f>
        <v>0</v>
      </c>
      <c r="C926" s="10" t="str">
        <f>Hours!$A$38</f>
        <v>Uninterruptible Power Supply (UPS) &gt; 50kVA</v>
      </c>
      <c r="D926" s="11">
        <f t="shared" si="28"/>
        <v>0</v>
      </c>
      <c r="E926" s="16">
        <f>IF('Components Yr 1'!E926=0,0,'Components Yr 1'!E926)</f>
        <v>0</v>
      </c>
      <c r="F926" s="17">
        <f>IF('Components Yr 1'!F926=0,0,'Components Yr 1'!F926)</f>
        <v>0</v>
      </c>
      <c r="G926" s="17">
        <f>IF('Components Yr 1'!G926=0,0,'Components Yr 1'!G926)</f>
        <v>0</v>
      </c>
      <c r="H926" s="17">
        <f>IF('Components Yr 1'!H926=0,0,'Components Yr 1'!H926)</f>
        <v>0</v>
      </c>
      <c r="I926" s="17">
        <f>IF('Components Yr 1'!I926=0,0,'Components Yr 1'!I926)</f>
        <v>0</v>
      </c>
      <c r="J926" s="17">
        <f>IF('Components Yr 1'!J926=0,0,'Components Yr 1'!J926)</f>
        <v>0</v>
      </c>
      <c r="K926" s="12"/>
      <c r="L926" s="12"/>
      <c r="M926" s="12"/>
      <c r="N926" s="12"/>
      <c r="O926" s="12"/>
      <c r="P926" s="12"/>
      <c r="Q926" s="17"/>
      <c r="R926" s="18">
        <f>IF(SUMPRODUCT((E926:Q926)*1)=0,0,E926*INDEX(Hours!M:M,MATCH(C926,Hours!$A:$A,0))+F926*INDEX(Hours!B:B,MATCH(C926,Hours!$A:$A,0))+G926*INDEX(Hours!C:C,MATCH(C926,Hours!$A:$A,0))+H926*INDEX(Hours!D:D,MATCH(C926,Hours!$A:$A,0))+I926*INDEX(Hours!E:E,MATCH(C926,Hours!$A:$A,0))+J926*INDEX(Hours!F:F,MATCH(C926,Hours!$A:$A,0)))</f>
        <v>0</v>
      </c>
      <c r="S926" s="19">
        <f t="shared" si="29"/>
        <v>0</v>
      </c>
    </row>
    <row r="927" spans="1:19" x14ac:dyDescent="0.25">
      <c r="A927" s="15" t="str">
        <f>'Bldgs &amp; Rooms'!$A$27</f>
        <v>Main Bldg.</v>
      </c>
      <c r="B927" s="15">
        <f>'Bldgs &amp; Rooms'!$B$27</f>
        <v>0</v>
      </c>
      <c r="C927" s="14" t="str">
        <f>Hours!$A$2</f>
        <v>Switchgear - Incoming Main Service (Per Section)</v>
      </c>
      <c r="D927" s="15">
        <f t="shared" si="28"/>
        <v>0</v>
      </c>
      <c r="E927" s="16">
        <f>IF('Components Yr 1'!E927=0,0,'Components Yr 1'!E927)</f>
        <v>0</v>
      </c>
      <c r="F927" s="17">
        <f>IF('Components Yr 1'!F927=0,0,'Components Yr 1'!F927)</f>
        <v>0</v>
      </c>
      <c r="G927" s="17">
        <f>IF('Components Yr 1'!G927=0,0,'Components Yr 1'!G927)</f>
        <v>0</v>
      </c>
      <c r="H927" s="17">
        <f>IF('Components Yr 1'!H927=0,0,'Components Yr 1'!H927)</f>
        <v>0</v>
      </c>
      <c r="I927" s="17">
        <f>IF('Components Yr 1'!I927=0,0,'Components Yr 1'!I927)</f>
        <v>0</v>
      </c>
      <c r="J927" s="17">
        <f>IF('Components Yr 1'!J927=0,0,'Components Yr 1'!J927)</f>
        <v>0</v>
      </c>
      <c r="K927" s="17">
        <f>IF('Components Yr 1'!K927=0,0,'Components Yr 1'!K927)</f>
        <v>0</v>
      </c>
      <c r="L927" s="17">
        <f>IF('Components Yr 1'!L927=0,0,'Components Yr 1'!L927)</f>
        <v>0</v>
      </c>
      <c r="M927" s="12"/>
      <c r="N927" s="12"/>
      <c r="O927" s="17">
        <f>IF('Components Yr 1'!O927=0,0,'Components Yr 1'!O927)</f>
        <v>0</v>
      </c>
      <c r="P927" s="12"/>
      <c r="Q927" s="17"/>
      <c r="R927" s="18">
        <f>IF(SUMPRODUCT((E927:Q927)*1)=0,0,E927*INDEX(Hours!M:M,MATCH(C927,Hours!$A:$A,0))+F927*INDEX(Hours!B:B,MATCH(C927,Hours!$A:$A,0))+G927*INDEX(Hours!C:C,MATCH(C927,Hours!$A:$A,0))+H927*INDEX(Hours!D:D,MATCH(C927,Hours!$A:$A,0))+I927*INDEX(Hours!E:E,MATCH(C927,Hours!$A:$A,0))+J927*INDEX(Hours!F:F,MATCH(C927,Hours!$A:$A,0))+K927*INDEX(Hours!G:G,MATCH(C927,Hours!$A:$A,0))+L927*INDEX(Hours!H:H,MATCH(C927,Hours!$A:$A,0))+O927*INDEX(Hours!K:K,MATCH(C927,Hours!$A:$A,0)))</f>
        <v>0</v>
      </c>
      <c r="S927" s="19">
        <f t="shared" si="29"/>
        <v>0</v>
      </c>
    </row>
    <row r="928" spans="1:19" x14ac:dyDescent="0.25">
      <c r="A928" s="15" t="str">
        <f>'Bldgs &amp; Rooms'!$A$27</f>
        <v>Main Bldg.</v>
      </c>
      <c r="B928" s="15">
        <f>'Bldgs &amp; Rooms'!$B$27</f>
        <v>0</v>
      </c>
      <c r="C928" s="14" t="str">
        <f>Hours!$A$3</f>
        <v xml:space="preserve">  Switchgear Insulated Case Breakers (Bus Mounted)</v>
      </c>
      <c r="D928" s="15">
        <f t="shared" si="28"/>
        <v>0</v>
      </c>
      <c r="E928" s="16">
        <f>IF('Components Yr 1'!E928=0,0,'Components Yr 1'!E928)</f>
        <v>0</v>
      </c>
      <c r="F928" s="17">
        <f>IF('Components Yr 1'!F928=0,0,'Components Yr 1'!F928)</f>
        <v>0</v>
      </c>
      <c r="G928" s="17">
        <f>IF('Components Yr 1'!G928=0,0,'Components Yr 1'!G928)</f>
        <v>0</v>
      </c>
      <c r="H928" s="17">
        <f>IF('Components Yr 1'!H928=0,0,'Components Yr 1'!H928)</f>
        <v>0</v>
      </c>
      <c r="I928" s="17">
        <f>IF('Components Yr 1'!I928=0,0,'Components Yr 1'!I928)</f>
        <v>0</v>
      </c>
      <c r="J928" s="17">
        <f>IF('Components Yr 1'!J928=0,0,'Components Yr 1'!J928)</f>
        <v>0</v>
      </c>
      <c r="K928" s="17">
        <f>IF('Components Yr 1'!K928=0,0,'Components Yr 1'!K928)</f>
        <v>0</v>
      </c>
      <c r="L928" s="12"/>
      <c r="M928" s="12"/>
      <c r="N928" s="12"/>
      <c r="O928" s="12"/>
      <c r="P928" s="12"/>
      <c r="Q928" s="17"/>
      <c r="R928" s="18">
        <f>IF(SUMPRODUCT((E928:Q928)*1)=0,0,E928*INDEX(Hours!M:M,MATCH(C928,Hours!$A:$A,0))+F928*INDEX(Hours!B:B,MATCH(C928,Hours!$A:$A,0))+G928*INDEX(Hours!C:C,MATCH(C928,Hours!$A:$A,0))+H928*INDEX(Hours!D:D,MATCH(C928,Hours!$A:$A,0))+I928*INDEX(Hours!E:E,MATCH(C928,Hours!$A:$A,0))+J928*INDEX(Hours!F:F,MATCH(C928,Hours!$A:$A,0))+K928*INDEX(Hours!G:G,MATCH(C928,Hours!$A:$A,0)))</f>
        <v>0</v>
      </c>
      <c r="S928" s="19">
        <f t="shared" si="29"/>
        <v>0</v>
      </c>
    </row>
    <row r="929" spans="1:19" x14ac:dyDescent="0.25">
      <c r="A929" s="15" t="str">
        <f>'Bldgs &amp; Rooms'!$A$27</f>
        <v>Main Bldg.</v>
      </c>
      <c r="B929" s="15">
        <f>'Bldgs &amp; Rooms'!$B$27</f>
        <v>0</v>
      </c>
      <c r="C929" s="14" t="str">
        <f>Hours!$A$4</f>
        <v xml:space="preserve">  SwitchGear Drawout Breakers</v>
      </c>
      <c r="D929" s="15">
        <f t="shared" si="28"/>
        <v>0</v>
      </c>
      <c r="E929" s="16">
        <f>IF('Components Yr 1'!E929=0,0,'Components Yr 1'!E929)</f>
        <v>0</v>
      </c>
      <c r="F929" s="17">
        <f>IF('Components Yr 1'!F929=0,0,'Components Yr 1'!F929)</f>
        <v>0</v>
      </c>
      <c r="G929" s="17">
        <f>IF('Components Yr 1'!G929=0,0,'Components Yr 1'!G929)</f>
        <v>0</v>
      </c>
      <c r="H929" s="17">
        <f>IF('Components Yr 1'!H929=0,0,'Components Yr 1'!H929)</f>
        <v>0</v>
      </c>
      <c r="I929" s="17">
        <f>IF('Components Yr 1'!I929=0,0,'Components Yr 1'!I929)</f>
        <v>0</v>
      </c>
      <c r="J929" s="17">
        <f>IF('Components Yr 1'!J929=0,0,'Components Yr 1'!J929)</f>
        <v>0</v>
      </c>
      <c r="K929" s="12"/>
      <c r="L929" s="17">
        <f>IF('Components Yr 1'!L929=0,0,'Components Yr 1'!L929)</f>
        <v>0</v>
      </c>
      <c r="M929" s="12"/>
      <c r="N929" s="12"/>
      <c r="O929" s="12"/>
      <c r="P929" s="12"/>
      <c r="Q929" s="17"/>
      <c r="R929" s="18">
        <f>IF(SUMPRODUCT((E929:Q929)*1)=0,0,E929*INDEX(Hours!M:M,MATCH(C929,Hours!$A:$A,0))+F929*INDEX(Hours!B:B,MATCH(C929,Hours!$A:$A,0))+G929*INDEX(Hours!C:C,MATCH(C929,Hours!$A:$A,0))+H929*INDEX(Hours!D:D,MATCH(C929,Hours!$A:$A,0))+I929*INDEX(Hours!E:E,MATCH(C929,Hours!$A:$A,0))+J929*INDEX(Hours!F:F,MATCH(C929,Hours!$A:$A,0))+L929*INDEX(Hours!H:H,MATCH(C929,Hours!$A:$A,0)))</f>
        <v>0</v>
      </c>
      <c r="S929" s="19">
        <f t="shared" si="29"/>
        <v>0</v>
      </c>
    </row>
    <row r="930" spans="1:19" x14ac:dyDescent="0.25">
      <c r="A930" s="15" t="str">
        <f>'Bldgs &amp; Rooms'!$A$27</f>
        <v>Main Bldg.</v>
      </c>
      <c r="B930" s="15">
        <f>'Bldgs &amp; Rooms'!$B$27</f>
        <v>0</v>
      </c>
      <c r="C930" s="14" t="str">
        <f>Hours!$A$5</f>
        <v>Distribution Switchboard Multi Cover (Per Section)</v>
      </c>
      <c r="D930" s="15">
        <f t="shared" si="28"/>
        <v>0</v>
      </c>
      <c r="E930" s="16">
        <f>IF('Components Yr 1'!E930=0,0,'Components Yr 1'!E930)</f>
        <v>0</v>
      </c>
      <c r="F930" s="17">
        <f>IF('Components Yr 1'!F930=0,0,'Components Yr 1'!F930)</f>
        <v>0</v>
      </c>
      <c r="G930" s="17">
        <f>IF('Components Yr 1'!G930=0,0,'Components Yr 1'!G930)</f>
        <v>0</v>
      </c>
      <c r="H930" s="17">
        <f>IF('Components Yr 1'!H930=0,0,'Components Yr 1'!H930)</f>
        <v>0</v>
      </c>
      <c r="I930" s="17">
        <f>IF('Components Yr 1'!I930=0,0,'Components Yr 1'!I930)</f>
        <v>0</v>
      </c>
      <c r="J930" s="17">
        <f>IF('Components Yr 1'!J930=0,0,'Components Yr 1'!J930)</f>
        <v>0</v>
      </c>
      <c r="K930" s="17">
        <f>IF('Components Yr 1'!K930=0,0,'Components Yr 1'!K930)</f>
        <v>0</v>
      </c>
      <c r="L930" s="12"/>
      <c r="M930" s="12"/>
      <c r="N930" s="12"/>
      <c r="O930" s="17">
        <f>IF('Components Yr 1'!O930=0,0,'Components Yr 1'!O930)</f>
        <v>0</v>
      </c>
      <c r="P930" s="12"/>
      <c r="Q930" s="17"/>
      <c r="R930" s="18">
        <f>IF(SUMPRODUCT((E930:Q930)*1)=0,0,E930*INDEX(Hours!M:M,MATCH(C930,Hours!$A:$A,0))+F930*INDEX(Hours!B:B,MATCH(C930,Hours!$A:$A,0))+G930*INDEX(Hours!C:C,MATCH(C930,Hours!$A:$A,0))+H930*INDEX(Hours!D:D,MATCH(C930,Hours!$A:$A,0))+I930*INDEX(Hours!E:E,MATCH(C930,Hours!$A:$A,0))+J930*INDEX(Hours!F:F,MATCH(C930,Hours!$A:$A,0))+K930*INDEX(Hours!G:G,MATCH(C930,Hours!$A:$A,0))+O930*INDEX(Hours!K:K,MATCH(C930,Hours!$A:$A,0)))</f>
        <v>0</v>
      </c>
      <c r="S930" s="19">
        <f t="shared" si="29"/>
        <v>0</v>
      </c>
    </row>
    <row r="931" spans="1:19" x14ac:dyDescent="0.25">
      <c r="A931" s="15" t="str">
        <f>'Bldgs &amp; Rooms'!$A$27</f>
        <v>Main Bldg.</v>
      </c>
      <c r="B931" s="15">
        <f>'Bldgs &amp; Rooms'!$B$27</f>
        <v>0</v>
      </c>
      <c r="C931" s="14" t="str">
        <f>Hours!$A$6</f>
        <v xml:space="preserve">  Switchboard Disconnects</v>
      </c>
      <c r="D931" s="15">
        <f t="shared" si="28"/>
        <v>0</v>
      </c>
      <c r="E931" s="16">
        <f>IF('Components Yr 1'!E931=0,0,'Components Yr 1'!E931)</f>
        <v>0</v>
      </c>
      <c r="F931" s="17">
        <f>IF('Components Yr 1'!F931=0,0,'Components Yr 1'!F931)</f>
        <v>0</v>
      </c>
      <c r="G931" s="17">
        <f>IF('Components Yr 1'!G931=0,0,'Components Yr 1'!G931)</f>
        <v>0</v>
      </c>
      <c r="H931" s="17">
        <f>IF('Components Yr 1'!H931=0,0,'Components Yr 1'!H931)</f>
        <v>0</v>
      </c>
      <c r="I931" s="17">
        <f>IF('Components Yr 1'!I931=0,0,'Components Yr 1'!I931)</f>
        <v>0</v>
      </c>
      <c r="J931" s="17">
        <f>IF('Components Yr 1'!J931=0,0,'Components Yr 1'!J931)</f>
        <v>0</v>
      </c>
      <c r="K931" s="12"/>
      <c r="L931" s="12"/>
      <c r="M931" s="12"/>
      <c r="N931" s="12"/>
      <c r="O931" s="12"/>
      <c r="P931" s="12"/>
      <c r="Q931" s="17"/>
      <c r="R931" s="18">
        <f>IF(SUMPRODUCT((E931:Q931)*1)=0,0,E931*INDEX(Hours!M:M,MATCH(C931,Hours!$A:$A,0))+F931*INDEX(Hours!B:B,MATCH(C931,Hours!$A:$A,0))+G931*INDEX(Hours!C:C,MATCH(C931,Hours!$A:$A,0))+H931*INDEX(Hours!D:D,MATCH(C931,Hours!$A:$A,0))+I931*INDEX(Hours!E:E,MATCH(C931,Hours!$A:$A,0))+J931*INDEX(Hours!F:F,MATCH(C931,Hours!$A:$A,0)))</f>
        <v>0</v>
      </c>
      <c r="S931" s="19">
        <f t="shared" si="29"/>
        <v>0</v>
      </c>
    </row>
    <row r="932" spans="1:19" x14ac:dyDescent="0.25">
      <c r="A932" s="15" t="str">
        <f>'Bldgs &amp; Rooms'!$A$27</f>
        <v>Main Bldg.</v>
      </c>
      <c r="B932" s="15">
        <f>'Bldgs &amp; Rooms'!$B$27</f>
        <v>0</v>
      </c>
      <c r="C932" s="14" t="str">
        <f>Hours!$A$7</f>
        <v xml:space="preserve">  Switchboard Molded Case Breakers</v>
      </c>
      <c r="D932" s="15">
        <f t="shared" si="28"/>
        <v>0</v>
      </c>
      <c r="E932" s="16">
        <f>IF('Components Yr 1'!E932=0,0,'Components Yr 1'!E932)</f>
        <v>0</v>
      </c>
      <c r="F932" s="17">
        <f>IF('Components Yr 1'!F932=0,0,'Components Yr 1'!F932)</f>
        <v>0</v>
      </c>
      <c r="G932" s="17">
        <f>IF('Components Yr 1'!G932=0,0,'Components Yr 1'!G932)</f>
        <v>0</v>
      </c>
      <c r="H932" s="17">
        <f>IF('Components Yr 1'!H932=0,0,'Components Yr 1'!H932)</f>
        <v>0</v>
      </c>
      <c r="I932" s="17">
        <f>IF('Components Yr 1'!I932=0,0,'Components Yr 1'!I932)</f>
        <v>0</v>
      </c>
      <c r="J932" s="17">
        <f>IF('Components Yr 1'!J932=0,0,'Components Yr 1'!J932)</f>
        <v>0</v>
      </c>
      <c r="K932" s="17">
        <f>IF('Components Yr 1'!K932=0,0,'Components Yr 1'!K932)</f>
        <v>0</v>
      </c>
      <c r="L932" s="12"/>
      <c r="M932" s="12"/>
      <c r="N932" s="12"/>
      <c r="O932" s="12"/>
      <c r="P932" s="12"/>
      <c r="Q932" s="17"/>
      <c r="R932" s="18">
        <f>IF(SUMPRODUCT((E932:Q932)*1)=0,0,E932*INDEX(Hours!M:M,MATCH(C932,Hours!$A:$A,0))+F932*INDEX(Hours!B:B,MATCH(C932,Hours!$A:$A,0))+G932*INDEX(Hours!C:C,MATCH(C932,Hours!$A:$A,0))+H932*INDEX(Hours!D:D,MATCH(C932,Hours!$A:$A,0))+I932*INDEX(Hours!E:E,MATCH(C932,Hours!$A:$A,0))+J932*INDEX(Hours!F:F,MATCH(C932,Hours!$A:$A,0))+K932*INDEX(Hours!G:G,MATCH(C932,Hours!$A:$A,0)))</f>
        <v>0</v>
      </c>
      <c r="S932" s="19">
        <f t="shared" si="29"/>
        <v>0</v>
      </c>
    </row>
    <row r="933" spans="1:19" x14ac:dyDescent="0.25">
      <c r="A933" s="15" t="str">
        <f>'Bldgs &amp; Rooms'!$A$27</f>
        <v>Main Bldg.</v>
      </c>
      <c r="B933" s="15">
        <f>'Bldgs &amp; Rooms'!$B$27</f>
        <v>0</v>
      </c>
      <c r="C933" s="14" t="str">
        <f>Hours!$A$8</f>
        <v>Panelboard-Single Cover &gt; 400A (Distribution Panel)</v>
      </c>
      <c r="D933" s="15">
        <f t="shared" si="28"/>
        <v>0</v>
      </c>
      <c r="E933" s="16">
        <f>IF('Components Yr 1'!E933=0,0,'Components Yr 1'!E933)</f>
        <v>0</v>
      </c>
      <c r="F933" s="17">
        <f>IF('Components Yr 1'!F933=0,0,'Components Yr 1'!F933)</f>
        <v>0</v>
      </c>
      <c r="G933" s="17">
        <f>IF('Components Yr 1'!G933=0,0,'Components Yr 1'!G933)</f>
        <v>0</v>
      </c>
      <c r="H933" s="17">
        <f>IF('Components Yr 1'!H933=0,0,'Components Yr 1'!H933)</f>
        <v>0</v>
      </c>
      <c r="I933" s="17">
        <f>IF('Components Yr 1'!I933=0,0,'Components Yr 1'!I933)</f>
        <v>0</v>
      </c>
      <c r="J933" s="17">
        <f>IF('Components Yr 1'!J933=0,0,'Components Yr 1'!J933)</f>
        <v>0</v>
      </c>
      <c r="K933" s="17">
        <f>IF('Components Yr 1'!K933=0,0,'Components Yr 1'!K933)</f>
        <v>0</v>
      </c>
      <c r="L933" s="12"/>
      <c r="M933" s="12"/>
      <c r="N933" s="12"/>
      <c r="O933" s="17">
        <f>IF('Components Yr 1'!O933=0,0,'Components Yr 1'!O933)</f>
        <v>0</v>
      </c>
      <c r="P933" s="12"/>
      <c r="Q933" s="17"/>
      <c r="R933" s="18">
        <f>IF(SUMPRODUCT((E933:Q933)*1)=0,0,E933*INDEX(Hours!M:M,MATCH(C933,Hours!$A:$A,0))+F933*INDEX(Hours!B:B,MATCH(C933,Hours!$A:$A,0))+G933*INDEX(Hours!C:C,MATCH(C933,Hours!$A:$A,0))+H933*INDEX(Hours!D:D,MATCH(C933,Hours!$A:$A,0))+I933*INDEX(Hours!E:E,MATCH(C933,Hours!$A:$A,0))+J933*INDEX(Hours!F:F,MATCH(C933,Hours!$A:$A,0))+K933*INDEX(Hours!G:G,MATCH(C933,Hours!$A:$A,0))+O933*INDEX(Hours!K:K,MATCH(C933,Hours!$A:$A,0)))</f>
        <v>0</v>
      </c>
      <c r="S933" s="19">
        <f t="shared" si="29"/>
        <v>0</v>
      </c>
    </row>
    <row r="934" spans="1:19" x14ac:dyDescent="0.25">
      <c r="A934" s="15" t="str">
        <f>'Bldgs &amp; Rooms'!$A$27</f>
        <v>Main Bldg.</v>
      </c>
      <c r="B934" s="15">
        <f>'Bldgs &amp; Rooms'!$B$27</f>
        <v>0</v>
      </c>
      <c r="C934" s="14" t="str">
        <f>Hours!$A$9</f>
        <v>Panelboard-Single Cover &lt; 400A (Branch Ckt Panel)</v>
      </c>
      <c r="D934" s="15">
        <f t="shared" si="28"/>
        <v>0</v>
      </c>
      <c r="E934" s="16">
        <f>IF('Components Yr 1'!E934=0,0,'Components Yr 1'!E934)</f>
        <v>0</v>
      </c>
      <c r="F934" s="17">
        <f>IF('Components Yr 1'!F934=0,0,'Components Yr 1'!F934)</f>
        <v>0</v>
      </c>
      <c r="G934" s="17">
        <f>IF('Components Yr 1'!G934=0,0,'Components Yr 1'!G934)</f>
        <v>0</v>
      </c>
      <c r="H934" s="17">
        <f>IF('Components Yr 1'!H934=0,0,'Components Yr 1'!H934)</f>
        <v>0</v>
      </c>
      <c r="I934" s="17">
        <f>IF('Components Yr 1'!I934=0,0,'Components Yr 1'!I934)</f>
        <v>0</v>
      </c>
      <c r="J934" s="17">
        <f>IF('Components Yr 1'!J934=0,0,'Components Yr 1'!J934)</f>
        <v>0</v>
      </c>
      <c r="K934" s="12"/>
      <c r="L934" s="12"/>
      <c r="M934" s="12"/>
      <c r="N934" s="12"/>
      <c r="O934" s="17">
        <f>IF('Components Yr 1'!O934=0,0,'Components Yr 1'!O934)</f>
        <v>0</v>
      </c>
      <c r="P934" s="12"/>
      <c r="Q934" s="17"/>
      <c r="R934" s="18">
        <f>IF(SUMPRODUCT((E934:Q934)*1)=0,0,E934*INDEX(Hours!M:M,MATCH(C934,Hours!$A:$A,0))+F934*INDEX(Hours!B:B,MATCH(C934,Hours!$A:$A,0))+G934*INDEX(Hours!C:C,MATCH(C934,Hours!$A:$A,0))+H934*INDEX(Hours!D:D,MATCH(C934,Hours!$A:$A,0))+I934*INDEX(Hours!E:E,MATCH(C934,Hours!$A:$A,0))+J934*INDEX(Hours!F:F,MATCH(C934,Hours!$A:$A,0))+O934*INDEX(Hours!K:K,MATCH(C934,Hours!$A:$A,0)))</f>
        <v>0</v>
      </c>
      <c r="S934" s="19">
        <f t="shared" si="29"/>
        <v>0</v>
      </c>
    </row>
    <row r="935" spans="1:19" x14ac:dyDescent="0.25">
      <c r="A935" s="15" t="str">
        <f>'Bldgs &amp; Rooms'!$A$27</f>
        <v>Main Bldg.</v>
      </c>
      <c r="B935" s="15">
        <f>'Bldgs &amp; Rooms'!$B$27</f>
        <v>0</v>
      </c>
      <c r="C935" s="14" t="str">
        <f>Hours!$A$10</f>
        <v>Motor Control Center (MCC-Per Vertical Section)</v>
      </c>
      <c r="D935" s="15">
        <f t="shared" si="28"/>
        <v>0</v>
      </c>
      <c r="E935" s="16">
        <f>IF('Components Yr 1'!E935=0,0,'Components Yr 1'!E935)</f>
        <v>0</v>
      </c>
      <c r="F935" s="17">
        <f>IF('Components Yr 1'!F935=0,0,'Components Yr 1'!F935)</f>
        <v>0</v>
      </c>
      <c r="G935" s="17">
        <f>IF('Components Yr 1'!G935=0,0,'Components Yr 1'!G935)</f>
        <v>0</v>
      </c>
      <c r="H935" s="17">
        <f>IF('Components Yr 1'!H935=0,0,'Components Yr 1'!H935)</f>
        <v>0</v>
      </c>
      <c r="I935" s="17">
        <f>IF('Components Yr 1'!I935=0,0,'Components Yr 1'!I935)</f>
        <v>0</v>
      </c>
      <c r="J935" s="17">
        <f>IF('Components Yr 1'!J935=0,0,'Components Yr 1'!J935)</f>
        <v>0</v>
      </c>
      <c r="K935" s="12"/>
      <c r="L935" s="12"/>
      <c r="M935" s="12"/>
      <c r="N935" s="12"/>
      <c r="O935" s="17">
        <f>IF('Components Yr 1'!O935=0,0,'Components Yr 1'!O935)</f>
        <v>0</v>
      </c>
      <c r="P935" s="12"/>
      <c r="Q935" s="17"/>
      <c r="R935" s="18">
        <f>IF(SUMPRODUCT((E935:Q935)*1)=0,0,E935*INDEX(Hours!M:M,MATCH(C935,Hours!$A:$A,0))+F935*INDEX(Hours!B:B,MATCH(C935,Hours!$A:$A,0))+G935*INDEX(Hours!C:C,MATCH(C935,Hours!$A:$A,0))+H935*INDEX(Hours!D:D,MATCH(C935,Hours!$A:$A,0))+I935*INDEX(Hours!E:E,MATCH(C935,Hours!$A:$A,0))+J935*INDEX(Hours!F:F,MATCH(C935,Hours!$A:$A,0))+O935*INDEX(Hours!K:K,MATCH(C935,Hours!$A:$A,0)))</f>
        <v>0</v>
      </c>
      <c r="S935" s="19">
        <f t="shared" si="29"/>
        <v>0</v>
      </c>
    </row>
    <row r="936" spans="1:19" x14ac:dyDescent="0.25">
      <c r="A936" s="15" t="str">
        <f>'Bldgs &amp; Rooms'!$A$27</f>
        <v>Main Bldg.</v>
      </c>
      <c r="B936" s="15">
        <f>'Bldgs &amp; Rooms'!$B$27</f>
        <v>0</v>
      </c>
      <c r="C936" s="14" t="str">
        <f>Hours!$A$11</f>
        <v xml:space="preserve">  MCC: Combination Motor Starters</v>
      </c>
      <c r="D936" s="15">
        <f t="shared" si="28"/>
        <v>0</v>
      </c>
      <c r="E936" s="16">
        <f>IF('Components Yr 1'!E936=0,0,'Components Yr 1'!E936)</f>
        <v>0</v>
      </c>
      <c r="F936" s="17">
        <f>IF('Components Yr 1'!F936=0,0,'Components Yr 1'!F936)</f>
        <v>0</v>
      </c>
      <c r="G936" s="17">
        <f>IF('Components Yr 1'!G936=0,0,'Components Yr 1'!G936)</f>
        <v>0</v>
      </c>
      <c r="H936" s="17">
        <f>IF('Components Yr 1'!H936=0,0,'Components Yr 1'!H936)</f>
        <v>0</v>
      </c>
      <c r="I936" s="17">
        <f>IF('Components Yr 1'!I936=0,0,'Components Yr 1'!I936)</f>
        <v>0</v>
      </c>
      <c r="J936" s="17">
        <f>IF('Components Yr 1'!J936=0,0,'Components Yr 1'!J936)</f>
        <v>0</v>
      </c>
      <c r="K936" s="17">
        <f>IF('Components Yr 1'!K936=0,0,'Components Yr 1'!K936)</f>
        <v>0</v>
      </c>
      <c r="L936" s="12"/>
      <c r="M936" s="12"/>
      <c r="N936" s="12"/>
      <c r="O936" s="17">
        <f>IF('Components Yr 1'!O936=0,0,'Components Yr 1'!O936)</f>
        <v>0</v>
      </c>
      <c r="P936" s="12"/>
      <c r="Q936" s="17"/>
      <c r="R936" s="18">
        <f>IF(SUMPRODUCT((E936:Q936)*1)=0,0,E936*INDEX(Hours!M:M,MATCH(C936,Hours!$A:$A,0))+F936*INDEX(Hours!B:B,MATCH(C936,Hours!$A:$A,0))+G936*INDEX(Hours!C:C,MATCH(C936,Hours!$A:$A,0))+H936*INDEX(Hours!D:D,MATCH(C936,Hours!$A:$A,0))+I936*INDEX(Hours!E:E,MATCH(C936,Hours!$A:$A,0))+J936*INDEX(Hours!F:F,MATCH(C936,Hours!$A:$A,0))+K936*INDEX(Hours!G:G,MATCH(C936,Hours!$A:$A,0))+O936*INDEX(Hours!K:K,MATCH(C936,Hours!$A:$A,0)))</f>
        <v>0</v>
      </c>
      <c r="S936" s="19">
        <f t="shared" si="29"/>
        <v>0</v>
      </c>
    </row>
    <row r="937" spans="1:19" x14ac:dyDescent="0.25">
      <c r="A937" s="15" t="str">
        <f>'Bldgs &amp; Rooms'!$A$27</f>
        <v>Main Bldg.</v>
      </c>
      <c r="B937" s="15">
        <f>'Bldgs &amp; Rooms'!$B$27</f>
        <v>0</v>
      </c>
      <c r="C937" s="14" t="str">
        <f>Hours!$A$12</f>
        <v xml:space="preserve">  MCC: Molded Case Breaker</v>
      </c>
      <c r="D937" s="15">
        <f t="shared" si="28"/>
        <v>0</v>
      </c>
      <c r="E937" s="16">
        <f>IF('Components Yr 1'!E937=0,0,'Components Yr 1'!E937)</f>
        <v>0</v>
      </c>
      <c r="F937" s="17">
        <f>IF('Components Yr 1'!F937=0,0,'Components Yr 1'!F937)</f>
        <v>0</v>
      </c>
      <c r="G937" s="17">
        <f>IF('Components Yr 1'!G937=0,0,'Components Yr 1'!G937)</f>
        <v>0</v>
      </c>
      <c r="H937" s="17">
        <f>IF('Components Yr 1'!H937=0,0,'Components Yr 1'!H937)</f>
        <v>0</v>
      </c>
      <c r="I937" s="17">
        <f>IF('Components Yr 1'!I937=0,0,'Components Yr 1'!I937)</f>
        <v>0</v>
      </c>
      <c r="J937" s="17">
        <f>IF('Components Yr 1'!J937=0,0,'Components Yr 1'!J937)</f>
        <v>0</v>
      </c>
      <c r="K937" s="17">
        <f>IF('Components Yr 1'!K937=0,0,'Components Yr 1'!K937)</f>
        <v>0</v>
      </c>
      <c r="L937" s="12"/>
      <c r="M937" s="12"/>
      <c r="N937" s="12"/>
      <c r="O937" s="12"/>
      <c r="P937" s="12"/>
      <c r="Q937" s="17"/>
      <c r="R937" s="18">
        <f>IF(SUMPRODUCT((E937:Q937)*1)=0,0,E937*INDEX(Hours!M:M,MATCH(C937,Hours!$A:$A,0))+F937*INDEX(Hours!B:B,MATCH(C937,Hours!$A:$A,0))+G937*INDEX(Hours!C:C,MATCH(C937,Hours!$A:$A,0))+H937*INDEX(Hours!D:D,MATCH(C937,Hours!$A:$A,0))+I937*INDEX(Hours!E:E,MATCH(C937,Hours!$A:$A,0))+J937*INDEX(Hours!F:F,MATCH(C937,Hours!$A:$A,0))+K937*INDEX(Hours!G:G,MATCH(C937,Hours!$A:$A,0)))</f>
        <v>0</v>
      </c>
      <c r="S937" s="19">
        <f t="shared" si="29"/>
        <v>0</v>
      </c>
    </row>
    <row r="938" spans="1:19" x14ac:dyDescent="0.25">
      <c r="A938" s="15" t="str">
        <f>'Bldgs &amp; Rooms'!$A$27</f>
        <v>Main Bldg.</v>
      </c>
      <c r="B938" s="15">
        <f>'Bldgs &amp; Rooms'!$B$27</f>
        <v>0</v>
      </c>
      <c r="C938" s="14" t="str">
        <f>Hours!$A$13</f>
        <v xml:space="preserve">  MCC: Individual Disconnect Switch</v>
      </c>
      <c r="D938" s="15">
        <f t="shared" si="28"/>
        <v>0</v>
      </c>
      <c r="E938" s="16">
        <f>IF('Components Yr 1'!E938=0,0,'Components Yr 1'!E938)</f>
        <v>0</v>
      </c>
      <c r="F938" s="17">
        <f>IF('Components Yr 1'!F938=0,0,'Components Yr 1'!F938)</f>
        <v>0</v>
      </c>
      <c r="G938" s="17">
        <f>IF('Components Yr 1'!G938=0,0,'Components Yr 1'!G938)</f>
        <v>0</v>
      </c>
      <c r="H938" s="17">
        <f>IF('Components Yr 1'!H938=0,0,'Components Yr 1'!H938)</f>
        <v>0</v>
      </c>
      <c r="I938" s="17">
        <f>IF('Components Yr 1'!I938=0,0,'Components Yr 1'!I938)</f>
        <v>0</v>
      </c>
      <c r="J938" s="17">
        <f>IF('Components Yr 1'!J938=0,0,'Components Yr 1'!J938)</f>
        <v>0</v>
      </c>
      <c r="K938" s="12"/>
      <c r="L938" s="12"/>
      <c r="M938" s="12"/>
      <c r="N938" s="12"/>
      <c r="O938" s="12"/>
      <c r="P938" s="12"/>
      <c r="Q938" s="17"/>
      <c r="R938" s="18">
        <f>IF(SUMPRODUCT((E938:Q938)*1)=0,0,E938*INDEX(Hours!M:M,MATCH(C938,Hours!$A:$A,0))+F938*INDEX(Hours!B:B,MATCH(C938,Hours!$A:$A,0))+G938*INDEX(Hours!C:C,MATCH(C938,Hours!$A:$A,0))+H938*INDEX(Hours!D:D,MATCH(C938,Hours!$A:$A,0))+I938*INDEX(Hours!E:E,MATCH(C938,Hours!$A:$A,0))+J938*INDEX(Hours!F:F,MATCH(C938,Hours!$A:$A,0)))</f>
        <v>0</v>
      </c>
      <c r="S938" s="19">
        <f t="shared" si="29"/>
        <v>0</v>
      </c>
    </row>
    <row r="939" spans="1:19" x14ac:dyDescent="0.25">
      <c r="A939" s="15" t="str">
        <f>'Bldgs &amp; Rooms'!$A$27</f>
        <v>Main Bldg.</v>
      </c>
      <c r="B939" s="15">
        <f>'Bldgs &amp; Rooms'!$B$27</f>
        <v>0</v>
      </c>
      <c r="C939" s="14" t="str">
        <f>Hours!$A$14</f>
        <v>Motor Control Panel (MCP)</v>
      </c>
      <c r="D939" s="15">
        <f t="shared" si="28"/>
        <v>0</v>
      </c>
      <c r="E939" s="16">
        <f>IF('Components Yr 1'!E939=0,0,'Components Yr 1'!E939)</f>
        <v>0</v>
      </c>
      <c r="F939" s="17">
        <f>IF('Components Yr 1'!F939=0,0,'Components Yr 1'!F939)</f>
        <v>0</v>
      </c>
      <c r="G939" s="17">
        <f>IF('Components Yr 1'!G939=0,0,'Components Yr 1'!G939)</f>
        <v>0</v>
      </c>
      <c r="H939" s="17">
        <f>IF('Components Yr 1'!H939=0,0,'Components Yr 1'!H939)</f>
        <v>0</v>
      </c>
      <c r="I939" s="17">
        <f>IF('Components Yr 1'!I939=0,0,'Components Yr 1'!I939)</f>
        <v>0</v>
      </c>
      <c r="J939" s="17">
        <f>IF('Components Yr 1'!J939=0,0,'Components Yr 1'!J939)</f>
        <v>0</v>
      </c>
      <c r="K939" s="12"/>
      <c r="L939" s="12"/>
      <c r="M939" s="12"/>
      <c r="N939" s="12"/>
      <c r="O939" s="17">
        <f>IF('Components Yr 1'!O939=0,0,'Components Yr 1'!O939)</f>
        <v>0</v>
      </c>
      <c r="P939" s="12"/>
      <c r="Q939" s="17"/>
      <c r="R939" s="18">
        <f>IF(SUMPRODUCT((E939:Q939)*1)=0,0,E939*INDEX(Hours!M:M,MATCH(C939,Hours!$A:$A,0))+F939*INDEX(Hours!B:B,MATCH(C939,Hours!$A:$A,0))+G939*INDEX(Hours!C:C,MATCH(C939,Hours!$A:$A,0))+H939*INDEX(Hours!D:D,MATCH(C939,Hours!$A:$A,0))+I939*INDEX(Hours!E:E,MATCH(C939,Hours!$A:$A,0))+J939*INDEX(Hours!F:F,MATCH(C939,Hours!$A:$A,0))+O939*INDEX(Hours!K:K,MATCH(C939,Hours!$A:$A,0)))</f>
        <v>0</v>
      </c>
      <c r="S939" s="19">
        <f t="shared" si="29"/>
        <v>0</v>
      </c>
    </row>
    <row r="940" spans="1:19" x14ac:dyDescent="0.25">
      <c r="A940" s="15" t="str">
        <f>'Bldgs &amp; Rooms'!$A$27</f>
        <v>Main Bldg.</v>
      </c>
      <c r="B940" s="15">
        <f>'Bldgs &amp; Rooms'!$B$27</f>
        <v>0</v>
      </c>
      <c r="C940" s="14" t="str">
        <f>Hours!$A$15</f>
        <v>VFD Motor Control Panel (VFD-MCP)</v>
      </c>
      <c r="D940" s="15">
        <f t="shared" si="28"/>
        <v>0</v>
      </c>
      <c r="E940" s="16">
        <f>IF('Components Yr 1'!E940=0,0,'Components Yr 1'!E940)</f>
        <v>0</v>
      </c>
      <c r="F940" s="17">
        <f>IF('Components Yr 1'!F940=0,0,'Components Yr 1'!F940)</f>
        <v>0</v>
      </c>
      <c r="G940" s="17">
        <f>IF('Components Yr 1'!G940=0,0,'Components Yr 1'!G940)</f>
        <v>0</v>
      </c>
      <c r="H940" s="17">
        <f>IF('Components Yr 1'!H940=0,0,'Components Yr 1'!H940)</f>
        <v>0</v>
      </c>
      <c r="I940" s="17">
        <f>IF('Components Yr 1'!I940=0,0,'Components Yr 1'!I940)</f>
        <v>0</v>
      </c>
      <c r="J940" s="17">
        <f>IF('Components Yr 1'!J940=0,0,'Components Yr 1'!J940)</f>
        <v>0</v>
      </c>
      <c r="K940" s="12"/>
      <c r="L940" s="12"/>
      <c r="M940" s="12"/>
      <c r="N940" s="12"/>
      <c r="O940" s="17">
        <f>IF('Components Yr 1'!O940=0,0,'Components Yr 1'!O940)</f>
        <v>0</v>
      </c>
      <c r="P940" s="12"/>
      <c r="Q940" s="17"/>
      <c r="R940" s="18">
        <f>IF(SUMPRODUCT((E940:Q940)*1)=0,0,E940*INDEX(Hours!M:M,MATCH(C940,Hours!$A:$A,0))+F940*INDEX(Hours!B:B,MATCH(C940,Hours!$A:$A,0))+G940*INDEX(Hours!C:C,MATCH(C940,Hours!$A:$A,0))+H940*INDEX(Hours!D:D,MATCH(C940,Hours!$A:$A,0))+I940*INDEX(Hours!E:E,MATCH(C940,Hours!$A:$A,0))+J940*INDEX(Hours!F:F,MATCH(C940,Hours!$A:$A,0))+O940*INDEX(Hours!K:K,MATCH(C940,Hours!$A:$A,0)))</f>
        <v>0</v>
      </c>
      <c r="S940" s="19">
        <f t="shared" si="29"/>
        <v>0</v>
      </c>
    </row>
    <row r="941" spans="1:19" x14ac:dyDescent="0.25">
      <c r="A941" s="15" t="str">
        <f>'Bldgs &amp; Rooms'!$A$27</f>
        <v>Main Bldg.</v>
      </c>
      <c r="B941" s="15">
        <f>'Bldgs &amp; Rooms'!$B$27</f>
        <v>0</v>
      </c>
      <c r="C941" s="14" t="str">
        <f>Hours!$A$16</f>
        <v>Individual Disconnect Switch &gt; 100A</v>
      </c>
      <c r="D941" s="15">
        <f t="shared" si="28"/>
        <v>0</v>
      </c>
      <c r="E941" s="16">
        <f>IF('Components Yr 1'!E941=0,0,'Components Yr 1'!E941)</f>
        <v>0</v>
      </c>
      <c r="F941" s="17">
        <f>IF('Components Yr 1'!F941=0,0,'Components Yr 1'!F941)</f>
        <v>0</v>
      </c>
      <c r="G941" s="17">
        <f>IF('Components Yr 1'!G941=0,0,'Components Yr 1'!G941)</f>
        <v>0</v>
      </c>
      <c r="H941" s="17">
        <f>IF('Components Yr 1'!H941=0,0,'Components Yr 1'!H941)</f>
        <v>0</v>
      </c>
      <c r="I941" s="17">
        <f>IF('Components Yr 1'!I941=0,0,'Components Yr 1'!I941)</f>
        <v>0</v>
      </c>
      <c r="J941" s="17">
        <f>IF('Components Yr 1'!J941=0,0,'Components Yr 1'!J941)</f>
        <v>0</v>
      </c>
      <c r="K941" s="17">
        <f>IF('Components Yr 1'!K941=0,0,'Components Yr 1'!K941)</f>
        <v>0</v>
      </c>
      <c r="L941" s="12"/>
      <c r="M941" s="12"/>
      <c r="N941" s="12"/>
      <c r="O941" s="12"/>
      <c r="P941" s="12"/>
      <c r="Q941" s="17"/>
      <c r="R941" s="18">
        <f>IF(SUMPRODUCT((E941:Q941)*1)=0,0,E941*INDEX(Hours!M:M,MATCH(C941,Hours!$A:$A,0))+F941*INDEX(Hours!B:B,MATCH(C941,Hours!$A:$A,0))+G941*INDEX(Hours!C:C,MATCH(C941,Hours!$A:$A,0))+H941*INDEX(Hours!D:D,MATCH(C941,Hours!$A:$A,0))+I941*INDEX(Hours!E:E,MATCH(C941,Hours!$A:$A,0))+J941*INDEX(Hours!F:F,MATCH(C941,Hours!$A:$A,0))+K941*INDEX(Hours!G:G,MATCH(C941,Hours!$A:$A,0)))</f>
        <v>0</v>
      </c>
      <c r="S941" s="19">
        <f t="shared" si="29"/>
        <v>0</v>
      </c>
    </row>
    <row r="942" spans="1:19" x14ac:dyDescent="0.25">
      <c r="A942" s="15" t="str">
        <f>'Bldgs &amp; Rooms'!$A$27</f>
        <v>Main Bldg.</v>
      </c>
      <c r="B942" s="15">
        <f>'Bldgs &amp; Rooms'!$B$27</f>
        <v>0</v>
      </c>
      <c r="C942" s="14" t="str">
        <f>Hours!$A$17</f>
        <v>Individual Molded Case Breaker &gt; 100A</v>
      </c>
      <c r="D942" s="15">
        <f t="shared" si="28"/>
        <v>0</v>
      </c>
      <c r="E942" s="16">
        <f>IF('Components Yr 1'!E942=0,0,'Components Yr 1'!E942)</f>
        <v>0</v>
      </c>
      <c r="F942" s="17">
        <f>IF('Components Yr 1'!F942=0,0,'Components Yr 1'!F942)</f>
        <v>0</v>
      </c>
      <c r="G942" s="17">
        <f>IF('Components Yr 1'!G942=0,0,'Components Yr 1'!G942)</f>
        <v>0</v>
      </c>
      <c r="H942" s="17">
        <f>IF('Components Yr 1'!H942=0,0,'Components Yr 1'!H942)</f>
        <v>0</v>
      </c>
      <c r="I942" s="17">
        <f>IF('Components Yr 1'!I942=0,0,'Components Yr 1'!I942)</f>
        <v>0</v>
      </c>
      <c r="J942" s="17">
        <f>IF('Components Yr 1'!J942=0,0,'Components Yr 1'!J942)</f>
        <v>0</v>
      </c>
      <c r="K942" s="17">
        <f>IF('Components Yr 1'!K942=0,0,'Components Yr 1'!K942)</f>
        <v>0</v>
      </c>
      <c r="L942" s="12"/>
      <c r="M942" s="12"/>
      <c r="N942" s="12"/>
      <c r="O942" s="12"/>
      <c r="P942" s="12"/>
      <c r="Q942" s="17"/>
      <c r="R942" s="18">
        <f>IF(SUMPRODUCT((E942:Q942)*1)=0,0,E942*INDEX(Hours!M:M,MATCH(C942,Hours!$A:$A,0))+F942*INDEX(Hours!B:B,MATCH(C942,Hours!$A:$A,0))+G942*INDEX(Hours!C:C,MATCH(C942,Hours!$A:$A,0))+H942*INDEX(Hours!D:D,MATCH(C942,Hours!$A:$A,0))+I942*INDEX(Hours!E:E,MATCH(C942,Hours!$A:$A,0))+J942*INDEX(Hours!F:F,MATCH(C942,Hours!$A:$A,0))+K942*INDEX(Hours!G:G,MATCH(C942,Hours!$A:$A,0)))</f>
        <v>0</v>
      </c>
      <c r="S942" s="19">
        <f t="shared" si="29"/>
        <v>0</v>
      </c>
    </row>
    <row r="943" spans="1:19" x14ac:dyDescent="0.25">
      <c r="A943" s="15" t="str">
        <f>'Bldgs &amp; Rooms'!$A$27</f>
        <v>Main Bldg.</v>
      </c>
      <c r="B943" s="15">
        <f>'Bldgs &amp; Rooms'!$B$27</f>
        <v>0</v>
      </c>
      <c r="C943" s="14" t="str">
        <f>Hours!$A$18</f>
        <v>Individual Combination Motor Starter &gt; 100A</v>
      </c>
      <c r="D943" s="15">
        <f t="shared" si="28"/>
        <v>0</v>
      </c>
      <c r="E943" s="16">
        <f>IF('Components Yr 1'!E943=0,0,'Components Yr 1'!E943)</f>
        <v>0</v>
      </c>
      <c r="F943" s="17">
        <f>IF('Components Yr 1'!F943=0,0,'Components Yr 1'!F943)</f>
        <v>0</v>
      </c>
      <c r="G943" s="17">
        <f>IF('Components Yr 1'!G943=0,0,'Components Yr 1'!G943)</f>
        <v>0</v>
      </c>
      <c r="H943" s="17">
        <f>IF('Components Yr 1'!H943=0,0,'Components Yr 1'!H943)</f>
        <v>0</v>
      </c>
      <c r="I943" s="17">
        <f>IF('Components Yr 1'!I943=0,0,'Components Yr 1'!I943)</f>
        <v>0</v>
      </c>
      <c r="J943" s="17">
        <f>IF('Components Yr 1'!J943=0,0,'Components Yr 1'!J943)</f>
        <v>0</v>
      </c>
      <c r="K943" s="17">
        <f>IF('Components Yr 1'!K943=0,0,'Components Yr 1'!K943)</f>
        <v>0</v>
      </c>
      <c r="L943" s="12"/>
      <c r="M943" s="12"/>
      <c r="N943" s="12"/>
      <c r="O943" s="12"/>
      <c r="P943" s="12"/>
      <c r="Q943" s="17"/>
      <c r="R943" s="18">
        <f>IF(SUMPRODUCT((E943:Q943)*1)=0,0,E943*INDEX(Hours!M:M,MATCH(C943,Hours!$A:$A,0))+F943*INDEX(Hours!B:B,MATCH(C943,Hours!$A:$A,0))+G943*INDEX(Hours!C:C,MATCH(C943,Hours!$A:$A,0))+H943*INDEX(Hours!D:D,MATCH(C943,Hours!$A:$A,0))+I943*INDEX(Hours!E:E,MATCH(C943,Hours!$A:$A,0))+J943*INDEX(Hours!F:F,MATCH(C943,Hours!$A:$A,0))+K943*INDEX(Hours!G:G,MATCH(C943,Hours!$A:$A,0)))</f>
        <v>0</v>
      </c>
      <c r="S943" s="19">
        <f t="shared" si="29"/>
        <v>0</v>
      </c>
    </row>
    <row r="944" spans="1:19" x14ac:dyDescent="0.25">
      <c r="A944" s="15" t="str">
        <f>'Bldgs &amp; Rooms'!$A$27</f>
        <v>Main Bldg.</v>
      </c>
      <c r="B944" s="15">
        <f>'Bldgs &amp; Rooms'!$B$27</f>
        <v>0</v>
      </c>
      <c r="C944" s="14" t="str">
        <f>Hours!$A$19</f>
        <v>Oil Filled Transformer - 5kV-15kV Primary - Any Size (Pad Mounted)</v>
      </c>
      <c r="D944" s="15">
        <f t="shared" si="28"/>
        <v>0</v>
      </c>
      <c r="E944" s="16">
        <f>IF('Components Yr 1'!E944=0,0,'Components Yr 1'!E944)</f>
        <v>0</v>
      </c>
      <c r="F944" s="17">
        <f>IF('Components Yr 1'!F944=0,0,'Components Yr 1'!F944)</f>
        <v>0</v>
      </c>
      <c r="G944" s="17">
        <f>IF('Components Yr 1'!G944=0,0,'Components Yr 1'!G944)</f>
        <v>0</v>
      </c>
      <c r="H944" s="17">
        <f>IF('Components Yr 1'!H944=0,0,'Components Yr 1'!H944)</f>
        <v>0</v>
      </c>
      <c r="I944" s="17">
        <f>IF('Components Yr 1'!I944=0,0,'Components Yr 1'!I944)</f>
        <v>0</v>
      </c>
      <c r="J944" s="17">
        <f>IF('Components Yr 1'!J944=0,0,'Components Yr 1'!J944)</f>
        <v>0</v>
      </c>
      <c r="K944" s="12"/>
      <c r="L944" s="12"/>
      <c r="M944" s="17">
        <f>IF('Components Yr 1'!M944=0,0,'Components Yr 1'!M944)</f>
        <v>0</v>
      </c>
      <c r="N944" s="17">
        <f>IF('Components Yr 1'!N944=0,0,'Components Yr 1'!N944)</f>
        <v>0</v>
      </c>
      <c r="O944" s="12"/>
      <c r="P944" s="17">
        <f>IF('Components Yr 1'!P944=0,0,'Components Yr 1'!P944)</f>
        <v>0</v>
      </c>
      <c r="Q944" s="17"/>
      <c r="R944" s="18">
        <f>IF(SUMPRODUCT((E944:Q944)*1)=0,0,E944*INDEX(Hours!M:M,MATCH(C944,Hours!$A:$A,0))+F944*INDEX(Hours!B:B,MATCH(C944,Hours!$A:$A,0))+G944*INDEX(Hours!C:C,MATCH(C944,Hours!$A:$A,0))+H944*INDEX(Hours!D:D,MATCH(C944,Hours!$A:$A,0))+I944*INDEX(Hours!E:E,MATCH(C944,Hours!$A:$A,0))+J944*INDEX(Hours!F:F,MATCH(C944,Hours!$A:$A,0))+M944*INDEX(Hours!I:I,MATCH(C944,Hours!$A:$A,0))+N944*INDEX(Hours!J:J,MATCH(C944,Hours!$A:$A,0))+P944*INDEX(Hours!L:L,MATCH(C944,Hours!$A:$A,0)))</f>
        <v>0</v>
      </c>
      <c r="S944" s="19">
        <f t="shared" si="29"/>
        <v>0</v>
      </c>
    </row>
    <row r="945" spans="1:19" x14ac:dyDescent="0.25">
      <c r="A945" s="15" t="str">
        <f>'Bldgs &amp; Rooms'!$A$27</f>
        <v>Main Bldg.</v>
      </c>
      <c r="B945" s="15">
        <f>'Bldgs &amp; Rooms'!$B$27</f>
        <v>0</v>
      </c>
      <c r="C945" s="14" t="str">
        <f>Hours!$A$20</f>
        <v>Oil Filled Transformer - &gt; 15kV Primary (Substation Class)</v>
      </c>
      <c r="D945" s="15">
        <f t="shared" si="28"/>
        <v>0</v>
      </c>
      <c r="E945" s="16">
        <f>IF('Components Yr 1'!E945=0,0,'Components Yr 1'!E945)</f>
        <v>0</v>
      </c>
      <c r="F945" s="17">
        <f>IF('Components Yr 1'!F945=0,0,'Components Yr 1'!F945)</f>
        <v>0</v>
      </c>
      <c r="G945" s="17">
        <f>IF('Components Yr 1'!G945=0,0,'Components Yr 1'!G945)</f>
        <v>0</v>
      </c>
      <c r="H945" s="17">
        <f>IF('Components Yr 1'!H945=0,0,'Components Yr 1'!H945)</f>
        <v>0</v>
      </c>
      <c r="I945" s="17">
        <f>IF('Components Yr 1'!I945=0,0,'Components Yr 1'!I945)</f>
        <v>0</v>
      </c>
      <c r="J945" s="17">
        <f>IF('Components Yr 1'!J945=0,0,'Components Yr 1'!J945)</f>
        <v>0</v>
      </c>
      <c r="K945" s="12"/>
      <c r="L945" s="12"/>
      <c r="M945" s="17">
        <f>IF('Components Yr 1'!M945=0,0,'Components Yr 1'!M945)</f>
        <v>0</v>
      </c>
      <c r="N945" s="17">
        <f>IF('Components Yr 1'!N945=0,0,'Components Yr 1'!N945)</f>
        <v>0</v>
      </c>
      <c r="O945" s="12"/>
      <c r="P945" s="17">
        <f>IF('Components Yr 1'!P945=0,0,'Components Yr 1'!P945)</f>
        <v>0</v>
      </c>
      <c r="Q945" s="17"/>
      <c r="R945" s="18">
        <f>IF(SUMPRODUCT((E945:Q945)*1)=0,0,E945*INDEX(Hours!M:M,MATCH(C945,Hours!$A:$A,0))+F945*INDEX(Hours!B:B,MATCH(C945,Hours!$A:$A,0))+G945*INDEX(Hours!C:C,MATCH(C945,Hours!$A:$A,0))+H945*INDEX(Hours!D:D,MATCH(C945,Hours!$A:$A,0))+I945*INDEX(Hours!E:E,MATCH(C945,Hours!$A:$A,0))+J945*INDEX(Hours!F:F,MATCH(C945,Hours!$A:$A,0))+M945*INDEX(Hours!I:I,MATCH(C945,Hours!$A:$A,0))+N945*INDEX(Hours!J:J,MATCH(C945,Hours!$A:$A,0))+P945*INDEX(Hours!L:L,MATCH(C945,Hours!$A:$A,0)))</f>
        <v>0</v>
      </c>
      <c r="S945" s="19">
        <f t="shared" si="29"/>
        <v>0</v>
      </c>
    </row>
    <row r="946" spans="1:19" x14ac:dyDescent="0.25">
      <c r="A946" s="15" t="str">
        <f>'Bldgs &amp; Rooms'!$A$27</f>
        <v>Main Bldg.</v>
      </c>
      <c r="B946" s="15">
        <f>'Bldgs &amp; Rooms'!$B$27</f>
        <v>0</v>
      </c>
      <c r="C946" s="14" t="str">
        <f>Hours!$A$21</f>
        <v>Dry Type Transformer - &lt; 480V Primary - Any Size kVA</v>
      </c>
      <c r="D946" s="15">
        <f t="shared" si="28"/>
        <v>0</v>
      </c>
      <c r="E946" s="16">
        <f>IF('Components Yr 1'!E946=0,0,'Components Yr 1'!E946)</f>
        <v>0</v>
      </c>
      <c r="F946" s="17">
        <f>IF('Components Yr 1'!F946=0,0,'Components Yr 1'!F946)</f>
        <v>0</v>
      </c>
      <c r="G946" s="17">
        <f>IF('Components Yr 1'!G946=0,0,'Components Yr 1'!G946)</f>
        <v>0</v>
      </c>
      <c r="H946" s="17">
        <f>IF('Components Yr 1'!H946=0,0,'Components Yr 1'!H946)</f>
        <v>0</v>
      </c>
      <c r="I946" s="17">
        <f>IF('Components Yr 1'!I946=0,0,'Components Yr 1'!I946)</f>
        <v>0</v>
      </c>
      <c r="J946" s="17">
        <f>IF('Components Yr 1'!J946=0,0,'Components Yr 1'!J946)</f>
        <v>0</v>
      </c>
      <c r="K946" s="12"/>
      <c r="L946" s="12"/>
      <c r="M946" s="17">
        <f>IF('Components Yr 1'!M946=0,0,'Components Yr 1'!M946)</f>
        <v>0</v>
      </c>
      <c r="N946" s="17">
        <f>IF('Components Yr 1'!N946=0,0,'Components Yr 1'!N946)</f>
        <v>0</v>
      </c>
      <c r="O946" s="12"/>
      <c r="P946" s="12"/>
      <c r="Q946" s="17"/>
      <c r="R946" s="18">
        <f>IF(SUMPRODUCT((E946:Q946)*1)=0,0,E946*INDEX(Hours!M:M,MATCH(C946,Hours!$A:$A,0))+F946*INDEX(Hours!B:B,MATCH(C946,Hours!$A:$A,0))+G946*INDEX(Hours!C:C,MATCH(C946,Hours!$A:$A,0))+H946*INDEX(Hours!D:D,MATCH(C946,Hours!$A:$A,0))+I946*INDEX(Hours!E:E,MATCH(C946,Hours!$A:$A,0))+J946*INDEX(Hours!F:F,MATCH(C946,Hours!$A:$A,0))+M946*INDEX(Hours!I:I,MATCH(C946,Hours!$A:$A,0))+N946*INDEX(Hours!J:J,MATCH(C946,Hours!$A:$A,0)))</f>
        <v>0</v>
      </c>
      <c r="S946" s="19">
        <f t="shared" si="29"/>
        <v>0</v>
      </c>
    </row>
    <row r="947" spans="1:19" x14ac:dyDescent="0.25">
      <c r="A947" s="15" t="str">
        <f>'Bldgs &amp; Rooms'!$A$27</f>
        <v>Main Bldg.</v>
      </c>
      <c r="B947" s="15">
        <f>'Bldgs &amp; Rooms'!$B$27</f>
        <v>0</v>
      </c>
      <c r="C947" s="14" t="str">
        <f>Hours!$A$22</f>
        <v>Power Factor Correction Capacitors</v>
      </c>
      <c r="D947" s="15">
        <f t="shared" si="28"/>
        <v>0</v>
      </c>
      <c r="E947" s="16">
        <f>IF('Components Yr 1'!E947=0,0,'Components Yr 1'!E947)</f>
        <v>0</v>
      </c>
      <c r="F947" s="17">
        <f>IF('Components Yr 1'!F947=0,0,'Components Yr 1'!F947)</f>
        <v>0</v>
      </c>
      <c r="G947" s="17">
        <f>IF('Components Yr 1'!G947=0,0,'Components Yr 1'!G947)</f>
        <v>0</v>
      </c>
      <c r="H947" s="17">
        <f>IF('Components Yr 1'!H947=0,0,'Components Yr 1'!H947)</f>
        <v>0</v>
      </c>
      <c r="I947" s="17">
        <f>IF('Components Yr 1'!I947=0,0,'Components Yr 1'!I947)</f>
        <v>0</v>
      </c>
      <c r="J947" s="17">
        <f>IF('Components Yr 1'!J947=0,0,'Components Yr 1'!J947)</f>
        <v>0</v>
      </c>
      <c r="K947" s="12"/>
      <c r="L947" s="12"/>
      <c r="M947" s="12"/>
      <c r="N947" s="12"/>
      <c r="O947" s="12"/>
      <c r="P947" s="12"/>
      <c r="Q947" s="17"/>
      <c r="R947" s="18">
        <f>IF(SUMPRODUCT((E947:Q947)*1)=0,0,E947*INDEX(Hours!M:M,MATCH(C947,Hours!$A:$A,0))+F947*INDEX(Hours!B:B,MATCH(C947,Hours!$A:$A,0))+G947*INDEX(Hours!C:C,MATCH(C947,Hours!$A:$A,0))+H947*INDEX(Hours!D:D,MATCH(C947,Hours!$A:$A,0))+I947*INDEX(Hours!E:E,MATCH(C947,Hours!$A:$A,0))+J947*INDEX(Hours!F:F,MATCH(C947,Hours!$A:$A,0)))</f>
        <v>0</v>
      </c>
      <c r="S947" s="19">
        <f t="shared" si="29"/>
        <v>0</v>
      </c>
    </row>
    <row r="948" spans="1:19" x14ac:dyDescent="0.25">
      <c r="A948" s="15" t="str">
        <f>'Bldgs &amp; Rooms'!$A$27</f>
        <v>Main Bldg.</v>
      </c>
      <c r="B948" s="15">
        <f>'Bldgs &amp; Rooms'!$B$27</f>
        <v>0</v>
      </c>
      <c r="C948" s="14" t="str">
        <f>Hours!$A$23</f>
        <v>Lighting Contactor &gt; 100A</v>
      </c>
      <c r="D948" s="15">
        <f t="shared" si="28"/>
        <v>0</v>
      </c>
      <c r="E948" s="16">
        <f>IF('Components Yr 1'!E948=0,0,'Components Yr 1'!E948)</f>
        <v>0</v>
      </c>
      <c r="F948" s="17">
        <f>IF('Components Yr 1'!F948=0,0,'Components Yr 1'!F948)</f>
        <v>0</v>
      </c>
      <c r="G948" s="17">
        <f>IF('Components Yr 1'!G948=0,0,'Components Yr 1'!G948)</f>
        <v>0</v>
      </c>
      <c r="H948" s="17">
        <f>IF('Components Yr 1'!H948=0,0,'Components Yr 1'!H948)</f>
        <v>0</v>
      </c>
      <c r="I948" s="17">
        <f>IF('Components Yr 1'!I948=0,0,'Components Yr 1'!I948)</f>
        <v>0</v>
      </c>
      <c r="J948" s="17">
        <f>IF('Components Yr 1'!J948=0,0,'Components Yr 1'!J948)</f>
        <v>0</v>
      </c>
      <c r="K948" s="12"/>
      <c r="L948" s="12"/>
      <c r="M948" s="12"/>
      <c r="N948" s="12"/>
      <c r="O948" s="12"/>
      <c r="P948" s="12"/>
      <c r="Q948" s="17"/>
      <c r="R948" s="18">
        <f>IF(SUMPRODUCT((E948:Q948)*1)=0,0,E948*INDEX(Hours!M:M,MATCH(C948,Hours!$A:$A,0))+F948*INDEX(Hours!B:B,MATCH(C948,Hours!$A:$A,0))+G948*INDEX(Hours!C:C,MATCH(C948,Hours!$A:$A,0))+H948*INDEX(Hours!D:D,MATCH(C948,Hours!$A:$A,0))+I948*INDEX(Hours!E:E,MATCH(C948,Hours!$A:$A,0))+J948*INDEX(Hours!F:F,MATCH(C948,Hours!$A:$A,0)))</f>
        <v>0</v>
      </c>
      <c r="S948" s="19">
        <f t="shared" si="29"/>
        <v>0</v>
      </c>
    </row>
    <row r="949" spans="1:19" x14ac:dyDescent="0.25">
      <c r="A949" s="15" t="str">
        <f>'Bldgs &amp; Rooms'!$A$27</f>
        <v>Main Bldg.</v>
      </c>
      <c r="B949" s="15">
        <f>'Bldgs &amp; Rooms'!$B$27</f>
        <v>0</v>
      </c>
      <c r="C949" s="14" t="str">
        <f>Hours!$A$24</f>
        <v>Power Distribution Unit (PDU)</v>
      </c>
      <c r="D949" s="15">
        <f t="shared" si="28"/>
        <v>0</v>
      </c>
      <c r="E949" s="16">
        <f>IF('Components Yr 1'!E949=0,0,'Components Yr 1'!E949)</f>
        <v>0</v>
      </c>
      <c r="F949" s="17">
        <f>IF('Components Yr 1'!F949=0,0,'Components Yr 1'!F949)</f>
        <v>0</v>
      </c>
      <c r="G949" s="17">
        <f>IF('Components Yr 1'!G949=0,0,'Components Yr 1'!G949)</f>
        <v>0</v>
      </c>
      <c r="H949" s="17">
        <f>IF('Components Yr 1'!H949=0,0,'Components Yr 1'!H949)</f>
        <v>0</v>
      </c>
      <c r="I949" s="17">
        <f>IF('Components Yr 1'!I949=0,0,'Components Yr 1'!I949)</f>
        <v>0</v>
      </c>
      <c r="J949" s="17">
        <f>IF('Components Yr 1'!J949=0,0,'Components Yr 1'!J949)</f>
        <v>0</v>
      </c>
      <c r="K949" s="12"/>
      <c r="L949" s="12"/>
      <c r="M949" s="12"/>
      <c r="N949" s="12"/>
      <c r="O949" s="12"/>
      <c r="P949" s="12"/>
      <c r="Q949" s="17"/>
      <c r="R949" s="18">
        <f>IF(SUMPRODUCT((E949:Q949)*1)=0,0,E949*INDEX(Hours!M:M,MATCH(C949,Hours!$A:$A,0))+F949*INDEX(Hours!B:B,MATCH(C949,Hours!$A:$A,0))+G949*INDEX(Hours!C:C,MATCH(C949,Hours!$A:$A,0))+H949*INDEX(Hours!D:D,MATCH(C949,Hours!$A:$A,0))+I949*INDEX(Hours!E:E,MATCH(C949,Hours!$A:$A,0))+J949*INDEX(Hours!F:F,MATCH(C949,Hours!$A:$A,0)))</f>
        <v>0</v>
      </c>
      <c r="S949" s="19">
        <f t="shared" si="29"/>
        <v>0</v>
      </c>
    </row>
    <row r="950" spans="1:19" x14ac:dyDescent="0.25">
      <c r="A950" s="15" t="str">
        <f>'Bldgs &amp; Rooms'!$A$27</f>
        <v>Main Bldg.</v>
      </c>
      <c r="B950" s="15">
        <f>'Bldgs &amp; Rooms'!$B$27</f>
        <v>0</v>
      </c>
      <c r="C950" s="14" t="str">
        <f>Hours!$A$25</f>
        <v>Wire Trough, Gutter, or Large Junction Boxes</v>
      </c>
      <c r="D950" s="15">
        <f t="shared" si="28"/>
        <v>0</v>
      </c>
      <c r="E950" s="16">
        <f>IF('Components Yr 1'!E950=0,0,'Components Yr 1'!E950)</f>
        <v>0</v>
      </c>
      <c r="F950" s="17">
        <f>IF('Components Yr 1'!F950=0,0,'Components Yr 1'!F950)</f>
        <v>0</v>
      </c>
      <c r="G950" s="17">
        <f>IF('Components Yr 1'!G950=0,0,'Components Yr 1'!G950)</f>
        <v>0</v>
      </c>
      <c r="H950" s="17">
        <f>IF('Components Yr 1'!H950=0,0,'Components Yr 1'!H950)</f>
        <v>0</v>
      </c>
      <c r="I950" s="17">
        <f>IF('Components Yr 1'!I950=0,0,'Components Yr 1'!I950)</f>
        <v>0</v>
      </c>
      <c r="J950" s="17">
        <f>IF('Components Yr 1'!J950=0,0,'Components Yr 1'!J950)</f>
        <v>0</v>
      </c>
      <c r="K950" s="12"/>
      <c r="L950" s="12"/>
      <c r="M950" s="12"/>
      <c r="N950" s="12"/>
      <c r="O950" s="12"/>
      <c r="P950" s="12"/>
      <c r="Q950" s="17"/>
      <c r="R950" s="18">
        <f>IF(SUMPRODUCT((E950:Q950)*1)=0,0,E950*INDEX(Hours!M:M,MATCH(C950,Hours!$A:$A,0))+F950*INDEX(Hours!B:B,MATCH(C950,Hours!$A:$A,0))+G950*INDEX(Hours!C:C,MATCH(C950,Hours!$A:$A,0))+H950*INDEX(Hours!D:D,MATCH(C950,Hours!$A:$A,0))+I950*INDEX(Hours!E:E,MATCH(C950,Hours!$A:$A,0))+J950*INDEX(Hours!F:F,MATCH(C950,Hours!$A:$A,0)))</f>
        <v>0</v>
      </c>
      <c r="S950" s="19">
        <f t="shared" si="29"/>
        <v>0</v>
      </c>
    </row>
    <row r="951" spans="1:19" x14ac:dyDescent="0.25">
      <c r="A951" s="15" t="str">
        <f>'Bldgs &amp; Rooms'!$A$27</f>
        <v>Main Bldg.</v>
      </c>
      <c r="B951" s="15">
        <f>'Bldgs &amp; Rooms'!$B$27</f>
        <v>0</v>
      </c>
      <c r="C951" s="14" t="str">
        <f>Hours!$A$26</f>
        <v>Bus Duct - Vertical or Horizontal (Per 10' section)</v>
      </c>
      <c r="D951" s="15">
        <f t="shared" si="28"/>
        <v>0</v>
      </c>
      <c r="E951" s="16">
        <f>IF('Components Yr 1'!E951=0,0,'Components Yr 1'!E951)</f>
        <v>0</v>
      </c>
      <c r="F951" s="17">
        <f>IF('Components Yr 1'!F951=0,0,'Components Yr 1'!F951)</f>
        <v>0</v>
      </c>
      <c r="G951" s="17">
        <f>IF('Components Yr 1'!G951=0,0,'Components Yr 1'!G951)</f>
        <v>0</v>
      </c>
      <c r="H951" s="17">
        <f>IF('Components Yr 1'!H951=0,0,'Components Yr 1'!H951)</f>
        <v>0</v>
      </c>
      <c r="I951" s="17">
        <f>IF('Components Yr 1'!I951=0,0,'Components Yr 1'!I951)</f>
        <v>0</v>
      </c>
      <c r="J951" s="17">
        <f>IF('Components Yr 1'!J951=0,0,'Components Yr 1'!J951)</f>
        <v>0</v>
      </c>
      <c r="K951" s="12"/>
      <c r="L951" s="12"/>
      <c r="M951" s="12"/>
      <c r="N951" s="12"/>
      <c r="O951" s="12"/>
      <c r="P951" s="12"/>
      <c r="Q951" s="17"/>
      <c r="R951" s="18">
        <f>IF(SUMPRODUCT((E951:Q951)*1)=0,0,E951*INDEX(Hours!M:M,MATCH(C951,Hours!$A:$A,0))+F951*INDEX(Hours!B:B,MATCH(C951,Hours!$A:$A,0))+G951*INDEX(Hours!C:C,MATCH(C951,Hours!$A:$A,0))+H951*INDEX(Hours!D:D,MATCH(C951,Hours!$A:$A,0))+I951*INDEX(Hours!E:E,MATCH(C951,Hours!$A:$A,0))+J951*INDEX(Hours!F:F,MATCH(C951,Hours!$A:$A,0)))</f>
        <v>0</v>
      </c>
      <c r="S951" s="19">
        <f t="shared" si="29"/>
        <v>0</v>
      </c>
    </row>
    <row r="952" spans="1:19" x14ac:dyDescent="0.25">
      <c r="A952" s="15" t="str">
        <f>'Bldgs &amp; Rooms'!$A$27</f>
        <v>Main Bldg.</v>
      </c>
      <c r="B952" s="15">
        <f>'Bldgs &amp; Rooms'!$B$27</f>
        <v>0</v>
      </c>
      <c r="C952" s="14" t="str">
        <f>Hours!$A$27</f>
        <v>Automatic Transfer Switch (ATS) &gt; 100A</v>
      </c>
      <c r="D952" s="15">
        <f t="shared" si="28"/>
        <v>0</v>
      </c>
      <c r="E952" s="16">
        <f>IF('Components Yr 1'!E952=0,0,'Components Yr 1'!E952)</f>
        <v>0</v>
      </c>
      <c r="F952" s="17">
        <f>IF('Components Yr 1'!F952=0,0,'Components Yr 1'!F952)</f>
        <v>0</v>
      </c>
      <c r="G952" s="17">
        <f>IF('Components Yr 1'!G952=0,0,'Components Yr 1'!G952)</f>
        <v>0</v>
      </c>
      <c r="H952" s="17">
        <f>IF('Components Yr 1'!H952=0,0,'Components Yr 1'!H952)</f>
        <v>0</v>
      </c>
      <c r="I952" s="17">
        <f>IF('Components Yr 1'!I952=0,0,'Components Yr 1'!I952)</f>
        <v>0</v>
      </c>
      <c r="J952" s="17">
        <f>IF('Components Yr 1'!J952=0,0,'Components Yr 1'!J952)</f>
        <v>0</v>
      </c>
      <c r="K952" s="12"/>
      <c r="L952" s="12"/>
      <c r="M952" s="12"/>
      <c r="N952" s="12"/>
      <c r="O952" s="12"/>
      <c r="P952" s="12"/>
      <c r="Q952" s="17"/>
      <c r="R952" s="18">
        <f>IF(SUMPRODUCT((E952:Q952)*1)=0,0,E952*INDEX(Hours!M:M,MATCH(C952,Hours!$A:$A,0))+F952*INDEX(Hours!B:B,MATCH(C952,Hours!$A:$A,0))+G952*INDEX(Hours!C:C,MATCH(C952,Hours!$A:$A,0))+H952*INDEX(Hours!D:D,MATCH(C952,Hours!$A:$A,0))+I952*INDEX(Hours!E:E,MATCH(C952,Hours!$A:$A,0))+J952*INDEX(Hours!F:F,MATCH(C952,Hours!$A:$A,0)))</f>
        <v>0</v>
      </c>
      <c r="S952" s="19">
        <f t="shared" si="29"/>
        <v>0</v>
      </c>
    </row>
    <row r="953" spans="1:19" x14ac:dyDescent="0.25">
      <c r="A953" s="15" t="str">
        <f>'Bldgs &amp; Rooms'!$A$27</f>
        <v>Main Bldg.</v>
      </c>
      <c r="B953" s="15">
        <f>'Bldgs &amp; Rooms'!$B$27</f>
        <v>0</v>
      </c>
      <c r="C953" s="14" t="str">
        <f>Hours!$A$28</f>
        <v>Manual Transfer Switch (MTS) &gt; 100A</v>
      </c>
      <c r="D953" s="15">
        <f t="shared" si="28"/>
        <v>0</v>
      </c>
      <c r="E953" s="16">
        <f>IF('Components Yr 1'!E953=0,0,'Components Yr 1'!E953)</f>
        <v>0</v>
      </c>
      <c r="F953" s="17">
        <f>IF('Components Yr 1'!F953=0,0,'Components Yr 1'!F953)</f>
        <v>0</v>
      </c>
      <c r="G953" s="17">
        <f>IF('Components Yr 1'!G953=0,0,'Components Yr 1'!G953)</f>
        <v>0</v>
      </c>
      <c r="H953" s="17">
        <f>IF('Components Yr 1'!H953=0,0,'Components Yr 1'!H953)</f>
        <v>0</v>
      </c>
      <c r="I953" s="17">
        <f>IF('Components Yr 1'!I953=0,0,'Components Yr 1'!I953)</f>
        <v>0</v>
      </c>
      <c r="J953" s="17">
        <f>IF('Components Yr 1'!J953=0,0,'Components Yr 1'!J953)</f>
        <v>0</v>
      </c>
      <c r="K953" s="12"/>
      <c r="L953" s="12"/>
      <c r="M953" s="12"/>
      <c r="N953" s="12"/>
      <c r="O953" s="12"/>
      <c r="P953" s="12"/>
      <c r="Q953" s="17"/>
      <c r="R953" s="18">
        <f>IF(SUMPRODUCT((E953:Q953)*1)=0,0,E953*INDEX(Hours!M:M,MATCH(C953,Hours!$A:$A,0))+F953*INDEX(Hours!B:B,MATCH(C953,Hours!$A:$A,0))+G953*INDEX(Hours!C:C,MATCH(C953,Hours!$A:$A,0))+H953*INDEX(Hours!D:D,MATCH(C953,Hours!$A:$A,0))+I953*INDEX(Hours!E:E,MATCH(C953,Hours!$A:$A,0))+J953*INDEX(Hours!F:F,MATCH(C953,Hours!$A:$A,0)))</f>
        <v>0</v>
      </c>
      <c r="S953" s="19">
        <f t="shared" si="29"/>
        <v>0</v>
      </c>
    </row>
    <row r="954" spans="1:19" x14ac:dyDescent="0.25">
      <c r="A954" s="15" t="str">
        <f>'Bldgs &amp; Rooms'!$A$27</f>
        <v>Main Bldg.</v>
      </c>
      <c r="B954" s="15">
        <f>'Bldgs &amp; Rooms'!$B$27</f>
        <v>0</v>
      </c>
      <c r="C954" s="14" t="str">
        <f>Hours!$A$29</f>
        <v>Variable Frequency Drives (VFD) &lt; 50 HP</v>
      </c>
      <c r="D954" s="15">
        <f t="shared" si="28"/>
        <v>0</v>
      </c>
      <c r="E954" s="16">
        <f>IF('Components Yr 1'!E954=0,0,'Components Yr 1'!E954)</f>
        <v>0</v>
      </c>
      <c r="F954" s="17">
        <f>IF('Components Yr 1'!F954=0,0,'Components Yr 1'!F954)</f>
        <v>0</v>
      </c>
      <c r="G954" s="17">
        <f>IF('Components Yr 1'!G954=0,0,'Components Yr 1'!G954)</f>
        <v>0</v>
      </c>
      <c r="H954" s="17">
        <f>IF('Components Yr 1'!H954=0,0,'Components Yr 1'!H954)</f>
        <v>0</v>
      </c>
      <c r="I954" s="17">
        <f>IF('Components Yr 1'!I954=0,0,'Components Yr 1'!I954)</f>
        <v>0</v>
      </c>
      <c r="J954" s="17">
        <f>IF('Components Yr 1'!J954=0,0,'Components Yr 1'!J954)</f>
        <v>0</v>
      </c>
      <c r="K954" s="12"/>
      <c r="L954" s="12"/>
      <c r="M954" s="12"/>
      <c r="N954" s="12"/>
      <c r="O954" s="12"/>
      <c r="P954" s="12"/>
      <c r="Q954" s="17"/>
      <c r="R954" s="18">
        <f>IF(SUMPRODUCT((E954:Q954)*1)=0,0,E954*INDEX(Hours!M:M,MATCH(C954,Hours!$A:$A,0))+F954*INDEX(Hours!B:B,MATCH(C954,Hours!$A:$A,0))+G954*INDEX(Hours!C:C,MATCH(C954,Hours!$A:$A,0))+H954*INDEX(Hours!D:D,MATCH(C954,Hours!$A:$A,0))+I954*INDEX(Hours!E:E,MATCH(C954,Hours!$A:$A,0))+J954*INDEX(Hours!F:F,MATCH(C954,Hours!$A:$A,0)))</f>
        <v>0</v>
      </c>
      <c r="S954" s="19">
        <f t="shared" si="29"/>
        <v>0</v>
      </c>
    </row>
    <row r="955" spans="1:19" x14ac:dyDescent="0.25">
      <c r="A955" s="15" t="str">
        <f>'Bldgs &amp; Rooms'!$A$27</f>
        <v>Main Bldg.</v>
      </c>
      <c r="B955" s="15">
        <f>'Bldgs &amp; Rooms'!$B$27</f>
        <v>0</v>
      </c>
      <c r="C955" s="14" t="str">
        <f>Hours!$A$30</f>
        <v>Variable Frequency Drives (VFD) 51-200 HP</v>
      </c>
      <c r="D955" s="15">
        <f t="shared" si="28"/>
        <v>0</v>
      </c>
      <c r="E955" s="16">
        <f>IF('Components Yr 1'!E955=0,0,'Components Yr 1'!E955)</f>
        <v>0</v>
      </c>
      <c r="F955" s="17">
        <f>IF('Components Yr 1'!F955=0,0,'Components Yr 1'!F955)</f>
        <v>0</v>
      </c>
      <c r="G955" s="17">
        <f>IF('Components Yr 1'!G955=0,0,'Components Yr 1'!G955)</f>
        <v>0</v>
      </c>
      <c r="H955" s="17">
        <f>IF('Components Yr 1'!H955=0,0,'Components Yr 1'!H955)</f>
        <v>0</v>
      </c>
      <c r="I955" s="17">
        <f>IF('Components Yr 1'!I955=0,0,'Components Yr 1'!I955)</f>
        <v>0</v>
      </c>
      <c r="J955" s="17">
        <f>IF('Components Yr 1'!J955=0,0,'Components Yr 1'!J955)</f>
        <v>0</v>
      </c>
      <c r="K955" s="12"/>
      <c r="L955" s="12"/>
      <c r="M955" s="12"/>
      <c r="N955" s="12"/>
      <c r="O955" s="12"/>
      <c r="P955" s="12"/>
      <c r="Q955" s="17"/>
      <c r="R955" s="18">
        <f>IF(SUMPRODUCT((E955:Q955)*1)=0,0,E955*INDEX(Hours!M:M,MATCH(C955,Hours!$A:$A,0))+F955*INDEX(Hours!B:B,MATCH(C955,Hours!$A:$A,0))+G955*INDEX(Hours!C:C,MATCH(C955,Hours!$A:$A,0))+H955*INDEX(Hours!D:D,MATCH(C955,Hours!$A:$A,0))+I955*INDEX(Hours!E:E,MATCH(C955,Hours!$A:$A,0))+J955*INDEX(Hours!F:F,MATCH(C955,Hours!$A:$A,0)))</f>
        <v>0</v>
      </c>
      <c r="S955" s="19">
        <f t="shared" si="29"/>
        <v>0</v>
      </c>
    </row>
    <row r="956" spans="1:19" x14ac:dyDescent="0.25">
      <c r="A956" s="15" t="str">
        <f>'Bldgs &amp; Rooms'!$A$27</f>
        <v>Main Bldg.</v>
      </c>
      <c r="B956" s="15">
        <f>'Bldgs &amp; Rooms'!$B$27</f>
        <v>0</v>
      </c>
      <c r="C956" s="14" t="str">
        <f>Hours!$A$31</f>
        <v>Motors &lt; 50 HP</v>
      </c>
      <c r="D956" s="15">
        <f t="shared" si="28"/>
        <v>0</v>
      </c>
      <c r="E956" s="16">
        <f>IF('Components Yr 1'!E956=0,0,'Components Yr 1'!E956)</f>
        <v>0</v>
      </c>
      <c r="F956" s="17">
        <f>IF('Components Yr 1'!F956=0,0,'Components Yr 1'!F956)</f>
        <v>0</v>
      </c>
      <c r="G956" s="17">
        <f>IF('Components Yr 1'!G956=0,0,'Components Yr 1'!G956)</f>
        <v>0</v>
      </c>
      <c r="H956" s="17">
        <f>IF('Components Yr 1'!H956=0,0,'Components Yr 1'!H956)</f>
        <v>0</v>
      </c>
      <c r="I956" s="17">
        <f>IF('Components Yr 1'!I956=0,0,'Components Yr 1'!I956)</f>
        <v>0</v>
      </c>
      <c r="J956" s="17">
        <f>IF('Components Yr 1'!J956=0,0,'Components Yr 1'!J956)</f>
        <v>0</v>
      </c>
      <c r="K956" s="12"/>
      <c r="L956" s="12"/>
      <c r="M956" s="12"/>
      <c r="N956" s="12"/>
      <c r="O956" s="12"/>
      <c r="P956" s="12"/>
      <c r="Q956" s="17"/>
      <c r="R956" s="18">
        <f>IF(SUMPRODUCT((E956:Q956)*1)=0,0,E956*INDEX(Hours!M:M,MATCH(C956,Hours!$A:$A,0))+F956*INDEX(Hours!B:B,MATCH(C956,Hours!$A:$A,0))+G956*INDEX(Hours!C:C,MATCH(C956,Hours!$A:$A,0))+H956*INDEX(Hours!D:D,MATCH(C956,Hours!$A:$A,0))+I956*INDEX(Hours!E:E,MATCH(C956,Hours!$A:$A,0))+J956*INDEX(Hours!F:F,MATCH(C956,Hours!$A:$A,0)))</f>
        <v>0</v>
      </c>
      <c r="S956" s="19">
        <f t="shared" si="29"/>
        <v>0</v>
      </c>
    </row>
    <row r="957" spans="1:19" x14ac:dyDescent="0.25">
      <c r="A957" s="15" t="str">
        <f>'Bldgs &amp; Rooms'!$A$27</f>
        <v>Main Bldg.</v>
      </c>
      <c r="B957" s="15">
        <f>'Bldgs &amp; Rooms'!$B$27</f>
        <v>0</v>
      </c>
      <c r="C957" s="14" t="str">
        <f>Hours!$A$32</f>
        <v>Motors 51-200 HP</v>
      </c>
      <c r="D957" s="15">
        <f t="shared" si="28"/>
        <v>0</v>
      </c>
      <c r="E957" s="16">
        <f>IF('Components Yr 1'!E957=0,0,'Components Yr 1'!E957)</f>
        <v>0</v>
      </c>
      <c r="F957" s="17">
        <f>IF('Components Yr 1'!F957=0,0,'Components Yr 1'!F957)</f>
        <v>0</v>
      </c>
      <c r="G957" s="17">
        <f>IF('Components Yr 1'!G957=0,0,'Components Yr 1'!G957)</f>
        <v>0</v>
      </c>
      <c r="H957" s="17">
        <f>IF('Components Yr 1'!H957=0,0,'Components Yr 1'!H957)</f>
        <v>0</v>
      </c>
      <c r="I957" s="17">
        <f>IF('Components Yr 1'!I957=0,0,'Components Yr 1'!I957)</f>
        <v>0</v>
      </c>
      <c r="J957" s="17">
        <f>IF('Components Yr 1'!J957=0,0,'Components Yr 1'!J957)</f>
        <v>0</v>
      </c>
      <c r="K957" s="12"/>
      <c r="L957" s="12"/>
      <c r="M957" s="12"/>
      <c r="N957" s="12"/>
      <c r="O957" s="12"/>
      <c r="P957" s="12"/>
      <c r="Q957" s="17"/>
      <c r="R957" s="18">
        <f>IF(SUMPRODUCT((E957:Q957)*1)=0,0,E957*INDEX(Hours!M:M,MATCH(C957,Hours!$A:$A,0))+F957*INDEX(Hours!B:B,MATCH(C957,Hours!$A:$A,0))+G957*INDEX(Hours!C:C,MATCH(C957,Hours!$A:$A,0))+H957*INDEX(Hours!D:D,MATCH(C957,Hours!$A:$A,0))+I957*INDEX(Hours!E:E,MATCH(C957,Hours!$A:$A,0))+J957*INDEX(Hours!F:F,MATCH(C957,Hours!$A:$A,0)))</f>
        <v>0</v>
      </c>
      <c r="S957" s="19">
        <f t="shared" si="29"/>
        <v>0</v>
      </c>
    </row>
    <row r="958" spans="1:19" x14ac:dyDescent="0.25">
      <c r="A958" s="15" t="str">
        <f>'Bldgs &amp; Rooms'!$A$27</f>
        <v>Main Bldg.</v>
      </c>
      <c r="B958" s="15">
        <f>'Bldgs &amp; Rooms'!$B$27</f>
        <v>0</v>
      </c>
      <c r="C958" s="14" t="str">
        <f>Hours!$A$33</f>
        <v>Motors 201-500 HP</v>
      </c>
      <c r="D958" s="15">
        <f t="shared" si="28"/>
        <v>0</v>
      </c>
      <c r="E958" s="16">
        <f>IF('Components Yr 1'!E958=0,0,'Components Yr 1'!E958)</f>
        <v>0</v>
      </c>
      <c r="F958" s="17">
        <f>IF('Components Yr 1'!F958=0,0,'Components Yr 1'!F958)</f>
        <v>0</v>
      </c>
      <c r="G958" s="17">
        <f>IF('Components Yr 1'!G958=0,0,'Components Yr 1'!G958)</f>
        <v>0</v>
      </c>
      <c r="H958" s="17">
        <f>IF('Components Yr 1'!H958=0,0,'Components Yr 1'!H958)</f>
        <v>0</v>
      </c>
      <c r="I958" s="17">
        <f>IF('Components Yr 1'!I958=0,0,'Components Yr 1'!I958)</f>
        <v>0</v>
      </c>
      <c r="J958" s="17">
        <f>IF('Components Yr 1'!J958=0,0,'Components Yr 1'!J958)</f>
        <v>0</v>
      </c>
      <c r="K958" s="12"/>
      <c r="L958" s="12"/>
      <c r="M958" s="12"/>
      <c r="N958" s="12"/>
      <c r="O958" s="12"/>
      <c r="P958" s="12"/>
      <c r="Q958" s="17"/>
      <c r="R958" s="18">
        <f>IF(SUMPRODUCT((E958:Q958)*1)=0,0,E958*INDEX(Hours!M:M,MATCH(C958,Hours!$A:$A,0))+F958*INDEX(Hours!B:B,MATCH(C958,Hours!$A:$A,0))+G958*INDEX(Hours!C:C,MATCH(C958,Hours!$A:$A,0))+H958*INDEX(Hours!D:D,MATCH(C958,Hours!$A:$A,0))+I958*INDEX(Hours!E:E,MATCH(C958,Hours!$A:$A,0))+J958*INDEX(Hours!F:F,MATCH(C958,Hours!$A:$A,0)))</f>
        <v>0</v>
      </c>
      <c r="S958" s="19">
        <f t="shared" si="29"/>
        <v>0</v>
      </c>
    </row>
    <row r="959" spans="1:19" x14ac:dyDescent="0.25">
      <c r="A959" s="15" t="str">
        <f>'Bldgs &amp; Rooms'!$A$27</f>
        <v>Main Bldg.</v>
      </c>
      <c r="B959" s="15">
        <f>'Bldgs &amp; Rooms'!$B$27</f>
        <v>0</v>
      </c>
      <c r="C959" s="14" t="str">
        <f>Hours!$A$34</f>
        <v>Compressed Air Equipment</v>
      </c>
      <c r="D959" s="15">
        <f t="shared" si="28"/>
        <v>0</v>
      </c>
      <c r="E959" s="16">
        <f>IF('Components Yr 1'!E959=0,0,'Components Yr 1'!E959)</f>
        <v>0</v>
      </c>
      <c r="F959" s="17">
        <f>IF('Components Yr 1'!F959=0,0,'Components Yr 1'!F959)</f>
        <v>0</v>
      </c>
      <c r="G959" s="17">
        <f>IF('Components Yr 1'!G959=0,0,'Components Yr 1'!G959)</f>
        <v>0</v>
      </c>
      <c r="H959" s="17">
        <f>IF('Components Yr 1'!H959=0,0,'Components Yr 1'!H959)</f>
        <v>0</v>
      </c>
      <c r="I959" s="17">
        <f>IF('Components Yr 1'!I959=0,0,'Components Yr 1'!I959)</f>
        <v>0</v>
      </c>
      <c r="J959" s="17">
        <f>IF('Components Yr 1'!J959=0,0,'Components Yr 1'!J959)</f>
        <v>0</v>
      </c>
      <c r="K959" s="12"/>
      <c r="L959" s="12"/>
      <c r="M959" s="12"/>
      <c r="N959" s="12"/>
      <c r="O959" s="12"/>
      <c r="P959" s="12"/>
      <c r="Q959" s="17"/>
      <c r="R959" s="18">
        <f>IF(SUMPRODUCT((E959:Q959)*1)=0,0,E959*INDEX(Hours!M:M,MATCH(C959,Hours!$A:$A,0))+F959*INDEX(Hours!B:B,MATCH(C959,Hours!$A:$A,0))+G959*INDEX(Hours!C:C,MATCH(C959,Hours!$A:$A,0))+H959*INDEX(Hours!D:D,MATCH(C959,Hours!$A:$A,0))+I959*INDEX(Hours!E:E,MATCH(C959,Hours!$A:$A,0))+J959*INDEX(Hours!F:F,MATCH(C959,Hours!$A:$A,0)))</f>
        <v>0</v>
      </c>
      <c r="S959" s="19">
        <f t="shared" si="29"/>
        <v>0</v>
      </c>
    </row>
    <row r="960" spans="1:19" x14ac:dyDescent="0.25">
      <c r="A960" s="15" t="str">
        <f>'Bldgs &amp; Rooms'!$A$27</f>
        <v>Main Bldg.</v>
      </c>
      <c r="B960" s="15">
        <f>'Bldgs &amp; Rooms'!$B$27</f>
        <v>0</v>
      </c>
      <c r="C960" s="14" t="str">
        <f>Hours!$A$35</f>
        <v>HVAC Equipment (Large)</v>
      </c>
      <c r="D960" s="15">
        <f t="shared" si="28"/>
        <v>0</v>
      </c>
      <c r="E960" s="16">
        <f>IF('Components Yr 1'!E960=0,0,'Components Yr 1'!E960)</f>
        <v>0</v>
      </c>
      <c r="F960" s="17">
        <f>IF('Components Yr 1'!F960=0,0,'Components Yr 1'!F960)</f>
        <v>0</v>
      </c>
      <c r="G960" s="17">
        <f>IF('Components Yr 1'!G960=0,0,'Components Yr 1'!G960)</f>
        <v>0</v>
      </c>
      <c r="H960" s="17">
        <f>IF('Components Yr 1'!H960=0,0,'Components Yr 1'!H960)</f>
        <v>0</v>
      </c>
      <c r="I960" s="17">
        <f>IF('Components Yr 1'!I960=0,0,'Components Yr 1'!I960)</f>
        <v>0</v>
      </c>
      <c r="J960" s="17">
        <f>IF('Components Yr 1'!J960=0,0,'Components Yr 1'!J960)</f>
        <v>0</v>
      </c>
      <c r="K960" s="12"/>
      <c r="L960" s="12"/>
      <c r="M960" s="12"/>
      <c r="N960" s="12"/>
      <c r="O960" s="12"/>
      <c r="P960" s="12"/>
      <c r="Q960" s="17"/>
      <c r="R960" s="18">
        <f>IF(SUMPRODUCT((E960:Q960)*1)=0,0,E960*INDEX(Hours!M:M,MATCH(C960,Hours!$A:$A,0))+F960*INDEX(Hours!B:B,MATCH(C960,Hours!$A:$A,0))+G960*INDEX(Hours!C:C,MATCH(C960,Hours!$A:$A,0))+H960*INDEX(Hours!D:D,MATCH(C960,Hours!$A:$A,0))+I960*INDEX(Hours!E:E,MATCH(C960,Hours!$A:$A,0))+J960*INDEX(Hours!F:F,MATCH(C960,Hours!$A:$A,0)))</f>
        <v>0</v>
      </c>
      <c r="S960" s="19">
        <f t="shared" si="29"/>
        <v>0</v>
      </c>
    </row>
    <row r="961" spans="1:19" x14ac:dyDescent="0.25">
      <c r="A961" s="15" t="str">
        <f>'Bldgs &amp; Rooms'!$A$27</f>
        <v>Main Bldg.</v>
      </c>
      <c r="B961" s="15">
        <f>'Bldgs &amp; Rooms'!$B$27</f>
        <v>0</v>
      </c>
      <c r="C961" s="14" t="str">
        <f>Hours!$A$36</f>
        <v>HVAC Equipment (Small)</v>
      </c>
      <c r="D961" s="15">
        <f t="shared" si="28"/>
        <v>0</v>
      </c>
      <c r="E961" s="16">
        <f>IF('Components Yr 1'!E961=0,0,'Components Yr 1'!E961)</f>
        <v>0</v>
      </c>
      <c r="F961" s="17">
        <f>IF('Components Yr 1'!F961=0,0,'Components Yr 1'!F961)</f>
        <v>0</v>
      </c>
      <c r="G961" s="17">
        <f>IF('Components Yr 1'!G961=0,0,'Components Yr 1'!G961)</f>
        <v>0</v>
      </c>
      <c r="H961" s="17">
        <f>IF('Components Yr 1'!H961=0,0,'Components Yr 1'!H961)</f>
        <v>0</v>
      </c>
      <c r="I961" s="17">
        <f>IF('Components Yr 1'!I961=0,0,'Components Yr 1'!I961)</f>
        <v>0</v>
      </c>
      <c r="J961" s="17">
        <f>IF('Components Yr 1'!J961=0,0,'Components Yr 1'!J961)</f>
        <v>0</v>
      </c>
      <c r="K961" s="12"/>
      <c r="L961" s="12"/>
      <c r="M961" s="12"/>
      <c r="N961" s="12"/>
      <c r="O961" s="12"/>
      <c r="P961" s="12"/>
      <c r="Q961" s="17"/>
      <c r="R961" s="18">
        <f>IF(SUMPRODUCT((E961:Q961)*1)=0,0,E961*INDEX(Hours!M:M,MATCH(C961,Hours!$A:$A,0))+F961*INDEX(Hours!B:B,MATCH(C961,Hours!$A:$A,0))+G961*INDEX(Hours!C:C,MATCH(C961,Hours!$A:$A,0))+H961*INDEX(Hours!D:D,MATCH(C961,Hours!$A:$A,0))+I961*INDEX(Hours!E:E,MATCH(C961,Hours!$A:$A,0))+J961*INDEX(Hours!F:F,MATCH(C961,Hours!$A:$A,0)))</f>
        <v>0</v>
      </c>
      <c r="S961" s="19">
        <f t="shared" si="29"/>
        <v>0</v>
      </c>
    </row>
    <row r="962" spans="1:19" x14ac:dyDescent="0.25">
      <c r="A962" s="15" t="str">
        <f>'Bldgs &amp; Rooms'!$A$27</f>
        <v>Main Bldg.</v>
      </c>
      <c r="B962" s="15">
        <f>'Bldgs &amp; Rooms'!$B$27</f>
        <v>0</v>
      </c>
      <c r="C962" s="14" t="str">
        <f>Hours!$A$37</f>
        <v>Uninterruptible Power Supply (UPS) &lt; 50kVA</v>
      </c>
      <c r="D962" s="15">
        <f t="shared" ref="D962:D1025" si="30">MAX(E962+F962,G962,H962,I962,J962,K962,L962,M962,N962,O962,P962,Q962)</f>
        <v>0</v>
      </c>
      <c r="E962" s="16">
        <f>IF('Components Yr 1'!E962=0,0,'Components Yr 1'!E962)</f>
        <v>0</v>
      </c>
      <c r="F962" s="17">
        <f>IF('Components Yr 1'!F962=0,0,'Components Yr 1'!F962)</f>
        <v>0</v>
      </c>
      <c r="G962" s="17">
        <f>IF('Components Yr 1'!G962=0,0,'Components Yr 1'!G962)</f>
        <v>0</v>
      </c>
      <c r="H962" s="17">
        <f>IF('Components Yr 1'!H962=0,0,'Components Yr 1'!H962)</f>
        <v>0</v>
      </c>
      <c r="I962" s="17">
        <f>IF('Components Yr 1'!I962=0,0,'Components Yr 1'!I962)</f>
        <v>0</v>
      </c>
      <c r="J962" s="17">
        <f>IF('Components Yr 1'!J962=0,0,'Components Yr 1'!J962)</f>
        <v>0</v>
      </c>
      <c r="K962" s="12"/>
      <c r="L962" s="12"/>
      <c r="M962" s="12"/>
      <c r="N962" s="12"/>
      <c r="O962" s="12"/>
      <c r="P962" s="12"/>
      <c r="Q962" s="17"/>
      <c r="R962" s="18">
        <f>IF(SUMPRODUCT((E962:Q962)*1)=0,0,E962*INDEX(Hours!M:M,MATCH(C962,Hours!$A:$A,0))+F962*INDEX(Hours!B:B,MATCH(C962,Hours!$A:$A,0))+G962*INDEX(Hours!C:C,MATCH(C962,Hours!$A:$A,0))+H962*INDEX(Hours!D:D,MATCH(C962,Hours!$A:$A,0))+I962*INDEX(Hours!E:E,MATCH(C962,Hours!$A:$A,0))+J962*INDEX(Hours!F:F,MATCH(C962,Hours!$A:$A,0)))</f>
        <v>0</v>
      </c>
      <c r="S962" s="19">
        <f t="shared" ref="S962:S1025" si="31">MAX(E962+F962,G962,H962,I962,J962,K962,L962,M962,N962,O962,P962,Q962)</f>
        <v>0</v>
      </c>
    </row>
    <row r="963" spans="1:19" x14ac:dyDescent="0.25">
      <c r="A963" s="15" t="str">
        <f>'Bldgs &amp; Rooms'!$A$27</f>
        <v>Main Bldg.</v>
      </c>
      <c r="B963" s="15">
        <f>'Bldgs &amp; Rooms'!$B$27</f>
        <v>0</v>
      </c>
      <c r="C963" s="14" t="str">
        <f>Hours!$A$38</f>
        <v>Uninterruptible Power Supply (UPS) &gt; 50kVA</v>
      </c>
      <c r="D963" s="15">
        <f t="shared" si="30"/>
        <v>0</v>
      </c>
      <c r="E963" s="16">
        <f>IF('Components Yr 1'!E963=0,0,'Components Yr 1'!E963)</f>
        <v>0</v>
      </c>
      <c r="F963" s="17">
        <f>IF('Components Yr 1'!F963=0,0,'Components Yr 1'!F963)</f>
        <v>0</v>
      </c>
      <c r="G963" s="17">
        <f>IF('Components Yr 1'!G963=0,0,'Components Yr 1'!G963)</f>
        <v>0</v>
      </c>
      <c r="H963" s="17">
        <f>IF('Components Yr 1'!H963=0,0,'Components Yr 1'!H963)</f>
        <v>0</v>
      </c>
      <c r="I963" s="17">
        <f>IF('Components Yr 1'!I963=0,0,'Components Yr 1'!I963)</f>
        <v>0</v>
      </c>
      <c r="J963" s="17">
        <f>IF('Components Yr 1'!J963=0,0,'Components Yr 1'!J963)</f>
        <v>0</v>
      </c>
      <c r="K963" s="12"/>
      <c r="L963" s="12"/>
      <c r="M963" s="12"/>
      <c r="N963" s="12"/>
      <c r="O963" s="12"/>
      <c r="P963" s="12"/>
      <c r="Q963" s="17"/>
      <c r="R963" s="18">
        <f>IF(SUMPRODUCT((E963:Q963)*1)=0,0,E963*INDEX(Hours!M:M,MATCH(C963,Hours!$A:$A,0))+F963*INDEX(Hours!B:B,MATCH(C963,Hours!$A:$A,0))+G963*INDEX(Hours!C:C,MATCH(C963,Hours!$A:$A,0))+H963*INDEX(Hours!D:D,MATCH(C963,Hours!$A:$A,0))+I963*INDEX(Hours!E:E,MATCH(C963,Hours!$A:$A,0))+J963*INDEX(Hours!F:F,MATCH(C963,Hours!$A:$A,0)))</f>
        <v>0</v>
      </c>
      <c r="S963" s="19">
        <f t="shared" si="31"/>
        <v>0</v>
      </c>
    </row>
    <row r="964" spans="1:19" x14ac:dyDescent="0.25">
      <c r="A964" s="11" t="str">
        <f>'Bldgs &amp; Rooms'!$A$28</f>
        <v>Main Bldg.</v>
      </c>
      <c r="B964" s="11">
        <f>'Bldgs &amp; Rooms'!$B$28</f>
        <v>0</v>
      </c>
      <c r="C964" s="10" t="str">
        <f>Hours!$A$2</f>
        <v>Switchgear - Incoming Main Service (Per Section)</v>
      </c>
      <c r="D964" s="11">
        <f t="shared" si="30"/>
        <v>0</v>
      </c>
      <c r="E964" s="16">
        <f>IF('Components Yr 1'!E964=0,0,'Components Yr 1'!E964)</f>
        <v>0</v>
      </c>
      <c r="F964" s="17">
        <f>IF('Components Yr 1'!F964=0,0,'Components Yr 1'!F964)</f>
        <v>0</v>
      </c>
      <c r="G964" s="17">
        <f>IF('Components Yr 1'!G964=0,0,'Components Yr 1'!G964)</f>
        <v>0</v>
      </c>
      <c r="H964" s="17">
        <f>IF('Components Yr 1'!H964=0,0,'Components Yr 1'!H964)</f>
        <v>0</v>
      </c>
      <c r="I964" s="17">
        <f>IF('Components Yr 1'!I964=0,0,'Components Yr 1'!I964)</f>
        <v>0</v>
      </c>
      <c r="J964" s="17">
        <f>IF('Components Yr 1'!J964=0,0,'Components Yr 1'!J964)</f>
        <v>0</v>
      </c>
      <c r="K964" s="17">
        <f>IF('Components Yr 1'!K964=0,0,'Components Yr 1'!K964)</f>
        <v>0</v>
      </c>
      <c r="L964" s="17">
        <f>IF('Components Yr 1'!L964=0,0,'Components Yr 1'!L964)</f>
        <v>0</v>
      </c>
      <c r="M964" s="12"/>
      <c r="N964" s="12"/>
      <c r="O964" s="17">
        <f>IF('Components Yr 1'!O964=0,0,'Components Yr 1'!O964)</f>
        <v>0</v>
      </c>
      <c r="P964" s="12"/>
      <c r="Q964" s="17"/>
      <c r="R964" s="18">
        <f>IF(SUMPRODUCT((E964:Q964)*1)=0,0,E964*INDEX(Hours!M:M,MATCH(C964,Hours!$A:$A,0))+F964*INDEX(Hours!B:B,MATCH(C964,Hours!$A:$A,0))+G964*INDEX(Hours!C:C,MATCH(C964,Hours!$A:$A,0))+H964*INDEX(Hours!D:D,MATCH(C964,Hours!$A:$A,0))+I964*INDEX(Hours!E:E,MATCH(C964,Hours!$A:$A,0))+J964*INDEX(Hours!F:F,MATCH(C964,Hours!$A:$A,0))+K964*INDEX(Hours!G:G,MATCH(C964,Hours!$A:$A,0))+L964*INDEX(Hours!H:H,MATCH(C964,Hours!$A:$A,0))+O964*INDEX(Hours!K:K,MATCH(C964,Hours!$A:$A,0)))</f>
        <v>0</v>
      </c>
      <c r="S964" s="19">
        <f t="shared" si="31"/>
        <v>0</v>
      </c>
    </row>
    <row r="965" spans="1:19" x14ac:dyDescent="0.25">
      <c r="A965" s="11" t="str">
        <f>'Bldgs &amp; Rooms'!$A$28</f>
        <v>Main Bldg.</v>
      </c>
      <c r="B965" s="11">
        <f>'Bldgs &amp; Rooms'!$B$28</f>
        <v>0</v>
      </c>
      <c r="C965" s="10" t="str">
        <f>Hours!$A$3</f>
        <v xml:space="preserve">  Switchgear Insulated Case Breakers (Bus Mounted)</v>
      </c>
      <c r="D965" s="11">
        <f t="shared" si="30"/>
        <v>0</v>
      </c>
      <c r="E965" s="16">
        <f>IF('Components Yr 1'!E965=0,0,'Components Yr 1'!E965)</f>
        <v>0</v>
      </c>
      <c r="F965" s="17">
        <f>IF('Components Yr 1'!F965=0,0,'Components Yr 1'!F965)</f>
        <v>0</v>
      </c>
      <c r="G965" s="17">
        <f>IF('Components Yr 1'!G965=0,0,'Components Yr 1'!G965)</f>
        <v>0</v>
      </c>
      <c r="H965" s="17">
        <f>IF('Components Yr 1'!H965=0,0,'Components Yr 1'!H965)</f>
        <v>0</v>
      </c>
      <c r="I965" s="17">
        <f>IF('Components Yr 1'!I965=0,0,'Components Yr 1'!I965)</f>
        <v>0</v>
      </c>
      <c r="J965" s="17">
        <f>IF('Components Yr 1'!J965=0,0,'Components Yr 1'!J965)</f>
        <v>0</v>
      </c>
      <c r="K965" s="17">
        <f>IF('Components Yr 1'!K965=0,0,'Components Yr 1'!K965)</f>
        <v>0</v>
      </c>
      <c r="L965" s="12"/>
      <c r="M965" s="12"/>
      <c r="N965" s="12"/>
      <c r="O965" s="12"/>
      <c r="P965" s="12"/>
      <c r="Q965" s="17"/>
      <c r="R965" s="18">
        <f>IF(SUMPRODUCT((E965:Q965)*1)=0,0,E965*INDEX(Hours!M:M,MATCH(C965,Hours!$A:$A,0))+F965*INDEX(Hours!B:B,MATCH(C965,Hours!$A:$A,0))+G965*INDEX(Hours!C:C,MATCH(C965,Hours!$A:$A,0))+H965*INDEX(Hours!D:D,MATCH(C965,Hours!$A:$A,0))+I965*INDEX(Hours!E:E,MATCH(C965,Hours!$A:$A,0))+J965*INDEX(Hours!F:F,MATCH(C965,Hours!$A:$A,0))+K965*INDEX(Hours!G:G,MATCH(C965,Hours!$A:$A,0)))</f>
        <v>0</v>
      </c>
      <c r="S965" s="19">
        <f t="shared" si="31"/>
        <v>0</v>
      </c>
    </row>
    <row r="966" spans="1:19" x14ac:dyDescent="0.25">
      <c r="A966" s="11" t="str">
        <f>'Bldgs &amp; Rooms'!$A$28</f>
        <v>Main Bldg.</v>
      </c>
      <c r="B966" s="11">
        <f>'Bldgs &amp; Rooms'!$B$28</f>
        <v>0</v>
      </c>
      <c r="C966" s="10" t="str">
        <f>Hours!$A$4</f>
        <v xml:space="preserve">  SwitchGear Drawout Breakers</v>
      </c>
      <c r="D966" s="11">
        <f t="shared" si="30"/>
        <v>0</v>
      </c>
      <c r="E966" s="16">
        <f>IF('Components Yr 1'!E966=0,0,'Components Yr 1'!E966)</f>
        <v>0</v>
      </c>
      <c r="F966" s="17">
        <f>IF('Components Yr 1'!F966=0,0,'Components Yr 1'!F966)</f>
        <v>0</v>
      </c>
      <c r="G966" s="17">
        <f>IF('Components Yr 1'!G966=0,0,'Components Yr 1'!G966)</f>
        <v>0</v>
      </c>
      <c r="H966" s="17">
        <f>IF('Components Yr 1'!H966=0,0,'Components Yr 1'!H966)</f>
        <v>0</v>
      </c>
      <c r="I966" s="17">
        <f>IF('Components Yr 1'!I966=0,0,'Components Yr 1'!I966)</f>
        <v>0</v>
      </c>
      <c r="J966" s="17">
        <f>IF('Components Yr 1'!J966=0,0,'Components Yr 1'!J966)</f>
        <v>0</v>
      </c>
      <c r="K966" s="12"/>
      <c r="L966" s="17">
        <f>IF('Components Yr 1'!L966=0,0,'Components Yr 1'!L966)</f>
        <v>0</v>
      </c>
      <c r="M966" s="12"/>
      <c r="N966" s="12"/>
      <c r="O966" s="12"/>
      <c r="P966" s="12"/>
      <c r="Q966" s="17"/>
      <c r="R966" s="18">
        <f>IF(SUMPRODUCT((E966:Q966)*1)=0,0,E966*INDEX(Hours!M:M,MATCH(C966,Hours!$A:$A,0))+F966*INDEX(Hours!B:B,MATCH(C966,Hours!$A:$A,0))+G966*INDEX(Hours!C:C,MATCH(C966,Hours!$A:$A,0))+H966*INDEX(Hours!D:D,MATCH(C966,Hours!$A:$A,0))+I966*INDEX(Hours!E:E,MATCH(C966,Hours!$A:$A,0))+J966*INDEX(Hours!F:F,MATCH(C966,Hours!$A:$A,0))+L966*INDEX(Hours!H:H,MATCH(C966,Hours!$A:$A,0)))</f>
        <v>0</v>
      </c>
      <c r="S966" s="19">
        <f t="shared" si="31"/>
        <v>0</v>
      </c>
    </row>
    <row r="967" spans="1:19" x14ac:dyDescent="0.25">
      <c r="A967" s="11" t="str">
        <f>'Bldgs &amp; Rooms'!$A$28</f>
        <v>Main Bldg.</v>
      </c>
      <c r="B967" s="11">
        <f>'Bldgs &amp; Rooms'!$B$28</f>
        <v>0</v>
      </c>
      <c r="C967" s="10" t="str">
        <f>Hours!$A$5</f>
        <v>Distribution Switchboard Multi Cover (Per Section)</v>
      </c>
      <c r="D967" s="11">
        <f t="shared" si="30"/>
        <v>0</v>
      </c>
      <c r="E967" s="16">
        <f>IF('Components Yr 1'!E967=0,0,'Components Yr 1'!E967)</f>
        <v>0</v>
      </c>
      <c r="F967" s="17">
        <f>IF('Components Yr 1'!F967=0,0,'Components Yr 1'!F967)</f>
        <v>0</v>
      </c>
      <c r="G967" s="17">
        <f>IF('Components Yr 1'!G967=0,0,'Components Yr 1'!G967)</f>
        <v>0</v>
      </c>
      <c r="H967" s="17">
        <f>IF('Components Yr 1'!H967=0,0,'Components Yr 1'!H967)</f>
        <v>0</v>
      </c>
      <c r="I967" s="17">
        <f>IF('Components Yr 1'!I967=0,0,'Components Yr 1'!I967)</f>
        <v>0</v>
      </c>
      <c r="J967" s="17">
        <f>IF('Components Yr 1'!J967=0,0,'Components Yr 1'!J967)</f>
        <v>0</v>
      </c>
      <c r="K967" s="17">
        <f>IF('Components Yr 1'!K967=0,0,'Components Yr 1'!K967)</f>
        <v>0</v>
      </c>
      <c r="L967" s="12"/>
      <c r="M967" s="12"/>
      <c r="N967" s="12"/>
      <c r="O967" s="17">
        <f>IF('Components Yr 1'!O967=0,0,'Components Yr 1'!O967)</f>
        <v>0</v>
      </c>
      <c r="P967" s="12"/>
      <c r="Q967" s="17"/>
      <c r="R967" s="18">
        <f>IF(SUMPRODUCT((E967:Q967)*1)=0,0,E967*INDEX(Hours!M:M,MATCH(C967,Hours!$A:$A,0))+F967*INDEX(Hours!B:B,MATCH(C967,Hours!$A:$A,0))+G967*INDEX(Hours!C:C,MATCH(C967,Hours!$A:$A,0))+H967*INDEX(Hours!D:D,MATCH(C967,Hours!$A:$A,0))+I967*INDEX(Hours!E:E,MATCH(C967,Hours!$A:$A,0))+J967*INDEX(Hours!F:F,MATCH(C967,Hours!$A:$A,0))+K967*INDEX(Hours!G:G,MATCH(C967,Hours!$A:$A,0))+O967*INDEX(Hours!K:K,MATCH(C967,Hours!$A:$A,0)))</f>
        <v>0</v>
      </c>
      <c r="S967" s="19">
        <f t="shared" si="31"/>
        <v>0</v>
      </c>
    </row>
    <row r="968" spans="1:19" x14ac:dyDescent="0.25">
      <c r="A968" s="11" t="str">
        <f>'Bldgs &amp; Rooms'!$A$28</f>
        <v>Main Bldg.</v>
      </c>
      <c r="B968" s="11">
        <f>'Bldgs &amp; Rooms'!$B$28</f>
        <v>0</v>
      </c>
      <c r="C968" s="10" t="str">
        <f>Hours!$A$6</f>
        <v xml:space="preserve">  Switchboard Disconnects</v>
      </c>
      <c r="D968" s="11">
        <f t="shared" si="30"/>
        <v>0</v>
      </c>
      <c r="E968" s="16">
        <f>IF('Components Yr 1'!E968=0,0,'Components Yr 1'!E968)</f>
        <v>0</v>
      </c>
      <c r="F968" s="17">
        <f>IF('Components Yr 1'!F968=0,0,'Components Yr 1'!F968)</f>
        <v>0</v>
      </c>
      <c r="G968" s="17">
        <f>IF('Components Yr 1'!G968=0,0,'Components Yr 1'!G968)</f>
        <v>0</v>
      </c>
      <c r="H968" s="17">
        <f>IF('Components Yr 1'!H968=0,0,'Components Yr 1'!H968)</f>
        <v>0</v>
      </c>
      <c r="I968" s="17">
        <f>IF('Components Yr 1'!I968=0,0,'Components Yr 1'!I968)</f>
        <v>0</v>
      </c>
      <c r="J968" s="17">
        <f>IF('Components Yr 1'!J968=0,0,'Components Yr 1'!J968)</f>
        <v>0</v>
      </c>
      <c r="K968" s="12"/>
      <c r="L968" s="12"/>
      <c r="M968" s="12"/>
      <c r="N968" s="12"/>
      <c r="O968" s="12"/>
      <c r="P968" s="12"/>
      <c r="Q968" s="17"/>
      <c r="R968" s="18">
        <f>IF(SUMPRODUCT((E968:Q968)*1)=0,0,E968*INDEX(Hours!M:M,MATCH(C968,Hours!$A:$A,0))+F968*INDEX(Hours!B:B,MATCH(C968,Hours!$A:$A,0))+G968*INDEX(Hours!C:C,MATCH(C968,Hours!$A:$A,0))+H968*INDEX(Hours!D:D,MATCH(C968,Hours!$A:$A,0))+I968*INDEX(Hours!E:E,MATCH(C968,Hours!$A:$A,0))+J968*INDEX(Hours!F:F,MATCH(C968,Hours!$A:$A,0)))</f>
        <v>0</v>
      </c>
      <c r="S968" s="19">
        <f t="shared" si="31"/>
        <v>0</v>
      </c>
    </row>
    <row r="969" spans="1:19" x14ac:dyDescent="0.25">
      <c r="A969" s="11" t="str">
        <f>'Bldgs &amp; Rooms'!$A$28</f>
        <v>Main Bldg.</v>
      </c>
      <c r="B969" s="11">
        <f>'Bldgs &amp; Rooms'!$B$28</f>
        <v>0</v>
      </c>
      <c r="C969" s="10" t="str">
        <f>Hours!$A$7</f>
        <v xml:space="preserve">  Switchboard Molded Case Breakers</v>
      </c>
      <c r="D969" s="11">
        <f t="shared" si="30"/>
        <v>0</v>
      </c>
      <c r="E969" s="16">
        <f>IF('Components Yr 1'!E969=0,0,'Components Yr 1'!E969)</f>
        <v>0</v>
      </c>
      <c r="F969" s="17">
        <f>IF('Components Yr 1'!F969=0,0,'Components Yr 1'!F969)</f>
        <v>0</v>
      </c>
      <c r="G969" s="17">
        <f>IF('Components Yr 1'!G969=0,0,'Components Yr 1'!G969)</f>
        <v>0</v>
      </c>
      <c r="H969" s="17">
        <f>IF('Components Yr 1'!H969=0,0,'Components Yr 1'!H969)</f>
        <v>0</v>
      </c>
      <c r="I969" s="17">
        <f>IF('Components Yr 1'!I969=0,0,'Components Yr 1'!I969)</f>
        <v>0</v>
      </c>
      <c r="J969" s="17">
        <f>IF('Components Yr 1'!J969=0,0,'Components Yr 1'!J969)</f>
        <v>0</v>
      </c>
      <c r="K969" s="17">
        <f>IF('Components Yr 1'!K969=0,0,'Components Yr 1'!K969)</f>
        <v>0</v>
      </c>
      <c r="L969" s="12"/>
      <c r="M969" s="12"/>
      <c r="N969" s="12"/>
      <c r="O969" s="12"/>
      <c r="P969" s="12"/>
      <c r="Q969" s="17"/>
      <c r="R969" s="18">
        <f>IF(SUMPRODUCT((E969:Q969)*1)=0,0,E969*INDEX(Hours!M:M,MATCH(C969,Hours!$A:$A,0))+F969*INDEX(Hours!B:B,MATCH(C969,Hours!$A:$A,0))+G969*INDEX(Hours!C:C,MATCH(C969,Hours!$A:$A,0))+H969*INDEX(Hours!D:D,MATCH(C969,Hours!$A:$A,0))+I969*INDEX(Hours!E:E,MATCH(C969,Hours!$A:$A,0))+J969*INDEX(Hours!F:F,MATCH(C969,Hours!$A:$A,0))+K969*INDEX(Hours!G:G,MATCH(C969,Hours!$A:$A,0)))</f>
        <v>0</v>
      </c>
      <c r="S969" s="19">
        <f t="shared" si="31"/>
        <v>0</v>
      </c>
    </row>
    <row r="970" spans="1:19" x14ac:dyDescent="0.25">
      <c r="A970" s="11" t="str">
        <f>'Bldgs &amp; Rooms'!$A$28</f>
        <v>Main Bldg.</v>
      </c>
      <c r="B970" s="11">
        <f>'Bldgs &amp; Rooms'!$B$28</f>
        <v>0</v>
      </c>
      <c r="C970" s="10" t="str">
        <f>Hours!$A$8</f>
        <v>Panelboard-Single Cover &gt; 400A (Distribution Panel)</v>
      </c>
      <c r="D970" s="11">
        <f t="shared" si="30"/>
        <v>0</v>
      </c>
      <c r="E970" s="16">
        <f>IF('Components Yr 1'!E970=0,0,'Components Yr 1'!E970)</f>
        <v>0</v>
      </c>
      <c r="F970" s="17">
        <f>IF('Components Yr 1'!F970=0,0,'Components Yr 1'!F970)</f>
        <v>0</v>
      </c>
      <c r="G970" s="17">
        <f>IF('Components Yr 1'!G970=0,0,'Components Yr 1'!G970)</f>
        <v>0</v>
      </c>
      <c r="H970" s="17">
        <f>IF('Components Yr 1'!H970=0,0,'Components Yr 1'!H970)</f>
        <v>0</v>
      </c>
      <c r="I970" s="17">
        <f>IF('Components Yr 1'!I970=0,0,'Components Yr 1'!I970)</f>
        <v>0</v>
      </c>
      <c r="J970" s="17">
        <f>IF('Components Yr 1'!J970=0,0,'Components Yr 1'!J970)</f>
        <v>0</v>
      </c>
      <c r="K970" s="17">
        <f>IF('Components Yr 1'!K970=0,0,'Components Yr 1'!K970)</f>
        <v>0</v>
      </c>
      <c r="L970" s="12"/>
      <c r="M970" s="12"/>
      <c r="N970" s="12"/>
      <c r="O970" s="17">
        <f>IF('Components Yr 1'!O970=0,0,'Components Yr 1'!O970)</f>
        <v>0</v>
      </c>
      <c r="P970" s="12"/>
      <c r="Q970" s="17"/>
      <c r="R970" s="18">
        <f>IF(SUMPRODUCT((E970:Q970)*1)=0,0,E970*INDEX(Hours!M:M,MATCH(C970,Hours!$A:$A,0))+F970*INDEX(Hours!B:B,MATCH(C970,Hours!$A:$A,0))+G970*INDEX(Hours!C:C,MATCH(C970,Hours!$A:$A,0))+H970*INDEX(Hours!D:D,MATCH(C970,Hours!$A:$A,0))+I970*INDEX(Hours!E:E,MATCH(C970,Hours!$A:$A,0))+J970*INDEX(Hours!F:F,MATCH(C970,Hours!$A:$A,0))+K970*INDEX(Hours!G:G,MATCH(C970,Hours!$A:$A,0))+O970*INDEX(Hours!K:K,MATCH(C970,Hours!$A:$A,0)))</f>
        <v>0</v>
      </c>
      <c r="S970" s="19">
        <f t="shared" si="31"/>
        <v>0</v>
      </c>
    </row>
    <row r="971" spans="1:19" x14ac:dyDescent="0.25">
      <c r="A971" s="11" t="str">
        <f>'Bldgs &amp; Rooms'!$A$28</f>
        <v>Main Bldg.</v>
      </c>
      <c r="B971" s="11">
        <f>'Bldgs &amp; Rooms'!$B$28</f>
        <v>0</v>
      </c>
      <c r="C971" s="10" t="str">
        <f>Hours!$A$9</f>
        <v>Panelboard-Single Cover &lt; 400A (Branch Ckt Panel)</v>
      </c>
      <c r="D971" s="11">
        <f t="shared" si="30"/>
        <v>0</v>
      </c>
      <c r="E971" s="16">
        <f>IF('Components Yr 1'!E971=0,0,'Components Yr 1'!E971)</f>
        <v>0</v>
      </c>
      <c r="F971" s="17">
        <f>IF('Components Yr 1'!F971=0,0,'Components Yr 1'!F971)</f>
        <v>0</v>
      </c>
      <c r="G971" s="17">
        <f>IF('Components Yr 1'!G971=0,0,'Components Yr 1'!G971)</f>
        <v>0</v>
      </c>
      <c r="H971" s="17">
        <f>IF('Components Yr 1'!H971=0,0,'Components Yr 1'!H971)</f>
        <v>0</v>
      </c>
      <c r="I971" s="17">
        <f>IF('Components Yr 1'!I971=0,0,'Components Yr 1'!I971)</f>
        <v>0</v>
      </c>
      <c r="J971" s="17">
        <f>IF('Components Yr 1'!J971=0,0,'Components Yr 1'!J971)</f>
        <v>0</v>
      </c>
      <c r="K971" s="12"/>
      <c r="L971" s="12"/>
      <c r="M971" s="12"/>
      <c r="N971" s="12"/>
      <c r="O971" s="17">
        <f>IF('Components Yr 1'!O971=0,0,'Components Yr 1'!O971)</f>
        <v>0</v>
      </c>
      <c r="P971" s="12"/>
      <c r="Q971" s="17"/>
      <c r="R971" s="18">
        <f>IF(SUMPRODUCT((E971:Q971)*1)=0,0,E971*INDEX(Hours!M:M,MATCH(C971,Hours!$A:$A,0))+F971*INDEX(Hours!B:B,MATCH(C971,Hours!$A:$A,0))+G971*INDEX(Hours!C:C,MATCH(C971,Hours!$A:$A,0))+H971*INDEX(Hours!D:D,MATCH(C971,Hours!$A:$A,0))+I971*INDEX(Hours!E:E,MATCH(C971,Hours!$A:$A,0))+J971*INDEX(Hours!F:F,MATCH(C971,Hours!$A:$A,0))+O971*INDEX(Hours!K:K,MATCH(C971,Hours!$A:$A,0)))</f>
        <v>0</v>
      </c>
      <c r="S971" s="19">
        <f t="shared" si="31"/>
        <v>0</v>
      </c>
    </row>
    <row r="972" spans="1:19" x14ac:dyDescent="0.25">
      <c r="A972" s="11" t="str">
        <f>'Bldgs &amp; Rooms'!$A$28</f>
        <v>Main Bldg.</v>
      </c>
      <c r="B972" s="11">
        <f>'Bldgs &amp; Rooms'!$B$28</f>
        <v>0</v>
      </c>
      <c r="C972" s="10" t="str">
        <f>Hours!$A$10</f>
        <v>Motor Control Center (MCC-Per Vertical Section)</v>
      </c>
      <c r="D972" s="11">
        <f t="shared" si="30"/>
        <v>0</v>
      </c>
      <c r="E972" s="16">
        <f>IF('Components Yr 1'!E972=0,0,'Components Yr 1'!E972)</f>
        <v>0</v>
      </c>
      <c r="F972" s="17">
        <f>IF('Components Yr 1'!F972=0,0,'Components Yr 1'!F972)</f>
        <v>0</v>
      </c>
      <c r="G972" s="17">
        <f>IF('Components Yr 1'!G972=0,0,'Components Yr 1'!G972)</f>
        <v>0</v>
      </c>
      <c r="H972" s="17">
        <f>IF('Components Yr 1'!H972=0,0,'Components Yr 1'!H972)</f>
        <v>0</v>
      </c>
      <c r="I972" s="17">
        <f>IF('Components Yr 1'!I972=0,0,'Components Yr 1'!I972)</f>
        <v>0</v>
      </c>
      <c r="J972" s="17">
        <f>IF('Components Yr 1'!J972=0,0,'Components Yr 1'!J972)</f>
        <v>0</v>
      </c>
      <c r="K972" s="12"/>
      <c r="L972" s="12"/>
      <c r="M972" s="12"/>
      <c r="N972" s="12"/>
      <c r="O972" s="17">
        <f>IF('Components Yr 1'!O972=0,0,'Components Yr 1'!O972)</f>
        <v>0</v>
      </c>
      <c r="P972" s="12"/>
      <c r="Q972" s="17"/>
      <c r="R972" s="18">
        <f>IF(SUMPRODUCT((E972:Q972)*1)=0,0,E972*INDEX(Hours!M:M,MATCH(C972,Hours!$A:$A,0))+F972*INDEX(Hours!B:B,MATCH(C972,Hours!$A:$A,0))+G972*INDEX(Hours!C:C,MATCH(C972,Hours!$A:$A,0))+H972*INDEX(Hours!D:D,MATCH(C972,Hours!$A:$A,0))+I972*INDEX(Hours!E:E,MATCH(C972,Hours!$A:$A,0))+J972*INDEX(Hours!F:F,MATCH(C972,Hours!$A:$A,0))+O972*INDEX(Hours!K:K,MATCH(C972,Hours!$A:$A,0)))</f>
        <v>0</v>
      </c>
      <c r="S972" s="19">
        <f t="shared" si="31"/>
        <v>0</v>
      </c>
    </row>
    <row r="973" spans="1:19" x14ac:dyDescent="0.25">
      <c r="A973" s="11" t="str">
        <f>'Bldgs &amp; Rooms'!$A$28</f>
        <v>Main Bldg.</v>
      </c>
      <c r="B973" s="11">
        <f>'Bldgs &amp; Rooms'!$B$28</f>
        <v>0</v>
      </c>
      <c r="C973" s="10" t="str">
        <f>Hours!$A$11</f>
        <v xml:space="preserve">  MCC: Combination Motor Starters</v>
      </c>
      <c r="D973" s="11">
        <f t="shared" si="30"/>
        <v>0</v>
      </c>
      <c r="E973" s="16">
        <f>IF('Components Yr 1'!E973=0,0,'Components Yr 1'!E973)</f>
        <v>0</v>
      </c>
      <c r="F973" s="17">
        <f>IF('Components Yr 1'!F973=0,0,'Components Yr 1'!F973)</f>
        <v>0</v>
      </c>
      <c r="G973" s="17">
        <f>IF('Components Yr 1'!G973=0,0,'Components Yr 1'!G973)</f>
        <v>0</v>
      </c>
      <c r="H973" s="17">
        <f>IF('Components Yr 1'!H973=0,0,'Components Yr 1'!H973)</f>
        <v>0</v>
      </c>
      <c r="I973" s="17">
        <f>IF('Components Yr 1'!I973=0,0,'Components Yr 1'!I973)</f>
        <v>0</v>
      </c>
      <c r="J973" s="17">
        <f>IF('Components Yr 1'!J973=0,0,'Components Yr 1'!J973)</f>
        <v>0</v>
      </c>
      <c r="K973" s="17">
        <f>IF('Components Yr 1'!K973=0,0,'Components Yr 1'!K973)</f>
        <v>0</v>
      </c>
      <c r="L973" s="12"/>
      <c r="M973" s="12"/>
      <c r="N973" s="12"/>
      <c r="O973" s="17">
        <f>IF('Components Yr 1'!O973=0,0,'Components Yr 1'!O973)</f>
        <v>0</v>
      </c>
      <c r="P973" s="12"/>
      <c r="Q973" s="17"/>
      <c r="R973" s="18">
        <f>IF(SUMPRODUCT((E973:Q973)*1)=0,0,E973*INDEX(Hours!M:M,MATCH(C973,Hours!$A:$A,0))+F973*INDEX(Hours!B:B,MATCH(C973,Hours!$A:$A,0))+G973*INDEX(Hours!C:C,MATCH(C973,Hours!$A:$A,0))+H973*INDEX(Hours!D:D,MATCH(C973,Hours!$A:$A,0))+I973*INDEX(Hours!E:E,MATCH(C973,Hours!$A:$A,0))+J973*INDEX(Hours!F:F,MATCH(C973,Hours!$A:$A,0))+K973*INDEX(Hours!G:G,MATCH(C973,Hours!$A:$A,0))+O973*INDEX(Hours!K:K,MATCH(C973,Hours!$A:$A,0)))</f>
        <v>0</v>
      </c>
      <c r="S973" s="19">
        <f t="shared" si="31"/>
        <v>0</v>
      </c>
    </row>
    <row r="974" spans="1:19" x14ac:dyDescent="0.25">
      <c r="A974" s="11" t="str">
        <f>'Bldgs &amp; Rooms'!$A$28</f>
        <v>Main Bldg.</v>
      </c>
      <c r="B974" s="11">
        <f>'Bldgs &amp; Rooms'!$B$28</f>
        <v>0</v>
      </c>
      <c r="C974" s="10" t="str">
        <f>Hours!$A$12</f>
        <v xml:space="preserve">  MCC: Molded Case Breaker</v>
      </c>
      <c r="D974" s="11">
        <f t="shared" si="30"/>
        <v>0</v>
      </c>
      <c r="E974" s="16">
        <f>IF('Components Yr 1'!E974=0,0,'Components Yr 1'!E974)</f>
        <v>0</v>
      </c>
      <c r="F974" s="17">
        <f>IF('Components Yr 1'!F974=0,0,'Components Yr 1'!F974)</f>
        <v>0</v>
      </c>
      <c r="G974" s="17">
        <f>IF('Components Yr 1'!G974=0,0,'Components Yr 1'!G974)</f>
        <v>0</v>
      </c>
      <c r="H974" s="17">
        <f>IF('Components Yr 1'!H974=0,0,'Components Yr 1'!H974)</f>
        <v>0</v>
      </c>
      <c r="I974" s="17">
        <f>IF('Components Yr 1'!I974=0,0,'Components Yr 1'!I974)</f>
        <v>0</v>
      </c>
      <c r="J974" s="17">
        <f>IF('Components Yr 1'!J974=0,0,'Components Yr 1'!J974)</f>
        <v>0</v>
      </c>
      <c r="K974" s="17">
        <f>IF('Components Yr 1'!K974=0,0,'Components Yr 1'!K974)</f>
        <v>0</v>
      </c>
      <c r="L974" s="12"/>
      <c r="M974" s="12"/>
      <c r="N974" s="12"/>
      <c r="O974" s="12"/>
      <c r="P974" s="12"/>
      <c r="Q974" s="17"/>
      <c r="R974" s="18">
        <f>IF(SUMPRODUCT((E974:Q974)*1)=0,0,E974*INDEX(Hours!M:M,MATCH(C974,Hours!$A:$A,0))+F974*INDEX(Hours!B:B,MATCH(C974,Hours!$A:$A,0))+G974*INDEX(Hours!C:C,MATCH(C974,Hours!$A:$A,0))+H974*INDEX(Hours!D:D,MATCH(C974,Hours!$A:$A,0))+I974*INDEX(Hours!E:E,MATCH(C974,Hours!$A:$A,0))+J974*INDEX(Hours!F:F,MATCH(C974,Hours!$A:$A,0))+K974*INDEX(Hours!G:G,MATCH(C974,Hours!$A:$A,0)))</f>
        <v>0</v>
      </c>
      <c r="S974" s="19">
        <f t="shared" si="31"/>
        <v>0</v>
      </c>
    </row>
    <row r="975" spans="1:19" x14ac:dyDescent="0.25">
      <c r="A975" s="11" t="str">
        <f>'Bldgs &amp; Rooms'!$A$28</f>
        <v>Main Bldg.</v>
      </c>
      <c r="B975" s="11">
        <f>'Bldgs &amp; Rooms'!$B$28</f>
        <v>0</v>
      </c>
      <c r="C975" s="10" t="str">
        <f>Hours!$A$13</f>
        <v xml:space="preserve">  MCC: Individual Disconnect Switch</v>
      </c>
      <c r="D975" s="11">
        <f t="shared" si="30"/>
        <v>0</v>
      </c>
      <c r="E975" s="16">
        <f>IF('Components Yr 1'!E975=0,0,'Components Yr 1'!E975)</f>
        <v>0</v>
      </c>
      <c r="F975" s="17">
        <f>IF('Components Yr 1'!F975=0,0,'Components Yr 1'!F975)</f>
        <v>0</v>
      </c>
      <c r="G975" s="17">
        <f>IF('Components Yr 1'!G975=0,0,'Components Yr 1'!G975)</f>
        <v>0</v>
      </c>
      <c r="H975" s="17">
        <f>IF('Components Yr 1'!H975=0,0,'Components Yr 1'!H975)</f>
        <v>0</v>
      </c>
      <c r="I975" s="17">
        <f>IF('Components Yr 1'!I975=0,0,'Components Yr 1'!I975)</f>
        <v>0</v>
      </c>
      <c r="J975" s="17">
        <f>IF('Components Yr 1'!J975=0,0,'Components Yr 1'!J975)</f>
        <v>0</v>
      </c>
      <c r="K975" s="12"/>
      <c r="L975" s="12"/>
      <c r="M975" s="12"/>
      <c r="N975" s="12"/>
      <c r="O975" s="12"/>
      <c r="P975" s="12"/>
      <c r="Q975" s="17"/>
      <c r="R975" s="18">
        <f>IF(SUMPRODUCT((E975:Q975)*1)=0,0,E975*INDEX(Hours!M:M,MATCH(C975,Hours!$A:$A,0))+F975*INDEX(Hours!B:B,MATCH(C975,Hours!$A:$A,0))+G975*INDEX(Hours!C:C,MATCH(C975,Hours!$A:$A,0))+H975*INDEX(Hours!D:D,MATCH(C975,Hours!$A:$A,0))+I975*INDEX(Hours!E:E,MATCH(C975,Hours!$A:$A,0))+J975*INDEX(Hours!F:F,MATCH(C975,Hours!$A:$A,0)))</f>
        <v>0</v>
      </c>
      <c r="S975" s="19">
        <f t="shared" si="31"/>
        <v>0</v>
      </c>
    </row>
    <row r="976" spans="1:19" x14ac:dyDescent="0.25">
      <c r="A976" s="11" t="str">
        <f>'Bldgs &amp; Rooms'!$A$28</f>
        <v>Main Bldg.</v>
      </c>
      <c r="B976" s="11">
        <f>'Bldgs &amp; Rooms'!$B$28</f>
        <v>0</v>
      </c>
      <c r="C976" s="10" t="str">
        <f>Hours!$A$14</f>
        <v>Motor Control Panel (MCP)</v>
      </c>
      <c r="D976" s="11">
        <f t="shared" si="30"/>
        <v>0</v>
      </c>
      <c r="E976" s="16">
        <f>IF('Components Yr 1'!E976=0,0,'Components Yr 1'!E976)</f>
        <v>0</v>
      </c>
      <c r="F976" s="17">
        <f>IF('Components Yr 1'!F976=0,0,'Components Yr 1'!F976)</f>
        <v>0</v>
      </c>
      <c r="G976" s="17">
        <f>IF('Components Yr 1'!G976=0,0,'Components Yr 1'!G976)</f>
        <v>0</v>
      </c>
      <c r="H976" s="17">
        <f>IF('Components Yr 1'!H976=0,0,'Components Yr 1'!H976)</f>
        <v>0</v>
      </c>
      <c r="I976" s="17">
        <f>IF('Components Yr 1'!I976=0,0,'Components Yr 1'!I976)</f>
        <v>0</v>
      </c>
      <c r="J976" s="17">
        <f>IF('Components Yr 1'!J976=0,0,'Components Yr 1'!J976)</f>
        <v>0</v>
      </c>
      <c r="K976" s="12"/>
      <c r="L976" s="12"/>
      <c r="M976" s="12"/>
      <c r="N976" s="12"/>
      <c r="O976" s="17">
        <f>IF('Components Yr 1'!O976=0,0,'Components Yr 1'!O976)</f>
        <v>0</v>
      </c>
      <c r="P976" s="12"/>
      <c r="Q976" s="17"/>
      <c r="R976" s="18">
        <f>IF(SUMPRODUCT((E976:Q976)*1)=0,0,E976*INDEX(Hours!M:M,MATCH(C976,Hours!$A:$A,0))+F976*INDEX(Hours!B:B,MATCH(C976,Hours!$A:$A,0))+G976*INDEX(Hours!C:C,MATCH(C976,Hours!$A:$A,0))+H976*INDEX(Hours!D:D,MATCH(C976,Hours!$A:$A,0))+I976*INDEX(Hours!E:E,MATCH(C976,Hours!$A:$A,0))+J976*INDEX(Hours!F:F,MATCH(C976,Hours!$A:$A,0))+O976*INDEX(Hours!K:K,MATCH(C976,Hours!$A:$A,0)))</f>
        <v>0</v>
      </c>
      <c r="S976" s="19">
        <f t="shared" si="31"/>
        <v>0</v>
      </c>
    </row>
    <row r="977" spans="1:19" x14ac:dyDescent="0.25">
      <c r="A977" s="11" t="str">
        <f>'Bldgs &amp; Rooms'!$A$28</f>
        <v>Main Bldg.</v>
      </c>
      <c r="B977" s="11">
        <f>'Bldgs &amp; Rooms'!$B$28</f>
        <v>0</v>
      </c>
      <c r="C977" s="10" t="str">
        <f>Hours!$A$15</f>
        <v>VFD Motor Control Panel (VFD-MCP)</v>
      </c>
      <c r="D977" s="11">
        <f t="shared" si="30"/>
        <v>0</v>
      </c>
      <c r="E977" s="16">
        <f>IF('Components Yr 1'!E977=0,0,'Components Yr 1'!E977)</f>
        <v>0</v>
      </c>
      <c r="F977" s="17">
        <f>IF('Components Yr 1'!F977=0,0,'Components Yr 1'!F977)</f>
        <v>0</v>
      </c>
      <c r="G977" s="17">
        <f>IF('Components Yr 1'!G977=0,0,'Components Yr 1'!G977)</f>
        <v>0</v>
      </c>
      <c r="H977" s="17">
        <f>IF('Components Yr 1'!H977=0,0,'Components Yr 1'!H977)</f>
        <v>0</v>
      </c>
      <c r="I977" s="17">
        <f>IF('Components Yr 1'!I977=0,0,'Components Yr 1'!I977)</f>
        <v>0</v>
      </c>
      <c r="J977" s="17">
        <f>IF('Components Yr 1'!J977=0,0,'Components Yr 1'!J977)</f>
        <v>0</v>
      </c>
      <c r="K977" s="12"/>
      <c r="L977" s="12"/>
      <c r="M977" s="12"/>
      <c r="N977" s="12"/>
      <c r="O977" s="17">
        <f>IF('Components Yr 1'!O977=0,0,'Components Yr 1'!O977)</f>
        <v>0</v>
      </c>
      <c r="P977" s="12"/>
      <c r="Q977" s="17"/>
      <c r="R977" s="18">
        <f>IF(SUMPRODUCT((E977:Q977)*1)=0,0,E977*INDEX(Hours!M:M,MATCH(C977,Hours!$A:$A,0))+F977*INDEX(Hours!B:B,MATCH(C977,Hours!$A:$A,0))+G977*INDEX(Hours!C:C,MATCH(C977,Hours!$A:$A,0))+H977*INDEX(Hours!D:D,MATCH(C977,Hours!$A:$A,0))+I977*INDEX(Hours!E:E,MATCH(C977,Hours!$A:$A,0))+J977*INDEX(Hours!F:F,MATCH(C977,Hours!$A:$A,0))+O977*INDEX(Hours!K:K,MATCH(C977,Hours!$A:$A,0)))</f>
        <v>0</v>
      </c>
      <c r="S977" s="19">
        <f t="shared" si="31"/>
        <v>0</v>
      </c>
    </row>
    <row r="978" spans="1:19" x14ac:dyDescent="0.25">
      <c r="A978" s="11" t="str">
        <f>'Bldgs &amp; Rooms'!$A$28</f>
        <v>Main Bldg.</v>
      </c>
      <c r="B978" s="11">
        <f>'Bldgs &amp; Rooms'!$B$28</f>
        <v>0</v>
      </c>
      <c r="C978" s="10" t="str">
        <f>Hours!$A$16</f>
        <v>Individual Disconnect Switch &gt; 100A</v>
      </c>
      <c r="D978" s="11">
        <f t="shared" si="30"/>
        <v>0</v>
      </c>
      <c r="E978" s="16">
        <f>IF('Components Yr 1'!E978=0,0,'Components Yr 1'!E978)</f>
        <v>0</v>
      </c>
      <c r="F978" s="17">
        <f>IF('Components Yr 1'!F978=0,0,'Components Yr 1'!F978)</f>
        <v>0</v>
      </c>
      <c r="G978" s="17">
        <f>IF('Components Yr 1'!G978=0,0,'Components Yr 1'!G978)</f>
        <v>0</v>
      </c>
      <c r="H978" s="17">
        <f>IF('Components Yr 1'!H978=0,0,'Components Yr 1'!H978)</f>
        <v>0</v>
      </c>
      <c r="I978" s="17">
        <f>IF('Components Yr 1'!I978=0,0,'Components Yr 1'!I978)</f>
        <v>0</v>
      </c>
      <c r="J978" s="17">
        <f>IF('Components Yr 1'!J978=0,0,'Components Yr 1'!J978)</f>
        <v>0</v>
      </c>
      <c r="K978" s="17">
        <f>IF('Components Yr 1'!K978=0,0,'Components Yr 1'!K978)</f>
        <v>0</v>
      </c>
      <c r="L978" s="12"/>
      <c r="M978" s="12"/>
      <c r="N978" s="12"/>
      <c r="O978" s="12"/>
      <c r="P978" s="12"/>
      <c r="Q978" s="17"/>
      <c r="R978" s="18">
        <f>IF(SUMPRODUCT((E978:Q978)*1)=0,0,E978*INDEX(Hours!M:M,MATCH(C978,Hours!$A:$A,0))+F978*INDEX(Hours!B:B,MATCH(C978,Hours!$A:$A,0))+G978*INDEX(Hours!C:C,MATCH(C978,Hours!$A:$A,0))+H978*INDEX(Hours!D:D,MATCH(C978,Hours!$A:$A,0))+I978*INDEX(Hours!E:E,MATCH(C978,Hours!$A:$A,0))+J978*INDEX(Hours!F:F,MATCH(C978,Hours!$A:$A,0))+K978*INDEX(Hours!G:G,MATCH(C978,Hours!$A:$A,0)))</f>
        <v>0</v>
      </c>
      <c r="S978" s="19">
        <f t="shared" si="31"/>
        <v>0</v>
      </c>
    </row>
    <row r="979" spans="1:19" x14ac:dyDescent="0.25">
      <c r="A979" s="11" t="str">
        <f>'Bldgs &amp; Rooms'!$A$28</f>
        <v>Main Bldg.</v>
      </c>
      <c r="B979" s="11">
        <f>'Bldgs &amp; Rooms'!$B$28</f>
        <v>0</v>
      </c>
      <c r="C979" s="10" t="str">
        <f>Hours!$A$17</f>
        <v>Individual Molded Case Breaker &gt; 100A</v>
      </c>
      <c r="D979" s="11">
        <f t="shared" si="30"/>
        <v>0</v>
      </c>
      <c r="E979" s="16">
        <f>IF('Components Yr 1'!E979=0,0,'Components Yr 1'!E979)</f>
        <v>0</v>
      </c>
      <c r="F979" s="17">
        <f>IF('Components Yr 1'!F979=0,0,'Components Yr 1'!F979)</f>
        <v>0</v>
      </c>
      <c r="G979" s="17">
        <f>IF('Components Yr 1'!G979=0,0,'Components Yr 1'!G979)</f>
        <v>0</v>
      </c>
      <c r="H979" s="17">
        <f>IF('Components Yr 1'!H979=0,0,'Components Yr 1'!H979)</f>
        <v>0</v>
      </c>
      <c r="I979" s="17">
        <f>IF('Components Yr 1'!I979=0,0,'Components Yr 1'!I979)</f>
        <v>0</v>
      </c>
      <c r="J979" s="17">
        <f>IF('Components Yr 1'!J979=0,0,'Components Yr 1'!J979)</f>
        <v>0</v>
      </c>
      <c r="K979" s="17">
        <f>IF('Components Yr 1'!K979=0,0,'Components Yr 1'!K979)</f>
        <v>0</v>
      </c>
      <c r="L979" s="12"/>
      <c r="M979" s="12"/>
      <c r="N979" s="12"/>
      <c r="O979" s="12"/>
      <c r="P979" s="12"/>
      <c r="Q979" s="17"/>
      <c r="R979" s="18">
        <f>IF(SUMPRODUCT((E979:Q979)*1)=0,0,E979*INDEX(Hours!M:M,MATCH(C979,Hours!$A:$A,0))+F979*INDEX(Hours!B:B,MATCH(C979,Hours!$A:$A,0))+G979*INDEX(Hours!C:C,MATCH(C979,Hours!$A:$A,0))+H979*INDEX(Hours!D:D,MATCH(C979,Hours!$A:$A,0))+I979*INDEX(Hours!E:E,MATCH(C979,Hours!$A:$A,0))+J979*INDEX(Hours!F:F,MATCH(C979,Hours!$A:$A,0))+K979*INDEX(Hours!G:G,MATCH(C979,Hours!$A:$A,0)))</f>
        <v>0</v>
      </c>
      <c r="S979" s="19">
        <f t="shared" si="31"/>
        <v>0</v>
      </c>
    </row>
    <row r="980" spans="1:19" x14ac:dyDescent="0.25">
      <c r="A980" s="11" t="str">
        <f>'Bldgs &amp; Rooms'!$A$28</f>
        <v>Main Bldg.</v>
      </c>
      <c r="B980" s="11">
        <f>'Bldgs &amp; Rooms'!$B$28</f>
        <v>0</v>
      </c>
      <c r="C980" s="10" t="str">
        <f>Hours!$A$18</f>
        <v>Individual Combination Motor Starter &gt; 100A</v>
      </c>
      <c r="D980" s="11">
        <f t="shared" si="30"/>
        <v>0</v>
      </c>
      <c r="E980" s="16">
        <f>IF('Components Yr 1'!E980=0,0,'Components Yr 1'!E980)</f>
        <v>0</v>
      </c>
      <c r="F980" s="17">
        <f>IF('Components Yr 1'!F980=0,0,'Components Yr 1'!F980)</f>
        <v>0</v>
      </c>
      <c r="G980" s="17">
        <f>IF('Components Yr 1'!G980=0,0,'Components Yr 1'!G980)</f>
        <v>0</v>
      </c>
      <c r="H980" s="17">
        <f>IF('Components Yr 1'!H980=0,0,'Components Yr 1'!H980)</f>
        <v>0</v>
      </c>
      <c r="I980" s="17">
        <f>IF('Components Yr 1'!I980=0,0,'Components Yr 1'!I980)</f>
        <v>0</v>
      </c>
      <c r="J980" s="17">
        <f>IF('Components Yr 1'!J980=0,0,'Components Yr 1'!J980)</f>
        <v>0</v>
      </c>
      <c r="K980" s="17">
        <f>IF('Components Yr 1'!K980=0,0,'Components Yr 1'!K980)</f>
        <v>0</v>
      </c>
      <c r="L980" s="12"/>
      <c r="M980" s="12"/>
      <c r="N980" s="12"/>
      <c r="O980" s="12"/>
      <c r="P980" s="12"/>
      <c r="Q980" s="17"/>
      <c r="R980" s="18">
        <f>IF(SUMPRODUCT((E980:Q980)*1)=0,0,E980*INDEX(Hours!M:M,MATCH(C980,Hours!$A:$A,0))+F980*INDEX(Hours!B:B,MATCH(C980,Hours!$A:$A,0))+G980*INDEX(Hours!C:C,MATCH(C980,Hours!$A:$A,0))+H980*INDEX(Hours!D:D,MATCH(C980,Hours!$A:$A,0))+I980*INDEX(Hours!E:E,MATCH(C980,Hours!$A:$A,0))+J980*INDEX(Hours!F:F,MATCH(C980,Hours!$A:$A,0))+K980*INDEX(Hours!G:G,MATCH(C980,Hours!$A:$A,0)))</f>
        <v>0</v>
      </c>
      <c r="S980" s="19">
        <f t="shared" si="31"/>
        <v>0</v>
      </c>
    </row>
    <row r="981" spans="1:19" x14ac:dyDescent="0.25">
      <c r="A981" s="11" t="str">
        <f>'Bldgs &amp; Rooms'!$A$28</f>
        <v>Main Bldg.</v>
      </c>
      <c r="B981" s="11">
        <f>'Bldgs &amp; Rooms'!$B$28</f>
        <v>0</v>
      </c>
      <c r="C981" s="10" t="str">
        <f>Hours!$A$19</f>
        <v>Oil Filled Transformer - 5kV-15kV Primary - Any Size (Pad Mounted)</v>
      </c>
      <c r="D981" s="11">
        <f t="shared" si="30"/>
        <v>0</v>
      </c>
      <c r="E981" s="16">
        <f>IF('Components Yr 1'!E981=0,0,'Components Yr 1'!E981)</f>
        <v>0</v>
      </c>
      <c r="F981" s="17">
        <f>IF('Components Yr 1'!F981=0,0,'Components Yr 1'!F981)</f>
        <v>0</v>
      </c>
      <c r="G981" s="17">
        <f>IF('Components Yr 1'!G981=0,0,'Components Yr 1'!G981)</f>
        <v>0</v>
      </c>
      <c r="H981" s="17">
        <f>IF('Components Yr 1'!H981=0,0,'Components Yr 1'!H981)</f>
        <v>0</v>
      </c>
      <c r="I981" s="17">
        <f>IF('Components Yr 1'!I981=0,0,'Components Yr 1'!I981)</f>
        <v>0</v>
      </c>
      <c r="J981" s="17">
        <f>IF('Components Yr 1'!J981=0,0,'Components Yr 1'!J981)</f>
        <v>0</v>
      </c>
      <c r="K981" s="12"/>
      <c r="L981" s="12"/>
      <c r="M981" s="17">
        <f>IF('Components Yr 1'!M981=0,0,'Components Yr 1'!M981)</f>
        <v>0</v>
      </c>
      <c r="N981" s="17">
        <f>IF('Components Yr 1'!N981=0,0,'Components Yr 1'!N981)</f>
        <v>0</v>
      </c>
      <c r="O981" s="12"/>
      <c r="P981" s="17">
        <f>IF('Components Yr 1'!P981=0,0,'Components Yr 1'!P981)</f>
        <v>0</v>
      </c>
      <c r="Q981" s="17"/>
      <c r="R981" s="18">
        <f>IF(SUMPRODUCT((E981:Q981)*1)=0,0,E981*INDEX(Hours!M:M,MATCH(C981,Hours!$A:$A,0))+F981*INDEX(Hours!B:B,MATCH(C981,Hours!$A:$A,0))+G981*INDEX(Hours!C:C,MATCH(C981,Hours!$A:$A,0))+H981*INDEX(Hours!D:D,MATCH(C981,Hours!$A:$A,0))+I981*INDEX(Hours!E:E,MATCH(C981,Hours!$A:$A,0))+J981*INDEX(Hours!F:F,MATCH(C981,Hours!$A:$A,0))+M981*INDEX(Hours!I:I,MATCH(C981,Hours!$A:$A,0))+N981*INDEX(Hours!J:J,MATCH(C981,Hours!$A:$A,0))+P981*INDEX(Hours!L:L,MATCH(C981,Hours!$A:$A,0)))</f>
        <v>0</v>
      </c>
      <c r="S981" s="19">
        <f t="shared" si="31"/>
        <v>0</v>
      </c>
    </row>
    <row r="982" spans="1:19" x14ac:dyDescent="0.25">
      <c r="A982" s="11" t="str">
        <f>'Bldgs &amp; Rooms'!$A$28</f>
        <v>Main Bldg.</v>
      </c>
      <c r="B982" s="11">
        <f>'Bldgs &amp; Rooms'!$B$28</f>
        <v>0</v>
      </c>
      <c r="C982" s="10" t="str">
        <f>Hours!$A$20</f>
        <v>Oil Filled Transformer - &gt; 15kV Primary (Substation Class)</v>
      </c>
      <c r="D982" s="11">
        <f t="shared" si="30"/>
        <v>0</v>
      </c>
      <c r="E982" s="16">
        <f>IF('Components Yr 1'!E982=0,0,'Components Yr 1'!E982)</f>
        <v>0</v>
      </c>
      <c r="F982" s="17">
        <f>IF('Components Yr 1'!F982=0,0,'Components Yr 1'!F982)</f>
        <v>0</v>
      </c>
      <c r="G982" s="17">
        <f>IF('Components Yr 1'!G982=0,0,'Components Yr 1'!G982)</f>
        <v>0</v>
      </c>
      <c r="H982" s="17">
        <f>IF('Components Yr 1'!H982=0,0,'Components Yr 1'!H982)</f>
        <v>0</v>
      </c>
      <c r="I982" s="17">
        <f>IF('Components Yr 1'!I982=0,0,'Components Yr 1'!I982)</f>
        <v>0</v>
      </c>
      <c r="J982" s="17">
        <f>IF('Components Yr 1'!J982=0,0,'Components Yr 1'!J982)</f>
        <v>0</v>
      </c>
      <c r="K982" s="12"/>
      <c r="L982" s="12"/>
      <c r="M982" s="17">
        <f>IF('Components Yr 1'!M982=0,0,'Components Yr 1'!M982)</f>
        <v>0</v>
      </c>
      <c r="N982" s="17">
        <f>IF('Components Yr 1'!N982=0,0,'Components Yr 1'!N982)</f>
        <v>0</v>
      </c>
      <c r="O982" s="12"/>
      <c r="P982" s="17">
        <f>IF('Components Yr 1'!P982=0,0,'Components Yr 1'!P982)</f>
        <v>0</v>
      </c>
      <c r="Q982" s="17"/>
      <c r="R982" s="18">
        <f>IF(SUMPRODUCT((E982:Q982)*1)=0,0,E982*INDEX(Hours!M:M,MATCH(C982,Hours!$A:$A,0))+F982*INDEX(Hours!B:B,MATCH(C982,Hours!$A:$A,0))+G982*INDEX(Hours!C:C,MATCH(C982,Hours!$A:$A,0))+H982*INDEX(Hours!D:D,MATCH(C982,Hours!$A:$A,0))+I982*INDEX(Hours!E:E,MATCH(C982,Hours!$A:$A,0))+J982*INDEX(Hours!F:F,MATCH(C982,Hours!$A:$A,0))+M982*INDEX(Hours!I:I,MATCH(C982,Hours!$A:$A,0))+N982*INDEX(Hours!J:J,MATCH(C982,Hours!$A:$A,0))+P982*INDEX(Hours!L:L,MATCH(C982,Hours!$A:$A,0)))</f>
        <v>0</v>
      </c>
      <c r="S982" s="19">
        <f t="shared" si="31"/>
        <v>0</v>
      </c>
    </row>
    <row r="983" spans="1:19" x14ac:dyDescent="0.25">
      <c r="A983" s="11" t="str">
        <f>'Bldgs &amp; Rooms'!$A$28</f>
        <v>Main Bldg.</v>
      </c>
      <c r="B983" s="11">
        <f>'Bldgs &amp; Rooms'!$B$28</f>
        <v>0</v>
      </c>
      <c r="C983" s="10" t="str">
        <f>Hours!$A$21</f>
        <v>Dry Type Transformer - &lt; 480V Primary - Any Size kVA</v>
      </c>
      <c r="D983" s="11">
        <f t="shared" si="30"/>
        <v>0</v>
      </c>
      <c r="E983" s="16">
        <f>IF('Components Yr 1'!E983=0,0,'Components Yr 1'!E983)</f>
        <v>0</v>
      </c>
      <c r="F983" s="17">
        <f>IF('Components Yr 1'!F983=0,0,'Components Yr 1'!F983)</f>
        <v>0</v>
      </c>
      <c r="G983" s="17">
        <f>IF('Components Yr 1'!G983=0,0,'Components Yr 1'!G983)</f>
        <v>0</v>
      </c>
      <c r="H983" s="17">
        <f>IF('Components Yr 1'!H983=0,0,'Components Yr 1'!H983)</f>
        <v>0</v>
      </c>
      <c r="I983" s="17">
        <f>IF('Components Yr 1'!I983=0,0,'Components Yr 1'!I983)</f>
        <v>0</v>
      </c>
      <c r="J983" s="17">
        <f>IF('Components Yr 1'!J983=0,0,'Components Yr 1'!J983)</f>
        <v>0</v>
      </c>
      <c r="K983" s="12"/>
      <c r="L983" s="12"/>
      <c r="M983" s="17">
        <f>IF('Components Yr 1'!M983=0,0,'Components Yr 1'!M983)</f>
        <v>0</v>
      </c>
      <c r="N983" s="17">
        <f>IF('Components Yr 1'!N983=0,0,'Components Yr 1'!N983)</f>
        <v>0</v>
      </c>
      <c r="O983" s="12"/>
      <c r="P983" s="12"/>
      <c r="Q983" s="17"/>
      <c r="R983" s="18">
        <f>IF(SUMPRODUCT((E983:Q983)*1)=0,0,E983*INDEX(Hours!M:M,MATCH(C983,Hours!$A:$A,0))+F983*INDEX(Hours!B:B,MATCH(C983,Hours!$A:$A,0))+G983*INDEX(Hours!C:C,MATCH(C983,Hours!$A:$A,0))+H983*INDEX(Hours!D:D,MATCH(C983,Hours!$A:$A,0))+I983*INDEX(Hours!E:E,MATCH(C983,Hours!$A:$A,0))+J983*INDEX(Hours!F:F,MATCH(C983,Hours!$A:$A,0))+M983*INDEX(Hours!I:I,MATCH(C983,Hours!$A:$A,0))+N983*INDEX(Hours!J:J,MATCH(C983,Hours!$A:$A,0)))</f>
        <v>0</v>
      </c>
      <c r="S983" s="19">
        <f t="shared" si="31"/>
        <v>0</v>
      </c>
    </row>
    <row r="984" spans="1:19" x14ac:dyDescent="0.25">
      <c r="A984" s="11" t="str">
        <f>'Bldgs &amp; Rooms'!$A$28</f>
        <v>Main Bldg.</v>
      </c>
      <c r="B984" s="11">
        <f>'Bldgs &amp; Rooms'!$B$28</f>
        <v>0</v>
      </c>
      <c r="C984" s="10" t="str">
        <f>Hours!$A$22</f>
        <v>Power Factor Correction Capacitors</v>
      </c>
      <c r="D984" s="11">
        <f t="shared" si="30"/>
        <v>0</v>
      </c>
      <c r="E984" s="16">
        <f>IF('Components Yr 1'!E984=0,0,'Components Yr 1'!E984)</f>
        <v>0</v>
      </c>
      <c r="F984" s="17">
        <f>IF('Components Yr 1'!F984=0,0,'Components Yr 1'!F984)</f>
        <v>0</v>
      </c>
      <c r="G984" s="17">
        <f>IF('Components Yr 1'!G984=0,0,'Components Yr 1'!G984)</f>
        <v>0</v>
      </c>
      <c r="H984" s="17">
        <f>IF('Components Yr 1'!H984=0,0,'Components Yr 1'!H984)</f>
        <v>0</v>
      </c>
      <c r="I984" s="17">
        <f>IF('Components Yr 1'!I984=0,0,'Components Yr 1'!I984)</f>
        <v>0</v>
      </c>
      <c r="J984" s="17">
        <f>IF('Components Yr 1'!J984=0,0,'Components Yr 1'!J984)</f>
        <v>0</v>
      </c>
      <c r="K984" s="12"/>
      <c r="L984" s="12"/>
      <c r="M984" s="12"/>
      <c r="N984" s="12"/>
      <c r="O984" s="12"/>
      <c r="P984" s="12"/>
      <c r="Q984" s="17"/>
      <c r="R984" s="18">
        <f>IF(SUMPRODUCT((E984:Q984)*1)=0,0,E984*INDEX(Hours!M:M,MATCH(C984,Hours!$A:$A,0))+F984*INDEX(Hours!B:B,MATCH(C984,Hours!$A:$A,0))+G984*INDEX(Hours!C:C,MATCH(C984,Hours!$A:$A,0))+H984*INDEX(Hours!D:D,MATCH(C984,Hours!$A:$A,0))+I984*INDEX(Hours!E:E,MATCH(C984,Hours!$A:$A,0))+J984*INDEX(Hours!F:F,MATCH(C984,Hours!$A:$A,0)))</f>
        <v>0</v>
      </c>
      <c r="S984" s="19">
        <f t="shared" si="31"/>
        <v>0</v>
      </c>
    </row>
    <row r="985" spans="1:19" x14ac:dyDescent="0.25">
      <c r="A985" s="11" t="str">
        <f>'Bldgs &amp; Rooms'!$A$28</f>
        <v>Main Bldg.</v>
      </c>
      <c r="B985" s="11">
        <f>'Bldgs &amp; Rooms'!$B$28</f>
        <v>0</v>
      </c>
      <c r="C985" s="10" t="str">
        <f>Hours!$A$23</f>
        <v>Lighting Contactor &gt; 100A</v>
      </c>
      <c r="D985" s="11">
        <f t="shared" si="30"/>
        <v>0</v>
      </c>
      <c r="E985" s="16">
        <f>IF('Components Yr 1'!E985=0,0,'Components Yr 1'!E985)</f>
        <v>0</v>
      </c>
      <c r="F985" s="17">
        <f>IF('Components Yr 1'!F985=0,0,'Components Yr 1'!F985)</f>
        <v>0</v>
      </c>
      <c r="G985" s="17">
        <f>IF('Components Yr 1'!G985=0,0,'Components Yr 1'!G985)</f>
        <v>0</v>
      </c>
      <c r="H985" s="17">
        <f>IF('Components Yr 1'!H985=0,0,'Components Yr 1'!H985)</f>
        <v>0</v>
      </c>
      <c r="I985" s="17">
        <f>IF('Components Yr 1'!I985=0,0,'Components Yr 1'!I985)</f>
        <v>0</v>
      </c>
      <c r="J985" s="17">
        <f>IF('Components Yr 1'!J985=0,0,'Components Yr 1'!J985)</f>
        <v>0</v>
      </c>
      <c r="K985" s="12"/>
      <c r="L985" s="12"/>
      <c r="M985" s="12"/>
      <c r="N985" s="12"/>
      <c r="O985" s="12"/>
      <c r="P985" s="12"/>
      <c r="Q985" s="17"/>
      <c r="R985" s="18">
        <f>IF(SUMPRODUCT((E985:Q985)*1)=0,0,E985*INDEX(Hours!M:M,MATCH(C985,Hours!$A:$A,0))+F985*INDEX(Hours!B:B,MATCH(C985,Hours!$A:$A,0))+G985*INDEX(Hours!C:C,MATCH(C985,Hours!$A:$A,0))+H985*INDEX(Hours!D:D,MATCH(C985,Hours!$A:$A,0))+I985*INDEX(Hours!E:E,MATCH(C985,Hours!$A:$A,0))+J985*INDEX(Hours!F:F,MATCH(C985,Hours!$A:$A,0)))</f>
        <v>0</v>
      </c>
      <c r="S985" s="19">
        <f t="shared" si="31"/>
        <v>0</v>
      </c>
    </row>
    <row r="986" spans="1:19" x14ac:dyDescent="0.25">
      <c r="A986" s="11" t="str">
        <f>'Bldgs &amp; Rooms'!$A$28</f>
        <v>Main Bldg.</v>
      </c>
      <c r="B986" s="11">
        <f>'Bldgs &amp; Rooms'!$B$28</f>
        <v>0</v>
      </c>
      <c r="C986" s="10" t="str">
        <f>Hours!$A$24</f>
        <v>Power Distribution Unit (PDU)</v>
      </c>
      <c r="D986" s="11">
        <f t="shared" si="30"/>
        <v>0</v>
      </c>
      <c r="E986" s="16">
        <f>IF('Components Yr 1'!E986=0,0,'Components Yr 1'!E986)</f>
        <v>0</v>
      </c>
      <c r="F986" s="17">
        <f>IF('Components Yr 1'!F986=0,0,'Components Yr 1'!F986)</f>
        <v>0</v>
      </c>
      <c r="G986" s="17">
        <f>IF('Components Yr 1'!G986=0,0,'Components Yr 1'!G986)</f>
        <v>0</v>
      </c>
      <c r="H986" s="17">
        <f>IF('Components Yr 1'!H986=0,0,'Components Yr 1'!H986)</f>
        <v>0</v>
      </c>
      <c r="I986" s="17">
        <f>IF('Components Yr 1'!I986=0,0,'Components Yr 1'!I986)</f>
        <v>0</v>
      </c>
      <c r="J986" s="17">
        <f>IF('Components Yr 1'!J986=0,0,'Components Yr 1'!J986)</f>
        <v>0</v>
      </c>
      <c r="K986" s="12"/>
      <c r="L986" s="12"/>
      <c r="M986" s="12"/>
      <c r="N986" s="12"/>
      <c r="O986" s="12"/>
      <c r="P986" s="12"/>
      <c r="Q986" s="17"/>
      <c r="R986" s="18">
        <f>IF(SUMPRODUCT((E986:Q986)*1)=0,0,E986*INDEX(Hours!M:M,MATCH(C986,Hours!$A:$A,0))+F986*INDEX(Hours!B:B,MATCH(C986,Hours!$A:$A,0))+G986*INDEX(Hours!C:C,MATCH(C986,Hours!$A:$A,0))+H986*INDEX(Hours!D:D,MATCH(C986,Hours!$A:$A,0))+I986*INDEX(Hours!E:E,MATCH(C986,Hours!$A:$A,0))+J986*INDEX(Hours!F:F,MATCH(C986,Hours!$A:$A,0)))</f>
        <v>0</v>
      </c>
      <c r="S986" s="19">
        <f t="shared" si="31"/>
        <v>0</v>
      </c>
    </row>
    <row r="987" spans="1:19" x14ac:dyDescent="0.25">
      <c r="A987" s="11" t="str">
        <f>'Bldgs &amp; Rooms'!$A$28</f>
        <v>Main Bldg.</v>
      </c>
      <c r="B987" s="11">
        <f>'Bldgs &amp; Rooms'!$B$28</f>
        <v>0</v>
      </c>
      <c r="C987" s="10" t="str">
        <f>Hours!$A$25</f>
        <v>Wire Trough, Gutter, or Large Junction Boxes</v>
      </c>
      <c r="D987" s="11">
        <f t="shared" si="30"/>
        <v>0</v>
      </c>
      <c r="E987" s="16">
        <f>IF('Components Yr 1'!E987=0,0,'Components Yr 1'!E987)</f>
        <v>0</v>
      </c>
      <c r="F987" s="17">
        <f>IF('Components Yr 1'!F987=0,0,'Components Yr 1'!F987)</f>
        <v>0</v>
      </c>
      <c r="G987" s="17">
        <f>IF('Components Yr 1'!G987=0,0,'Components Yr 1'!G987)</f>
        <v>0</v>
      </c>
      <c r="H987" s="17">
        <f>IF('Components Yr 1'!H987=0,0,'Components Yr 1'!H987)</f>
        <v>0</v>
      </c>
      <c r="I987" s="17">
        <f>IF('Components Yr 1'!I987=0,0,'Components Yr 1'!I987)</f>
        <v>0</v>
      </c>
      <c r="J987" s="17">
        <f>IF('Components Yr 1'!J987=0,0,'Components Yr 1'!J987)</f>
        <v>0</v>
      </c>
      <c r="K987" s="12"/>
      <c r="L987" s="12"/>
      <c r="M987" s="12"/>
      <c r="N987" s="12"/>
      <c r="O987" s="12"/>
      <c r="P987" s="12"/>
      <c r="Q987" s="17"/>
      <c r="R987" s="18">
        <f>IF(SUMPRODUCT((E987:Q987)*1)=0,0,E987*INDEX(Hours!M:M,MATCH(C987,Hours!$A:$A,0))+F987*INDEX(Hours!B:B,MATCH(C987,Hours!$A:$A,0))+G987*INDEX(Hours!C:C,MATCH(C987,Hours!$A:$A,0))+H987*INDEX(Hours!D:D,MATCH(C987,Hours!$A:$A,0))+I987*INDEX(Hours!E:E,MATCH(C987,Hours!$A:$A,0))+J987*INDEX(Hours!F:F,MATCH(C987,Hours!$A:$A,0)))</f>
        <v>0</v>
      </c>
      <c r="S987" s="19">
        <f t="shared" si="31"/>
        <v>0</v>
      </c>
    </row>
    <row r="988" spans="1:19" x14ac:dyDescent="0.25">
      <c r="A988" s="11" t="str">
        <f>'Bldgs &amp; Rooms'!$A$28</f>
        <v>Main Bldg.</v>
      </c>
      <c r="B988" s="11">
        <f>'Bldgs &amp; Rooms'!$B$28</f>
        <v>0</v>
      </c>
      <c r="C988" s="10" t="str">
        <f>Hours!$A$26</f>
        <v>Bus Duct - Vertical or Horizontal (Per 10' section)</v>
      </c>
      <c r="D988" s="11">
        <f t="shared" si="30"/>
        <v>0</v>
      </c>
      <c r="E988" s="16">
        <f>IF('Components Yr 1'!E988=0,0,'Components Yr 1'!E988)</f>
        <v>0</v>
      </c>
      <c r="F988" s="17">
        <f>IF('Components Yr 1'!F988=0,0,'Components Yr 1'!F988)</f>
        <v>0</v>
      </c>
      <c r="G988" s="17">
        <f>IF('Components Yr 1'!G988=0,0,'Components Yr 1'!G988)</f>
        <v>0</v>
      </c>
      <c r="H988" s="17">
        <f>IF('Components Yr 1'!H988=0,0,'Components Yr 1'!H988)</f>
        <v>0</v>
      </c>
      <c r="I988" s="17">
        <f>IF('Components Yr 1'!I988=0,0,'Components Yr 1'!I988)</f>
        <v>0</v>
      </c>
      <c r="J988" s="17">
        <f>IF('Components Yr 1'!J988=0,0,'Components Yr 1'!J988)</f>
        <v>0</v>
      </c>
      <c r="K988" s="12"/>
      <c r="L988" s="12"/>
      <c r="M988" s="12"/>
      <c r="N988" s="12"/>
      <c r="O988" s="12"/>
      <c r="P988" s="12"/>
      <c r="Q988" s="17"/>
      <c r="R988" s="18">
        <f>IF(SUMPRODUCT((E988:Q988)*1)=0,0,E988*INDEX(Hours!M:M,MATCH(C988,Hours!$A:$A,0))+F988*INDEX(Hours!B:B,MATCH(C988,Hours!$A:$A,0))+G988*INDEX(Hours!C:C,MATCH(C988,Hours!$A:$A,0))+H988*INDEX(Hours!D:D,MATCH(C988,Hours!$A:$A,0))+I988*INDEX(Hours!E:E,MATCH(C988,Hours!$A:$A,0))+J988*INDEX(Hours!F:F,MATCH(C988,Hours!$A:$A,0)))</f>
        <v>0</v>
      </c>
      <c r="S988" s="19">
        <f t="shared" si="31"/>
        <v>0</v>
      </c>
    </row>
    <row r="989" spans="1:19" x14ac:dyDescent="0.25">
      <c r="A989" s="11" t="str">
        <f>'Bldgs &amp; Rooms'!$A$28</f>
        <v>Main Bldg.</v>
      </c>
      <c r="B989" s="11">
        <f>'Bldgs &amp; Rooms'!$B$28</f>
        <v>0</v>
      </c>
      <c r="C989" s="10" t="str">
        <f>Hours!$A$27</f>
        <v>Automatic Transfer Switch (ATS) &gt; 100A</v>
      </c>
      <c r="D989" s="11">
        <f t="shared" si="30"/>
        <v>0</v>
      </c>
      <c r="E989" s="16">
        <f>IF('Components Yr 1'!E989=0,0,'Components Yr 1'!E989)</f>
        <v>0</v>
      </c>
      <c r="F989" s="17">
        <f>IF('Components Yr 1'!F989=0,0,'Components Yr 1'!F989)</f>
        <v>0</v>
      </c>
      <c r="G989" s="17">
        <f>IF('Components Yr 1'!G989=0,0,'Components Yr 1'!G989)</f>
        <v>0</v>
      </c>
      <c r="H989" s="17">
        <f>IF('Components Yr 1'!H989=0,0,'Components Yr 1'!H989)</f>
        <v>0</v>
      </c>
      <c r="I989" s="17">
        <f>IF('Components Yr 1'!I989=0,0,'Components Yr 1'!I989)</f>
        <v>0</v>
      </c>
      <c r="J989" s="17">
        <f>IF('Components Yr 1'!J989=0,0,'Components Yr 1'!J989)</f>
        <v>0</v>
      </c>
      <c r="K989" s="12"/>
      <c r="L989" s="12"/>
      <c r="M989" s="12"/>
      <c r="N989" s="12"/>
      <c r="O989" s="12"/>
      <c r="P989" s="12"/>
      <c r="Q989" s="17"/>
      <c r="R989" s="18">
        <f>IF(SUMPRODUCT((E989:Q989)*1)=0,0,E989*INDEX(Hours!M:M,MATCH(C989,Hours!$A:$A,0))+F989*INDEX(Hours!B:B,MATCH(C989,Hours!$A:$A,0))+G989*INDEX(Hours!C:C,MATCH(C989,Hours!$A:$A,0))+H989*INDEX(Hours!D:D,MATCH(C989,Hours!$A:$A,0))+I989*INDEX(Hours!E:E,MATCH(C989,Hours!$A:$A,0))+J989*INDEX(Hours!F:F,MATCH(C989,Hours!$A:$A,0)))</f>
        <v>0</v>
      </c>
      <c r="S989" s="19">
        <f t="shared" si="31"/>
        <v>0</v>
      </c>
    </row>
    <row r="990" spans="1:19" x14ac:dyDescent="0.25">
      <c r="A990" s="11" t="str">
        <f>'Bldgs &amp; Rooms'!$A$28</f>
        <v>Main Bldg.</v>
      </c>
      <c r="B990" s="11">
        <f>'Bldgs &amp; Rooms'!$B$28</f>
        <v>0</v>
      </c>
      <c r="C990" s="10" t="str">
        <f>Hours!$A$28</f>
        <v>Manual Transfer Switch (MTS) &gt; 100A</v>
      </c>
      <c r="D990" s="11">
        <f t="shared" si="30"/>
        <v>0</v>
      </c>
      <c r="E990" s="16">
        <f>IF('Components Yr 1'!E990=0,0,'Components Yr 1'!E990)</f>
        <v>0</v>
      </c>
      <c r="F990" s="17">
        <f>IF('Components Yr 1'!F990=0,0,'Components Yr 1'!F990)</f>
        <v>0</v>
      </c>
      <c r="G990" s="17">
        <f>IF('Components Yr 1'!G990=0,0,'Components Yr 1'!G990)</f>
        <v>0</v>
      </c>
      <c r="H990" s="17">
        <f>IF('Components Yr 1'!H990=0,0,'Components Yr 1'!H990)</f>
        <v>0</v>
      </c>
      <c r="I990" s="17">
        <f>IF('Components Yr 1'!I990=0,0,'Components Yr 1'!I990)</f>
        <v>0</v>
      </c>
      <c r="J990" s="17">
        <f>IF('Components Yr 1'!J990=0,0,'Components Yr 1'!J990)</f>
        <v>0</v>
      </c>
      <c r="K990" s="12"/>
      <c r="L990" s="12"/>
      <c r="M990" s="12"/>
      <c r="N990" s="12"/>
      <c r="O990" s="12"/>
      <c r="P990" s="12"/>
      <c r="Q990" s="17"/>
      <c r="R990" s="18">
        <f>IF(SUMPRODUCT((E990:Q990)*1)=0,0,E990*INDEX(Hours!M:M,MATCH(C990,Hours!$A:$A,0))+F990*INDEX(Hours!B:B,MATCH(C990,Hours!$A:$A,0))+G990*INDEX(Hours!C:C,MATCH(C990,Hours!$A:$A,0))+H990*INDEX(Hours!D:D,MATCH(C990,Hours!$A:$A,0))+I990*INDEX(Hours!E:E,MATCH(C990,Hours!$A:$A,0))+J990*INDEX(Hours!F:F,MATCH(C990,Hours!$A:$A,0)))</f>
        <v>0</v>
      </c>
      <c r="S990" s="19">
        <f t="shared" si="31"/>
        <v>0</v>
      </c>
    </row>
    <row r="991" spans="1:19" x14ac:dyDescent="0.25">
      <c r="A991" s="11" t="str">
        <f>'Bldgs &amp; Rooms'!$A$28</f>
        <v>Main Bldg.</v>
      </c>
      <c r="B991" s="11">
        <f>'Bldgs &amp; Rooms'!$B$28</f>
        <v>0</v>
      </c>
      <c r="C991" s="10" t="str">
        <f>Hours!$A$29</f>
        <v>Variable Frequency Drives (VFD) &lt; 50 HP</v>
      </c>
      <c r="D991" s="11">
        <f t="shared" si="30"/>
        <v>0</v>
      </c>
      <c r="E991" s="16">
        <f>IF('Components Yr 1'!E991=0,0,'Components Yr 1'!E991)</f>
        <v>0</v>
      </c>
      <c r="F991" s="17">
        <f>IF('Components Yr 1'!F991=0,0,'Components Yr 1'!F991)</f>
        <v>0</v>
      </c>
      <c r="G991" s="17">
        <f>IF('Components Yr 1'!G991=0,0,'Components Yr 1'!G991)</f>
        <v>0</v>
      </c>
      <c r="H991" s="17">
        <f>IF('Components Yr 1'!H991=0,0,'Components Yr 1'!H991)</f>
        <v>0</v>
      </c>
      <c r="I991" s="17">
        <f>IF('Components Yr 1'!I991=0,0,'Components Yr 1'!I991)</f>
        <v>0</v>
      </c>
      <c r="J991" s="17">
        <f>IF('Components Yr 1'!J991=0,0,'Components Yr 1'!J991)</f>
        <v>0</v>
      </c>
      <c r="K991" s="12"/>
      <c r="L991" s="12"/>
      <c r="M991" s="12"/>
      <c r="N991" s="12"/>
      <c r="O991" s="12"/>
      <c r="P991" s="12"/>
      <c r="Q991" s="17"/>
      <c r="R991" s="18">
        <f>IF(SUMPRODUCT((E991:Q991)*1)=0,0,E991*INDEX(Hours!M:M,MATCH(C991,Hours!$A:$A,0))+F991*INDEX(Hours!B:B,MATCH(C991,Hours!$A:$A,0))+G991*INDEX(Hours!C:C,MATCH(C991,Hours!$A:$A,0))+H991*INDEX(Hours!D:D,MATCH(C991,Hours!$A:$A,0))+I991*INDEX(Hours!E:E,MATCH(C991,Hours!$A:$A,0))+J991*INDEX(Hours!F:F,MATCH(C991,Hours!$A:$A,0)))</f>
        <v>0</v>
      </c>
      <c r="S991" s="19">
        <f t="shared" si="31"/>
        <v>0</v>
      </c>
    </row>
    <row r="992" spans="1:19" x14ac:dyDescent="0.25">
      <c r="A992" s="11" t="str">
        <f>'Bldgs &amp; Rooms'!$A$28</f>
        <v>Main Bldg.</v>
      </c>
      <c r="B992" s="11">
        <f>'Bldgs &amp; Rooms'!$B$28</f>
        <v>0</v>
      </c>
      <c r="C992" s="10" t="str">
        <f>Hours!$A$30</f>
        <v>Variable Frequency Drives (VFD) 51-200 HP</v>
      </c>
      <c r="D992" s="11">
        <f t="shared" si="30"/>
        <v>0</v>
      </c>
      <c r="E992" s="16">
        <f>IF('Components Yr 1'!E992=0,0,'Components Yr 1'!E992)</f>
        <v>0</v>
      </c>
      <c r="F992" s="17">
        <f>IF('Components Yr 1'!F992=0,0,'Components Yr 1'!F992)</f>
        <v>0</v>
      </c>
      <c r="G992" s="17">
        <f>IF('Components Yr 1'!G992=0,0,'Components Yr 1'!G992)</f>
        <v>0</v>
      </c>
      <c r="H992" s="17">
        <f>IF('Components Yr 1'!H992=0,0,'Components Yr 1'!H992)</f>
        <v>0</v>
      </c>
      <c r="I992" s="17">
        <f>IF('Components Yr 1'!I992=0,0,'Components Yr 1'!I992)</f>
        <v>0</v>
      </c>
      <c r="J992" s="17">
        <f>IF('Components Yr 1'!J992=0,0,'Components Yr 1'!J992)</f>
        <v>0</v>
      </c>
      <c r="K992" s="12"/>
      <c r="L992" s="12"/>
      <c r="M992" s="12"/>
      <c r="N992" s="12"/>
      <c r="O992" s="12"/>
      <c r="P992" s="12"/>
      <c r="Q992" s="17"/>
      <c r="R992" s="18">
        <f>IF(SUMPRODUCT((E992:Q992)*1)=0,0,E992*INDEX(Hours!M:M,MATCH(C992,Hours!$A:$A,0))+F992*INDEX(Hours!B:B,MATCH(C992,Hours!$A:$A,0))+G992*INDEX(Hours!C:C,MATCH(C992,Hours!$A:$A,0))+H992*INDEX(Hours!D:D,MATCH(C992,Hours!$A:$A,0))+I992*INDEX(Hours!E:E,MATCH(C992,Hours!$A:$A,0))+J992*INDEX(Hours!F:F,MATCH(C992,Hours!$A:$A,0)))</f>
        <v>0</v>
      </c>
      <c r="S992" s="19">
        <f t="shared" si="31"/>
        <v>0</v>
      </c>
    </row>
    <row r="993" spans="1:19" x14ac:dyDescent="0.25">
      <c r="A993" s="11" t="str">
        <f>'Bldgs &amp; Rooms'!$A$28</f>
        <v>Main Bldg.</v>
      </c>
      <c r="B993" s="11">
        <f>'Bldgs &amp; Rooms'!$B$28</f>
        <v>0</v>
      </c>
      <c r="C993" s="10" t="str">
        <f>Hours!$A$31</f>
        <v>Motors &lt; 50 HP</v>
      </c>
      <c r="D993" s="11">
        <f t="shared" si="30"/>
        <v>0</v>
      </c>
      <c r="E993" s="16">
        <f>IF('Components Yr 1'!E993=0,0,'Components Yr 1'!E993)</f>
        <v>0</v>
      </c>
      <c r="F993" s="17">
        <f>IF('Components Yr 1'!F993=0,0,'Components Yr 1'!F993)</f>
        <v>0</v>
      </c>
      <c r="G993" s="17">
        <f>IF('Components Yr 1'!G993=0,0,'Components Yr 1'!G993)</f>
        <v>0</v>
      </c>
      <c r="H993" s="17">
        <f>IF('Components Yr 1'!H993=0,0,'Components Yr 1'!H993)</f>
        <v>0</v>
      </c>
      <c r="I993" s="17">
        <f>IF('Components Yr 1'!I993=0,0,'Components Yr 1'!I993)</f>
        <v>0</v>
      </c>
      <c r="J993" s="17">
        <f>IF('Components Yr 1'!J993=0,0,'Components Yr 1'!J993)</f>
        <v>0</v>
      </c>
      <c r="K993" s="12"/>
      <c r="L993" s="12"/>
      <c r="M993" s="12"/>
      <c r="N993" s="12"/>
      <c r="O993" s="12"/>
      <c r="P993" s="12"/>
      <c r="Q993" s="17"/>
      <c r="R993" s="18">
        <f>IF(SUMPRODUCT((E993:Q993)*1)=0,0,E993*INDEX(Hours!M:M,MATCH(C993,Hours!$A:$A,0))+F993*INDEX(Hours!B:B,MATCH(C993,Hours!$A:$A,0))+G993*INDEX(Hours!C:C,MATCH(C993,Hours!$A:$A,0))+H993*INDEX(Hours!D:D,MATCH(C993,Hours!$A:$A,0))+I993*INDEX(Hours!E:E,MATCH(C993,Hours!$A:$A,0))+J993*INDEX(Hours!F:F,MATCH(C993,Hours!$A:$A,0)))</f>
        <v>0</v>
      </c>
      <c r="S993" s="19">
        <f t="shared" si="31"/>
        <v>0</v>
      </c>
    </row>
    <row r="994" spans="1:19" x14ac:dyDescent="0.25">
      <c r="A994" s="11" t="str">
        <f>'Bldgs &amp; Rooms'!$A$28</f>
        <v>Main Bldg.</v>
      </c>
      <c r="B994" s="11">
        <f>'Bldgs &amp; Rooms'!$B$28</f>
        <v>0</v>
      </c>
      <c r="C994" s="10" t="str">
        <f>Hours!$A$32</f>
        <v>Motors 51-200 HP</v>
      </c>
      <c r="D994" s="11">
        <f t="shared" si="30"/>
        <v>0</v>
      </c>
      <c r="E994" s="16">
        <f>IF('Components Yr 1'!E994=0,0,'Components Yr 1'!E994)</f>
        <v>0</v>
      </c>
      <c r="F994" s="17">
        <f>IF('Components Yr 1'!F994=0,0,'Components Yr 1'!F994)</f>
        <v>0</v>
      </c>
      <c r="G994" s="17">
        <f>IF('Components Yr 1'!G994=0,0,'Components Yr 1'!G994)</f>
        <v>0</v>
      </c>
      <c r="H994" s="17">
        <f>IF('Components Yr 1'!H994=0,0,'Components Yr 1'!H994)</f>
        <v>0</v>
      </c>
      <c r="I994" s="17">
        <f>IF('Components Yr 1'!I994=0,0,'Components Yr 1'!I994)</f>
        <v>0</v>
      </c>
      <c r="J994" s="17">
        <f>IF('Components Yr 1'!J994=0,0,'Components Yr 1'!J994)</f>
        <v>0</v>
      </c>
      <c r="K994" s="12"/>
      <c r="L994" s="12"/>
      <c r="M994" s="12"/>
      <c r="N994" s="12"/>
      <c r="O994" s="12"/>
      <c r="P994" s="12"/>
      <c r="Q994" s="17"/>
      <c r="R994" s="18">
        <f>IF(SUMPRODUCT((E994:Q994)*1)=0,0,E994*INDEX(Hours!M:M,MATCH(C994,Hours!$A:$A,0))+F994*INDEX(Hours!B:B,MATCH(C994,Hours!$A:$A,0))+G994*INDEX(Hours!C:C,MATCH(C994,Hours!$A:$A,0))+H994*INDEX(Hours!D:D,MATCH(C994,Hours!$A:$A,0))+I994*INDEX(Hours!E:E,MATCH(C994,Hours!$A:$A,0))+J994*INDEX(Hours!F:F,MATCH(C994,Hours!$A:$A,0)))</f>
        <v>0</v>
      </c>
      <c r="S994" s="19">
        <f t="shared" si="31"/>
        <v>0</v>
      </c>
    </row>
    <row r="995" spans="1:19" x14ac:dyDescent="0.25">
      <c r="A995" s="11" t="str">
        <f>'Bldgs &amp; Rooms'!$A$28</f>
        <v>Main Bldg.</v>
      </c>
      <c r="B995" s="11">
        <f>'Bldgs &amp; Rooms'!$B$28</f>
        <v>0</v>
      </c>
      <c r="C995" s="10" t="str">
        <f>Hours!$A$33</f>
        <v>Motors 201-500 HP</v>
      </c>
      <c r="D995" s="11">
        <f t="shared" si="30"/>
        <v>0</v>
      </c>
      <c r="E995" s="16">
        <f>IF('Components Yr 1'!E995=0,0,'Components Yr 1'!E995)</f>
        <v>0</v>
      </c>
      <c r="F995" s="17">
        <f>IF('Components Yr 1'!F995=0,0,'Components Yr 1'!F995)</f>
        <v>0</v>
      </c>
      <c r="G995" s="17">
        <f>IF('Components Yr 1'!G995=0,0,'Components Yr 1'!G995)</f>
        <v>0</v>
      </c>
      <c r="H995" s="17">
        <f>IF('Components Yr 1'!H995=0,0,'Components Yr 1'!H995)</f>
        <v>0</v>
      </c>
      <c r="I995" s="17">
        <f>IF('Components Yr 1'!I995=0,0,'Components Yr 1'!I995)</f>
        <v>0</v>
      </c>
      <c r="J995" s="17">
        <f>IF('Components Yr 1'!J995=0,0,'Components Yr 1'!J995)</f>
        <v>0</v>
      </c>
      <c r="K995" s="12"/>
      <c r="L995" s="12"/>
      <c r="M995" s="12"/>
      <c r="N995" s="12"/>
      <c r="O995" s="12"/>
      <c r="P995" s="12"/>
      <c r="Q995" s="17"/>
      <c r="R995" s="18">
        <f>IF(SUMPRODUCT((E995:Q995)*1)=0,0,E995*INDEX(Hours!M:M,MATCH(C995,Hours!$A:$A,0))+F995*INDEX(Hours!B:B,MATCH(C995,Hours!$A:$A,0))+G995*INDEX(Hours!C:C,MATCH(C995,Hours!$A:$A,0))+H995*INDEX(Hours!D:D,MATCH(C995,Hours!$A:$A,0))+I995*INDEX(Hours!E:E,MATCH(C995,Hours!$A:$A,0))+J995*INDEX(Hours!F:F,MATCH(C995,Hours!$A:$A,0)))</f>
        <v>0</v>
      </c>
      <c r="S995" s="19">
        <f t="shared" si="31"/>
        <v>0</v>
      </c>
    </row>
    <row r="996" spans="1:19" x14ac:dyDescent="0.25">
      <c r="A996" s="11" t="str">
        <f>'Bldgs &amp; Rooms'!$A$28</f>
        <v>Main Bldg.</v>
      </c>
      <c r="B996" s="11">
        <f>'Bldgs &amp; Rooms'!$B$28</f>
        <v>0</v>
      </c>
      <c r="C996" s="10" t="str">
        <f>Hours!$A$34</f>
        <v>Compressed Air Equipment</v>
      </c>
      <c r="D996" s="11">
        <f t="shared" si="30"/>
        <v>0</v>
      </c>
      <c r="E996" s="16">
        <f>IF('Components Yr 1'!E996=0,0,'Components Yr 1'!E996)</f>
        <v>0</v>
      </c>
      <c r="F996" s="17">
        <f>IF('Components Yr 1'!F996=0,0,'Components Yr 1'!F996)</f>
        <v>0</v>
      </c>
      <c r="G996" s="17">
        <f>IF('Components Yr 1'!G996=0,0,'Components Yr 1'!G996)</f>
        <v>0</v>
      </c>
      <c r="H996" s="17">
        <f>IF('Components Yr 1'!H996=0,0,'Components Yr 1'!H996)</f>
        <v>0</v>
      </c>
      <c r="I996" s="17">
        <f>IF('Components Yr 1'!I996=0,0,'Components Yr 1'!I996)</f>
        <v>0</v>
      </c>
      <c r="J996" s="17">
        <f>IF('Components Yr 1'!J996=0,0,'Components Yr 1'!J996)</f>
        <v>0</v>
      </c>
      <c r="K996" s="12"/>
      <c r="L996" s="12"/>
      <c r="M996" s="12"/>
      <c r="N996" s="12"/>
      <c r="O996" s="12"/>
      <c r="P996" s="12"/>
      <c r="Q996" s="17"/>
      <c r="R996" s="18">
        <f>IF(SUMPRODUCT((E996:Q996)*1)=0,0,E996*INDEX(Hours!M:M,MATCH(C996,Hours!$A:$A,0))+F996*INDEX(Hours!B:B,MATCH(C996,Hours!$A:$A,0))+G996*INDEX(Hours!C:C,MATCH(C996,Hours!$A:$A,0))+H996*INDEX(Hours!D:D,MATCH(C996,Hours!$A:$A,0))+I996*INDEX(Hours!E:E,MATCH(C996,Hours!$A:$A,0))+J996*INDEX(Hours!F:F,MATCH(C996,Hours!$A:$A,0)))</f>
        <v>0</v>
      </c>
      <c r="S996" s="19">
        <f t="shared" si="31"/>
        <v>0</v>
      </c>
    </row>
    <row r="997" spans="1:19" x14ac:dyDescent="0.25">
      <c r="A997" s="11" t="str">
        <f>'Bldgs &amp; Rooms'!$A$28</f>
        <v>Main Bldg.</v>
      </c>
      <c r="B997" s="11">
        <f>'Bldgs &amp; Rooms'!$B$28</f>
        <v>0</v>
      </c>
      <c r="C997" s="10" t="str">
        <f>Hours!$A$35</f>
        <v>HVAC Equipment (Large)</v>
      </c>
      <c r="D997" s="11">
        <f t="shared" si="30"/>
        <v>0</v>
      </c>
      <c r="E997" s="16">
        <f>IF('Components Yr 1'!E997=0,0,'Components Yr 1'!E997)</f>
        <v>0</v>
      </c>
      <c r="F997" s="17">
        <f>IF('Components Yr 1'!F997=0,0,'Components Yr 1'!F997)</f>
        <v>0</v>
      </c>
      <c r="G997" s="17">
        <f>IF('Components Yr 1'!G997=0,0,'Components Yr 1'!G997)</f>
        <v>0</v>
      </c>
      <c r="H997" s="17">
        <f>IF('Components Yr 1'!H997=0,0,'Components Yr 1'!H997)</f>
        <v>0</v>
      </c>
      <c r="I997" s="17">
        <f>IF('Components Yr 1'!I997=0,0,'Components Yr 1'!I997)</f>
        <v>0</v>
      </c>
      <c r="J997" s="17">
        <f>IF('Components Yr 1'!J997=0,0,'Components Yr 1'!J997)</f>
        <v>0</v>
      </c>
      <c r="K997" s="12"/>
      <c r="L997" s="12"/>
      <c r="M997" s="12"/>
      <c r="N997" s="12"/>
      <c r="O997" s="12"/>
      <c r="P997" s="12"/>
      <c r="Q997" s="17"/>
      <c r="R997" s="18">
        <f>IF(SUMPRODUCT((E997:Q997)*1)=0,0,E997*INDEX(Hours!M:M,MATCH(C997,Hours!$A:$A,0))+F997*INDEX(Hours!B:B,MATCH(C997,Hours!$A:$A,0))+G997*INDEX(Hours!C:C,MATCH(C997,Hours!$A:$A,0))+H997*INDEX(Hours!D:D,MATCH(C997,Hours!$A:$A,0))+I997*INDEX(Hours!E:E,MATCH(C997,Hours!$A:$A,0))+J997*INDEX(Hours!F:F,MATCH(C997,Hours!$A:$A,0)))</f>
        <v>0</v>
      </c>
      <c r="S997" s="19">
        <f t="shared" si="31"/>
        <v>0</v>
      </c>
    </row>
    <row r="998" spans="1:19" x14ac:dyDescent="0.25">
      <c r="A998" s="11" t="str">
        <f>'Bldgs &amp; Rooms'!$A$28</f>
        <v>Main Bldg.</v>
      </c>
      <c r="B998" s="11">
        <f>'Bldgs &amp; Rooms'!$B$28</f>
        <v>0</v>
      </c>
      <c r="C998" s="10" t="str">
        <f>Hours!$A$36</f>
        <v>HVAC Equipment (Small)</v>
      </c>
      <c r="D998" s="11">
        <f t="shared" si="30"/>
        <v>0</v>
      </c>
      <c r="E998" s="16">
        <f>IF('Components Yr 1'!E998=0,0,'Components Yr 1'!E998)</f>
        <v>0</v>
      </c>
      <c r="F998" s="17">
        <f>IF('Components Yr 1'!F998=0,0,'Components Yr 1'!F998)</f>
        <v>0</v>
      </c>
      <c r="G998" s="17">
        <f>IF('Components Yr 1'!G998=0,0,'Components Yr 1'!G998)</f>
        <v>0</v>
      </c>
      <c r="H998" s="17">
        <f>IF('Components Yr 1'!H998=0,0,'Components Yr 1'!H998)</f>
        <v>0</v>
      </c>
      <c r="I998" s="17">
        <f>IF('Components Yr 1'!I998=0,0,'Components Yr 1'!I998)</f>
        <v>0</v>
      </c>
      <c r="J998" s="17">
        <f>IF('Components Yr 1'!J998=0,0,'Components Yr 1'!J998)</f>
        <v>0</v>
      </c>
      <c r="K998" s="12"/>
      <c r="L998" s="12"/>
      <c r="M998" s="12"/>
      <c r="N998" s="12"/>
      <c r="O998" s="12"/>
      <c r="P998" s="12"/>
      <c r="Q998" s="17"/>
      <c r="R998" s="18">
        <f>IF(SUMPRODUCT((E998:Q998)*1)=0,0,E998*INDEX(Hours!M:M,MATCH(C998,Hours!$A:$A,0))+F998*INDEX(Hours!B:B,MATCH(C998,Hours!$A:$A,0))+G998*INDEX(Hours!C:C,MATCH(C998,Hours!$A:$A,0))+H998*INDEX(Hours!D:D,MATCH(C998,Hours!$A:$A,0))+I998*INDEX(Hours!E:E,MATCH(C998,Hours!$A:$A,0))+J998*INDEX(Hours!F:F,MATCH(C998,Hours!$A:$A,0)))</f>
        <v>0</v>
      </c>
      <c r="S998" s="19">
        <f t="shared" si="31"/>
        <v>0</v>
      </c>
    </row>
    <row r="999" spans="1:19" x14ac:dyDescent="0.25">
      <c r="A999" s="11" t="str">
        <f>'Bldgs &amp; Rooms'!$A$28</f>
        <v>Main Bldg.</v>
      </c>
      <c r="B999" s="11">
        <f>'Bldgs &amp; Rooms'!$B$28</f>
        <v>0</v>
      </c>
      <c r="C999" s="10" t="str">
        <f>Hours!$A$37</f>
        <v>Uninterruptible Power Supply (UPS) &lt; 50kVA</v>
      </c>
      <c r="D999" s="11">
        <f t="shared" si="30"/>
        <v>0</v>
      </c>
      <c r="E999" s="16">
        <f>IF('Components Yr 1'!E999=0,0,'Components Yr 1'!E999)</f>
        <v>0</v>
      </c>
      <c r="F999" s="17">
        <f>IF('Components Yr 1'!F999=0,0,'Components Yr 1'!F999)</f>
        <v>0</v>
      </c>
      <c r="G999" s="17">
        <f>IF('Components Yr 1'!G999=0,0,'Components Yr 1'!G999)</f>
        <v>0</v>
      </c>
      <c r="H999" s="17">
        <f>IF('Components Yr 1'!H999=0,0,'Components Yr 1'!H999)</f>
        <v>0</v>
      </c>
      <c r="I999" s="17">
        <f>IF('Components Yr 1'!I999=0,0,'Components Yr 1'!I999)</f>
        <v>0</v>
      </c>
      <c r="J999" s="17">
        <f>IF('Components Yr 1'!J999=0,0,'Components Yr 1'!J999)</f>
        <v>0</v>
      </c>
      <c r="K999" s="12"/>
      <c r="L999" s="12"/>
      <c r="M999" s="12"/>
      <c r="N999" s="12"/>
      <c r="O999" s="12"/>
      <c r="P999" s="12"/>
      <c r="Q999" s="17"/>
      <c r="R999" s="18">
        <f>IF(SUMPRODUCT((E999:Q999)*1)=0,0,E999*INDEX(Hours!M:M,MATCH(C999,Hours!$A:$A,0))+F999*INDEX(Hours!B:B,MATCH(C999,Hours!$A:$A,0))+G999*INDEX(Hours!C:C,MATCH(C999,Hours!$A:$A,0))+H999*INDEX(Hours!D:D,MATCH(C999,Hours!$A:$A,0))+I999*INDEX(Hours!E:E,MATCH(C999,Hours!$A:$A,0))+J999*INDEX(Hours!F:F,MATCH(C999,Hours!$A:$A,0)))</f>
        <v>0</v>
      </c>
      <c r="S999" s="19">
        <f t="shared" si="31"/>
        <v>0</v>
      </c>
    </row>
    <row r="1000" spans="1:19" x14ac:dyDescent="0.25">
      <c r="A1000" s="11" t="str">
        <f>'Bldgs &amp; Rooms'!$A$28</f>
        <v>Main Bldg.</v>
      </c>
      <c r="B1000" s="11">
        <f>'Bldgs &amp; Rooms'!$B$28</f>
        <v>0</v>
      </c>
      <c r="C1000" s="10" t="str">
        <f>Hours!$A$38</f>
        <v>Uninterruptible Power Supply (UPS) &gt; 50kVA</v>
      </c>
      <c r="D1000" s="11">
        <f t="shared" si="30"/>
        <v>0</v>
      </c>
      <c r="E1000" s="16">
        <f>IF('Components Yr 1'!E1000=0,0,'Components Yr 1'!E1000)</f>
        <v>0</v>
      </c>
      <c r="F1000" s="17">
        <f>IF('Components Yr 1'!F1000=0,0,'Components Yr 1'!F1000)</f>
        <v>0</v>
      </c>
      <c r="G1000" s="17">
        <f>IF('Components Yr 1'!G1000=0,0,'Components Yr 1'!G1000)</f>
        <v>0</v>
      </c>
      <c r="H1000" s="17">
        <f>IF('Components Yr 1'!H1000=0,0,'Components Yr 1'!H1000)</f>
        <v>0</v>
      </c>
      <c r="I1000" s="17">
        <f>IF('Components Yr 1'!I1000=0,0,'Components Yr 1'!I1000)</f>
        <v>0</v>
      </c>
      <c r="J1000" s="17">
        <f>IF('Components Yr 1'!J1000=0,0,'Components Yr 1'!J1000)</f>
        <v>0</v>
      </c>
      <c r="K1000" s="12"/>
      <c r="L1000" s="12"/>
      <c r="M1000" s="12"/>
      <c r="N1000" s="12"/>
      <c r="O1000" s="12"/>
      <c r="P1000" s="12"/>
      <c r="Q1000" s="17"/>
      <c r="R1000" s="18">
        <f>IF(SUMPRODUCT((E1000:Q1000)*1)=0,0,E1000*INDEX(Hours!M:M,MATCH(C1000,Hours!$A:$A,0))+F1000*INDEX(Hours!B:B,MATCH(C1000,Hours!$A:$A,0))+G1000*INDEX(Hours!C:C,MATCH(C1000,Hours!$A:$A,0))+H1000*INDEX(Hours!D:D,MATCH(C1000,Hours!$A:$A,0))+I1000*INDEX(Hours!E:E,MATCH(C1000,Hours!$A:$A,0))+J1000*INDEX(Hours!F:F,MATCH(C1000,Hours!$A:$A,0)))</f>
        <v>0</v>
      </c>
      <c r="S1000" s="19">
        <f t="shared" si="31"/>
        <v>0</v>
      </c>
    </row>
    <row r="1001" spans="1:19" x14ac:dyDescent="0.25">
      <c r="A1001" s="15" t="str">
        <f>'Bldgs &amp; Rooms'!$A$29</f>
        <v>Main Bldg.</v>
      </c>
      <c r="B1001" s="15">
        <f>'Bldgs &amp; Rooms'!$B$29</f>
        <v>0</v>
      </c>
      <c r="C1001" s="14" t="str">
        <f>Hours!$A$2</f>
        <v>Switchgear - Incoming Main Service (Per Section)</v>
      </c>
      <c r="D1001" s="15">
        <f t="shared" si="30"/>
        <v>0</v>
      </c>
      <c r="E1001" s="16">
        <f>IF('Components Yr 1'!E1001=0,0,'Components Yr 1'!E1001)</f>
        <v>0</v>
      </c>
      <c r="F1001" s="17">
        <f>IF('Components Yr 1'!F1001=0,0,'Components Yr 1'!F1001)</f>
        <v>0</v>
      </c>
      <c r="G1001" s="17">
        <f>IF('Components Yr 1'!G1001=0,0,'Components Yr 1'!G1001)</f>
        <v>0</v>
      </c>
      <c r="H1001" s="17">
        <f>IF('Components Yr 1'!H1001=0,0,'Components Yr 1'!H1001)</f>
        <v>0</v>
      </c>
      <c r="I1001" s="17">
        <f>IF('Components Yr 1'!I1001=0,0,'Components Yr 1'!I1001)</f>
        <v>0</v>
      </c>
      <c r="J1001" s="17">
        <f>IF('Components Yr 1'!J1001=0,0,'Components Yr 1'!J1001)</f>
        <v>0</v>
      </c>
      <c r="K1001" s="17">
        <f>IF('Components Yr 1'!K1001=0,0,'Components Yr 1'!K1001)</f>
        <v>0</v>
      </c>
      <c r="L1001" s="17">
        <f>IF('Components Yr 1'!L1001=0,0,'Components Yr 1'!L1001)</f>
        <v>0</v>
      </c>
      <c r="M1001" s="12"/>
      <c r="N1001" s="12"/>
      <c r="O1001" s="17">
        <f>IF('Components Yr 1'!O1001=0,0,'Components Yr 1'!O1001)</f>
        <v>0</v>
      </c>
      <c r="P1001" s="12"/>
      <c r="Q1001" s="17"/>
      <c r="R1001" s="18">
        <f>IF(SUMPRODUCT((E1001:Q1001)*1)=0,0,E1001*INDEX(Hours!M:M,MATCH(C1001,Hours!$A:$A,0))+F1001*INDEX(Hours!B:B,MATCH(C1001,Hours!$A:$A,0))+G1001*INDEX(Hours!C:C,MATCH(C1001,Hours!$A:$A,0))+H1001*INDEX(Hours!D:D,MATCH(C1001,Hours!$A:$A,0))+I1001*INDEX(Hours!E:E,MATCH(C1001,Hours!$A:$A,0))+J1001*INDEX(Hours!F:F,MATCH(C1001,Hours!$A:$A,0))+K1001*INDEX(Hours!G:G,MATCH(C1001,Hours!$A:$A,0))+L1001*INDEX(Hours!H:H,MATCH(C1001,Hours!$A:$A,0))+O1001*INDEX(Hours!K:K,MATCH(C1001,Hours!$A:$A,0)))</f>
        <v>0</v>
      </c>
      <c r="S1001" s="19">
        <f t="shared" si="31"/>
        <v>0</v>
      </c>
    </row>
    <row r="1002" spans="1:19" x14ac:dyDescent="0.25">
      <c r="A1002" s="15" t="str">
        <f>'Bldgs &amp; Rooms'!$A$29</f>
        <v>Main Bldg.</v>
      </c>
      <c r="B1002" s="15">
        <f>'Bldgs &amp; Rooms'!$B$29</f>
        <v>0</v>
      </c>
      <c r="C1002" s="14" t="str">
        <f>Hours!$A$3</f>
        <v xml:space="preserve">  Switchgear Insulated Case Breakers (Bus Mounted)</v>
      </c>
      <c r="D1002" s="15">
        <f t="shared" si="30"/>
        <v>0</v>
      </c>
      <c r="E1002" s="16">
        <f>IF('Components Yr 1'!E1002=0,0,'Components Yr 1'!E1002)</f>
        <v>0</v>
      </c>
      <c r="F1002" s="17">
        <f>IF('Components Yr 1'!F1002=0,0,'Components Yr 1'!F1002)</f>
        <v>0</v>
      </c>
      <c r="G1002" s="17">
        <f>IF('Components Yr 1'!G1002=0,0,'Components Yr 1'!G1002)</f>
        <v>0</v>
      </c>
      <c r="H1002" s="17">
        <f>IF('Components Yr 1'!H1002=0,0,'Components Yr 1'!H1002)</f>
        <v>0</v>
      </c>
      <c r="I1002" s="17">
        <f>IF('Components Yr 1'!I1002=0,0,'Components Yr 1'!I1002)</f>
        <v>0</v>
      </c>
      <c r="J1002" s="17">
        <f>IF('Components Yr 1'!J1002=0,0,'Components Yr 1'!J1002)</f>
        <v>0</v>
      </c>
      <c r="K1002" s="17">
        <f>IF('Components Yr 1'!K1002=0,0,'Components Yr 1'!K1002)</f>
        <v>0</v>
      </c>
      <c r="L1002" s="12"/>
      <c r="M1002" s="12"/>
      <c r="N1002" s="12"/>
      <c r="O1002" s="12"/>
      <c r="P1002" s="12"/>
      <c r="Q1002" s="17"/>
      <c r="R1002" s="18">
        <f>IF(SUMPRODUCT((E1002:Q1002)*1)=0,0,E1002*INDEX(Hours!M:M,MATCH(C1002,Hours!$A:$A,0))+F1002*INDEX(Hours!B:B,MATCH(C1002,Hours!$A:$A,0))+G1002*INDEX(Hours!C:C,MATCH(C1002,Hours!$A:$A,0))+H1002*INDEX(Hours!D:D,MATCH(C1002,Hours!$A:$A,0))+I1002*INDEX(Hours!E:E,MATCH(C1002,Hours!$A:$A,0))+J1002*INDEX(Hours!F:F,MATCH(C1002,Hours!$A:$A,0))+K1002*INDEX(Hours!G:G,MATCH(C1002,Hours!$A:$A,0)))</f>
        <v>0</v>
      </c>
      <c r="S1002" s="19">
        <f t="shared" si="31"/>
        <v>0</v>
      </c>
    </row>
    <row r="1003" spans="1:19" x14ac:dyDescent="0.25">
      <c r="A1003" s="15" t="str">
        <f>'Bldgs &amp; Rooms'!$A$29</f>
        <v>Main Bldg.</v>
      </c>
      <c r="B1003" s="15">
        <f>'Bldgs &amp; Rooms'!$B$29</f>
        <v>0</v>
      </c>
      <c r="C1003" s="14" t="str">
        <f>Hours!$A$4</f>
        <v xml:space="preserve">  SwitchGear Drawout Breakers</v>
      </c>
      <c r="D1003" s="15">
        <f t="shared" si="30"/>
        <v>0</v>
      </c>
      <c r="E1003" s="16">
        <f>IF('Components Yr 1'!E1003=0,0,'Components Yr 1'!E1003)</f>
        <v>0</v>
      </c>
      <c r="F1003" s="17">
        <f>IF('Components Yr 1'!F1003=0,0,'Components Yr 1'!F1003)</f>
        <v>0</v>
      </c>
      <c r="G1003" s="17">
        <f>IF('Components Yr 1'!G1003=0,0,'Components Yr 1'!G1003)</f>
        <v>0</v>
      </c>
      <c r="H1003" s="17">
        <f>IF('Components Yr 1'!H1003=0,0,'Components Yr 1'!H1003)</f>
        <v>0</v>
      </c>
      <c r="I1003" s="17">
        <f>IF('Components Yr 1'!I1003=0,0,'Components Yr 1'!I1003)</f>
        <v>0</v>
      </c>
      <c r="J1003" s="17">
        <f>IF('Components Yr 1'!J1003=0,0,'Components Yr 1'!J1003)</f>
        <v>0</v>
      </c>
      <c r="K1003" s="12"/>
      <c r="L1003" s="17">
        <f>IF('Components Yr 1'!L1003=0,0,'Components Yr 1'!L1003)</f>
        <v>0</v>
      </c>
      <c r="M1003" s="12"/>
      <c r="N1003" s="12"/>
      <c r="O1003" s="12"/>
      <c r="P1003" s="12"/>
      <c r="Q1003" s="17"/>
      <c r="R1003" s="18">
        <f>IF(SUMPRODUCT((E1003:Q1003)*1)=0,0,E1003*INDEX(Hours!M:M,MATCH(C1003,Hours!$A:$A,0))+F1003*INDEX(Hours!B:B,MATCH(C1003,Hours!$A:$A,0))+G1003*INDEX(Hours!C:C,MATCH(C1003,Hours!$A:$A,0))+H1003*INDEX(Hours!D:D,MATCH(C1003,Hours!$A:$A,0))+I1003*INDEX(Hours!E:E,MATCH(C1003,Hours!$A:$A,0))+J1003*INDEX(Hours!F:F,MATCH(C1003,Hours!$A:$A,0))+L1003*INDEX(Hours!H:H,MATCH(C1003,Hours!$A:$A,0)))</f>
        <v>0</v>
      </c>
      <c r="S1003" s="19">
        <f t="shared" si="31"/>
        <v>0</v>
      </c>
    </row>
    <row r="1004" spans="1:19" x14ac:dyDescent="0.25">
      <c r="A1004" s="15" t="str">
        <f>'Bldgs &amp; Rooms'!$A$29</f>
        <v>Main Bldg.</v>
      </c>
      <c r="B1004" s="15">
        <f>'Bldgs &amp; Rooms'!$B$29</f>
        <v>0</v>
      </c>
      <c r="C1004" s="14" t="str">
        <f>Hours!$A$5</f>
        <v>Distribution Switchboard Multi Cover (Per Section)</v>
      </c>
      <c r="D1004" s="15">
        <f t="shared" si="30"/>
        <v>0</v>
      </c>
      <c r="E1004" s="16">
        <f>IF('Components Yr 1'!E1004=0,0,'Components Yr 1'!E1004)</f>
        <v>0</v>
      </c>
      <c r="F1004" s="17">
        <f>IF('Components Yr 1'!F1004=0,0,'Components Yr 1'!F1004)</f>
        <v>0</v>
      </c>
      <c r="G1004" s="17">
        <f>IF('Components Yr 1'!G1004=0,0,'Components Yr 1'!G1004)</f>
        <v>0</v>
      </c>
      <c r="H1004" s="17">
        <f>IF('Components Yr 1'!H1004=0,0,'Components Yr 1'!H1004)</f>
        <v>0</v>
      </c>
      <c r="I1004" s="17">
        <f>IF('Components Yr 1'!I1004=0,0,'Components Yr 1'!I1004)</f>
        <v>0</v>
      </c>
      <c r="J1004" s="17">
        <f>IF('Components Yr 1'!J1004=0,0,'Components Yr 1'!J1004)</f>
        <v>0</v>
      </c>
      <c r="K1004" s="17">
        <f>IF('Components Yr 1'!K1004=0,0,'Components Yr 1'!K1004)</f>
        <v>0</v>
      </c>
      <c r="L1004" s="12"/>
      <c r="M1004" s="12"/>
      <c r="N1004" s="12"/>
      <c r="O1004" s="17">
        <f>IF('Components Yr 1'!O1004=0,0,'Components Yr 1'!O1004)</f>
        <v>0</v>
      </c>
      <c r="P1004" s="12"/>
      <c r="Q1004" s="17"/>
      <c r="R1004" s="18">
        <f>IF(SUMPRODUCT((E1004:Q1004)*1)=0,0,E1004*INDEX(Hours!M:M,MATCH(C1004,Hours!$A:$A,0))+F1004*INDEX(Hours!B:B,MATCH(C1004,Hours!$A:$A,0))+G1004*INDEX(Hours!C:C,MATCH(C1004,Hours!$A:$A,0))+H1004*INDEX(Hours!D:D,MATCH(C1004,Hours!$A:$A,0))+I1004*INDEX(Hours!E:E,MATCH(C1004,Hours!$A:$A,0))+J1004*INDEX(Hours!F:F,MATCH(C1004,Hours!$A:$A,0))+K1004*INDEX(Hours!G:G,MATCH(C1004,Hours!$A:$A,0))+O1004*INDEX(Hours!K:K,MATCH(C1004,Hours!$A:$A,0)))</f>
        <v>0</v>
      </c>
      <c r="S1004" s="19">
        <f t="shared" si="31"/>
        <v>0</v>
      </c>
    </row>
    <row r="1005" spans="1:19" x14ac:dyDescent="0.25">
      <c r="A1005" s="15" t="str">
        <f>'Bldgs &amp; Rooms'!$A$29</f>
        <v>Main Bldg.</v>
      </c>
      <c r="B1005" s="15">
        <f>'Bldgs &amp; Rooms'!$B$29</f>
        <v>0</v>
      </c>
      <c r="C1005" s="14" t="str">
        <f>Hours!$A$6</f>
        <v xml:space="preserve">  Switchboard Disconnects</v>
      </c>
      <c r="D1005" s="15">
        <f t="shared" si="30"/>
        <v>0</v>
      </c>
      <c r="E1005" s="16">
        <f>IF('Components Yr 1'!E1005=0,0,'Components Yr 1'!E1005)</f>
        <v>0</v>
      </c>
      <c r="F1005" s="17">
        <f>IF('Components Yr 1'!F1005=0,0,'Components Yr 1'!F1005)</f>
        <v>0</v>
      </c>
      <c r="G1005" s="17">
        <f>IF('Components Yr 1'!G1005=0,0,'Components Yr 1'!G1005)</f>
        <v>0</v>
      </c>
      <c r="H1005" s="17">
        <f>IF('Components Yr 1'!H1005=0,0,'Components Yr 1'!H1005)</f>
        <v>0</v>
      </c>
      <c r="I1005" s="17">
        <f>IF('Components Yr 1'!I1005=0,0,'Components Yr 1'!I1005)</f>
        <v>0</v>
      </c>
      <c r="J1005" s="17">
        <f>IF('Components Yr 1'!J1005=0,0,'Components Yr 1'!J1005)</f>
        <v>0</v>
      </c>
      <c r="K1005" s="12"/>
      <c r="L1005" s="12"/>
      <c r="M1005" s="12"/>
      <c r="N1005" s="12"/>
      <c r="O1005" s="12"/>
      <c r="P1005" s="12"/>
      <c r="Q1005" s="17"/>
      <c r="R1005" s="18">
        <f>IF(SUMPRODUCT((E1005:Q1005)*1)=0,0,E1005*INDEX(Hours!M:M,MATCH(C1005,Hours!$A:$A,0))+F1005*INDEX(Hours!B:B,MATCH(C1005,Hours!$A:$A,0))+G1005*INDEX(Hours!C:C,MATCH(C1005,Hours!$A:$A,0))+H1005*INDEX(Hours!D:D,MATCH(C1005,Hours!$A:$A,0))+I1005*INDEX(Hours!E:E,MATCH(C1005,Hours!$A:$A,0))+J1005*INDEX(Hours!F:F,MATCH(C1005,Hours!$A:$A,0)))</f>
        <v>0</v>
      </c>
      <c r="S1005" s="19">
        <f t="shared" si="31"/>
        <v>0</v>
      </c>
    </row>
    <row r="1006" spans="1:19" x14ac:dyDescent="0.25">
      <c r="A1006" s="15" t="str">
        <f>'Bldgs &amp; Rooms'!$A$29</f>
        <v>Main Bldg.</v>
      </c>
      <c r="B1006" s="15">
        <f>'Bldgs &amp; Rooms'!$B$29</f>
        <v>0</v>
      </c>
      <c r="C1006" s="14" t="str">
        <f>Hours!$A$7</f>
        <v xml:space="preserve">  Switchboard Molded Case Breakers</v>
      </c>
      <c r="D1006" s="15">
        <f t="shared" si="30"/>
        <v>0</v>
      </c>
      <c r="E1006" s="16">
        <f>IF('Components Yr 1'!E1006=0,0,'Components Yr 1'!E1006)</f>
        <v>0</v>
      </c>
      <c r="F1006" s="17">
        <f>IF('Components Yr 1'!F1006=0,0,'Components Yr 1'!F1006)</f>
        <v>0</v>
      </c>
      <c r="G1006" s="17">
        <f>IF('Components Yr 1'!G1006=0,0,'Components Yr 1'!G1006)</f>
        <v>0</v>
      </c>
      <c r="H1006" s="17">
        <f>IF('Components Yr 1'!H1006=0,0,'Components Yr 1'!H1006)</f>
        <v>0</v>
      </c>
      <c r="I1006" s="17">
        <f>IF('Components Yr 1'!I1006=0,0,'Components Yr 1'!I1006)</f>
        <v>0</v>
      </c>
      <c r="J1006" s="17">
        <f>IF('Components Yr 1'!J1006=0,0,'Components Yr 1'!J1006)</f>
        <v>0</v>
      </c>
      <c r="K1006" s="17">
        <f>IF('Components Yr 1'!K1006=0,0,'Components Yr 1'!K1006)</f>
        <v>0</v>
      </c>
      <c r="L1006" s="12"/>
      <c r="M1006" s="12"/>
      <c r="N1006" s="12"/>
      <c r="O1006" s="12"/>
      <c r="P1006" s="12"/>
      <c r="Q1006" s="17"/>
      <c r="R1006" s="18">
        <f>IF(SUMPRODUCT((E1006:Q1006)*1)=0,0,E1006*INDEX(Hours!M:M,MATCH(C1006,Hours!$A:$A,0))+F1006*INDEX(Hours!B:B,MATCH(C1006,Hours!$A:$A,0))+G1006*INDEX(Hours!C:C,MATCH(C1006,Hours!$A:$A,0))+H1006*INDEX(Hours!D:D,MATCH(C1006,Hours!$A:$A,0))+I1006*INDEX(Hours!E:E,MATCH(C1006,Hours!$A:$A,0))+J1006*INDEX(Hours!F:F,MATCH(C1006,Hours!$A:$A,0))+K1006*INDEX(Hours!G:G,MATCH(C1006,Hours!$A:$A,0)))</f>
        <v>0</v>
      </c>
      <c r="S1006" s="19">
        <f t="shared" si="31"/>
        <v>0</v>
      </c>
    </row>
    <row r="1007" spans="1:19" x14ac:dyDescent="0.25">
      <c r="A1007" s="15" t="str">
        <f>'Bldgs &amp; Rooms'!$A$29</f>
        <v>Main Bldg.</v>
      </c>
      <c r="B1007" s="15">
        <f>'Bldgs &amp; Rooms'!$B$29</f>
        <v>0</v>
      </c>
      <c r="C1007" s="14" t="str">
        <f>Hours!$A$8</f>
        <v>Panelboard-Single Cover &gt; 400A (Distribution Panel)</v>
      </c>
      <c r="D1007" s="15">
        <f t="shared" si="30"/>
        <v>0</v>
      </c>
      <c r="E1007" s="16">
        <f>IF('Components Yr 1'!E1007=0,0,'Components Yr 1'!E1007)</f>
        <v>0</v>
      </c>
      <c r="F1007" s="17">
        <f>IF('Components Yr 1'!F1007=0,0,'Components Yr 1'!F1007)</f>
        <v>0</v>
      </c>
      <c r="G1007" s="17">
        <f>IF('Components Yr 1'!G1007=0,0,'Components Yr 1'!G1007)</f>
        <v>0</v>
      </c>
      <c r="H1007" s="17">
        <f>IF('Components Yr 1'!H1007=0,0,'Components Yr 1'!H1007)</f>
        <v>0</v>
      </c>
      <c r="I1007" s="17">
        <f>IF('Components Yr 1'!I1007=0,0,'Components Yr 1'!I1007)</f>
        <v>0</v>
      </c>
      <c r="J1007" s="17">
        <f>IF('Components Yr 1'!J1007=0,0,'Components Yr 1'!J1007)</f>
        <v>0</v>
      </c>
      <c r="K1007" s="17">
        <f>IF('Components Yr 1'!K1007=0,0,'Components Yr 1'!K1007)</f>
        <v>0</v>
      </c>
      <c r="L1007" s="12"/>
      <c r="M1007" s="12"/>
      <c r="N1007" s="12"/>
      <c r="O1007" s="17">
        <f>IF('Components Yr 1'!O1007=0,0,'Components Yr 1'!O1007)</f>
        <v>0</v>
      </c>
      <c r="P1007" s="12"/>
      <c r="Q1007" s="17"/>
      <c r="R1007" s="18">
        <f>IF(SUMPRODUCT((E1007:Q1007)*1)=0,0,E1007*INDEX(Hours!M:M,MATCH(C1007,Hours!$A:$A,0))+F1007*INDEX(Hours!B:B,MATCH(C1007,Hours!$A:$A,0))+G1007*INDEX(Hours!C:C,MATCH(C1007,Hours!$A:$A,0))+H1007*INDEX(Hours!D:D,MATCH(C1007,Hours!$A:$A,0))+I1007*INDEX(Hours!E:E,MATCH(C1007,Hours!$A:$A,0))+J1007*INDEX(Hours!F:F,MATCH(C1007,Hours!$A:$A,0))+K1007*INDEX(Hours!G:G,MATCH(C1007,Hours!$A:$A,0))+O1007*INDEX(Hours!K:K,MATCH(C1007,Hours!$A:$A,0)))</f>
        <v>0</v>
      </c>
      <c r="S1007" s="19">
        <f t="shared" si="31"/>
        <v>0</v>
      </c>
    </row>
    <row r="1008" spans="1:19" x14ac:dyDescent="0.25">
      <c r="A1008" s="15" t="str">
        <f>'Bldgs &amp; Rooms'!$A$29</f>
        <v>Main Bldg.</v>
      </c>
      <c r="B1008" s="15">
        <f>'Bldgs &amp; Rooms'!$B$29</f>
        <v>0</v>
      </c>
      <c r="C1008" s="14" t="str">
        <f>Hours!$A$9</f>
        <v>Panelboard-Single Cover &lt; 400A (Branch Ckt Panel)</v>
      </c>
      <c r="D1008" s="15">
        <f t="shared" si="30"/>
        <v>0</v>
      </c>
      <c r="E1008" s="16">
        <f>IF('Components Yr 1'!E1008=0,0,'Components Yr 1'!E1008)</f>
        <v>0</v>
      </c>
      <c r="F1008" s="17">
        <f>IF('Components Yr 1'!F1008=0,0,'Components Yr 1'!F1008)</f>
        <v>0</v>
      </c>
      <c r="G1008" s="17">
        <f>IF('Components Yr 1'!G1008=0,0,'Components Yr 1'!G1008)</f>
        <v>0</v>
      </c>
      <c r="H1008" s="17">
        <f>IF('Components Yr 1'!H1008=0,0,'Components Yr 1'!H1008)</f>
        <v>0</v>
      </c>
      <c r="I1008" s="17">
        <f>IF('Components Yr 1'!I1008=0,0,'Components Yr 1'!I1008)</f>
        <v>0</v>
      </c>
      <c r="J1008" s="17">
        <f>IF('Components Yr 1'!J1008=0,0,'Components Yr 1'!J1008)</f>
        <v>0</v>
      </c>
      <c r="K1008" s="12"/>
      <c r="L1008" s="12"/>
      <c r="M1008" s="12"/>
      <c r="N1008" s="12"/>
      <c r="O1008" s="17">
        <f>IF('Components Yr 1'!O1008=0,0,'Components Yr 1'!O1008)</f>
        <v>0</v>
      </c>
      <c r="P1008" s="12"/>
      <c r="Q1008" s="17"/>
      <c r="R1008" s="18">
        <f>IF(SUMPRODUCT((E1008:Q1008)*1)=0,0,E1008*INDEX(Hours!M:M,MATCH(C1008,Hours!$A:$A,0))+F1008*INDEX(Hours!B:B,MATCH(C1008,Hours!$A:$A,0))+G1008*INDEX(Hours!C:C,MATCH(C1008,Hours!$A:$A,0))+H1008*INDEX(Hours!D:D,MATCH(C1008,Hours!$A:$A,0))+I1008*INDEX(Hours!E:E,MATCH(C1008,Hours!$A:$A,0))+J1008*INDEX(Hours!F:F,MATCH(C1008,Hours!$A:$A,0))+O1008*INDEX(Hours!K:K,MATCH(C1008,Hours!$A:$A,0)))</f>
        <v>0</v>
      </c>
      <c r="S1008" s="19">
        <f t="shared" si="31"/>
        <v>0</v>
      </c>
    </row>
    <row r="1009" spans="1:19" x14ac:dyDescent="0.25">
      <c r="A1009" s="15" t="str">
        <f>'Bldgs &amp; Rooms'!$A$29</f>
        <v>Main Bldg.</v>
      </c>
      <c r="B1009" s="15">
        <f>'Bldgs &amp; Rooms'!$B$29</f>
        <v>0</v>
      </c>
      <c r="C1009" s="14" t="str">
        <f>Hours!$A$10</f>
        <v>Motor Control Center (MCC-Per Vertical Section)</v>
      </c>
      <c r="D1009" s="15">
        <f t="shared" si="30"/>
        <v>0</v>
      </c>
      <c r="E1009" s="16">
        <f>IF('Components Yr 1'!E1009=0,0,'Components Yr 1'!E1009)</f>
        <v>0</v>
      </c>
      <c r="F1009" s="17">
        <f>IF('Components Yr 1'!F1009=0,0,'Components Yr 1'!F1009)</f>
        <v>0</v>
      </c>
      <c r="G1009" s="17">
        <f>IF('Components Yr 1'!G1009=0,0,'Components Yr 1'!G1009)</f>
        <v>0</v>
      </c>
      <c r="H1009" s="17">
        <f>IF('Components Yr 1'!H1009=0,0,'Components Yr 1'!H1009)</f>
        <v>0</v>
      </c>
      <c r="I1009" s="17">
        <f>IF('Components Yr 1'!I1009=0,0,'Components Yr 1'!I1009)</f>
        <v>0</v>
      </c>
      <c r="J1009" s="17">
        <f>IF('Components Yr 1'!J1009=0,0,'Components Yr 1'!J1009)</f>
        <v>0</v>
      </c>
      <c r="K1009" s="12"/>
      <c r="L1009" s="12"/>
      <c r="M1009" s="12"/>
      <c r="N1009" s="12"/>
      <c r="O1009" s="17">
        <f>IF('Components Yr 1'!O1009=0,0,'Components Yr 1'!O1009)</f>
        <v>0</v>
      </c>
      <c r="P1009" s="12"/>
      <c r="Q1009" s="17"/>
      <c r="R1009" s="18">
        <f>IF(SUMPRODUCT((E1009:Q1009)*1)=0,0,E1009*INDEX(Hours!M:M,MATCH(C1009,Hours!$A:$A,0))+F1009*INDEX(Hours!B:B,MATCH(C1009,Hours!$A:$A,0))+G1009*INDEX(Hours!C:C,MATCH(C1009,Hours!$A:$A,0))+H1009*INDEX(Hours!D:D,MATCH(C1009,Hours!$A:$A,0))+I1009*INDEX(Hours!E:E,MATCH(C1009,Hours!$A:$A,0))+J1009*INDEX(Hours!F:F,MATCH(C1009,Hours!$A:$A,0))+O1009*INDEX(Hours!K:K,MATCH(C1009,Hours!$A:$A,0)))</f>
        <v>0</v>
      </c>
      <c r="S1009" s="19">
        <f t="shared" si="31"/>
        <v>0</v>
      </c>
    </row>
    <row r="1010" spans="1:19" x14ac:dyDescent="0.25">
      <c r="A1010" s="15" t="str">
        <f>'Bldgs &amp; Rooms'!$A$29</f>
        <v>Main Bldg.</v>
      </c>
      <c r="B1010" s="15">
        <f>'Bldgs &amp; Rooms'!$B$29</f>
        <v>0</v>
      </c>
      <c r="C1010" s="14" t="str">
        <f>Hours!$A$11</f>
        <v xml:space="preserve">  MCC: Combination Motor Starters</v>
      </c>
      <c r="D1010" s="15">
        <f t="shared" si="30"/>
        <v>0</v>
      </c>
      <c r="E1010" s="16">
        <f>IF('Components Yr 1'!E1010=0,0,'Components Yr 1'!E1010)</f>
        <v>0</v>
      </c>
      <c r="F1010" s="17">
        <f>IF('Components Yr 1'!F1010=0,0,'Components Yr 1'!F1010)</f>
        <v>0</v>
      </c>
      <c r="G1010" s="17">
        <f>IF('Components Yr 1'!G1010=0,0,'Components Yr 1'!G1010)</f>
        <v>0</v>
      </c>
      <c r="H1010" s="17">
        <f>IF('Components Yr 1'!H1010=0,0,'Components Yr 1'!H1010)</f>
        <v>0</v>
      </c>
      <c r="I1010" s="17">
        <f>IF('Components Yr 1'!I1010=0,0,'Components Yr 1'!I1010)</f>
        <v>0</v>
      </c>
      <c r="J1010" s="17">
        <f>IF('Components Yr 1'!J1010=0,0,'Components Yr 1'!J1010)</f>
        <v>0</v>
      </c>
      <c r="K1010" s="17">
        <f>IF('Components Yr 1'!K1010=0,0,'Components Yr 1'!K1010)</f>
        <v>0</v>
      </c>
      <c r="L1010" s="12"/>
      <c r="M1010" s="12"/>
      <c r="N1010" s="12"/>
      <c r="O1010" s="17">
        <f>IF('Components Yr 1'!O1010=0,0,'Components Yr 1'!O1010)</f>
        <v>0</v>
      </c>
      <c r="P1010" s="12"/>
      <c r="Q1010" s="17"/>
      <c r="R1010" s="18">
        <f>IF(SUMPRODUCT((E1010:Q1010)*1)=0,0,E1010*INDEX(Hours!M:M,MATCH(C1010,Hours!$A:$A,0))+F1010*INDEX(Hours!B:B,MATCH(C1010,Hours!$A:$A,0))+G1010*INDEX(Hours!C:C,MATCH(C1010,Hours!$A:$A,0))+H1010*INDEX(Hours!D:D,MATCH(C1010,Hours!$A:$A,0))+I1010*INDEX(Hours!E:E,MATCH(C1010,Hours!$A:$A,0))+J1010*INDEX(Hours!F:F,MATCH(C1010,Hours!$A:$A,0))+K1010*INDEX(Hours!G:G,MATCH(C1010,Hours!$A:$A,0))+O1010*INDEX(Hours!K:K,MATCH(C1010,Hours!$A:$A,0)))</f>
        <v>0</v>
      </c>
      <c r="S1010" s="19">
        <f t="shared" si="31"/>
        <v>0</v>
      </c>
    </row>
    <row r="1011" spans="1:19" x14ac:dyDescent="0.25">
      <c r="A1011" s="15" t="str">
        <f>'Bldgs &amp; Rooms'!$A$29</f>
        <v>Main Bldg.</v>
      </c>
      <c r="B1011" s="15">
        <f>'Bldgs &amp; Rooms'!$B$29</f>
        <v>0</v>
      </c>
      <c r="C1011" s="14" t="str">
        <f>Hours!$A$12</f>
        <v xml:space="preserve">  MCC: Molded Case Breaker</v>
      </c>
      <c r="D1011" s="15">
        <f t="shared" si="30"/>
        <v>0</v>
      </c>
      <c r="E1011" s="16">
        <f>IF('Components Yr 1'!E1011=0,0,'Components Yr 1'!E1011)</f>
        <v>0</v>
      </c>
      <c r="F1011" s="17">
        <f>IF('Components Yr 1'!F1011=0,0,'Components Yr 1'!F1011)</f>
        <v>0</v>
      </c>
      <c r="G1011" s="17">
        <f>IF('Components Yr 1'!G1011=0,0,'Components Yr 1'!G1011)</f>
        <v>0</v>
      </c>
      <c r="H1011" s="17">
        <f>IF('Components Yr 1'!H1011=0,0,'Components Yr 1'!H1011)</f>
        <v>0</v>
      </c>
      <c r="I1011" s="17">
        <f>IF('Components Yr 1'!I1011=0,0,'Components Yr 1'!I1011)</f>
        <v>0</v>
      </c>
      <c r="J1011" s="17">
        <f>IF('Components Yr 1'!J1011=0,0,'Components Yr 1'!J1011)</f>
        <v>0</v>
      </c>
      <c r="K1011" s="17">
        <f>IF('Components Yr 1'!K1011=0,0,'Components Yr 1'!K1011)</f>
        <v>0</v>
      </c>
      <c r="L1011" s="12"/>
      <c r="M1011" s="12"/>
      <c r="N1011" s="12"/>
      <c r="O1011" s="12"/>
      <c r="P1011" s="12"/>
      <c r="Q1011" s="17"/>
      <c r="R1011" s="18">
        <f>IF(SUMPRODUCT((E1011:Q1011)*1)=0,0,E1011*INDEX(Hours!M:M,MATCH(C1011,Hours!$A:$A,0))+F1011*INDEX(Hours!B:B,MATCH(C1011,Hours!$A:$A,0))+G1011*INDEX(Hours!C:C,MATCH(C1011,Hours!$A:$A,0))+H1011*INDEX(Hours!D:D,MATCH(C1011,Hours!$A:$A,0))+I1011*INDEX(Hours!E:E,MATCH(C1011,Hours!$A:$A,0))+J1011*INDEX(Hours!F:F,MATCH(C1011,Hours!$A:$A,0))+K1011*INDEX(Hours!G:G,MATCH(C1011,Hours!$A:$A,0)))</f>
        <v>0</v>
      </c>
      <c r="S1011" s="19">
        <f t="shared" si="31"/>
        <v>0</v>
      </c>
    </row>
    <row r="1012" spans="1:19" x14ac:dyDescent="0.25">
      <c r="A1012" s="15" t="str">
        <f>'Bldgs &amp; Rooms'!$A$29</f>
        <v>Main Bldg.</v>
      </c>
      <c r="B1012" s="15">
        <f>'Bldgs &amp; Rooms'!$B$29</f>
        <v>0</v>
      </c>
      <c r="C1012" s="14" t="str">
        <f>Hours!$A$13</f>
        <v xml:space="preserve">  MCC: Individual Disconnect Switch</v>
      </c>
      <c r="D1012" s="15">
        <f t="shared" si="30"/>
        <v>0</v>
      </c>
      <c r="E1012" s="16">
        <f>IF('Components Yr 1'!E1012=0,0,'Components Yr 1'!E1012)</f>
        <v>0</v>
      </c>
      <c r="F1012" s="17">
        <f>IF('Components Yr 1'!F1012=0,0,'Components Yr 1'!F1012)</f>
        <v>0</v>
      </c>
      <c r="G1012" s="17">
        <f>IF('Components Yr 1'!G1012=0,0,'Components Yr 1'!G1012)</f>
        <v>0</v>
      </c>
      <c r="H1012" s="17">
        <f>IF('Components Yr 1'!H1012=0,0,'Components Yr 1'!H1012)</f>
        <v>0</v>
      </c>
      <c r="I1012" s="17">
        <f>IF('Components Yr 1'!I1012=0,0,'Components Yr 1'!I1012)</f>
        <v>0</v>
      </c>
      <c r="J1012" s="17">
        <f>IF('Components Yr 1'!J1012=0,0,'Components Yr 1'!J1012)</f>
        <v>0</v>
      </c>
      <c r="K1012" s="12"/>
      <c r="L1012" s="12"/>
      <c r="M1012" s="12"/>
      <c r="N1012" s="12"/>
      <c r="O1012" s="12"/>
      <c r="P1012" s="12"/>
      <c r="Q1012" s="17"/>
      <c r="R1012" s="18">
        <f>IF(SUMPRODUCT((E1012:Q1012)*1)=0,0,E1012*INDEX(Hours!M:M,MATCH(C1012,Hours!$A:$A,0))+F1012*INDEX(Hours!B:B,MATCH(C1012,Hours!$A:$A,0))+G1012*INDEX(Hours!C:C,MATCH(C1012,Hours!$A:$A,0))+H1012*INDEX(Hours!D:D,MATCH(C1012,Hours!$A:$A,0))+I1012*INDEX(Hours!E:E,MATCH(C1012,Hours!$A:$A,0))+J1012*INDEX(Hours!F:F,MATCH(C1012,Hours!$A:$A,0)))</f>
        <v>0</v>
      </c>
      <c r="S1012" s="19">
        <f t="shared" si="31"/>
        <v>0</v>
      </c>
    </row>
    <row r="1013" spans="1:19" x14ac:dyDescent="0.25">
      <c r="A1013" s="15" t="str">
        <f>'Bldgs &amp; Rooms'!$A$29</f>
        <v>Main Bldg.</v>
      </c>
      <c r="B1013" s="15">
        <f>'Bldgs &amp; Rooms'!$B$29</f>
        <v>0</v>
      </c>
      <c r="C1013" s="14" t="str">
        <f>Hours!$A$14</f>
        <v>Motor Control Panel (MCP)</v>
      </c>
      <c r="D1013" s="15">
        <f t="shared" si="30"/>
        <v>0</v>
      </c>
      <c r="E1013" s="16">
        <f>IF('Components Yr 1'!E1013=0,0,'Components Yr 1'!E1013)</f>
        <v>0</v>
      </c>
      <c r="F1013" s="17">
        <f>IF('Components Yr 1'!F1013=0,0,'Components Yr 1'!F1013)</f>
        <v>0</v>
      </c>
      <c r="G1013" s="17">
        <f>IF('Components Yr 1'!G1013=0,0,'Components Yr 1'!G1013)</f>
        <v>0</v>
      </c>
      <c r="H1013" s="17">
        <f>IF('Components Yr 1'!H1013=0,0,'Components Yr 1'!H1013)</f>
        <v>0</v>
      </c>
      <c r="I1013" s="17">
        <f>IF('Components Yr 1'!I1013=0,0,'Components Yr 1'!I1013)</f>
        <v>0</v>
      </c>
      <c r="J1013" s="17">
        <f>IF('Components Yr 1'!J1013=0,0,'Components Yr 1'!J1013)</f>
        <v>0</v>
      </c>
      <c r="K1013" s="12"/>
      <c r="L1013" s="12"/>
      <c r="M1013" s="12"/>
      <c r="N1013" s="12"/>
      <c r="O1013" s="17">
        <f>IF('Components Yr 1'!O1013=0,0,'Components Yr 1'!O1013)</f>
        <v>0</v>
      </c>
      <c r="P1013" s="12"/>
      <c r="Q1013" s="17"/>
      <c r="R1013" s="18">
        <f>IF(SUMPRODUCT((E1013:Q1013)*1)=0,0,E1013*INDEX(Hours!M:M,MATCH(C1013,Hours!$A:$A,0))+F1013*INDEX(Hours!B:B,MATCH(C1013,Hours!$A:$A,0))+G1013*INDEX(Hours!C:C,MATCH(C1013,Hours!$A:$A,0))+H1013*INDEX(Hours!D:D,MATCH(C1013,Hours!$A:$A,0))+I1013*INDEX(Hours!E:E,MATCH(C1013,Hours!$A:$A,0))+J1013*INDEX(Hours!F:F,MATCH(C1013,Hours!$A:$A,0))+O1013*INDEX(Hours!K:K,MATCH(C1013,Hours!$A:$A,0)))</f>
        <v>0</v>
      </c>
      <c r="S1013" s="19">
        <f t="shared" si="31"/>
        <v>0</v>
      </c>
    </row>
    <row r="1014" spans="1:19" x14ac:dyDescent="0.25">
      <c r="A1014" s="15" t="str">
        <f>'Bldgs &amp; Rooms'!$A$29</f>
        <v>Main Bldg.</v>
      </c>
      <c r="B1014" s="15">
        <f>'Bldgs &amp; Rooms'!$B$29</f>
        <v>0</v>
      </c>
      <c r="C1014" s="14" t="str">
        <f>Hours!$A$15</f>
        <v>VFD Motor Control Panel (VFD-MCP)</v>
      </c>
      <c r="D1014" s="15">
        <f t="shared" si="30"/>
        <v>0</v>
      </c>
      <c r="E1014" s="16">
        <f>IF('Components Yr 1'!E1014=0,0,'Components Yr 1'!E1014)</f>
        <v>0</v>
      </c>
      <c r="F1014" s="17">
        <f>IF('Components Yr 1'!F1014=0,0,'Components Yr 1'!F1014)</f>
        <v>0</v>
      </c>
      <c r="G1014" s="17">
        <f>IF('Components Yr 1'!G1014=0,0,'Components Yr 1'!G1014)</f>
        <v>0</v>
      </c>
      <c r="H1014" s="17">
        <f>IF('Components Yr 1'!H1014=0,0,'Components Yr 1'!H1014)</f>
        <v>0</v>
      </c>
      <c r="I1014" s="17">
        <f>IF('Components Yr 1'!I1014=0,0,'Components Yr 1'!I1014)</f>
        <v>0</v>
      </c>
      <c r="J1014" s="17">
        <f>IF('Components Yr 1'!J1014=0,0,'Components Yr 1'!J1014)</f>
        <v>0</v>
      </c>
      <c r="K1014" s="12"/>
      <c r="L1014" s="12"/>
      <c r="M1014" s="12"/>
      <c r="N1014" s="12"/>
      <c r="O1014" s="17">
        <f>IF('Components Yr 1'!O1014=0,0,'Components Yr 1'!O1014)</f>
        <v>0</v>
      </c>
      <c r="P1014" s="12"/>
      <c r="Q1014" s="17"/>
      <c r="R1014" s="18">
        <f>IF(SUMPRODUCT((E1014:Q1014)*1)=0,0,E1014*INDEX(Hours!M:M,MATCH(C1014,Hours!$A:$A,0))+F1014*INDEX(Hours!B:B,MATCH(C1014,Hours!$A:$A,0))+G1014*INDEX(Hours!C:C,MATCH(C1014,Hours!$A:$A,0))+H1014*INDEX(Hours!D:D,MATCH(C1014,Hours!$A:$A,0))+I1014*INDEX(Hours!E:E,MATCH(C1014,Hours!$A:$A,0))+J1014*INDEX(Hours!F:F,MATCH(C1014,Hours!$A:$A,0))+O1014*INDEX(Hours!K:K,MATCH(C1014,Hours!$A:$A,0)))</f>
        <v>0</v>
      </c>
      <c r="S1014" s="19">
        <f t="shared" si="31"/>
        <v>0</v>
      </c>
    </row>
    <row r="1015" spans="1:19" x14ac:dyDescent="0.25">
      <c r="A1015" s="15" t="str">
        <f>'Bldgs &amp; Rooms'!$A$29</f>
        <v>Main Bldg.</v>
      </c>
      <c r="B1015" s="15">
        <f>'Bldgs &amp; Rooms'!$B$29</f>
        <v>0</v>
      </c>
      <c r="C1015" s="14" t="str">
        <f>Hours!$A$16</f>
        <v>Individual Disconnect Switch &gt; 100A</v>
      </c>
      <c r="D1015" s="15">
        <f t="shared" si="30"/>
        <v>0</v>
      </c>
      <c r="E1015" s="16">
        <f>IF('Components Yr 1'!E1015=0,0,'Components Yr 1'!E1015)</f>
        <v>0</v>
      </c>
      <c r="F1015" s="17">
        <f>IF('Components Yr 1'!F1015=0,0,'Components Yr 1'!F1015)</f>
        <v>0</v>
      </c>
      <c r="G1015" s="17">
        <f>IF('Components Yr 1'!G1015=0,0,'Components Yr 1'!G1015)</f>
        <v>0</v>
      </c>
      <c r="H1015" s="17">
        <f>IF('Components Yr 1'!H1015=0,0,'Components Yr 1'!H1015)</f>
        <v>0</v>
      </c>
      <c r="I1015" s="17">
        <f>IF('Components Yr 1'!I1015=0,0,'Components Yr 1'!I1015)</f>
        <v>0</v>
      </c>
      <c r="J1015" s="17">
        <f>IF('Components Yr 1'!J1015=0,0,'Components Yr 1'!J1015)</f>
        <v>0</v>
      </c>
      <c r="K1015" s="17">
        <f>IF('Components Yr 1'!K1015=0,0,'Components Yr 1'!K1015)</f>
        <v>0</v>
      </c>
      <c r="L1015" s="12"/>
      <c r="M1015" s="12"/>
      <c r="N1015" s="12"/>
      <c r="O1015" s="12"/>
      <c r="P1015" s="12"/>
      <c r="Q1015" s="17"/>
      <c r="R1015" s="18">
        <f>IF(SUMPRODUCT((E1015:Q1015)*1)=0,0,E1015*INDEX(Hours!M:M,MATCH(C1015,Hours!$A:$A,0))+F1015*INDEX(Hours!B:B,MATCH(C1015,Hours!$A:$A,0))+G1015*INDEX(Hours!C:C,MATCH(C1015,Hours!$A:$A,0))+H1015*INDEX(Hours!D:D,MATCH(C1015,Hours!$A:$A,0))+I1015*INDEX(Hours!E:E,MATCH(C1015,Hours!$A:$A,0))+J1015*INDEX(Hours!F:F,MATCH(C1015,Hours!$A:$A,0))+K1015*INDEX(Hours!G:G,MATCH(C1015,Hours!$A:$A,0)))</f>
        <v>0</v>
      </c>
      <c r="S1015" s="19">
        <f t="shared" si="31"/>
        <v>0</v>
      </c>
    </row>
    <row r="1016" spans="1:19" x14ac:dyDescent="0.25">
      <c r="A1016" s="15" t="str">
        <f>'Bldgs &amp; Rooms'!$A$29</f>
        <v>Main Bldg.</v>
      </c>
      <c r="B1016" s="15">
        <f>'Bldgs &amp; Rooms'!$B$29</f>
        <v>0</v>
      </c>
      <c r="C1016" s="14" t="str">
        <f>Hours!$A$17</f>
        <v>Individual Molded Case Breaker &gt; 100A</v>
      </c>
      <c r="D1016" s="15">
        <f t="shared" si="30"/>
        <v>0</v>
      </c>
      <c r="E1016" s="16">
        <f>IF('Components Yr 1'!E1016=0,0,'Components Yr 1'!E1016)</f>
        <v>0</v>
      </c>
      <c r="F1016" s="17">
        <f>IF('Components Yr 1'!F1016=0,0,'Components Yr 1'!F1016)</f>
        <v>0</v>
      </c>
      <c r="G1016" s="17">
        <f>IF('Components Yr 1'!G1016=0,0,'Components Yr 1'!G1016)</f>
        <v>0</v>
      </c>
      <c r="H1016" s="17">
        <f>IF('Components Yr 1'!H1016=0,0,'Components Yr 1'!H1016)</f>
        <v>0</v>
      </c>
      <c r="I1016" s="17">
        <f>IF('Components Yr 1'!I1016=0,0,'Components Yr 1'!I1016)</f>
        <v>0</v>
      </c>
      <c r="J1016" s="17">
        <f>IF('Components Yr 1'!J1016=0,0,'Components Yr 1'!J1016)</f>
        <v>0</v>
      </c>
      <c r="K1016" s="17">
        <f>IF('Components Yr 1'!K1016=0,0,'Components Yr 1'!K1016)</f>
        <v>0</v>
      </c>
      <c r="L1016" s="12"/>
      <c r="M1016" s="12"/>
      <c r="N1016" s="12"/>
      <c r="O1016" s="12"/>
      <c r="P1016" s="12"/>
      <c r="Q1016" s="17"/>
      <c r="R1016" s="18">
        <f>IF(SUMPRODUCT((E1016:Q1016)*1)=0,0,E1016*INDEX(Hours!M:M,MATCH(C1016,Hours!$A:$A,0))+F1016*INDEX(Hours!B:B,MATCH(C1016,Hours!$A:$A,0))+G1016*INDEX(Hours!C:C,MATCH(C1016,Hours!$A:$A,0))+H1016*INDEX(Hours!D:D,MATCH(C1016,Hours!$A:$A,0))+I1016*INDEX(Hours!E:E,MATCH(C1016,Hours!$A:$A,0))+J1016*INDEX(Hours!F:F,MATCH(C1016,Hours!$A:$A,0))+K1016*INDEX(Hours!G:G,MATCH(C1016,Hours!$A:$A,0)))</f>
        <v>0</v>
      </c>
      <c r="S1016" s="19">
        <f t="shared" si="31"/>
        <v>0</v>
      </c>
    </row>
    <row r="1017" spans="1:19" x14ac:dyDescent="0.25">
      <c r="A1017" s="15" t="str">
        <f>'Bldgs &amp; Rooms'!$A$29</f>
        <v>Main Bldg.</v>
      </c>
      <c r="B1017" s="15">
        <f>'Bldgs &amp; Rooms'!$B$29</f>
        <v>0</v>
      </c>
      <c r="C1017" s="14" t="str">
        <f>Hours!$A$18</f>
        <v>Individual Combination Motor Starter &gt; 100A</v>
      </c>
      <c r="D1017" s="15">
        <f t="shared" si="30"/>
        <v>0</v>
      </c>
      <c r="E1017" s="16">
        <f>IF('Components Yr 1'!E1017=0,0,'Components Yr 1'!E1017)</f>
        <v>0</v>
      </c>
      <c r="F1017" s="17">
        <f>IF('Components Yr 1'!F1017=0,0,'Components Yr 1'!F1017)</f>
        <v>0</v>
      </c>
      <c r="G1017" s="17">
        <f>IF('Components Yr 1'!G1017=0,0,'Components Yr 1'!G1017)</f>
        <v>0</v>
      </c>
      <c r="H1017" s="17">
        <f>IF('Components Yr 1'!H1017=0,0,'Components Yr 1'!H1017)</f>
        <v>0</v>
      </c>
      <c r="I1017" s="17">
        <f>IF('Components Yr 1'!I1017=0,0,'Components Yr 1'!I1017)</f>
        <v>0</v>
      </c>
      <c r="J1017" s="17">
        <f>IF('Components Yr 1'!J1017=0,0,'Components Yr 1'!J1017)</f>
        <v>0</v>
      </c>
      <c r="K1017" s="17">
        <f>IF('Components Yr 1'!K1017=0,0,'Components Yr 1'!K1017)</f>
        <v>0</v>
      </c>
      <c r="L1017" s="12"/>
      <c r="M1017" s="12"/>
      <c r="N1017" s="12"/>
      <c r="O1017" s="12"/>
      <c r="P1017" s="12"/>
      <c r="Q1017" s="17"/>
      <c r="R1017" s="18">
        <f>IF(SUMPRODUCT((E1017:Q1017)*1)=0,0,E1017*INDEX(Hours!M:M,MATCH(C1017,Hours!$A:$A,0))+F1017*INDEX(Hours!B:B,MATCH(C1017,Hours!$A:$A,0))+G1017*INDEX(Hours!C:C,MATCH(C1017,Hours!$A:$A,0))+H1017*INDEX(Hours!D:D,MATCH(C1017,Hours!$A:$A,0))+I1017*INDEX(Hours!E:E,MATCH(C1017,Hours!$A:$A,0))+J1017*INDEX(Hours!F:F,MATCH(C1017,Hours!$A:$A,0))+K1017*INDEX(Hours!G:G,MATCH(C1017,Hours!$A:$A,0)))</f>
        <v>0</v>
      </c>
      <c r="S1017" s="19">
        <f t="shared" si="31"/>
        <v>0</v>
      </c>
    </row>
    <row r="1018" spans="1:19" x14ac:dyDescent="0.25">
      <c r="A1018" s="15" t="str">
        <f>'Bldgs &amp; Rooms'!$A$29</f>
        <v>Main Bldg.</v>
      </c>
      <c r="B1018" s="15">
        <f>'Bldgs &amp; Rooms'!$B$29</f>
        <v>0</v>
      </c>
      <c r="C1018" s="14" t="str">
        <f>Hours!$A$19</f>
        <v>Oil Filled Transformer - 5kV-15kV Primary - Any Size (Pad Mounted)</v>
      </c>
      <c r="D1018" s="15">
        <f t="shared" si="30"/>
        <v>0</v>
      </c>
      <c r="E1018" s="16">
        <f>IF('Components Yr 1'!E1018=0,0,'Components Yr 1'!E1018)</f>
        <v>0</v>
      </c>
      <c r="F1018" s="17">
        <f>IF('Components Yr 1'!F1018=0,0,'Components Yr 1'!F1018)</f>
        <v>0</v>
      </c>
      <c r="G1018" s="17">
        <f>IF('Components Yr 1'!G1018=0,0,'Components Yr 1'!G1018)</f>
        <v>0</v>
      </c>
      <c r="H1018" s="17">
        <f>IF('Components Yr 1'!H1018=0,0,'Components Yr 1'!H1018)</f>
        <v>0</v>
      </c>
      <c r="I1018" s="17">
        <f>IF('Components Yr 1'!I1018=0,0,'Components Yr 1'!I1018)</f>
        <v>0</v>
      </c>
      <c r="J1018" s="17">
        <f>IF('Components Yr 1'!J1018=0,0,'Components Yr 1'!J1018)</f>
        <v>0</v>
      </c>
      <c r="K1018" s="12"/>
      <c r="L1018" s="12"/>
      <c r="M1018" s="17">
        <f>IF('Components Yr 1'!M1018=0,0,'Components Yr 1'!M1018)</f>
        <v>0</v>
      </c>
      <c r="N1018" s="17">
        <f>IF('Components Yr 1'!N1018=0,0,'Components Yr 1'!N1018)</f>
        <v>0</v>
      </c>
      <c r="O1018" s="12"/>
      <c r="P1018" s="17">
        <f>IF('Components Yr 1'!P1018=0,0,'Components Yr 1'!P1018)</f>
        <v>0</v>
      </c>
      <c r="Q1018" s="17"/>
      <c r="R1018" s="18">
        <f>IF(SUMPRODUCT((E1018:Q1018)*1)=0,0,E1018*INDEX(Hours!M:M,MATCH(C1018,Hours!$A:$A,0))+F1018*INDEX(Hours!B:B,MATCH(C1018,Hours!$A:$A,0))+G1018*INDEX(Hours!C:C,MATCH(C1018,Hours!$A:$A,0))+H1018*INDEX(Hours!D:D,MATCH(C1018,Hours!$A:$A,0))+I1018*INDEX(Hours!E:E,MATCH(C1018,Hours!$A:$A,0))+J1018*INDEX(Hours!F:F,MATCH(C1018,Hours!$A:$A,0))+M1018*INDEX(Hours!I:I,MATCH(C1018,Hours!$A:$A,0))+N1018*INDEX(Hours!J:J,MATCH(C1018,Hours!$A:$A,0))+P1018*INDEX(Hours!L:L,MATCH(C1018,Hours!$A:$A,0)))</f>
        <v>0</v>
      </c>
      <c r="S1018" s="19">
        <f t="shared" si="31"/>
        <v>0</v>
      </c>
    </row>
    <row r="1019" spans="1:19" x14ac:dyDescent="0.25">
      <c r="A1019" s="15" t="str">
        <f>'Bldgs &amp; Rooms'!$A$29</f>
        <v>Main Bldg.</v>
      </c>
      <c r="B1019" s="15">
        <f>'Bldgs &amp; Rooms'!$B$29</f>
        <v>0</v>
      </c>
      <c r="C1019" s="14" t="str">
        <f>Hours!$A$20</f>
        <v>Oil Filled Transformer - &gt; 15kV Primary (Substation Class)</v>
      </c>
      <c r="D1019" s="15">
        <f t="shared" si="30"/>
        <v>0</v>
      </c>
      <c r="E1019" s="16">
        <f>IF('Components Yr 1'!E1019=0,0,'Components Yr 1'!E1019)</f>
        <v>0</v>
      </c>
      <c r="F1019" s="17">
        <f>IF('Components Yr 1'!F1019=0,0,'Components Yr 1'!F1019)</f>
        <v>0</v>
      </c>
      <c r="G1019" s="17">
        <f>IF('Components Yr 1'!G1019=0,0,'Components Yr 1'!G1019)</f>
        <v>0</v>
      </c>
      <c r="H1019" s="17">
        <f>IF('Components Yr 1'!H1019=0,0,'Components Yr 1'!H1019)</f>
        <v>0</v>
      </c>
      <c r="I1019" s="17">
        <f>IF('Components Yr 1'!I1019=0,0,'Components Yr 1'!I1019)</f>
        <v>0</v>
      </c>
      <c r="J1019" s="17">
        <f>IF('Components Yr 1'!J1019=0,0,'Components Yr 1'!J1019)</f>
        <v>0</v>
      </c>
      <c r="K1019" s="12"/>
      <c r="L1019" s="12"/>
      <c r="M1019" s="17">
        <f>IF('Components Yr 1'!M1019=0,0,'Components Yr 1'!M1019)</f>
        <v>0</v>
      </c>
      <c r="N1019" s="17">
        <f>IF('Components Yr 1'!N1019=0,0,'Components Yr 1'!N1019)</f>
        <v>0</v>
      </c>
      <c r="O1019" s="12"/>
      <c r="P1019" s="17">
        <f>IF('Components Yr 1'!P1019=0,0,'Components Yr 1'!P1019)</f>
        <v>0</v>
      </c>
      <c r="Q1019" s="17"/>
      <c r="R1019" s="18">
        <f>IF(SUMPRODUCT((E1019:Q1019)*1)=0,0,E1019*INDEX(Hours!M:M,MATCH(C1019,Hours!$A:$A,0))+F1019*INDEX(Hours!B:B,MATCH(C1019,Hours!$A:$A,0))+G1019*INDEX(Hours!C:C,MATCH(C1019,Hours!$A:$A,0))+H1019*INDEX(Hours!D:D,MATCH(C1019,Hours!$A:$A,0))+I1019*INDEX(Hours!E:E,MATCH(C1019,Hours!$A:$A,0))+J1019*INDEX(Hours!F:F,MATCH(C1019,Hours!$A:$A,0))+M1019*INDEX(Hours!I:I,MATCH(C1019,Hours!$A:$A,0))+N1019*INDEX(Hours!J:J,MATCH(C1019,Hours!$A:$A,0))+P1019*INDEX(Hours!L:L,MATCH(C1019,Hours!$A:$A,0)))</f>
        <v>0</v>
      </c>
      <c r="S1019" s="19">
        <f t="shared" si="31"/>
        <v>0</v>
      </c>
    </row>
    <row r="1020" spans="1:19" x14ac:dyDescent="0.25">
      <c r="A1020" s="15" t="str">
        <f>'Bldgs &amp; Rooms'!$A$29</f>
        <v>Main Bldg.</v>
      </c>
      <c r="B1020" s="15">
        <f>'Bldgs &amp; Rooms'!$B$29</f>
        <v>0</v>
      </c>
      <c r="C1020" s="14" t="str">
        <f>Hours!$A$21</f>
        <v>Dry Type Transformer - &lt; 480V Primary - Any Size kVA</v>
      </c>
      <c r="D1020" s="15">
        <f t="shared" si="30"/>
        <v>0</v>
      </c>
      <c r="E1020" s="16">
        <f>IF('Components Yr 1'!E1020=0,0,'Components Yr 1'!E1020)</f>
        <v>0</v>
      </c>
      <c r="F1020" s="17">
        <f>IF('Components Yr 1'!F1020=0,0,'Components Yr 1'!F1020)</f>
        <v>0</v>
      </c>
      <c r="G1020" s="17">
        <f>IF('Components Yr 1'!G1020=0,0,'Components Yr 1'!G1020)</f>
        <v>0</v>
      </c>
      <c r="H1020" s="17">
        <f>IF('Components Yr 1'!H1020=0,0,'Components Yr 1'!H1020)</f>
        <v>0</v>
      </c>
      <c r="I1020" s="17">
        <f>IF('Components Yr 1'!I1020=0,0,'Components Yr 1'!I1020)</f>
        <v>0</v>
      </c>
      <c r="J1020" s="17">
        <f>IF('Components Yr 1'!J1020=0,0,'Components Yr 1'!J1020)</f>
        <v>0</v>
      </c>
      <c r="K1020" s="12"/>
      <c r="L1020" s="12"/>
      <c r="M1020" s="17">
        <f>IF('Components Yr 1'!M1020=0,0,'Components Yr 1'!M1020)</f>
        <v>0</v>
      </c>
      <c r="N1020" s="17">
        <f>IF('Components Yr 1'!N1020=0,0,'Components Yr 1'!N1020)</f>
        <v>0</v>
      </c>
      <c r="O1020" s="12"/>
      <c r="P1020" s="12"/>
      <c r="Q1020" s="17"/>
      <c r="R1020" s="18">
        <f>IF(SUMPRODUCT((E1020:Q1020)*1)=0,0,E1020*INDEX(Hours!M:M,MATCH(C1020,Hours!$A:$A,0))+F1020*INDEX(Hours!B:B,MATCH(C1020,Hours!$A:$A,0))+G1020*INDEX(Hours!C:C,MATCH(C1020,Hours!$A:$A,0))+H1020*INDEX(Hours!D:D,MATCH(C1020,Hours!$A:$A,0))+I1020*INDEX(Hours!E:E,MATCH(C1020,Hours!$A:$A,0))+J1020*INDEX(Hours!F:F,MATCH(C1020,Hours!$A:$A,0))+M1020*INDEX(Hours!I:I,MATCH(C1020,Hours!$A:$A,0))+N1020*INDEX(Hours!J:J,MATCH(C1020,Hours!$A:$A,0)))</f>
        <v>0</v>
      </c>
      <c r="S1020" s="19">
        <f t="shared" si="31"/>
        <v>0</v>
      </c>
    </row>
    <row r="1021" spans="1:19" x14ac:dyDescent="0.25">
      <c r="A1021" s="15" t="str">
        <f>'Bldgs &amp; Rooms'!$A$29</f>
        <v>Main Bldg.</v>
      </c>
      <c r="B1021" s="15">
        <f>'Bldgs &amp; Rooms'!$B$29</f>
        <v>0</v>
      </c>
      <c r="C1021" s="14" t="str">
        <f>Hours!$A$22</f>
        <v>Power Factor Correction Capacitors</v>
      </c>
      <c r="D1021" s="15">
        <f t="shared" si="30"/>
        <v>0</v>
      </c>
      <c r="E1021" s="16">
        <f>IF('Components Yr 1'!E1021=0,0,'Components Yr 1'!E1021)</f>
        <v>0</v>
      </c>
      <c r="F1021" s="17">
        <f>IF('Components Yr 1'!F1021=0,0,'Components Yr 1'!F1021)</f>
        <v>0</v>
      </c>
      <c r="G1021" s="17">
        <f>IF('Components Yr 1'!G1021=0,0,'Components Yr 1'!G1021)</f>
        <v>0</v>
      </c>
      <c r="H1021" s="17">
        <f>IF('Components Yr 1'!H1021=0,0,'Components Yr 1'!H1021)</f>
        <v>0</v>
      </c>
      <c r="I1021" s="17">
        <f>IF('Components Yr 1'!I1021=0,0,'Components Yr 1'!I1021)</f>
        <v>0</v>
      </c>
      <c r="J1021" s="17">
        <f>IF('Components Yr 1'!J1021=0,0,'Components Yr 1'!J1021)</f>
        <v>0</v>
      </c>
      <c r="K1021" s="12"/>
      <c r="L1021" s="12"/>
      <c r="M1021" s="12"/>
      <c r="N1021" s="12"/>
      <c r="O1021" s="12"/>
      <c r="P1021" s="12"/>
      <c r="Q1021" s="17"/>
      <c r="R1021" s="18">
        <f>IF(SUMPRODUCT((E1021:Q1021)*1)=0,0,E1021*INDEX(Hours!M:M,MATCH(C1021,Hours!$A:$A,0))+F1021*INDEX(Hours!B:B,MATCH(C1021,Hours!$A:$A,0))+G1021*INDEX(Hours!C:C,MATCH(C1021,Hours!$A:$A,0))+H1021*INDEX(Hours!D:D,MATCH(C1021,Hours!$A:$A,0))+I1021*INDEX(Hours!E:E,MATCH(C1021,Hours!$A:$A,0))+J1021*INDEX(Hours!F:F,MATCH(C1021,Hours!$A:$A,0)))</f>
        <v>0</v>
      </c>
      <c r="S1021" s="19">
        <f t="shared" si="31"/>
        <v>0</v>
      </c>
    </row>
    <row r="1022" spans="1:19" x14ac:dyDescent="0.25">
      <c r="A1022" s="15" t="str">
        <f>'Bldgs &amp; Rooms'!$A$29</f>
        <v>Main Bldg.</v>
      </c>
      <c r="B1022" s="15">
        <f>'Bldgs &amp; Rooms'!$B$29</f>
        <v>0</v>
      </c>
      <c r="C1022" s="14" t="str">
        <f>Hours!$A$23</f>
        <v>Lighting Contactor &gt; 100A</v>
      </c>
      <c r="D1022" s="15">
        <f t="shared" si="30"/>
        <v>0</v>
      </c>
      <c r="E1022" s="16">
        <f>IF('Components Yr 1'!E1022=0,0,'Components Yr 1'!E1022)</f>
        <v>0</v>
      </c>
      <c r="F1022" s="17">
        <f>IF('Components Yr 1'!F1022=0,0,'Components Yr 1'!F1022)</f>
        <v>0</v>
      </c>
      <c r="G1022" s="17">
        <f>IF('Components Yr 1'!G1022=0,0,'Components Yr 1'!G1022)</f>
        <v>0</v>
      </c>
      <c r="H1022" s="17">
        <f>IF('Components Yr 1'!H1022=0,0,'Components Yr 1'!H1022)</f>
        <v>0</v>
      </c>
      <c r="I1022" s="17">
        <f>IF('Components Yr 1'!I1022=0,0,'Components Yr 1'!I1022)</f>
        <v>0</v>
      </c>
      <c r="J1022" s="17">
        <f>IF('Components Yr 1'!J1022=0,0,'Components Yr 1'!J1022)</f>
        <v>0</v>
      </c>
      <c r="K1022" s="12"/>
      <c r="L1022" s="12"/>
      <c r="M1022" s="12"/>
      <c r="N1022" s="12"/>
      <c r="O1022" s="12"/>
      <c r="P1022" s="12"/>
      <c r="Q1022" s="17"/>
      <c r="R1022" s="18">
        <f>IF(SUMPRODUCT((E1022:Q1022)*1)=0,0,E1022*INDEX(Hours!M:M,MATCH(C1022,Hours!$A:$A,0))+F1022*INDEX(Hours!B:B,MATCH(C1022,Hours!$A:$A,0))+G1022*INDEX(Hours!C:C,MATCH(C1022,Hours!$A:$A,0))+H1022*INDEX(Hours!D:D,MATCH(C1022,Hours!$A:$A,0))+I1022*INDEX(Hours!E:E,MATCH(C1022,Hours!$A:$A,0))+J1022*INDEX(Hours!F:F,MATCH(C1022,Hours!$A:$A,0)))</f>
        <v>0</v>
      </c>
      <c r="S1022" s="19">
        <f t="shared" si="31"/>
        <v>0</v>
      </c>
    </row>
    <row r="1023" spans="1:19" x14ac:dyDescent="0.25">
      <c r="A1023" s="15" t="str">
        <f>'Bldgs &amp; Rooms'!$A$29</f>
        <v>Main Bldg.</v>
      </c>
      <c r="B1023" s="15">
        <f>'Bldgs &amp; Rooms'!$B$29</f>
        <v>0</v>
      </c>
      <c r="C1023" s="14" t="str">
        <f>Hours!$A$24</f>
        <v>Power Distribution Unit (PDU)</v>
      </c>
      <c r="D1023" s="15">
        <f t="shared" si="30"/>
        <v>0</v>
      </c>
      <c r="E1023" s="16">
        <f>IF('Components Yr 1'!E1023=0,0,'Components Yr 1'!E1023)</f>
        <v>0</v>
      </c>
      <c r="F1023" s="17">
        <f>IF('Components Yr 1'!F1023=0,0,'Components Yr 1'!F1023)</f>
        <v>0</v>
      </c>
      <c r="G1023" s="17">
        <f>IF('Components Yr 1'!G1023=0,0,'Components Yr 1'!G1023)</f>
        <v>0</v>
      </c>
      <c r="H1023" s="17">
        <f>IF('Components Yr 1'!H1023=0,0,'Components Yr 1'!H1023)</f>
        <v>0</v>
      </c>
      <c r="I1023" s="17">
        <f>IF('Components Yr 1'!I1023=0,0,'Components Yr 1'!I1023)</f>
        <v>0</v>
      </c>
      <c r="J1023" s="17">
        <f>IF('Components Yr 1'!J1023=0,0,'Components Yr 1'!J1023)</f>
        <v>0</v>
      </c>
      <c r="K1023" s="12"/>
      <c r="L1023" s="12"/>
      <c r="M1023" s="12"/>
      <c r="N1023" s="12"/>
      <c r="O1023" s="12"/>
      <c r="P1023" s="12"/>
      <c r="Q1023" s="17"/>
      <c r="R1023" s="18">
        <f>IF(SUMPRODUCT((E1023:Q1023)*1)=0,0,E1023*INDEX(Hours!M:M,MATCH(C1023,Hours!$A:$A,0))+F1023*INDEX(Hours!B:B,MATCH(C1023,Hours!$A:$A,0))+G1023*INDEX(Hours!C:C,MATCH(C1023,Hours!$A:$A,0))+H1023*INDEX(Hours!D:D,MATCH(C1023,Hours!$A:$A,0))+I1023*INDEX(Hours!E:E,MATCH(C1023,Hours!$A:$A,0))+J1023*INDEX(Hours!F:F,MATCH(C1023,Hours!$A:$A,0)))</f>
        <v>0</v>
      </c>
      <c r="S1023" s="19">
        <f t="shared" si="31"/>
        <v>0</v>
      </c>
    </row>
    <row r="1024" spans="1:19" x14ac:dyDescent="0.25">
      <c r="A1024" s="15" t="str">
        <f>'Bldgs &amp; Rooms'!$A$29</f>
        <v>Main Bldg.</v>
      </c>
      <c r="B1024" s="15">
        <f>'Bldgs &amp; Rooms'!$B$29</f>
        <v>0</v>
      </c>
      <c r="C1024" s="14" t="str">
        <f>Hours!$A$25</f>
        <v>Wire Trough, Gutter, or Large Junction Boxes</v>
      </c>
      <c r="D1024" s="15">
        <f t="shared" si="30"/>
        <v>0</v>
      </c>
      <c r="E1024" s="16">
        <f>IF('Components Yr 1'!E1024=0,0,'Components Yr 1'!E1024)</f>
        <v>0</v>
      </c>
      <c r="F1024" s="17">
        <f>IF('Components Yr 1'!F1024=0,0,'Components Yr 1'!F1024)</f>
        <v>0</v>
      </c>
      <c r="G1024" s="17">
        <f>IF('Components Yr 1'!G1024=0,0,'Components Yr 1'!G1024)</f>
        <v>0</v>
      </c>
      <c r="H1024" s="17">
        <f>IF('Components Yr 1'!H1024=0,0,'Components Yr 1'!H1024)</f>
        <v>0</v>
      </c>
      <c r="I1024" s="17">
        <f>IF('Components Yr 1'!I1024=0,0,'Components Yr 1'!I1024)</f>
        <v>0</v>
      </c>
      <c r="J1024" s="17">
        <f>IF('Components Yr 1'!J1024=0,0,'Components Yr 1'!J1024)</f>
        <v>0</v>
      </c>
      <c r="K1024" s="12"/>
      <c r="L1024" s="12"/>
      <c r="M1024" s="12"/>
      <c r="N1024" s="12"/>
      <c r="O1024" s="12"/>
      <c r="P1024" s="12"/>
      <c r="Q1024" s="17"/>
      <c r="R1024" s="18">
        <f>IF(SUMPRODUCT((E1024:Q1024)*1)=0,0,E1024*INDEX(Hours!M:M,MATCH(C1024,Hours!$A:$A,0))+F1024*INDEX(Hours!B:B,MATCH(C1024,Hours!$A:$A,0))+G1024*INDEX(Hours!C:C,MATCH(C1024,Hours!$A:$A,0))+H1024*INDEX(Hours!D:D,MATCH(C1024,Hours!$A:$A,0))+I1024*INDEX(Hours!E:E,MATCH(C1024,Hours!$A:$A,0))+J1024*INDEX(Hours!F:F,MATCH(C1024,Hours!$A:$A,0)))</f>
        <v>0</v>
      </c>
      <c r="S1024" s="19">
        <f t="shared" si="31"/>
        <v>0</v>
      </c>
    </row>
    <row r="1025" spans="1:19" x14ac:dyDescent="0.25">
      <c r="A1025" s="15" t="str">
        <f>'Bldgs &amp; Rooms'!$A$29</f>
        <v>Main Bldg.</v>
      </c>
      <c r="B1025" s="15">
        <f>'Bldgs &amp; Rooms'!$B$29</f>
        <v>0</v>
      </c>
      <c r="C1025" s="14" t="str">
        <f>Hours!$A$26</f>
        <v>Bus Duct - Vertical or Horizontal (Per 10' section)</v>
      </c>
      <c r="D1025" s="15">
        <f t="shared" si="30"/>
        <v>0</v>
      </c>
      <c r="E1025" s="16">
        <f>IF('Components Yr 1'!E1025=0,0,'Components Yr 1'!E1025)</f>
        <v>0</v>
      </c>
      <c r="F1025" s="17">
        <f>IF('Components Yr 1'!F1025=0,0,'Components Yr 1'!F1025)</f>
        <v>0</v>
      </c>
      <c r="G1025" s="17">
        <f>IF('Components Yr 1'!G1025=0,0,'Components Yr 1'!G1025)</f>
        <v>0</v>
      </c>
      <c r="H1025" s="17">
        <f>IF('Components Yr 1'!H1025=0,0,'Components Yr 1'!H1025)</f>
        <v>0</v>
      </c>
      <c r="I1025" s="17">
        <f>IF('Components Yr 1'!I1025=0,0,'Components Yr 1'!I1025)</f>
        <v>0</v>
      </c>
      <c r="J1025" s="17">
        <f>IF('Components Yr 1'!J1025=0,0,'Components Yr 1'!J1025)</f>
        <v>0</v>
      </c>
      <c r="K1025" s="12"/>
      <c r="L1025" s="12"/>
      <c r="M1025" s="12"/>
      <c r="N1025" s="12"/>
      <c r="O1025" s="12"/>
      <c r="P1025" s="12"/>
      <c r="Q1025" s="17"/>
      <c r="R1025" s="18">
        <f>IF(SUMPRODUCT((E1025:Q1025)*1)=0,0,E1025*INDEX(Hours!M:M,MATCH(C1025,Hours!$A:$A,0))+F1025*INDEX(Hours!B:B,MATCH(C1025,Hours!$A:$A,0))+G1025*INDEX(Hours!C:C,MATCH(C1025,Hours!$A:$A,0))+H1025*INDEX(Hours!D:D,MATCH(C1025,Hours!$A:$A,0))+I1025*INDEX(Hours!E:E,MATCH(C1025,Hours!$A:$A,0))+J1025*INDEX(Hours!F:F,MATCH(C1025,Hours!$A:$A,0)))</f>
        <v>0</v>
      </c>
      <c r="S1025" s="19">
        <f t="shared" si="31"/>
        <v>0</v>
      </c>
    </row>
    <row r="1026" spans="1:19" x14ac:dyDescent="0.25">
      <c r="A1026" s="15" t="str">
        <f>'Bldgs &amp; Rooms'!$A$29</f>
        <v>Main Bldg.</v>
      </c>
      <c r="B1026" s="15">
        <f>'Bldgs &amp; Rooms'!$B$29</f>
        <v>0</v>
      </c>
      <c r="C1026" s="14" t="str">
        <f>Hours!$A$27</f>
        <v>Automatic Transfer Switch (ATS) &gt; 100A</v>
      </c>
      <c r="D1026" s="15">
        <f t="shared" ref="D1026:D1089" si="32">MAX(E1026+F1026,G1026,H1026,I1026,J1026,K1026,L1026,M1026,N1026,O1026,P1026,Q1026)</f>
        <v>0</v>
      </c>
      <c r="E1026" s="16">
        <f>IF('Components Yr 1'!E1026=0,0,'Components Yr 1'!E1026)</f>
        <v>0</v>
      </c>
      <c r="F1026" s="17">
        <f>IF('Components Yr 1'!F1026=0,0,'Components Yr 1'!F1026)</f>
        <v>0</v>
      </c>
      <c r="G1026" s="17">
        <f>IF('Components Yr 1'!G1026=0,0,'Components Yr 1'!G1026)</f>
        <v>0</v>
      </c>
      <c r="H1026" s="17">
        <f>IF('Components Yr 1'!H1026=0,0,'Components Yr 1'!H1026)</f>
        <v>0</v>
      </c>
      <c r="I1026" s="17">
        <f>IF('Components Yr 1'!I1026=0,0,'Components Yr 1'!I1026)</f>
        <v>0</v>
      </c>
      <c r="J1026" s="17">
        <f>IF('Components Yr 1'!J1026=0,0,'Components Yr 1'!J1026)</f>
        <v>0</v>
      </c>
      <c r="K1026" s="12"/>
      <c r="L1026" s="12"/>
      <c r="M1026" s="12"/>
      <c r="N1026" s="12"/>
      <c r="O1026" s="12"/>
      <c r="P1026" s="12"/>
      <c r="Q1026" s="17"/>
      <c r="R1026" s="18">
        <f>IF(SUMPRODUCT((E1026:Q1026)*1)=0,0,E1026*INDEX(Hours!M:M,MATCH(C1026,Hours!$A:$A,0))+F1026*INDEX(Hours!B:B,MATCH(C1026,Hours!$A:$A,0))+G1026*INDEX(Hours!C:C,MATCH(C1026,Hours!$A:$A,0))+H1026*INDEX(Hours!D:D,MATCH(C1026,Hours!$A:$A,0))+I1026*INDEX(Hours!E:E,MATCH(C1026,Hours!$A:$A,0))+J1026*INDEX(Hours!F:F,MATCH(C1026,Hours!$A:$A,0)))</f>
        <v>0</v>
      </c>
      <c r="S1026" s="19">
        <f t="shared" ref="S1026:S1089" si="33">MAX(E1026+F1026,G1026,H1026,I1026,J1026,K1026,L1026,M1026,N1026,O1026,P1026,Q1026)</f>
        <v>0</v>
      </c>
    </row>
    <row r="1027" spans="1:19" x14ac:dyDescent="0.25">
      <c r="A1027" s="15" t="str">
        <f>'Bldgs &amp; Rooms'!$A$29</f>
        <v>Main Bldg.</v>
      </c>
      <c r="B1027" s="15">
        <f>'Bldgs &amp; Rooms'!$B$29</f>
        <v>0</v>
      </c>
      <c r="C1027" s="14" t="str">
        <f>Hours!$A$28</f>
        <v>Manual Transfer Switch (MTS) &gt; 100A</v>
      </c>
      <c r="D1027" s="15">
        <f t="shared" si="32"/>
        <v>0</v>
      </c>
      <c r="E1027" s="16">
        <f>IF('Components Yr 1'!E1027=0,0,'Components Yr 1'!E1027)</f>
        <v>0</v>
      </c>
      <c r="F1027" s="17">
        <f>IF('Components Yr 1'!F1027=0,0,'Components Yr 1'!F1027)</f>
        <v>0</v>
      </c>
      <c r="G1027" s="17">
        <f>IF('Components Yr 1'!G1027=0,0,'Components Yr 1'!G1027)</f>
        <v>0</v>
      </c>
      <c r="H1027" s="17">
        <f>IF('Components Yr 1'!H1027=0,0,'Components Yr 1'!H1027)</f>
        <v>0</v>
      </c>
      <c r="I1027" s="17">
        <f>IF('Components Yr 1'!I1027=0,0,'Components Yr 1'!I1027)</f>
        <v>0</v>
      </c>
      <c r="J1027" s="17">
        <f>IF('Components Yr 1'!J1027=0,0,'Components Yr 1'!J1027)</f>
        <v>0</v>
      </c>
      <c r="K1027" s="12"/>
      <c r="L1027" s="12"/>
      <c r="M1027" s="12"/>
      <c r="N1027" s="12"/>
      <c r="O1027" s="12"/>
      <c r="P1027" s="12"/>
      <c r="Q1027" s="17"/>
      <c r="R1027" s="18">
        <f>IF(SUMPRODUCT((E1027:Q1027)*1)=0,0,E1027*INDEX(Hours!M:M,MATCH(C1027,Hours!$A:$A,0))+F1027*INDEX(Hours!B:B,MATCH(C1027,Hours!$A:$A,0))+G1027*INDEX(Hours!C:C,MATCH(C1027,Hours!$A:$A,0))+H1027*INDEX(Hours!D:D,MATCH(C1027,Hours!$A:$A,0))+I1027*INDEX(Hours!E:E,MATCH(C1027,Hours!$A:$A,0))+J1027*INDEX(Hours!F:F,MATCH(C1027,Hours!$A:$A,0)))</f>
        <v>0</v>
      </c>
      <c r="S1027" s="19">
        <f t="shared" si="33"/>
        <v>0</v>
      </c>
    </row>
    <row r="1028" spans="1:19" x14ac:dyDescent="0.25">
      <c r="A1028" s="15" t="str">
        <f>'Bldgs &amp; Rooms'!$A$29</f>
        <v>Main Bldg.</v>
      </c>
      <c r="B1028" s="15">
        <f>'Bldgs &amp; Rooms'!$B$29</f>
        <v>0</v>
      </c>
      <c r="C1028" s="14" t="str">
        <f>Hours!$A$29</f>
        <v>Variable Frequency Drives (VFD) &lt; 50 HP</v>
      </c>
      <c r="D1028" s="15">
        <f t="shared" si="32"/>
        <v>0</v>
      </c>
      <c r="E1028" s="16">
        <f>IF('Components Yr 1'!E1028=0,0,'Components Yr 1'!E1028)</f>
        <v>0</v>
      </c>
      <c r="F1028" s="17">
        <f>IF('Components Yr 1'!F1028=0,0,'Components Yr 1'!F1028)</f>
        <v>0</v>
      </c>
      <c r="G1028" s="17">
        <f>IF('Components Yr 1'!G1028=0,0,'Components Yr 1'!G1028)</f>
        <v>0</v>
      </c>
      <c r="H1028" s="17">
        <f>IF('Components Yr 1'!H1028=0,0,'Components Yr 1'!H1028)</f>
        <v>0</v>
      </c>
      <c r="I1028" s="17">
        <f>IF('Components Yr 1'!I1028=0,0,'Components Yr 1'!I1028)</f>
        <v>0</v>
      </c>
      <c r="J1028" s="17">
        <f>IF('Components Yr 1'!J1028=0,0,'Components Yr 1'!J1028)</f>
        <v>0</v>
      </c>
      <c r="K1028" s="12"/>
      <c r="L1028" s="12"/>
      <c r="M1028" s="12"/>
      <c r="N1028" s="12"/>
      <c r="O1028" s="12"/>
      <c r="P1028" s="12"/>
      <c r="Q1028" s="17"/>
      <c r="R1028" s="18">
        <f>IF(SUMPRODUCT((E1028:Q1028)*1)=0,0,E1028*INDEX(Hours!M:M,MATCH(C1028,Hours!$A:$A,0))+F1028*INDEX(Hours!B:B,MATCH(C1028,Hours!$A:$A,0))+G1028*INDEX(Hours!C:C,MATCH(C1028,Hours!$A:$A,0))+H1028*INDEX(Hours!D:D,MATCH(C1028,Hours!$A:$A,0))+I1028*INDEX(Hours!E:E,MATCH(C1028,Hours!$A:$A,0))+J1028*INDEX(Hours!F:F,MATCH(C1028,Hours!$A:$A,0)))</f>
        <v>0</v>
      </c>
      <c r="S1028" s="19">
        <f t="shared" si="33"/>
        <v>0</v>
      </c>
    </row>
    <row r="1029" spans="1:19" x14ac:dyDescent="0.25">
      <c r="A1029" s="15" t="str">
        <f>'Bldgs &amp; Rooms'!$A$29</f>
        <v>Main Bldg.</v>
      </c>
      <c r="B1029" s="15">
        <f>'Bldgs &amp; Rooms'!$B$29</f>
        <v>0</v>
      </c>
      <c r="C1029" s="14" t="str">
        <f>Hours!$A$30</f>
        <v>Variable Frequency Drives (VFD) 51-200 HP</v>
      </c>
      <c r="D1029" s="15">
        <f t="shared" si="32"/>
        <v>0</v>
      </c>
      <c r="E1029" s="16">
        <f>IF('Components Yr 1'!E1029=0,0,'Components Yr 1'!E1029)</f>
        <v>0</v>
      </c>
      <c r="F1029" s="17">
        <f>IF('Components Yr 1'!F1029=0,0,'Components Yr 1'!F1029)</f>
        <v>0</v>
      </c>
      <c r="G1029" s="17">
        <f>IF('Components Yr 1'!G1029=0,0,'Components Yr 1'!G1029)</f>
        <v>0</v>
      </c>
      <c r="H1029" s="17">
        <f>IF('Components Yr 1'!H1029=0,0,'Components Yr 1'!H1029)</f>
        <v>0</v>
      </c>
      <c r="I1029" s="17">
        <f>IF('Components Yr 1'!I1029=0,0,'Components Yr 1'!I1029)</f>
        <v>0</v>
      </c>
      <c r="J1029" s="17">
        <f>IF('Components Yr 1'!J1029=0,0,'Components Yr 1'!J1029)</f>
        <v>0</v>
      </c>
      <c r="K1029" s="12"/>
      <c r="L1029" s="12"/>
      <c r="M1029" s="12"/>
      <c r="N1029" s="12"/>
      <c r="O1029" s="12"/>
      <c r="P1029" s="12"/>
      <c r="Q1029" s="17"/>
      <c r="R1029" s="18">
        <f>IF(SUMPRODUCT((E1029:Q1029)*1)=0,0,E1029*INDEX(Hours!M:M,MATCH(C1029,Hours!$A:$A,0))+F1029*INDEX(Hours!B:B,MATCH(C1029,Hours!$A:$A,0))+G1029*INDEX(Hours!C:C,MATCH(C1029,Hours!$A:$A,0))+H1029*INDEX(Hours!D:D,MATCH(C1029,Hours!$A:$A,0))+I1029*INDEX(Hours!E:E,MATCH(C1029,Hours!$A:$A,0))+J1029*INDEX(Hours!F:F,MATCH(C1029,Hours!$A:$A,0)))</f>
        <v>0</v>
      </c>
      <c r="S1029" s="19">
        <f t="shared" si="33"/>
        <v>0</v>
      </c>
    </row>
    <row r="1030" spans="1:19" x14ac:dyDescent="0.25">
      <c r="A1030" s="15" t="str">
        <f>'Bldgs &amp; Rooms'!$A$29</f>
        <v>Main Bldg.</v>
      </c>
      <c r="B1030" s="15">
        <f>'Bldgs &amp; Rooms'!$B$29</f>
        <v>0</v>
      </c>
      <c r="C1030" s="14" t="str">
        <f>Hours!$A$31</f>
        <v>Motors &lt; 50 HP</v>
      </c>
      <c r="D1030" s="15">
        <f t="shared" si="32"/>
        <v>0</v>
      </c>
      <c r="E1030" s="16">
        <f>IF('Components Yr 1'!E1030=0,0,'Components Yr 1'!E1030)</f>
        <v>0</v>
      </c>
      <c r="F1030" s="17">
        <f>IF('Components Yr 1'!F1030=0,0,'Components Yr 1'!F1030)</f>
        <v>0</v>
      </c>
      <c r="G1030" s="17">
        <f>IF('Components Yr 1'!G1030=0,0,'Components Yr 1'!G1030)</f>
        <v>0</v>
      </c>
      <c r="H1030" s="17">
        <f>IF('Components Yr 1'!H1030=0,0,'Components Yr 1'!H1030)</f>
        <v>0</v>
      </c>
      <c r="I1030" s="17">
        <f>IF('Components Yr 1'!I1030=0,0,'Components Yr 1'!I1030)</f>
        <v>0</v>
      </c>
      <c r="J1030" s="17">
        <f>IF('Components Yr 1'!J1030=0,0,'Components Yr 1'!J1030)</f>
        <v>0</v>
      </c>
      <c r="K1030" s="12"/>
      <c r="L1030" s="12"/>
      <c r="M1030" s="12"/>
      <c r="N1030" s="12"/>
      <c r="O1030" s="12"/>
      <c r="P1030" s="12"/>
      <c r="Q1030" s="17"/>
      <c r="R1030" s="18">
        <f>IF(SUMPRODUCT((E1030:Q1030)*1)=0,0,E1030*INDEX(Hours!M:M,MATCH(C1030,Hours!$A:$A,0))+F1030*INDEX(Hours!B:B,MATCH(C1030,Hours!$A:$A,0))+G1030*INDEX(Hours!C:C,MATCH(C1030,Hours!$A:$A,0))+H1030*INDEX(Hours!D:D,MATCH(C1030,Hours!$A:$A,0))+I1030*INDEX(Hours!E:E,MATCH(C1030,Hours!$A:$A,0))+J1030*INDEX(Hours!F:F,MATCH(C1030,Hours!$A:$A,0)))</f>
        <v>0</v>
      </c>
      <c r="S1030" s="19">
        <f t="shared" si="33"/>
        <v>0</v>
      </c>
    </row>
    <row r="1031" spans="1:19" x14ac:dyDescent="0.25">
      <c r="A1031" s="15" t="str">
        <f>'Bldgs &amp; Rooms'!$A$29</f>
        <v>Main Bldg.</v>
      </c>
      <c r="B1031" s="15">
        <f>'Bldgs &amp; Rooms'!$B$29</f>
        <v>0</v>
      </c>
      <c r="C1031" s="14" t="str">
        <f>Hours!$A$32</f>
        <v>Motors 51-200 HP</v>
      </c>
      <c r="D1031" s="15">
        <f t="shared" si="32"/>
        <v>0</v>
      </c>
      <c r="E1031" s="16">
        <f>IF('Components Yr 1'!E1031=0,0,'Components Yr 1'!E1031)</f>
        <v>0</v>
      </c>
      <c r="F1031" s="17">
        <f>IF('Components Yr 1'!F1031=0,0,'Components Yr 1'!F1031)</f>
        <v>0</v>
      </c>
      <c r="G1031" s="17">
        <f>IF('Components Yr 1'!G1031=0,0,'Components Yr 1'!G1031)</f>
        <v>0</v>
      </c>
      <c r="H1031" s="17">
        <f>IF('Components Yr 1'!H1031=0,0,'Components Yr 1'!H1031)</f>
        <v>0</v>
      </c>
      <c r="I1031" s="17">
        <f>IF('Components Yr 1'!I1031=0,0,'Components Yr 1'!I1031)</f>
        <v>0</v>
      </c>
      <c r="J1031" s="17">
        <f>IF('Components Yr 1'!J1031=0,0,'Components Yr 1'!J1031)</f>
        <v>0</v>
      </c>
      <c r="K1031" s="12"/>
      <c r="L1031" s="12"/>
      <c r="M1031" s="12"/>
      <c r="N1031" s="12"/>
      <c r="O1031" s="12"/>
      <c r="P1031" s="12"/>
      <c r="Q1031" s="17"/>
      <c r="R1031" s="18">
        <f>IF(SUMPRODUCT((E1031:Q1031)*1)=0,0,E1031*INDEX(Hours!M:M,MATCH(C1031,Hours!$A:$A,0))+F1031*INDEX(Hours!B:B,MATCH(C1031,Hours!$A:$A,0))+G1031*INDEX(Hours!C:C,MATCH(C1031,Hours!$A:$A,0))+H1031*INDEX(Hours!D:D,MATCH(C1031,Hours!$A:$A,0))+I1031*INDEX(Hours!E:E,MATCH(C1031,Hours!$A:$A,0))+J1031*INDEX(Hours!F:F,MATCH(C1031,Hours!$A:$A,0)))</f>
        <v>0</v>
      </c>
      <c r="S1031" s="19">
        <f t="shared" si="33"/>
        <v>0</v>
      </c>
    </row>
    <row r="1032" spans="1:19" x14ac:dyDescent="0.25">
      <c r="A1032" s="15" t="str">
        <f>'Bldgs &amp; Rooms'!$A$29</f>
        <v>Main Bldg.</v>
      </c>
      <c r="B1032" s="15">
        <f>'Bldgs &amp; Rooms'!$B$29</f>
        <v>0</v>
      </c>
      <c r="C1032" s="14" t="str">
        <f>Hours!$A$33</f>
        <v>Motors 201-500 HP</v>
      </c>
      <c r="D1032" s="15">
        <f t="shared" si="32"/>
        <v>0</v>
      </c>
      <c r="E1032" s="16">
        <f>IF('Components Yr 1'!E1032=0,0,'Components Yr 1'!E1032)</f>
        <v>0</v>
      </c>
      <c r="F1032" s="17">
        <f>IF('Components Yr 1'!F1032=0,0,'Components Yr 1'!F1032)</f>
        <v>0</v>
      </c>
      <c r="G1032" s="17">
        <f>IF('Components Yr 1'!G1032=0,0,'Components Yr 1'!G1032)</f>
        <v>0</v>
      </c>
      <c r="H1032" s="17">
        <f>IF('Components Yr 1'!H1032=0,0,'Components Yr 1'!H1032)</f>
        <v>0</v>
      </c>
      <c r="I1032" s="17">
        <f>IF('Components Yr 1'!I1032=0,0,'Components Yr 1'!I1032)</f>
        <v>0</v>
      </c>
      <c r="J1032" s="17">
        <f>IF('Components Yr 1'!J1032=0,0,'Components Yr 1'!J1032)</f>
        <v>0</v>
      </c>
      <c r="K1032" s="12"/>
      <c r="L1032" s="12"/>
      <c r="M1032" s="12"/>
      <c r="N1032" s="12"/>
      <c r="O1032" s="12"/>
      <c r="P1032" s="12"/>
      <c r="Q1032" s="17"/>
      <c r="R1032" s="18">
        <f>IF(SUMPRODUCT((E1032:Q1032)*1)=0,0,E1032*INDEX(Hours!M:M,MATCH(C1032,Hours!$A:$A,0))+F1032*INDEX(Hours!B:B,MATCH(C1032,Hours!$A:$A,0))+G1032*INDEX(Hours!C:C,MATCH(C1032,Hours!$A:$A,0))+H1032*INDEX(Hours!D:D,MATCH(C1032,Hours!$A:$A,0))+I1032*INDEX(Hours!E:E,MATCH(C1032,Hours!$A:$A,0))+J1032*INDEX(Hours!F:F,MATCH(C1032,Hours!$A:$A,0)))</f>
        <v>0</v>
      </c>
      <c r="S1032" s="19">
        <f t="shared" si="33"/>
        <v>0</v>
      </c>
    </row>
    <row r="1033" spans="1:19" x14ac:dyDescent="0.25">
      <c r="A1033" s="15" t="str">
        <f>'Bldgs &amp; Rooms'!$A$29</f>
        <v>Main Bldg.</v>
      </c>
      <c r="B1033" s="15">
        <f>'Bldgs &amp; Rooms'!$B$29</f>
        <v>0</v>
      </c>
      <c r="C1033" s="14" t="str">
        <f>Hours!$A$34</f>
        <v>Compressed Air Equipment</v>
      </c>
      <c r="D1033" s="15">
        <f t="shared" si="32"/>
        <v>0</v>
      </c>
      <c r="E1033" s="16">
        <f>IF('Components Yr 1'!E1033=0,0,'Components Yr 1'!E1033)</f>
        <v>0</v>
      </c>
      <c r="F1033" s="17">
        <f>IF('Components Yr 1'!F1033=0,0,'Components Yr 1'!F1033)</f>
        <v>0</v>
      </c>
      <c r="G1033" s="17">
        <f>IF('Components Yr 1'!G1033=0,0,'Components Yr 1'!G1033)</f>
        <v>0</v>
      </c>
      <c r="H1033" s="17">
        <f>IF('Components Yr 1'!H1033=0,0,'Components Yr 1'!H1033)</f>
        <v>0</v>
      </c>
      <c r="I1033" s="17">
        <f>IF('Components Yr 1'!I1033=0,0,'Components Yr 1'!I1033)</f>
        <v>0</v>
      </c>
      <c r="J1033" s="17">
        <f>IF('Components Yr 1'!J1033=0,0,'Components Yr 1'!J1033)</f>
        <v>0</v>
      </c>
      <c r="K1033" s="12"/>
      <c r="L1033" s="12"/>
      <c r="M1033" s="12"/>
      <c r="N1033" s="12"/>
      <c r="O1033" s="12"/>
      <c r="P1033" s="12"/>
      <c r="Q1033" s="17"/>
      <c r="R1033" s="18">
        <f>IF(SUMPRODUCT((E1033:Q1033)*1)=0,0,E1033*INDEX(Hours!M:M,MATCH(C1033,Hours!$A:$A,0))+F1033*INDEX(Hours!B:B,MATCH(C1033,Hours!$A:$A,0))+G1033*INDEX(Hours!C:C,MATCH(C1033,Hours!$A:$A,0))+H1033*INDEX(Hours!D:D,MATCH(C1033,Hours!$A:$A,0))+I1033*INDEX(Hours!E:E,MATCH(C1033,Hours!$A:$A,0))+J1033*INDEX(Hours!F:F,MATCH(C1033,Hours!$A:$A,0)))</f>
        <v>0</v>
      </c>
      <c r="S1033" s="19">
        <f t="shared" si="33"/>
        <v>0</v>
      </c>
    </row>
    <row r="1034" spans="1:19" x14ac:dyDescent="0.25">
      <c r="A1034" s="15" t="str">
        <f>'Bldgs &amp; Rooms'!$A$29</f>
        <v>Main Bldg.</v>
      </c>
      <c r="B1034" s="15">
        <f>'Bldgs &amp; Rooms'!$B$29</f>
        <v>0</v>
      </c>
      <c r="C1034" s="14" t="str">
        <f>Hours!$A$35</f>
        <v>HVAC Equipment (Large)</v>
      </c>
      <c r="D1034" s="15">
        <f t="shared" si="32"/>
        <v>0</v>
      </c>
      <c r="E1034" s="16">
        <f>IF('Components Yr 1'!E1034=0,0,'Components Yr 1'!E1034)</f>
        <v>0</v>
      </c>
      <c r="F1034" s="17">
        <f>IF('Components Yr 1'!F1034=0,0,'Components Yr 1'!F1034)</f>
        <v>0</v>
      </c>
      <c r="G1034" s="17">
        <f>IF('Components Yr 1'!G1034=0,0,'Components Yr 1'!G1034)</f>
        <v>0</v>
      </c>
      <c r="H1034" s="17">
        <f>IF('Components Yr 1'!H1034=0,0,'Components Yr 1'!H1034)</f>
        <v>0</v>
      </c>
      <c r="I1034" s="17">
        <f>IF('Components Yr 1'!I1034=0,0,'Components Yr 1'!I1034)</f>
        <v>0</v>
      </c>
      <c r="J1034" s="17">
        <f>IF('Components Yr 1'!J1034=0,0,'Components Yr 1'!J1034)</f>
        <v>0</v>
      </c>
      <c r="K1034" s="12"/>
      <c r="L1034" s="12"/>
      <c r="M1034" s="12"/>
      <c r="N1034" s="12"/>
      <c r="O1034" s="12"/>
      <c r="P1034" s="12"/>
      <c r="Q1034" s="17"/>
      <c r="R1034" s="18">
        <f>IF(SUMPRODUCT((E1034:Q1034)*1)=0,0,E1034*INDEX(Hours!M:M,MATCH(C1034,Hours!$A:$A,0))+F1034*INDEX(Hours!B:B,MATCH(C1034,Hours!$A:$A,0))+G1034*INDEX(Hours!C:C,MATCH(C1034,Hours!$A:$A,0))+H1034*INDEX(Hours!D:D,MATCH(C1034,Hours!$A:$A,0))+I1034*INDEX(Hours!E:E,MATCH(C1034,Hours!$A:$A,0))+J1034*INDEX(Hours!F:F,MATCH(C1034,Hours!$A:$A,0)))</f>
        <v>0</v>
      </c>
      <c r="S1034" s="19">
        <f t="shared" si="33"/>
        <v>0</v>
      </c>
    </row>
    <row r="1035" spans="1:19" x14ac:dyDescent="0.25">
      <c r="A1035" s="15" t="str">
        <f>'Bldgs &amp; Rooms'!$A$29</f>
        <v>Main Bldg.</v>
      </c>
      <c r="B1035" s="15">
        <f>'Bldgs &amp; Rooms'!$B$29</f>
        <v>0</v>
      </c>
      <c r="C1035" s="14" t="str">
        <f>Hours!$A$36</f>
        <v>HVAC Equipment (Small)</v>
      </c>
      <c r="D1035" s="15">
        <f t="shared" si="32"/>
        <v>0</v>
      </c>
      <c r="E1035" s="16">
        <f>IF('Components Yr 1'!E1035=0,0,'Components Yr 1'!E1035)</f>
        <v>0</v>
      </c>
      <c r="F1035" s="17">
        <f>IF('Components Yr 1'!F1035=0,0,'Components Yr 1'!F1035)</f>
        <v>0</v>
      </c>
      <c r="G1035" s="17">
        <f>IF('Components Yr 1'!G1035=0,0,'Components Yr 1'!G1035)</f>
        <v>0</v>
      </c>
      <c r="H1035" s="17">
        <f>IF('Components Yr 1'!H1035=0,0,'Components Yr 1'!H1035)</f>
        <v>0</v>
      </c>
      <c r="I1035" s="17">
        <f>IF('Components Yr 1'!I1035=0,0,'Components Yr 1'!I1035)</f>
        <v>0</v>
      </c>
      <c r="J1035" s="17">
        <f>IF('Components Yr 1'!J1035=0,0,'Components Yr 1'!J1035)</f>
        <v>0</v>
      </c>
      <c r="K1035" s="12"/>
      <c r="L1035" s="12"/>
      <c r="M1035" s="12"/>
      <c r="N1035" s="12"/>
      <c r="O1035" s="12"/>
      <c r="P1035" s="12"/>
      <c r="Q1035" s="17"/>
      <c r="R1035" s="18">
        <f>IF(SUMPRODUCT((E1035:Q1035)*1)=0,0,E1035*INDEX(Hours!M:M,MATCH(C1035,Hours!$A:$A,0))+F1035*INDEX(Hours!B:B,MATCH(C1035,Hours!$A:$A,0))+G1035*INDEX(Hours!C:C,MATCH(C1035,Hours!$A:$A,0))+H1035*INDEX(Hours!D:D,MATCH(C1035,Hours!$A:$A,0))+I1035*INDEX(Hours!E:E,MATCH(C1035,Hours!$A:$A,0))+J1035*INDEX(Hours!F:F,MATCH(C1035,Hours!$A:$A,0)))</f>
        <v>0</v>
      </c>
      <c r="S1035" s="19">
        <f t="shared" si="33"/>
        <v>0</v>
      </c>
    </row>
    <row r="1036" spans="1:19" x14ac:dyDescent="0.25">
      <c r="A1036" s="15" t="str">
        <f>'Bldgs &amp; Rooms'!$A$29</f>
        <v>Main Bldg.</v>
      </c>
      <c r="B1036" s="15">
        <f>'Bldgs &amp; Rooms'!$B$29</f>
        <v>0</v>
      </c>
      <c r="C1036" s="14" t="str">
        <f>Hours!$A$37</f>
        <v>Uninterruptible Power Supply (UPS) &lt; 50kVA</v>
      </c>
      <c r="D1036" s="15">
        <f t="shared" si="32"/>
        <v>0</v>
      </c>
      <c r="E1036" s="16">
        <f>IF('Components Yr 1'!E1036=0,0,'Components Yr 1'!E1036)</f>
        <v>0</v>
      </c>
      <c r="F1036" s="17">
        <f>IF('Components Yr 1'!F1036=0,0,'Components Yr 1'!F1036)</f>
        <v>0</v>
      </c>
      <c r="G1036" s="17">
        <f>IF('Components Yr 1'!G1036=0,0,'Components Yr 1'!G1036)</f>
        <v>0</v>
      </c>
      <c r="H1036" s="17">
        <f>IF('Components Yr 1'!H1036=0,0,'Components Yr 1'!H1036)</f>
        <v>0</v>
      </c>
      <c r="I1036" s="17">
        <f>IF('Components Yr 1'!I1036=0,0,'Components Yr 1'!I1036)</f>
        <v>0</v>
      </c>
      <c r="J1036" s="17">
        <f>IF('Components Yr 1'!J1036=0,0,'Components Yr 1'!J1036)</f>
        <v>0</v>
      </c>
      <c r="K1036" s="12"/>
      <c r="L1036" s="12"/>
      <c r="M1036" s="12"/>
      <c r="N1036" s="12"/>
      <c r="O1036" s="12"/>
      <c r="P1036" s="12"/>
      <c r="Q1036" s="17"/>
      <c r="R1036" s="18">
        <f>IF(SUMPRODUCT((E1036:Q1036)*1)=0,0,E1036*INDEX(Hours!M:M,MATCH(C1036,Hours!$A:$A,0))+F1036*INDEX(Hours!B:B,MATCH(C1036,Hours!$A:$A,0))+G1036*INDEX(Hours!C:C,MATCH(C1036,Hours!$A:$A,0))+H1036*INDEX(Hours!D:D,MATCH(C1036,Hours!$A:$A,0))+I1036*INDEX(Hours!E:E,MATCH(C1036,Hours!$A:$A,0))+J1036*INDEX(Hours!F:F,MATCH(C1036,Hours!$A:$A,0)))</f>
        <v>0</v>
      </c>
      <c r="S1036" s="19">
        <f t="shared" si="33"/>
        <v>0</v>
      </c>
    </row>
    <row r="1037" spans="1:19" x14ac:dyDescent="0.25">
      <c r="A1037" s="15" t="str">
        <f>'Bldgs &amp; Rooms'!$A$29</f>
        <v>Main Bldg.</v>
      </c>
      <c r="B1037" s="15">
        <f>'Bldgs &amp; Rooms'!$B$29</f>
        <v>0</v>
      </c>
      <c r="C1037" s="14" t="str">
        <f>Hours!$A$38</f>
        <v>Uninterruptible Power Supply (UPS) &gt; 50kVA</v>
      </c>
      <c r="D1037" s="15">
        <f t="shared" si="32"/>
        <v>0</v>
      </c>
      <c r="E1037" s="16">
        <f>IF('Components Yr 1'!E1037=0,0,'Components Yr 1'!E1037)</f>
        <v>0</v>
      </c>
      <c r="F1037" s="17">
        <f>IF('Components Yr 1'!F1037=0,0,'Components Yr 1'!F1037)</f>
        <v>0</v>
      </c>
      <c r="G1037" s="17">
        <f>IF('Components Yr 1'!G1037=0,0,'Components Yr 1'!G1037)</f>
        <v>0</v>
      </c>
      <c r="H1037" s="17">
        <f>IF('Components Yr 1'!H1037=0,0,'Components Yr 1'!H1037)</f>
        <v>0</v>
      </c>
      <c r="I1037" s="17">
        <f>IF('Components Yr 1'!I1037=0,0,'Components Yr 1'!I1037)</f>
        <v>0</v>
      </c>
      <c r="J1037" s="17">
        <f>IF('Components Yr 1'!J1037=0,0,'Components Yr 1'!J1037)</f>
        <v>0</v>
      </c>
      <c r="K1037" s="12"/>
      <c r="L1037" s="12"/>
      <c r="M1037" s="12"/>
      <c r="N1037" s="12"/>
      <c r="O1037" s="12"/>
      <c r="P1037" s="12"/>
      <c r="Q1037" s="17"/>
      <c r="R1037" s="18">
        <f>IF(SUMPRODUCT((E1037:Q1037)*1)=0,0,E1037*INDEX(Hours!M:M,MATCH(C1037,Hours!$A:$A,0))+F1037*INDEX(Hours!B:B,MATCH(C1037,Hours!$A:$A,0))+G1037*INDEX(Hours!C:C,MATCH(C1037,Hours!$A:$A,0))+H1037*INDEX(Hours!D:D,MATCH(C1037,Hours!$A:$A,0))+I1037*INDEX(Hours!E:E,MATCH(C1037,Hours!$A:$A,0))+J1037*INDEX(Hours!F:F,MATCH(C1037,Hours!$A:$A,0)))</f>
        <v>0</v>
      </c>
      <c r="S1037" s="19">
        <f t="shared" si="33"/>
        <v>0</v>
      </c>
    </row>
    <row r="1038" spans="1:19" x14ac:dyDescent="0.25">
      <c r="A1038" s="11" t="str">
        <f>'Bldgs &amp; Rooms'!$A$30</f>
        <v>Main Bldg.</v>
      </c>
      <c r="B1038" s="11">
        <f>'Bldgs &amp; Rooms'!$B$30</f>
        <v>0</v>
      </c>
      <c r="C1038" s="10" t="str">
        <f>Hours!$A$2</f>
        <v>Switchgear - Incoming Main Service (Per Section)</v>
      </c>
      <c r="D1038" s="11">
        <f t="shared" si="32"/>
        <v>0</v>
      </c>
      <c r="E1038" s="16">
        <f>IF('Components Yr 1'!E1038=0,0,'Components Yr 1'!E1038)</f>
        <v>0</v>
      </c>
      <c r="F1038" s="17">
        <f>IF('Components Yr 1'!F1038=0,0,'Components Yr 1'!F1038)</f>
        <v>0</v>
      </c>
      <c r="G1038" s="17">
        <f>IF('Components Yr 1'!G1038=0,0,'Components Yr 1'!G1038)</f>
        <v>0</v>
      </c>
      <c r="H1038" s="17">
        <f>IF('Components Yr 1'!H1038=0,0,'Components Yr 1'!H1038)</f>
        <v>0</v>
      </c>
      <c r="I1038" s="17">
        <f>IF('Components Yr 1'!I1038=0,0,'Components Yr 1'!I1038)</f>
        <v>0</v>
      </c>
      <c r="J1038" s="17">
        <f>IF('Components Yr 1'!J1038=0,0,'Components Yr 1'!J1038)</f>
        <v>0</v>
      </c>
      <c r="K1038" s="17">
        <f>IF('Components Yr 1'!K1038=0,0,'Components Yr 1'!K1038)</f>
        <v>0</v>
      </c>
      <c r="L1038" s="17">
        <f>IF('Components Yr 1'!L1038=0,0,'Components Yr 1'!L1038)</f>
        <v>0</v>
      </c>
      <c r="M1038" s="12"/>
      <c r="N1038" s="12"/>
      <c r="O1038" s="17">
        <f>IF('Components Yr 1'!O1038=0,0,'Components Yr 1'!O1038)</f>
        <v>0</v>
      </c>
      <c r="P1038" s="12"/>
      <c r="Q1038" s="17"/>
      <c r="R1038" s="18">
        <f>IF(SUMPRODUCT((E1038:Q1038)*1)=0,0,E1038*INDEX(Hours!M:M,MATCH(C1038,Hours!$A:$A,0))+F1038*INDEX(Hours!B:B,MATCH(C1038,Hours!$A:$A,0))+G1038*INDEX(Hours!C:C,MATCH(C1038,Hours!$A:$A,0))+H1038*INDEX(Hours!D:D,MATCH(C1038,Hours!$A:$A,0))+I1038*INDEX(Hours!E:E,MATCH(C1038,Hours!$A:$A,0))+J1038*INDEX(Hours!F:F,MATCH(C1038,Hours!$A:$A,0))+K1038*INDEX(Hours!G:G,MATCH(C1038,Hours!$A:$A,0))+L1038*INDEX(Hours!H:H,MATCH(C1038,Hours!$A:$A,0))+O1038*INDEX(Hours!K:K,MATCH(C1038,Hours!$A:$A,0)))</f>
        <v>0</v>
      </c>
      <c r="S1038" s="19">
        <f t="shared" si="33"/>
        <v>0</v>
      </c>
    </row>
    <row r="1039" spans="1:19" x14ac:dyDescent="0.25">
      <c r="A1039" s="11" t="str">
        <f>'Bldgs &amp; Rooms'!$A$30</f>
        <v>Main Bldg.</v>
      </c>
      <c r="B1039" s="11">
        <f>'Bldgs &amp; Rooms'!$B$30</f>
        <v>0</v>
      </c>
      <c r="C1039" s="10" t="str">
        <f>Hours!$A$3</f>
        <v xml:space="preserve">  Switchgear Insulated Case Breakers (Bus Mounted)</v>
      </c>
      <c r="D1039" s="11">
        <f t="shared" si="32"/>
        <v>0</v>
      </c>
      <c r="E1039" s="16">
        <f>IF('Components Yr 1'!E1039=0,0,'Components Yr 1'!E1039)</f>
        <v>0</v>
      </c>
      <c r="F1039" s="17">
        <f>IF('Components Yr 1'!F1039=0,0,'Components Yr 1'!F1039)</f>
        <v>0</v>
      </c>
      <c r="G1039" s="17">
        <f>IF('Components Yr 1'!G1039=0,0,'Components Yr 1'!G1039)</f>
        <v>0</v>
      </c>
      <c r="H1039" s="17">
        <f>IF('Components Yr 1'!H1039=0,0,'Components Yr 1'!H1039)</f>
        <v>0</v>
      </c>
      <c r="I1039" s="17">
        <f>IF('Components Yr 1'!I1039=0,0,'Components Yr 1'!I1039)</f>
        <v>0</v>
      </c>
      <c r="J1039" s="17">
        <f>IF('Components Yr 1'!J1039=0,0,'Components Yr 1'!J1039)</f>
        <v>0</v>
      </c>
      <c r="K1039" s="17">
        <f>IF('Components Yr 1'!K1039=0,0,'Components Yr 1'!K1039)</f>
        <v>0</v>
      </c>
      <c r="L1039" s="12"/>
      <c r="M1039" s="12"/>
      <c r="N1039" s="12"/>
      <c r="O1039" s="12"/>
      <c r="P1039" s="12"/>
      <c r="Q1039" s="17"/>
      <c r="R1039" s="18">
        <f>IF(SUMPRODUCT((E1039:Q1039)*1)=0,0,E1039*INDEX(Hours!M:M,MATCH(C1039,Hours!$A:$A,0))+F1039*INDEX(Hours!B:B,MATCH(C1039,Hours!$A:$A,0))+G1039*INDEX(Hours!C:C,MATCH(C1039,Hours!$A:$A,0))+H1039*INDEX(Hours!D:D,MATCH(C1039,Hours!$A:$A,0))+I1039*INDEX(Hours!E:E,MATCH(C1039,Hours!$A:$A,0))+J1039*INDEX(Hours!F:F,MATCH(C1039,Hours!$A:$A,0))+K1039*INDEX(Hours!G:G,MATCH(C1039,Hours!$A:$A,0)))</f>
        <v>0</v>
      </c>
      <c r="S1039" s="19">
        <f t="shared" si="33"/>
        <v>0</v>
      </c>
    </row>
    <row r="1040" spans="1:19" x14ac:dyDescent="0.25">
      <c r="A1040" s="11" t="str">
        <f>'Bldgs &amp; Rooms'!$A$30</f>
        <v>Main Bldg.</v>
      </c>
      <c r="B1040" s="11">
        <f>'Bldgs &amp; Rooms'!$B$30</f>
        <v>0</v>
      </c>
      <c r="C1040" s="10" t="str">
        <f>Hours!$A$4</f>
        <v xml:space="preserve">  SwitchGear Drawout Breakers</v>
      </c>
      <c r="D1040" s="11">
        <f t="shared" si="32"/>
        <v>0</v>
      </c>
      <c r="E1040" s="16">
        <f>IF('Components Yr 1'!E1040=0,0,'Components Yr 1'!E1040)</f>
        <v>0</v>
      </c>
      <c r="F1040" s="17">
        <f>IF('Components Yr 1'!F1040=0,0,'Components Yr 1'!F1040)</f>
        <v>0</v>
      </c>
      <c r="G1040" s="17">
        <f>IF('Components Yr 1'!G1040=0,0,'Components Yr 1'!G1040)</f>
        <v>0</v>
      </c>
      <c r="H1040" s="17">
        <f>IF('Components Yr 1'!H1040=0,0,'Components Yr 1'!H1040)</f>
        <v>0</v>
      </c>
      <c r="I1040" s="17">
        <f>IF('Components Yr 1'!I1040=0,0,'Components Yr 1'!I1040)</f>
        <v>0</v>
      </c>
      <c r="J1040" s="17">
        <f>IF('Components Yr 1'!J1040=0,0,'Components Yr 1'!J1040)</f>
        <v>0</v>
      </c>
      <c r="K1040" s="12"/>
      <c r="L1040" s="17">
        <f>IF('Components Yr 1'!L1040=0,0,'Components Yr 1'!L1040)</f>
        <v>0</v>
      </c>
      <c r="M1040" s="12"/>
      <c r="N1040" s="12"/>
      <c r="O1040" s="12"/>
      <c r="P1040" s="12"/>
      <c r="Q1040" s="17"/>
      <c r="R1040" s="18">
        <f>IF(SUMPRODUCT((E1040:Q1040)*1)=0,0,E1040*INDEX(Hours!M:M,MATCH(C1040,Hours!$A:$A,0))+F1040*INDEX(Hours!B:B,MATCH(C1040,Hours!$A:$A,0))+G1040*INDEX(Hours!C:C,MATCH(C1040,Hours!$A:$A,0))+H1040*INDEX(Hours!D:D,MATCH(C1040,Hours!$A:$A,0))+I1040*INDEX(Hours!E:E,MATCH(C1040,Hours!$A:$A,0))+J1040*INDEX(Hours!F:F,MATCH(C1040,Hours!$A:$A,0))+L1040*INDEX(Hours!H:H,MATCH(C1040,Hours!$A:$A,0)))</f>
        <v>0</v>
      </c>
      <c r="S1040" s="19">
        <f t="shared" si="33"/>
        <v>0</v>
      </c>
    </row>
    <row r="1041" spans="1:19" x14ac:dyDescent="0.25">
      <c r="A1041" s="11" t="str">
        <f>'Bldgs &amp; Rooms'!$A$30</f>
        <v>Main Bldg.</v>
      </c>
      <c r="B1041" s="11">
        <f>'Bldgs &amp; Rooms'!$B$30</f>
        <v>0</v>
      </c>
      <c r="C1041" s="10" t="str">
        <f>Hours!$A$5</f>
        <v>Distribution Switchboard Multi Cover (Per Section)</v>
      </c>
      <c r="D1041" s="11">
        <f t="shared" si="32"/>
        <v>0</v>
      </c>
      <c r="E1041" s="16">
        <f>IF('Components Yr 1'!E1041=0,0,'Components Yr 1'!E1041)</f>
        <v>0</v>
      </c>
      <c r="F1041" s="17">
        <f>IF('Components Yr 1'!F1041=0,0,'Components Yr 1'!F1041)</f>
        <v>0</v>
      </c>
      <c r="G1041" s="17">
        <f>IF('Components Yr 1'!G1041=0,0,'Components Yr 1'!G1041)</f>
        <v>0</v>
      </c>
      <c r="H1041" s="17">
        <f>IF('Components Yr 1'!H1041=0,0,'Components Yr 1'!H1041)</f>
        <v>0</v>
      </c>
      <c r="I1041" s="17">
        <f>IF('Components Yr 1'!I1041=0,0,'Components Yr 1'!I1041)</f>
        <v>0</v>
      </c>
      <c r="J1041" s="17">
        <f>IF('Components Yr 1'!J1041=0,0,'Components Yr 1'!J1041)</f>
        <v>0</v>
      </c>
      <c r="K1041" s="17">
        <f>IF('Components Yr 1'!K1041=0,0,'Components Yr 1'!K1041)</f>
        <v>0</v>
      </c>
      <c r="L1041" s="12"/>
      <c r="M1041" s="12"/>
      <c r="N1041" s="12"/>
      <c r="O1041" s="17">
        <f>IF('Components Yr 1'!O1041=0,0,'Components Yr 1'!O1041)</f>
        <v>0</v>
      </c>
      <c r="P1041" s="12"/>
      <c r="Q1041" s="17"/>
      <c r="R1041" s="18">
        <f>IF(SUMPRODUCT((E1041:Q1041)*1)=0,0,E1041*INDEX(Hours!M:M,MATCH(C1041,Hours!$A:$A,0))+F1041*INDEX(Hours!B:B,MATCH(C1041,Hours!$A:$A,0))+G1041*INDEX(Hours!C:C,MATCH(C1041,Hours!$A:$A,0))+H1041*INDEX(Hours!D:D,MATCH(C1041,Hours!$A:$A,0))+I1041*INDEX(Hours!E:E,MATCH(C1041,Hours!$A:$A,0))+J1041*INDEX(Hours!F:F,MATCH(C1041,Hours!$A:$A,0))+K1041*INDEX(Hours!G:G,MATCH(C1041,Hours!$A:$A,0))+O1041*INDEX(Hours!K:K,MATCH(C1041,Hours!$A:$A,0)))</f>
        <v>0</v>
      </c>
      <c r="S1041" s="19">
        <f t="shared" si="33"/>
        <v>0</v>
      </c>
    </row>
    <row r="1042" spans="1:19" x14ac:dyDescent="0.25">
      <c r="A1042" s="11" t="str">
        <f>'Bldgs &amp; Rooms'!$A$30</f>
        <v>Main Bldg.</v>
      </c>
      <c r="B1042" s="11">
        <f>'Bldgs &amp; Rooms'!$B$30</f>
        <v>0</v>
      </c>
      <c r="C1042" s="10" t="str">
        <f>Hours!$A$6</f>
        <v xml:space="preserve">  Switchboard Disconnects</v>
      </c>
      <c r="D1042" s="11">
        <f t="shared" si="32"/>
        <v>0</v>
      </c>
      <c r="E1042" s="16">
        <f>IF('Components Yr 1'!E1042=0,0,'Components Yr 1'!E1042)</f>
        <v>0</v>
      </c>
      <c r="F1042" s="17">
        <f>IF('Components Yr 1'!F1042=0,0,'Components Yr 1'!F1042)</f>
        <v>0</v>
      </c>
      <c r="G1042" s="17">
        <f>IF('Components Yr 1'!G1042=0,0,'Components Yr 1'!G1042)</f>
        <v>0</v>
      </c>
      <c r="H1042" s="17">
        <f>IF('Components Yr 1'!H1042=0,0,'Components Yr 1'!H1042)</f>
        <v>0</v>
      </c>
      <c r="I1042" s="17">
        <f>IF('Components Yr 1'!I1042=0,0,'Components Yr 1'!I1042)</f>
        <v>0</v>
      </c>
      <c r="J1042" s="17">
        <f>IF('Components Yr 1'!J1042=0,0,'Components Yr 1'!J1042)</f>
        <v>0</v>
      </c>
      <c r="K1042" s="12"/>
      <c r="L1042" s="12"/>
      <c r="M1042" s="12"/>
      <c r="N1042" s="12"/>
      <c r="O1042" s="12"/>
      <c r="P1042" s="12"/>
      <c r="Q1042" s="17"/>
      <c r="R1042" s="18">
        <f>IF(SUMPRODUCT((E1042:Q1042)*1)=0,0,E1042*INDEX(Hours!M:M,MATCH(C1042,Hours!$A:$A,0))+F1042*INDEX(Hours!B:B,MATCH(C1042,Hours!$A:$A,0))+G1042*INDEX(Hours!C:C,MATCH(C1042,Hours!$A:$A,0))+H1042*INDEX(Hours!D:D,MATCH(C1042,Hours!$A:$A,0))+I1042*INDEX(Hours!E:E,MATCH(C1042,Hours!$A:$A,0))+J1042*INDEX(Hours!F:F,MATCH(C1042,Hours!$A:$A,0)))</f>
        <v>0</v>
      </c>
      <c r="S1042" s="19">
        <f t="shared" si="33"/>
        <v>0</v>
      </c>
    </row>
    <row r="1043" spans="1:19" x14ac:dyDescent="0.25">
      <c r="A1043" s="11" t="str">
        <f>'Bldgs &amp; Rooms'!$A$30</f>
        <v>Main Bldg.</v>
      </c>
      <c r="B1043" s="11">
        <f>'Bldgs &amp; Rooms'!$B$30</f>
        <v>0</v>
      </c>
      <c r="C1043" s="10" t="str">
        <f>Hours!$A$7</f>
        <v xml:space="preserve">  Switchboard Molded Case Breakers</v>
      </c>
      <c r="D1043" s="11">
        <f t="shared" si="32"/>
        <v>0</v>
      </c>
      <c r="E1043" s="16">
        <f>IF('Components Yr 1'!E1043=0,0,'Components Yr 1'!E1043)</f>
        <v>0</v>
      </c>
      <c r="F1043" s="17">
        <f>IF('Components Yr 1'!F1043=0,0,'Components Yr 1'!F1043)</f>
        <v>0</v>
      </c>
      <c r="G1043" s="17">
        <f>IF('Components Yr 1'!G1043=0,0,'Components Yr 1'!G1043)</f>
        <v>0</v>
      </c>
      <c r="H1043" s="17">
        <f>IF('Components Yr 1'!H1043=0,0,'Components Yr 1'!H1043)</f>
        <v>0</v>
      </c>
      <c r="I1043" s="17">
        <f>IF('Components Yr 1'!I1043=0,0,'Components Yr 1'!I1043)</f>
        <v>0</v>
      </c>
      <c r="J1043" s="17">
        <f>IF('Components Yr 1'!J1043=0,0,'Components Yr 1'!J1043)</f>
        <v>0</v>
      </c>
      <c r="K1043" s="17">
        <f>IF('Components Yr 1'!K1043=0,0,'Components Yr 1'!K1043)</f>
        <v>0</v>
      </c>
      <c r="L1043" s="12"/>
      <c r="M1043" s="12"/>
      <c r="N1043" s="12"/>
      <c r="O1043" s="12"/>
      <c r="P1043" s="12"/>
      <c r="Q1043" s="17"/>
      <c r="R1043" s="18">
        <f>IF(SUMPRODUCT((E1043:Q1043)*1)=0,0,E1043*INDEX(Hours!M:M,MATCH(C1043,Hours!$A:$A,0))+F1043*INDEX(Hours!B:B,MATCH(C1043,Hours!$A:$A,0))+G1043*INDEX(Hours!C:C,MATCH(C1043,Hours!$A:$A,0))+H1043*INDEX(Hours!D:D,MATCH(C1043,Hours!$A:$A,0))+I1043*INDEX(Hours!E:E,MATCH(C1043,Hours!$A:$A,0))+J1043*INDEX(Hours!F:F,MATCH(C1043,Hours!$A:$A,0))+K1043*INDEX(Hours!G:G,MATCH(C1043,Hours!$A:$A,0)))</f>
        <v>0</v>
      </c>
      <c r="S1043" s="19">
        <f t="shared" si="33"/>
        <v>0</v>
      </c>
    </row>
    <row r="1044" spans="1:19" x14ac:dyDescent="0.25">
      <c r="A1044" s="11" t="str">
        <f>'Bldgs &amp; Rooms'!$A$30</f>
        <v>Main Bldg.</v>
      </c>
      <c r="B1044" s="11">
        <f>'Bldgs &amp; Rooms'!$B$30</f>
        <v>0</v>
      </c>
      <c r="C1044" s="10" t="str">
        <f>Hours!$A$8</f>
        <v>Panelboard-Single Cover &gt; 400A (Distribution Panel)</v>
      </c>
      <c r="D1044" s="11">
        <f t="shared" si="32"/>
        <v>0</v>
      </c>
      <c r="E1044" s="16">
        <f>IF('Components Yr 1'!E1044=0,0,'Components Yr 1'!E1044)</f>
        <v>0</v>
      </c>
      <c r="F1044" s="17">
        <f>IF('Components Yr 1'!F1044=0,0,'Components Yr 1'!F1044)</f>
        <v>0</v>
      </c>
      <c r="G1044" s="17">
        <f>IF('Components Yr 1'!G1044=0,0,'Components Yr 1'!G1044)</f>
        <v>0</v>
      </c>
      <c r="H1044" s="17">
        <f>IF('Components Yr 1'!H1044=0,0,'Components Yr 1'!H1044)</f>
        <v>0</v>
      </c>
      <c r="I1044" s="17">
        <f>IF('Components Yr 1'!I1044=0,0,'Components Yr 1'!I1044)</f>
        <v>0</v>
      </c>
      <c r="J1044" s="17">
        <f>IF('Components Yr 1'!J1044=0,0,'Components Yr 1'!J1044)</f>
        <v>0</v>
      </c>
      <c r="K1044" s="17">
        <f>IF('Components Yr 1'!K1044=0,0,'Components Yr 1'!K1044)</f>
        <v>0</v>
      </c>
      <c r="L1044" s="12"/>
      <c r="M1044" s="12"/>
      <c r="N1044" s="12"/>
      <c r="O1044" s="17">
        <f>IF('Components Yr 1'!O1044=0,0,'Components Yr 1'!O1044)</f>
        <v>0</v>
      </c>
      <c r="P1044" s="12"/>
      <c r="Q1044" s="17"/>
      <c r="R1044" s="18">
        <f>IF(SUMPRODUCT((E1044:Q1044)*1)=0,0,E1044*INDEX(Hours!M:M,MATCH(C1044,Hours!$A:$A,0))+F1044*INDEX(Hours!B:B,MATCH(C1044,Hours!$A:$A,0))+G1044*INDEX(Hours!C:C,MATCH(C1044,Hours!$A:$A,0))+H1044*INDEX(Hours!D:D,MATCH(C1044,Hours!$A:$A,0))+I1044*INDEX(Hours!E:E,MATCH(C1044,Hours!$A:$A,0))+J1044*INDEX(Hours!F:F,MATCH(C1044,Hours!$A:$A,0))+K1044*INDEX(Hours!G:G,MATCH(C1044,Hours!$A:$A,0))+O1044*INDEX(Hours!K:K,MATCH(C1044,Hours!$A:$A,0)))</f>
        <v>0</v>
      </c>
      <c r="S1044" s="19">
        <f t="shared" si="33"/>
        <v>0</v>
      </c>
    </row>
    <row r="1045" spans="1:19" x14ac:dyDescent="0.25">
      <c r="A1045" s="11" t="str">
        <f>'Bldgs &amp; Rooms'!$A$30</f>
        <v>Main Bldg.</v>
      </c>
      <c r="B1045" s="11">
        <f>'Bldgs &amp; Rooms'!$B$30</f>
        <v>0</v>
      </c>
      <c r="C1045" s="10" t="str">
        <f>Hours!$A$9</f>
        <v>Panelboard-Single Cover &lt; 400A (Branch Ckt Panel)</v>
      </c>
      <c r="D1045" s="11">
        <f t="shared" si="32"/>
        <v>0</v>
      </c>
      <c r="E1045" s="16">
        <f>IF('Components Yr 1'!E1045=0,0,'Components Yr 1'!E1045)</f>
        <v>0</v>
      </c>
      <c r="F1045" s="17">
        <f>IF('Components Yr 1'!F1045=0,0,'Components Yr 1'!F1045)</f>
        <v>0</v>
      </c>
      <c r="G1045" s="17">
        <f>IF('Components Yr 1'!G1045=0,0,'Components Yr 1'!G1045)</f>
        <v>0</v>
      </c>
      <c r="H1045" s="17">
        <f>IF('Components Yr 1'!H1045=0,0,'Components Yr 1'!H1045)</f>
        <v>0</v>
      </c>
      <c r="I1045" s="17">
        <f>IF('Components Yr 1'!I1045=0,0,'Components Yr 1'!I1045)</f>
        <v>0</v>
      </c>
      <c r="J1045" s="17">
        <f>IF('Components Yr 1'!J1045=0,0,'Components Yr 1'!J1045)</f>
        <v>0</v>
      </c>
      <c r="K1045" s="12"/>
      <c r="L1045" s="12"/>
      <c r="M1045" s="12"/>
      <c r="N1045" s="12"/>
      <c r="O1045" s="17">
        <f>IF('Components Yr 1'!O1045=0,0,'Components Yr 1'!O1045)</f>
        <v>0</v>
      </c>
      <c r="P1045" s="12"/>
      <c r="Q1045" s="17"/>
      <c r="R1045" s="18">
        <f>IF(SUMPRODUCT((E1045:Q1045)*1)=0,0,E1045*INDEX(Hours!M:M,MATCH(C1045,Hours!$A:$A,0))+F1045*INDEX(Hours!B:B,MATCH(C1045,Hours!$A:$A,0))+G1045*INDEX(Hours!C:C,MATCH(C1045,Hours!$A:$A,0))+H1045*INDEX(Hours!D:D,MATCH(C1045,Hours!$A:$A,0))+I1045*INDEX(Hours!E:E,MATCH(C1045,Hours!$A:$A,0))+J1045*INDEX(Hours!F:F,MATCH(C1045,Hours!$A:$A,0))+O1045*INDEX(Hours!K:K,MATCH(C1045,Hours!$A:$A,0)))</f>
        <v>0</v>
      </c>
      <c r="S1045" s="19">
        <f t="shared" si="33"/>
        <v>0</v>
      </c>
    </row>
    <row r="1046" spans="1:19" x14ac:dyDescent="0.25">
      <c r="A1046" s="11" t="str">
        <f>'Bldgs &amp; Rooms'!$A$30</f>
        <v>Main Bldg.</v>
      </c>
      <c r="B1046" s="11">
        <f>'Bldgs &amp; Rooms'!$B$30</f>
        <v>0</v>
      </c>
      <c r="C1046" s="10" t="str">
        <f>Hours!$A$10</f>
        <v>Motor Control Center (MCC-Per Vertical Section)</v>
      </c>
      <c r="D1046" s="11">
        <f t="shared" si="32"/>
        <v>0</v>
      </c>
      <c r="E1046" s="16">
        <f>IF('Components Yr 1'!E1046=0,0,'Components Yr 1'!E1046)</f>
        <v>0</v>
      </c>
      <c r="F1046" s="17">
        <f>IF('Components Yr 1'!F1046=0,0,'Components Yr 1'!F1046)</f>
        <v>0</v>
      </c>
      <c r="G1046" s="17">
        <f>IF('Components Yr 1'!G1046=0,0,'Components Yr 1'!G1046)</f>
        <v>0</v>
      </c>
      <c r="H1046" s="17">
        <f>IF('Components Yr 1'!H1046=0,0,'Components Yr 1'!H1046)</f>
        <v>0</v>
      </c>
      <c r="I1046" s="17">
        <f>IF('Components Yr 1'!I1046=0,0,'Components Yr 1'!I1046)</f>
        <v>0</v>
      </c>
      <c r="J1046" s="17">
        <f>IF('Components Yr 1'!J1046=0,0,'Components Yr 1'!J1046)</f>
        <v>0</v>
      </c>
      <c r="K1046" s="12"/>
      <c r="L1046" s="12"/>
      <c r="M1046" s="12"/>
      <c r="N1046" s="12"/>
      <c r="O1046" s="17">
        <f>IF('Components Yr 1'!O1046=0,0,'Components Yr 1'!O1046)</f>
        <v>0</v>
      </c>
      <c r="P1046" s="12"/>
      <c r="Q1046" s="17"/>
      <c r="R1046" s="18">
        <f>IF(SUMPRODUCT((E1046:Q1046)*1)=0,0,E1046*INDEX(Hours!M:M,MATCH(C1046,Hours!$A:$A,0))+F1046*INDEX(Hours!B:B,MATCH(C1046,Hours!$A:$A,0))+G1046*INDEX(Hours!C:C,MATCH(C1046,Hours!$A:$A,0))+H1046*INDEX(Hours!D:D,MATCH(C1046,Hours!$A:$A,0))+I1046*INDEX(Hours!E:E,MATCH(C1046,Hours!$A:$A,0))+J1046*INDEX(Hours!F:F,MATCH(C1046,Hours!$A:$A,0))+O1046*INDEX(Hours!K:K,MATCH(C1046,Hours!$A:$A,0)))</f>
        <v>0</v>
      </c>
      <c r="S1046" s="19">
        <f t="shared" si="33"/>
        <v>0</v>
      </c>
    </row>
    <row r="1047" spans="1:19" x14ac:dyDescent="0.25">
      <c r="A1047" s="11" t="str">
        <f>'Bldgs &amp; Rooms'!$A$30</f>
        <v>Main Bldg.</v>
      </c>
      <c r="B1047" s="11">
        <f>'Bldgs &amp; Rooms'!$B$30</f>
        <v>0</v>
      </c>
      <c r="C1047" s="10" t="str">
        <f>Hours!$A$11</f>
        <v xml:space="preserve">  MCC: Combination Motor Starters</v>
      </c>
      <c r="D1047" s="11">
        <f t="shared" si="32"/>
        <v>0</v>
      </c>
      <c r="E1047" s="16">
        <f>IF('Components Yr 1'!E1047=0,0,'Components Yr 1'!E1047)</f>
        <v>0</v>
      </c>
      <c r="F1047" s="17">
        <f>IF('Components Yr 1'!F1047=0,0,'Components Yr 1'!F1047)</f>
        <v>0</v>
      </c>
      <c r="G1047" s="17">
        <f>IF('Components Yr 1'!G1047=0,0,'Components Yr 1'!G1047)</f>
        <v>0</v>
      </c>
      <c r="H1047" s="17">
        <f>IF('Components Yr 1'!H1047=0,0,'Components Yr 1'!H1047)</f>
        <v>0</v>
      </c>
      <c r="I1047" s="17">
        <f>IF('Components Yr 1'!I1047=0,0,'Components Yr 1'!I1047)</f>
        <v>0</v>
      </c>
      <c r="J1047" s="17">
        <f>IF('Components Yr 1'!J1047=0,0,'Components Yr 1'!J1047)</f>
        <v>0</v>
      </c>
      <c r="K1047" s="17">
        <f>IF('Components Yr 1'!K1047=0,0,'Components Yr 1'!K1047)</f>
        <v>0</v>
      </c>
      <c r="L1047" s="12"/>
      <c r="M1047" s="12"/>
      <c r="N1047" s="12"/>
      <c r="O1047" s="17">
        <f>IF('Components Yr 1'!O1047=0,0,'Components Yr 1'!O1047)</f>
        <v>0</v>
      </c>
      <c r="P1047" s="12"/>
      <c r="Q1047" s="17"/>
      <c r="R1047" s="18">
        <f>IF(SUMPRODUCT((E1047:Q1047)*1)=0,0,E1047*INDEX(Hours!M:M,MATCH(C1047,Hours!$A:$A,0))+F1047*INDEX(Hours!B:B,MATCH(C1047,Hours!$A:$A,0))+G1047*INDEX(Hours!C:C,MATCH(C1047,Hours!$A:$A,0))+H1047*INDEX(Hours!D:D,MATCH(C1047,Hours!$A:$A,0))+I1047*INDEX(Hours!E:E,MATCH(C1047,Hours!$A:$A,0))+J1047*INDEX(Hours!F:F,MATCH(C1047,Hours!$A:$A,0))+K1047*INDEX(Hours!G:G,MATCH(C1047,Hours!$A:$A,0))+O1047*INDEX(Hours!K:K,MATCH(C1047,Hours!$A:$A,0)))</f>
        <v>0</v>
      </c>
      <c r="S1047" s="19">
        <f t="shared" si="33"/>
        <v>0</v>
      </c>
    </row>
    <row r="1048" spans="1:19" x14ac:dyDescent="0.25">
      <c r="A1048" s="11" t="str">
        <f>'Bldgs &amp; Rooms'!$A$30</f>
        <v>Main Bldg.</v>
      </c>
      <c r="B1048" s="11">
        <f>'Bldgs &amp; Rooms'!$B$30</f>
        <v>0</v>
      </c>
      <c r="C1048" s="10" t="str">
        <f>Hours!$A$12</f>
        <v xml:space="preserve">  MCC: Molded Case Breaker</v>
      </c>
      <c r="D1048" s="11">
        <f t="shared" si="32"/>
        <v>0</v>
      </c>
      <c r="E1048" s="16">
        <f>IF('Components Yr 1'!E1048=0,0,'Components Yr 1'!E1048)</f>
        <v>0</v>
      </c>
      <c r="F1048" s="17">
        <f>IF('Components Yr 1'!F1048=0,0,'Components Yr 1'!F1048)</f>
        <v>0</v>
      </c>
      <c r="G1048" s="17">
        <f>IF('Components Yr 1'!G1048=0,0,'Components Yr 1'!G1048)</f>
        <v>0</v>
      </c>
      <c r="H1048" s="17">
        <f>IF('Components Yr 1'!H1048=0,0,'Components Yr 1'!H1048)</f>
        <v>0</v>
      </c>
      <c r="I1048" s="17">
        <f>IF('Components Yr 1'!I1048=0,0,'Components Yr 1'!I1048)</f>
        <v>0</v>
      </c>
      <c r="J1048" s="17">
        <f>IF('Components Yr 1'!J1048=0,0,'Components Yr 1'!J1048)</f>
        <v>0</v>
      </c>
      <c r="K1048" s="17">
        <f>IF('Components Yr 1'!K1048=0,0,'Components Yr 1'!K1048)</f>
        <v>0</v>
      </c>
      <c r="L1048" s="12"/>
      <c r="M1048" s="12"/>
      <c r="N1048" s="12"/>
      <c r="O1048" s="12"/>
      <c r="P1048" s="12"/>
      <c r="Q1048" s="17"/>
      <c r="R1048" s="18">
        <f>IF(SUMPRODUCT((E1048:Q1048)*1)=0,0,E1048*INDEX(Hours!M:M,MATCH(C1048,Hours!$A:$A,0))+F1048*INDEX(Hours!B:B,MATCH(C1048,Hours!$A:$A,0))+G1048*INDEX(Hours!C:C,MATCH(C1048,Hours!$A:$A,0))+H1048*INDEX(Hours!D:D,MATCH(C1048,Hours!$A:$A,0))+I1048*INDEX(Hours!E:E,MATCH(C1048,Hours!$A:$A,0))+J1048*INDEX(Hours!F:F,MATCH(C1048,Hours!$A:$A,0))+K1048*INDEX(Hours!G:G,MATCH(C1048,Hours!$A:$A,0)))</f>
        <v>0</v>
      </c>
      <c r="S1048" s="19">
        <f t="shared" si="33"/>
        <v>0</v>
      </c>
    </row>
    <row r="1049" spans="1:19" x14ac:dyDescent="0.25">
      <c r="A1049" s="11" t="str">
        <f>'Bldgs &amp; Rooms'!$A$30</f>
        <v>Main Bldg.</v>
      </c>
      <c r="B1049" s="11">
        <f>'Bldgs &amp; Rooms'!$B$30</f>
        <v>0</v>
      </c>
      <c r="C1049" s="10" t="str">
        <f>Hours!$A$13</f>
        <v xml:space="preserve">  MCC: Individual Disconnect Switch</v>
      </c>
      <c r="D1049" s="11">
        <f t="shared" si="32"/>
        <v>0</v>
      </c>
      <c r="E1049" s="16">
        <f>IF('Components Yr 1'!E1049=0,0,'Components Yr 1'!E1049)</f>
        <v>0</v>
      </c>
      <c r="F1049" s="17">
        <f>IF('Components Yr 1'!F1049=0,0,'Components Yr 1'!F1049)</f>
        <v>0</v>
      </c>
      <c r="G1049" s="17">
        <f>IF('Components Yr 1'!G1049=0,0,'Components Yr 1'!G1049)</f>
        <v>0</v>
      </c>
      <c r="H1049" s="17">
        <f>IF('Components Yr 1'!H1049=0,0,'Components Yr 1'!H1049)</f>
        <v>0</v>
      </c>
      <c r="I1049" s="17">
        <f>IF('Components Yr 1'!I1049=0,0,'Components Yr 1'!I1049)</f>
        <v>0</v>
      </c>
      <c r="J1049" s="17">
        <f>IF('Components Yr 1'!J1049=0,0,'Components Yr 1'!J1049)</f>
        <v>0</v>
      </c>
      <c r="K1049" s="12"/>
      <c r="L1049" s="12"/>
      <c r="M1049" s="12"/>
      <c r="N1049" s="12"/>
      <c r="O1049" s="12"/>
      <c r="P1049" s="12"/>
      <c r="Q1049" s="17"/>
      <c r="R1049" s="18">
        <f>IF(SUMPRODUCT((E1049:Q1049)*1)=0,0,E1049*INDEX(Hours!M:M,MATCH(C1049,Hours!$A:$A,0))+F1049*INDEX(Hours!B:B,MATCH(C1049,Hours!$A:$A,0))+G1049*INDEX(Hours!C:C,MATCH(C1049,Hours!$A:$A,0))+H1049*INDEX(Hours!D:D,MATCH(C1049,Hours!$A:$A,0))+I1049*INDEX(Hours!E:E,MATCH(C1049,Hours!$A:$A,0))+J1049*INDEX(Hours!F:F,MATCH(C1049,Hours!$A:$A,0)))</f>
        <v>0</v>
      </c>
      <c r="S1049" s="19">
        <f t="shared" si="33"/>
        <v>0</v>
      </c>
    </row>
    <row r="1050" spans="1:19" x14ac:dyDescent="0.25">
      <c r="A1050" s="11" t="str">
        <f>'Bldgs &amp; Rooms'!$A$30</f>
        <v>Main Bldg.</v>
      </c>
      <c r="B1050" s="11">
        <f>'Bldgs &amp; Rooms'!$B$30</f>
        <v>0</v>
      </c>
      <c r="C1050" s="10" t="str">
        <f>Hours!$A$14</f>
        <v>Motor Control Panel (MCP)</v>
      </c>
      <c r="D1050" s="11">
        <f t="shared" si="32"/>
        <v>0</v>
      </c>
      <c r="E1050" s="16">
        <f>IF('Components Yr 1'!E1050=0,0,'Components Yr 1'!E1050)</f>
        <v>0</v>
      </c>
      <c r="F1050" s="17">
        <f>IF('Components Yr 1'!F1050=0,0,'Components Yr 1'!F1050)</f>
        <v>0</v>
      </c>
      <c r="G1050" s="17">
        <f>IF('Components Yr 1'!G1050=0,0,'Components Yr 1'!G1050)</f>
        <v>0</v>
      </c>
      <c r="H1050" s="17">
        <f>IF('Components Yr 1'!H1050=0,0,'Components Yr 1'!H1050)</f>
        <v>0</v>
      </c>
      <c r="I1050" s="17">
        <f>IF('Components Yr 1'!I1050=0,0,'Components Yr 1'!I1050)</f>
        <v>0</v>
      </c>
      <c r="J1050" s="17">
        <f>IF('Components Yr 1'!J1050=0,0,'Components Yr 1'!J1050)</f>
        <v>0</v>
      </c>
      <c r="K1050" s="12"/>
      <c r="L1050" s="12"/>
      <c r="M1050" s="12"/>
      <c r="N1050" s="12"/>
      <c r="O1050" s="17">
        <f>IF('Components Yr 1'!O1050=0,0,'Components Yr 1'!O1050)</f>
        <v>0</v>
      </c>
      <c r="P1050" s="12"/>
      <c r="Q1050" s="17"/>
      <c r="R1050" s="18">
        <f>IF(SUMPRODUCT((E1050:Q1050)*1)=0,0,E1050*INDEX(Hours!M:M,MATCH(C1050,Hours!$A:$A,0))+F1050*INDEX(Hours!B:B,MATCH(C1050,Hours!$A:$A,0))+G1050*INDEX(Hours!C:C,MATCH(C1050,Hours!$A:$A,0))+H1050*INDEX(Hours!D:D,MATCH(C1050,Hours!$A:$A,0))+I1050*INDEX(Hours!E:E,MATCH(C1050,Hours!$A:$A,0))+J1050*INDEX(Hours!F:F,MATCH(C1050,Hours!$A:$A,0))+O1050*INDEX(Hours!K:K,MATCH(C1050,Hours!$A:$A,0)))</f>
        <v>0</v>
      </c>
      <c r="S1050" s="19">
        <f t="shared" si="33"/>
        <v>0</v>
      </c>
    </row>
    <row r="1051" spans="1:19" x14ac:dyDescent="0.25">
      <c r="A1051" s="11" t="str">
        <f>'Bldgs &amp; Rooms'!$A$30</f>
        <v>Main Bldg.</v>
      </c>
      <c r="B1051" s="11">
        <f>'Bldgs &amp; Rooms'!$B$30</f>
        <v>0</v>
      </c>
      <c r="C1051" s="10" t="str">
        <f>Hours!$A$15</f>
        <v>VFD Motor Control Panel (VFD-MCP)</v>
      </c>
      <c r="D1051" s="11">
        <f t="shared" si="32"/>
        <v>0</v>
      </c>
      <c r="E1051" s="16">
        <f>IF('Components Yr 1'!E1051=0,0,'Components Yr 1'!E1051)</f>
        <v>0</v>
      </c>
      <c r="F1051" s="17">
        <f>IF('Components Yr 1'!F1051=0,0,'Components Yr 1'!F1051)</f>
        <v>0</v>
      </c>
      <c r="G1051" s="17">
        <f>IF('Components Yr 1'!G1051=0,0,'Components Yr 1'!G1051)</f>
        <v>0</v>
      </c>
      <c r="H1051" s="17">
        <f>IF('Components Yr 1'!H1051=0,0,'Components Yr 1'!H1051)</f>
        <v>0</v>
      </c>
      <c r="I1051" s="17">
        <f>IF('Components Yr 1'!I1051=0,0,'Components Yr 1'!I1051)</f>
        <v>0</v>
      </c>
      <c r="J1051" s="17">
        <f>IF('Components Yr 1'!J1051=0,0,'Components Yr 1'!J1051)</f>
        <v>0</v>
      </c>
      <c r="K1051" s="12"/>
      <c r="L1051" s="12"/>
      <c r="M1051" s="12"/>
      <c r="N1051" s="12"/>
      <c r="O1051" s="17">
        <f>IF('Components Yr 1'!O1051=0,0,'Components Yr 1'!O1051)</f>
        <v>0</v>
      </c>
      <c r="P1051" s="12"/>
      <c r="Q1051" s="17"/>
      <c r="R1051" s="18">
        <f>IF(SUMPRODUCT((E1051:Q1051)*1)=0,0,E1051*INDEX(Hours!M:M,MATCH(C1051,Hours!$A:$A,0))+F1051*INDEX(Hours!B:B,MATCH(C1051,Hours!$A:$A,0))+G1051*INDEX(Hours!C:C,MATCH(C1051,Hours!$A:$A,0))+H1051*INDEX(Hours!D:D,MATCH(C1051,Hours!$A:$A,0))+I1051*INDEX(Hours!E:E,MATCH(C1051,Hours!$A:$A,0))+J1051*INDEX(Hours!F:F,MATCH(C1051,Hours!$A:$A,0))+O1051*INDEX(Hours!K:K,MATCH(C1051,Hours!$A:$A,0)))</f>
        <v>0</v>
      </c>
      <c r="S1051" s="19">
        <f t="shared" si="33"/>
        <v>0</v>
      </c>
    </row>
    <row r="1052" spans="1:19" x14ac:dyDescent="0.25">
      <c r="A1052" s="11" t="str">
        <f>'Bldgs &amp; Rooms'!$A$30</f>
        <v>Main Bldg.</v>
      </c>
      <c r="B1052" s="11">
        <f>'Bldgs &amp; Rooms'!$B$30</f>
        <v>0</v>
      </c>
      <c r="C1052" s="10" t="str">
        <f>Hours!$A$16</f>
        <v>Individual Disconnect Switch &gt; 100A</v>
      </c>
      <c r="D1052" s="11">
        <f t="shared" si="32"/>
        <v>0</v>
      </c>
      <c r="E1052" s="16">
        <f>IF('Components Yr 1'!E1052=0,0,'Components Yr 1'!E1052)</f>
        <v>0</v>
      </c>
      <c r="F1052" s="17">
        <f>IF('Components Yr 1'!F1052=0,0,'Components Yr 1'!F1052)</f>
        <v>0</v>
      </c>
      <c r="G1052" s="17">
        <f>IF('Components Yr 1'!G1052=0,0,'Components Yr 1'!G1052)</f>
        <v>0</v>
      </c>
      <c r="H1052" s="17">
        <f>IF('Components Yr 1'!H1052=0,0,'Components Yr 1'!H1052)</f>
        <v>0</v>
      </c>
      <c r="I1052" s="17">
        <f>IF('Components Yr 1'!I1052=0,0,'Components Yr 1'!I1052)</f>
        <v>0</v>
      </c>
      <c r="J1052" s="17">
        <f>IF('Components Yr 1'!J1052=0,0,'Components Yr 1'!J1052)</f>
        <v>0</v>
      </c>
      <c r="K1052" s="17">
        <f>IF('Components Yr 1'!K1052=0,0,'Components Yr 1'!K1052)</f>
        <v>0</v>
      </c>
      <c r="L1052" s="12"/>
      <c r="M1052" s="12"/>
      <c r="N1052" s="12"/>
      <c r="O1052" s="12"/>
      <c r="P1052" s="12"/>
      <c r="Q1052" s="17"/>
      <c r="R1052" s="18">
        <f>IF(SUMPRODUCT((E1052:Q1052)*1)=0,0,E1052*INDEX(Hours!M:M,MATCH(C1052,Hours!$A:$A,0))+F1052*INDEX(Hours!B:B,MATCH(C1052,Hours!$A:$A,0))+G1052*INDEX(Hours!C:C,MATCH(C1052,Hours!$A:$A,0))+H1052*INDEX(Hours!D:D,MATCH(C1052,Hours!$A:$A,0))+I1052*INDEX(Hours!E:E,MATCH(C1052,Hours!$A:$A,0))+J1052*INDEX(Hours!F:F,MATCH(C1052,Hours!$A:$A,0))+K1052*INDEX(Hours!G:G,MATCH(C1052,Hours!$A:$A,0)))</f>
        <v>0</v>
      </c>
      <c r="S1052" s="19">
        <f t="shared" si="33"/>
        <v>0</v>
      </c>
    </row>
    <row r="1053" spans="1:19" x14ac:dyDescent="0.25">
      <c r="A1053" s="11" t="str">
        <f>'Bldgs &amp; Rooms'!$A$30</f>
        <v>Main Bldg.</v>
      </c>
      <c r="B1053" s="11">
        <f>'Bldgs &amp; Rooms'!$B$30</f>
        <v>0</v>
      </c>
      <c r="C1053" s="10" t="str">
        <f>Hours!$A$17</f>
        <v>Individual Molded Case Breaker &gt; 100A</v>
      </c>
      <c r="D1053" s="11">
        <f t="shared" si="32"/>
        <v>0</v>
      </c>
      <c r="E1053" s="16">
        <f>IF('Components Yr 1'!E1053=0,0,'Components Yr 1'!E1053)</f>
        <v>0</v>
      </c>
      <c r="F1053" s="17">
        <f>IF('Components Yr 1'!F1053=0,0,'Components Yr 1'!F1053)</f>
        <v>0</v>
      </c>
      <c r="G1053" s="17">
        <f>IF('Components Yr 1'!G1053=0,0,'Components Yr 1'!G1053)</f>
        <v>0</v>
      </c>
      <c r="H1053" s="17">
        <f>IF('Components Yr 1'!H1053=0,0,'Components Yr 1'!H1053)</f>
        <v>0</v>
      </c>
      <c r="I1053" s="17">
        <f>IF('Components Yr 1'!I1053=0,0,'Components Yr 1'!I1053)</f>
        <v>0</v>
      </c>
      <c r="J1053" s="17">
        <f>IF('Components Yr 1'!J1053=0,0,'Components Yr 1'!J1053)</f>
        <v>0</v>
      </c>
      <c r="K1053" s="17">
        <f>IF('Components Yr 1'!K1053=0,0,'Components Yr 1'!K1053)</f>
        <v>0</v>
      </c>
      <c r="L1053" s="12"/>
      <c r="M1053" s="12"/>
      <c r="N1053" s="12"/>
      <c r="O1053" s="12"/>
      <c r="P1053" s="12"/>
      <c r="Q1053" s="17"/>
      <c r="R1053" s="18">
        <f>IF(SUMPRODUCT((E1053:Q1053)*1)=0,0,E1053*INDEX(Hours!M:M,MATCH(C1053,Hours!$A:$A,0))+F1053*INDEX(Hours!B:B,MATCH(C1053,Hours!$A:$A,0))+G1053*INDEX(Hours!C:C,MATCH(C1053,Hours!$A:$A,0))+H1053*INDEX(Hours!D:D,MATCH(C1053,Hours!$A:$A,0))+I1053*INDEX(Hours!E:E,MATCH(C1053,Hours!$A:$A,0))+J1053*INDEX(Hours!F:F,MATCH(C1053,Hours!$A:$A,0))+K1053*INDEX(Hours!G:G,MATCH(C1053,Hours!$A:$A,0)))</f>
        <v>0</v>
      </c>
      <c r="S1053" s="19">
        <f t="shared" si="33"/>
        <v>0</v>
      </c>
    </row>
    <row r="1054" spans="1:19" x14ac:dyDescent="0.25">
      <c r="A1054" s="11" t="str">
        <f>'Bldgs &amp; Rooms'!$A$30</f>
        <v>Main Bldg.</v>
      </c>
      <c r="B1054" s="11">
        <f>'Bldgs &amp; Rooms'!$B$30</f>
        <v>0</v>
      </c>
      <c r="C1054" s="10" t="str">
        <f>Hours!$A$18</f>
        <v>Individual Combination Motor Starter &gt; 100A</v>
      </c>
      <c r="D1054" s="11">
        <f t="shared" si="32"/>
        <v>0</v>
      </c>
      <c r="E1054" s="16">
        <f>IF('Components Yr 1'!E1054=0,0,'Components Yr 1'!E1054)</f>
        <v>0</v>
      </c>
      <c r="F1054" s="17">
        <f>IF('Components Yr 1'!F1054=0,0,'Components Yr 1'!F1054)</f>
        <v>0</v>
      </c>
      <c r="G1054" s="17">
        <f>IF('Components Yr 1'!G1054=0,0,'Components Yr 1'!G1054)</f>
        <v>0</v>
      </c>
      <c r="H1054" s="17">
        <f>IF('Components Yr 1'!H1054=0,0,'Components Yr 1'!H1054)</f>
        <v>0</v>
      </c>
      <c r="I1054" s="17">
        <f>IF('Components Yr 1'!I1054=0,0,'Components Yr 1'!I1054)</f>
        <v>0</v>
      </c>
      <c r="J1054" s="17">
        <f>IF('Components Yr 1'!J1054=0,0,'Components Yr 1'!J1054)</f>
        <v>0</v>
      </c>
      <c r="K1054" s="17">
        <f>IF('Components Yr 1'!K1054=0,0,'Components Yr 1'!K1054)</f>
        <v>0</v>
      </c>
      <c r="L1054" s="12"/>
      <c r="M1054" s="12"/>
      <c r="N1054" s="12"/>
      <c r="O1054" s="12"/>
      <c r="P1054" s="12"/>
      <c r="Q1054" s="17"/>
      <c r="R1054" s="18">
        <f>IF(SUMPRODUCT((E1054:Q1054)*1)=0,0,E1054*INDEX(Hours!M:M,MATCH(C1054,Hours!$A:$A,0))+F1054*INDEX(Hours!B:B,MATCH(C1054,Hours!$A:$A,0))+G1054*INDEX(Hours!C:C,MATCH(C1054,Hours!$A:$A,0))+H1054*INDEX(Hours!D:D,MATCH(C1054,Hours!$A:$A,0))+I1054*INDEX(Hours!E:E,MATCH(C1054,Hours!$A:$A,0))+J1054*INDEX(Hours!F:F,MATCH(C1054,Hours!$A:$A,0))+K1054*INDEX(Hours!G:G,MATCH(C1054,Hours!$A:$A,0)))</f>
        <v>0</v>
      </c>
      <c r="S1054" s="19">
        <f t="shared" si="33"/>
        <v>0</v>
      </c>
    </row>
    <row r="1055" spans="1:19" x14ac:dyDescent="0.25">
      <c r="A1055" s="11" t="str">
        <f>'Bldgs &amp; Rooms'!$A$30</f>
        <v>Main Bldg.</v>
      </c>
      <c r="B1055" s="11">
        <f>'Bldgs &amp; Rooms'!$B$30</f>
        <v>0</v>
      </c>
      <c r="C1055" s="10" t="str">
        <f>Hours!$A$19</f>
        <v>Oil Filled Transformer - 5kV-15kV Primary - Any Size (Pad Mounted)</v>
      </c>
      <c r="D1055" s="11">
        <f t="shared" si="32"/>
        <v>0</v>
      </c>
      <c r="E1055" s="16">
        <f>IF('Components Yr 1'!E1055=0,0,'Components Yr 1'!E1055)</f>
        <v>0</v>
      </c>
      <c r="F1055" s="17">
        <f>IF('Components Yr 1'!F1055=0,0,'Components Yr 1'!F1055)</f>
        <v>0</v>
      </c>
      <c r="G1055" s="17">
        <f>IF('Components Yr 1'!G1055=0,0,'Components Yr 1'!G1055)</f>
        <v>0</v>
      </c>
      <c r="H1055" s="17">
        <f>IF('Components Yr 1'!H1055=0,0,'Components Yr 1'!H1055)</f>
        <v>0</v>
      </c>
      <c r="I1055" s="17">
        <f>IF('Components Yr 1'!I1055=0,0,'Components Yr 1'!I1055)</f>
        <v>0</v>
      </c>
      <c r="J1055" s="17">
        <f>IF('Components Yr 1'!J1055=0,0,'Components Yr 1'!J1055)</f>
        <v>0</v>
      </c>
      <c r="K1055" s="12"/>
      <c r="L1055" s="12"/>
      <c r="M1055" s="17">
        <f>IF('Components Yr 1'!M1055=0,0,'Components Yr 1'!M1055)</f>
        <v>0</v>
      </c>
      <c r="N1055" s="17">
        <f>IF('Components Yr 1'!N1055=0,0,'Components Yr 1'!N1055)</f>
        <v>0</v>
      </c>
      <c r="O1055" s="12"/>
      <c r="P1055" s="17">
        <f>IF('Components Yr 1'!P1055=0,0,'Components Yr 1'!P1055)</f>
        <v>0</v>
      </c>
      <c r="Q1055" s="17"/>
      <c r="R1055" s="18">
        <f>IF(SUMPRODUCT((E1055:Q1055)*1)=0,0,E1055*INDEX(Hours!M:M,MATCH(C1055,Hours!$A:$A,0))+F1055*INDEX(Hours!B:B,MATCH(C1055,Hours!$A:$A,0))+G1055*INDEX(Hours!C:C,MATCH(C1055,Hours!$A:$A,0))+H1055*INDEX(Hours!D:D,MATCH(C1055,Hours!$A:$A,0))+I1055*INDEX(Hours!E:E,MATCH(C1055,Hours!$A:$A,0))+J1055*INDEX(Hours!F:F,MATCH(C1055,Hours!$A:$A,0))+M1055*INDEX(Hours!I:I,MATCH(C1055,Hours!$A:$A,0))+N1055*INDEX(Hours!J:J,MATCH(C1055,Hours!$A:$A,0))+P1055*INDEX(Hours!L:L,MATCH(C1055,Hours!$A:$A,0)))</f>
        <v>0</v>
      </c>
      <c r="S1055" s="19">
        <f t="shared" si="33"/>
        <v>0</v>
      </c>
    </row>
    <row r="1056" spans="1:19" x14ac:dyDescent="0.25">
      <c r="A1056" s="11" t="str">
        <f>'Bldgs &amp; Rooms'!$A$30</f>
        <v>Main Bldg.</v>
      </c>
      <c r="B1056" s="11">
        <f>'Bldgs &amp; Rooms'!$B$30</f>
        <v>0</v>
      </c>
      <c r="C1056" s="10" t="str">
        <f>Hours!$A$20</f>
        <v>Oil Filled Transformer - &gt; 15kV Primary (Substation Class)</v>
      </c>
      <c r="D1056" s="11">
        <f t="shared" si="32"/>
        <v>0</v>
      </c>
      <c r="E1056" s="16">
        <f>IF('Components Yr 1'!E1056=0,0,'Components Yr 1'!E1056)</f>
        <v>0</v>
      </c>
      <c r="F1056" s="17">
        <f>IF('Components Yr 1'!F1056=0,0,'Components Yr 1'!F1056)</f>
        <v>0</v>
      </c>
      <c r="G1056" s="17">
        <f>IF('Components Yr 1'!G1056=0,0,'Components Yr 1'!G1056)</f>
        <v>0</v>
      </c>
      <c r="H1056" s="17">
        <f>IF('Components Yr 1'!H1056=0,0,'Components Yr 1'!H1056)</f>
        <v>0</v>
      </c>
      <c r="I1056" s="17">
        <f>IF('Components Yr 1'!I1056=0,0,'Components Yr 1'!I1056)</f>
        <v>0</v>
      </c>
      <c r="J1056" s="17">
        <f>IF('Components Yr 1'!J1056=0,0,'Components Yr 1'!J1056)</f>
        <v>0</v>
      </c>
      <c r="K1056" s="12"/>
      <c r="L1056" s="12"/>
      <c r="M1056" s="17">
        <f>IF('Components Yr 1'!M1056=0,0,'Components Yr 1'!M1056)</f>
        <v>0</v>
      </c>
      <c r="N1056" s="17">
        <f>IF('Components Yr 1'!N1056=0,0,'Components Yr 1'!N1056)</f>
        <v>0</v>
      </c>
      <c r="O1056" s="12"/>
      <c r="P1056" s="17">
        <f>IF('Components Yr 1'!P1056=0,0,'Components Yr 1'!P1056)</f>
        <v>0</v>
      </c>
      <c r="Q1056" s="17"/>
      <c r="R1056" s="18">
        <f>IF(SUMPRODUCT((E1056:Q1056)*1)=0,0,E1056*INDEX(Hours!M:M,MATCH(C1056,Hours!$A:$A,0))+F1056*INDEX(Hours!B:B,MATCH(C1056,Hours!$A:$A,0))+G1056*INDEX(Hours!C:C,MATCH(C1056,Hours!$A:$A,0))+H1056*INDEX(Hours!D:D,MATCH(C1056,Hours!$A:$A,0))+I1056*INDEX(Hours!E:E,MATCH(C1056,Hours!$A:$A,0))+J1056*INDEX(Hours!F:F,MATCH(C1056,Hours!$A:$A,0))+M1056*INDEX(Hours!I:I,MATCH(C1056,Hours!$A:$A,0))+N1056*INDEX(Hours!J:J,MATCH(C1056,Hours!$A:$A,0))+P1056*INDEX(Hours!L:L,MATCH(C1056,Hours!$A:$A,0)))</f>
        <v>0</v>
      </c>
      <c r="S1056" s="19">
        <f t="shared" si="33"/>
        <v>0</v>
      </c>
    </row>
    <row r="1057" spans="1:19" x14ac:dyDescent="0.25">
      <c r="A1057" s="11" t="str">
        <f>'Bldgs &amp; Rooms'!$A$30</f>
        <v>Main Bldg.</v>
      </c>
      <c r="B1057" s="11">
        <f>'Bldgs &amp; Rooms'!$B$30</f>
        <v>0</v>
      </c>
      <c r="C1057" s="10" t="str">
        <f>Hours!$A$21</f>
        <v>Dry Type Transformer - &lt; 480V Primary - Any Size kVA</v>
      </c>
      <c r="D1057" s="11">
        <f t="shared" si="32"/>
        <v>0</v>
      </c>
      <c r="E1057" s="16">
        <f>IF('Components Yr 1'!E1057=0,0,'Components Yr 1'!E1057)</f>
        <v>0</v>
      </c>
      <c r="F1057" s="17">
        <f>IF('Components Yr 1'!F1057=0,0,'Components Yr 1'!F1057)</f>
        <v>0</v>
      </c>
      <c r="G1057" s="17">
        <f>IF('Components Yr 1'!G1057=0,0,'Components Yr 1'!G1057)</f>
        <v>0</v>
      </c>
      <c r="H1057" s="17">
        <f>IF('Components Yr 1'!H1057=0,0,'Components Yr 1'!H1057)</f>
        <v>0</v>
      </c>
      <c r="I1057" s="17">
        <f>IF('Components Yr 1'!I1057=0,0,'Components Yr 1'!I1057)</f>
        <v>0</v>
      </c>
      <c r="J1057" s="17">
        <f>IF('Components Yr 1'!J1057=0,0,'Components Yr 1'!J1057)</f>
        <v>0</v>
      </c>
      <c r="K1057" s="12"/>
      <c r="L1057" s="12"/>
      <c r="M1057" s="17">
        <f>IF('Components Yr 1'!M1057=0,0,'Components Yr 1'!M1057)</f>
        <v>0</v>
      </c>
      <c r="N1057" s="17">
        <f>IF('Components Yr 1'!N1057=0,0,'Components Yr 1'!N1057)</f>
        <v>0</v>
      </c>
      <c r="O1057" s="12"/>
      <c r="P1057" s="12"/>
      <c r="Q1057" s="17"/>
      <c r="R1057" s="18">
        <f>IF(SUMPRODUCT((E1057:Q1057)*1)=0,0,E1057*INDEX(Hours!M:M,MATCH(C1057,Hours!$A:$A,0))+F1057*INDEX(Hours!B:B,MATCH(C1057,Hours!$A:$A,0))+G1057*INDEX(Hours!C:C,MATCH(C1057,Hours!$A:$A,0))+H1057*INDEX(Hours!D:D,MATCH(C1057,Hours!$A:$A,0))+I1057*INDEX(Hours!E:E,MATCH(C1057,Hours!$A:$A,0))+J1057*INDEX(Hours!F:F,MATCH(C1057,Hours!$A:$A,0))+M1057*INDEX(Hours!I:I,MATCH(C1057,Hours!$A:$A,0))+N1057*INDEX(Hours!J:J,MATCH(C1057,Hours!$A:$A,0)))</f>
        <v>0</v>
      </c>
      <c r="S1057" s="19">
        <f t="shared" si="33"/>
        <v>0</v>
      </c>
    </row>
    <row r="1058" spans="1:19" x14ac:dyDescent="0.25">
      <c r="A1058" s="11" t="str">
        <f>'Bldgs &amp; Rooms'!$A$30</f>
        <v>Main Bldg.</v>
      </c>
      <c r="B1058" s="11">
        <f>'Bldgs &amp; Rooms'!$B$30</f>
        <v>0</v>
      </c>
      <c r="C1058" s="10" t="str">
        <f>Hours!$A$22</f>
        <v>Power Factor Correction Capacitors</v>
      </c>
      <c r="D1058" s="11">
        <f t="shared" si="32"/>
        <v>0</v>
      </c>
      <c r="E1058" s="16">
        <f>IF('Components Yr 1'!E1058=0,0,'Components Yr 1'!E1058)</f>
        <v>0</v>
      </c>
      <c r="F1058" s="17">
        <f>IF('Components Yr 1'!F1058=0,0,'Components Yr 1'!F1058)</f>
        <v>0</v>
      </c>
      <c r="G1058" s="17">
        <f>IF('Components Yr 1'!G1058=0,0,'Components Yr 1'!G1058)</f>
        <v>0</v>
      </c>
      <c r="H1058" s="17">
        <f>IF('Components Yr 1'!H1058=0,0,'Components Yr 1'!H1058)</f>
        <v>0</v>
      </c>
      <c r="I1058" s="17">
        <f>IF('Components Yr 1'!I1058=0,0,'Components Yr 1'!I1058)</f>
        <v>0</v>
      </c>
      <c r="J1058" s="17">
        <f>IF('Components Yr 1'!J1058=0,0,'Components Yr 1'!J1058)</f>
        <v>0</v>
      </c>
      <c r="K1058" s="12"/>
      <c r="L1058" s="12"/>
      <c r="M1058" s="12"/>
      <c r="N1058" s="12"/>
      <c r="O1058" s="12"/>
      <c r="P1058" s="12"/>
      <c r="Q1058" s="17"/>
      <c r="R1058" s="18">
        <f>IF(SUMPRODUCT((E1058:Q1058)*1)=0,0,E1058*INDEX(Hours!M:M,MATCH(C1058,Hours!$A:$A,0))+F1058*INDEX(Hours!B:B,MATCH(C1058,Hours!$A:$A,0))+G1058*INDEX(Hours!C:C,MATCH(C1058,Hours!$A:$A,0))+H1058*INDEX(Hours!D:D,MATCH(C1058,Hours!$A:$A,0))+I1058*INDEX(Hours!E:E,MATCH(C1058,Hours!$A:$A,0))+J1058*INDEX(Hours!F:F,MATCH(C1058,Hours!$A:$A,0)))</f>
        <v>0</v>
      </c>
      <c r="S1058" s="19">
        <f t="shared" si="33"/>
        <v>0</v>
      </c>
    </row>
    <row r="1059" spans="1:19" x14ac:dyDescent="0.25">
      <c r="A1059" s="11" t="str">
        <f>'Bldgs &amp; Rooms'!$A$30</f>
        <v>Main Bldg.</v>
      </c>
      <c r="B1059" s="11">
        <f>'Bldgs &amp; Rooms'!$B$30</f>
        <v>0</v>
      </c>
      <c r="C1059" s="10" t="str">
        <f>Hours!$A$23</f>
        <v>Lighting Contactor &gt; 100A</v>
      </c>
      <c r="D1059" s="11">
        <f t="shared" si="32"/>
        <v>0</v>
      </c>
      <c r="E1059" s="16">
        <f>IF('Components Yr 1'!E1059=0,0,'Components Yr 1'!E1059)</f>
        <v>0</v>
      </c>
      <c r="F1059" s="17">
        <f>IF('Components Yr 1'!F1059=0,0,'Components Yr 1'!F1059)</f>
        <v>0</v>
      </c>
      <c r="G1059" s="17">
        <f>IF('Components Yr 1'!G1059=0,0,'Components Yr 1'!G1059)</f>
        <v>0</v>
      </c>
      <c r="H1059" s="17">
        <f>IF('Components Yr 1'!H1059=0,0,'Components Yr 1'!H1059)</f>
        <v>0</v>
      </c>
      <c r="I1059" s="17">
        <f>IF('Components Yr 1'!I1059=0,0,'Components Yr 1'!I1059)</f>
        <v>0</v>
      </c>
      <c r="J1059" s="17">
        <f>IF('Components Yr 1'!J1059=0,0,'Components Yr 1'!J1059)</f>
        <v>0</v>
      </c>
      <c r="K1059" s="12"/>
      <c r="L1059" s="12"/>
      <c r="M1059" s="12"/>
      <c r="N1059" s="12"/>
      <c r="O1059" s="12"/>
      <c r="P1059" s="12"/>
      <c r="Q1059" s="17"/>
      <c r="R1059" s="18">
        <f>IF(SUMPRODUCT((E1059:Q1059)*1)=0,0,E1059*INDEX(Hours!M:M,MATCH(C1059,Hours!$A:$A,0))+F1059*INDEX(Hours!B:B,MATCH(C1059,Hours!$A:$A,0))+G1059*INDEX(Hours!C:C,MATCH(C1059,Hours!$A:$A,0))+H1059*INDEX(Hours!D:D,MATCH(C1059,Hours!$A:$A,0))+I1059*INDEX(Hours!E:E,MATCH(C1059,Hours!$A:$A,0))+J1059*INDEX(Hours!F:F,MATCH(C1059,Hours!$A:$A,0)))</f>
        <v>0</v>
      </c>
      <c r="S1059" s="19">
        <f t="shared" si="33"/>
        <v>0</v>
      </c>
    </row>
    <row r="1060" spans="1:19" x14ac:dyDescent="0.25">
      <c r="A1060" s="11" t="str">
        <f>'Bldgs &amp; Rooms'!$A$30</f>
        <v>Main Bldg.</v>
      </c>
      <c r="B1060" s="11">
        <f>'Bldgs &amp; Rooms'!$B$30</f>
        <v>0</v>
      </c>
      <c r="C1060" s="10" t="str">
        <f>Hours!$A$24</f>
        <v>Power Distribution Unit (PDU)</v>
      </c>
      <c r="D1060" s="11">
        <f t="shared" si="32"/>
        <v>0</v>
      </c>
      <c r="E1060" s="16">
        <f>IF('Components Yr 1'!E1060=0,0,'Components Yr 1'!E1060)</f>
        <v>0</v>
      </c>
      <c r="F1060" s="17">
        <f>IF('Components Yr 1'!F1060=0,0,'Components Yr 1'!F1060)</f>
        <v>0</v>
      </c>
      <c r="G1060" s="17">
        <f>IF('Components Yr 1'!G1060=0,0,'Components Yr 1'!G1060)</f>
        <v>0</v>
      </c>
      <c r="H1060" s="17">
        <f>IF('Components Yr 1'!H1060=0,0,'Components Yr 1'!H1060)</f>
        <v>0</v>
      </c>
      <c r="I1060" s="17">
        <f>IF('Components Yr 1'!I1060=0,0,'Components Yr 1'!I1060)</f>
        <v>0</v>
      </c>
      <c r="J1060" s="17">
        <f>IF('Components Yr 1'!J1060=0,0,'Components Yr 1'!J1060)</f>
        <v>0</v>
      </c>
      <c r="K1060" s="12"/>
      <c r="L1060" s="12"/>
      <c r="M1060" s="12"/>
      <c r="N1060" s="12"/>
      <c r="O1060" s="12"/>
      <c r="P1060" s="12"/>
      <c r="Q1060" s="17"/>
      <c r="R1060" s="18">
        <f>IF(SUMPRODUCT((E1060:Q1060)*1)=0,0,E1060*INDEX(Hours!M:M,MATCH(C1060,Hours!$A:$A,0))+F1060*INDEX(Hours!B:B,MATCH(C1060,Hours!$A:$A,0))+G1060*INDEX(Hours!C:C,MATCH(C1060,Hours!$A:$A,0))+H1060*INDEX(Hours!D:D,MATCH(C1060,Hours!$A:$A,0))+I1060*INDEX(Hours!E:E,MATCH(C1060,Hours!$A:$A,0))+J1060*INDEX(Hours!F:F,MATCH(C1060,Hours!$A:$A,0)))</f>
        <v>0</v>
      </c>
      <c r="S1060" s="19">
        <f t="shared" si="33"/>
        <v>0</v>
      </c>
    </row>
    <row r="1061" spans="1:19" x14ac:dyDescent="0.25">
      <c r="A1061" s="11" t="str">
        <f>'Bldgs &amp; Rooms'!$A$30</f>
        <v>Main Bldg.</v>
      </c>
      <c r="B1061" s="11">
        <f>'Bldgs &amp; Rooms'!$B$30</f>
        <v>0</v>
      </c>
      <c r="C1061" s="10" t="str">
        <f>Hours!$A$25</f>
        <v>Wire Trough, Gutter, or Large Junction Boxes</v>
      </c>
      <c r="D1061" s="11">
        <f t="shared" si="32"/>
        <v>0</v>
      </c>
      <c r="E1061" s="16">
        <f>IF('Components Yr 1'!E1061=0,0,'Components Yr 1'!E1061)</f>
        <v>0</v>
      </c>
      <c r="F1061" s="17">
        <f>IF('Components Yr 1'!F1061=0,0,'Components Yr 1'!F1061)</f>
        <v>0</v>
      </c>
      <c r="G1061" s="17">
        <f>IF('Components Yr 1'!G1061=0,0,'Components Yr 1'!G1061)</f>
        <v>0</v>
      </c>
      <c r="H1061" s="17">
        <f>IF('Components Yr 1'!H1061=0,0,'Components Yr 1'!H1061)</f>
        <v>0</v>
      </c>
      <c r="I1061" s="17">
        <f>IF('Components Yr 1'!I1061=0,0,'Components Yr 1'!I1061)</f>
        <v>0</v>
      </c>
      <c r="J1061" s="17">
        <f>IF('Components Yr 1'!J1061=0,0,'Components Yr 1'!J1061)</f>
        <v>0</v>
      </c>
      <c r="K1061" s="12"/>
      <c r="L1061" s="12"/>
      <c r="M1061" s="12"/>
      <c r="N1061" s="12"/>
      <c r="O1061" s="12"/>
      <c r="P1061" s="12"/>
      <c r="Q1061" s="17"/>
      <c r="R1061" s="18">
        <f>IF(SUMPRODUCT((E1061:Q1061)*1)=0,0,E1061*INDEX(Hours!M:M,MATCH(C1061,Hours!$A:$A,0))+F1061*INDEX(Hours!B:B,MATCH(C1061,Hours!$A:$A,0))+G1061*INDEX(Hours!C:C,MATCH(C1061,Hours!$A:$A,0))+H1061*INDEX(Hours!D:D,MATCH(C1061,Hours!$A:$A,0))+I1061*INDEX(Hours!E:E,MATCH(C1061,Hours!$A:$A,0))+J1061*INDEX(Hours!F:F,MATCH(C1061,Hours!$A:$A,0)))</f>
        <v>0</v>
      </c>
      <c r="S1061" s="19">
        <f t="shared" si="33"/>
        <v>0</v>
      </c>
    </row>
    <row r="1062" spans="1:19" x14ac:dyDescent="0.25">
      <c r="A1062" s="11" t="str">
        <f>'Bldgs &amp; Rooms'!$A$30</f>
        <v>Main Bldg.</v>
      </c>
      <c r="B1062" s="11">
        <f>'Bldgs &amp; Rooms'!$B$30</f>
        <v>0</v>
      </c>
      <c r="C1062" s="10" t="str">
        <f>Hours!$A$26</f>
        <v>Bus Duct - Vertical or Horizontal (Per 10' section)</v>
      </c>
      <c r="D1062" s="11">
        <f t="shared" si="32"/>
        <v>0</v>
      </c>
      <c r="E1062" s="16">
        <f>IF('Components Yr 1'!E1062=0,0,'Components Yr 1'!E1062)</f>
        <v>0</v>
      </c>
      <c r="F1062" s="17">
        <f>IF('Components Yr 1'!F1062=0,0,'Components Yr 1'!F1062)</f>
        <v>0</v>
      </c>
      <c r="G1062" s="17">
        <f>IF('Components Yr 1'!G1062=0,0,'Components Yr 1'!G1062)</f>
        <v>0</v>
      </c>
      <c r="H1062" s="17">
        <f>IF('Components Yr 1'!H1062=0,0,'Components Yr 1'!H1062)</f>
        <v>0</v>
      </c>
      <c r="I1062" s="17">
        <f>IF('Components Yr 1'!I1062=0,0,'Components Yr 1'!I1062)</f>
        <v>0</v>
      </c>
      <c r="J1062" s="17">
        <f>IF('Components Yr 1'!J1062=0,0,'Components Yr 1'!J1062)</f>
        <v>0</v>
      </c>
      <c r="K1062" s="12"/>
      <c r="L1062" s="12"/>
      <c r="M1062" s="12"/>
      <c r="N1062" s="12"/>
      <c r="O1062" s="12"/>
      <c r="P1062" s="12"/>
      <c r="Q1062" s="17"/>
      <c r="R1062" s="18">
        <f>IF(SUMPRODUCT((E1062:Q1062)*1)=0,0,E1062*INDEX(Hours!M:M,MATCH(C1062,Hours!$A:$A,0))+F1062*INDEX(Hours!B:B,MATCH(C1062,Hours!$A:$A,0))+G1062*INDEX(Hours!C:C,MATCH(C1062,Hours!$A:$A,0))+H1062*INDEX(Hours!D:D,MATCH(C1062,Hours!$A:$A,0))+I1062*INDEX(Hours!E:E,MATCH(C1062,Hours!$A:$A,0))+J1062*INDEX(Hours!F:F,MATCH(C1062,Hours!$A:$A,0)))</f>
        <v>0</v>
      </c>
      <c r="S1062" s="19">
        <f t="shared" si="33"/>
        <v>0</v>
      </c>
    </row>
    <row r="1063" spans="1:19" x14ac:dyDescent="0.25">
      <c r="A1063" s="11" t="str">
        <f>'Bldgs &amp; Rooms'!$A$30</f>
        <v>Main Bldg.</v>
      </c>
      <c r="B1063" s="11">
        <f>'Bldgs &amp; Rooms'!$B$30</f>
        <v>0</v>
      </c>
      <c r="C1063" s="10" t="str">
        <f>Hours!$A$27</f>
        <v>Automatic Transfer Switch (ATS) &gt; 100A</v>
      </c>
      <c r="D1063" s="11">
        <f t="shared" si="32"/>
        <v>0</v>
      </c>
      <c r="E1063" s="16">
        <f>IF('Components Yr 1'!E1063=0,0,'Components Yr 1'!E1063)</f>
        <v>0</v>
      </c>
      <c r="F1063" s="17">
        <f>IF('Components Yr 1'!F1063=0,0,'Components Yr 1'!F1063)</f>
        <v>0</v>
      </c>
      <c r="G1063" s="17">
        <f>IF('Components Yr 1'!G1063=0,0,'Components Yr 1'!G1063)</f>
        <v>0</v>
      </c>
      <c r="H1063" s="17">
        <f>IF('Components Yr 1'!H1063=0,0,'Components Yr 1'!H1063)</f>
        <v>0</v>
      </c>
      <c r="I1063" s="17">
        <f>IF('Components Yr 1'!I1063=0,0,'Components Yr 1'!I1063)</f>
        <v>0</v>
      </c>
      <c r="J1063" s="17">
        <f>IF('Components Yr 1'!J1063=0,0,'Components Yr 1'!J1063)</f>
        <v>0</v>
      </c>
      <c r="K1063" s="12"/>
      <c r="L1063" s="12"/>
      <c r="M1063" s="12"/>
      <c r="N1063" s="12"/>
      <c r="O1063" s="12"/>
      <c r="P1063" s="12"/>
      <c r="Q1063" s="17"/>
      <c r="R1063" s="18">
        <f>IF(SUMPRODUCT((E1063:Q1063)*1)=0,0,E1063*INDEX(Hours!M:M,MATCH(C1063,Hours!$A:$A,0))+F1063*INDEX(Hours!B:B,MATCH(C1063,Hours!$A:$A,0))+G1063*INDEX(Hours!C:C,MATCH(C1063,Hours!$A:$A,0))+H1063*INDEX(Hours!D:D,MATCH(C1063,Hours!$A:$A,0))+I1063*INDEX(Hours!E:E,MATCH(C1063,Hours!$A:$A,0))+J1063*INDEX(Hours!F:F,MATCH(C1063,Hours!$A:$A,0)))</f>
        <v>0</v>
      </c>
      <c r="S1063" s="19">
        <f t="shared" si="33"/>
        <v>0</v>
      </c>
    </row>
    <row r="1064" spans="1:19" x14ac:dyDescent="0.25">
      <c r="A1064" s="11" t="str">
        <f>'Bldgs &amp; Rooms'!$A$30</f>
        <v>Main Bldg.</v>
      </c>
      <c r="B1064" s="11">
        <f>'Bldgs &amp; Rooms'!$B$30</f>
        <v>0</v>
      </c>
      <c r="C1064" s="10" t="str">
        <f>Hours!$A$28</f>
        <v>Manual Transfer Switch (MTS) &gt; 100A</v>
      </c>
      <c r="D1064" s="11">
        <f t="shared" si="32"/>
        <v>0</v>
      </c>
      <c r="E1064" s="16">
        <f>IF('Components Yr 1'!E1064=0,0,'Components Yr 1'!E1064)</f>
        <v>0</v>
      </c>
      <c r="F1064" s="17">
        <f>IF('Components Yr 1'!F1064=0,0,'Components Yr 1'!F1064)</f>
        <v>0</v>
      </c>
      <c r="G1064" s="17">
        <f>IF('Components Yr 1'!G1064=0,0,'Components Yr 1'!G1064)</f>
        <v>0</v>
      </c>
      <c r="H1064" s="17">
        <f>IF('Components Yr 1'!H1064=0,0,'Components Yr 1'!H1064)</f>
        <v>0</v>
      </c>
      <c r="I1064" s="17">
        <f>IF('Components Yr 1'!I1064=0,0,'Components Yr 1'!I1064)</f>
        <v>0</v>
      </c>
      <c r="J1064" s="17">
        <f>IF('Components Yr 1'!J1064=0,0,'Components Yr 1'!J1064)</f>
        <v>0</v>
      </c>
      <c r="K1064" s="12"/>
      <c r="L1064" s="12"/>
      <c r="M1064" s="12"/>
      <c r="N1064" s="12"/>
      <c r="O1064" s="12"/>
      <c r="P1064" s="12"/>
      <c r="Q1064" s="17"/>
      <c r="R1064" s="18">
        <f>IF(SUMPRODUCT((E1064:Q1064)*1)=0,0,E1064*INDEX(Hours!M:M,MATCH(C1064,Hours!$A:$A,0))+F1064*INDEX(Hours!B:B,MATCH(C1064,Hours!$A:$A,0))+G1064*INDEX(Hours!C:C,MATCH(C1064,Hours!$A:$A,0))+H1064*INDEX(Hours!D:D,MATCH(C1064,Hours!$A:$A,0))+I1064*INDEX(Hours!E:E,MATCH(C1064,Hours!$A:$A,0))+J1064*INDEX(Hours!F:F,MATCH(C1064,Hours!$A:$A,0)))</f>
        <v>0</v>
      </c>
      <c r="S1064" s="19">
        <f t="shared" si="33"/>
        <v>0</v>
      </c>
    </row>
    <row r="1065" spans="1:19" x14ac:dyDescent="0.25">
      <c r="A1065" s="11" t="str">
        <f>'Bldgs &amp; Rooms'!$A$30</f>
        <v>Main Bldg.</v>
      </c>
      <c r="B1065" s="11">
        <f>'Bldgs &amp; Rooms'!$B$30</f>
        <v>0</v>
      </c>
      <c r="C1065" s="10" t="str">
        <f>Hours!$A$29</f>
        <v>Variable Frequency Drives (VFD) &lt; 50 HP</v>
      </c>
      <c r="D1065" s="11">
        <f t="shared" si="32"/>
        <v>0</v>
      </c>
      <c r="E1065" s="16">
        <f>IF('Components Yr 1'!E1065=0,0,'Components Yr 1'!E1065)</f>
        <v>0</v>
      </c>
      <c r="F1065" s="17">
        <f>IF('Components Yr 1'!F1065=0,0,'Components Yr 1'!F1065)</f>
        <v>0</v>
      </c>
      <c r="G1065" s="17">
        <f>IF('Components Yr 1'!G1065=0,0,'Components Yr 1'!G1065)</f>
        <v>0</v>
      </c>
      <c r="H1065" s="17">
        <f>IF('Components Yr 1'!H1065=0,0,'Components Yr 1'!H1065)</f>
        <v>0</v>
      </c>
      <c r="I1065" s="17">
        <f>IF('Components Yr 1'!I1065=0,0,'Components Yr 1'!I1065)</f>
        <v>0</v>
      </c>
      <c r="J1065" s="17">
        <f>IF('Components Yr 1'!J1065=0,0,'Components Yr 1'!J1065)</f>
        <v>0</v>
      </c>
      <c r="K1065" s="12"/>
      <c r="L1065" s="12"/>
      <c r="M1065" s="12"/>
      <c r="N1065" s="12"/>
      <c r="O1065" s="12"/>
      <c r="P1065" s="12"/>
      <c r="Q1065" s="17"/>
      <c r="R1065" s="18">
        <f>IF(SUMPRODUCT((E1065:Q1065)*1)=0,0,E1065*INDEX(Hours!M:M,MATCH(C1065,Hours!$A:$A,0))+F1065*INDEX(Hours!B:B,MATCH(C1065,Hours!$A:$A,0))+G1065*INDEX(Hours!C:C,MATCH(C1065,Hours!$A:$A,0))+H1065*INDEX(Hours!D:D,MATCH(C1065,Hours!$A:$A,0))+I1065*INDEX(Hours!E:E,MATCH(C1065,Hours!$A:$A,0))+J1065*INDEX(Hours!F:F,MATCH(C1065,Hours!$A:$A,0)))</f>
        <v>0</v>
      </c>
      <c r="S1065" s="19">
        <f t="shared" si="33"/>
        <v>0</v>
      </c>
    </row>
    <row r="1066" spans="1:19" x14ac:dyDescent="0.25">
      <c r="A1066" s="11" t="str">
        <f>'Bldgs &amp; Rooms'!$A$30</f>
        <v>Main Bldg.</v>
      </c>
      <c r="B1066" s="11">
        <f>'Bldgs &amp; Rooms'!$B$30</f>
        <v>0</v>
      </c>
      <c r="C1066" s="10" t="str">
        <f>Hours!$A$30</f>
        <v>Variable Frequency Drives (VFD) 51-200 HP</v>
      </c>
      <c r="D1066" s="11">
        <f t="shared" si="32"/>
        <v>0</v>
      </c>
      <c r="E1066" s="16">
        <f>IF('Components Yr 1'!E1066=0,0,'Components Yr 1'!E1066)</f>
        <v>0</v>
      </c>
      <c r="F1066" s="17">
        <f>IF('Components Yr 1'!F1066=0,0,'Components Yr 1'!F1066)</f>
        <v>0</v>
      </c>
      <c r="G1066" s="17">
        <f>IF('Components Yr 1'!G1066=0,0,'Components Yr 1'!G1066)</f>
        <v>0</v>
      </c>
      <c r="H1066" s="17">
        <f>IF('Components Yr 1'!H1066=0,0,'Components Yr 1'!H1066)</f>
        <v>0</v>
      </c>
      <c r="I1066" s="17">
        <f>IF('Components Yr 1'!I1066=0,0,'Components Yr 1'!I1066)</f>
        <v>0</v>
      </c>
      <c r="J1066" s="17">
        <f>IF('Components Yr 1'!J1066=0,0,'Components Yr 1'!J1066)</f>
        <v>0</v>
      </c>
      <c r="K1066" s="12"/>
      <c r="L1066" s="12"/>
      <c r="M1066" s="12"/>
      <c r="N1066" s="12"/>
      <c r="O1066" s="12"/>
      <c r="P1066" s="12"/>
      <c r="Q1066" s="17"/>
      <c r="R1066" s="18">
        <f>IF(SUMPRODUCT((E1066:Q1066)*1)=0,0,E1066*INDEX(Hours!M:M,MATCH(C1066,Hours!$A:$A,0))+F1066*INDEX(Hours!B:B,MATCH(C1066,Hours!$A:$A,0))+G1066*INDEX(Hours!C:C,MATCH(C1066,Hours!$A:$A,0))+H1066*INDEX(Hours!D:D,MATCH(C1066,Hours!$A:$A,0))+I1066*INDEX(Hours!E:E,MATCH(C1066,Hours!$A:$A,0))+J1066*INDEX(Hours!F:F,MATCH(C1066,Hours!$A:$A,0)))</f>
        <v>0</v>
      </c>
      <c r="S1066" s="19">
        <f t="shared" si="33"/>
        <v>0</v>
      </c>
    </row>
    <row r="1067" spans="1:19" x14ac:dyDescent="0.25">
      <c r="A1067" s="11" t="str">
        <f>'Bldgs &amp; Rooms'!$A$30</f>
        <v>Main Bldg.</v>
      </c>
      <c r="B1067" s="11">
        <f>'Bldgs &amp; Rooms'!$B$30</f>
        <v>0</v>
      </c>
      <c r="C1067" s="10" t="str">
        <f>Hours!$A$31</f>
        <v>Motors &lt; 50 HP</v>
      </c>
      <c r="D1067" s="11">
        <f t="shared" si="32"/>
        <v>0</v>
      </c>
      <c r="E1067" s="16">
        <f>IF('Components Yr 1'!E1067=0,0,'Components Yr 1'!E1067)</f>
        <v>0</v>
      </c>
      <c r="F1067" s="17">
        <f>IF('Components Yr 1'!F1067=0,0,'Components Yr 1'!F1067)</f>
        <v>0</v>
      </c>
      <c r="G1067" s="17">
        <f>IF('Components Yr 1'!G1067=0,0,'Components Yr 1'!G1067)</f>
        <v>0</v>
      </c>
      <c r="H1067" s="17">
        <f>IF('Components Yr 1'!H1067=0,0,'Components Yr 1'!H1067)</f>
        <v>0</v>
      </c>
      <c r="I1067" s="17">
        <f>IF('Components Yr 1'!I1067=0,0,'Components Yr 1'!I1067)</f>
        <v>0</v>
      </c>
      <c r="J1067" s="17">
        <f>IF('Components Yr 1'!J1067=0,0,'Components Yr 1'!J1067)</f>
        <v>0</v>
      </c>
      <c r="K1067" s="12"/>
      <c r="L1067" s="12"/>
      <c r="M1067" s="12"/>
      <c r="N1067" s="12"/>
      <c r="O1067" s="12"/>
      <c r="P1067" s="12"/>
      <c r="Q1067" s="17"/>
      <c r="R1067" s="18">
        <f>IF(SUMPRODUCT((E1067:Q1067)*1)=0,0,E1067*INDEX(Hours!M:M,MATCH(C1067,Hours!$A:$A,0))+F1067*INDEX(Hours!B:B,MATCH(C1067,Hours!$A:$A,0))+G1067*INDEX(Hours!C:C,MATCH(C1067,Hours!$A:$A,0))+H1067*INDEX(Hours!D:D,MATCH(C1067,Hours!$A:$A,0))+I1067*INDEX(Hours!E:E,MATCH(C1067,Hours!$A:$A,0))+J1067*INDEX(Hours!F:F,MATCH(C1067,Hours!$A:$A,0)))</f>
        <v>0</v>
      </c>
      <c r="S1067" s="19">
        <f t="shared" si="33"/>
        <v>0</v>
      </c>
    </row>
    <row r="1068" spans="1:19" x14ac:dyDescent="0.25">
      <c r="A1068" s="11" t="str">
        <f>'Bldgs &amp; Rooms'!$A$30</f>
        <v>Main Bldg.</v>
      </c>
      <c r="B1068" s="11">
        <f>'Bldgs &amp; Rooms'!$B$30</f>
        <v>0</v>
      </c>
      <c r="C1068" s="10" t="str">
        <f>Hours!$A$32</f>
        <v>Motors 51-200 HP</v>
      </c>
      <c r="D1068" s="11">
        <f t="shared" si="32"/>
        <v>0</v>
      </c>
      <c r="E1068" s="16">
        <f>IF('Components Yr 1'!E1068=0,0,'Components Yr 1'!E1068)</f>
        <v>0</v>
      </c>
      <c r="F1068" s="17">
        <f>IF('Components Yr 1'!F1068=0,0,'Components Yr 1'!F1068)</f>
        <v>0</v>
      </c>
      <c r="G1068" s="17">
        <f>IF('Components Yr 1'!G1068=0,0,'Components Yr 1'!G1068)</f>
        <v>0</v>
      </c>
      <c r="H1068" s="17">
        <f>IF('Components Yr 1'!H1068=0,0,'Components Yr 1'!H1068)</f>
        <v>0</v>
      </c>
      <c r="I1068" s="17">
        <f>IF('Components Yr 1'!I1068=0,0,'Components Yr 1'!I1068)</f>
        <v>0</v>
      </c>
      <c r="J1068" s="17">
        <f>IF('Components Yr 1'!J1068=0,0,'Components Yr 1'!J1068)</f>
        <v>0</v>
      </c>
      <c r="K1068" s="12"/>
      <c r="L1068" s="12"/>
      <c r="M1068" s="12"/>
      <c r="N1068" s="12"/>
      <c r="O1068" s="12"/>
      <c r="P1068" s="12"/>
      <c r="Q1068" s="17"/>
      <c r="R1068" s="18">
        <f>IF(SUMPRODUCT((E1068:Q1068)*1)=0,0,E1068*INDEX(Hours!M:M,MATCH(C1068,Hours!$A:$A,0))+F1068*INDEX(Hours!B:B,MATCH(C1068,Hours!$A:$A,0))+G1068*INDEX(Hours!C:C,MATCH(C1068,Hours!$A:$A,0))+H1068*INDEX(Hours!D:D,MATCH(C1068,Hours!$A:$A,0))+I1068*INDEX(Hours!E:E,MATCH(C1068,Hours!$A:$A,0))+J1068*INDEX(Hours!F:F,MATCH(C1068,Hours!$A:$A,0)))</f>
        <v>0</v>
      </c>
      <c r="S1068" s="19">
        <f t="shared" si="33"/>
        <v>0</v>
      </c>
    </row>
    <row r="1069" spans="1:19" x14ac:dyDescent="0.25">
      <c r="A1069" s="11" t="str">
        <f>'Bldgs &amp; Rooms'!$A$30</f>
        <v>Main Bldg.</v>
      </c>
      <c r="B1069" s="11">
        <f>'Bldgs &amp; Rooms'!$B$30</f>
        <v>0</v>
      </c>
      <c r="C1069" s="10" t="str">
        <f>Hours!$A$33</f>
        <v>Motors 201-500 HP</v>
      </c>
      <c r="D1069" s="11">
        <f t="shared" si="32"/>
        <v>0</v>
      </c>
      <c r="E1069" s="16">
        <f>IF('Components Yr 1'!E1069=0,0,'Components Yr 1'!E1069)</f>
        <v>0</v>
      </c>
      <c r="F1069" s="17">
        <f>IF('Components Yr 1'!F1069=0,0,'Components Yr 1'!F1069)</f>
        <v>0</v>
      </c>
      <c r="G1069" s="17">
        <f>IF('Components Yr 1'!G1069=0,0,'Components Yr 1'!G1069)</f>
        <v>0</v>
      </c>
      <c r="H1069" s="17">
        <f>IF('Components Yr 1'!H1069=0,0,'Components Yr 1'!H1069)</f>
        <v>0</v>
      </c>
      <c r="I1069" s="17">
        <f>IF('Components Yr 1'!I1069=0,0,'Components Yr 1'!I1069)</f>
        <v>0</v>
      </c>
      <c r="J1069" s="17">
        <f>IF('Components Yr 1'!J1069=0,0,'Components Yr 1'!J1069)</f>
        <v>0</v>
      </c>
      <c r="K1069" s="12"/>
      <c r="L1069" s="12"/>
      <c r="M1069" s="12"/>
      <c r="N1069" s="12"/>
      <c r="O1069" s="12"/>
      <c r="P1069" s="12"/>
      <c r="Q1069" s="17"/>
      <c r="R1069" s="18">
        <f>IF(SUMPRODUCT((E1069:Q1069)*1)=0,0,E1069*INDEX(Hours!M:M,MATCH(C1069,Hours!$A:$A,0))+F1069*INDEX(Hours!B:B,MATCH(C1069,Hours!$A:$A,0))+G1069*INDEX(Hours!C:C,MATCH(C1069,Hours!$A:$A,0))+H1069*INDEX(Hours!D:D,MATCH(C1069,Hours!$A:$A,0))+I1069*INDEX(Hours!E:E,MATCH(C1069,Hours!$A:$A,0))+J1069*INDEX(Hours!F:F,MATCH(C1069,Hours!$A:$A,0)))</f>
        <v>0</v>
      </c>
      <c r="S1069" s="19">
        <f t="shared" si="33"/>
        <v>0</v>
      </c>
    </row>
    <row r="1070" spans="1:19" x14ac:dyDescent="0.25">
      <c r="A1070" s="11" t="str">
        <f>'Bldgs &amp; Rooms'!$A$30</f>
        <v>Main Bldg.</v>
      </c>
      <c r="B1070" s="11">
        <f>'Bldgs &amp; Rooms'!$B$30</f>
        <v>0</v>
      </c>
      <c r="C1070" s="10" t="str">
        <f>Hours!$A$34</f>
        <v>Compressed Air Equipment</v>
      </c>
      <c r="D1070" s="11">
        <f t="shared" si="32"/>
        <v>0</v>
      </c>
      <c r="E1070" s="16">
        <f>IF('Components Yr 1'!E1070=0,0,'Components Yr 1'!E1070)</f>
        <v>0</v>
      </c>
      <c r="F1070" s="17">
        <f>IF('Components Yr 1'!F1070=0,0,'Components Yr 1'!F1070)</f>
        <v>0</v>
      </c>
      <c r="G1070" s="17">
        <f>IF('Components Yr 1'!G1070=0,0,'Components Yr 1'!G1070)</f>
        <v>0</v>
      </c>
      <c r="H1070" s="17">
        <f>IF('Components Yr 1'!H1070=0,0,'Components Yr 1'!H1070)</f>
        <v>0</v>
      </c>
      <c r="I1070" s="17">
        <f>IF('Components Yr 1'!I1070=0,0,'Components Yr 1'!I1070)</f>
        <v>0</v>
      </c>
      <c r="J1070" s="17">
        <f>IF('Components Yr 1'!J1070=0,0,'Components Yr 1'!J1070)</f>
        <v>0</v>
      </c>
      <c r="K1070" s="12"/>
      <c r="L1070" s="12"/>
      <c r="M1070" s="12"/>
      <c r="N1070" s="12"/>
      <c r="O1070" s="12"/>
      <c r="P1070" s="12"/>
      <c r="Q1070" s="17"/>
      <c r="R1070" s="18">
        <f>IF(SUMPRODUCT((E1070:Q1070)*1)=0,0,E1070*INDEX(Hours!M:M,MATCH(C1070,Hours!$A:$A,0))+F1070*INDEX(Hours!B:B,MATCH(C1070,Hours!$A:$A,0))+G1070*INDEX(Hours!C:C,MATCH(C1070,Hours!$A:$A,0))+H1070*INDEX(Hours!D:D,MATCH(C1070,Hours!$A:$A,0))+I1070*INDEX(Hours!E:E,MATCH(C1070,Hours!$A:$A,0))+J1070*INDEX(Hours!F:F,MATCH(C1070,Hours!$A:$A,0)))</f>
        <v>0</v>
      </c>
      <c r="S1070" s="19">
        <f t="shared" si="33"/>
        <v>0</v>
      </c>
    </row>
    <row r="1071" spans="1:19" x14ac:dyDescent="0.25">
      <c r="A1071" s="11" t="str">
        <f>'Bldgs &amp; Rooms'!$A$30</f>
        <v>Main Bldg.</v>
      </c>
      <c r="B1071" s="11">
        <f>'Bldgs &amp; Rooms'!$B$30</f>
        <v>0</v>
      </c>
      <c r="C1071" s="10" t="str">
        <f>Hours!$A$35</f>
        <v>HVAC Equipment (Large)</v>
      </c>
      <c r="D1071" s="11">
        <f t="shared" si="32"/>
        <v>0</v>
      </c>
      <c r="E1071" s="16">
        <f>IF('Components Yr 1'!E1071=0,0,'Components Yr 1'!E1071)</f>
        <v>0</v>
      </c>
      <c r="F1071" s="17">
        <f>IF('Components Yr 1'!F1071=0,0,'Components Yr 1'!F1071)</f>
        <v>0</v>
      </c>
      <c r="G1071" s="17">
        <f>IF('Components Yr 1'!G1071=0,0,'Components Yr 1'!G1071)</f>
        <v>0</v>
      </c>
      <c r="H1071" s="17">
        <f>IF('Components Yr 1'!H1071=0,0,'Components Yr 1'!H1071)</f>
        <v>0</v>
      </c>
      <c r="I1071" s="17">
        <f>IF('Components Yr 1'!I1071=0,0,'Components Yr 1'!I1071)</f>
        <v>0</v>
      </c>
      <c r="J1071" s="17">
        <f>IF('Components Yr 1'!J1071=0,0,'Components Yr 1'!J1071)</f>
        <v>0</v>
      </c>
      <c r="K1071" s="12"/>
      <c r="L1071" s="12"/>
      <c r="M1071" s="12"/>
      <c r="N1071" s="12"/>
      <c r="O1071" s="12"/>
      <c r="P1071" s="12"/>
      <c r="Q1071" s="17"/>
      <c r="R1071" s="18">
        <f>IF(SUMPRODUCT((E1071:Q1071)*1)=0,0,E1071*INDEX(Hours!M:M,MATCH(C1071,Hours!$A:$A,0))+F1071*INDEX(Hours!B:B,MATCH(C1071,Hours!$A:$A,0))+G1071*INDEX(Hours!C:C,MATCH(C1071,Hours!$A:$A,0))+H1071*INDEX(Hours!D:D,MATCH(C1071,Hours!$A:$A,0))+I1071*INDEX(Hours!E:E,MATCH(C1071,Hours!$A:$A,0))+J1071*INDEX(Hours!F:F,MATCH(C1071,Hours!$A:$A,0)))</f>
        <v>0</v>
      </c>
      <c r="S1071" s="19">
        <f t="shared" si="33"/>
        <v>0</v>
      </c>
    </row>
    <row r="1072" spans="1:19" x14ac:dyDescent="0.25">
      <c r="A1072" s="11" t="str">
        <f>'Bldgs &amp; Rooms'!$A$30</f>
        <v>Main Bldg.</v>
      </c>
      <c r="B1072" s="11">
        <f>'Bldgs &amp; Rooms'!$B$30</f>
        <v>0</v>
      </c>
      <c r="C1072" s="10" t="str">
        <f>Hours!$A$36</f>
        <v>HVAC Equipment (Small)</v>
      </c>
      <c r="D1072" s="11">
        <f t="shared" si="32"/>
        <v>0</v>
      </c>
      <c r="E1072" s="16">
        <f>IF('Components Yr 1'!E1072=0,0,'Components Yr 1'!E1072)</f>
        <v>0</v>
      </c>
      <c r="F1072" s="17">
        <f>IF('Components Yr 1'!F1072=0,0,'Components Yr 1'!F1072)</f>
        <v>0</v>
      </c>
      <c r="G1072" s="17">
        <f>IF('Components Yr 1'!G1072=0,0,'Components Yr 1'!G1072)</f>
        <v>0</v>
      </c>
      <c r="H1072" s="17">
        <f>IF('Components Yr 1'!H1072=0,0,'Components Yr 1'!H1072)</f>
        <v>0</v>
      </c>
      <c r="I1072" s="17">
        <f>IF('Components Yr 1'!I1072=0,0,'Components Yr 1'!I1072)</f>
        <v>0</v>
      </c>
      <c r="J1072" s="17">
        <f>IF('Components Yr 1'!J1072=0,0,'Components Yr 1'!J1072)</f>
        <v>0</v>
      </c>
      <c r="K1072" s="12"/>
      <c r="L1072" s="12"/>
      <c r="M1072" s="12"/>
      <c r="N1072" s="12"/>
      <c r="O1072" s="12"/>
      <c r="P1072" s="12"/>
      <c r="Q1072" s="17"/>
      <c r="R1072" s="18">
        <f>IF(SUMPRODUCT((E1072:Q1072)*1)=0,0,E1072*INDEX(Hours!M:M,MATCH(C1072,Hours!$A:$A,0))+F1072*INDEX(Hours!B:B,MATCH(C1072,Hours!$A:$A,0))+G1072*INDEX(Hours!C:C,MATCH(C1072,Hours!$A:$A,0))+H1072*INDEX(Hours!D:D,MATCH(C1072,Hours!$A:$A,0))+I1072*INDEX(Hours!E:E,MATCH(C1072,Hours!$A:$A,0))+J1072*INDEX(Hours!F:F,MATCH(C1072,Hours!$A:$A,0)))</f>
        <v>0</v>
      </c>
      <c r="S1072" s="19">
        <f t="shared" si="33"/>
        <v>0</v>
      </c>
    </row>
    <row r="1073" spans="1:19" x14ac:dyDescent="0.25">
      <c r="A1073" s="11" t="str">
        <f>'Bldgs &amp; Rooms'!$A$30</f>
        <v>Main Bldg.</v>
      </c>
      <c r="B1073" s="11">
        <f>'Bldgs &amp; Rooms'!$B$30</f>
        <v>0</v>
      </c>
      <c r="C1073" s="10" t="str">
        <f>Hours!$A$37</f>
        <v>Uninterruptible Power Supply (UPS) &lt; 50kVA</v>
      </c>
      <c r="D1073" s="11">
        <f t="shared" si="32"/>
        <v>0</v>
      </c>
      <c r="E1073" s="16">
        <f>IF('Components Yr 1'!E1073=0,0,'Components Yr 1'!E1073)</f>
        <v>0</v>
      </c>
      <c r="F1073" s="17">
        <f>IF('Components Yr 1'!F1073=0,0,'Components Yr 1'!F1073)</f>
        <v>0</v>
      </c>
      <c r="G1073" s="17">
        <f>IF('Components Yr 1'!G1073=0,0,'Components Yr 1'!G1073)</f>
        <v>0</v>
      </c>
      <c r="H1073" s="17">
        <f>IF('Components Yr 1'!H1073=0,0,'Components Yr 1'!H1073)</f>
        <v>0</v>
      </c>
      <c r="I1073" s="17">
        <f>IF('Components Yr 1'!I1073=0,0,'Components Yr 1'!I1073)</f>
        <v>0</v>
      </c>
      <c r="J1073" s="17">
        <f>IF('Components Yr 1'!J1073=0,0,'Components Yr 1'!J1073)</f>
        <v>0</v>
      </c>
      <c r="K1073" s="12"/>
      <c r="L1073" s="12"/>
      <c r="M1073" s="12"/>
      <c r="N1073" s="12"/>
      <c r="O1073" s="12"/>
      <c r="P1073" s="12"/>
      <c r="Q1073" s="17"/>
      <c r="R1073" s="18">
        <f>IF(SUMPRODUCT((E1073:Q1073)*1)=0,0,E1073*INDEX(Hours!M:M,MATCH(C1073,Hours!$A:$A,0))+F1073*INDEX(Hours!B:B,MATCH(C1073,Hours!$A:$A,0))+G1073*INDEX(Hours!C:C,MATCH(C1073,Hours!$A:$A,0))+H1073*INDEX(Hours!D:D,MATCH(C1073,Hours!$A:$A,0))+I1073*INDEX(Hours!E:E,MATCH(C1073,Hours!$A:$A,0))+J1073*INDEX(Hours!F:F,MATCH(C1073,Hours!$A:$A,0)))</f>
        <v>0</v>
      </c>
      <c r="S1073" s="19">
        <f t="shared" si="33"/>
        <v>0</v>
      </c>
    </row>
    <row r="1074" spans="1:19" x14ac:dyDescent="0.25">
      <c r="A1074" s="11" t="str">
        <f>'Bldgs &amp; Rooms'!$A$30</f>
        <v>Main Bldg.</v>
      </c>
      <c r="B1074" s="11">
        <f>'Bldgs &amp; Rooms'!$B$30</f>
        <v>0</v>
      </c>
      <c r="C1074" s="10" t="str">
        <f>Hours!$A$38</f>
        <v>Uninterruptible Power Supply (UPS) &gt; 50kVA</v>
      </c>
      <c r="D1074" s="11">
        <f t="shared" si="32"/>
        <v>0</v>
      </c>
      <c r="E1074" s="16">
        <f>IF('Components Yr 1'!E1074=0,0,'Components Yr 1'!E1074)</f>
        <v>0</v>
      </c>
      <c r="F1074" s="17">
        <f>IF('Components Yr 1'!F1074=0,0,'Components Yr 1'!F1074)</f>
        <v>0</v>
      </c>
      <c r="G1074" s="17">
        <f>IF('Components Yr 1'!G1074=0,0,'Components Yr 1'!G1074)</f>
        <v>0</v>
      </c>
      <c r="H1074" s="17">
        <f>IF('Components Yr 1'!H1074=0,0,'Components Yr 1'!H1074)</f>
        <v>0</v>
      </c>
      <c r="I1074" s="17">
        <f>IF('Components Yr 1'!I1074=0,0,'Components Yr 1'!I1074)</f>
        <v>0</v>
      </c>
      <c r="J1074" s="17">
        <f>IF('Components Yr 1'!J1074=0,0,'Components Yr 1'!J1074)</f>
        <v>0</v>
      </c>
      <c r="K1074" s="12"/>
      <c r="L1074" s="12"/>
      <c r="M1074" s="12"/>
      <c r="N1074" s="12"/>
      <c r="O1074" s="12"/>
      <c r="P1074" s="12"/>
      <c r="Q1074" s="17"/>
      <c r="R1074" s="18">
        <f>IF(SUMPRODUCT((E1074:Q1074)*1)=0,0,E1074*INDEX(Hours!M:M,MATCH(C1074,Hours!$A:$A,0))+F1074*INDEX(Hours!B:B,MATCH(C1074,Hours!$A:$A,0))+G1074*INDEX(Hours!C:C,MATCH(C1074,Hours!$A:$A,0))+H1074*INDEX(Hours!D:D,MATCH(C1074,Hours!$A:$A,0))+I1074*INDEX(Hours!E:E,MATCH(C1074,Hours!$A:$A,0))+J1074*INDEX(Hours!F:F,MATCH(C1074,Hours!$A:$A,0)))</f>
        <v>0</v>
      </c>
      <c r="S1074" s="19">
        <f t="shared" si="33"/>
        <v>0</v>
      </c>
    </row>
    <row r="1075" spans="1:19" x14ac:dyDescent="0.25">
      <c r="A1075" s="15" t="str">
        <f>'Bldgs &amp; Rooms'!$A$31</f>
        <v>Main Bldg.</v>
      </c>
      <c r="B1075" s="15">
        <f>'Bldgs &amp; Rooms'!$B$31</f>
        <v>0</v>
      </c>
      <c r="C1075" s="14" t="str">
        <f>Hours!$A$2</f>
        <v>Switchgear - Incoming Main Service (Per Section)</v>
      </c>
      <c r="D1075" s="15">
        <f t="shared" si="32"/>
        <v>0</v>
      </c>
      <c r="E1075" s="16">
        <f>IF('Components Yr 1'!E1075=0,0,'Components Yr 1'!E1075)</f>
        <v>0</v>
      </c>
      <c r="F1075" s="17">
        <f>IF('Components Yr 1'!F1075=0,0,'Components Yr 1'!F1075)</f>
        <v>0</v>
      </c>
      <c r="G1075" s="17">
        <f>IF('Components Yr 1'!G1075=0,0,'Components Yr 1'!G1075)</f>
        <v>0</v>
      </c>
      <c r="H1075" s="17">
        <f>IF('Components Yr 1'!H1075=0,0,'Components Yr 1'!H1075)</f>
        <v>0</v>
      </c>
      <c r="I1075" s="17">
        <f>IF('Components Yr 1'!I1075=0,0,'Components Yr 1'!I1075)</f>
        <v>0</v>
      </c>
      <c r="J1075" s="17">
        <f>IF('Components Yr 1'!J1075=0,0,'Components Yr 1'!J1075)</f>
        <v>0</v>
      </c>
      <c r="K1075" s="17">
        <f>IF('Components Yr 1'!K1075=0,0,'Components Yr 1'!K1075)</f>
        <v>0</v>
      </c>
      <c r="L1075" s="17">
        <f>IF('Components Yr 1'!L1075=0,0,'Components Yr 1'!L1075)</f>
        <v>0</v>
      </c>
      <c r="M1075" s="12"/>
      <c r="N1075" s="12"/>
      <c r="O1075" s="17">
        <f>IF('Components Yr 1'!O1075=0,0,'Components Yr 1'!O1075)</f>
        <v>0</v>
      </c>
      <c r="P1075" s="12"/>
      <c r="Q1075" s="17"/>
      <c r="R1075" s="18">
        <f>IF(SUMPRODUCT((E1075:Q1075)*1)=0,0,E1075*INDEX(Hours!M:M,MATCH(C1075,Hours!$A:$A,0))+F1075*INDEX(Hours!B:B,MATCH(C1075,Hours!$A:$A,0))+G1075*INDEX(Hours!C:C,MATCH(C1075,Hours!$A:$A,0))+H1075*INDEX(Hours!D:D,MATCH(C1075,Hours!$A:$A,0))+I1075*INDEX(Hours!E:E,MATCH(C1075,Hours!$A:$A,0))+J1075*INDEX(Hours!F:F,MATCH(C1075,Hours!$A:$A,0))+K1075*INDEX(Hours!G:G,MATCH(C1075,Hours!$A:$A,0))+L1075*INDEX(Hours!H:H,MATCH(C1075,Hours!$A:$A,0))+O1075*INDEX(Hours!K:K,MATCH(C1075,Hours!$A:$A,0)))</f>
        <v>0</v>
      </c>
      <c r="S1075" s="19">
        <f t="shared" si="33"/>
        <v>0</v>
      </c>
    </row>
    <row r="1076" spans="1:19" x14ac:dyDescent="0.25">
      <c r="A1076" s="15" t="str">
        <f>'Bldgs &amp; Rooms'!$A$31</f>
        <v>Main Bldg.</v>
      </c>
      <c r="B1076" s="15">
        <f>'Bldgs &amp; Rooms'!$B$31</f>
        <v>0</v>
      </c>
      <c r="C1076" s="14" t="str">
        <f>Hours!$A$3</f>
        <v xml:space="preserve">  Switchgear Insulated Case Breakers (Bus Mounted)</v>
      </c>
      <c r="D1076" s="15">
        <f t="shared" si="32"/>
        <v>0</v>
      </c>
      <c r="E1076" s="16">
        <f>IF('Components Yr 1'!E1076=0,0,'Components Yr 1'!E1076)</f>
        <v>0</v>
      </c>
      <c r="F1076" s="17">
        <f>IF('Components Yr 1'!F1076=0,0,'Components Yr 1'!F1076)</f>
        <v>0</v>
      </c>
      <c r="G1076" s="17">
        <f>IF('Components Yr 1'!G1076=0,0,'Components Yr 1'!G1076)</f>
        <v>0</v>
      </c>
      <c r="H1076" s="17">
        <f>IF('Components Yr 1'!H1076=0,0,'Components Yr 1'!H1076)</f>
        <v>0</v>
      </c>
      <c r="I1076" s="17">
        <f>IF('Components Yr 1'!I1076=0,0,'Components Yr 1'!I1076)</f>
        <v>0</v>
      </c>
      <c r="J1076" s="17">
        <f>IF('Components Yr 1'!J1076=0,0,'Components Yr 1'!J1076)</f>
        <v>0</v>
      </c>
      <c r="K1076" s="17">
        <f>IF('Components Yr 1'!K1076=0,0,'Components Yr 1'!K1076)</f>
        <v>0</v>
      </c>
      <c r="L1076" s="12"/>
      <c r="M1076" s="12"/>
      <c r="N1076" s="12"/>
      <c r="O1076" s="12"/>
      <c r="P1076" s="12"/>
      <c r="Q1076" s="17"/>
      <c r="R1076" s="18">
        <f>IF(SUMPRODUCT((E1076:Q1076)*1)=0,0,E1076*INDEX(Hours!M:M,MATCH(C1076,Hours!$A:$A,0))+F1076*INDEX(Hours!B:B,MATCH(C1076,Hours!$A:$A,0))+G1076*INDEX(Hours!C:C,MATCH(C1076,Hours!$A:$A,0))+H1076*INDEX(Hours!D:D,MATCH(C1076,Hours!$A:$A,0))+I1076*INDEX(Hours!E:E,MATCH(C1076,Hours!$A:$A,0))+J1076*INDEX(Hours!F:F,MATCH(C1076,Hours!$A:$A,0))+K1076*INDEX(Hours!G:G,MATCH(C1076,Hours!$A:$A,0)))</f>
        <v>0</v>
      </c>
      <c r="S1076" s="19">
        <f t="shared" si="33"/>
        <v>0</v>
      </c>
    </row>
    <row r="1077" spans="1:19" x14ac:dyDescent="0.25">
      <c r="A1077" s="15" t="str">
        <f>'Bldgs &amp; Rooms'!$A$31</f>
        <v>Main Bldg.</v>
      </c>
      <c r="B1077" s="15">
        <f>'Bldgs &amp; Rooms'!$B$31</f>
        <v>0</v>
      </c>
      <c r="C1077" s="14" t="str">
        <f>Hours!$A$4</f>
        <v xml:space="preserve">  SwitchGear Drawout Breakers</v>
      </c>
      <c r="D1077" s="15">
        <f t="shared" si="32"/>
        <v>0</v>
      </c>
      <c r="E1077" s="16">
        <f>IF('Components Yr 1'!E1077=0,0,'Components Yr 1'!E1077)</f>
        <v>0</v>
      </c>
      <c r="F1077" s="17">
        <f>IF('Components Yr 1'!F1077=0,0,'Components Yr 1'!F1077)</f>
        <v>0</v>
      </c>
      <c r="G1077" s="17">
        <f>IF('Components Yr 1'!G1077=0,0,'Components Yr 1'!G1077)</f>
        <v>0</v>
      </c>
      <c r="H1077" s="17">
        <f>IF('Components Yr 1'!H1077=0,0,'Components Yr 1'!H1077)</f>
        <v>0</v>
      </c>
      <c r="I1077" s="17">
        <f>IF('Components Yr 1'!I1077=0,0,'Components Yr 1'!I1077)</f>
        <v>0</v>
      </c>
      <c r="J1077" s="17">
        <f>IF('Components Yr 1'!J1077=0,0,'Components Yr 1'!J1077)</f>
        <v>0</v>
      </c>
      <c r="K1077" s="12"/>
      <c r="L1077" s="17">
        <f>IF('Components Yr 1'!L1077=0,0,'Components Yr 1'!L1077)</f>
        <v>0</v>
      </c>
      <c r="M1077" s="12"/>
      <c r="N1077" s="12"/>
      <c r="O1077" s="12"/>
      <c r="P1077" s="12"/>
      <c r="Q1077" s="17"/>
      <c r="R1077" s="18">
        <f>IF(SUMPRODUCT((E1077:Q1077)*1)=0,0,E1077*INDEX(Hours!M:M,MATCH(C1077,Hours!$A:$A,0))+F1077*INDEX(Hours!B:B,MATCH(C1077,Hours!$A:$A,0))+G1077*INDEX(Hours!C:C,MATCH(C1077,Hours!$A:$A,0))+H1077*INDEX(Hours!D:D,MATCH(C1077,Hours!$A:$A,0))+I1077*INDEX(Hours!E:E,MATCH(C1077,Hours!$A:$A,0))+J1077*INDEX(Hours!F:F,MATCH(C1077,Hours!$A:$A,0))+L1077*INDEX(Hours!H:H,MATCH(C1077,Hours!$A:$A,0)))</f>
        <v>0</v>
      </c>
      <c r="S1077" s="19">
        <f t="shared" si="33"/>
        <v>0</v>
      </c>
    </row>
    <row r="1078" spans="1:19" x14ac:dyDescent="0.25">
      <c r="A1078" s="15" t="str">
        <f>'Bldgs &amp; Rooms'!$A$31</f>
        <v>Main Bldg.</v>
      </c>
      <c r="B1078" s="15">
        <f>'Bldgs &amp; Rooms'!$B$31</f>
        <v>0</v>
      </c>
      <c r="C1078" s="14" t="str">
        <f>Hours!$A$5</f>
        <v>Distribution Switchboard Multi Cover (Per Section)</v>
      </c>
      <c r="D1078" s="15">
        <f t="shared" si="32"/>
        <v>0</v>
      </c>
      <c r="E1078" s="16">
        <f>IF('Components Yr 1'!E1078=0,0,'Components Yr 1'!E1078)</f>
        <v>0</v>
      </c>
      <c r="F1078" s="17">
        <f>IF('Components Yr 1'!F1078=0,0,'Components Yr 1'!F1078)</f>
        <v>0</v>
      </c>
      <c r="G1078" s="17">
        <f>IF('Components Yr 1'!G1078=0,0,'Components Yr 1'!G1078)</f>
        <v>0</v>
      </c>
      <c r="H1078" s="17">
        <f>IF('Components Yr 1'!H1078=0,0,'Components Yr 1'!H1078)</f>
        <v>0</v>
      </c>
      <c r="I1078" s="17">
        <f>IF('Components Yr 1'!I1078=0,0,'Components Yr 1'!I1078)</f>
        <v>0</v>
      </c>
      <c r="J1078" s="17">
        <f>IF('Components Yr 1'!J1078=0,0,'Components Yr 1'!J1078)</f>
        <v>0</v>
      </c>
      <c r="K1078" s="17">
        <f>IF('Components Yr 1'!K1078=0,0,'Components Yr 1'!K1078)</f>
        <v>0</v>
      </c>
      <c r="L1078" s="12"/>
      <c r="M1078" s="12"/>
      <c r="N1078" s="12"/>
      <c r="O1078" s="17">
        <f>IF('Components Yr 1'!O1078=0,0,'Components Yr 1'!O1078)</f>
        <v>0</v>
      </c>
      <c r="P1078" s="12"/>
      <c r="Q1078" s="17"/>
      <c r="R1078" s="18">
        <f>IF(SUMPRODUCT((E1078:Q1078)*1)=0,0,E1078*INDEX(Hours!M:M,MATCH(C1078,Hours!$A:$A,0))+F1078*INDEX(Hours!B:B,MATCH(C1078,Hours!$A:$A,0))+G1078*INDEX(Hours!C:C,MATCH(C1078,Hours!$A:$A,0))+H1078*INDEX(Hours!D:D,MATCH(C1078,Hours!$A:$A,0))+I1078*INDEX(Hours!E:E,MATCH(C1078,Hours!$A:$A,0))+J1078*INDEX(Hours!F:F,MATCH(C1078,Hours!$A:$A,0))+K1078*INDEX(Hours!G:G,MATCH(C1078,Hours!$A:$A,0))+O1078*INDEX(Hours!K:K,MATCH(C1078,Hours!$A:$A,0)))</f>
        <v>0</v>
      </c>
      <c r="S1078" s="19">
        <f t="shared" si="33"/>
        <v>0</v>
      </c>
    </row>
    <row r="1079" spans="1:19" x14ac:dyDescent="0.25">
      <c r="A1079" s="15" t="str">
        <f>'Bldgs &amp; Rooms'!$A$31</f>
        <v>Main Bldg.</v>
      </c>
      <c r="B1079" s="15">
        <f>'Bldgs &amp; Rooms'!$B$31</f>
        <v>0</v>
      </c>
      <c r="C1079" s="14" t="str">
        <f>Hours!$A$6</f>
        <v xml:space="preserve">  Switchboard Disconnects</v>
      </c>
      <c r="D1079" s="15">
        <f t="shared" si="32"/>
        <v>0</v>
      </c>
      <c r="E1079" s="16">
        <f>IF('Components Yr 1'!E1079=0,0,'Components Yr 1'!E1079)</f>
        <v>0</v>
      </c>
      <c r="F1079" s="17">
        <f>IF('Components Yr 1'!F1079=0,0,'Components Yr 1'!F1079)</f>
        <v>0</v>
      </c>
      <c r="G1079" s="17">
        <f>IF('Components Yr 1'!G1079=0,0,'Components Yr 1'!G1079)</f>
        <v>0</v>
      </c>
      <c r="H1079" s="17">
        <f>IF('Components Yr 1'!H1079=0,0,'Components Yr 1'!H1079)</f>
        <v>0</v>
      </c>
      <c r="I1079" s="17">
        <f>IF('Components Yr 1'!I1079=0,0,'Components Yr 1'!I1079)</f>
        <v>0</v>
      </c>
      <c r="J1079" s="17">
        <f>IF('Components Yr 1'!J1079=0,0,'Components Yr 1'!J1079)</f>
        <v>0</v>
      </c>
      <c r="K1079" s="12"/>
      <c r="L1079" s="12"/>
      <c r="M1079" s="12"/>
      <c r="N1079" s="12"/>
      <c r="O1079" s="12"/>
      <c r="P1079" s="12"/>
      <c r="Q1079" s="17"/>
      <c r="R1079" s="18">
        <f>IF(SUMPRODUCT((E1079:Q1079)*1)=0,0,E1079*INDEX(Hours!M:M,MATCH(C1079,Hours!$A:$A,0))+F1079*INDEX(Hours!B:B,MATCH(C1079,Hours!$A:$A,0))+G1079*INDEX(Hours!C:C,MATCH(C1079,Hours!$A:$A,0))+H1079*INDEX(Hours!D:D,MATCH(C1079,Hours!$A:$A,0))+I1079*INDEX(Hours!E:E,MATCH(C1079,Hours!$A:$A,0))+J1079*INDEX(Hours!F:F,MATCH(C1079,Hours!$A:$A,0)))</f>
        <v>0</v>
      </c>
      <c r="S1079" s="19">
        <f t="shared" si="33"/>
        <v>0</v>
      </c>
    </row>
    <row r="1080" spans="1:19" x14ac:dyDescent="0.25">
      <c r="A1080" s="15" t="str">
        <f>'Bldgs &amp; Rooms'!$A$31</f>
        <v>Main Bldg.</v>
      </c>
      <c r="B1080" s="15">
        <f>'Bldgs &amp; Rooms'!$B$31</f>
        <v>0</v>
      </c>
      <c r="C1080" s="14" t="str">
        <f>Hours!$A$7</f>
        <v xml:space="preserve">  Switchboard Molded Case Breakers</v>
      </c>
      <c r="D1080" s="15">
        <f t="shared" si="32"/>
        <v>0</v>
      </c>
      <c r="E1080" s="16">
        <f>IF('Components Yr 1'!E1080=0,0,'Components Yr 1'!E1080)</f>
        <v>0</v>
      </c>
      <c r="F1080" s="17">
        <f>IF('Components Yr 1'!F1080=0,0,'Components Yr 1'!F1080)</f>
        <v>0</v>
      </c>
      <c r="G1080" s="17">
        <f>IF('Components Yr 1'!G1080=0,0,'Components Yr 1'!G1080)</f>
        <v>0</v>
      </c>
      <c r="H1080" s="17">
        <f>IF('Components Yr 1'!H1080=0,0,'Components Yr 1'!H1080)</f>
        <v>0</v>
      </c>
      <c r="I1080" s="17">
        <f>IF('Components Yr 1'!I1080=0,0,'Components Yr 1'!I1080)</f>
        <v>0</v>
      </c>
      <c r="J1080" s="17">
        <f>IF('Components Yr 1'!J1080=0,0,'Components Yr 1'!J1080)</f>
        <v>0</v>
      </c>
      <c r="K1080" s="17">
        <f>IF('Components Yr 1'!K1080=0,0,'Components Yr 1'!K1080)</f>
        <v>0</v>
      </c>
      <c r="L1080" s="12"/>
      <c r="M1080" s="12"/>
      <c r="N1080" s="12"/>
      <c r="O1080" s="12"/>
      <c r="P1080" s="12"/>
      <c r="Q1080" s="17"/>
      <c r="R1080" s="18">
        <f>IF(SUMPRODUCT((E1080:Q1080)*1)=0,0,E1080*INDEX(Hours!M:M,MATCH(C1080,Hours!$A:$A,0))+F1080*INDEX(Hours!B:B,MATCH(C1080,Hours!$A:$A,0))+G1080*INDEX(Hours!C:C,MATCH(C1080,Hours!$A:$A,0))+H1080*INDEX(Hours!D:D,MATCH(C1080,Hours!$A:$A,0))+I1080*INDEX(Hours!E:E,MATCH(C1080,Hours!$A:$A,0))+J1080*INDEX(Hours!F:F,MATCH(C1080,Hours!$A:$A,0))+K1080*INDEX(Hours!G:G,MATCH(C1080,Hours!$A:$A,0)))</f>
        <v>0</v>
      </c>
      <c r="S1080" s="19">
        <f t="shared" si="33"/>
        <v>0</v>
      </c>
    </row>
    <row r="1081" spans="1:19" x14ac:dyDescent="0.25">
      <c r="A1081" s="15" t="str">
        <f>'Bldgs &amp; Rooms'!$A$31</f>
        <v>Main Bldg.</v>
      </c>
      <c r="B1081" s="15">
        <f>'Bldgs &amp; Rooms'!$B$31</f>
        <v>0</v>
      </c>
      <c r="C1081" s="14" t="str">
        <f>Hours!$A$8</f>
        <v>Panelboard-Single Cover &gt; 400A (Distribution Panel)</v>
      </c>
      <c r="D1081" s="15">
        <f t="shared" si="32"/>
        <v>0</v>
      </c>
      <c r="E1081" s="16">
        <f>IF('Components Yr 1'!E1081=0,0,'Components Yr 1'!E1081)</f>
        <v>0</v>
      </c>
      <c r="F1081" s="17">
        <f>IF('Components Yr 1'!F1081=0,0,'Components Yr 1'!F1081)</f>
        <v>0</v>
      </c>
      <c r="G1081" s="17">
        <f>IF('Components Yr 1'!G1081=0,0,'Components Yr 1'!G1081)</f>
        <v>0</v>
      </c>
      <c r="H1081" s="17">
        <f>IF('Components Yr 1'!H1081=0,0,'Components Yr 1'!H1081)</f>
        <v>0</v>
      </c>
      <c r="I1081" s="17">
        <f>IF('Components Yr 1'!I1081=0,0,'Components Yr 1'!I1081)</f>
        <v>0</v>
      </c>
      <c r="J1081" s="17">
        <f>IF('Components Yr 1'!J1081=0,0,'Components Yr 1'!J1081)</f>
        <v>0</v>
      </c>
      <c r="K1081" s="17">
        <f>IF('Components Yr 1'!K1081=0,0,'Components Yr 1'!K1081)</f>
        <v>0</v>
      </c>
      <c r="L1081" s="12"/>
      <c r="M1081" s="12"/>
      <c r="N1081" s="12"/>
      <c r="O1081" s="17">
        <f>IF('Components Yr 1'!O1081=0,0,'Components Yr 1'!O1081)</f>
        <v>0</v>
      </c>
      <c r="P1081" s="12"/>
      <c r="Q1081" s="17"/>
      <c r="R1081" s="18">
        <f>IF(SUMPRODUCT((E1081:Q1081)*1)=0,0,E1081*INDEX(Hours!M:M,MATCH(C1081,Hours!$A:$A,0))+F1081*INDEX(Hours!B:B,MATCH(C1081,Hours!$A:$A,0))+G1081*INDEX(Hours!C:C,MATCH(C1081,Hours!$A:$A,0))+H1081*INDEX(Hours!D:D,MATCH(C1081,Hours!$A:$A,0))+I1081*INDEX(Hours!E:E,MATCH(C1081,Hours!$A:$A,0))+J1081*INDEX(Hours!F:F,MATCH(C1081,Hours!$A:$A,0))+K1081*INDEX(Hours!G:G,MATCH(C1081,Hours!$A:$A,0))+O1081*INDEX(Hours!K:K,MATCH(C1081,Hours!$A:$A,0)))</f>
        <v>0</v>
      </c>
      <c r="S1081" s="19">
        <f t="shared" si="33"/>
        <v>0</v>
      </c>
    </row>
    <row r="1082" spans="1:19" x14ac:dyDescent="0.25">
      <c r="A1082" s="15" t="str">
        <f>'Bldgs &amp; Rooms'!$A$31</f>
        <v>Main Bldg.</v>
      </c>
      <c r="B1082" s="15">
        <f>'Bldgs &amp; Rooms'!$B$31</f>
        <v>0</v>
      </c>
      <c r="C1082" s="14" t="str">
        <f>Hours!$A$9</f>
        <v>Panelboard-Single Cover &lt; 400A (Branch Ckt Panel)</v>
      </c>
      <c r="D1082" s="15">
        <f t="shared" si="32"/>
        <v>0</v>
      </c>
      <c r="E1082" s="16">
        <f>IF('Components Yr 1'!E1082=0,0,'Components Yr 1'!E1082)</f>
        <v>0</v>
      </c>
      <c r="F1082" s="17">
        <f>IF('Components Yr 1'!F1082=0,0,'Components Yr 1'!F1082)</f>
        <v>0</v>
      </c>
      <c r="G1082" s="17">
        <f>IF('Components Yr 1'!G1082=0,0,'Components Yr 1'!G1082)</f>
        <v>0</v>
      </c>
      <c r="H1082" s="17">
        <f>IF('Components Yr 1'!H1082=0,0,'Components Yr 1'!H1082)</f>
        <v>0</v>
      </c>
      <c r="I1082" s="17">
        <f>IF('Components Yr 1'!I1082=0,0,'Components Yr 1'!I1082)</f>
        <v>0</v>
      </c>
      <c r="J1082" s="17">
        <f>IF('Components Yr 1'!J1082=0,0,'Components Yr 1'!J1082)</f>
        <v>0</v>
      </c>
      <c r="K1082" s="12"/>
      <c r="L1082" s="12"/>
      <c r="M1082" s="12"/>
      <c r="N1082" s="12"/>
      <c r="O1082" s="17">
        <f>IF('Components Yr 1'!O1082=0,0,'Components Yr 1'!O1082)</f>
        <v>0</v>
      </c>
      <c r="P1082" s="12"/>
      <c r="Q1082" s="17"/>
      <c r="R1082" s="18">
        <f>IF(SUMPRODUCT((E1082:Q1082)*1)=0,0,E1082*INDEX(Hours!M:M,MATCH(C1082,Hours!$A:$A,0))+F1082*INDEX(Hours!B:B,MATCH(C1082,Hours!$A:$A,0))+G1082*INDEX(Hours!C:C,MATCH(C1082,Hours!$A:$A,0))+H1082*INDEX(Hours!D:D,MATCH(C1082,Hours!$A:$A,0))+I1082*INDEX(Hours!E:E,MATCH(C1082,Hours!$A:$A,0))+J1082*INDEX(Hours!F:F,MATCH(C1082,Hours!$A:$A,0))+O1082*INDEX(Hours!K:K,MATCH(C1082,Hours!$A:$A,0)))</f>
        <v>0</v>
      </c>
      <c r="S1082" s="19">
        <f t="shared" si="33"/>
        <v>0</v>
      </c>
    </row>
    <row r="1083" spans="1:19" x14ac:dyDescent="0.25">
      <c r="A1083" s="15" t="str">
        <f>'Bldgs &amp; Rooms'!$A$31</f>
        <v>Main Bldg.</v>
      </c>
      <c r="B1083" s="15">
        <f>'Bldgs &amp; Rooms'!$B$31</f>
        <v>0</v>
      </c>
      <c r="C1083" s="14" t="str">
        <f>Hours!$A$10</f>
        <v>Motor Control Center (MCC-Per Vertical Section)</v>
      </c>
      <c r="D1083" s="15">
        <f t="shared" si="32"/>
        <v>0</v>
      </c>
      <c r="E1083" s="16">
        <f>IF('Components Yr 1'!E1083=0,0,'Components Yr 1'!E1083)</f>
        <v>0</v>
      </c>
      <c r="F1083" s="17">
        <f>IF('Components Yr 1'!F1083=0,0,'Components Yr 1'!F1083)</f>
        <v>0</v>
      </c>
      <c r="G1083" s="17">
        <f>IF('Components Yr 1'!G1083=0,0,'Components Yr 1'!G1083)</f>
        <v>0</v>
      </c>
      <c r="H1083" s="17">
        <f>IF('Components Yr 1'!H1083=0,0,'Components Yr 1'!H1083)</f>
        <v>0</v>
      </c>
      <c r="I1083" s="17">
        <f>IF('Components Yr 1'!I1083=0,0,'Components Yr 1'!I1083)</f>
        <v>0</v>
      </c>
      <c r="J1083" s="17">
        <f>IF('Components Yr 1'!J1083=0,0,'Components Yr 1'!J1083)</f>
        <v>0</v>
      </c>
      <c r="K1083" s="12"/>
      <c r="L1083" s="12"/>
      <c r="M1083" s="12"/>
      <c r="N1083" s="12"/>
      <c r="O1083" s="17">
        <f>IF('Components Yr 1'!O1083=0,0,'Components Yr 1'!O1083)</f>
        <v>0</v>
      </c>
      <c r="P1083" s="12"/>
      <c r="Q1083" s="17"/>
      <c r="R1083" s="18">
        <f>IF(SUMPRODUCT((E1083:Q1083)*1)=0,0,E1083*INDEX(Hours!M:M,MATCH(C1083,Hours!$A:$A,0))+F1083*INDEX(Hours!B:B,MATCH(C1083,Hours!$A:$A,0))+G1083*INDEX(Hours!C:C,MATCH(C1083,Hours!$A:$A,0))+H1083*INDEX(Hours!D:D,MATCH(C1083,Hours!$A:$A,0))+I1083*INDEX(Hours!E:E,MATCH(C1083,Hours!$A:$A,0))+J1083*INDEX(Hours!F:F,MATCH(C1083,Hours!$A:$A,0))+O1083*INDEX(Hours!K:K,MATCH(C1083,Hours!$A:$A,0)))</f>
        <v>0</v>
      </c>
      <c r="S1083" s="19">
        <f t="shared" si="33"/>
        <v>0</v>
      </c>
    </row>
    <row r="1084" spans="1:19" x14ac:dyDescent="0.25">
      <c r="A1084" s="15" t="str">
        <f>'Bldgs &amp; Rooms'!$A$31</f>
        <v>Main Bldg.</v>
      </c>
      <c r="B1084" s="15">
        <f>'Bldgs &amp; Rooms'!$B$31</f>
        <v>0</v>
      </c>
      <c r="C1084" s="14" t="str">
        <f>Hours!$A$11</f>
        <v xml:space="preserve">  MCC: Combination Motor Starters</v>
      </c>
      <c r="D1084" s="15">
        <f t="shared" si="32"/>
        <v>0</v>
      </c>
      <c r="E1084" s="16">
        <f>IF('Components Yr 1'!E1084=0,0,'Components Yr 1'!E1084)</f>
        <v>0</v>
      </c>
      <c r="F1084" s="17">
        <f>IF('Components Yr 1'!F1084=0,0,'Components Yr 1'!F1084)</f>
        <v>0</v>
      </c>
      <c r="G1084" s="17">
        <f>IF('Components Yr 1'!G1084=0,0,'Components Yr 1'!G1084)</f>
        <v>0</v>
      </c>
      <c r="H1084" s="17">
        <f>IF('Components Yr 1'!H1084=0,0,'Components Yr 1'!H1084)</f>
        <v>0</v>
      </c>
      <c r="I1084" s="17">
        <f>IF('Components Yr 1'!I1084=0,0,'Components Yr 1'!I1084)</f>
        <v>0</v>
      </c>
      <c r="J1084" s="17">
        <f>IF('Components Yr 1'!J1084=0,0,'Components Yr 1'!J1084)</f>
        <v>0</v>
      </c>
      <c r="K1084" s="17">
        <f>IF('Components Yr 1'!K1084=0,0,'Components Yr 1'!K1084)</f>
        <v>0</v>
      </c>
      <c r="L1084" s="12"/>
      <c r="M1084" s="12"/>
      <c r="N1084" s="12"/>
      <c r="O1084" s="17">
        <f>IF('Components Yr 1'!O1084=0,0,'Components Yr 1'!O1084)</f>
        <v>0</v>
      </c>
      <c r="P1084" s="12"/>
      <c r="Q1084" s="17"/>
      <c r="R1084" s="18">
        <f>IF(SUMPRODUCT((E1084:Q1084)*1)=0,0,E1084*INDEX(Hours!M:M,MATCH(C1084,Hours!$A:$A,0))+F1084*INDEX(Hours!B:B,MATCH(C1084,Hours!$A:$A,0))+G1084*INDEX(Hours!C:C,MATCH(C1084,Hours!$A:$A,0))+H1084*INDEX(Hours!D:D,MATCH(C1084,Hours!$A:$A,0))+I1084*INDEX(Hours!E:E,MATCH(C1084,Hours!$A:$A,0))+J1084*INDEX(Hours!F:F,MATCH(C1084,Hours!$A:$A,0))+K1084*INDEX(Hours!G:G,MATCH(C1084,Hours!$A:$A,0))+O1084*INDEX(Hours!K:K,MATCH(C1084,Hours!$A:$A,0)))</f>
        <v>0</v>
      </c>
      <c r="S1084" s="19">
        <f t="shared" si="33"/>
        <v>0</v>
      </c>
    </row>
    <row r="1085" spans="1:19" x14ac:dyDescent="0.25">
      <c r="A1085" s="15" t="str">
        <f>'Bldgs &amp; Rooms'!$A$31</f>
        <v>Main Bldg.</v>
      </c>
      <c r="B1085" s="15">
        <f>'Bldgs &amp; Rooms'!$B$31</f>
        <v>0</v>
      </c>
      <c r="C1085" s="14" t="str">
        <f>Hours!$A$12</f>
        <v xml:space="preserve">  MCC: Molded Case Breaker</v>
      </c>
      <c r="D1085" s="15">
        <f t="shared" si="32"/>
        <v>0</v>
      </c>
      <c r="E1085" s="16">
        <f>IF('Components Yr 1'!E1085=0,0,'Components Yr 1'!E1085)</f>
        <v>0</v>
      </c>
      <c r="F1085" s="17">
        <f>IF('Components Yr 1'!F1085=0,0,'Components Yr 1'!F1085)</f>
        <v>0</v>
      </c>
      <c r="G1085" s="17">
        <f>IF('Components Yr 1'!G1085=0,0,'Components Yr 1'!G1085)</f>
        <v>0</v>
      </c>
      <c r="H1085" s="17">
        <f>IF('Components Yr 1'!H1085=0,0,'Components Yr 1'!H1085)</f>
        <v>0</v>
      </c>
      <c r="I1085" s="17">
        <f>IF('Components Yr 1'!I1085=0,0,'Components Yr 1'!I1085)</f>
        <v>0</v>
      </c>
      <c r="J1085" s="17">
        <f>IF('Components Yr 1'!J1085=0,0,'Components Yr 1'!J1085)</f>
        <v>0</v>
      </c>
      <c r="K1085" s="17">
        <f>IF('Components Yr 1'!K1085=0,0,'Components Yr 1'!K1085)</f>
        <v>0</v>
      </c>
      <c r="L1085" s="12"/>
      <c r="M1085" s="12"/>
      <c r="N1085" s="12"/>
      <c r="O1085" s="12"/>
      <c r="P1085" s="12"/>
      <c r="Q1085" s="17"/>
      <c r="R1085" s="18">
        <f>IF(SUMPRODUCT((E1085:Q1085)*1)=0,0,E1085*INDEX(Hours!M:M,MATCH(C1085,Hours!$A:$A,0))+F1085*INDEX(Hours!B:B,MATCH(C1085,Hours!$A:$A,0))+G1085*INDEX(Hours!C:C,MATCH(C1085,Hours!$A:$A,0))+H1085*INDEX(Hours!D:D,MATCH(C1085,Hours!$A:$A,0))+I1085*INDEX(Hours!E:E,MATCH(C1085,Hours!$A:$A,0))+J1085*INDEX(Hours!F:F,MATCH(C1085,Hours!$A:$A,0))+K1085*INDEX(Hours!G:G,MATCH(C1085,Hours!$A:$A,0)))</f>
        <v>0</v>
      </c>
      <c r="S1085" s="19">
        <f t="shared" si="33"/>
        <v>0</v>
      </c>
    </row>
    <row r="1086" spans="1:19" x14ac:dyDescent="0.25">
      <c r="A1086" s="15" t="str">
        <f>'Bldgs &amp; Rooms'!$A$31</f>
        <v>Main Bldg.</v>
      </c>
      <c r="B1086" s="15">
        <f>'Bldgs &amp; Rooms'!$B$31</f>
        <v>0</v>
      </c>
      <c r="C1086" s="14" t="str">
        <f>Hours!$A$13</f>
        <v xml:space="preserve">  MCC: Individual Disconnect Switch</v>
      </c>
      <c r="D1086" s="15">
        <f t="shared" si="32"/>
        <v>0</v>
      </c>
      <c r="E1086" s="16">
        <f>IF('Components Yr 1'!E1086=0,0,'Components Yr 1'!E1086)</f>
        <v>0</v>
      </c>
      <c r="F1086" s="17">
        <f>IF('Components Yr 1'!F1086=0,0,'Components Yr 1'!F1086)</f>
        <v>0</v>
      </c>
      <c r="G1086" s="17">
        <f>IF('Components Yr 1'!G1086=0,0,'Components Yr 1'!G1086)</f>
        <v>0</v>
      </c>
      <c r="H1086" s="17">
        <f>IF('Components Yr 1'!H1086=0,0,'Components Yr 1'!H1086)</f>
        <v>0</v>
      </c>
      <c r="I1086" s="17">
        <f>IF('Components Yr 1'!I1086=0,0,'Components Yr 1'!I1086)</f>
        <v>0</v>
      </c>
      <c r="J1086" s="17">
        <f>IF('Components Yr 1'!J1086=0,0,'Components Yr 1'!J1086)</f>
        <v>0</v>
      </c>
      <c r="K1086" s="12"/>
      <c r="L1086" s="12"/>
      <c r="M1086" s="12"/>
      <c r="N1086" s="12"/>
      <c r="O1086" s="12"/>
      <c r="P1086" s="12"/>
      <c r="Q1086" s="17"/>
      <c r="R1086" s="18">
        <f>IF(SUMPRODUCT((E1086:Q1086)*1)=0,0,E1086*INDEX(Hours!M:M,MATCH(C1086,Hours!$A:$A,0))+F1086*INDEX(Hours!B:B,MATCH(C1086,Hours!$A:$A,0))+G1086*INDEX(Hours!C:C,MATCH(C1086,Hours!$A:$A,0))+H1086*INDEX(Hours!D:D,MATCH(C1086,Hours!$A:$A,0))+I1086*INDEX(Hours!E:E,MATCH(C1086,Hours!$A:$A,0))+J1086*INDEX(Hours!F:F,MATCH(C1086,Hours!$A:$A,0)))</f>
        <v>0</v>
      </c>
      <c r="S1086" s="19">
        <f t="shared" si="33"/>
        <v>0</v>
      </c>
    </row>
    <row r="1087" spans="1:19" x14ac:dyDescent="0.25">
      <c r="A1087" s="15" t="str">
        <f>'Bldgs &amp; Rooms'!$A$31</f>
        <v>Main Bldg.</v>
      </c>
      <c r="B1087" s="15">
        <f>'Bldgs &amp; Rooms'!$B$31</f>
        <v>0</v>
      </c>
      <c r="C1087" s="14" t="str">
        <f>Hours!$A$14</f>
        <v>Motor Control Panel (MCP)</v>
      </c>
      <c r="D1087" s="15">
        <f t="shared" si="32"/>
        <v>0</v>
      </c>
      <c r="E1087" s="16">
        <f>IF('Components Yr 1'!E1087=0,0,'Components Yr 1'!E1087)</f>
        <v>0</v>
      </c>
      <c r="F1087" s="17">
        <f>IF('Components Yr 1'!F1087=0,0,'Components Yr 1'!F1087)</f>
        <v>0</v>
      </c>
      <c r="G1087" s="17">
        <f>IF('Components Yr 1'!G1087=0,0,'Components Yr 1'!G1087)</f>
        <v>0</v>
      </c>
      <c r="H1087" s="17">
        <f>IF('Components Yr 1'!H1087=0,0,'Components Yr 1'!H1087)</f>
        <v>0</v>
      </c>
      <c r="I1087" s="17">
        <f>IF('Components Yr 1'!I1087=0,0,'Components Yr 1'!I1087)</f>
        <v>0</v>
      </c>
      <c r="J1087" s="17">
        <f>IF('Components Yr 1'!J1087=0,0,'Components Yr 1'!J1087)</f>
        <v>0</v>
      </c>
      <c r="K1087" s="12"/>
      <c r="L1087" s="12"/>
      <c r="M1087" s="12"/>
      <c r="N1087" s="12"/>
      <c r="O1087" s="17">
        <f>IF('Components Yr 1'!O1087=0,0,'Components Yr 1'!O1087)</f>
        <v>0</v>
      </c>
      <c r="P1087" s="12"/>
      <c r="Q1087" s="17"/>
      <c r="R1087" s="18">
        <f>IF(SUMPRODUCT((E1087:Q1087)*1)=0,0,E1087*INDEX(Hours!M:M,MATCH(C1087,Hours!$A:$A,0))+F1087*INDEX(Hours!B:B,MATCH(C1087,Hours!$A:$A,0))+G1087*INDEX(Hours!C:C,MATCH(C1087,Hours!$A:$A,0))+H1087*INDEX(Hours!D:D,MATCH(C1087,Hours!$A:$A,0))+I1087*INDEX(Hours!E:E,MATCH(C1087,Hours!$A:$A,0))+J1087*INDEX(Hours!F:F,MATCH(C1087,Hours!$A:$A,0))+O1087*INDEX(Hours!K:K,MATCH(C1087,Hours!$A:$A,0)))</f>
        <v>0</v>
      </c>
      <c r="S1087" s="19">
        <f t="shared" si="33"/>
        <v>0</v>
      </c>
    </row>
    <row r="1088" spans="1:19" x14ac:dyDescent="0.25">
      <c r="A1088" s="15" t="str">
        <f>'Bldgs &amp; Rooms'!$A$31</f>
        <v>Main Bldg.</v>
      </c>
      <c r="B1088" s="15">
        <f>'Bldgs &amp; Rooms'!$B$31</f>
        <v>0</v>
      </c>
      <c r="C1088" s="14" t="str">
        <f>Hours!$A$15</f>
        <v>VFD Motor Control Panel (VFD-MCP)</v>
      </c>
      <c r="D1088" s="15">
        <f t="shared" si="32"/>
        <v>0</v>
      </c>
      <c r="E1088" s="16">
        <f>IF('Components Yr 1'!E1088=0,0,'Components Yr 1'!E1088)</f>
        <v>0</v>
      </c>
      <c r="F1088" s="17">
        <f>IF('Components Yr 1'!F1088=0,0,'Components Yr 1'!F1088)</f>
        <v>0</v>
      </c>
      <c r="G1088" s="17">
        <f>IF('Components Yr 1'!G1088=0,0,'Components Yr 1'!G1088)</f>
        <v>0</v>
      </c>
      <c r="H1088" s="17">
        <f>IF('Components Yr 1'!H1088=0,0,'Components Yr 1'!H1088)</f>
        <v>0</v>
      </c>
      <c r="I1088" s="17">
        <f>IF('Components Yr 1'!I1088=0,0,'Components Yr 1'!I1088)</f>
        <v>0</v>
      </c>
      <c r="J1088" s="17">
        <f>IF('Components Yr 1'!J1088=0,0,'Components Yr 1'!J1088)</f>
        <v>0</v>
      </c>
      <c r="K1088" s="12"/>
      <c r="L1088" s="12"/>
      <c r="M1088" s="12"/>
      <c r="N1088" s="12"/>
      <c r="O1088" s="17">
        <f>IF('Components Yr 1'!O1088=0,0,'Components Yr 1'!O1088)</f>
        <v>0</v>
      </c>
      <c r="P1088" s="12"/>
      <c r="Q1088" s="17"/>
      <c r="R1088" s="18">
        <f>IF(SUMPRODUCT((E1088:Q1088)*1)=0,0,E1088*INDEX(Hours!M:M,MATCH(C1088,Hours!$A:$A,0))+F1088*INDEX(Hours!B:B,MATCH(C1088,Hours!$A:$A,0))+G1088*INDEX(Hours!C:C,MATCH(C1088,Hours!$A:$A,0))+H1088*INDEX(Hours!D:D,MATCH(C1088,Hours!$A:$A,0))+I1088*INDEX(Hours!E:E,MATCH(C1088,Hours!$A:$A,0))+J1088*INDEX(Hours!F:F,MATCH(C1088,Hours!$A:$A,0))+O1088*INDEX(Hours!K:K,MATCH(C1088,Hours!$A:$A,0)))</f>
        <v>0</v>
      </c>
      <c r="S1088" s="19">
        <f t="shared" si="33"/>
        <v>0</v>
      </c>
    </row>
    <row r="1089" spans="1:19" x14ac:dyDescent="0.25">
      <c r="A1089" s="15" t="str">
        <f>'Bldgs &amp; Rooms'!$A$31</f>
        <v>Main Bldg.</v>
      </c>
      <c r="B1089" s="15">
        <f>'Bldgs &amp; Rooms'!$B$31</f>
        <v>0</v>
      </c>
      <c r="C1089" s="14" t="str">
        <f>Hours!$A$16</f>
        <v>Individual Disconnect Switch &gt; 100A</v>
      </c>
      <c r="D1089" s="15">
        <f t="shared" si="32"/>
        <v>0</v>
      </c>
      <c r="E1089" s="16">
        <f>IF('Components Yr 1'!E1089=0,0,'Components Yr 1'!E1089)</f>
        <v>0</v>
      </c>
      <c r="F1089" s="17">
        <f>IF('Components Yr 1'!F1089=0,0,'Components Yr 1'!F1089)</f>
        <v>0</v>
      </c>
      <c r="G1089" s="17">
        <f>IF('Components Yr 1'!G1089=0,0,'Components Yr 1'!G1089)</f>
        <v>0</v>
      </c>
      <c r="H1089" s="17">
        <f>IF('Components Yr 1'!H1089=0,0,'Components Yr 1'!H1089)</f>
        <v>0</v>
      </c>
      <c r="I1089" s="17">
        <f>IF('Components Yr 1'!I1089=0,0,'Components Yr 1'!I1089)</f>
        <v>0</v>
      </c>
      <c r="J1089" s="17">
        <f>IF('Components Yr 1'!J1089=0,0,'Components Yr 1'!J1089)</f>
        <v>0</v>
      </c>
      <c r="K1089" s="17">
        <f>IF('Components Yr 1'!K1089=0,0,'Components Yr 1'!K1089)</f>
        <v>0</v>
      </c>
      <c r="L1089" s="12"/>
      <c r="M1089" s="12"/>
      <c r="N1089" s="12"/>
      <c r="O1089" s="12"/>
      <c r="P1089" s="12"/>
      <c r="Q1089" s="17"/>
      <c r="R1089" s="18">
        <f>IF(SUMPRODUCT((E1089:Q1089)*1)=0,0,E1089*INDEX(Hours!M:M,MATCH(C1089,Hours!$A:$A,0))+F1089*INDEX(Hours!B:B,MATCH(C1089,Hours!$A:$A,0))+G1089*INDEX(Hours!C:C,MATCH(C1089,Hours!$A:$A,0))+H1089*INDEX(Hours!D:D,MATCH(C1089,Hours!$A:$A,0))+I1089*INDEX(Hours!E:E,MATCH(C1089,Hours!$A:$A,0))+J1089*INDEX(Hours!F:F,MATCH(C1089,Hours!$A:$A,0))+K1089*INDEX(Hours!G:G,MATCH(C1089,Hours!$A:$A,0)))</f>
        <v>0</v>
      </c>
      <c r="S1089" s="19">
        <f t="shared" si="33"/>
        <v>0</v>
      </c>
    </row>
    <row r="1090" spans="1:19" x14ac:dyDescent="0.25">
      <c r="A1090" s="15" t="str">
        <f>'Bldgs &amp; Rooms'!$A$31</f>
        <v>Main Bldg.</v>
      </c>
      <c r="B1090" s="15">
        <f>'Bldgs &amp; Rooms'!$B$31</f>
        <v>0</v>
      </c>
      <c r="C1090" s="14" t="str">
        <f>Hours!$A$17</f>
        <v>Individual Molded Case Breaker &gt; 100A</v>
      </c>
      <c r="D1090" s="15">
        <f t="shared" ref="D1090:D1153" si="34">MAX(E1090+F1090,G1090,H1090,I1090,J1090,K1090,L1090,M1090,N1090,O1090,P1090,Q1090)</f>
        <v>0</v>
      </c>
      <c r="E1090" s="16">
        <f>IF('Components Yr 1'!E1090=0,0,'Components Yr 1'!E1090)</f>
        <v>0</v>
      </c>
      <c r="F1090" s="17">
        <f>IF('Components Yr 1'!F1090=0,0,'Components Yr 1'!F1090)</f>
        <v>0</v>
      </c>
      <c r="G1090" s="17">
        <f>IF('Components Yr 1'!G1090=0,0,'Components Yr 1'!G1090)</f>
        <v>0</v>
      </c>
      <c r="H1090" s="17">
        <f>IF('Components Yr 1'!H1090=0,0,'Components Yr 1'!H1090)</f>
        <v>0</v>
      </c>
      <c r="I1090" s="17">
        <f>IF('Components Yr 1'!I1090=0,0,'Components Yr 1'!I1090)</f>
        <v>0</v>
      </c>
      <c r="J1090" s="17">
        <f>IF('Components Yr 1'!J1090=0,0,'Components Yr 1'!J1090)</f>
        <v>0</v>
      </c>
      <c r="K1090" s="17">
        <f>IF('Components Yr 1'!K1090=0,0,'Components Yr 1'!K1090)</f>
        <v>0</v>
      </c>
      <c r="L1090" s="12"/>
      <c r="M1090" s="12"/>
      <c r="N1090" s="12"/>
      <c r="O1090" s="12"/>
      <c r="P1090" s="12"/>
      <c r="Q1090" s="17"/>
      <c r="R1090" s="18">
        <f>IF(SUMPRODUCT((E1090:Q1090)*1)=0,0,E1090*INDEX(Hours!M:M,MATCH(C1090,Hours!$A:$A,0))+F1090*INDEX(Hours!B:B,MATCH(C1090,Hours!$A:$A,0))+G1090*INDEX(Hours!C:C,MATCH(C1090,Hours!$A:$A,0))+H1090*INDEX(Hours!D:D,MATCH(C1090,Hours!$A:$A,0))+I1090*INDEX(Hours!E:E,MATCH(C1090,Hours!$A:$A,0))+J1090*INDEX(Hours!F:F,MATCH(C1090,Hours!$A:$A,0))+K1090*INDEX(Hours!G:G,MATCH(C1090,Hours!$A:$A,0)))</f>
        <v>0</v>
      </c>
      <c r="S1090" s="19">
        <f t="shared" ref="S1090:S1111" si="35">MAX(E1090+F1090,G1090,H1090,I1090,J1090,K1090,L1090,M1090,N1090,O1090,P1090,Q1090)</f>
        <v>0</v>
      </c>
    </row>
    <row r="1091" spans="1:19" x14ac:dyDescent="0.25">
      <c r="A1091" s="15" t="str">
        <f>'Bldgs &amp; Rooms'!$A$31</f>
        <v>Main Bldg.</v>
      </c>
      <c r="B1091" s="15">
        <f>'Bldgs &amp; Rooms'!$B$31</f>
        <v>0</v>
      </c>
      <c r="C1091" s="14" t="str">
        <f>Hours!$A$18</f>
        <v>Individual Combination Motor Starter &gt; 100A</v>
      </c>
      <c r="D1091" s="15">
        <f t="shared" si="34"/>
        <v>0</v>
      </c>
      <c r="E1091" s="16">
        <f>IF('Components Yr 1'!E1091=0,0,'Components Yr 1'!E1091)</f>
        <v>0</v>
      </c>
      <c r="F1091" s="17">
        <f>IF('Components Yr 1'!F1091=0,0,'Components Yr 1'!F1091)</f>
        <v>0</v>
      </c>
      <c r="G1091" s="17">
        <f>IF('Components Yr 1'!G1091=0,0,'Components Yr 1'!G1091)</f>
        <v>0</v>
      </c>
      <c r="H1091" s="17">
        <f>IF('Components Yr 1'!H1091=0,0,'Components Yr 1'!H1091)</f>
        <v>0</v>
      </c>
      <c r="I1091" s="17">
        <f>IF('Components Yr 1'!I1091=0,0,'Components Yr 1'!I1091)</f>
        <v>0</v>
      </c>
      <c r="J1091" s="17">
        <f>IF('Components Yr 1'!J1091=0,0,'Components Yr 1'!J1091)</f>
        <v>0</v>
      </c>
      <c r="K1091" s="17">
        <f>IF('Components Yr 1'!K1091=0,0,'Components Yr 1'!K1091)</f>
        <v>0</v>
      </c>
      <c r="L1091" s="12"/>
      <c r="M1091" s="12"/>
      <c r="N1091" s="12"/>
      <c r="O1091" s="12"/>
      <c r="P1091" s="12"/>
      <c r="Q1091" s="17"/>
      <c r="R1091" s="18">
        <f>IF(SUMPRODUCT((E1091:Q1091)*1)=0,0,E1091*INDEX(Hours!M:M,MATCH(C1091,Hours!$A:$A,0))+F1091*INDEX(Hours!B:B,MATCH(C1091,Hours!$A:$A,0))+G1091*INDEX(Hours!C:C,MATCH(C1091,Hours!$A:$A,0))+H1091*INDEX(Hours!D:D,MATCH(C1091,Hours!$A:$A,0))+I1091*INDEX(Hours!E:E,MATCH(C1091,Hours!$A:$A,0))+J1091*INDEX(Hours!F:F,MATCH(C1091,Hours!$A:$A,0))+K1091*INDEX(Hours!G:G,MATCH(C1091,Hours!$A:$A,0)))</f>
        <v>0</v>
      </c>
      <c r="S1091" s="19">
        <f t="shared" si="35"/>
        <v>0</v>
      </c>
    </row>
    <row r="1092" spans="1:19" x14ac:dyDescent="0.25">
      <c r="A1092" s="15" t="str">
        <f>'Bldgs &amp; Rooms'!$A$31</f>
        <v>Main Bldg.</v>
      </c>
      <c r="B1092" s="15">
        <f>'Bldgs &amp; Rooms'!$B$31</f>
        <v>0</v>
      </c>
      <c r="C1092" s="14" t="str">
        <f>Hours!$A$19</f>
        <v>Oil Filled Transformer - 5kV-15kV Primary - Any Size (Pad Mounted)</v>
      </c>
      <c r="D1092" s="15">
        <f t="shared" si="34"/>
        <v>0</v>
      </c>
      <c r="E1092" s="16">
        <f>IF('Components Yr 1'!E1092=0,0,'Components Yr 1'!E1092)</f>
        <v>0</v>
      </c>
      <c r="F1092" s="17">
        <f>IF('Components Yr 1'!F1092=0,0,'Components Yr 1'!F1092)</f>
        <v>0</v>
      </c>
      <c r="G1092" s="17">
        <f>IF('Components Yr 1'!G1092=0,0,'Components Yr 1'!G1092)</f>
        <v>0</v>
      </c>
      <c r="H1092" s="17">
        <f>IF('Components Yr 1'!H1092=0,0,'Components Yr 1'!H1092)</f>
        <v>0</v>
      </c>
      <c r="I1092" s="17">
        <f>IF('Components Yr 1'!I1092=0,0,'Components Yr 1'!I1092)</f>
        <v>0</v>
      </c>
      <c r="J1092" s="17">
        <f>IF('Components Yr 1'!J1092=0,0,'Components Yr 1'!J1092)</f>
        <v>0</v>
      </c>
      <c r="K1092" s="12"/>
      <c r="L1092" s="12"/>
      <c r="M1092" s="17">
        <f>IF('Components Yr 1'!M1092=0,0,'Components Yr 1'!M1092)</f>
        <v>0</v>
      </c>
      <c r="N1092" s="17">
        <f>IF('Components Yr 1'!N1092=0,0,'Components Yr 1'!N1092)</f>
        <v>0</v>
      </c>
      <c r="O1092" s="12"/>
      <c r="P1092" s="17">
        <f>IF('Components Yr 1'!P1092=0,0,'Components Yr 1'!P1092)</f>
        <v>0</v>
      </c>
      <c r="Q1092" s="17"/>
      <c r="R1092" s="18">
        <f>IF(SUMPRODUCT((E1092:Q1092)*1)=0,0,E1092*INDEX(Hours!M:M,MATCH(C1092,Hours!$A:$A,0))+F1092*INDEX(Hours!B:B,MATCH(C1092,Hours!$A:$A,0))+G1092*INDEX(Hours!C:C,MATCH(C1092,Hours!$A:$A,0))+H1092*INDEX(Hours!D:D,MATCH(C1092,Hours!$A:$A,0))+I1092*INDEX(Hours!E:E,MATCH(C1092,Hours!$A:$A,0))+J1092*INDEX(Hours!F:F,MATCH(C1092,Hours!$A:$A,0))+M1092*INDEX(Hours!I:I,MATCH(C1092,Hours!$A:$A,0))+N1092*INDEX(Hours!J:J,MATCH(C1092,Hours!$A:$A,0))+P1092*INDEX(Hours!L:L,MATCH(C1092,Hours!$A:$A,0)))</f>
        <v>0</v>
      </c>
      <c r="S1092" s="19">
        <f t="shared" si="35"/>
        <v>0</v>
      </c>
    </row>
    <row r="1093" spans="1:19" x14ac:dyDescent="0.25">
      <c r="A1093" s="15" t="str">
        <f>'Bldgs &amp; Rooms'!$A$31</f>
        <v>Main Bldg.</v>
      </c>
      <c r="B1093" s="15">
        <f>'Bldgs &amp; Rooms'!$B$31</f>
        <v>0</v>
      </c>
      <c r="C1093" s="14" t="str">
        <f>Hours!$A$20</f>
        <v>Oil Filled Transformer - &gt; 15kV Primary (Substation Class)</v>
      </c>
      <c r="D1093" s="15">
        <f t="shared" si="34"/>
        <v>0</v>
      </c>
      <c r="E1093" s="16">
        <f>IF('Components Yr 1'!E1093=0,0,'Components Yr 1'!E1093)</f>
        <v>0</v>
      </c>
      <c r="F1093" s="17">
        <f>IF('Components Yr 1'!F1093=0,0,'Components Yr 1'!F1093)</f>
        <v>0</v>
      </c>
      <c r="G1093" s="17">
        <f>IF('Components Yr 1'!G1093=0,0,'Components Yr 1'!G1093)</f>
        <v>0</v>
      </c>
      <c r="H1093" s="17">
        <f>IF('Components Yr 1'!H1093=0,0,'Components Yr 1'!H1093)</f>
        <v>0</v>
      </c>
      <c r="I1093" s="17">
        <f>IF('Components Yr 1'!I1093=0,0,'Components Yr 1'!I1093)</f>
        <v>0</v>
      </c>
      <c r="J1093" s="17">
        <f>IF('Components Yr 1'!J1093=0,0,'Components Yr 1'!J1093)</f>
        <v>0</v>
      </c>
      <c r="K1093" s="12"/>
      <c r="L1093" s="12"/>
      <c r="M1093" s="17">
        <f>IF('Components Yr 1'!M1093=0,0,'Components Yr 1'!M1093)</f>
        <v>0</v>
      </c>
      <c r="N1093" s="17">
        <f>IF('Components Yr 1'!N1093=0,0,'Components Yr 1'!N1093)</f>
        <v>0</v>
      </c>
      <c r="O1093" s="12"/>
      <c r="P1093" s="17">
        <f>IF('Components Yr 1'!P1093=0,0,'Components Yr 1'!P1093)</f>
        <v>0</v>
      </c>
      <c r="Q1093" s="17"/>
      <c r="R1093" s="18">
        <f>IF(SUMPRODUCT((E1093:Q1093)*1)=0,0,E1093*INDEX(Hours!M:M,MATCH(C1093,Hours!$A:$A,0))+F1093*INDEX(Hours!B:B,MATCH(C1093,Hours!$A:$A,0))+G1093*INDEX(Hours!C:C,MATCH(C1093,Hours!$A:$A,0))+H1093*INDEX(Hours!D:D,MATCH(C1093,Hours!$A:$A,0))+I1093*INDEX(Hours!E:E,MATCH(C1093,Hours!$A:$A,0))+J1093*INDEX(Hours!F:F,MATCH(C1093,Hours!$A:$A,0))+M1093*INDEX(Hours!I:I,MATCH(C1093,Hours!$A:$A,0))+N1093*INDEX(Hours!J:J,MATCH(C1093,Hours!$A:$A,0))+P1093*INDEX(Hours!L:L,MATCH(C1093,Hours!$A:$A,0)))</f>
        <v>0</v>
      </c>
      <c r="S1093" s="19">
        <f t="shared" si="35"/>
        <v>0</v>
      </c>
    </row>
    <row r="1094" spans="1:19" x14ac:dyDescent="0.25">
      <c r="A1094" s="15" t="str">
        <f>'Bldgs &amp; Rooms'!$A$31</f>
        <v>Main Bldg.</v>
      </c>
      <c r="B1094" s="15">
        <f>'Bldgs &amp; Rooms'!$B$31</f>
        <v>0</v>
      </c>
      <c r="C1094" s="14" t="str">
        <f>Hours!$A$21</f>
        <v>Dry Type Transformer - &lt; 480V Primary - Any Size kVA</v>
      </c>
      <c r="D1094" s="15">
        <f t="shared" si="34"/>
        <v>0</v>
      </c>
      <c r="E1094" s="16">
        <f>IF('Components Yr 1'!E1094=0,0,'Components Yr 1'!E1094)</f>
        <v>0</v>
      </c>
      <c r="F1094" s="17">
        <f>IF('Components Yr 1'!F1094=0,0,'Components Yr 1'!F1094)</f>
        <v>0</v>
      </c>
      <c r="G1094" s="17">
        <f>IF('Components Yr 1'!G1094=0,0,'Components Yr 1'!G1094)</f>
        <v>0</v>
      </c>
      <c r="H1094" s="17">
        <f>IF('Components Yr 1'!H1094=0,0,'Components Yr 1'!H1094)</f>
        <v>0</v>
      </c>
      <c r="I1094" s="17">
        <f>IF('Components Yr 1'!I1094=0,0,'Components Yr 1'!I1094)</f>
        <v>0</v>
      </c>
      <c r="J1094" s="17">
        <f>IF('Components Yr 1'!J1094=0,0,'Components Yr 1'!J1094)</f>
        <v>0</v>
      </c>
      <c r="K1094" s="12"/>
      <c r="L1094" s="12"/>
      <c r="M1094" s="17">
        <f>IF('Components Yr 1'!M1094=0,0,'Components Yr 1'!M1094)</f>
        <v>0</v>
      </c>
      <c r="N1094" s="17">
        <f>IF('Components Yr 1'!N1094=0,0,'Components Yr 1'!N1094)</f>
        <v>0</v>
      </c>
      <c r="O1094" s="12"/>
      <c r="P1094" s="12"/>
      <c r="Q1094" s="17"/>
      <c r="R1094" s="18">
        <f>IF(SUMPRODUCT((E1094:Q1094)*1)=0,0,E1094*INDEX(Hours!M:M,MATCH(C1094,Hours!$A:$A,0))+F1094*INDEX(Hours!B:B,MATCH(C1094,Hours!$A:$A,0))+G1094*INDEX(Hours!C:C,MATCH(C1094,Hours!$A:$A,0))+H1094*INDEX(Hours!D:D,MATCH(C1094,Hours!$A:$A,0))+I1094*INDEX(Hours!E:E,MATCH(C1094,Hours!$A:$A,0))+J1094*INDEX(Hours!F:F,MATCH(C1094,Hours!$A:$A,0))+M1094*INDEX(Hours!I:I,MATCH(C1094,Hours!$A:$A,0))+N1094*INDEX(Hours!J:J,MATCH(C1094,Hours!$A:$A,0)))</f>
        <v>0</v>
      </c>
      <c r="S1094" s="19">
        <f t="shared" si="35"/>
        <v>0</v>
      </c>
    </row>
    <row r="1095" spans="1:19" x14ac:dyDescent="0.25">
      <c r="A1095" s="15" t="str">
        <f>'Bldgs &amp; Rooms'!$A$31</f>
        <v>Main Bldg.</v>
      </c>
      <c r="B1095" s="15">
        <f>'Bldgs &amp; Rooms'!$B$31</f>
        <v>0</v>
      </c>
      <c r="C1095" s="14" t="str">
        <f>Hours!$A$22</f>
        <v>Power Factor Correction Capacitors</v>
      </c>
      <c r="D1095" s="15">
        <f t="shared" si="34"/>
        <v>0</v>
      </c>
      <c r="E1095" s="16">
        <f>IF('Components Yr 1'!E1095=0,0,'Components Yr 1'!E1095)</f>
        <v>0</v>
      </c>
      <c r="F1095" s="17">
        <f>IF('Components Yr 1'!F1095=0,0,'Components Yr 1'!F1095)</f>
        <v>0</v>
      </c>
      <c r="G1095" s="17">
        <f>IF('Components Yr 1'!G1095=0,0,'Components Yr 1'!G1095)</f>
        <v>0</v>
      </c>
      <c r="H1095" s="17">
        <f>IF('Components Yr 1'!H1095=0,0,'Components Yr 1'!H1095)</f>
        <v>0</v>
      </c>
      <c r="I1095" s="17">
        <f>IF('Components Yr 1'!I1095=0,0,'Components Yr 1'!I1095)</f>
        <v>0</v>
      </c>
      <c r="J1095" s="17">
        <f>IF('Components Yr 1'!J1095=0,0,'Components Yr 1'!J1095)</f>
        <v>0</v>
      </c>
      <c r="K1095" s="12"/>
      <c r="L1095" s="12"/>
      <c r="M1095" s="12"/>
      <c r="N1095" s="12"/>
      <c r="O1095" s="12"/>
      <c r="P1095" s="12"/>
      <c r="Q1095" s="17"/>
      <c r="R1095" s="18">
        <f>IF(SUMPRODUCT((E1095:Q1095)*1)=0,0,E1095*INDEX(Hours!M:M,MATCH(C1095,Hours!$A:$A,0))+F1095*INDEX(Hours!B:B,MATCH(C1095,Hours!$A:$A,0))+G1095*INDEX(Hours!C:C,MATCH(C1095,Hours!$A:$A,0))+H1095*INDEX(Hours!D:D,MATCH(C1095,Hours!$A:$A,0))+I1095*INDEX(Hours!E:E,MATCH(C1095,Hours!$A:$A,0))+J1095*INDEX(Hours!F:F,MATCH(C1095,Hours!$A:$A,0)))</f>
        <v>0</v>
      </c>
      <c r="S1095" s="19">
        <f t="shared" si="35"/>
        <v>0</v>
      </c>
    </row>
    <row r="1096" spans="1:19" x14ac:dyDescent="0.25">
      <c r="A1096" s="15" t="str">
        <f>'Bldgs &amp; Rooms'!$A$31</f>
        <v>Main Bldg.</v>
      </c>
      <c r="B1096" s="15">
        <f>'Bldgs &amp; Rooms'!$B$31</f>
        <v>0</v>
      </c>
      <c r="C1096" s="14" t="str">
        <f>Hours!$A$23</f>
        <v>Lighting Contactor &gt; 100A</v>
      </c>
      <c r="D1096" s="15">
        <f t="shared" si="34"/>
        <v>0</v>
      </c>
      <c r="E1096" s="16">
        <f>IF('Components Yr 1'!E1096=0,0,'Components Yr 1'!E1096)</f>
        <v>0</v>
      </c>
      <c r="F1096" s="17">
        <f>IF('Components Yr 1'!F1096=0,0,'Components Yr 1'!F1096)</f>
        <v>0</v>
      </c>
      <c r="G1096" s="17">
        <f>IF('Components Yr 1'!G1096=0,0,'Components Yr 1'!G1096)</f>
        <v>0</v>
      </c>
      <c r="H1096" s="17">
        <f>IF('Components Yr 1'!H1096=0,0,'Components Yr 1'!H1096)</f>
        <v>0</v>
      </c>
      <c r="I1096" s="17">
        <f>IF('Components Yr 1'!I1096=0,0,'Components Yr 1'!I1096)</f>
        <v>0</v>
      </c>
      <c r="J1096" s="17">
        <f>IF('Components Yr 1'!J1096=0,0,'Components Yr 1'!J1096)</f>
        <v>0</v>
      </c>
      <c r="K1096" s="12"/>
      <c r="L1096" s="12"/>
      <c r="M1096" s="12"/>
      <c r="N1096" s="12"/>
      <c r="O1096" s="12"/>
      <c r="P1096" s="12"/>
      <c r="Q1096" s="17"/>
      <c r="R1096" s="18">
        <f>IF(SUMPRODUCT((E1096:Q1096)*1)=0,0,E1096*INDEX(Hours!M:M,MATCH(C1096,Hours!$A:$A,0))+F1096*INDEX(Hours!B:B,MATCH(C1096,Hours!$A:$A,0))+G1096*INDEX(Hours!C:C,MATCH(C1096,Hours!$A:$A,0))+H1096*INDEX(Hours!D:D,MATCH(C1096,Hours!$A:$A,0))+I1096*INDEX(Hours!E:E,MATCH(C1096,Hours!$A:$A,0))+J1096*INDEX(Hours!F:F,MATCH(C1096,Hours!$A:$A,0)))</f>
        <v>0</v>
      </c>
      <c r="S1096" s="19">
        <f t="shared" si="35"/>
        <v>0</v>
      </c>
    </row>
    <row r="1097" spans="1:19" x14ac:dyDescent="0.25">
      <c r="A1097" s="15" t="str">
        <f>'Bldgs &amp; Rooms'!$A$31</f>
        <v>Main Bldg.</v>
      </c>
      <c r="B1097" s="15">
        <f>'Bldgs &amp; Rooms'!$B$31</f>
        <v>0</v>
      </c>
      <c r="C1097" s="14" t="str">
        <f>Hours!$A$24</f>
        <v>Power Distribution Unit (PDU)</v>
      </c>
      <c r="D1097" s="15">
        <f t="shared" si="34"/>
        <v>0</v>
      </c>
      <c r="E1097" s="16">
        <f>IF('Components Yr 1'!E1097=0,0,'Components Yr 1'!E1097)</f>
        <v>0</v>
      </c>
      <c r="F1097" s="17">
        <f>IF('Components Yr 1'!F1097=0,0,'Components Yr 1'!F1097)</f>
        <v>0</v>
      </c>
      <c r="G1097" s="17">
        <f>IF('Components Yr 1'!G1097=0,0,'Components Yr 1'!G1097)</f>
        <v>0</v>
      </c>
      <c r="H1097" s="17">
        <f>IF('Components Yr 1'!H1097=0,0,'Components Yr 1'!H1097)</f>
        <v>0</v>
      </c>
      <c r="I1097" s="17">
        <f>IF('Components Yr 1'!I1097=0,0,'Components Yr 1'!I1097)</f>
        <v>0</v>
      </c>
      <c r="J1097" s="17">
        <f>IF('Components Yr 1'!J1097=0,0,'Components Yr 1'!J1097)</f>
        <v>0</v>
      </c>
      <c r="K1097" s="12"/>
      <c r="L1097" s="12"/>
      <c r="M1097" s="12"/>
      <c r="N1097" s="12"/>
      <c r="O1097" s="12"/>
      <c r="P1097" s="12"/>
      <c r="Q1097" s="17"/>
      <c r="R1097" s="18">
        <f>IF(SUMPRODUCT((E1097:Q1097)*1)=0,0,E1097*INDEX(Hours!M:M,MATCH(C1097,Hours!$A:$A,0))+F1097*INDEX(Hours!B:B,MATCH(C1097,Hours!$A:$A,0))+G1097*INDEX(Hours!C:C,MATCH(C1097,Hours!$A:$A,0))+H1097*INDEX(Hours!D:D,MATCH(C1097,Hours!$A:$A,0))+I1097*INDEX(Hours!E:E,MATCH(C1097,Hours!$A:$A,0))+J1097*INDEX(Hours!F:F,MATCH(C1097,Hours!$A:$A,0)))</f>
        <v>0</v>
      </c>
      <c r="S1097" s="19">
        <f t="shared" si="35"/>
        <v>0</v>
      </c>
    </row>
    <row r="1098" spans="1:19" x14ac:dyDescent="0.25">
      <c r="A1098" s="15" t="str">
        <f>'Bldgs &amp; Rooms'!$A$31</f>
        <v>Main Bldg.</v>
      </c>
      <c r="B1098" s="15">
        <f>'Bldgs &amp; Rooms'!$B$31</f>
        <v>0</v>
      </c>
      <c r="C1098" s="14" t="str">
        <f>Hours!$A$25</f>
        <v>Wire Trough, Gutter, or Large Junction Boxes</v>
      </c>
      <c r="D1098" s="15">
        <f t="shared" si="34"/>
        <v>0</v>
      </c>
      <c r="E1098" s="16">
        <f>IF('Components Yr 1'!E1098=0,0,'Components Yr 1'!E1098)</f>
        <v>0</v>
      </c>
      <c r="F1098" s="17">
        <f>IF('Components Yr 1'!F1098=0,0,'Components Yr 1'!F1098)</f>
        <v>0</v>
      </c>
      <c r="G1098" s="17">
        <f>IF('Components Yr 1'!G1098=0,0,'Components Yr 1'!G1098)</f>
        <v>0</v>
      </c>
      <c r="H1098" s="17">
        <f>IF('Components Yr 1'!H1098=0,0,'Components Yr 1'!H1098)</f>
        <v>0</v>
      </c>
      <c r="I1098" s="17">
        <f>IF('Components Yr 1'!I1098=0,0,'Components Yr 1'!I1098)</f>
        <v>0</v>
      </c>
      <c r="J1098" s="17">
        <f>IF('Components Yr 1'!J1098=0,0,'Components Yr 1'!J1098)</f>
        <v>0</v>
      </c>
      <c r="K1098" s="12"/>
      <c r="L1098" s="12"/>
      <c r="M1098" s="12"/>
      <c r="N1098" s="12"/>
      <c r="O1098" s="12"/>
      <c r="P1098" s="12"/>
      <c r="Q1098" s="17"/>
      <c r="R1098" s="18">
        <f>IF(SUMPRODUCT((E1098:Q1098)*1)=0,0,E1098*INDEX(Hours!M:M,MATCH(C1098,Hours!$A:$A,0))+F1098*INDEX(Hours!B:B,MATCH(C1098,Hours!$A:$A,0))+G1098*INDEX(Hours!C:C,MATCH(C1098,Hours!$A:$A,0))+H1098*INDEX(Hours!D:D,MATCH(C1098,Hours!$A:$A,0))+I1098*INDEX(Hours!E:E,MATCH(C1098,Hours!$A:$A,0))+J1098*INDEX(Hours!F:F,MATCH(C1098,Hours!$A:$A,0)))</f>
        <v>0</v>
      </c>
      <c r="S1098" s="19">
        <f t="shared" si="35"/>
        <v>0</v>
      </c>
    </row>
    <row r="1099" spans="1:19" x14ac:dyDescent="0.25">
      <c r="A1099" s="15" t="str">
        <f>'Bldgs &amp; Rooms'!$A$31</f>
        <v>Main Bldg.</v>
      </c>
      <c r="B1099" s="15">
        <f>'Bldgs &amp; Rooms'!$B$31</f>
        <v>0</v>
      </c>
      <c r="C1099" s="14" t="str">
        <f>Hours!$A$26</f>
        <v>Bus Duct - Vertical or Horizontal (Per 10' section)</v>
      </c>
      <c r="D1099" s="15">
        <f t="shared" si="34"/>
        <v>0</v>
      </c>
      <c r="E1099" s="16">
        <f>IF('Components Yr 1'!E1099=0,0,'Components Yr 1'!E1099)</f>
        <v>0</v>
      </c>
      <c r="F1099" s="17">
        <f>IF('Components Yr 1'!F1099=0,0,'Components Yr 1'!F1099)</f>
        <v>0</v>
      </c>
      <c r="G1099" s="17">
        <f>IF('Components Yr 1'!G1099=0,0,'Components Yr 1'!G1099)</f>
        <v>0</v>
      </c>
      <c r="H1099" s="17">
        <f>IF('Components Yr 1'!H1099=0,0,'Components Yr 1'!H1099)</f>
        <v>0</v>
      </c>
      <c r="I1099" s="17">
        <f>IF('Components Yr 1'!I1099=0,0,'Components Yr 1'!I1099)</f>
        <v>0</v>
      </c>
      <c r="J1099" s="17">
        <f>IF('Components Yr 1'!J1099=0,0,'Components Yr 1'!J1099)</f>
        <v>0</v>
      </c>
      <c r="K1099" s="12"/>
      <c r="L1099" s="12"/>
      <c r="M1099" s="12"/>
      <c r="N1099" s="12"/>
      <c r="O1099" s="12"/>
      <c r="P1099" s="12"/>
      <c r="Q1099" s="17"/>
      <c r="R1099" s="18">
        <f>IF(SUMPRODUCT((E1099:Q1099)*1)=0,0,E1099*INDEX(Hours!M:M,MATCH(C1099,Hours!$A:$A,0))+F1099*INDEX(Hours!B:B,MATCH(C1099,Hours!$A:$A,0))+G1099*INDEX(Hours!C:C,MATCH(C1099,Hours!$A:$A,0))+H1099*INDEX(Hours!D:D,MATCH(C1099,Hours!$A:$A,0))+I1099*INDEX(Hours!E:E,MATCH(C1099,Hours!$A:$A,0))+J1099*INDEX(Hours!F:F,MATCH(C1099,Hours!$A:$A,0)))</f>
        <v>0</v>
      </c>
      <c r="S1099" s="19">
        <f t="shared" si="35"/>
        <v>0</v>
      </c>
    </row>
    <row r="1100" spans="1:19" x14ac:dyDescent="0.25">
      <c r="A1100" s="15" t="str">
        <f>'Bldgs &amp; Rooms'!$A$31</f>
        <v>Main Bldg.</v>
      </c>
      <c r="B1100" s="15">
        <f>'Bldgs &amp; Rooms'!$B$31</f>
        <v>0</v>
      </c>
      <c r="C1100" s="14" t="str">
        <f>Hours!$A$27</f>
        <v>Automatic Transfer Switch (ATS) &gt; 100A</v>
      </c>
      <c r="D1100" s="15">
        <f t="shared" si="34"/>
        <v>0</v>
      </c>
      <c r="E1100" s="16">
        <f>IF('Components Yr 1'!E1100=0,0,'Components Yr 1'!E1100)</f>
        <v>0</v>
      </c>
      <c r="F1100" s="17">
        <f>IF('Components Yr 1'!F1100=0,0,'Components Yr 1'!F1100)</f>
        <v>0</v>
      </c>
      <c r="G1100" s="17">
        <f>IF('Components Yr 1'!G1100=0,0,'Components Yr 1'!G1100)</f>
        <v>0</v>
      </c>
      <c r="H1100" s="17">
        <f>IF('Components Yr 1'!H1100=0,0,'Components Yr 1'!H1100)</f>
        <v>0</v>
      </c>
      <c r="I1100" s="17">
        <f>IF('Components Yr 1'!I1100=0,0,'Components Yr 1'!I1100)</f>
        <v>0</v>
      </c>
      <c r="J1100" s="17">
        <f>IF('Components Yr 1'!J1100=0,0,'Components Yr 1'!J1100)</f>
        <v>0</v>
      </c>
      <c r="K1100" s="12"/>
      <c r="L1100" s="12"/>
      <c r="M1100" s="12"/>
      <c r="N1100" s="12"/>
      <c r="O1100" s="12"/>
      <c r="P1100" s="12"/>
      <c r="Q1100" s="17"/>
      <c r="R1100" s="18">
        <f>IF(SUMPRODUCT((E1100:Q1100)*1)=0,0,E1100*INDEX(Hours!M:M,MATCH(C1100,Hours!$A:$A,0))+F1100*INDEX(Hours!B:B,MATCH(C1100,Hours!$A:$A,0))+G1100*INDEX(Hours!C:C,MATCH(C1100,Hours!$A:$A,0))+H1100*INDEX(Hours!D:D,MATCH(C1100,Hours!$A:$A,0))+I1100*INDEX(Hours!E:E,MATCH(C1100,Hours!$A:$A,0))+J1100*INDEX(Hours!F:F,MATCH(C1100,Hours!$A:$A,0)))</f>
        <v>0</v>
      </c>
      <c r="S1100" s="19">
        <f t="shared" si="35"/>
        <v>0</v>
      </c>
    </row>
    <row r="1101" spans="1:19" x14ac:dyDescent="0.25">
      <c r="A1101" s="15" t="str">
        <f>'Bldgs &amp; Rooms'!$A$31</f>
        <v>Main Bldg.</v>
      </c>
      <c r="B1101" s="15">
        <f>'Bldgs &amp; Rooms'!$B$31</f>
        <v>0</v>
      </c>
      <c r="C1101" s="14" t="str">
        <f>Hours!$A$28</f>
        <v>Manual Transfer Switch (MTS) &gt; 100A</v>
      </c>
      <c r="D1101" s="15">
        <f t="shared" si="34"/>
        <v>0</v>
      </c>
      <c r="E1101" s="16">
        <f>IF('Components Yr 1'!E1101=0,0,'Components Yr 1'!E1101)</f>
        <v>0</v>
      </c>
      <c r="F1101" s="17">
        <f>IF('Components Yr 1'!F1101=0,0,'Components Yr 1'!F1101)</f>
        <v>0</v>
      </c>
      <c r="G1101" s="17">
        <f>IF('Components Yr 1'!G1101=0,0,'Components Yr 1'!G1101)</f>
        <v>0</v>
      </c>
      <c r="H1101" s="17">
        <f>IF('Components Yr 1'!H1101=0,0,'Components Yr 1'!H1101)</f>
        <v>0</v>
      </c>
      <c r="I1101" s="17">
        <f>IF('Components Yr 1'!I1101=0,0,'Components Yr 1'!I1101)</f>
        <v>0</v>
      </c>
      <c r="J1101" s="17">
        <f>IF('Components Yr 1'!J1101=0,0,'Components Yr 1'!J1101)</f>
        <v>0</v>
      </c>
      <c r="K1101" s="12"/>
      <c r="L1101" s="12"/>
      <c r="M1101" s="12"/>
      <c r="N1101" s="12"/>
      <c r="O1101" s="12"/>
      <c r="P1101" s="12"/>
      <c r="Q1101" s="17"/>
      <c r="R1101" s="18">
        <f>IF(SUMPRODUCT((E1101:Q1101)*1)=0,0,E1101*INDEX(Hours!M:M,MATCH(C1101,Hours!$A:$A,0))+F1101*INDEX(Hours!B:B,MATCH(C1101,Hours!$A:$A,0))+G1101*INDEX(Hours!C:C,MATCH(C1101,Hours!$A:$A,0))+H1101*INDEX(Hours!D:D,MATCH(C1101,Hours!$A:$A,0))+I1101*INDEX(Hours!E:E,MATCH(C1101,Hours!$A:$A,0))+J1101*INDEX(Hours!F:F,MATCH(C1101,Hours!$A:$A,0)))</f>
        <v>0</v>
      </c>
      <c r="S1101" s="19">
        <f t="shared" si="35"/>
        <v>0</v>
      </c>
    </row>
    <row r="1102" spans="1:19" x14ac:dyDescent="0.25">
      <c r="A1102" s="15" t="str">
        <f>'Bldgs &amp; Rooms'!$A$31</f>
        <v>Main Bldg.</v>
      </c>
      <c r="B1102" s="15">
        <f>'Bldgs &amp; Rooms'!$B$31</f>
        <v>0</v>
      </c>
      <c r="C1102" s="14" t="str">
        <f>Hours!$A$29</f>
        <v>Variable Frequency Drives (VFD) &lt; 50 HP</v>
      </c>
      <c r="D1102" s="15">
        <f t="shared" si="34"/>
        <v>0</v>
      </c>
      <c r="E1102" s="16">
        <f>IF('Components Yr 1'!E1102=0,0,'Components Yr 1'!E1102)</f>
        <v>0</v>
      </c>
      <c r="F1102" s="17">
        <f>IF('Components Yr 1'!F1102=0,0,'Components Yr 1'!F1102)</f>
        <v>0</v>
      </c>
      <c r="G1102" s="17">
        <f>IF('Components Yr 1'!G1102=0,0,'Components Yr 1'!G1102)</f>
        <v>0</v>
      </c>
      <c r="H1102" s="17">
        <f>IF('Components Yr 1'!H1102=0,0,'Components Yr 1'!H1102)</f>
        <v>0</v>
      </c>
      <c r="I1102" s="17">
        <f>IF('Components Yr 1'!I1102=0,0,'Components Yr 1'!I1102)</f>
        <v>0</v>
      </c>
      <c r="J1102" s="17">
        <f>IF('Components Yr 1'!J1102=0,0,'Components Yr 1'!J1102)</f>
        <v>0</v>
      </c>
      <c r="K1102" s="12"/>
      <c r="L1102" s="12"/>
      <c r="M1102" s="12"/>
      <c r="N1102" s="12"/>
      <c r="O1102" s="12"/>
      <c r="P1102" s="12"/>
      <c r="Q1102" s="17"/>
      <c r="R1102" s="18">
        <f>IF(SUMPRODUCT((E1102:Q1102)*1)=0,0,E1102*INDEX(Hours!M:M,MATCH(C1102,Hours!$A:$A,0))+F1102*INDEX(Hours!B:B,MATCH(C1102,Hours!$A:$A,0))+G1102*INDEX(Hours!C:C,MATCH(C1102,Hours!$A:$A,0))+H1102*INDEX(Hours!D:D,MATCH(C1102,Hours!$A:$A,0))+I1102*INDEX(Hours!E:E,MATCH(C1102,Hours!$A:$A,0))+J1102*INDEX(Hours!F:F,MATCH(C1102,Hours!$A:$A,0)))</f>
        <v>0</v>
      </c>
      <c r="S1102" s="19">
        <f t="shared" si="35"/>
        <v>0</v>
      </c>
    </row>
    <row r="1103" spans="1:19" x14ac:dyDescent="0.25">
      <c r="A1103" s="15" t="str">
        <f>'Bldgs &amp; Rooms'!$A$31</f>
        <v>Main Bldg.</v>
      </c>
      <c r="B1103" s="15">
        <f>'Bldgs &amp; Rooms'!$B$31</f>
        <v>0</v>
      </c>
      <c r="C1103" s="14" t="str">
        <f>Hours!$A$30</f>
        <v>Variable Frequency Drives (VFD) 51-200 HP</v>
      </c>
      <c r="D1103" s="15">
        <f t="shared" si="34"/>
        <v>0</v>
      </c>
      <c r="E1103" s="16">
        <f>IF('Components Yr 1'!E1103=0,0,'Components Yr 1'!E1103)</f>
        <v>0</v>
      </c>
      <c r="F1103" s="17">
        <f>IF('Components Yr 1'!F1103=0,0,'Components Yr 1'!F1103)</f>
        <v>0</v>
      </c>
      <c r="G1103" s="17">
        <f>IF('Components Yr 1'!G1103=0,0,'Components Yr 1'!G1103)</f>
        <v>0</v>
      </c>
      <c r="H1103" s="17">
        <f>IF('Components Yr 1'!H1103=0,0,'Components Yr 1'!H1103)</f>
        <v>0</v>
      </c>
      <c r="I1103" s="17">
        <f>IF('Components Yr 1'!I1103=0,0,'Components Yr 1'!I1103)</f>
        <v>0</v>
      </c>
      <c r="J1103" s="17">
        <f>IF('Components Yr 1'!J1103=0,0,'Components Yr 1'!J1103)</f>
        <v>0</v>
      </c>
      <c r="K1103" s="12"/>
      <c r="L1103" s="12"/>
      <c r="M1103" s="12"/>
      <c r="N1103" s="12"/>
      <c r="O1103" s="12"/>
      <c r="P1103" s="12"/>
      <c r="Q1103" s="17"/>
      <c r="R1103" s="18">
        <f>IF(SUMPRODUCT((E1103:Q1103)*1)=0,0,E1103*INDEX(Hours!M:M,MATCH(C1103,Hours!$A:$A,0))+F1103*INDEX(Hours!B:B,MATCH(C1103,Hours!$A:$A,0))+G1103*INDEX(Hours!C:C,MATCH(C1103,Hours!$A:$A,0))+H1103*INDEX(Hours!D:D,MATCH(C1103,Hours!$A:$A,0))+I1103*INDEX(Hours!E:E,MATCH(C1103,Hours!$A:$A,0))+J1103*INDEX(Hours!F:F,MATCH(C1103,Hours!$A:$A,0)))</f>
        <v>0</v>
      </c>
      <c r="S1103" s="19">
        <f t="shared" si="35"/>
        <v>0</v>
      </c>
    </row>
    <row r="1104" spans="1:19" x14ac:dyDescent="0.25">
      <c r="A1104" s="15" t="str">
        <f>'Bldgs &amp; Rooms'!$A$31</f>
        <v>Main Bldg.</v>
      </c>
      <c r="B1104" s="15">
        <f>'Bldgs &amp; Rooms'!$B$31</f>
        <v>0</v>
      </c>
      <c r="C1104" s="14" t="str">
        <f>Hours!$A$31</f>
        <v>Motors &lt; 50 HP</v>
      </c>
      <c r="D1104" s="15">
        <f t="shared" si="34"/>
        <v>0</v>
      </c>
      <c r="E1104" s="16">
        <f>IF('Components Yr 1'!E1104=0,0,'Components Yr 1'!E1104)</f>
        <v>0</v>
      </c>
      <c r="F1104" s="17">
        <f>IF('Components Yr 1'!F1104=0,0,'Components Yr 1'!F1104)</f>
        <v>0</v>
      </c>
      <c r="G1104" s="17">
        <f>IF('Components Yr 1'!G1104=0,0,'Components Yr 1'!G1104)</f>
        <v>0</v>
      </c>
      <c r="H1104" s="17">
        <f>IF('Components Yr 1'!H1104=0,0,'Components Yr 1'!H1104)</f>
        <v>0</v>
      </c>
      <c r="I1104" s="17">
        <f>IF('Components Yr 1'!I1104=0,0,'Components Yr 1'!I1104)</f>
        <v>0</v>
      </c>
      <c r="J1104" s="17">
        <f>IF('Components Yr 1'!J1104=0,0,'Components Yr 1'!J1104)</f>
        <v>0</v>
      </c>
      <c r="K1104" s="12"/>
      <c r="L1104" s="12"/>
      <c r="M1104" s="12"/>
      <c r="N1104" s="12"/>
      <c r="O1104" s="12"/>
      <c r="P1104" s="12"/>
      <c r="Q1104" s="17"/>
      <c r="R1104" s="18">
        <f>IF(SUMPRODUCT((E1104:Q1104)*1)=0,0,E1104*INDEX(Hours!M:M,MATCH(C1104,Hours!$A:$A,0))+F1104*INDEX(Hours!B:B,MATCH(C1104,Hours!$A:$A,0))+G1104*INDEX(Hours!C:C,MATCH(C1104,Hours!$A:$A,0))+H1104*INDEX(Hours!D:D,MATCH(C1104,Hours!$A:$A,0))+I1104*INDEX(Hours!E:E,MATCH(C1104,Hours!$A:$A,0))+J1104*INDEX(Hours!F:F,MATCH(C1104,Hours!$A:$A,0)))</f>
        <v>0</v>
      </c>
      <c r="S1104" s="19">
        <f t="shared" si="35"/>
        <v>0</v>
      </c>
    </row>
    <row r="1105" spans="1:19" x14ac:dyDescent="0.25">
      <c r="A1105" s="15" t="str">
        <f>'Bldgs &amp; Rooms'!$A$31</f>
        <v>Main Bldg.</v>
      </c>
      <c r="B1105" s="15">
        <f>'Bldgs &amp; Rooms'!$B$31</f>
        <v>0</v>
      </c>
      <c r="C1105" s="14" t="str">
        <f>Hours!$A$32</f>
        <v>Motors 51-200 HP</v>
      </c>
      <c r="D1105" s="15">
        <f t="shared" si="34"/>
        <v>0</v>
      </c>
      <c r="E1105" s="16">
        <f>IF('Components Yr 1'!E1105=0,0,'Components Yr 1'!E1105)</f>
        <v>0</v>
      </c>
      <c r="F1105" s="17">
        <f>IF('Components Yr 1'!F1105=0,0,'Components Yr 1'!F1105)</f>
        <v>0</v>
      </c>
      <c r="G1105" s="17">
        <f>IF('Components Yr 1'!G1105=0,0,'Components Yr 1'!G1105)</f>
        <v>0</v>
      </c>
      <c r="H1105" s="17">
        <f>IF('Components Yr 1'!H1105=0,0,'Components Yr 1'!H1105)</f>
        <v>0</v>
      </c>
      <c r="I1105" s="17">
        <f>IF('Components Yr 1'!I1105=0,0,'Components Yr 1'!I1105)</f>
        <v>0</v>
      </c>
      <c r="J1105" s="17">
        <f>IF('Components Yr 1'!J1105=0,0,'Components Yr 1'!J1105)</f>
        <v>0</v>
      </c>
      <c r="K1105" s="12"/>
      <c r="L1105" s="12"/>
      <c r="M1105" s="12"/>
      <c r="N1105" s="12"/>
      <c r="O1105" s="12"/>
      <c r="P1105" s="12"/>
      <c r="Q1105" s="17"/>
      <c r="R1105" s="18">
        <f>IF(SUMPRODUCT((E1105:Q1105)*1)=0,0,E1105*INDEX(Hours!M:M,MATCH(C1105,Hours!$A:$A,0))+F1105*INDEX(Hours!B:B,MATCH(C1105,Hours!$A:$A,0))+G1105*INDEX(Hours!C:C,MATCH(C1105,Hours!$A:$A,0))+H1105*INDEX(Hours!D:D,MATCH(C1105,Hours!$A:$A,0))+I1105*INDEX(Hours!E:E,MATCH(C1105,Hours!$A:$A,0))+J1105*INDEX(Hours!F:F,MATCH(C1105,Hours!$A:$A,0)))</f>
        <v>0</v>
      </c>
      <c r="S1105" s="19">
        <f t="shared" si="35"/>
        <v>0</v>
      </c>
    </row>
    <row r="1106" spans="1:19" x14ac:dyDescent="0.25">
      <c r="A1106" s="15" t="str">
        <f>'Bldgs &amp; Rooms'!$A$31</f>
        <v>Main Bldg.</v>
      </c>
      <c r="B1106" s="15">
        <f>'Bldgs &amp; Rooms'!$B$31</f>
        <v>0</v>
      </c>
      <c r="C1106" s="14" t="str">
        <f>Hours!$A$33</f>
        <v>Motors 201-500 HP</v>
      </c>
      <c r="D1106" s="15">
        <f t="shared" si="34"/>
        <v>0</v>
      </c>
      <c r="E1106" s="16">
        <f>IF('Components Yr 1'!E1106=0,0,'Components Yr 1'!E1106)</f>
        <v>0</v>
      </c>
      <c r="F1106" s="17">
        <f>IF('Components Yr 1'!F1106=0,0,'Components Yr 1'!F1106)</f>
        <v>0</v>
      </c>
      <c r="G1106" s="17">
        <f>IF('Components Yr 1'!G1106=0,0,'Components Yr 1'!G1106)</f>
        <v>0</v>
      </c>
      <c r="H1106" s="17">
        <f>IF('Components Yr 1'!H1106=0,0,'Components Yr 1'!H1106)</f>
        <v>0</v>
      </c>
      <c r="I1106" s="17">
        <f>IF('Components Yr 1'!I1106=0,0,'Components Yr 1'!I1106)</f>
        <v>0</v>
      </c>
      <c r="J1106" s="17">
        <f>IF('Components Yr 1'!J1106=0,0,'Components Yr 1'!J1106)</f>
        <v>0</v>
      </c>
      <c r="K1106" s="12"/>
      <c r="L1106" s="12"/>
      <c r="M1106" s="12"/>
      <c r="N1106" s="12"/>
      <c r="O1106" s="12"/>
      <c r="P1106" s="12"/>
      <c r="Q1106" s="17"/>
      <c r="R1106" s="18">
        <f>IF(SUMPRODUCT((E1106:Q1106)*1)=0,0,E1106*INDEX(Hours!M:M,MATCH(C1106,Hours!$A:$A,0))+F1106*INDEX(Hours!B:B,MATCH(C1106,Hours!$A:$A,0))+G1106*INDEX(Hours!C:C,MATCH(C1106,Hours!$A:$A,0))+H1106*INDEX(Hours!D:D,MATCH(C1106,Hours!$A:$A,0))+I1106*INDEX(Hours!E:E,MATCH(C1106,Hours!$A:$A,0))+J1106*INDEX(Hours!F:F,MATCH(C1106,Hours!$A:$A,0)))</f>
        <v>0</v>
      </c>
      <c r="S1106" s="19">
        <f t="shared" si="35"/>
        <v>0</v>
      </c>
    </row>
    <row r="1107" spans="1:19" x14ac:dyDescent="0.25">
      <c r="A1107" s="15" t="str">
        <f>'Bldgs &amp; Rooms'!$A$31</f>
        <v>Main Bldg.</v>
      </c>
      <c r="B1107" s="15">
        <f>'Bldgs &amp; Rooms'!$B$31</f>
        <v>0</v>
      </c>
      <c r="C1107" s="14" t="str">
        <f>Hours!$A$34</f>
        <v>Compressed Air Equipment</v>
      </c>
      <c r="D1107" s="15">
        <f t="shared" si="34"/>
        <v>0</v>
      </c>
      <c r="E1107" s="16">
        <f>IF('Components Yr 1'!E1107=0,0,'Components Yr 1'!E1107)</f>
        <v>0</v>
      </c>
      <c r="F1107" s="17">
        <f>IF('Components Yr 1'!F1107=0,0,'Components Yr 1'!F1107)</f>
        <v>0</v>
      </c>
      <c r="G1107" s="17">
        <f>IF('Components Yr 1'!G1107=0,0,'Components Yr 1'!G1107)</f>
        <v>0</v>
      </c>
      <c r="H1107" s="17">
        <f>IF('Components Yr 1'!H1107=0,0,'Components Yr 1'!H1107)</f>
        <v>0</v>
      </c>
      <c r="I1107" s="17">
        <f>IF('Components Yr 1'!I1107=0,0,'Components Yr 1'!I1107)</f>
        <v>0</v>
      </c>
      <c r="J1107" s="17">
        <f>IF('Components Yr 1'!J1107=0,0,'Components Yr 1'!J1107)</f>
        <v>0</v>
      </c>
      <c r="K1107" s="12"/>
      <c r="L1107" s="12"/>
      <c r="M1107" s="12"/>
      <c r="N1107" s="12"/>
      <c r="O1107" s="12"/>
      <c r="P1107" s="12"/>
      <c r="Q1107" s="17"/>
      <c r="R1107" s="18">
        <f>IF(SUMPRODUCT((E1107:Q1107)*1)=0,0,E1107*INDEX(Hours!M:M,MATCH(C1107,Hours!$A:$A,0))+F1107*INDEX(Hours!B:B,MATCH(C1107,Hours!$A:$A,0))+G1107*INDEX(Hours!C:C,MATCH(C1107,Hours!$A:$A,0))+H1107*INDEX(Hours!D:D,MATCH(C1107,Hours!$A:$A,0))+I1107*INDEX(Hours!E:E,MATCH(C1107,Hours!$A:$A,0))+J1107*INDEX(Hours!F:F,MATCH(C1107,Hours!$A:$A,0)))</f>
        <v>0</v>
      </c>
      <c r="S1107" s="19">
        <f t="shared" si="35"/>
        <v>0</v>
      </c>
    </row>
    <row r="1108" spans="1:19" x14ac:dyDescent="0.25">
      <c r="A1108" s="15" t="str">
        <f>'Bldgs &amp; Rooms'!$A$31</f>
        <v>Main Bldg.</v>
      </c>
      <c r="B1108" s="15">
        <f>'Bldgs &amp; Rooms'!$B$31</f>
        <v>0</v>
      </c>
      <c r="C1108" s="14" t="str">
        <f>Hours!$A$35</f>
        <v>HVAC Equipment (Large)</v>
      </c>
      <c r="D1108" s="15">
        <f t="shared" si="34"/>
        <v>0</v>
      </c>
      <c r="E1108" s="16">
        <f>IF('Components Yr 1'!E1108=0,0,'Components Yr 1'!E1108)</f>
        <v>0</v>
      </c>
      <c r="F1108" s="17">
        <f>IF('Components Yr 1'!F1108=0,0,'Components Yr 1'!F1108)</f>
        <v>0</v>
      </c>
      <c r="G1108" s="17">
        <f>IF('Components Yr 1'!G1108=0,0,'Components Yr 1'!G1108)</f>
        <v>0</v>
      </c>
      <c r="H1108" s="17">
        <f>IF('Components Yr 1'!H1108=0,0,'Components Yr 1'!H1108)</f>
        <v>0</v>
      </c>
      <c r="I1108" s="17">
        <f>IF('Components Yr 1'!I1108=0,0,'Components Yr 1'!I1108)</f>
        <v>0</v>
      </c>
      <c r="J1108" s="17">
        <f>IF('Components Yr 1'!J1108=0,0,'Components Yr 1'!J1108)</f>
        <v>0</v>
      </c>
      <c r="K1108" s="12"/>
      <c r="L1108" s="12"/>
      <c r="M1108" s="12"/>
      <c r="N1108" s="12"/>
      <c r="O1108" s="12"/>
      <c r="P1108" s="12"/>
      <c r="Q1108" s="17"/>
      <c r="R1108" s="18">
        <f>IF(SUMPRODUCT((E1108:Q1108)*1)=0,0,E1108*INDEX(Hours!M:M,MATCH(C1108,Hours!$A:$A,0))+F1108*INDEX(Hours!B:B,MATCH(C1108,Hours!$A:$A,0))+G1108*INDEX(Hours!C:C,MATCH(C1108,Hours!$A:$A,0))+H1108*INDEX(Hours!D:D,MATCH(C1108,Hours!$A:$A,0))+I1108*INDEX(Hours!E:E,MATCH(C1108,Hours!$A:$A,0))+J1108*INDEX(Hours!F:F,MATCH(C1108,Hours!$A:$A,0)))</f>
        <v>0</v>
      </c>
      <c r="S1108" s="19">
        <f t="shared" si="35"/>
        <v>0</v>
      </c>
    </row>
    <row r="1109" spans="1:19" x14ac:dyDescent="0.25">
      <c r="A1109" s="15" t="str">
        <f>'Bldgs &amp; Rooms'!$A$31</f>
        <v>Main Bldg.</v>
      </c>
      <c r="B1109" s="15">
        <f>'Bldgs &amp; Rooms'!$B$31</f>
        <v>0</v>
      </c>
      <c r="C1109" s="14" t="str">
        <f>Hours!$A$36</f>
        <v>HVAC Equipment (Small)</v>
      </c>
      <c r="D1109" s="15">
        <f t="shared" si="34"/>
        <v>0</v>
      </c>
      <c r="E1109" s="16">
        <f>IF('Components Yr 1'!E1109=0,0,'Components Yr 1'!E1109)</f>
        <v>0</v>
      </c>
      <c r="F1109" s="17">
        <f>IF('Components Yr 1'!F1109=0,0,'Components Yr 1'!F1109)</f>
        <v>0</v>
      </c>
      <c r="G1109" s="17">
        <f>IF('Components Yr 1'!G1109=0,0,'Components Yr 1'!G1109)</f>
        <v>0</v>
      </c>
      <c r="H1109" s="17">
        <f>IF('Components Yr 1'!H1109=0,0,'Components Yr 1'!H1109)</f>
        <v>0</v>
      </c>
      <c r="I1109" s="17">
        <f>IF('Components Yr 1'!I1109=0,0,'Components Yr 1'!I1109)</f>
        <v>0</v>
      </c>
      <c r="J1109" s="17">
        <f>IF('Components Yr 1'!J1109=0,0,'Components Yr 1'!J1109)</f>
        <v>0</v>
      </c>
      <c r="K1109" s="12"/>
      <c r="L1109" s="12"/>
      <c r="M1109" s="12"/>
      <c r="N1109" s="12"/>
      <c r="O1109" s="12"/>
      <c r="P1109" s="12"/>
      <c r="Q1109" s="17"/>
      <c r="R1109" s="18">
        <f>IF(SUMPRODUCT((E1109:Q1109)*1)=0,0,E1109*INDEX(Hours!M:M,MATCH(C1109,Hours!$A:$A,0))+F1109*INDEX(Hours!B:B,MATCH(C1109,Hours!$A:$A,0))+G1109*INDEX(Hours!C:C,MATCH(C1109,Hours!$A:$A,0))+H1109*INDEX(Hours!D:D,MATCH(C1109,Hours!$A:$A,0))+I1109*INDEX(Hours!E:E,MATCH(C1109,Hours!$A:$A,0))+J1109*INDEX(Hours!F:F,MATCH(C1109,Hours!$A:$A,0)))</f>
        <v>0</v>
      </c>
      <c r="S1109" s="19">
        <f t="shared" si="35"/>
        <v>0</v>
      </c>
    </row>
    <row r="1110" spans="1:19" x14ac:dyDescent="0.25">
      <c r="A1110" s="15" t="str">
        <f>'Bldgs &amp; Rooms'!$A$31</f>
        <v>Main Bldg.</v>
      </c>
      <c r="B1110" s="15">
        <f>'Bldgs &amp; Rooms'!$B$31</f>
        <v>0</v>
      </c>
      <c r="C1110" s="14" t="str">
        <f>Hours!$A$37</f>
        <v>Uninterruptible Power Supply (UPS) &lt; 50kVA</v>
      </c>
      <c r="D1110" s="15">
        <f t="shared" si="34"/>
        <v>0</v>
      </c>
      <c r="E1110" s="16">
        <f>IF('Components Yr 1'!E1110=0,0,'Components Yr 1'!E1110)</f>
        <v>0</v>
      </c>
      <c r="F1110" s="17">
        <f>IF('Components Yr 1'!F1110=0,0,'Components Yr 1'!F1110)</f>
        <v>0</v>
      </c>
      <c r="G1110" s="17">
        <f>IF('Components Yr 1'!G1110=0,0,'Components Yr 1'!G1110)</f>
        <v>0</v>
      </c>
      <c r="H1110" s="17">
        <f>IF('Components Yr 1'!H1110=0,0,'Components Yr 1'!H1110)</f>
        <v>0</v>
      </c>
      <c r="I1110" s="17">
        <f>IF('Components Yr 1'!I1110=0,0,'Components Yr 1'!I1110)</f>
        <v>0</v>
      </c>
      <c r="J1110" s="17">
        <f>IF('Components Yr 1'!J1110=0,0,'Components Yr 1'!J1110)</f>
        <v>0</v>
      </c>
      <c r="K1110" s="12"/>
      <c r="L1110" s="12"/>
      <c r="M1110" s="12"/>
      <c r="N1110" s="12"/>
      <c r="O1110" s="12"/>
      <c r="P1110" s="12"/>
      <c r="Q1110" s="17"/>
      <c r="R1110" s="18">
        <f>IF(SUMPRODUCT((E1110:Q1110)*1)=0,0,E1110*INDEX(Hours!M:M,MATCH(C1110,Hours!$A:$A,0))+F1110*INDEX(Hours!B:B,MATCH(C1110,Hours!$A:$A,0))+G1110*INDEX(Hours!C:C,MATCH(C1110,Hours!$A:$A,0))+H1110*INDEX(Hours!D:D,MATCH(C1110,Hours!$A:$A,0))+I1110*INDEX(Hours!E:E,MATCH(C1110,Hours!$A:$A,0))+J1110*INDEX(Hours!F:F,MATCH(C1110,Hours!$A:$A,0)))</f>
        <v>0</v>
      </c>
      <c r="S1110" s="19">
        <f t="shared" si="35"/>
        <v>0</v>
      </c>
    </row>
    <row r="1111" spans="1:19" x14ac:dyDescent="0.25">
      <c r="A1111" s="15" t="str">
        <f>'Bldgs &amp; Rooms'!$A$31</f>
        <v>Main Bldg.</v>
      </c>
      <c r="B1111" s="15">
        <f>'Bldgs &amp; Rooms'!$B$31</f>
        <v>0</v>
      </c>
      <c r="C1111" s="14" t="str">
        <f>Hours!$A$38</f>
        <v>Uninterruptible Power Supply (UPS) &gt; 50kVA</v>
      </c>
      <c r="D1111" s="15">
        <f t="shared" si="34"/>
        <v>0</v>
      </c>
      <c r="E1111" s="16">
        <f>IF('Components Yr 1'!E1111=0,0,'Components Yr 1'!E1111)</f>
        <v>0</v>
      </c>
      <c r="F1111" s="17">
        <f>IF('Components Yr 1'!F1111=0,0,'Components Yr 1'!F1111)</f>
        <v>0</v>
      </c>
      <c r="G1111" s="17">
        <f>IF('Components Yr 1'!G1111=0,0,'Components Yr 1'!G1111)</f>
        <v>0</v>
      </c>
      <c r="H1111" s="17">
        <f>IF('Components Yr 1'!H1111=0,0,'Components Yr 1'!H1111)</f>
        <v>0</v>
      </c>
      <c r="I1111" s="17">
        <f>IF('Components Yr 1'!I1111=0,0,'Components Yr 1'!I1111)</f>
        <v>0</v>
      </c>
      <c r="J1111" s="17">
        <f>IF('Components Yr 1'!J1111=0,0,'Components Yr 1'!J1111)</f>
        <v>0</v>
      </c>
      <c r="K1111" s="12"/>
      <c r="L1111" s="12"/>
      <c r="M1111" s="12"/>
      <c r="N1111" s="12"/>
      <c r="O1111" s="12"/>
      <c r="P1111" s="12"/>
      <c r="Q1111" s="17"/>
      <c r="R1111" s="18">
        <f>IF(SUMPRODUCT((E1111:Q1111)*1)=0,0,E1111*INDEX(Hours!M:M,MATCH(C1111,Hours!$A:$A,0))+F1111*INDEX(Hours!B:B,MATCH(C1111,Hours!$A:$A,0))+G1111*INDEX(Hours!C:C,MATCH(C1111,Hours!$A:$A,0))+H1111*INDEX(Hours!D:D,MATCH(C1111,Hours!$A:$A,0))+I1111*INDEX(Hours!E:E,MATCH(C1111,Hours!$A:$A,0))+J1111*INDEX(Hours!F:F,MATCH(C1111,Hours!$A:$A,0)))</f>
        <v>0</v>
      </c>
      <c r="S1111" s="19">
        <f t="shared" si="35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7"/>
  <sheetViews>
    <sheetView zoomScaleNormal="100" workbookViewId="0">
      <selection activeCell="B23" sqref="B23"/>
    </sheetView>
  </sheetViews>
  <sheetFormatPr defaultColWidth="8.7109375" defaultRowHeight="15" x14ac:dyDescent="0.25"/>
  <cols>
    <col min="1" max="1" width="40" customWidth="1"/>
    <col min="2" max="2" width="18" customWidth="1"/>
    <col min="3" max="3" width="45" customWidth="1"/>
  </cols>
  <sheetData>
    <row r="1" spans="1:7" ht="24" customHeight="1" x14ac:dyDescent="0.25">
      <c r="A1" s="4" t="s">
        <v>59</v>
      </c>
      <c r="B1" s="4"/>
      <c r="C1" s="4"/>
    </row>
    <row r="2" spans="1:7" x14ac:dyDescent="0.25">
      <c r="E2" t="s">
        <v>60</v>
      </c>
      <c r="F2" t="s">
        <v>61</v>
      </c>
      <c r="G2" t="s">
        <v>62</v>
      </c>
    </row>
    <row r="3" spans="1:7" ht="19.5" customHeight="1" x14ac:dyDescent="0.25">
      <c r="A3" s="3" t="s">
        <v>63</v>
      </c>
      <c r="B3" s="3"/>
      <c r="C3" s="3"/>
      <c r="E3" s="20" t="s">
        <v>15</v>
      </c>
      <c r="F3" s="21">
        <v>2.5</v>
      </c>
      <c r="G3" s="21">
        <v>4</v>
      </c>
    </row>
    <row r="4" spans="1:7" x14ac:dyDescent="0.25">
      <c r="A4" s="22" t="s">
        <v>64</v>
      </c>
      <c r="B4" s="22" t="s">
        <v>65</v>
      </c>
      <c r="C4" s="22" t="s">
        <v>66</v>
      </c>
      <c r="E4" s="20" t="s">
        <v>16</v>
      </c>
      <c r="F4" s="21">
        <v>2</v>
      </c>
      <c r="G4" s="21">
        <v>8</v>
      </c>
    </row>
    <row r="5" spans="1:7" x14ac:dyDescent="0.25">
      <c r="A5" s="23" t="s">
        <v>67</v>
      </c>
      <c r="B5" s="24">
        <f>(SUMPRODUCT(('Components Yr 1'!R2:R38&gt;0)*1)&gt;0)*1+(SUMPRODUCT(('Components Yr 1'!R39:R75&gt;0)*1)&gt;0)*1+(SUMPRODUCT(('Components Yr 1'!R76:R112&gt;0)*1)&gt;0)*1+(SUMPRODUCT(('Components Yr 1'!R113:R149&gt;0)*1)&gt;0)*1+(SUMPRODUCT(('Components Yr 1'!R150:R186&gt;0)*1)&gt;0)*1+(SUMPRODUCT(('Components Yr 1'!R187:R223&gt;0)*1)&gt;0)*1+(SUMPRODUCT(('Components Yr 1'!R224:R260&gt;0)*1)&gt;0)*1+(SUMPRODUCT(('Components Yr 1'!R261:R297&gt;0)*1)&gt;0)*1+(SUMPRODUCT(('Components Yr 1'!R298:R334&gt;0)*1)&gt;0)*1+(SUMPRODUCT(('Components Yr 1'!R335:R371&gt;0)*1)&gt;0)*1+(SUMPRODUCT(('Components Yr 1'!R372:R408&gt;0)*1)&gt;0)*1+(SUMPRODUCT(('Components Yr 1'!R409:R445&gt;0)*1)&gt;0)*1+(SUMPRODUCT(('Components Yr 1'!R446:R482&gt;0)*1)&gt;0)*1+(SUMPRODUCT(('Components Yr 1'!R483:R519&gt;0)*1)&gt;0)*1+(SUMPRODUCT(('Components Yr 1'!R520:R556&gt;0)*1)&gt;0)*1+(SUMPRODUCT(('Components Yr 1'!R557:R593&gt;0)*1)&gt;0)*1+(SUMPRODUCT(('Components Yr 1'!R594:R630&gt;0)*1)&gt;0)*1+(SUMPRODUCT(('Components Yr 1'!R631:R667&gt;0)*1)&gt;0)*1+(SUMPRODUCT(('Components Yr 1'!R668:R704&gt;0)*1)&gt;0)*1+(SUMPRODUCT(('Components Yr 1'!R705:R741&gt;0)*1)&gt;0)*1+(SUMPRODUCT(('Components Yr 1'!R742:R778&gt;0)*1)&gt;0)*1+(SUMPRODUCT(('Components Yr 1'!R779:R815&gt;0)*1)&gt;0)*1+(SUMPRODUCT(('Components Yr 1'!R816:R852&gt;0)*1)&gt;0)*1+(SUMPRODUCT(('Components Yr 1'!R853:R889&gt;0)*1)&gt;0)*1+(SUMPRODUCT(('Components Yr 1'!R890:R926&gt;0)*1)&gt;0)*1+(SUMPRODUCT(('Components Yr 1'!R927:R963&gt;0)*1)&gt;0)*1+(SUMPRODUCT(('Components Yr 1'!R964:R1000&gt;0)*1)&gt;0)*1+(SUMPRODUCT(('Components Yr 1'!R1001:R1037&gt;0)*1)&gt;0)*1+(SUMPRODUCT(('Components Yr 1'!R1038:R1074&gt;0)*1)&gt;0)*1+(SUMPRODUCT(('Components Yr 1'!R1075:R1111&gt;0)*1)&gt;0)*1</f>
        <v>0</v>
      </c>
      <c r="C5" s="25" t="s">
        <v>68</v>
      </c>
      <c r="E5" s="20" t="s">
        <v>17</v>
      </c>
      <c r="F5" s="21">
        <v>2</v>
      </c>
      <c r="G5" s="21">
        <v>8</v>
      </c>
    </row>
    <row r="6" spans="1:7" x14ac:dyDescent="0.25">
      <c r="A6" s="23" t="s">
        <v>69</v>
      </c>
      <c r="B6" s="24">
        <f>SUMIF('Components Yr 1'!D2:D1111,"&gt;0",'Components Yr 1'!D2:D1111)</f>
        <v>0</v>
      </c>
      <c r="C6" s="25" t="s">
        <v>70</v>
      </c>
      <c r="E6" s="20" t="s">
        <v>18</v>
      </c>
      <c r="F6" s="21">
        <v>2.5</v>
      </c>
      <c r="G6" s="21">
        <v>4</v>
      </c>
    </row>
    <row r="7" spans="1:7" x14ac:dyDescent="0.25">
      <c r="A7" s="23" t="s">
        <v>71</v>
      </c>
      <c r="B7" s="24">
        <f>SUM('Components Yr 1'!G2:G1111)</f>
        <v>0</v>
      </c>
      <c r="C7" s="25" t="s">
        <v>72</v>
      </c>
      <c r="E7" s="20" t="s">
        <v>19</v>
      </c>
      <c r="F7" s="21">
        <v>1.5</v>
      </c>
      <c r="G7" s="21">
        <v>20</v>
      </c>
    </row>
    <row r="8" spans="1:7" x14ac:dyDescent="0.25">
      <c r="A8" s="23" t="s">
        <v>73</v>
      </c>
      <c r="B8" s="24">
        <f>SUM('Components Yr 1'!J2:J1111)</f>
        <v>0</v>
      </c>
      <c r="C8" s="25" t="s">
        <v>74</v>
      </c>
      <c r="E8" s="20" t="s">
        <v>20</v>
      </c>
      <c r="F8" s="21">
        <v>1.5</v>
      </c>
      <c r="G8" s="21">
        <v>20</v>
      </c>
    </row>
    <row r="9" spans="1:7" x14ac:dyDescent="0.25">
      <c r="A9" s="23" t="s">
        <v>75</v>
      </c>
      <c r="B9" s="24">
        <f>0.5</f>
        <v>0.5</v>
      </c>
      <c r="C9" s="25" t="s">
        <v>76</v>
      </c>
      <c r="E9" s="20" t="s">
        <v>21</v>
      </c>
      <c r="F9" s="21">
        <v>2</v>
      </c>
      <c r="G9" s="21">
        <v>8</v>
      </c>
    </row>
    <row r="10" spans="1:7" x14ac:dyDescent="0.25">
      <c r="A10" s="23" t="s">
        <v>77</v>
      </c>
      <c r="B10" s="24">
        <f>B5*0.0833</f>
        <v>0</v>
      </c>
      <c r="C10" s="25" t="s">
        <v>78</v>
      </c>
      <c r="E10" s="20" t="s">
        <v>22</v>
      </c>
      <c r="F10" s="21">
        <v>2</v>
      </c>
      <c r="G10" s="21">
        <v>8</v>
      </c>
    </row>
    <row r="11" spans="1:7" x14ac:dyDescent="0.25">
      <c r="B11" s="26">
        <f>SUMIF('Components Yr 1'!C2:C1111,E3,'Components Yr 1'!D2:D1111)*0.041667+SUMIF('Components Yr 1'!C2:C1111,E4,'Components Yr 1'!D2:D1111)*0.033333+SUMIF('Components Yr 1'!C2:C1111,E5,'Components Yr 1'!D2:D1111)*0.033333+SUMIF('Components Yr 1'!C2:C1111,E6,'Components Yr 1'!D2:D1111)*0.041667+SUMIF('Components Yr 1'!C2:C1111,E7,'Components Yr 1'!D2:D1111)*0.025+SUMIF('Components Yr 1'!C2:C1111,E8,'Components Yr 1'!D2:D1111)*0.025+SUMIF('Components Yr 1'!C2:C1111,E9,'Components Yr 1'!D2:D1111)*0.033333+SUMIF('Components Yr 1'!C2:C1111,E10,'Components Yr 1'!D2:D1111)*0.033333+SUMIF('Components Yr 1'!C2:C1111,E11,'Components Yr 1'!D2:D1111)*0.033333+SUMIF('Components Yr 1'!C2:C1111,E12,'Components Yr 1'!D2:D1111)*0.025+SUMIF('Components Yr 1'!C2:C1111,E13,'Components Yr 1'!D2:D1111)*0.025+SUMIF('Components Yr 1'!C2:C1111,E14,'Components Yr 1'!D2:D1111)*0.025+SUMIF('Components Yr 1'!C2:C1111,E15,'Components Yr 1'!D2:D1111)*0.033333+SUMIF('Components Yr 1'!C2:C1111,E16,'Components Yr 1'!D2:D1111)*0.033333+SUMIF('Components Yr 1'!C2:C1111,E17,'Components Yr 1'!D2:D1111)*0.025+SUMIF('Components Yr 1'!C2:C1111,E18,'Components Yr 1'!D2:D1111)*0.025+SUMIF('Components Yr 1'!C2:C1111,E19,'Components Yr 1'!D2:D1111)*0.025+SUMIF('Components Yr 1'!C2:C1111,E20,'Components Yr 1'!D2:D1111)*0.041667+SUMIF('Components Yr 1'!C2:C1111,E21,'Components Yr 1'!D2:D1111)*0.041667+SUMIF('Components Yr 1'!C2:C1111,E22,'Components Yr 1'!D2:D1111)*0.041667</f>
        <v>0</v>
      </c>
      <c r="E11" s="20" t="s">
        <v>23</v>
      </c>
      <c r="F11" s="21">
        <v>2</v>
      </c>
      <c r="G11" s="21">
        <v>8</v>
      </c>
    </row>
    <row r="12" spans="1:7" x14ac:dyDescent="0.25">
      <c r="B12" s="26">
        <f>SUMIF('Components Yr 1'!C2:C1111,E23,'Components Yr 1'!D2:D1111)*0.033333+SUMIF('Components Yr 1'!C2:C1111,E24,'Components Yr 1'!D2:D1111)*0.025+SUMIF('Components Yr 1'!C2:C1111,E25,'Components Yr 1'!D2:D1111)*0.041667+SUMIF('Components Yr 1'!C2:C1111,E26,'Components Yr 1'!D2:D1111)*0.025+SUMIF('Components Yr 1'!C2:C1111,E27,'Components Yr 1'!D2:D1111)*0.025+SUMIF('Components Yr 1'!C2:C1111,E28,'Components Yr 1'!D2:D1111)*0.041667+SUMIF('Components Yr 1'!C2:C1111,E29,'Components Yr 1'!D2:D1111)*0.041667+SUMIF('Components Yr 1'!C2:C1111,E30,'Components Yr 1'!D2:D1111)*0.033333+SUMIF('Components Yr 1'!C2:C1111,E31,'Components Yr 1'!D2:D1111)*0.033333+SUMIF('Components Yr 1'!C2:C1111,E32,'Components Yr 1'!D2:D1111)*0.025+SUMIF('Components Yr 1'!C2:C1111,E33,'Components Yr 1'!D2:D1111)*0.033333+SUMIF('Components Yr 1'!C2:C1111,E34,'Components Yr 1'!D2:D1111)*0.033333+SUMIF('Components Yr 1'!C2:C1111,E35,'Components Yr 1'!D2:D1111)*0.025+SUMIF('Components Yr 1'!C2:C1111,E36,'Components Yr 1'!D2:D1111)*0.033333+SUMIF('Components Yr 1'!C2:C1111,E37,'Components Yr 1'!D2:D1111)*0.025+SUMIF('Components Yr 1'!C2:C1111,E38,'Components Yr 1'!D2:D1111)*0.041667+SUMIF('Components Yr 1'!C2:C1111,E39,'Components Yr 1'!D2:D1111)*0.041667</f>
        <v>0</v>
      </c>
      <c r="E12" s="20" t="s">
        <v>24</v>
      </c>
      <c r="F12" s="21">
        <v>1.5</v>
      </c>
      <c r="G12" s="21">
        <v>20</v>
      </c>
    </row>
    <row r="13" spans="1:7" x14ac:dyDescent="0.25">
      <c r="A13" s="23" t="s">
        <v>79</v>
      </c>
      <c r="B13" s="24">
        <f>B11+B12</f>
        <v>0</v>
      </c>
      <c r="C13" s="25" t="s">
        <v>80</v>
      </c>
      <c r="E13" s="20" t="s">
        <v>25</v>
      </c>
      <c r="F13" s="21">
        <v>1.5</v>
      </c>
      <c r="G13" s="21">
        <v>20</v>
      </c>
    </row>
    <row r="14" spans="1:7" x14ac:dyDescent="0.25">
      <c r="B14" s="26">
        <f>ROUNDUP(SUMIF('Components Yr 1'!C2:C1111,E3,'Components Yr 1'!D2:D1111)/4,0)*0.25+ROUNDUP(SUMIF('Components Yr 1'!C2:C1111,E4,'Components Yr 1'!D2:D1111)/8,0)*0.25+ROUNDUP(SUMIF('Components Yr 1'!C2:C1111,E5,'Components Yr 1'!D2:D1111)/8,0)*0.25+ROUNDUP(SUMIF('Components Yr 1'!C2:C1111,E6,'Components Yr 1'!D2:D1111)/4,0)*0.25+ROUNDUP(SUMIF('Components Yr 1'!C2:C1111,E7,'Components Yr 1'!D2:D1111)/20,0)*0.25+ROUNDUP(SUMIF('Components Yr 1'!C2:C1111,E8,'Components Yr 1'!D2:D1111)/20,0)*0.25+ROUNDUP(SUMIF('Components Yr 1'!C2:C1111,E9,'Components Yr 1'!D2:D1111)/8,0)*0.25+ROUNDUP(SUMIF('Components Yr 1'!C2:C1111,E10,'Components Yr 1'!D2:D1111)/8,0)*0.25+ROUNDUP(SUMIF('Components Yr 1'!C2:C1111,E11,'Components Yr 1'!D2:D1111)/8,0)*0.25+ROUNDUP(SUMIF('Components Yr 1'!C2:C1111,E12,'Components Yr 1'!D2:D1111)/20,0)*0.25</f>
        <v>0</v>
      </c>
      <c r="E14" s="20" t="s">
        <v>26</v>
      </c>
      <c r="F14" s="21">
        <v>1.5</v>
      </c>
      <c r="G14" s="21">
        <v>20</v>
      </c>
    </row>
    <row r="15" spans="1:7" x14ac:dyDescent="0.25">
      <c r="B15" s="26">
        <f>ROUNDUP(SUMIF('Components Yr 1'!C2:C1111,E13,'Components Yr 1'!D2:D1111)/20,0)*0.25+ROUNDUP(SUMIF('Components Yr 1'!C2:C1111,E14,'Components Yr 1'!D2:D1111)/20,0)*0.25+ROUNDUP(SUMIF('Components Yr 1'!C2:C1111,E15,'Components Yr 1'!D2:D1111)/8,0)*0.25+ROUNDUP(SUMIF('Components Yr 1'!C2:C1111,E16,'Components Yr 1'!D2:D1111)/8,0)*0.25+ROUNDUP(SUMIF('Components Yr 1'!C2:C1111,E17,'Components Yr 1'!D2:D1111)/20,0)*0.25+ROUNDUP(SUMIF('Components Yr 1'!C2:C1111,E18,'Components Yr 1'!D2:D1111)/20,0)*0.25+ROUNDUP(SUMIF('Components Yr 1'!C2:C1111,E19,'Components Yr 1'!D2:D1111)/20,0)*0.25+ROUNDUP(SUMIF('Components Yr 1'!C2:C1111,E20,'Components Yr 1'!D2:D1111)/4,0)*0.25+ROUNDUP(SUMIF('Components Yr 1'!C2:C1111,E21,'Components Yr 1'!D2:D1111)/4,0)*0.25+ROUNDUP(SUMIF('Components Yr 1'!C2:C1111,E22,'Components Yr 1'!D2:D1111)/8,0)*0.25</f>
        <v>0</v>
      </c>
      <c r="E15" s="20" t="s">
        <v>27</v>
      </c>
      <c r="F15" s="21">
        <v>2</v>
      </c>
      <c r="G15" s="21">
        <v>8</v>
      </c>
    </row>
    <row r="16" spans="1:7" x14ac:dyDescent="0.25">
      <c r="B16" s="26">
        <f>ROUNDUP(SUMIF('Components Yr 1'!C2:C1111,E23,'Components Yr 1'!D2:D1111)/8,0)*0.25+ROUNDUP(SUMIF('Components Yr 1'!C2:C1111,E24,'Components Yr 1'!D2:D1111)/50,0)*0.25+ROUNDUP(SUMIF('Components Yr 1'!C2:C1111,E25,'Components Yr 1'!D2:D1111)/4,0)*0.25+ROUNDUP(SUMIF('Components Yr 1'!C2:C1111,E26,'Components Yr 1'!D2:D1111)/50,0)*0.25+ROUNDUP(SUMIF('Components Yr 1'!C2:C1111,E27,'Components Yr 1'!D2:D1111)/50,0)*0.25+ROUNDUP(SUMIF('Components Yr 1'!C2:C1111,E28,'Components Yr 1'!D2:D1111)/4,0)*0.25+ROUNDUP(SUMIF('Components Yr 1'!C2:C1111,E29,'Components Yr 1'!D2:D1111)/4,0)*0.25+ROUNDUP(SUMIF('Components Yr 1'!C2:C1111,E30,'Components Yr 1'!D2:D1111)/8,0)*0.25+ROUNDUP(SUMIF('Components Yr 1'!C2:C1111,E31,'Components Yr 1'!D2:D1111)/8,0)*0.25+ROUNDUP(SUMIF('Components Yr 1'!C2:C1111,E32,'Components Yr 1'!D2:D1111)/20,0)*0.25</f>
        <v>0</v>
      </c>
      <c r="E16" s="20" t="s">
        <v>28</v>
      </c>
      <c r="F16" s="21">
        <v>2</v>
      </c>
      <c r="G16" s="21">
        <v>8</v>
      </c>
    </row>
    <row r="17" spans="1:7" x14ac:dyDescent="0.25">
      <c r="B17" s="26">
        <f>ROUNDUP(SUMIF('Components Yr 1'!C2:C1111,E33,'Components Yr 1'!D2:D1111)/20,0)*0.25+ROUNDUP(SUMIF('Components Yr 1'!C2:C1111,E34,'Components Yr 1'!D2:D1111)/8,0)*0.25+ROUNDUP(SUMIF('Components Yr 1'!C2:C1111,E35,'Components Yr 1'!D2:D1111)/20,0)*0.25+ROUNDUP(SUMIF('Components Yr 1'!C2:C1111,E36,'Components Yr 1'!D2:D1111)/20,0)*0.25+ROUNDUP(SUMIF('Components Yr 1'!C2:C1111,E37,'Components Yr 1'!D2:D1111)/20,0)*0.25+ROUNDUP(SUMIF('Components Yr 1'!C2:C1111,E38,'Components Yr 1'!D2:D1111)/4,0)*0.25+ROUNDUP(SUMIF('Components Yr 1'!C2:C1111,E39,'Components Yr 1'!D2:D1111)/4,0)*0.25</f>
        <v>0</v>
      </c>
      <c r="E17" s="20" t="s">
        <v>29</v>
      </c>
      <c r="F17" s="21">
        <v>1.5</v>
      </c>
      <c r="G17" s="21">
        <v>20</v>
      </c>
    </row>
    <row r="18" spans="1:7" x14ac:dyDescent="0.25">
      <c r="A18" s="23" t="s">
        <v>81</v>
      </c>
      <c r="B18" s="24">
        <f>B14+B15+B16+B17</f>
        <v>0</v>
      </c>
      <c r="C18" s="25" t="s">
        <v>82</v>
      </c>
      <c r="E18" s="20" t="s">
        <v>30</v>
      </c>
      <c r="F18" s="21">
        <v>1.5</v>
      </c>
      <c r="G18" s="21">
        <v>20</v>
      </c>
    </row>
    <row r="19" spans="1:7" x14ac:dyDescent="0.25">
      <c r="A19" s="23" t="s">
        <v>83</v>
      </c>
      <c r="B19" s="24">
        <f>B7*0.333</f>
        <v>0</v>
      </c>
      <c r="C19" s="25" t="s">
        <v>84</v>
      </c>
      <c r="E19" s="20" t="s">
        <v>31</v>
      </c>
      <c r="F19" s="21">
        <v>1.5</v>
      </c>
      <c r="G19" s="21">
        <v>20</v>
      </c>
    </row>
    <row r="20" spans="1:7" x14ac:dyDescent="0.25">
      <c r="A20" s="23" t="s">
        <v>85</v>
      </c>
      <c r="B20" s="24">
        <f>ROUNDUP(B6/50,0)*0.333</f>
        <v>0</v>
      </c>
      <c r="C20" s="25" t="s">
        <v>86</v>
      </c>
      <c r="E20" s="20" t="s">
        <v>32</v>
      </c>
      <c r="F20" s="21">
        <v>2.5</v>
      </c>
      <c r="G20" s="21">
        <v>4</v>
      </c>
    </row>
    <row r="21" spans="1:7" x14ac:dyDescent="0.25">
      <c r="A21" s="23" t="s">
        <v>87</v>
      </c>
      <c r="B21" s="24">
        <f>B8*0.0333</f>
        <v>0</v>
      </c>
      <c r="C21" s="25" t="s">
        <v>88</v>
      </c>
      <c r="E21" s="20" t="s">
        <v>33</v>
      </c>
      <c r="F21" s="21">
        <v>2.5</v>
      </c>
      <c r="G21" s="21">
        <v>4</v>
      </c>
    </row>
    <row r="22" spans="1:7" x14ac:dyDescent="0.25">
      <c r="A22" s="23" t="s">
        <v>89</v>
      </c>
      <c r="B22" s="24">
        <f>B9+B10+B13+B18+B19+B20+B21</f>
        <v>0.5</v>
      </c>
      <c r="C22" s="25" t="s">
        <v>90</v>
      </c>
      <c r="E22" s="20" t="s">
        <v>34</v>
      </c>
      <c r="F22" s="21">
        <v>2.5</v>
      </c>
      <c r="G22" s="21">
        <v>8</v>
      </c>
    </row>
    <row r="23" spans="1:7" ht="18" customHeight="1" x14ac:dyDescent="0.25">
      <c r="A23" s="27" t="s">
        <v>91</v>
      </c>
      <c r="B23" s="28">
        <f>CEILING(B22,4)</f>
        <v>4</v>
      </c>
      <c r="C23" s="25" t="s">
        <v>92</v>
      </c>
      <c r="E23" s="20" t="s">
        <v>35</v>
      </c>
      <c r="F23" s="21">
        <v>2</v>
      </c>
      <c r="G23" s="21">
        <v>8</v>
      </c>
    </row>
    <row r="24" spans="1:7" x14ac:dyDescent="0.25">
      <c r="E24" s="20" t="s">
        <v>36</v>
      </c>
      <c r="F24" s="21">
        <v>1.5</v>
      </c>
      <c r="G24" s="21">
        <v>50</v>
      </c>
    </row>
    <row r="25" spans="1:7" ht="19.5" customHeight="1" x14ac:dyDescent="0.25">
      <c r="A25" s="3" t="s">
        <v>93</v>
      </c>
      <c r="B25" s="3"/>
      <c r="C25" s="3"/>
      <c r="E25" s="20" t="s">
        <v>37</v>
      </c>
      <c r="F25" s="21">
        <v>2.5</v>
      </c>
      <c r="G25" s="21">
        <v>4</v>
      </c>
    </row>
    <row r="26" spans="1:7" x14ac:dyDescent="0.25">
      <c r="A26" s="22" t="s">
        <v>64</v>
      </c>
      <c r="B26" s="22" t="s">
        <v>65</v>
      </c>
      <c r="C26" s="22" t="s">
        <v>66</v>
      </c>
      <c r="E26" s="20" t="s">
        <v>38</v>
      </c>
      <c r="F26" s="21">
        <v>1.5</v>
      </c>
      <c r="G26" s="21">
        <v>50</v>
      </c>
    </row>
    <row r="27" spans="1:7" x14ac:dyDescent="0.25">
      <c r="A27" s="23" t="s">
        <v>67</v>
      </c>
      <c r="B27" s="24">
        <f>(SUMPRODUCT(('Components Yr 2'!R2:R38&gt;0)*1)&gt;0)*1+(SUMPRODUCT(('Components Yr 2'!R39:R75&gt;0)*1)&gt;0)*1+(SUMPRODUCT(('Components Yr 2'!R76:R112&gt;0)*1)&gt;0)*1+(SUMPRODUCT(('Components Yr 2'!R113:R149&gt;0)*1)&gt;0)*1+(SUMPRODUCT(('Components Yr 2'!R150:R186&gt;0)*1)&gt;0)*1+(SUMPRODUCT(('Components Yr 2'!R187:R223&gt;0)*1)&gt;0)*1+(SUMPRODUCT(('Components Yr 2'!R224:R260&gt;0)*1)&gt;0)*1+(SUMPRODUCT(('Components Yr 2'!R261:R297&gt;0)*1)&gt;0)*1+(SUMPRODUCT(('Components Yr 2'!R298:R334&gt;0)*1)&gt;0)*1+(SUMPRODUCT(('Components Yr 2'!R335:R371&gt;0)*1)&gt;0)*1+(SUMPRODUCT(('Components Yr 2'!R372:R408&gt;0)*1)&gt;0)*1+(SUMPRODUCT(('Components Yr 2'!R409:R445&gt;0)*1)&gt;0)*1+(SUMPRODUCT(('Components Yr 2'!R446:R482&gt;0)*1)&gt;0)*1+(SUMPRODUCT(('Components Yr 2'!R483:R519&gt;0)*1)&gt;0)*1+(SUMPRODUCT(('Components Yr 2'!R520:R556&gt;0)*1)&gt;0)*1+(SUMPRODUCT(('Components Yr 2'!R557:R593&gt;0)*1)&gt;0)*1+(SUMPRODUCT(('Components Yr 2'!R594:R630&gt;0)*1)&gt;0)*1+(SUMPRODUCT(('Components Yr 2'!R631:R667&gt;0)*1)&gt;0)*1+(SUMPRODUCT(('Components Yr 2'!R668:R704&gt;0)*1)&gt;0)*1+(SUMPRODUCT(('Components Yr 2'!R705:R741&gt;0)*1)&gt;0)*1+(SUMPRODUCT(('Components Yr 2'!R742:R778&gt;0)*1)&gt;0)*1+(SUMPRODUCT(('Components Yr 2'!R779:R815&gt;0)*1)&gt;0)*1+(SUMPRODUCT(('Components Yr 2'!R816:R852&gt;0)*1)&gt;0)*1+(SUMPRODUCT(('Components Yr 2'!R853:R889&gt;0)*1)&gt;0)*1+(SUMPRODUCT(('Components Yr 2'!R890:R926&gt;0)*1)&gt;0)*1+(SUMPRODUCT(('Components Yr 2'!R927:R963&gt;0)*1)&gt;0)*1+(SUMPRODUCT(('Components Yr 2'!R964:R1000&gt;0)*1)&gt;0)*1+(SUMPRODUCT(('Components Yr 2'!R1001:R1037&gt;0)*1)&gt;0)*1+(SUMPRODUCT(('Components Yr 2'!R1038:R1074&gt;0)*1)&gt;0)*1+(SUMPRODUCT(('Components Yr 2'!R1075:R1111&gt;0)*1)&gt;0)*1</f>
        <v>0</v>
      </c>
      <c r="C27" s="25" t="s">
        <v>68</v>
      </c>
      <c r="E27" s="20" t="s">
        <v>39</v>
      </c>
      <c r="F27" s="21">
        <v>1.5</v>
      </c>
      <c r="G27" s="21">
        <v>50</v>
      </c>
    </row>
    <row r="28" spans="1:7" x14ac:dyDescent="0.25">
      <c r="A28" s="23" t="s">
        <v>69</v>
      </c>
      <c r="B28" s="24">
        <f>SUMIF('Components Yr 2'!D2:D1111,"&gt;0",'Components Yr 2'!D2:D1111)</f>
        <v>0</v>
      </c>
      <c r="C28" s="25" t="s">
        <v>70</v>
      </c>
      <c r="E28" s="20" t="s">
        <v>40</v>
      </c>
      <c r="F28" s="21">
        <v>2.5</v>
      </c>
      <c r="G28" s="21">
        <v>4</v>
      </c>
    </row>
    <row r="29" spans="1:7" x14ac:dyDescent="0.25">
      <c r="A29" s="23" t="s">
        <v>71</v>
      </c>
      <c r="B29" s="24">
        <f>SUM('Components Yr 2'!G2:G1111)</f>
        <v>0</v>
      </c>
      <c r="C29" s="25" t="s">
        <v>72</v>
      </c>
      <c r="E29" s="20" t="s">
        <v>41</v>
      </c>
      <c r="F29" s="21">
        <v>2.5</v>
      </c>
      <c r="G29" s="21">
        <v>4</v>
      </c>
    </row>
    <row r="30" spans="1:7" x14ac:dyDescent="0.25">
      <c r="A30" s="23" t="s">
        <v>73</v>
      </c>
      <c r="B30" s="24">
        <f>SUM('Components Yr 2'!J2:J1111)</f>
        <v>0</v>
      </c>
      <c r="C30" s="25" t="s">
        <v>74</v>
      </c>
      <c r="E30" s="20" t="s">
        <v>42</v>
      </c>
      <c r="F30" s="21">
        <v>2</v>
      </c>
      <c r="G30" s="21">
        <v>8</v>
      </c>
    </row>
    <row r="31" spans="1:7" x14ac:dyDescent="0.25">
      <c r="A31" s="23" t="s">
        <v>75</v>
      </c>
      <c r="B31" s="24">
        <f>0.5</f>
        <v>0.5</v>
      </c>
      <c r="C31" s="25" t="s">
        <v>76</v>
      </c>
      <c r="E31" s="20" t="s">
        <v>43</v>
      </c>
      <c r="F31" s="21">
        <v>2</v>
      </c>
      <c r="G31" s="21">
        <v>8</v>
      </c>
    </row>
    <row r="32" spans="1:7" x14ac:dyDescent="0.25">
      <c r="A32" s="23" t="s">
        <v>77</v>
      </c>
      <c r="B32" s="24">
        <f>B27*0.0833</f>
        <v>0</v>
      </c>
      <c r="C32" s="25" t="s">
        <v>78</v>
      </c>
      <c r="E32" s="20" t="s">
        <v>44</v>
      </c>
      <c r="F32" s="21">
        <v>1.5</v>
      </c>
      <c r="G32" s="21">
        <v>20</v>
      </c>
    </row>
    <row r="33" spans="1:7" x14ac:dyDescent="0.25">
      <c r="B33" s="26">
        <f>SUMIF('Components Yr 2'!C2:C1111,E3,'Components Yr 2'!D2:D1111)*0.041667+SUMIF('Components Yr 2'!C2:C1111,E4,'Components Yr 2'!D2:D1111)*0.033333+SUMIF('Components Yr 2'!C2:C1111,E5,'Components Yr 2'!D2:D1111)*0.033333+SUMIF('Components Yr 2'!C2:C1111,E6,'Components Yr 2'!D2:D1111)*0.041667+SUMIF('Components Yr 2'!C2:C1111,E7,'Components Yr 2'!D2:D1111)*0.025+SUMIF('Components Yr 2'!C2:C1111,E8,'Components Yr 2'!D2:D1111)*0.025+SUMIF('Components Yr 2'!C2:C1111,E9,'Components Yr 2'!D2:D1111)*0.033333+SUMIF('Components Yr 2'!C2:C1111,E10,'Components Yr 2'!D2:D1111)*0.033333+SUMIF('Components Yr 2'!C2:C1111,E11,'Components Yr 2'!D2:D1111)*0.033333+SUMIF('Components Yr 2'!C2:C1111,E12,'Components Yr 2'!D2:D1111)*0.025+SUMIF('Components Yr 2'!C2:C1111,E13,'Components Yr 2'!D2:D1111)*0.025+SUMIF('Components Yr 2'!C2:C1111,E14,'Components Yr 2'!D2:D1111)*0.025+SUMIF('Components Yr 2'!C2:C1111,E15,'Components Yr 2'!D2:D1111)*0.033333+SUMIF('Components Yr 2'!C2:C1111,E16,'Components Yr 2'!D2:D1111)*0.033333+SUMIF('Components Yr 2'!C2:C1111,E17,'Components Yr 2'!D2:D1111)*0.025+SUMIF('Components Yr 2'!C2:C1111,E18,'Components Yr 2'!D2:D1111)*0.025+SUMIF('Components Yr 2'!C2:C1111,E19,'Components Yr 2'!D2:D1111)*0.025+SUMIF('Components Yr 2'!C2:C1111,E20,'Components Yr 2'!D2:D1111)*0.041667+SUMIF('Components Yr 2'!C2:C1111,E21,'Components Yr 2'!D2:D1111)*0.041667+SUMIF('Components Yr 2'!C2:C1111,E22,'Components Yr 2'!D2:D1111)*0.041667</f>
        <v>0</v>
      </c>
      <c r="E33" s="20" t="s">
        <v>45</v>
      </c>
      <c r="F33" s="21">
        <v>2</v>
      </c>
      <c r="G33" s="21">
        <v>20</v>
      </c>
    </row>
    <row r="34" spans="1:7" x14ac:dyDescent="0.25">
      <c r="B34" s="26">
        <f>SUMIF('Components Yr 2'!C2:C1111,E23,'Components Yr 2'!D2:D1111)*0.033333+SUMIF('Components Yr 2'!C2:C1111,E24,'Components Yr 2'!D2:D1111)*0.025+SUMIF('Components Yr 2'!C2:C1111,E25,'Components Yr 2'!D2:D1111)*0.041667+SUMIF('Components Yr 2'!C2:C1111,E26,'Components Yr 2'!D2:D1111)*0.025+SUMIF('Components Yr 2'!C2:C1111,E27,'Components Yr 2'!D2:D1111)*0.025+SUMIF('Components Yr 2'!C2:C1111,E28,'Components Yr 2'!D2:D1111)*0.041667+SUMIF('Components Yr 2'!C2:C1111,E29,'Components Yr 2'!D2:D1111)*0.041667+SUMIF('Components Yr 2'!C2:C1111,E30,'Components Yr 2'!D2:D1111)*0.033333+SUMIF('Components Yr 2'!C2:C1111,E31,'Components Yr 2'!D2:D1111)*0.033333+SUMIF('Components Yr 2'!C2:C1111,E32,'Components Yr 2'!D2:D1111)*0.025+SUMIF('Components Yr 2'!C2:C1111,E33,'Components Yr 2'!D2:D1111)*0.033333+SUMIF('Components Yr 2'!C2:C1111,E34,'Components Yr 2'!D2:D1111)*0.033333+SUMIF('Components Yr 2'!C2:C1111,E35,'Components Yr 2'!D2:D1111)*0.025+SUMIF('Components Yr 2'!C2:C1111,E36,'Components Yr 2'!D2:D1111)*0.033333+SUMIF('Components Yr 2'!C2:C1111,E37,'Components Yr 2'!D2:D1111)*0.025+SUMIF('Components Yr 2'!C2:C1111,E38,'Components Yr 2'!D2:D1111)*0.041667+SUMIF('Components Yr 2'!C2:C1111,E39,'Components Yr 2'!D2:D1111)*0.041667</f>
        <v>0</v>
      </c>
      <c r="E34" s="20" t="s">
        <v>46</v>
      </c>
      <c r="F34" s="21">
        <v>2</v>
      </c>
      <c r="G34" s="21">
        <v>8</v>
      </c>
    </row>
    <row r="35" spans="1:7" x14ac:dyDescent="0.25">
      <c r="A35" s="23" t="s">
        <v>79</v>
      </c>
      <c r="B35" s="24">
        <f>B33+B34</f>
        <v>0</v>
      </c>
      <c r="C35" s="25" t="s">
        <v>80</v>
      </c>
      <c r="E35" s="20" t="s">
        <v>47</v>
      </c>
      <c r="F35" s="21">
        <v>1.5</v>
      </c>
      <c r="G35" s="21">
        <v>20</v>
      </c>
    </row>
    <row r="36" spans="1:7" x14ac:dyDescent="0.25">
      <c r="B36" s="26">
        <f>ROUNDUP(SUMIF('Components Yr 2'!C2:C1111,E3,'Components Yr 2'!D2:D1111)/4,0)*0.25+ROUNDUP(SUMIF('Components Yr 2'!C2:C1111,E4,'Components Yr 2'!D2:D1111)/8,0)*0.25+ROUNDUP(SUMIF('Components Yr 2'!C2:C1111,E5,'Components Yr 2'!D2:D1111)/8,0)*0.25+ROUNDUP(SUMIF('Components Yr 2'!C2:C1111,E6,'Components Yr 2'!D2:D1111)/4,0)*0.25+ROUNDUP(SUMIF('Components Yr 2'!C2:C1111,E7,'Components Yr 2'!D2:D1111)/20,0)*0.25+ROUNDUP(SUMIF('Components Yr 2'!C2:C1111,E8,'Components Yr 2'!D2:D1111)/20,0)*0.25+ROUNDUP(SUMIF('Components Yr 2'!C2:C1111,E9,'Components Yr 2'!D2:D1111)/8,0)*0.25+ROUNDUP(SUMIF('Components Yr 2'!C2:C1111,E10,'Components Yr 2'!D2:D1111)/8,0)*0.25+ROUNDUP(SUMIF('Components Yr 2'!C2:C1111,E11,'Components Yr 2'!D2:D1111)/8,0)*0.25+ROUNDUP(SUMIF('Components Yr 2'!C2:C1111,E12,'Components Yr 2'!D2:D1111)/20,0)*0.25</f>
        <v>0</v>
      </c>
      <c r="E36" s="20" t="s">
        <v>48</v>
      </c>
      <c r="F36" s="21">
        <v>2</v>
      </c>
      <c r="G36" s="21">
        <v>20</v>
      </c>
    </row>
    <row r="37" spans="1:7" x14ac:dyDescent="0.25">
      <c r="B37" s="26">
        <f>ROUNDUP(SUMIF('Components Yr 2'!C2:C1111,E13,'Components Yr 2'!D2:D1111)/20,0)*0.25+ROUNDUP(SUMIF('Components Yr 2'!C2:C1111,E14,'Components Yr 2'!D2:D1111)/20,0)*0.25+ROUNDUP(SUMIF('Components Yr 2'!C2:C1111,E15,'Components Yr 2'!D2:D1111)/8,0)*0.25+ROUNDUP(SUMIF('Components Yr 2'!C2:C1111,E16,'Components Yr 2'!D2:D1111)/8,0)*0.25+ROUNDUP(SUMIF('Components Yr 2'!C2:C1111,E17,'Components Yr 2'!D2:D1111)/20,0)*0.25+ROUNDUP(SUMIF('Components Yr 2'!C2:C1111,E18,'Components Yr 2'!D2:D1111)/20,0)*0.25+ROUNDUP(SUMIF('Components Yr 2'!C2:C1111,E19,'Components Yr 2'!D2:D1111)/20,0)*0.25+ROUNDUP(SUMIF('Components Yr 2'!C2:C1111,E20,'Components Yr 2'!D2:D1111)/4,0)*0.25+ROUNDUP(SUMIF('Components Yr 2'!C2:C1111,E21,'Components Yr 2'!D2:D1111)/4,0)*0.25+ROUNDUP(SUMIF('Components Yr 2'!C2:C1111,E22,'Components Yr 2'!D2:D1111)/8,0)*0.25</f>
        <v>0</v>
      </c>
      <c r="E37" s="20" t="s">
        <v>49</v>
      </c>
      <c r="F37" s="21">
        <v>1.5</v>
      </c>
      <c r="G37" s="21">
        <v>20</v>
      </c>
    </row>
    <row r="38" spans="1:7" x14ac:dyDescent="0.25">
      <c r="B38" s="26">
        <f>ROUNDUP(SUMIF('Components Yr 2'!C2:C1111,E23,'Components Yr 2'!D2:D1111)/8,0)*0.25+ROUNDUP(SUMIF('Components Yr 2'!C2:C1111,E24,'Components Yr 2'!D2:D1111)/50,0)*0.25+ROUNDUP(SUMIF('Components Yr 2'!C2:C1111,E25,'Components Yr 2'!D2:D1111)/4,0)*0.25+ROUNDUP(SUMIF('Components Yr 2'!C2:C1111,E26,'Components Yr 2'!D2:D1111)/50,0)*0.25+ROUNDUP(SUMIF('Components Yr 2'!C2:C1111,E27,'Components Yr 2'!D2:D1111)/50,0)*0.25+ROUNDUP(SUMIF('Components Yr 2'!C2:C1111,E28,'Components Yr 2'!D2:D1111)/4,0)*0.25+ROUNDUP(SUMIF('Components Yr 2'!C2:C1111,E29,'Components Yr 2'!D2:D1111)/4,0)*0.25+ROUNDUP(SUMIF('Components Yr 2'!C2:C1111,E30,'Components Yr 2'!D2:D1111)/8,0)*0.25+ROUNDUP(SUMIF('Components Yr 2'!C2:C1111,E31,'Components Yr 2'!D2:D1111)/8,0)*0.25+ROUNDUP(SUMIF('Components Yr 2'!C2:C1111,E32,'Components Yr 2'!D2:D1111)/20,0)*0.25</f>
        <v>0</v>
      </c>
      <c r="E38" s="20" t="s">
        <v>50</v>
      </c>
      <c r="F38" s="21">
        <v>2.5</v>
      </c>
      <c r="G38" s="21">
        <v>4</v>
      </c>
    </row>
    <row r="39" spans="1:7" x14ac:dyDescent="0.25">
      <c r="B39" s="26">
        <f>ROUNDUP(SUMIF('Components Yr 2'!C2:C1111,E33,'Components Yr 2'!D2:D1111)/20,0)*0.25+ROUNDUP(SUMIF('Components Yr 2'!C2:C1111,E34,'Components Yr 2'!D2:D1111)/8,0)*0.25+ROUNDUP(SUMIF('Components Yr 2'!C2:C1111,E35,'Components Yr 2'!D2:D1111)/20,0)*0.25+ROUNDUP(SUMIF('Components Yr 2'!C2:C1111,E36,'Components Yr 2'!D2:D1111)/20,0)*0.25+ROUNDUP(SUMIF('Components Yr 2'!C2:C1111,E37,'Components Yr 2'!D2:D1111)/20,0)*0.25+ROUNDUP(SUMIF('Components Yr 2'!C2:C1111,E38,'Components Yr 2'!D2:D1111)/4,0)*0.25+ROUNDUP(SUMIF('Components Yr 2'!C2:C1111,E39,'Components Yr 2'!D2:D1111)/4,0)*0.25</f>
        <v>0</v>
      </c>
      <c r="E39" s="20" t="s">
        <v>51</v>
      </c>
      <c r="F39" s="21">
        <v>2.5</v>
      </c>
      <c r="G39" s="21">
        <v>4</v>
      </c>
    </row>
    <row r="40" spans="1:7" x14ac:dyDescent="0.25">
      <c r="A40" s="23" t="s">
        <v>81</v>
      </c>
      <c r="B40" s="24">
        <f>B36+B37+B38+B39</f>
        <v>0</v>
      </c>
      <c r="C40" s="25" t="s">
        <v>82</v>
      </c>
    </row>
    <row r="41" spans="1:7" x14ac:dyDescent="0.25">
      <c r="A41" s="23" t="s">
        <v>83</v>
      </c>
      <c r="B41" s="24">
        <f>B29*0.333</f>
        <v>0</v>
      </c>
      <c r="C41" s="25" t="s">
        <v>84</v>
      </c>
    </row>
    <row r="42" spans="1:7" x14ac:dyDescent="0.25">
      <c r="A42" s="23" t="s">
        <v>85</v>
      </c>
      <c r="B42" s="24">
        <f>ROUNDUP(B28/50,0)*0.333</f>
        <v>0</v>
      </c>
      <c r="C42" s="25" t="s">
        <v>86</v>
      </c>
    </row>
    <row r="43" spans="1:7" x14ac:dyDescent="0.25">
      <c r="A43" s="23" t="s">
        <v>87</v>
      </c>
      <c r="B43" s="24">
        <f>B30*0.0333</f>
        <v>0</v>
      </c>
      <c r="C43" s="25" t="s">
        <v>88</v>
      </c>
    </row>
    <row r="44" spans="1:7" x14ac:dyDescent="0.25">
      <c r="A44" s="23" t="s">
        <v>89</v>
      </c>
      <c r="B44" s="24">
        <f>B31+B32+B35+B40+B41+B42+B43</f>
        <v>0.5</v>
      </c>
      <c r="C44" s="25" t="s">
        <v>90</v>
      </c>
    </row>
    <row r="45" spans="1:7" ht="18" customHeight="1" x14ac:dyDescent="0.25">
      <c r="A45" s="27" t="s">
        <v>94</v>
      </c>
      <c r="B45" s="28">
        <f>CEILING(B44,4)</f>
        <v>4</v>
      </c>
      <c r="C45" s="25" t="s">
        <v>92</v>
      </c>
    </row>
    <row r="47" spans="1:7" ht="19.5" customHeight="1" x14ac:dyDescent="0.25">
      <c r="A47" s="3" t="s">
        <v>95</v>
      </c>
      <c r="B47" s="3"/>
      <c r="C47" s="3"/>
    </row>
    <row r="48" spans="1:7" x14ac:dyDescent="0.25">
      <c r="A48" s="22" t="s">
        <v>64</v>
      </c>
      <c r="B48" s="22" t="s">
        <v>65</v>
      </c>
      <c r="C48" s="22" t="s">
        <v>66</v>
      </c>
    </row>
    <row r="49" spans="1:3" x14ac:dyDescent="0.25">
      <c r="A49" s="23" t="s">
        <v>67</v>
      </c>
      <c r="B49" s="24">
        <f>(SUMPRODUCT(('Components Yr 3'!R2:R38&gt;0)*1)&gt;0)*1+(SUMPRODUCT(('Components Yr 3'!R39:R75&gt;0)*1)&gt;0)*1+(SUMPRODUCT(('Components Yr 3'!R76:R112&gt;0)*1)&gt;0)*1+(SUMPRODUCT(('Components Yr 3'!R113:R149&gt;0)*1)&gt;0)*1+(SUMPRODUCT(('Components Yr 3'!R150:R186&gt;0)*1)&gt;0)*1+(SUMPRODUCT(('Components Yr 3'!R187:R223&gt;0)*1)&gt;0)*1+(SUMPRODUCT(('Components Yr 3'!R224:R260&gt;0)*1)&gt;0)*1+(SUMPRODUCT(('Components Yr 3'!R261:R297&gt;0)*1)&gt;0)*1+(SUMPRODUCT(('Components Yr 3'!R298:R334&gt;0)*1)&gt;0)*1+(SUMPRODUCT(('Components Yr 3'!R335:R371&gt;0)*1)&gt;0)*1+(SUMPRODUCT(('Components Yr 3'!R372:R408&gt;0)*1)&gt;0)*1+(SUMPRODUCT(('Components Yr 3'!R409:R445&gt;0)*1)&gt;0)*1+(SUMPRODUCT(('Components Yr 3'!R446:R482&gt;0)*1)&gt;0)*1+(SUMPRODUCT(('Components Yr 3'!R483:R519&gt;0)*1)&gt;0)*1+(SUMPRODUCT(('Components Yr 3'!R520:R556&gt;0)*1)&gt;0)*1+(SUMPRODUCT(('Components Yr 3'!R557:R593&gt;0)*1)&gt;0)*1+(SUMPRODUCT(('Components Yr 3'!R594:R630&gt;0)*1)&gt;0)*1+(SUMPRODUCT(('Components Yr 3'!R631:R667&gt;0)*1)&gt;0)*1+(SUMPRODUCT(('Components Yr 3'!R668:R704&gt;0)*1)&gt;0)*1+(SUMPRODUCT(('Components Yr 3'!R705:R741&gt;0)*1)&gt;0)*1+(SUMPRODUCT(('Components Yr 3'!R742:R778&gt;0)*1)&gt;0)*1+(SUMPRODUCT(('Components Yr 3'!R779:R815&gt;0)*1)&gt;0)*1+(SUMPRODUCT(('Components Yr 3'!R816:R852&gt;0)*1)&gt;0)*1+(SUMPRODUCT(('Components Yr 3'!R853:R889&gt;0)*1)&gt;0)*1+(SUMPRODUCT(('Components Yr 3'!R890:R926&gt;0)*1)&gt;0)*1+(SUMPRODUCT(('Components Yr 3'!R927:R963&gt;0)*1)&gt;0)*1+(SUMPRODUCT(('Components Yr 3'!R964:R1000&gt;0)*1)&gt;0)*1+(SUMPRODUCT(('Components Yr 3'!R1001:R1037&gt;0)*1)&gt;0)*1+(SUMPRODUCT(('Components Yr 3'!R1038:R1074&gt;0)*1)&gt;0)*1+(SUMPRODUCT(('Components Yr 3'!R1075:R1111&gt;0)*1)&gt;0)*1</f>
        <v>0</v>
      </c>
      <c r="C49" s="25" t="s">
        <v>68</v>
      </c>
    </row>
    <row r="50" spans="1:3" x14ac:dyDescent="0.25">
      <c r="A50" s="23" t="s">
        <v>69</v>
      </c>
      <c r="B50" s="24">
        <f>SUMIF('Components Yr 3'!D2:D1111,"&gt;0",'Components Yr 3'!D2:D1111)</f>
        <v>0</v>
      </c>
      <c r="C50" s="25" t="s">
        <v>70</v>
      </c>
    </row>
    <row r="51" spans="1:3" x14ac:dyDescent="0.25">
      <c r="A51" s="23" t="s">
        <v>71</v>
      </c>
      <c r="B51" s="24">
        <f>SUM('Components Yr 3'!G2:G1111)</f>
        <v>0</v>
      </c>
      <c r="C51" s="25" t="s">
        <v>72</v>
      </c>
    </row>
    <row r="52" spans="1:3" x14ac:dyDescent="0.25">
      <c r="A52" s="23" t="s">
        <v>73</v>
      </c>
      <c r="B52" s="24">
        <f>SUM('Components Yr 3'!J2:J1111)</f>
        <v>0</v>
      </c>
      <c r="C52" s="25" t="s">
        <v>74</v>
      </c>
    </row>
    <row r="53" spans="1:3" x14ac:dyDescent="0.25">
      <c r="A53" s="23" t="s">
        <v>75</v>
      </c>
      <c r="B53" s="24">
        <f>0.5</f>
        <v>0.5</v>
      </c>
      <c r="C53" s="25" t="s">
        <v>76</v>
      </c>
    </row>
    <row r="54" spans="1:3" x14ac:dyDescent="0.25">
      <c r="A54" s="23" t="s">
        <v>77</v>
      </c>
      <c r="B54" s="24">
        <f>B49*0.0833</f>
        <v>0</v>
      </c>
      <c r="C54" s="25" t="s">
        <v>78</v>
      </c>
    </row>
    <row r="55" spans="1:3" x14ac:dyDescent="0.25">
      <c r="B55" s="26">
        <f>SUMIF('Components Yr 3'!C2:C1111,E3,'Components Yr 3'!D2:D1111)*0.041667+SUMIF('Components Yr 3'!C2:C1111,E4,'Components Yr 3'!D2:D1111)*0.033333+SUMIF('Components Yr 3'!C2:C1111,E5,'Components Yr 3'!D2:D1111)*0.033333+SUMIF('Components Yr 3'!C2:C1111,E6,'Components Yr 3'!D2:D1111)*0.041667+SUMIF('Components Yr 3'!C2:C1111,E7,'Components Yr 3'!D2:D1111)*0.025+SUMIF('Components Yr 3'!C2:C1111,E8,'Components Yr 3'!D2:D1111)*0.025+SUMIF('Components Yr 3'!C2:C1111,E9,'Components Yr 3'!D2:D1111)*0.033333+SUMIF('Components Yr 3'!C2:C1111,E10,'Components Yr 3'!D2:D1111)*0.033333+SUMIF('Components Yr 3'!C2:C1111,E11,'Components Yr 3'!D2:D1111)*0.033333+SUMIF('Components Yr 3'!C2:C1111,E12,'Components Yr 3'!D2:D1111)*0.025+SUMIF('Components Yr 3'!C2:C1111,E13,'Components Yr 3'!D2:D1111)*0.025+SUMIF('Components Yr 3'!C2:C1111,E14,'Components Yr 3'!D2:D1111)*0.025+SUMIF('Components Yr 3'!C2:C1111,E15,'Components Yr 3'!D2:D1111)*0.033333+SUMIF('Components Yr 3'!C2:C1111,E16,'Components Yr 3'!D2:D1111)*0.033333+SUMIF('Components Yr 3'!C2:C1111,E17,'Components Yr 3'!D2:D1111)*0.025+SUMIF('Components Yr 3'!C2:C1111,E18,'Components Yr 3'!D2:D1111)*0.025+SUMIF('Components Yr 3'!C2:C1111,E19,'Components Yr 3'!D2:D1111)*0.025+SUMIF('Components Yr 3'!C2:C1111,E20,'Components Yr 3'!D2:D1111)*0.041667+SUMIF('Components Yr 3'!C2:C1111,E21,'Components Yr 3'!D2:D1111)*0.041667+SUMIF('Components Yr 3'!C2:C1111,E22,'Components Yr 3'!D2:D1111)*0.041667</f>
        <v>0</v>
      </c>
    </row>
    <row r="56" spans="1:3" x14ac:dyDescent="0.25">
      <c r="B56" s="26">
        <f>SUMIF('Components Yr 3'!C2:C1111,E23,'Components Yr 3'!D2:D1111)*0.033333+SUMIF('Components Yr 3'!C2:C1111,E24,'Components Yr 3'!D2:D1111)*0.025+SUMIF('Components Yr 3'!C2:C1111,E25,'Components Yr 3'!D2:D1111)*0.041667+SUMIF('Components Yr 3'!C2:C1111,E26,'Components Yr 3'!D2:D1111)*0.025+SUMIF('Components Yr 3'!C2:C1111,E27,'Components Yr 3'!D2:D1111)*0.025+SUMIF('Components Yr 3'!C2:C1111,E28,'Components Yr 3'!D2:D1111)*0.041667+SUMIF('Components Yr 3'!C2:C1111,E29,'Components Yr 3'!D2:D1111)*0.041667+SUMIF('Components Yr 3'!C2:C1111,E30,'Components Yr 3'!D2:D1111)*0.033333+SUMIF('Components Yr 3'!C2:C1111,E31,'Components Yr 3'!D2:D1111)*0.033333+SUMIF('Components Yr 3'!C2:C1111,E32,'Components Yr 3'!D2:D1111)*0.025+SUMIF('Components Yr 3'!C2:C1111,E33,'Components Yr 3'!D2:D1111)*0.033333+SUMIF('Components Yr 3'!C2:C1111,E34,'Components Yr 3'!D2:D1111)*0.033333+SUMIF('Components Yr 3'!C2:C1111,E35,'Components Yr 3'!D2:D1111)*0.025+SUMIF('Components Yr 3'!C2:C1111,E36,'Components Yr 3'!D2:D1111)*0.033333+SUMIF('Components Yr 3'!C2:C1111,E37,'Components Yr 3'!D2:D1111)*0.025+SUMIF('Components Yr 3'!C2:C1111,E38,'Components Yr 3'!D2:D1111)*0.041667+SUMIF('Components Yr 3'!C2:C1111,E39,'Components Yr 3'!D2:D1111)*0.041667</f>
        <v>0</v>
      </c>
    </row>
    <row r="57" spans="1:3" x14ac:dyDescent="0.25">
      <c r="A57" s="23" t="s">
        <v>79</v>
      </c>
      <c r="B57" s="24">
        <f>B55+B56</f>
        <v>0</v>
      </c>
      <c r="C57" s="25" t="s">
        <v>80</v>
      </c>
    </row>
    <row r="58" spans="1:3" x14ac:dyDescent="0.25">
      <c r="B58" s="26">
        <f>ROUNDUP(SUMIF('Components Yr 3'!C2:C1111,E3,'Components Yr 3'!D2:D1111)/4,0)*0.25+ROUNDUP(SUMIF('Components Yr 3'!C2:C1111,E4,'Components Yr 3'!D2:D1111)/8,0)*0.25+ROUNDUP(SUMIF('Components Yr 3'!C2:C1111,E5,'Components Yr 3'!D2:D1111)/8,0)*0.25+ROUNDUP(SUMIF('Components Yr 3'!C2:C1111,E6,'Components Yr 3'!D2:D1111)/4,0)*0.25+ROUNDUP(SUMIF('Components Yr 3'!C2:C1111,E7,'Components Yr 3'!D2:D1111)/20,0)*0.25+ROUNDUP(SUMIF('Components Yr 3'!C2:C1111,E8,'Components Yr 3'!D2:D1111)/20,0)*0.25+ROUNDUP(SUMIF('Components Yr 3'!C2:C1111,E9,'Components Yr 3'!D2:D1111)/8,0)*0.25+ROUNDUP(SUMIF('Components Yr 3'!C2:C1111,E10,'Components Yr 3'!D2:D1111)/8,0)*0.25+ROUNDUP(SUMIF('Components Yr 3'!C2:C1111,E11,'Components Yr 3'!D2:D1111)/8,0)*0.25+ROUNDUP(SUMIF('Components Yr 3'!C2:C1111,E12,'Components Yr 3'!D2:D1111)/20,0)*0.25</f>
        <v>0</v>
      </c>
    </row>
    <row r="59" spans="1:3" x14ac:dyDescent="0.25">
      <c r="B59" s="26">
        <f>ROUNDUP(SUMIF('Components Yr 3'!C2:C1111,E13,'Components Yr 3'!D2:D1111)/20,0)*0.25+ROUNDUP(SUMIF('Components Yr 3'!C2:C1111,E14,'Components Yr 3'!D2:D1111)/20,0)*0.25+ROUNDUP(SUMIF('Components Yr 3'!C2:C1111,E15,'Components Yr 3'!D2:D1111)/8,0)*0.25+ROUNDUP(SUMIF('Components Yr 3'!C2:C1111,E16,'Components Yr 3'!D2:D1111)/8,0)*0.25+ROUNDUP(SUMIF('Components Yr 3'!C2:C1111,E17,'Components Yr 3'!D2:D1111)/20,0)*0.25+ROUNDUP(SUMIF('Components Yr 3'!C2:C1111,E18,'Components Yr 3'!D2:D1111)/20,0)*0.25+ROUNDUP(SUMIF('Components Yr 3'!C2:C1111,E19,'Components Yr 3'!D2:D1111)/20,0)*0.25+ROUNDUP(SUMIF('Components Yr 3'!C2:C1111,E20,'Components Yr 3'!D2:D1111)/4,0)*0.25+ROUNDUP(SUMIF('Components Yr 3'!C2:C1111,E21,'Components Yr 3'!D2:D1111)/4,0)*0.25+ROUNDUP(SUMIF('Components Yr 3'!C2:C1111,E22,'Components Yr 3'!D2:D1111)/8,0)*0.25</f>
        <v>0</v>
      </c>
    </row>
    <row r="60" spans="1:3" x14ac:dyDescent="0.25">
      <c r="B60" s="26">
        <f>ROUNDUP(SUMIF('Components Yr 3'!C2:C1111,E23,'Components Yr 3'!D2:D1111)/8,0)*0.25+ROUNDUP(SUMIF('Components Yr 3'!C2:C1111,E24,'Components Yr 3'!D2:D1111)/50,0)*0.25+ROUNDUP(SUMIF('Components Yr 3'!C2:C1111,E25,'Components Yr 3'!D2:D1111)/4,0)*0.25+ROUNDUP(SUMIF('Components Yr 3'!C2:C1111,E26,'Components Yr 3'!D2:D1111)/50,0)*0.25+ROUNDUP(SUMIF('Components Yr 3'!C2:C1111,E27,'Components Yr 3'!D2:D1111)/50,0)*0.25+ROUNDUP(SUMIF('Components Yr 3'!C2:C1111,E28,'Components Yr 3'!D2:D1111)/4,0)*0.25+ROUNDUP(SUMIF('Components Yr 3'!C2:C1111,E29,'Components Yr 3'!D2:D1111)/4,0)*0.25+ROUNDUP(SUMIF('Components Yr 3'!C2:C1111,E30,'Components Yr 3'!D2:D1111)/8,0)*0.25+ROUNDUP(SUMIF('Components Yr 3'!C2:C1111,E31,'Components Yr 3'!D2:D1111)/8,0)*0.25+ROUNDUP(SUMIF('Components Yr 3'!C2:C1111,E32,'Components Yr 3'!D2:D1111)/20,0)*0.25</f>
        <v>0</v>
      </c>
    </row>
    <row r="61" spans="1:3" x14ac:dyDescent="0.25">
      <c r="B61" s="26">
        <f>ROUNDUP(SUMIF('Components Yr 3'!C2:C1111,E33,'Components Yr 3'!D2:D1111)/20,0)*0.25+ROUNDUP(SUMIF('Components Yr 3'!C2:C1111,E34,'Components Yr 3'!D2:D1111)/8,0)*0.25+ROUNDUP(SUMIF('Components Yr 3'!C2:C1111,E35,'Components Yr 3'!D2:D1111)/20,0)*0.25+ROUNDUP(SUMIF('Components Yr 3'!C2:C1111,E36,'Components Yr 3'!D2:D1111)/20,0)*0.25+ROUNDUP(SUMIF('Components Yr 3'!C2:C1111,E37,'Components Yr 3'!D2:D1111)/20,0)*0.25+ROUNDUP(SUMIF('Components Yr 3'!C2:C1111,E38,'Components Yr 3'!D2:D1111)/4,0)*0.25+ROUNDUP(SUMIF('Components Yr 3'!C2:C1111,E39,'Components Yr 3'!D2:D1111)/4,0)*0.25</f>
        <v>0</v>
      </c>
    </row>
    <row r="62" spans="1:3" x14ac:dyDescent="0.25">
      <c r="A62" s="23" t="s">
        <v>81</v>
      </c>
      <c r="B62" s="24">
        <f>B58+B59+B60+B61</f>
        <v>0</v>
      </c>
      <c r="C62" s="25" t="s">
        <v>82</v>
      </c>
    </row>
    <row r="63" spans="1:3" x14ac:dyDescent="0.25">
      <c r="A63" s="23" t="s">
        <v>83</v>
      </c>
      <c r="B63" s="24">
        <f>B51*0.333</f>
        <v>0</v>
      </c>
      <c r="C63" s="25" t="s">
        <v>84</v>
      </c>
    </row>
    <row r="64" spans="1:3" x14ac:dyDescent="0.25">
      <c r="A64" s="23" t="s">
        <v>85</v>
      </c>
      <c r="B64" s="24">
        <f>ROUNDUP(B50/50,0)*0.333</f>
        <v>0</v>
      </c>
      <c r="C64" s="25" t="s">
        <v>86</v>
      </c>
    </row>
    <row r="65" spans="1:3" x14ac:dyDescent="0.25">
      <c r="A65" s="23" t="s">
        <v>87</v>
      </c>
      <c r="B65" s="24">
        <f>B52*0.0333</f>
        <v>0</v>
      </c>
      <c r="C65" s="25" t="s">
        <v>88</v>
      </c>
    </row>
    <row r="66" spans="1:3" x14ac:dyDescent="0.25">
      <c r="A66" s="23" t="s">
        <v>89</v>
      </c>
      <c r="B66" s="24">
        <f>B53+B54+B57+B62+B63+B64+B65</f>
        <v>0.5</v>
      </c>
      <c r="C66" s="25" t="s">
        <v>90</v>
      </c>
    </row>
    <row r="67" spans="1:3" ht="18" customHeight="1" x14ac:dyDescent="0.25">
      <c r="A67" s="27" t="s">
        <v>96</v>
      </c>
      <c r="B67" s="28">
        <f>CEILING(B66,4)</f>
        <v>4</v>
      </c>
      <c r="C67" s="25" t="s">
        <v>92</v>
      </c>
    </row>
  </sheetData>
  <mergeCells count="4">
    <mergeCell ref="A1:C1"/>
    <mergeCell ref="A3:C3"/>
    <mergeCell ref="A25:C25"/>
    <mergeCell ref="A47:C4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2"/>
  <sheetViews>
    <sheetView zoomScaleNormal="100" workbookViewId="0">
      <selection activeCell="B7" sqref="B7"/>
    </sheetView>
  </sheetViews>
  <sheetFormatPr defaultColWidth="8.7109375" defaultRowHeight="15" x14ac:dyDescent="0.25"/>
  <cols>
    <col min="1" max="1" width="18" customWidth="1"/>
    <col min="2" max="6" width="14" customWidth="1"/>
    <col min="7" max="8" width="12" customWidth="1"/>
    <col min="9" max="9" width="14" customWidth="1"/>
    <col min="10" max="10" width="12" customWidth="1"/>
    <col min="11" max="11" width="14" customWidth="1"/>
    <col min="12" max="12" width="12" customWidth="1"/>
    <col min="13" max="14" width="14" customWidth="1"/>
    <col min="15" max="16" width="16" customWidth="1"/>
    <col min="17" max="17" width="14" customWidth="1"/>
  </cols>
  <sheetData>
    <row r="1" spans="1:17" x14ac:dyDescent="0.25">
      <c r="A1" s="29" t="s">
        <v>97</v>
      </c>
      <c r="B1" s="8" t="s">
        <v>98</v>
      </c>
      <c r="C1" s="8" t="s">
        <v>99</v>
      </c>
      <c r="D1" s="8" t="s">
        <v>100</v>
      </c>
    </row>
    <row r="2" spans="1:17" ht="30" customHeight="1" x14ac:dyDescent="0.25">
      <c r="A2" s="29" t="s">
        <v>101</v>
      </c>
      <c r="B2" s="57">
        <v>72</v>
      </c>
      <c r="C2" s="57">
        <v>105</v>
      </c>
      <c r="D2" s="57">
        <v>137</v>
      </c>
      <c r="F2" s="29" t="s">
        <v>102</v>
      </c>
      <c r="H2" s="56">
        <v>500</v>
      </c>
      <c r="J2" s="2" t="s">
        <v>103</v>
      </c>
      <c r="K2" s="2"/>
      <c r="L2" s="2"/>
      <c r="M2" s="2"/>
      <c r="N2" s="2"/>
      <c r="O2" s="2"/>
      <c r="P2" s="2"/>
      <c r="Q2" s="2"/>
    </row>
    <row r="3" spans="1:17" x14ac:dyDescent="0.25">
      <c r="A3" s="29" t="s">
        <v>104</v>
      </c>
      <c r="B3" s="57">
        <v>165</v>
      </c>
      <c r="C3" s="57">
        <v>247.5</v>
      </c>
      <c r="D3" s="57">
        <v>330</v>
      </c>
    </row>
    <row r="4" spans="1:17" x14ac:dyDescent="0.25">
      <c r="A4" s="58" t="s">
        <v>164</v>
      </c>
      <c r="C4" s="8">
        <f>IF(B3=0,"",C3/B3)</f>
        <v>1.5</v>
      </c>
      <c r="D4" s="8">
        <f>IF(B3=0,"",D3/B3)</f>
        <v>2</v>
      </c>
    </row>
    <row r="5" spans="1:17" ht="15" customHeight="1" x14ac:dyDescent="0.25">
      <c r="C5" s="1" t="s">
        <v>105</v>
      </c>
      <c r="D5" s="1"/>
      <c r="E5" s="1"/>
      <c r="F5" s="1"/>
      <c r="H5" s="1" t="s">
        <v>106</v>
      </c>
      <c r="I5" s="1"/>
      <c r="J5" s="1"/>
      <c r="K5" s="1"/>
    </row>
    <row r="6" spans="1:17" ht="75" customHeight="1" x14ac:dyDescent="0.25">
      <c r="A6" s="8" t="s">
        <v>107</v>
      </c>
      <c r="B6" s="8" t="s">
        <v>108</v>
      </c>
      <c r="C6" s="8" t="s">
        <v>109</v>
      </c>
      <c r="D6" s="8" t="s">
        <v>110</v>
      </c>
      <c r="E6" s="8" t="s">
        <v>111</v>
      </c>
      <c r="F6" s="8" t="s">
        <v>112</v>
      </c>
      <c r="G6" s="76" t="s">
        <v>57</v>
      </c>
      <c r="H6" s="8" t="s">
        <v>113</v>
      </c>
      <c r="I6" s="8" t="s">
        <v>114</v>
      </c>
      <c r="J6" s="8" t="s">
        <v>115</v>
      </c>
      <c r="K6" s="8" t="s">
        <v>116</v>
      </c>
      <c r="L6" s="8" t="s">
        <v>57</v>
      </c>
      <c r="M6" s="8" t="s">
        <v>117</v>
      </c>
      <c r="N6" s="8" t="s">
        <v>118</v>
      </c>
      <c r="O6" s="8" t="s">
        <v>119</v>
      </c>
      <c r="P6" s="8" t="s">
        <v>120</v>
      </c>
      <c r="Q6" s="8" t="s">
        <v>121</v>
      </c>
    </row>
    <row r="7" spans="1:17" x14ac:dyDescent="0.25">
      <c r="A7" s="29" t="s">
        <v>122</v>
      </c>
      <c r="B7" s="31">
        <f>SUM('Components Yr 1'!R2:R1111)</f>
        <v>0</v>
      </c>
      <c r="C7" s="30">
        <v>1</v>
      </c>
      <c r="D7" s="30">
        <v>2</v>
      </c>
      <c r="E7" s="32">
        <f>Calc!B23</f>
        <v>4</v>
      </c>
      <c r="F7" s="30">
        <v>1</v>
      </c>
      <c r="G7" s="33">
        <f>(B7*C7)+D7+E7+(B7*(F7-1))</f>
        <v>6</v>
      </c>
      <c r="H7" s="30">
        <v>2</v>
      </c>
      <c r="I7" s="30">
        <v>1</v>
      </c>
      <c r="J7" s="34">
        <f>CEILING((G7-E7)/(H7*8),1)</f>
        <v>1</v>
      </c>
      <c r="K7" s="33">
        <f>H7*I7*J7</f>
        <v>2</v>
      </c>
      <c r="L7" s="33">
        <f>G7+K7</f>
        <v>8</v>
      </c>
      <c r="M7" s="30">
        <v>1</v>
      </c>
      <c r="N7" s="30">
        <v>0</v>
      </c>
      <c r="O7" s="35">
        <f>$B$3*L7*M7+SUM($H$2*N7)</f>
        <v>1320</v>
      </c>
      <c r="P7" s="36">
        <f>O7-(L7*$B$2)-(K7*33)</f>
        <v>678</v>
      </c>
      <c r="Q7" s="37">
        <f>IF(O7=0,0,P7/O7)</f>
        <v>0.51363636363636367</v>
      </c>
    </row>
    <row r="8" spans="1:17" x14ac:dyDescent="0.25">
      <c r="A8" s="29" t="s">
        <v>123</v>
      </c>
      <c r="B8" s="31">
        <f>SUM('Components Yr 2'!R2:R1111)</f>
        <v>0</v>
      </c>
      <c r="C8" s="30">
        <v>1</v>
      </c>
      <c r="D8" s="30">
        <v>2</v>
      </c>
      <c r="E8" s="32">
        <f>Calc!B45</f>
        <v>4</v>
      </c>
      <c r="F8" s="30">
        <v>1</v>
      </c>
      <c r="G8" s="33">
        <f>(B8*C8)+D8+E8+(B8*(F8-1))</f>
        <v>6</v>
      </c>
      <c r="H8" s="30">
        <v>2</v>
      </c>
      <c r="I8" s="30">
        <v>1</v>
      </c>
      <c r="J8" s="34">
        <f>CEILING((G8-E8)/(H8*8),1)</f>
        <v>1</v>
      </c>
      <c r="K8" s="33">
        <f>H8*I8*J8</f>
        <v>2</v>
      </c>
      <c r="L8" s="33">
        <f>G8+K8</f>
        <v>8</v>
      </c>
      <c r="M8" s="30">
        <v>1</v>
      </c>
      <c r="N8" s="30">
        <v>0</v>
      </c>
      <c r="O8" s="35">
        <f>$B$3*L8*M8+SUM($H$2*N8)</f>
        <v>1320</v>
      </c>
      <c r="P8" s="36">
        <f>O8-(L8*$B$2)-(K8*33)</f>
        <v>678</v>
      </c>
      <c r="Q8" s="37">
        <f>IF(O8=0,0,P8/O8)</f>
        <v>0.51363636363636367</v>
      </c>
    </row>
    <row r="9" spans="1:17" x14ac:dyDescent="0.25">
      <c r="A9" s="29" t="s">
        <v>124</v>
      </c>
      <c r="B9" s="31">
        <f>SUM('Components Yr 3'!R2:R1111)</f>
        <v>0</v>
      </c>
      <c r="C9" s="30">
        <v>1</v>
      </c>
      <c r="D9" s="30">
        <v>2</v>
      </c>
      <c r="E9" s="32">
        <f>Calc!B67</f>
        <v>4</v>
      </c>
      <c r="F9" s="30">
        <v>1</v>
      </c>
      <c r="G9" s="33">
        <f>(B9*C9)+D9+E9+(B9*(F9-1))</f>
        <v>6</v>
      </c>
      <c r="H9" s="30">
        <v>2</v>
      </c>
      <c r="I9" s="30">
        <v>1</v>
      </c>
      <c r="J9" s="34">
        <f>CEILING((G9-E9)/(H9*8),1)</f>
        <v>1</v>
      </c>
      <c r="K9" s="33">
        <f>H9*I9*J9</f>
        <v>2</v>
      </c>
      <c r="L9" s="33">
        <f>G9+K9</f>
        <v>8</v>
      </c>
      <c r="M9" s="30">
        <v>1</v>
      </c>
      <c r="N9" s="30">
        <v>0</v>
      </c>
      <c r="O9" s="35">
        <f>$B$3*L9*M9+SUM($H$2*N9)</f>
        <v>1320</v>
      </c>
      <c r="P9" s="36">
        <f>O9-(L9*$B$2)-(K9*33)</f>
        <v>678</v>
      </c>
      <c r="Q9" s="37">
        <f>IF(O9=0,0,P9/O9)</f>
        <v>0.51363636363636367</v>
      </c>
    </row>
    <row r="11" spans="1:17" x14ac:dyDescent="0.25">
      <c r="M11" s="38" t="s">
        <v>125</v>
      </c>
      <c r="O11" s="39">
        <f>SUM(O7:O9)</f>
        <v>3960</v>
      </c>
      <c r="P11" s="39">
        <f>SUM(P7:P9)</f>
        <v>2034</v>
      </c>
      <c r="Q11" s="40">
        <f>IF(O11=0,0,P11/O11)</f>
        <v>0.51363636363636367</v>
      </c>
    </row>
    <row r="13" spans="1:17" x14ac:dyDescent="0.25">
      <c r="A13" s="41" t="s">
        <v>126</v>
      </c>
    </row>
    <row r="15" spans="1:17" x14ac:dyDescent="0.25">
      <c r="D15" s="31">
        <v>1</v>
      </c>
      <c r="E15" s="31" t="s">
        <v>127</v>
      </c>
      <c r="K15" s="55" t="s">
        <v>128</v>
      </c>
      <c r="L15" s="55"/>
      <c r="M15" s="55"/>
      <c r="N15" s="55"/>
      <c r="O15" s="55"/>
    </row>
    <row r="16" spans="1:17" x14ac:dyDescent="0.25">
      <c r="D16" s="31">
        <v>1.05</v>
      </c>
      <c r="E16" s="31" t="s">
        <v>129</v>
      </c>
    </row>
    <row r="17" spans="4:14" x14ac:dyDescent="0.25">
      <c r="D17" s="31">
        <v>1.1000000000000001</v>
      </c>
      <c r="E17" s="31" t="s">
        <v>130</v>
      </c>
    </row>
    <row r="18" spans="4:14" x14ac:dyDescent="0.25">
      <c r="D18" s="31">
        <v>1.1499999999999999</v>
      </c>
      <c r="E18" s="31" t="s">
        <v>131</v>
      </c>
      <c r="K18" s="42" t="s">
        <v>132</v>
      </c>
    </row>
    <row r="19" spans="4:14" x14ac:dyDescent="0.25">
      <c r="D19" s="31">
        <v>1.2</v>
      </c>
      <c r="E19" s="31" t="s">
        <v>133</v>
      </c>
    </row>
    <row r="20" spans="4:14" x14ac:dyDescent="0.25">
      <c r="K20" s="53" t="s">
        <v>134</v>
      </c>
      <c r="L20" s="54" t="s">
        <v>163</v>
      </c>
      <c r="M20" s="54"/>
      <c r="N20" s="54"/>
    </row>
    <row r="21" spans="4:14" x14ac:dyDescent="0.25">
      <c r="K21" s="53" t="s">
        <v>99</v>
      </c>
      <c r="L21" s="54" t="s">
        <v>135</v>
      </c>
      <c r="M21" s="54"/>
      <c r="N21" s="54"/>
    </row>
    <row r="22" spans="4:14" x14ac:dyDescent="0.25">
      <c r="K22" s="53" t="s">
        <v>100</v>
      </c>
      <c r="L22" s="54" t="s">
        <v>136</v>
      </c>
      <c r="M22" s="54"/>
      <c r="N22" s="54"/>
    </row>
  </sheetData>
  <mergeCells count="7">
    <mergeCell ref="L21:N21"/>
    <mergeCell ref="L22:N22"/>
    <mergeCell ref="K15:O15"/>
    <mergeCell ref="J2:Q2"/>
    <mergeCell ref="C5:F5"/>
    <mergeCell ref="H5:K5"/>
    <mergeCell ref="L20:N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99B7-1A19-40C9-88F7-E4740C441017}">
  <dimension ref="A1:I11"/>
  <sheetViews>
    <sheetView zoomScaleNormal="100" workbookViewId="0">
      <selection activeCell="E8" sqref="E8"/>
    </sheetView>
  </sheetViews>
  <sheetFormatPr defaultColWidth="8.7109375" defaultRowHeight="15" x14ac:dyDescent="0.25"/>
  <cols>
    <col min="1" max="1" width="12" style="60" customWidth="1"/>
    <col min="2" max="2" width="20" style="60" customWidth="1"/>
    <col min="3" max="3" width="22" style="60" customWidth="1"/>
    <col min="4" max="5" width="16" style="60" customWidth="1"/>
    <col min="6" max="6" width="22" style="60" customWidth="1"/>
    <col min="7" max="7" width="16" style="60" customWidth="1"/>
    <col min="8" max="8" width="4.42578125" style="60" customWidth="1"/>
    <col min="9" max="9" width="25.85546875" style="60" customWidth="1"/>
    <col min="10" max="16384" width="8.7109375" style="60"/>
  </cols>
  <sheetData>
    <row r="1" spans="1:9" ht="30" customHeight="1" x14ac:dyDescent="0.25">
      <c r="A1" s="59" t="s">
        <v>165</v>
      </c>
      <c r="B1" s="59"/>
      <c r="C1" s="59"/>
      <c r="D1" s="59"/>
      <c r="E1" s="59"/>
      <c r="F1" s="59"/>
      <c r="G1" s="59"/>
    </row>
    <row r="2" spans="1:9" ht="18" customHeight="1" x14ac:dyDescent="0.25">
      <c r="A2" s="61" t="s">
        <v>166</v>
      </c>
      <c r="B2" s="61"/>
      <c r="C2" s="61"/>
      <c r="D2" s="61"/>
      <c r="E2" s="61"/>
      <c r="F2" s="61"/>
      <c r="G2" s="61"/>
    </row>
    <row r="3" spans="1:9" ht="18" customHeight="1" x14ac:dyDescent="0.25">
      <c r="A3" s="62" t="s">
        <v>167</v>
      </c>
      <c r="B3" s="62"/>
      <c r="C3" s="62"/>
      <c r="D3" s="62"/>
      <c r="E3" s="62"/>
      <c r="F3" s="62"/>
      <c r="G3" s="62"/>
    </row>
    <row r="4" spans="1:9" ht="7.5" customHeight="1" x14ac:dyDescent="0.25"/>
    <row r="5" spans="1:9" ht="31.5" customHeight="1" x14ac:dyDescent="0.25">
      <c r="A5" s="63" t="s">
        <v>168</v>
      </c>
      <c r="B5" s="63" t="s">
        <v>169</v>
      </c>
      <c r="C5" s="63" t="s">
        <v>170</v>
      </c>
      <c r="D5" s="63" t="s">
        <v>171</v>
      </c>
      <c r="E5" s="64" t="s">
        <v>172</v>
      </c>
      <c r="F5" s="63" t="s">
        <v>173</v>
      </c>
      <c r="G5" s="63" t="s">
        <v>174</v>
      </c>
    </row>
    <row r="6" spans="1:9" ht="21.75" customHeight="1" x14ac:dyDescent="0.25">
      <c r="A6" s="65" t="s">
        <v>122</v>
      </c>
      <c r="B6" s="66">
        <f>Totals!O7</f>
        <v>1320</v>
      </c>
      <c r="C6" s="66">
        <f>Totals!P7</f>
        <v>678</v>
      </c>
      <c r="D6" s="66">
        <f>IF(B6="","",B6-C6)</f>
        <v>642</v>
      </c>
      <c r="E6" s="67"/>
      <c r="F6" s="68" t="str">
        <f>IF(OR(D6="",E6=""),"",D6/(1-E6))</f>
        <v/>
      </c>
      <c r="G6" s="69">
        <f>IF(B6="","",C6/B6)</f>
        <v>0.51363636363636367</v>
      </c>
    </row>
    <row r="7" spans="1:9" ht="21.75" customHeight="1" x14ac:dyDescent="0.25">
      <c r="A7" s="70" t="s">
        <v>123</v>
      </c>
      <c r="B7" s="66">
        <f>Totals!O8</f>
        <v>1320</v>
      </c>
      <c r="C7" s="66">
        <f>Totals!P8</f>
        <v>678</v>
      </c>
      <c r="D7" s="66">
        <f>IF(B7="","",B7-C7)</f>
        <v>642</v>
      </c>
      <c r="E7" s="67"/>
      <c r="F7" s="68" t="str">
        <f>IF(OR(D7="",E7=""),"",D7/(1-E7))</f>
        <v/>
      </c>
      <c r="G7" s="69">
        <f>IF(B7="","",C7/B7)</f>
        <v>0.51363636363636367</v>
      </c>
    </row>
    <row r="8" spans="1:9" ht="21.75" customHeight="1" x14ac:dyDescent="0.25">
      <c r="A8" s="65" t="s">
        <v>124</v>
      </c>
      <c r="B8" s="66">
        <f>Totals!O9</f>
        <v>1320</v>
      </c>
      <c r="C8" s="66">
        <f>Totals!P9</f>
        <v>678</v>
      </c>
      <c r="D8" s="66">
        <f>IF(B8="","",B8-C8)</f>
        <v>642</v>
      </c>
      <c r="E8" s="67"/>
      <c r="F8" s="68" t="str">
        <f>IF(OR(D8="",E8=""),"",D8/(1-E8))</f>
        <v/>
      </c>
      <c r="G8" s="69">
        <f>IF(B8="","",C8/B8)</f>
        <v>0.51363636363636367</v>
      </c>
    </row>
    <row r="9" spans="1:9" ht="21.75" customHeight="1" x14ac:dyDescent="0.25">
      <c r="A9" s="71" t="s">
        <v>175</v>
      </c>
      <c r="B9" s="72">
        <f>IF(COUNTA(B6:B8)=0,"",SUM(B6:B8))</f>
        <v>3960</v>
      </c>
      <c r="C9" s="72">
        <f>IF(COUNTA(C6:C8)=0,"",SUM(C6:C8))</f>
        <v>2034</v>
      </c>
      <c r="D9" s="72">
        <f>IF(COUNTA(D6:D8)=0,"",SUM(D6:D8))</f>
        <v>1926</v>
      </c>
      <c r="E9" s="73"/>
      <c r="F9" s="68">
        <f>IF(COUNTA(F6:F8)=0,"",SUM(F6:F8))</f>
        <v>0</v>
      </c>
      <c r="G9" s="74" t="str">
        <f>IF(OR(F9="",F9=0),"",(SUM(F6:F8)-SUM(D6:D8))/SUM(F6:F8))</f>
        <v/>
      </c>
      <c r="H9" s="63" t="str">
        <f>_xlfn.UNICHAR(8592)</f>
        <v>←</v>
      </c>
      <c r="I9" s="63" t="s">
        <v>176</v>
      </c>
    </row>
    <row r="10" spans="1:9" ht="7.5" customHeight="1" x14ac:dyDescent="0.25"/>
    <row r="11" spans="1:9" ht="15" customHeight="1" x14ac:dyDescent="0.25">
      <c r="A11" s="75" t="s">
        <v>177</v>
      </c>
      <c r="B11" s="75"/>
      <c r="C11" s="75"/>
      <c r="D11" s="75"/>
      <c r="E11" s="75"/>
      <c r="F11" s="75"/>
      <c r="G11" s="75"/>
    </row>
  </sheetData>
  <mergeCells count="4">
    <mergeCell ref="A1:G1"/>
    <mergeCell ref="A2:G2"/>
    <mergeCell ref="A3:G3"/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40"/>
  <sheetViews>
    <sheetView zoomScaleNormal="100" workbookViewId="0">
      <selection activeCell="C40" sqref="C40:H40"/>
    </sheetView>
  </sheetViews>
  <sheetFormatPr defaultColWidth="8.7109375" defaultRowHeight="15" x14ac:dyDescent="0.25"/>
  <cols>
    <col min="1" max="1" width="12" customWidth="1"/>
    <col min="2" max="2" width="52" customWidth="1"/>
    <col min="3" max="20" width="14" customWidth="1"/>
  </cols>
  <sheetData>
    <row r="1" spans="1:20" ht="15.75" x14ac:dyDescent="0.25">
      <c r="A1" s="52" t="s">
        <v>141</v>
      </c>
      <c r="B1" s="52" t="s">
        <v>142</v>
      </c>
    </row>
    <row r="2" spans="1:20" ht="25.5" x14ac:dyDescent="0.25">
      <c r="A2" s="8" t="s">
        <v>143</v>
      </c>
      <c r="B2" s="8" t="s">
        <v>2</v>
      </c>
      <c r="C2" s="9" t="s">
        <v>144</v>
      </c>
      <c r="D2" s="8" t="s">
        <v>145</v>
      </c>
      <c r="E2" s="8" t="s">
        <v>146</v>
      </c>
      <c r="F2" s="8" t="s">
        <v>147</v>
      </c>
      <c r="G2" s="8" t="s">
        <v>148</v>
      </c>
      <c r="H2" s="8" t="s">
        <v>149</v>
      </c>
      <c r="I2" s="9" t="s">
        <v>150</v>
      </c>
      <c r="J2" s="8" t="s">
        <v>151</v>
      </c>
      <c r="K2" s="8" t="s">
        <v>152</v>
      </c>
      <c r="L2" s="8" t="s">
        <v>153</v>
      </c>
      <c r="M2" s="8" t="s">
        <v>154</v>
      </c>
      <c r="N2" s="8" t="s">
        <v>155</v>
      </c>
      <c r="O2" s="9" t="s">
        <v>156</v>
      </c>
      <c r="P2" s="8" t="s">
        <v>157</v>
      </c>
      <c r="Q2" s="8" t="s">
        <v>158</v>
      </c>
      <c r="R2" s="8" t="s">
        <v>159</v>
      </c>
      <c r="S2" s="8" t="s">
        <v>160</v>
      </c>
      <c r="T2" s="8" t="s">
        <v>161</v>
      </c>
    </row>
    <row r="3" spans="1:20" x14ac:dyDescent="0.25">
      <c r="A3" s="15">
        <f t="shared" ref="A3:A39" si="0">C3</f>
        <v>0</v>
      </c>
      <c r="B3" s="14" t="s">
        <v>15</v>
      </c>
      <c r="C3" s="15">
        <f>SUMIF('Components Yr 1'!C2:C1111,B3,'Components Yr 1'!E2:E1111)</f>
        <v>0</v>
      </c>
      <c r="D3" s="15">
        <f>SUMIF('Components Yr 1'!C2:C1111,B3,'Components Yr 1'!F2:F1111)</f>
        <v>0</v>
      </c>
      <c r="E3" s="15">
        <f>SUMIF('Components Yr 1'!C2:C1111,B3,'Components Yr 1'!G2:G1111)</f>
        <v>0</v>
      </c>
      <c r="F3" s="15">
        <f>SUMIF('Components Yr 1'!C2:C1111,B3,'Components Yr 1'!H2:H1111)</f>
        <v>0</v>
      </c>
      <c r="G3" s="15">
        <f>SUMIF('Components Yr 1'!C2:C1111,B3,'Components Yr 1'!I2:I1111)</f>
        <v>0</v>
      </c>
      <c r="H3" s="15">
        <f>SUMIF('Components Yr 1'!C2:C1111,B3,'Components Yr 1'!J2:J1111)</f>
        <v>0</v>
      </c>
      <c r="I3" s="15">
        <f>SUMIF('Components Yr 2'!C2:C1111,B3,'Components Yr 2'!E2:E1111)</f>
        <v>0</v>
      </c>
      <c r="J3" s="15">
        <f>SUMIF('Components Yr 2'!C2:C1111,B3,'Components Yr 2'!F2:F1111)</f>
        <v>0</v>
      </c>
      <c r="K3" s="15">
        <f>SUMIF('Components Yr 2'!C2:C1111,B3,'Components Yr 2'!G2:G1111)</f>
        <v>0</v>
      </c>
      <c r="L3" s="15">
        <f>SUMIF('Components Yr 2'!C2:C1111,B3,'Components Yr 2'!H2:H1111)</f>
        <v>0</v>
      </c>
      <c r="M3" s="15">
        <f>SUMIF('Components Yr 2'!C2:C1111,B3,'Components Yr 2'!I2:I1111)</f>
        <v>0</v>
      </c>
      <c r="N3" s="15">
        <f>SUMIF('Components Yr 2'!C2:C1111,B3,'Components Yr 2'!J2:J1111)</f>
        <v>0</v>
      </c>
      <c r="O3" s="15">
        <f>SUMIF('Components Yr 3'!C2:C1111,B3,'Components Yr 3'!E2:E1111)</f>
        <v>0</v>
      </c>
      <c r="P3" s="15">
        <f>SUMIF('Components Yr 3'!C2:C1111,B3,'Components Yr 3'!F2:F1111)</f>
        <v>0</v>
      </c>
      <c r="Q3" s="15">
        <f>SUMIF('Components Yr 3'!C2:C1111,B3,'Components Yr 3'!G2:G1111)</f>
        <v>0</v>
      </c>
      <c r="R3" s="15">
        <f>SUMIF('Components Yr 3'!C2:C1111,B3,'Components Yr 3'!H2:H1111)</f>
        <v>0</v>
      </c>
      <c r="S3" s="15">
        <f>SUMIF('Components Yr 3'!C2:C1111,B3,'Components Yr 3'!I2:I1111)</f>
        <v>0</v>
      </c>
      <c r="T3" s="15">
        <f>SUMIF('Components Yr 3'!C2:C1111,B3,'Components Yr 3'!J2:J1111)</f>
        <v>0</v>
      </c>
    </row>
    <row r="4" spans="1:20" x14ac:dyDescent="0.25">
      <c r="A4" s="11">
        <f t="shared" si="0"/>
        <v>0</v>
      </c>
      <c r="B4" s="10" t="s">
        <v>16</v>
      </c>
      <c r="C4" s="11">
        <f>SUMIF('Components Yr 1'!C2:C1111,B4,'Components Yr 1'!E2:E1111)</f>
        <v>0</v>
      </c>
      <c r="D4" s="11">
        <f>SUMIF('Components Yr 1'!C2:C1111,B4,'Components Yr 1'!F2:F1111)</f>
        <v>0</v>
      </c>
      <c r="E4" s="11">
        <f>SUMIF('Components Yr 1'!C2:C1111,B4,'Components Yr 1'!G2:G1111)</f>
        <v>0</v>
      </c>
      <c r="F4" s="11">
        <f>SUMIF('Components Yr 1'!C2:C1111,B4,'Components Yr 1'!H2:H1111)</f>
        <v>0</v>
      </c>
      <c r="G4" s="11">
        <f>SUMIF('Components Yr 1'!C2:C1111,B4,'Components Yr 1'!I2:I1111)</f>
        <v>0</v>
      </c>
      <c r="H4" s="11">
        <f>SUMIF('Components Yr 1'!C2:C1111,B4,'Components Yr 1'!J2:J1111)</f>
        <v>0</v>
      </c>
      <c r="I4" s="11">
        <f>SUMIF('Components Yr 2'!C2:C1111,B4,'Components Yr 2'!E2:E1111)</f>
        <v>0</v>
      </c>
      <c r="J4" s="11">
        <f>SUMIF('Components Yr 2'!C2:C1111,B4,'Components Yr 2'!F2:F1111)</f>
        <v>0</v>
      </c>
      <c r="K4" s="11">
        <f>SUMIF('Components Yr 2'!C2:C1111,B4,'Components Yr 2'!G2:G1111)</f>
        <v>0</v>
      </c>
      <c r="L4" s="11">
        <f>SUMIF('Components Yr 2'!C2:C1111,B4,'Components Yr 2'!H2:H1111)</f>
        <v>0</v>
      </c>
      <c r="M4" s="11">
        <f>SUMIF('Components Yr 2'!C2:C1111,B4,'Components Yr 2'!I2:I1111)</f>
        <v>0</v>
      </c>
      <c r="N4" s="11">
        <f>SUMIF('Components Yr 2'!C2:C1111,B4,'Components Yr 2'!J2:J1111)</f>
        <v>0</v>
      </c>
      <c r="O4" s="11">
        <f>SUMIF('Components Yr 3'!C2:C1111,B4,'Components Yr 3'!E2:E1111)</f>
        <v>0</v>
      </c>
      <c r="P4" s="11">
        <f>SUMIF('Components Yr 3'!C2:C1111,B4,'Components Yr 3'!F2:F1111)</f>
        <v>0</v>
      </c>
      <c r="Q4" s="11">
        <f>SUMIF('Components Yr 3'!C2:C1111,B4,'Components Yr 3'!G2:G1111)</f>
        <v>0</v>
      </c>
      <c r="R4" s="11">
        <f>SUMIF('Components Yr 3'!C2:C1111,B4,'Components Yr 3'!H2:H1111)</f>
        <v>0</v>
      </c>
      <c r="S4" s="11">
        <f>SUMIF('Components Yr 3'!C2:C1111,B4,'Components Yr 3'!I2:I1111)</f>
        <v>0</v>
      </c>
      <c r="T4" s="11">
        <f>SUMIF('Components Yr 3'!C2:C1111,B4,'Components Yr 3'!J2:J1111)</f>
        <v>0</v>
      </c>
    </row>
    <row r="5" spans="1:20" x14ac:dyDescent="0.25">
      <c r="A5" s="15">
        <f t="shared" si="0"/>
        <v>0</v>
      </c>
      <c r="B5" s="14" t="s">
        <v>17</v>
      </c>
      <c r="C5" s="15">
        <f>SUMIF('Components Yr 1'!C2:C1111,B5,'Components Yr 1'!E2:E1111)</f>
        <v>0</v>
      </c>
      <c r="D5" s="15">
        <f>SUMIF('Components Yr 1'!C2:C1111,B5,'Components Yr 1'!F2:F1111)</f>
        <v>0</v>
      </c>
      <c r="E5" s="15">
        <f>SUMIF('Components Yr 1'!C2:C1111,B5,'Components Yr 1'!G2:G1111)</f>
        <v>0</v>
      </c>
      <c r="F5" s="15">
        <f>SUMIF('Components Yr 1'!C2:C1111,B5,'Components Yr 1'!H2:H1111)</f>
        <v>0</v>
      </c>
      <c r="G5" s="15">
        <f>SUMIF('Components Yr 1'!C2:C1111,B5,'Components Yr 1'!I2:I1111)</f>
        <v>0</v>
      </c>
      <c r="H5" s="15">
        <f>SUMIF('Components Yr 1'!C2:C1111,B5,'Components Yr 1'!J2:J1111)</f>
        <v>0</v>
      </c>
      <c r="I5" s="15">
        <f>SUMIF('Components Yr 2'!C2:C1111,B5,'Components Yr 2'!E2:E1111)</f>
        <v>0</v>
      </c>
      <c r="J5" s="15">
        <f>SUMIF('Components Yr 2'!C2:C1111,B5,'Components Yr 2'!F2:F1111)</f>
        <v>0</v>
      </c>
      <c r="K5" s="15">
        <f>SUMIF('Components Yr 2'!C2:C1111,B5,'Components Yr 2'!G2:G1111)</f>
        <v>0</v>
      </c>
      <c r="L5" s="15">
        <f>SUMIF('Components Yr 2'!C2:C1111,B5,'Components Yr 2'!H2:H1111)</f>
        <v>0</v>
      </c>
      <c r="M5" s="15">
        <f>SUMIF('Components Yr 2'!C2:C1111,B5,'Components Yr 2'!I2:I1111)</f>
        <v>0</v>
      </c>
      <c r="N5" s="15">
        <f>SUMIF('Components Yr 2'!C2:C1111,B5,'Components Yr 2'!J2:J1111)</f>
        <v>0</v>
      </c>
      <c r="O5" s="15">
        <f>SUMIF('Components Yr 3'!C2:C1111,B5,'Components Yr 3'!E2:E1111)</f>
        <v>0</v>
      </c>
      <c r="P5" s="15">
        <f>SUMIF('Components Yr 3'!C2:C1111,B5,'Components Yr 3'!F2:F1111)</f>
        <v>0</v>
      </c>
      <c r="Q5" s="15">
        <f>SUMIF('Components Yr 3'!C2:C1111,B5,'Components Yr 3'!G2:G1111)</f>
        <v>0</v>
      </c>
      <c r="R5" s="15">
        <f>SUMIF('Components Yr 3'!C2:C1111,B5,'Components Yr 3'!H2:H1111)</f>
        <v>0</v>
      </c>
      <c r="S5" s="15">
        <f>SUMIF('Components Yr 3'!C2:C1111,B5,'Components Yr 3'!I2:I1111)</f>
        <v>0</v>
      </c>
      <c r="T5" s="15">
        <f>SUMIF('Components Yr 3'!C2:C1111,B5,'Components Yr 3'!J2:J1111)</f>
        <v>0</v>
      </c>
    </row>
    <row r="6" spans="1:20" x14ac:dyDescent="0.25">
      <c r="A6" s="11">
        <f t="shared" si="0"/>
        <v>0</v>
      </c>
      <c r="B6" s="10" t="s">
        <v>18</v>
      </c>
      <c r="C6" s="11">
        <f>SUMIF('Components Yr 1'!C2:C1111,B6,'Components Yr 1'!E2:E1111)</f>
        <v>0</v>
      </c>
      <c r="D6" s="11">
        <f>SUMIF('Components Yr 1'!C2:C1111,B6,'Components Yr 1'!F2:F1111)</f>
        <v>0</v>
      </c>
      <c r="E6" s="11">
        <f>SUMIF('Components Yr 1'!C2:C1111,B6,'Components Yr 1'!G2:G1111)</f>
        <v>0</v>
      </c>
      <c r="F6" s="11">
        <f>SUMIF('Components Yr 1'!C2:C1111,B6,'Components Yr 1'!H2:H1111)</f>
        <v>0</v>
      </c>
      <c r="G6" s="11">
        <f>SUMIF('Components Yr 1'!C2:C1111,B6,'Components Yr 1'!I2:I1111)</f>
        <v>0</v>
      </c>
      <c r="H6" s="11">
        <f>SUMIF('Components Yr 1'!C2:C1111,B6,'Components Yr 1'!J2:J1111)</f>
        <v>0</v>
      </c>
      <c r="I6" s="11">
        <f>SUMIF('Components Yr 2'!C2:C1111,B6,'Components Yr 2'!E2:E1111)</f>
        <v>0</v>
      </c>
      <c r="J6" s="11">
        <f>SUMIF('Components Yr 2'!C2:C1111,B6,'Components Yr 2'!F2:F1111)</f>
        <v>0</v>
      </c>
      <c r="K6" s="11">
        <f>SUMIF('Components Yr 2'!C2:C1111,B6,'Components Yr 2'!G2:G1111)</f>
        <v>0</v>
      </c>
      <c r="L6" s="11">
        <f>SUMIF('Components Yr 2'!C2:C1111,B6,'Components Yr 2'!H2:H1111)</f>
        <v>0</v>
      </c>
      <c r="M6" s="11">
        <f>SUMIF('Components Yr 2'!C2:C1111,B6,'Components Yr 2'!I2:I1111)</f>
        <v>0</v>
      </c>
      <c r="N6" s="11">
        <f>SUMIF('Components Yr 2'!C2:C1111,B6,'Components Yr 2'!J2:J1111)</f>
        <v>0</v>
      </c>
      <c r="O6" s="11">
        <f>SUMIF('Components Yr 3'!C2:C1111,B6,'Components Yr 3'!E2:E1111)</f>
        <v>0</v>
      </c>
      <c r="P6" s="11">
        <f>SUMIF('Components Yr 3'!C2:C1111,B6,'Components Yr 3'!F2:F1111)</f>
        <v>0</v>
      </c>
      <c r="Q6" s="11">
        <f>SUMIF('Components Yr 3'!C2:C1111,B6,'Components Yr 3'!G2:G1111)</f>
        <v>0</v>
      </c>
      <c r="R6" s="11">
        <f>SUMIF('Components Yr 3'!C2:C1111,B6,'Components Yr 3'!H2:H1111)</f>
        <v>0</v>
      </c>
      <c r="S6" s="11">
        <f>SUMIF('Components Yr 3'!C2:C1111,B6,'Components Yr 3'!I2:I1111)</f>
        <v>0</v>
      </c>
      <c r="T6" s="11">
        <f>SUMIF('Components Yr 3'!C2:C1111,B6,'Components Yr 3'!J2:J1111)</f>
        <v>0</v>
      </c>
    </row>
    <row r="7" spans="1:20" x14ac:dyDescent="0.25">
      <c r="A7" s="15">
        <f t="shared" si="0"/>
        <v>0</v>
      </c>
      <c r="B7" s="14" t="s">
        <v>19</v>
      </c>
      <c r="C7" s="15">
        <f>SUMIF('Components Yr 1'!C2:C1111,B7,'Components Yr 1'!E2:E1111)</f>
        <v>0</v>
      </c>
      <c r="D7" s="15">
        <f>SUMIF('Components Yr 1'!C2:C1111,B7,'Components Yr 1'!F2:F1111)</f>
        <v>0</v>
      </c>
      <c r="E7" s="15">
        <f>SUMIF('Components Yr 1'!C2:C1111,B7,'Components Yr 1'!G2:G1111)</f>
        <v>0</v>
      </c>
      <c r="F7" s="15">
        <f>SUMIF('Components Yr 1'!C2:C1111,B7,'Components Yr 1'!H2:H1111)</f>
        <v>0</v>
      </c>
      <c r="G7" s="15">
        <f>SUMIF('Components Yr 1'!C2:C1111,B7,'Components Yr 1'!I2:I1111)</f>
        <v>0</v>
      </c>
      <c r="H7" s="15">
        <f>SUMIF('Components Yr 1'!C2:C1111,B7,'Components Yr 1'!J2:J1111)</f>
        <v>0</v>
      </c>
      <c r="I7" s="15">
        <f>SUMIF('Components Yr 2'!C2:C1111,B7,'Components Yr 2'!E2:E1111)</f>
        <v>0</v>
      </c>
      <c r="J7" s="15">
        <f>SUMIF('Components Yr 2'!C2:C1111,B7,'Components Yr 2'!F2:F1111)</f>
        <v>0</v>
      </c>
      <c r="K7" s="15">
        <f>SUMIF('Components Yr 2'!C2:C1111,B7,'Components Yr 2'!G2:G1111)</f>
        <v>0</v>
      </c>
      <c r="L7" s="15">
        <f>SUMIF('Components Yr 2'!C2:C1111,B7,'Components Yr 2'!H2:H1111)</f>
        <v>0</v>
      </c>
      <c r="M7" s="15">
        <f>SUMIF('Components Yr 2'!C2:C1111,B7,'Components Yr 2'!I2:I1111)</f>
        <v>0</v>
      </c>
      <c r="N7" s="15">
        <f>SUMIF('Components Yr 2'!C2:C1111,B7,'Components Yr 2'!J2:J1111)</f>
        <v>0</v>
      </c>
      <c r="O7" s="15">
        <f>SUMIF('Components Yr 3'!C2:C1111,B7,'Components Yr 3'!E2:E1111)</f>
        <v>0</v>
      </c>
      <c r="P7" s="15">
        <f>SUMIF('Components Yr 3'!C2:C1111,B7,'Components Yr 3'!F2:F1111)</f>
        <v>0</v>
      </c>
      <c r="Q7" s="15">
        <f>SUMIF('Components Yr 3'!C2:C1111,B7,'Components Yr 3'!G2:G1111)</f>
        <v>0</v>
      </c>
      <c r="R7" s="15">
        <f>SUMIF('Components Yr 3'!C2:C1111,B7,'Components Yr 3'!H2:H1111)</f>
        <v>0</v>
      </c>
      <c r="S7" s="15">
        <f>SUMIF('Components Yr 3'!C2:C1111,B7,'Components Yr 3'!I2:I1111)</f>
        <v>0</v>
      </c>
      <c r="T7" s="15">
        <f>SUMIF('Components Yr 3'!C2:C1111,B7,'Components Yr 3'!J2:J1111)</f>
        <v>0</v>
      </c>
    </row>
    <row r="8" spans="1:20" x14ac:dyDescent="0.25">
      <c r="A8" s="11">
        <f t="shared" si="0"/>
        <v>0</v>
      </c>
      <c r="B8" s="10" t="s">
        <v>20</v>
      </c>
      <c r="C8" s="11">
        <f>SUMIF('Components Yr 1'!C2:C1111,B8,'Components Yr 1'!E2:E1111)</f>
        <v>0</v>
      </c>
      <c r="D8" s="11">
        <f>SUMIF('Components Yr 1'!C2:C1111,B8,'Components Yr 1'!F2:F1111)</f>
        <v>0</v>
      </c>
      <c r="E8" s="11">
        <f>SUMIF('Components Yr 1'!C2:C1111,B8,'Components Yr 1'!G2:G1111)</f>
        <v>0</v>
      </c>
      <c r="F8" s="11">
        <f>SUMIF('Components Yr 1'!C2:C1111,B8,'Components Yr 1'!H2:H1111)</f>
        <v>0</v>
      </c>
      <c r="G8" s="11">
        <f>SUMIF('Components Yr 1'!C2:C1111,B8,'Components Yr 1'!I2:I1111)</f>
        <v>0</v>
      </c>
      <c r="H8" s="11">
        <f>SUMIF('Components Yr 1'!C2:C1111,B8,'Components Yr 1'!J2:J1111)</f>
        <v>0</v>
      </c>
      <c r="I8" s="11">
        <f>SUMIF('Components Yr 2'!C2:C1111,B8,'Components Yr 2'!E2:E1111)</f>
        <v>0</v>
      </c>
      <c r="J8" s="11">
        <f>SUMIF('Components Yr 2'!C2:C1111,B8,'Components Yr 2'!F2:F1111)</f>
        <v>0</v>
      </c>
      <c r="K8" s="11">
        <f>SUMIF('Components Yr 2'!C2:C1111,B8,'Components Yr 2'!G2:G1111)</f>
        <v>0</v>
      </c>
      <c r="L8" s="11">
        <f>SUMIF('Components Yr 2'!C2:C1111,B8,'Components Yr 2'!H2:H1111)</f>
        <v>0</v>
      </c>
      <c r="M8" s="11">
        <f>SUMIF('Components Yr 2'!C2:C1111,B8,'Components Yr 2'!I2:I1111)</f>
        <v>0</v>
      </c>
      <c r="N8" s="11">
        <f>SUMIF('Components Yr 2'!C2:C1111,B8,'Components Yr 2'!J2:J1111)</f>
        <v>0</v>
      </c>
      <c r="O8" s="11">
        <f>SUMIF('Components Yr 3'!C2:C1111,B8,'Components Yr 3'!E2:E1111)</f>
        <v>0</v>
      </c>
      <c r="P8" s="11">
        <f>SUMIF('Components Yr 3'!C2:C1111,B8,'Components Yr 3'!F2:F1111)</f>
        <v>0</v>
      </c>
      <c r="Q8" s="11">
        <f>SUMIF('Components Yr 3'!C2:C1111,B8,'Components Yr 3'!G2:G1111)</f>
        <v>0</v>
      </c>
      <c r="R8" s="11">
        <f>SUMIF('Components Yr 3'!C2:C1111,B8,'Components Yr 3'!H2:H1111)</f>
        <v>0</v>
      </c>
      <c r="S8" s="11">
        <f>SUMIF('Components Yr 3'!C2:C1111,B8,'Components Yr 3'!I2:I1111)</f>
        <v>0</v>
      </c>
      <c r="T8" s="11">
        <f>SUMIF('Components Yr 3'!C2:C1111,B8,'Components Yr 3'!J2:J1111)</f>
        <v>0</v>
      </c>
    </row>
    <row r="9" spans="1:20" x14ac:dyDescent="0.25">
      <c r="A9" s="15">
        <f t="shared" si="0"/>
        <v>0</v>
      </c>
      <c r="B9" s="14" t="s">
        <v>21</v>
      </c>
      <c r="C9" s="15">
        <f>SUMIF('Components Yr 1'!C2:C1111,B9,'Components Yr 1'!E2:E1111)</f>
        <v>0</v>
      </c>
      <c r="D9" s="15">
        <f>SUMIF('Components Yr 1'!C2:C1111,B9,'Components Yr 1'!F2:F1111)</f>
        <v>0</v>
      </c>
      <c r="E9" s="15">
        <f>SUMIF('Components Yr 1'!C2:C1111,B9,'Components Yr 1'!G2:G1111)</f>
        <v>0</v>
      </c>
      <c r="F9" s="15">
        <f>SUMIF('Components Yr 1'!C2:C1111,B9,'Components Yr 1'!H2:H1111)</f>
        <v>0</v>
      </c>
      <c r="G9" s="15">
        <f>SUMIF('Components Yr 1'!C2:C1111,B9,'Components Yr 1'!I2:I1111)</f>
        <v>0</v>
      </c>
      <c r="H9" s="15">
        <f>SUMIF('Components Yr 1'!C2:C1111,B9,'Components Yr 1'!J2:J1111)</f>
        <v>0</v>
      </c>
      <c r="I9" s="15">
        <f>SUMIF('Components Yr 2'!C2:C1111,B9,'Components Yr 2'!E2:E1111)</f>
        <v>0</v>
      </c>
      <c r="J9" s="15">
        <f>SUMIF('Components Yr 2'!C2:C1111,B9,'Components Yr 2'!F2:F1111)</f>
        <v>0</v>
      </c>
      <c r="K9" s="15">
        <f>SUMIF('Components Yr 2'!C2:C1111,B9,'Components Yr 2'!G2:G1111)</f>
        <v>0</v>
      </c>
      <c r="L9" s="15">
        <f>SUMIF('Components Yr 2'!C2:C1111,B9,'Components Yr 2'!H2:H1111)</f>
        <v>0</v>
      </c>
      <c r="M9" s="15">
        <f>SUMIF('Components Yr 2'!C2:C1111,B9,'Components Yr 2'!I2:I1111)</f>
        <v>0</v>
      </c>
      <c r="N9" s="15">
        <f>SUMIF('Components Yr 2'!C2:C1111,B9,'Components Yr 2'!J2:J1111)</f>
        <v>0</v>
      </c>
      <c r="O9" s="15">
        <f>SUMIF('Components Yr 3'!C2:C1111,B9,'Components Yr 3'!E2:E1111)</f>
        <v>0</v>
      </c>
      <c r="P9" s="15">
        <f>SUMIF('Components Yr 3'!C2:C1111,B9,'Components Yr 3'!F2:F1111)</f>
        <v>0</v>
      </c>
      <c r="Q9" s="15">
        <f>SUMIF('Components Yr 3'!C2:C1111,B9,'Components Yr 3'!G2:G1111)</f>
        <v>0</v>
      </c>
      <c r="R9" s="15">
        <f>SUMIF('Components Yr 3'!C2:C1111,B9,'Components Yr 3'!H2:H1111)</f>
        <v>0</v>
      </c>
      <c r="S9" s="15">
        <f>SUMIF('Components Yr 3'!C2:C1111,B9,'Components Yr 3'!I2:I1111)</f>
        <v>0</v>
      </c>
      <c r="T9" s="15">
        <f>SUMIF('Components Yr 3'!C2:C1111,B9,'Components Yr 3'!J2:J1111)</f>
        <v>0</v>
      </c>
    </row>
    <row r="10" spans="1:20" x14ac:dyDescent="0.25">
      <c r="A10" s="11">
        <f t="shared" si="0"/>
        <v>0</v>
      </c>
      <c r="B10" s="10" t="s">
        <v>22</v>
      </c>
      <c r="C10" s="11">
        <f>SUMIF('Components Yr 1'!C2:C1111,B10,'Components Yr 1'!E2:E1111)</f>
        <v>0</v>
      </c>
      <c r="D10" s="11">
        <f>SUMIF('Components Yr 1'!C2:C1111,B10,'Components Yr 1'!F2:F1111)</f>
        <v>0</v>
      </c>
      <c r="E10" s="11">
        <f>SUMIF('Components Yr 1'!C2:C1111,B10,'Components Yr 1'!G2:G1111)</f>
        <v>0</v>
      </c>
      <c r="F10" s="11">
        <f>SUMIF('Components Yr 1'!C2:C1111,B10,'Components Yr 1'!H2:H1111)</f>
        <v>0</v>
      </c>
      <c r="G10" s="11">
        <f>SUMIF('Components Yr 1'!C2:C1111,B10,'Components Yr 1'!I2:I1111)</f>
        <v>0</v>
      </c>
      <c r="H10" s="11">
        <f>SUMIF('Components Yr 1'!C2:C1111,B10,'Components Yr 1'!J2:J1111)</f>
        <v>0</v>
      </c>
      <c r="I10" s="11">
        <f>SUMIF('Components Yr 2'!C2:C1111,B10,'Components Yr 2'!E2:E1111)</f>
        <v>0</v>
      </c>
      <c r="J10" s="11">
        <f>SUMIF('Components Yr 2'!C2:C1111,B10,'Components Yr 2'!F2:F1111)</f>
        <v>0</v>
      </c>
      <c r="K10" s="11">
        <f>SUMIF('Components Yr 2'!C2:C1111,B10,'Components Yr 2'!G2:G1111)</f>
        <v>0</v>
      </c>
      <c r="L10" s="11">
        <f>SUMIF('Components Yr 2'!C2:C1111,B10,'Components Yr 2'!H2:H1111)</f>
        <v>0</v>
      </c>
      <c r="M10" s="11">
        <f>SUMIF('Components Yr 2'!C2:C1111,B10,'Components Yr 2'!I2:I1111)</f>
        <v>0</v>
      </c>
      <c r="N10" s="11">
        <f>SUMIF('Components Yr 2'!C2:C1111,B10,'Components Yr 2'!J2:J1111)</f>
        <v>0</v>
      </c>
      <c r="O10" s="11">
        <f>SUMIF('Components Yr 3'!C2:C1111,B10,'Components Yr 3'!E2:E1111)</f>
        <v>0</v>
      </c>
      <c r="P10" s="11">
        <f>SUMIF('Components Yr 3'!C2:C1111,B10,'Components Yr 3'!F2:F1111)</f>
        <v>0</v>
      </c>
      <c r="Q10" s="11">
        <f>SUMIF('Components Yr 3'!C2:C1111,B10,'Components Yr 3'!G2:G1111)</f>
        <v>0</v>
      </c>
      <c r="R10" s="11">
        <f>SUMIF('Components Yr 3'!C2:C1111,B10,'Components Yr 3'!H2:H1111)</f>
        <v>0</v>
      </c>
      <c r="S10" s="11">
        <f>SUMIF('Components Yr 3'!C2:C1111,B10,'Components Yr 3'!I2:I1111)</f>
        <v>0</v>
      </c>
      <c r="T10" s="11">
        <f>SUMIF('Components Yr 3'!C2:C1111,B10,'Components Yr 3'!J2:J1111)</f>
        <v>0</v>
      </c>
    </row>
    <row r="11" spans="1:20" x14ac:dyDescent="0.25">
      <c r="A11" s="15">
        <f t="shared" si="0"/>
        <v>0</v>
      </c>
      <c r="B11" s="14" t="s">
        <v>23</v>
      </c>
      <c r="C11" s="15">
        <f>SUMIF('Components Yr 1'!C2:C1111,B11,'Components Yr 1'!E2:E1111)</f>
        <v>0</v>
      </c>
      <c r="D11" s="15">
        <f>SUMIF('Components Yr 1'!C2:C1111,B11,'Components Yr 1'!F2:F1111)</f>
        <v>0</v>
      </c>
      <c r="E11" s="15">
        <f>SUMIF('Components Yr 1'!C2:C1111,B11,'Components Yr 1'!G2:G1111)</f>
        <v>0</v>
      </c>
      <c r="F11" s="15">
        <f>SUMIF('Components Yr 1'!C2:C1111,B11,'Components Yr 1'!H2:H1111)</f>
        <v>0</v>
      </c>
      <c r="G11" s="15">
        <f>SUMIF('Components Yr 1'!C2:C1111,B11,'Components Yr 1'!I2:I1111)</f>
        <v>0</v>
      </c>
      <c r="H11" s="15">
        <f>SUMIF('Components Yr 1'!C2:C1111,B11,'Components Yr 1'!J2:J1111)</f>
        <v>0</v>
      </c>
      <c r="I11" s="15">
        <f>SUMIF('Components Yr 2'!C2:C1111,B11,'Components Yr 2'!E2:E1111)</f>
        <v>0</v>
      </c>
      <c r="J11" s="15">
        <f>SUMIF('Components Yr 2'!C2:C1111,B11,'Components Yr 2'!F2:F1111)</f>
        <v>0</v>
      </c>
      <c r="K11" s="15">
        <f>SUMIF('Components Yr 2'!C2:C1111,B11,'Components Yr 2'!G2:G1111)</f>
        <v>0</v>
      </c>
      <c r="L11" s="15">
        <f>SUMIF('Components Yr 2'!C2:C1111,B11,'Components Yr 2'!H2:H1111)</f>
        <v>0</v>
      </c>
      <c r="M11" s="15">
        <f>SUMIF('Components Yr 2'!C2:C1111,B11,'Components Yr 2'!I2:I1111)</f>
        <v>0</v>
      </c>
      <c r="N11" s="15">
        <f>SUMIF('Components Yr 2'!C2:C1111,B11,'Components Yr 2'!J2:J1111)</f>
        <v>0</v>
      </c>
      <c r="O11" s="15">
        <f>SUMIF('Components Yr 3'!C2:C1111,B11,'Components Yr 3'!E2:E1111)</f>
        <v>0</v>
      </c>
      <c r="P11" s="15">
        <f>SUMIF('Components Yr 3'!C2:C1111,B11,'Components Yr 3'!F2:F1111)</f>
        <v>0</v>
      </c>
      <c r="Q11" s="15">
        <f>SUMIF('Components Yr 3'!C2:C1111,B11,'Components Yr 3'!G2:G1111)</f>
        <v>0</v>
      </c>
      <c r="R11" s="15">
        <f>SUMIF('Components Yr 3'!C2:C1111,B11,'Components Yr 3'!H2:H1111)</f>
        <v>0</v>
      </c>
      <c r="S11" s="15">
        <f>SUMIF('Components Yr 3'!C2:C1111,B11,'Components Yr 3'!I2:I1111)</f>
        <v>0</v>
      </c>
      <c r="T11" s="15">
        <f>SUMIF('Components Yr 3'!C2:C1111,B11,'Components Yr 3'!J2:J1111)</f>
        <v>0</v>
      </c>
    </row>
    <row r="12" spans="1:20" x14ac:dyDescent="0.25">
      <c r="A12" s="11">
        <f t="shared" si="0"/>
        <v>0</v>
      </c>
      <c r="B12" s="10" t="s">
        <v>24</v>
      </c>
      <c r="C12" s="11">
        <f>SUMIF('Components Yr 1'!C2:C1111,B12,'Components Yr 1'!E2:E1111)</f>
        <v>0</v>
      </c>
      <c r="D12" s="11">
        <f>SUMIF('Components Yr 1'!C2:C1111,B12,'Components Yr 1'!F2:F1111)</f>
        <v>0</v>
      </c>
      <c r="E12" s="11">
        <f>SUMIF('Components Yr 1'!C2:C1111,B12,'Components Yr 1'!G2:G1111)</f>
        <v>0</v>
      </c>
      <c r="F12" s="11">
        <f>SUMIF('Components Yr 1'!C2:C1111,B12,'Components Yr 1'!H2:H1111)</f>
        <v>0</v>
      </c>
      <c r="G12" s="11">
        <f>SUMIF('Components Yr 1'!C2:C1111,B12,'Components Yr 1'!I2:I1111)</f>
        <v>0</v>
      </c>
      <c r="H12" s="11">
        <f>SUMIF('Components Yr 1'!C2:C1111,B12,'Components Yr 1'!J2:J1111)</f>
        <v>0</v>
      </c>
      <c r="I12" s="11">
        <f>SUMIF('Components Yr 2'!C2:C1111,B12,'Components Yr 2'!E2:E1111)</f>
        <v>0</v>
      </c>
      <c r="J12" s="11">
        <f>SUMIF('Components Yr 2'!C2:C1111,B12,'Components Yr 2'!F2:F1111)</f>
        <v>0</v>
      </c>
      <c r="K12" s="11">
        <f>SUMIF('Components Yr 2'!C2:C1111,B12,'Components Yr 2'!G2:G1111)</f>
        <v>0</v>
      </c>
      <c r="L12" s="11">
        <f>SUMIF('Components Yr 2'!C2:C1111,B12,'Components Yr 2'!H2:H1111)</f>
        <v>0</v>
      </c>
      <c r="M12" s="11">
        <f>SUMIF('Components Yr 2'!C2:C1111,B12,'Components Yr 2'!I2:I1111)</f>
        <v>0</v>
      </c>
      <c r="N12" s="11">
        <f>SUMIF('Components Yr 2'!C2:C1111,B12,'Components Yr 2'!J2:J1111)</f>
        <v>0</v>
      </c>
      <c r="O12" s="11">
        <f>SUMIF('Components Yr 3'!C2:C1111,B12,'Components Yr 3'!E2:E1111)</f>
        <v>0</v>
      </c>
      <c r="P12" s="11">
        <f>SUMIF('Components Yr 3'!C2:C1111,B12,'Components Yr 3'!F2:F1111)</f>
        <v>0</v>
      </c>
      <c r="Q12" s="11">
        <f>SUMIF('Components Yr 3'!C2:C1111,B12,'Components Yr 3'!G2:G1111)</f>
        <v>0</v>
      </c>
      <c r="R12" s="11">
        <f>SUMIF('Components Yr 3'!C2:C1111,B12,'Components Yr 3'!H2:H1111)</f>
        <v>0</v>
      </c>
      <c r="S12" s="11">
        <f>SUMIF('Components Yr 3'!C2:C1111,B12,'Components Yr 3'!I2:I1111)</f>
        <v>0</v>
      </c>
      <c r="T12" s="11">
        <f>SUMIF('Components Yr 3'!C2:C1111,B12,'Components Yr 3'!J2:J1111)</f>
        <v>0</v>
      </c>
    </row>
    <row r="13" spans="1:20" x14ac:dyDescent="0.25">
      <c r="A13" s="15">
        <f t="shared" si="0"/>
        <v>0</v>
      </c>
      <c r="B13" s="14" t="s">
        <v>25</v>
      </c>
      <c r="C13" s="15">
        <f>SUMIF('Components Yr 1'!C2:C1111,B13,'Components Yr 1'!E2:E1111)</f>
        <v>0</v>
      </c>
      <c r="D13" s="15">
        <f>SUMIF('Components Yr 1'!C2:C1111,B13,'Components Yr 1'!F2:F1111)</f>
        <v>0</v>
      </c>
      <c r="E13" s="15">
        <f>SUMIF('Components Yr 1'!C2:C1111,B13,'Components Yr 1'!G2:G1111)</f>
        <v>0</v>
      </c>
      <c r="F13" s="15">
        <f>SUMIF('Components Yr 1'!C2:C1111,B13,'Components Yr 1'!H2:H1111)</f>
        <v>0</v>
      </c>
      <c r="G13" s="15">
        <f>SUMIF('Components Yr 1'!C2:C1111,B13,'Components Yr 1'!I2:I1111)</f>
        <v>0</v>
      </c>
      <c r="H13" s="15">
        <f>SUMIF('Components Yr 1'!C2:C1111,B13,'Components Yr 1'!J2:J1111)</f>
        <v>0</v>
      </c>
      <c r="I13" s="15">
        <f>SUMIF('Components Yr 2'!C2:C1111,B13,'Components Yr 2'!E2:E1111)</f>
        <v>0</v>
      </c>
      <c r="J13" s="15">
        <f>SUMIF('Components Yr 2'!C2:C1111,B13,'Components Yr 2'!F2:F1111)</f>
        <v>0</v>
      </c>
      <c r="K13" s="15">
        <f>SUMIF('Components Yr 2'!C2:C1111,B13,'Components Yr 2'!G2:G1111)</f>
        <v>0</v>
      </c>
      <c r="L13" s="15">
        <f>SUMIF('Components Yr 2'!C2:C1111,B13,'Components Yr 2'!H2:H1111)</f>
        <v>0</v>
      </c>
      <c r="M13" s="15">
        <f>SUMIF('Components Yr 2'!C2:C1111,B13,'Components Yr 2'!I2:I1111)</f>
        <v>0</v>
      </c>
      <c r="N13" s="15">
        <f>SUMIF('Components Yr 2'!C2:C1111,B13,'Components Yr 2'!J2:J1111)</f>
        <v>0</v>
      </c>
      <c r="O13" s="15">
        <f>SUMIF('Components Yr 3'!C2:C1111,B13,'Components Yr 3'!E2:E1111)</f>
        <v>0</v>
      </c>
      <c r="P13" s="15">
        <f>SUMIF('Components Yr 3'!C2:C1111,B13,'Components Yr 3'!F2:F1111)</f>
        <v>0</v>
      </c>
      <c r="Q13" s="15">
        <f>SUMIF('Components Yr 3'!C2:C1111,B13,'Components Yr 3'!G2:G1111)</f>
        <v>0</v>
      </c>
      <c r="R13" s="15">
        <f>SUMIF('Components Yr 3'!C2:C1111,B13,'Components Yr 3'!H2:H1111)</f>
        <v>0</v>
      </c>
      <c r="S13" s="15">
        <f>SUMIF('Components Yr 3'!C2:C1111,B13,'Components Yr 3'!I2:I1111)</f>
        <v>0</v>
      </c>
      <c r="T13" s="15">
        <f>SUMIF('Components Yr 3'!C2:C1111,B13,'Components Yr 3'!J2:J1111)</f>
        <v>0</v>
      </c>
    </row>
    <row r="14" spans="1:20" x14ac:dyDescent="0.25">
      <c r="A14" s="11">
        <f t="shared" si="0"/>
        <v>0</v>
      </c>
      <c r="B14" s="10" t="s">
        <v>26</v>
      </c>
      <c r="C14" s="11">
        <f>SUMIF('Components Yr 1'!C2:C1111,B14,'Components Yr 1'!E2:E1111)</f>
        <v>0</v>
      </c>
      <c r="D14" s="11">
        <f>SUMIF('Components Yr 1'!C2:C1111,B14,'Components Yr 1'!F2:F1111)</f>
        <v>0</v>
      </c>
      <c r="E14" s="11">
        <f>SUMIF('Components Yr 1'!C2:C1111,B14,'Components Yr 1'!G2:G1111)</f>
        <v>0</v>
      </c>
      <c r="F14" s="11">
        <f>SUMIF('Components Yr 1'!C2:C1111,B14,'Components Yr 1'!H2:H1111)</f>
        <v>0</v>
      </c>
      <c r="G14" s="11">
        <f>SUMIF('Components Yr 1'!C2:C1111,B14,'Components Yr 1'!I2:I1111)</f>
        <v>0</v>
      </c>
      <c r="H14" s="11">
        <f>SUMIF('Components Yr 1'!C2:C1111,B14,'Components Yr 1'!J2:J1111)</f>
        <v>0</v>
      </c>
      <c r="I14" s="11">
        <f>SUMIF('Components Yr 2'!C2:C1111,B14,'Components Yr 2'!E2:E1111)</f>
        <v>0</v>
      </c>
      <c r="J14" s="11">
        <f>SUMIF('Components Yr 2'!C2:C1111,B14,'Components Yr 2'!F2:F1111)</f>
        <v>0</v>
      </c>
      <c r="K14" s="11">
        <f>SUMIF('Components Yr 2'!C2:C1111,B14,'Components Yr 2'!G2:G1111)</f>
        <v>0</v>
      </c>
      <c r="L14" s="11">
        <f>SUMIF('Components Yr 2'!C2:C1111,B14,'Components Yr 2'!H2:H1111)</f>
        <v>0</v>
      </c>
      <c r="M14" s="11">
        <f>SUMIF('Components Yr 2'!C2:C1111,B14,'Components Yr 2'!I2:I1111)</f>
        <v>0</v>
      </c>
      <c r="N14" s="11">
        <f>SUMIF('Components Yr 2'!C2:C1111,B14,'Components Yr 2'!J2:J1111)</f>
        <v>0</v>
      </c>
      <c r="O14" s="11">
        <f>SUMIF('Components Yr 3'!C2:C1111,B14,'Components Yr 3'!E2:E1111)</f>
        <v>0</v>
      </c>
      <c r="P14" s="11">
        <f>SUMIF('Components Yr 3'!C2:C1111,B14,'Components Yr 3'!F2:F1111)</f>
        <v>0</v>
      </c>
      <c r="Q14" s="11">
        <f>SUMIF('Components Yr 3'!C2:C1111,B14,'Components Yr 3'!G2:G1111)</f>
        <v>0</v>
      </c>
      <c r="R14" s="11">
        <f>SUMIF('Components Yr 3'!C2:C1111,B14,'Components Yr 3'!H2:H1111)</f>
        <v>0</v>
      </c>
      <c r="S14" s="11">
        <f>SUMIF('Components Yr 3'!C2:C1111,B14,'Components Yr 3'!I2:I1111)</f>
        <v>0</v>
      </c>
      <c r="T14" s="11">
        <f>SUMIF('Components Yr 3'!C2:C1111,B14,'Components Yr 3'!J2:J1111)</f>
        <v>0</v>
      </c>
    </row>
    <row r="15" spans="1:20" x14ac:dyDescent="0.25">
      <c r="A15" s="15">
        <f t="shared" si="0"/>
        <v>0</v>
      </c>
      <c r="B15" s="14" t="s">
        <v>27</v>
      </c>
      <c r="C15" s="15">
        <f>SUMIF('Components Yr 1'!C2:C1111,B15,'Components Yr 1'!E2:E1111)</f>
        <v>0</v>
      </c>
      <c r="D15" s="15">
        <f>SUMIF('Components Yr 1'!C2:C1111,B15,'Components Yr 1'!F2:F1111)</f>
        <v>0</v>
      </c>
      <c r="E15" s="15">
        <f>SUMIF('Components Yr 1'!C2:C1111,B15,'Components Yr 1'!G2:G1111)</f>
        <v>0</v>
      </c>
      <c r="F15" s="15">
        <f>SUMIF('Components Yr 1'!C2:C1111,B15,'Components Yr 1'!H2:H1111)</f>
        <v>0</v>
      </c>
      <c r="G15" s="15">
        <f>SUMIF('Components Yr 1'!C2:C1111,B15,'Components Yr 1'!I2:I1111)</f>
        <v>0</v>
      </c>
      <c r="H15" s="15">
        <f>SUMIF('Components Yr 1'!C2:C1111,B15,'Components Yr 1'!J2:J1111)</f>
        <v>0</v>
      </c>
      <c r="I15" s="15">
        <f>SUMIF('Components Yr 2'!C2:C1111,B15,'Components Yr 2'!E2:E1111)</f>
        <v>0</v>
      </c>
      <c r="J15" s="15">
        <f>SUMIF('Components Yr 2'!C2:C1111,B15,'Components Yr 2'!F2:F1111)</f>
        <v>0</v>
      </c>
      <c r="K15" s="15">
        <f>SUMIF('Components Yr 2'!C2:C1111,B15,'Components Yr 2'!G2:G1111)</f>
        <v>0</v>
      </c>
      <c r="L15" s="15">
        <f>SUMIF('Components Yr 2'!C2:C1111,B15,'Components Yr 2'!H2:H1111)</f>
        <v>0</v>
      </c>
      <c r="M15" s="15">
        <f>SUMIF('Components Yr 2'!C2:C1111,B15,'Components Yr 2'!I2:I1111)</f>
        <v>0</v>
      </c>
      <c r="N15" s="15">
        <f>SUMIF('Components Yr 2'!C2:C1111,B15,'Components Yr 2'!J2:J1111)</f>
        <v>0</v>
      </c>
      <c r="O15" s="15">
        <f>SUMIF('Components Yr 3'!C2:C1111,B15,'Components Yr 3'!E2:E1111)</f>
        <v>0</v>
      </c>
      <c r="P15" s="15">
        <f>SUMIF('Components Yr 3'!C2:C1111,B15,'Components Yr 3'!F2:F1111)</f>
        <v>0</v>
      </c>
      <c r="Q15" s="15">
        <f>SUMIF('Components Yr 3'!C2:C1111,B15,'Components Yr 3'!G2:G1111)</f>
        <v>0</v>
      </c>
      <c r="R15" s="15">
        <f>SUMIF('Components Yr 3'!C2:C1111,B15,'Components Yr 3'!H2:H1111)</f>
        <v>0</v>
      </c>
      <c r="S15" s="15">
        <f>SUMIF('Components Yr 3'!C2:C1111,B15,'Components Yr 3'!I2:I1111)</f>
        <v>0</v>
      </c>
      <c r="T15" s="15">
        <f>SUMIF('Components Yr 3'!C2:C1111,B15,'Components Yr 3'!J2:J1111)</f>
        <v>0</v>
      </c>
    </row>
    <row r="16" spans="1:20" x14ac:dyDescent="0.25">
      <c r="A16" s="11">
        <f t="shared" si="0"/>
        <v>0</v>
      </c>
      <c r="B16" s="10" t="s">
        <v>28</v>
      </c>
      <c r="C16" s="11">
        <f>SUMIF('Components Yr 1'!C2:C1111,B16,'Components Yr 1'!E2:E1111)</f>
        <v>0</v>
      </c>
      <c r="D16" s="11">
        <f>SUMIF('Components Yr 1'!C2:C1111,B16,'Components Yr 1'!F2:F1111)</f>
        <v>0</v>
      </c>
      <c r="E16" s="11">
        <f>SUMIF('Components Yr 1'!C2:C1111,B16,'Components Yr 1'!G2:G1111)</f>
        <v>0</v>
      </c>
      <c r="F16" s="11">
        <f>SUMIF('Components Yr 1'!C2:C1111,B16,'Components Yr 1'!H2:H1111)</f>
        <v>0</v>
      </c>
      <c r="G16" s="11">
        <f>SUMIF('Components Yr 1'!C2:C1111,B16,'Components Yr 1'!I2:I1111)</f>
        <v>0</v>
      </c>
      <c r="H16" s="11">
        <f>SUMIF('Components Yr 1'!C2:C1111,B16,'Components Yr 1'!J2:J1111)</f>
        <v>0</v>
      </c>
      <c r="I16" s="11">
        <f>SUMIF('Components Yr 2'!C2:C1111,B16,'Components Yr 2'!E2:E1111)</f>
        <v>0</v>
      </c>
      <c r="J16" s="11">
        <f>SUMIF('Components Yr 2'!C2:C1111,B16,'Components Yr 2'!F2:F1111)</f>
        <v>0</v>
      </c>
      <c r="K16" s="11">
        <f>SUMIF('Components Yr 2'!C2:C1111,B16,'Components Yr 2'!G2:G1111)</f>
        <v>0</v>
      </c>
      <c r="L16" s="11">
        <f>SUMIF('Components Yr 2'!C2:C1111,B16,'Components Yr 2'!H2:H1111)</f>
        <v>0</v>
      </c>
      <c r="M16" s="11">
        <f>SUMIF('Components Yr 2'!C2:C1111,B16,'Components Yr 2'!I2:I1111)</f>
        <v>0</v>
      </c>
      <c r="N16" s="11">
        <f>SUMIF('Components Yr 2'!C2:C1111,B16,'Components Yr 2'!J2:J1111)</f>
        <v>0</v>
      </c>
      <c r="O16" s="11">
        <f>SUMIF('Components Yr 3'!C2:C1111,B16,'Components Yr 3'!E2:E1111)</f>
        <v>0</v>
      </c>
      <c r="P16" s="11">
        <f>SUMIF('Components Yr 3'!C2:C1111,B16,'Components Yr 3'!F2:F1111)</f>
        <v>0</v>
      </c>
      <c r="Q16" s="11">
        <f>SUMIF('Components Yr 3'!C2:C1111,B16,'Components Yr 3'!G2:G1111)</f>
        <v>0</v>
      </c>
      <c r="R16" s="11">
        <f>SUMIF('Components Yr 3'!C2:C1111,B16,'Components Yr 3'!H2:H1111)</f>
        <v>0</v>
      </c>
      <c r="S16" s="11">
        <f>SUMIF('Components Yr 3'!C2:C1111,B16,'Components Yr 3'!I2:I1111)</f>
        <v>0</v>
      </c>
      <c r="T16" s="11">
        <f>SUMIF('Components Yr 3'!C2:C1111,B16,'Components Yr 3'!J2:J1111)</f>
        <v>0</v>
      </c>
    </row>
    <row r="17" spans="1:20" x14ac:dyDescent="0.25">
      <c r="A17" s="15">
        <f t="shared" si="0"/>
        <v>0</v>
      </c>
      <c r="B17" s="14" t="s">
        <v>29</v>
      </c>
      <c r="C17" s="15">
        <f>SUMIF('Components Yr 1'!C2:C1111,B17,'Components Yr 1'!E2:E1111)</f>
        <v>0</v>
      </c>
      <c r="D17" s="15">
        <f>SUMIF('Components Yr 1'!C2:C1111,B17,'Components Yr 1'!F2:F1111)</f>
        <v>0</v>
      </c>
      <c r="E17" s="15">
        <f>SUMIF('Components Yr 1'!C2:C1111,B17,'Components Yr 1'!G2:G1111)</f>
        <v>0</v>
      </c>
      <c r="F17" s="15">
        <f>SUMIF('Components Yr 1'!C2:C1111,B17,'Components Yr 1'!H2:H1111)</f>
        <v>0</v>
      </c>
      <c r="G17" s="15">
        <f>SUMIF('Components Yr 1'!C2:C1111,B17,'Components Yr 1'!I2:I1111)</f>
        <v>0</v>
      </c>
      <c r="H17" s="15">
        <f>SUMIF('Components Yr 1'!C2:C1111,B17,'Components Yr 1'!J2:J1111)</f>
        <v>0</v>
      </c>
      <c r="I17" s="15">
        <f>SUMIF('Components Yr 2'!C2:C1111,B17,'Components Yr 2'!E2:E1111)</f>
        <v>0</v>
      </c>
      <c r="J17" s="15">
        <f>SUMIF('Components Yr 2'!C2:C1111,B17,'Components Yr 2'!F2:F1111)</f>
        <v>0</v>
      </c>
      <c r="K17" s="15">
        <f>SUMIF('Components Yr 2'!C2:C1111,B17,'Components Yr 2'!G2:G1111)</f>
        <v>0</v>
      </c>
      <c r="L17" s="15">
        <f>SUMIF('Components Yr 2'!C2:C1111,B17,'Components Yr 2'!H2:H1111)</f>
        <v>0</v>
      </c>
      <c r="M17" s="15">
        <f>SUMIF('Components Yr 2'!C2:C1111,B17,'Components Yr 2'!I2:I1111)</f>
        <v>0</v>
      </c>
      <c r="N17" s="15">
        <f>SUMIF('Components Yr 2'!C2:C1111,B17,'Components Yr 2'!J2:J1111)</f>
        <v>0</v>
      </c>
      <c r="O17" s="15">
        <f>SUMIF('Components Yr 3'!C2:C1111,B17,'Components Yr 3'!E2:E1111)</f>
        <v>0</v>
      </c>
      <c r="P17" s="15">
        <f>SUMIF('Components Yr 3'!C2:C1111,B17,'Components Yr 3'!F2:F1111)</f>
        <v>0</v>
      </c>
      <c r="Q17" s="15">
        <f>SUMIF('Components Yr 3'!C2:C1111,B17,'Components Yr 3'!G2:G1111)</f>
        <v>0</v>
      </c>
      <c r="R17" s="15">
        <f>SUMIF('Components Yr 3'!C2:C1111,B17,'Components Yr 3'!H2:H1111)</f>
        <v>0</v>
      </c>
      <c r="S17" s="15">
        <f>SUMIF('Components Yr 3'!C2:C1111,B17,'Components Yr 3'!I2:I1111)</f>
        <v>0</v>
      </c>
      <c r="T17" s="15">
        <f>SUMIF('Components Yr 3'!C2:C1111,B17,'Components Yr 3'!J2:J1111)</f>
        <v>0</v>
      </c>
    </row>
    <row r="18" spans="1:20" x14ac:dyDescent="0.25">
      <c r="A18" s="11">
        <f t="shared" si="0"/>
        <v>0</v>
      </c>
      <c r="B18" s="10" t="s">
        <v>30</v>
      </c>
      <c r="C18" s="11">
        <f>SUMIF('Components Yr 1'!C2:C1111,B18,'Components Yr 1'!E2:E1111)</f>
        <v>0</v>
      </c>
      <c r="D18" s="11">
        <f>SUMIF('Components Yr 1'!C2:C1111,B18,'Components Yr 1'!F2:F1111)</f>
        <v>0</v>
      </c>
      <c r="E18" s="11">
        <f>SUMIF('Components Yr 1'!C2:C1111,B18,'Components Yr 1'!G2:G1111)</f>
        <v>0</v>
      </c>
      <c r="F18" s="11">
        <f>SUMIF('Components Yr 1'!C2:C1111,B18,'Components Yr 1'!H2:H1111)</f>
        <v>0</v>
      </c>
      <c r="G18" s="11">
        <f>SUMIF('Components Yr 1'!C2:C1111,B18,'Components Yr 1'!I2:I1111)</f>
        <v>0</v>
      </c>
      <c r="H18" s="11">
        <f>SUMIF('Components Yr 1'!C2:C1111,B18,'Components Yr 1'!J2:J1111)</f>
        <v>0</v>
      </c>
      <c r="I18" s="11">
        <f>SUMIF('Components Yr 2'!C2:C1111,B18,'Components Yr 2'!E2:E1111)</f>
        <v>0</v>
      </c>
      <c r="J18" s="11">
        <f>SUMIF('Components Yr 2'!C2:C1111,B18,'Components Yr 2'!F2:F1111)</f>
        <v>0</v>
      </c>
      <c r="K18" s="11">
        <f>SUMIF('Components Yr 2'!C2:C1111,B18,'Components Yr 2'!G2:G1111)</f>
        <v>0</v>
      </c>
      <c r="L18" s="11">
        <f>SUMIF('Components Yr 2'!C2:C1111,B18,'Components Yr 2'!H2:H1111)</f>
        <v>0</v>
      </c>
      <c r="M18" s="11">
        <f>SUMIF('Components Yr 2'!C2:C1111,B18,'Components Yr 2'!I2:I1111)</f>
        <v>0</v>
      </c>
      <c r="N18" s="11">
        <f>SUMIF('Components Yr 2'!C2:C1111,B18,'Components Yr 2'!J2:J1111)</f>
        <v>0</v>
      </c>
      <c r="O18" s="11">
        <f>SUMIF('Components Yr 3'!C2:C1111,B18,'Components Yr 3'!E2:E1111)</f>
        <v>0</v>
      </c>
      <c r="P18" s="11">
        <f>SUMIF('Components Yr 3'!C2:C1111,B18,'Components Yr 3'!F2:F1111)</f>
        <v>0</v>
      </c>
      <c r="Q18" s="11">
        <f>SUMIF('Components Yr 3'!C2:C1111,B18,'Components Yr 3'!G2:G1111)</f>
        <v>0</v>
      </c>
      <c r="R18" s="11">
        <f>SUMIF('Components Yr 3'!C2:C1111,B18,'Components Yr 3'!H2:H1111)</f>
        <v>0</v>
      </c>
      <c r="S18" s="11">
        <f>SUMIF('Components Yr 3'!C2:C1111,B18,'Components Yr 3'!I2:I1111)</f>
        <v>0</v>
      </c>
      <c r="T18" s="11">
        <f>SUMIF('Components Yr 3'!C2:C1111,B18,'Components Yr 3'!J2:J1111)</f>
        <v>0</v>
      </c>
    </row>
    <row r="19" spans="1:20" x14ac:dyDescent="0.25">
      <c r="A19" s="15">
        <f t="shared" si="0"/>
        <v>0</v>
      </c>
      <c r="B19" s="14" t="s">
        <v>31</v>
      </c>
      <c r="C19" s="15">
        <f>SUMIF('Components Yr 1'!C2:C1111,B19,'Components Yr 1'!E2:E1111)</f>
        <v>0</v>
      </c>
      <c r="D19" s="15">
        <f>SUMIF('Components Yr 1'!C2:C1111,B19,'Components Yr 1'!F2:F1111)</f>
        <v>0</v>
      </c>
      <c r="E19" s="15">
        <f>SUMIF('Components Yr 1'!C2:C1111,B19,'Components Yr 1'!G2:G1111)</f>
        <v>0</v>
      </c>
      <c r="F19" s="15">
        <f>SUMIF('Components Yr 1'!C2:C1111,B19,'Components Yr 1'!H2:H1111)</f>
        <v>0</v>
      </c>
      <c r="G19" s="15">
        <f>SUMIF('Components Yr 1'!C2:C1111,B19,'Components Yr 1'!I2:I1111)</f>
        <v>0</v>
      </c>
      <c r="H19" s="15">
        <f>SUMIF('Components Yr 1'!C2:C1111,B19,'Components Yr 1'!J2:J1111)</f>
        <v>0</v>
      </c>
      <c r="I19" s="15">
        <f>SUMIF('Components Yr 2'!C2:C1111,B19,'Components Yr 2'!E2:E1111)</f>
        <v>0</v>
      </c>
      <c r="J19" s="15">
        <f>SUMIF('Components Yr 2'!C2:C1111,B19,'Components Yr 2'!F2:F1111)</f>
        <v>0</v>
      </c>
      <c r="K19" s="15">
        <f>SUMIF('Components Yr 2'!C2:C1111,B19,'Components Yr 2'!G2:G1111)</f>
        <v>0</v>
      </c>
      <c r="L19" s="15">
        <f>SUMIF('Components Yr 2'!C2:C1111,B19,'Components Yr 2'!H2:H1111)</f>
        <v>0</v>
      </c>
      <c r="M19" s="15">
        <f>SUMIF('Components Yr 2'!C2:C1111,B19,'Components Yr 2'!I2:I1111)</f>
        <v>0</v>
      </c>
      <c r="N19" s="15">
        <f>SUMIF('Components Yr 2'!C2:C1111,B19,'Components Yr 2'!J2:J1111)</f>
        <v>0</v>
      </c>
      <c r="O19" s="15">
        <f>SUMIF('Components Yr 3'!C2:C1111,B19,'Components Yr 3'!E2:E1111)</f>
        <v>0</v>
      </c>
      <c r="P19" s="15">
        <f>SUMIF('Components Yr 3'!C2:C1111,B19,'Components Yr 3'!F2:F1111)</f>
        <v>0</v>
      </c>
      <c r="Q19" s="15">
        <f>SUMIF('Components Yr 3'!C2:C1111,B19,'Components Yr 3'!G2:G1111)</f>
        <v>0</v>
      </c>
      <c r="R19" s="15">
        <f>SUMIF('Components Yr 3'!C2:C1111,B19,'Components Yr 3'!H2:H1111)</f>
        <v>0</v>
      </c>
      <c r="S19" s="15">
        <f>SUMIF('Components Yr 3'!C2:C1111,B19,'Components Yr 3'!I2:I1111)</f>
        <v>0</v>
      </c>
      <c r="T19" s="15">
        <f>SUMIF('Components Yr 3'!C2:C1111,B19,'Components Yr 3'!J2:J1111)</f>
        <v>0</v>
      </c>
    </row>
    <row r="20" spans="1:20" x14ac:dyDescent="0.25">
      <c r="A20" s="11">
        <f t="shared" si="0"/>
        <v>0</v>
      </c>
      <c r="B20" s="10" t="s">
        <v>32</v>
      </c>
      <c r="C20" s="11">
        <f>SUMIF('Components Yr 1'!C2:C1111,B20,'Components Yr 1'!E2:E1111)</f>
        <v>0</v>
      </c>
      <c r="D20" s="11">
        <f>SUMIF('Components Yr 1'!C2:C1111,B20,'Components Yr 1'!F2:F1111)</f>
        <v>0</v>
      </c>
      <c r="E20" s="11">
        <f>SUMIF('Components Yr 1'!C2:C1111,B20,'Components Yr 1'!G2:G1111)</f>
        <v>0</v>
      </c>
      <c r="F20" s="11">
        <f>SUMIF('Components Yr 1'!C2:C1111,B20,'Components Yr 1'!H2:H1111)</f>
        <v>0</v>
      </c>
      <c r="G20" s="11">
        <f>SUMIF('Components Yr 1'!C2:C1111,B20,'Components Yr 1'!I2:I1111)</f>
        <v>0</v>
      </c>
      <c r="H20" s="11">
        <f>SUMIF('Components Yr 1'!C2:C1111,B20,'Components Yr 1'!J2:J1111)</f>
        <v>0</v>
      </c>
      <c r="I20" s="11">
        <f>SUMIF('Components Yr 2'!C2:C1111,B20,'Components Yr 2'!E2:E1111)</f>
        <v>0</v>
      </c>
      <c r="J20" s="11">
        <f>SUMIF('Components Yr 2'!C2:C1111,B20,'Components Yr 2'!F2:F1111)</f>
        <v>0</v>
      </c>
      <c r="K20" s="11">
        <f>SUMIF('Components Yr 2'!C2:C1111,B20,'Components Yr 2'!G2:G1111)</f>
        <v>0</v>
      </c>
      <c r="L20" s="11">
        <f>SUMIF('Components Yr 2'!C2:C1111,B20,'Components Yr 2'!H2:H1111)</f>
        <v>0</v>
      </c>
      <c r="M20" s="11">
        <f>SUMIF('Components Yr 2'!C2:C1111,B20,'Components Yr 2'!I2:I1111)</f>
        <v>0</v>
      </c>
      <c r="N20" s="11">
        <f>SUMIF('Components Yr 2'!C2:C1111,B20,'Components Yr 2'!J2:J1111)</f>
        <v>0</v>
      </c>
      <c r="O20" s="11">
        <f>SUMIF('Components Yr 3'!C2:C1111,B20,'Components Yr 3'!E2:E1111)</f>
        <v>0</v>
      </c>
      <c r="P20" s="11">
        <f>SUMIF('Components Yr 3'!C2:C1111,B20,'Components Yr 3'!F2:F1111)</f>
        <v>0</v>
      </c>
      <c r="Q20" s="11">
        <f>SUMIF('Components Yr 3'!C2:C1111,B20,'Components Yr 3'!G2:G1111)</f>
        <v>0</v>
      </c>
      <c r="R20" s="11">
        <f>SUMIF('Components Yr 3'!C2:C1111,B20,'Components Yr 3'!H2:H1111)</f>
        <v>0</v>
      </c>
      <c r="S20" s="11">
        <f>SUMIF('Components Yr 3'!C2:C1111,B20,'Components Yr 3'!I2:I1111)</f>
        <v>0</v>
      </c>
      <c r="T20" s="11">
        <f>SUMIF('Components Yr 3'!C2:C1111,B20,'Components Yr 3'!J2:J1111)</f>
        <v>0</v>
      </c>
    </row>
    <row r="21" spans="1:20" x14ac:dyDescent="0.25">
      <c r="A21" s="15">
        <f t="shared" si="0"/>
        <v>0</v>
      </c>
      <c r="B21" s="14" t="s">
        <v>33</v>
      </c>
      <c r="C21" s="15">
        <f>SUMIF('Components Yr 1'!C2:C1111,B21,'Components Yr 1'!E2:E1111)</f>
        <v>0</v>
      </c>
      <c r="D21" s="15">
        <f>SUMIF('Components Yr 1'!C2:C1111,B21,'Components Yr 1'!F2:F1111)</f>
        <v>0</v>
      </c>
      <c r="E21" s="15">
        <f>SUMIF('Components Yr 1'!C2:C1111,B21,'Components Yr 1'!G2:G1111)</f>
        <v>0</v>
      </c>
      <c r="F21" s="15">
        <f>SUMIF('Components Yr 1'!C2:C1111,B21,'Components Yr 1'!H2:H1111)</f>
        <v>0</v>
      </c>
      <c r="G21" s="15">
        <f>SUMIF('Components Yr 1'!C2:C1111,B21,'Components Yr 1'!I2:I1111)</f>
        <v>0</v>
      </c>
      <c r="H21" s="15">
        <f>SUMIF('Components Yr 1'!C2:C1111,B21,'Components Yr 1'!J2:J1111)</f>
        <v>0</v>
      </c>
      <c r="I21" s="15">
        <f>SUMIF('Components Yr 2'!C2:C1111,B21,'Components Yr 2'!E2:E1111)</f>
        <v>0</v>
      </c>
      <c r="J21" s="15">
        <f>SUMIF('Components Yr 2'!C2:C1111,B21,'Components Yr 2'!F2:F1111)</f>
        <v>0</v>
      </c>
      <c r="K21" s="15">
        <f>SUMIF('Components Yr 2'!C2:C1111,B21,'Components Yr 2'!G2:G1111)</f>
        <v>0</v>
      </c>
      <c r="L21" s="15">
        <f>SUMIF('Components Yr 2'!C2:C1111,B21,'Components Yr 2'!H2:H1111)</f>
        <v>0</v>
      </c>
      <c r="M21" s="15">
        <f>SUMIF('Components Yr 2'!C2:C1111,B21,'Components Yr 2'!I2:I1111)</f>
        <v>0</v>
      </c>
      <c r="N21" s="15">
        <f>SUMIF('Components Yr 2'!C2:C1111,B21,'Components Yr 2'!J2:J1111)</f>
        <v>0</v>
      </c>
      <c r="O21" s="15">
        <f>SUMIF('Components Yr 3'!C2:C1111,B21,'Components Yr 3'!E2:E1111)</f>
        <v>0</v>
      </c>
      <c r="P21" s="15">
        <f>SUMIF('Components Yr 3'!C2:C1111,B21,'Components Yr 3'!F2:F1111)</f>
        <v>0</v>
      </c>
      <c r="Q21" s="15">
        <f>SUMIF('Components Yr 3'!C2:C1111,B21,'Components Yr 3'!G2:G1111)</f>
        <v>0</v>
      </c>
      <c r="R21" s="15">
        <f>SUMIF('Components Yr 3'!C2:C1111,B21,'Components Yr 3'!H2:H1111)</f>
        <v>0</v>
      </c>
      <c r="S21" s="15">
        <f>SUMIF('Components Yr 3'!C2:C1111,B21,'Components Yr 3'!I2:I1111)</f>
        <v>0</v>
      </c>
      <c r="T21" s="15">
        <f>SUMIF('Components Yr 3'!C2:C1111,B21,'Components Yr 3'!J2:J1111)</f>
        <v>0</v>
      </c>
    </row>
    <row r="22" spans="1:20" x14ac:dyDescent="0.25">
      <c r="A22" s="11">
        <f t="shared" si="0"/>
        <v>0</v>
      </c>
      <c r="B22" s="10" t="s">
        <v>34</v>
      </c>
      <c r="C22" s="11">
        <f>SUMIF('Components Yr 1'!C2:C1111,B22,'Components Yr 1'!E2:E1111)</f>
        <v>0</v>
      </c>
      <c r="D22" s="11">
        <f>SUMIF('Components Yr 1'!C2:C1111,B22,'Components Yr 1'!F2:F1111)</f>
        <v>0</v>
      </c>
      <c r="E22" s="11">
        <f>SUMIF('Components Yr 1'!C2:C1111,B22,'Components Yr 1'!G2:G1111)</f>
        <v>0</v>
      </c>
      <c r="F22" s="11">
        <f>SUMIF('Components Yr 1'!C2:C1111,B22,'Components Yr 1'!H2:H1111)</f>
        <v>0</v>
      </c>
      <c r="G22" s="11">
        <f>SUMIF('Components Yr 1'!C2:C1111,B22,'Components Yr 1'!I2:I1111)</f>
        <v>0</v>
      </c>
      <c r="H22" s="11">
        <f>SUMIF('Components Yr 1'!C2:C1111,B22,'Components Yr 1'!J2:J1111)</f>
        <v>0</v>
      </c>
      <c r="I22" s="11">
        <f>SUMIF('Components Yr 2'!C2:C1111,B22,'Components Yr 2'!E2:E1111)</f>
        <v>0</v>
      </c>
      <c r="J22" s="11">
        <f>SUMIF('Components Yr 2'!C2:C1111,B22,'Components Yr 2'!F2:F1111)</f>
        <v>0</v>
      </c>
      <c r="K22" s="11">
        <f>SUMIF('Components Yr 2'!C2:C1111,B22,'Components Yr 2'!G2:G1111)</f>
        <v>0</v>
      </c>
      <c r="L22" s="11">
        <f>SUMIF('Components Yr 2'!C2:C1111,B22,'Components Yr 2'!H2:H1111)</f>
        <v>0</v>
      </c>
      <c r="M22" s="11">
        <f>SUMIF('Components Yr 2'!C2:C1111,B22,'Components Yr 2'!I2:I1111)</f>
        <v>0</v>
      </c>
      <c r="N22" s="11">
        <f>SUMIF('Components Yr 2'!C2:C1111,B22,'Components Yr 2'!J2:J1111)</f>
        <v>0</v>
      </c>
      <c r="O22" s="11">
        <f>SUMIF('Components Yr 3'!C2:C1111,B22,'Components Yr 3'!E2:E1111)</f>
        <v>0</v>
      </c>
      <c r="P22" s="11">
        <f>SUMIF('Components Yr 3'!C2:C1111,B22,'Components Yr 3'!F2:F1111)</f>
        <v>0</v>
      </c>
      <c r="Q22" s="11">
        <f>SUMIF('Components Yr 3'!C2:C1111,B22,'Components Yr 3'!G2:G1111)</f>
        <v>0</v>
      </c>
      <c r="R22" s="11">
        <f>SUMIF('Components Yr 3'!C2:C1111,B22,'Components Yr 3'!H2:H1111)</f>
        <v>0</v>
      </c>
      <c r="S22" s="11">
        <f>SUMIF('Components Yr 3'!C2:C1111,B22,'Components Yr 3'!I2:I1111)</f>
        <v>0</v>
      </c>
      <c r="T22" s="11">
        <f>SUMIF('Components Yr 3'!C2:C1111,B22,'Components Yr 3'!J2:J1111)</f>
        <v>0</v>
      </c>
    </row>
    <row r="23" spans="1:20" x14ac:dyDescent="0.25">
      <c r="A23" s="15">
        <f t="shared" si="0"/>
        <v>0</v>
      </c>
      <c r="B23" s="14" t="s">
        <v>35</v>
      </c>
      <c r="C23" s="15">
        <f>SUMIF('Components Yr 1'!C2:C1111,B23,'Components Yr 1'!E2:E1111)</f>
        <v>0</v>
      </c>
      <c r="D23" s="15">
        <f>SUMIF('Components Yr 1'!C2:C1111,B23,'Components Yr 1'!F2:F1111)</f>
        <v>0</v>
      </c>
      <c r="E23" s="15">
        <f>SUMIF('Components Yr 1'!C2:C1111,B23,'Components Yr 1'!G2:G1111)</f>
        <v>0</v>
      </c>
      <c r="F23" s="15">
        <f>SUMIF('Components Yr 1'!C2:C1111,B23,'Components Yr 1'!H2:H1111)</f>
        <v>0</v>
      </c>
      <c r="G23" s="15">
        <f>SUMIF('Components Yr 1'!C2:C1111,B23,'Components Yr 1'!I2:I1111)</f>
        <v>0</v>
      </c>
      <c r="H23" s="15">
        <f>SUMIF('Components Yr 1'!C2:C1111,B23,'Components Yr 1'!J2:J1111)</f>
        <v>0</v>
      </c>
      <c r="I23" s="15">
        <f>SUMIF('Components Yr 2'!C2:C1111,B23,'Components Yr 2'!E2:E1111)</f>
        <v>0</v>
      </c>
      <c r="J23" s="15">
        <f>SUMIF('Components Yr 2'!C2:C1111,B23,'Components Yr 2'!F2:F1111)</f>
        <v>0</v>
      </c>
      <c r="K23" s="15">
        <f>SUMIF('Components Yr 2'!C2:C1111,B23,'Components Yr 2'!G2:G1111)</f>
        <v>0</v>
      </c>
      <c r="L23" s="15">
        <f>SUMIF('Components Yr 2'!C2:C1111,B23,'Components Yr 2'!H2:H1111)</f>
        <v>0</v>
      </c>
      <c r="M23" s="15">
        <f>SUMIF('Components Yr 2'!C2:C1111,B23,'Components Yr 2'!I2:I1111)</f>
        <v>0</v>
      </c>
      <c r="N23" s="15">
        <f>SUMIF('Components Yr 2'!C2:C1111,B23,'Components Yr 2'!J2:J1111)</f>
        <v>0</v>
      </c>
      <c r="O23" s="15">
        <f>SUMIF('Components Yr 3'!C2:C1111,B23,'Components Yr 3'!E2:E1111)</f>
        <v>0</v>
      </c>
      <c r="P23" s="15">
        <f>SUMIF('Components Yr 3'!C2:C1111,B23,'Components Yr 3'!F2:F1111)</f>
        <v>0</v>
      </c>
      <c r="Q23" s="15">
        <f>SUMIF('Components Yr 3'!C2:C1111,B23,'Components Yr 3'!G2:G1111)</f>
        <v>0</v>
      </c>
      <c r="R23" s="15">
        <f>SUMIF('Components Yr 3'!C2:C1111,B23,'Components Yr 3'!H2:H1111)</f>
        <v>0</v>
      </c>
      <c r="S23" s="15">
        <f>SUMIF('Components Yr 3'!C2:C1111,B23,'Components Yr 3'!I2:I1111)</f>
        <v>0</v>
      </c>
      <c r="T23" s="15">
        <f>SUMIF('Components Yr 3'!C2:C1111,B23,'Components Yr 3'!J2:J1111)</f>
        <v>0</v>
      </c>
    </row>
    <row r="24" spans="1:20" x14ac:dyDescent="0.25">
      <c r="A24" s="11">
        <f t="shared" si="0"/>
        <v>0</v>
      </c>
      <c r="B24" s="10" t="s">
        <v>36</v>
      </c>
      <c r="C24" s="11">
        <f>SUMIF('Components Yr 1'!C2:C1111,B24,'Components Yr 1'!E2:E1111)</f>
        <v>0</v>
      </c>
      <c r="D24" s="11">
        <f>SUMIF('Components Yr 1'!C2:C1111,B24,'Components Yr 1'!F2:F1111)</f>
        <v>0</v>
      </c>
      <c r="E24" s="11">
        <f>SUMIF('Components Yr 1'!C2:C1111,B24,'Components Yr 1'!G2:G1111)</f>
        <v>0</v>
      </c>
      <c r="F24" s="11">
        <f>SUMIF('Components Yr 1'!C2:C1111,B24,'Components Yr 1'!H2:H1111)</f>
        <v>0</v>
      </c>
      <c r="G24" s="11">
        <f>SUMIF('Components Yr 1'!C2:C1111,B24,'Components Yr 1'!I2:I1111)</f>
        <v>0</v>
      </c>
      <c r="H24" s="11">
        <f>SUMIF('Components Yr 1'!C2:C1111,B24,'Components Yr 1'!J2:J1111)</f>
        <v>0</v>
      </c>
      <c r="I24" s="11">
        <f>SUMIF('Components Yr 2'!C2:C1111,B24,'Components Yr 2'!E2:E1111)</f>
        <v>0</v>
      </c>
      <c r="J24" s="11">
        <f>SUMIF('Components Yr 2'!C2:C1111,B24,'Components Yr 2'!F2:F1111)</f>
        <v>0</v>
      </c>
      <c r="K24" s="11">
        <f>SUMIF('Components Yr 2'!C2:C1111,B24,'Components Yr 2'!G2:G1111)</f>
        <v>0</v>
      </c>
      <c r="L24" s="11">
        <f>SUMIF('Components Yr 2'!C2:C1111,B24,'Components Yr 2'!H2:H1111)</f>
        <v>0</v>
      </c>
      <c r="M24" s="11">
        <f>SUMIF('Components Yr 2'!C2:C1111,B24,'Components Yr 2'!I2:I1111)</f>
        <v>0</v>
      </c>
      <c r="N24" s="11">
        <f>SUMIF('Components Yr 2'!C2:C1111,B24,'Components Yr 2'!J2:J1111)</f>
        <v>0</v>
      </c>
      <c r="O24" s="11">
        <f>SUMIF('Components Yr 3'!C2:C1111,B24,'Components Yr 3'!E2:E1111)</f>
        <v>0</v>
      </c>
      <c r="P24" s="11">
        <f>SUMIF('Components Yr 3'!C2:C1111,B24,'Components Yr 3'!F2:F1111)</f>
        <v>0</v>
      </c>
      <c r="Q24" s="11">
        <f>SUMIF('Components Yr 3'!C2:C1111,B24,'Components Yr 3'!G2:G1111)</f>
        <v>0</v>
      </c>
      <c r="R24" s="11">
        <f>SUMIF('Components Yr 3'!C2:C1111,B24,'Components Yr 3'!H2:H1111)</f>
        <v>0</v>
      </c>
      <c r="S24" s="11">
        <f>SUMIF('Components Yr 3'!C2:C1111,B24,'Components Yr 3'!I2:I1111)</f>
        <v>0</v>
      </c>
      <c r="T24" s="11">
        <f>SUMIF('Components Yr 3'!C2:C1111,B24,'Components Yr 3'!J2:J1111)</f>
        <v>0</v>
      </c>
    </row>
    <row r="25" spans="1:20" x14ac:dyDescent="0.25">
      <c r="A25" s="15">
        <f t="shared" si="0"/>
        <v>0</v>
      </c>
      <c r="B25" s="14" t="s">
        <v>37</v>
      </c>
      <c r="C25" s="15">
        <f>SUMIF('Components Yr 1'!C2:C1111,B25,'Components Yr 1'!E2:E1111)</f>
        <v>0</v>
      </c>
      <c r="D25" s="15">
        <f>SUMIF('Components Yr 1'!C2:C1111,B25,'Components Yr 1'!F2:F1111)</f>
        <v>0</v>
      </c>
      <c r="E25" s="15">
        <f>SUMIF('Components Yr 1'!C2:C1111,B25,'Components Yr 1'!G2:G1111)</f>
        <v>0</v>
      </c>
      <c r="F25" s="15">
        <f>SUMIF('Components Yr 1'!C2:C1111,B25,'Components Yr 1'!H2:H1111)</f>
        <v>0</v>
      </c>
      <c r="G25" s="15">
        <f>SUMIF('Components Yr 1'!C2:C1111,B25,'Components Yr 1'!I2:I1111)</f>
        <v>0</v>
      </c>
      <c r="H25" s="15">
        <f>SUMIF('Components Yr 1'!C2:C1111,B25,'Components Yr 1'!J2:J1111)</f>
        <v>0</v>
      </c>
      <c r="I25" s="15">
        <f>SUMIF('Components Yr 2'!C2:C1111,B25,'Components Yr 2'!E2:E1111)</f>
        <v>0</v>
      </c>
      <c r="J25" s="15">
        <f>SUMIF('Components Yr 2'!C2:C1111,B25,'Components Yr 2'!F2:F1111)</f>
        <v>0</v>
      </c>
      <c r="K25" s="15">
        <f>SUMIF('Components Yr 2'!C2:C1111,B25,'Components Yr 2'!G2:G1111)</f>
        <v>0</v>
      </c>
      <c r="L25" s="15">
        <f>SUMIF('Components Yr 2'!C2:C1111,B25,'Components Yr 2'!H2:H1111)</f>
        <v>0</v>
      </c>
      <c r="M25" s="15">
        <f>SUMIF('Components Yr 2'!C2:C1111,B25,'Components Yr 2'!I2:I1111)</f>
        <v>0</v>
      </c>
      <c r="N25" s="15">
        <f>SUMIF('Components Yr 2'!C2:C1111,B25,'Components Yr 2'!J2:J1111)</f>
        <v>0</v>
      </c>
      <c r="O25" s="15">
        <f>SUMIF('Components Yr 3'!C2:C1111,B25,'Components Yr 3'!E2:E1111)</f>
        <v>0</v>
      </c>
      <c r="P25" s="15">
        <f>SUMIF('Components Yr 3'!C2:C1111,B25,'Components Yr 3'!F2:F1111)</f>
        <v>0</v>
      </c>
      <c r="Q25" s="15">
        <f>SUMIF('Components Yr 3'!C2:C1111,B25,'Components Yr 3'!G2:G1111)</f>
        <v>0</v>
      </c>
      <c r="R25" s="15">
        <f>SUMIF('Components Yr 3'!C2:C1111,B25,'Components Yr 3'!H2:H1111)</f>
        <v>0</v>
      </c>
      <c r="S25" s="15">
        <f>SUMIF('Components Yr 3'!C2:C1111,B25,'Components Yr 3'!I2:I1111)</f>
        <v>0</v>
      </c>
      <c r="T25" s="15">
        <f>SUMIF('Components Yr 3'!C2:C1111,B25,'Components Yr 3'!J2:J1111)</f>
        <v>0</v>
      </c>
    </row>
    <row r="26" spans="1:20" x14ac:dyDescent="0.25">
      <c r="A26" s="11">
        <f t="shared" si="0"/>
        <v>0</v>
      </c>
      <c r="B26" s="10" t="s">
        <v>38</v>
      </c>
      <c r="C26" s="11">
        <f>SUMIF('Components Yr 1'!C2:C1111,B26,'Components Yr 1'!E2:E1111)</f>
        <v>0</v>
      </c>
      <c r="D26" s="11">
        <f>SUMIF('Components Yr 1'!C2:C1111,B26,'Components Yr 1'!F2:F1111)</f>
        <v>0</v>
      </c>
      <c r="E26" s="11">
        <f>SUMIF('Components Yr 1'!C2:C1111,B26,'Components Yr 1'!G2:G1111)</f>
        <v>0</v>
      </c>
      <c r="F26" s="11">
        <f>SUMIF('Components Yr 1'!C2:C1111,B26,'Components Yr 1'!H2:H1111)</f>
        <v>0</v>
      </c>
      <c r="G26" s="11">
        <f>SUMIF('Components Yr 1'!C2:C1111,B26,'Components Yr 1'!I2:I1111)</f>
        <v>0</v>
      </c>
      <c r="H26" s="11">
        <f>SUMIF('Components Yr 1'!C2:C1111,B26,'Components Yr 1'!J2:J1111)</f>
        <v>0</v>
      </c>
      <c r="I26" s="11">
        <f>SUMIF('Components Yr 2'!C2:C1111,B26,'Components Yr 2'!E2:E1111)</f>
        <v>0</v>
      </c>
      <c r="J26" s="11">
        <f>SUMIF('Components Yr 2'!C2:C1111,B26,'Components Yr 2'!F2:F1111)</f>
        <v>0</v>
      </c>
      <c r="K26" s="11">
        <f>SUMIF('Components Yr 2'!C2:C1111,B26,'Components Yr 2'!G2:G1111)</f>
        <v>0</v>
      </c>
      <c r="L26" s="11">
        <f>SUMIF('Components Yr 2'!C2:C1111,B26,'Components Yr 2'!H2:H1111)</f>
        <v>0</v>
      </c>
      <c r="M26" s="11">
        <f>SUMIF('Components Yr 2'!C2:C1111,B26,'Components Yr 2'!I2:I1111)</f>
        <v>0</v>
      </c>
      <c r="N26" s="11">
        <f>SUMIF('Components Yr 2'!C2:C1111,B26,'Components Yr 2'!J2:J1111)</f>
        <v>0</v>
      </c>
      <c r="O26" s="11">
        <f>SUMIF('Components Yr 3'!C2:C1111,B26,'Components Yr 3'!E2:E1111)</f>
        <v>0</v>
      </c>
      <c r="P26" s="11">
        <f>SUMIF('Components Yr 3'!C2:C1111,B26,'Components Yr 3'!F2:F1111)</f>
        <v>0</v>
      </c>
      <c r="Q26" s="11">
        <f>SUMIF('Components Yr 3'!C2:C1111,B26,'Components Yr 3'!G2:G1111)</f>
        <v>0</v>
      </c>
      <c r="R26" s="11">
        <f>SUMIF('Components Yr 3'!C2:C1111,B26,'Components Yr 3'!H2:H1111)</f>
        <v>0</v>
      </c>
      <c r="S26" s="11">
        <f>SUMIF('Components Yr 3'!C2:C1111,B26,'Components Yr 3'!I2:I1111)</f>
        <v>0</v>
      </c>
      <c r="T26" s="11">
        <f>SUMIF('Components Yr 3'!C2:C1111,B26,'Components Yr 3'!J2:J1111)</f>
        <v>0</v>
      </c>
    </row>
    <row r="27" spans="1:20" x14ac:dyDescent="0.25">
      <c r="A27" s="15">
        <f t="shared" si="0"/>
        <v>0</v>
      </c>
      <c r="B27" s="14" t="s">
        <v>39</v>
      </c>
      <c r="C27" s="15">
        <f>SUMIF('Components Yr 1'!C2:C1111,B27,'Components Yr 1'!E2:E1111)</f>
        <v>0</v>
      </c>
      <c r="D27" s="15">
        <f>SUMIF('Components Yr 1'!C2:C1111,B27,'Components Yr 1'!F2:F1111)</f>
        <v>0</v>
      </c>
      <c r="E27" s="15">
        <f>SUMIF('Components Yr 1'!C2:C1111,B27,'Components Yr 1'!G2:G1111)</f>
        <v>0</v>
      </c>
      <c r="F27" s="15">
        <f>SUMIF('Components Yr 1'!C2:C1111,B27,'Components Yr 1'!H2:H1111)</f>
        <v>0</v>
      </c>
      <c r="G27" s="15">
        <f>SUMIF('Components Yr 1'!C2:C1111,B27,'Components Yr 1'!I2:I1111)</f>
        <v>0</v>
      </c>
      <c r="H27" s="15">
        <f>SUMIF('Components Yr 1'!C2:C1111,B27,'Components Yr 1'!J2:J1111)</f>
        <v>0</v>
      </c>
      <c r="I27" s="15">
        <f>SUMIF('Components Yr 2'!C2:C1111,B27,'Components Yr 2'!E2:E1111)</f>
        <v>0</v>
      </c>
      <c r="J27" s="15">
        <f>SUMIF('Components Yr 2'!C2:C1111,B27,'Components Yr 2'!F2:F1111)</f>
        <v>0</v>
      </c>
      <c r="K27" s="15">
        <f>SUMIF('Components Yr 2'!C2:C1111,B27,'Components Yr 2'!G2:G1111)</f>
        <v>0</v>
      </c>
      <c r="L27" s="15">
        <f>SUMIF('Components Yr 2'!C2:C1111,B27,'Components Yr 2'!H2:H1111)</f>
        <v>0</v>
      </c>
      <c r="M27" s="15">
        <f>SUMIF('Components Yr 2'!C2:C1111,B27,'Components Yr 2'!I2:I1111)</f>
        <v>0</v>
      </c>
      <c r="N27" s="15">
        <f>SUMIF('Components Yr 2'!C2:C1111,B27,'Components Yr 2'!J2:J1111)</f>
        <v>0</v>
      </c>
      <c r="O27" s="15">
        <f>SUMIF('Components Yr 3'!C2:C1111,B27,'Components Yr 3'!E2:E1111)</f>
        <v>0</v>
      </c>
      <c r="P27" s="15">
        <f>SUMIF('Components Yr 3'!C2:C1111,B27,'Components Yr 3'!F2:F1111)</f>
        <v>0</v>
      </c>
      <c r="Q27" s="15">
        <f>SUMIF('Components Yr 3'!C2:C1111,B27,'Components Yr 3'!G2:G1111)</f>
        <v>0</v>
      </c>
      <c r="R27" s="15">
        <f>SUMIF('Components Yr 3'!C2:C1111,B27,'Components Yr 3'!H2:H1111)</f>
        <v>0</v>
      </c>
      <c r="S27" s="15">
        <f>SUMIF('Components Yr 3'!C2:C1111,B27,'Components Yr 3'!I2:I1111)</f>
        <v>0</v>
      </c>
      <c r="T27" s="15">
        <f>SUMIF('Components Yr 3'!C2:C1111,B27,'Components Yr 3'!J2:J1111)</f>
        <v>0</v>
      </c>
    </row>
    <row r="28" spans="1:20" x14ac:dyDescent="0.25">
      <c r="A28" s="11">
        <f t="shared" si="0"/>
        <v>0</v>
      </c>
      <c r="B28" s="10" t="s">
        <v>40</v>
      </c>
      <c r="C28" s="11">
        <f>SUMIF('Components Yr 1'!C2:C1111,B28,'Components Yr 1'!E2:E1111)</f>
        <v>0</v>
      </c>
      <c r="D28" s="11">
        <f>SUMIF('Components Yr 1'!C2:C1111,B28,'Components Yr 1'!F2:F1111)</f>
        <v>0</v>
      </c>
      <c r="E28" s="11">
        <f>SUMIF('Components Yr 1'!C2:C1111,B28,'Components Yr 1'!G2:G1111)</f>
        <v>0</v>
      </c>
      <c r="F28" s="11">
        <f>SUMIF('Components Yr 1'!C2:C1111,B28,'Components Yr 1'!H2:H1111)</f>
        <v>0</v>
      </c>
      <c r="G28" s="11">
        <f>SUMIF('Components Yr 1'!C2:C1111,B28,'Components Yr 1'!I2:I1111)</f>
        <v>0</v>
      </c>
      <c r="H28" s="11">
        <f>SUMIF('Components Yr 1'!C2:C1111,B28,'Components Yr 1'!J2:J1111)</f>
        <v>0</v>
      </c>
      <c r="I28" s="11">
        <f>SUMIF('Components Yr 2'!C2:C1111,B28,'Components Yr 2'!E2:E1111)</f>
        <v>0</v>
      </c>
      <c r="J28" s="11">
        <f>SUMIF('Components Yr 2'!C2:C1111,B28,'Components Yr 2'!F2:F1111)</f>
        <v>0</v>
      </c>
      <c r="K28" s="11">
        <f>SUMIF('Components Yr 2'!C2:C1111,B28,'Components Yr 2'!G2:G1111)</f>
        <v>0</v>
      </c>
      <c r="L28" s="11">
        <f>SUMIF('Components Yr 2'!C2:C1111,B28,'Components Yr 2'!H2:H1111)</f>
        <v>0</v>
      </c>
      <c r="M28" s="11">
        <f>SUMIF('Components Yr 2'!C2:C1111,B28,'Components Yr 2'!I2:I1111)</f>
        <v>0</v>
      </c>
      <c r="N28" s="11">
        <f>SUMIF('Components Yr 2'!C2:C1111,B28,'Components Yr 2'!J2:J1111)</f>
        <v>0</v>
      </c>
      <c r="O28" s="11">
        <f>SUMIF('Components Yr 3'!C2:C1111,B28,'Components Yr 3'!E2:E1111)</f>
        <v>0</v>
      </c>
      <c r="P28" s="11">
        <f>SUMIF('Components Yr 3'!C2:C1111,B28,'Components Yr 3'!F2:F1111)</f>
        <v>0</v>
      </c>
      <c r="Q28" s="11">
        <f>SUMIF('Components Yr 3'!C2:C1111,B28,'Components Yr 3'!G2:G1111)</f>
        <v>0</v>
      </c>
      <c r="R28" s="11">
        <f>SUMIF('Components Yr 3'!C2:C1111,B28,'Components Yr 3'!H2:H1111)</f>
        <v>0</v>
      </c>
      <c r="S28" s="11">
        <f>SUMIF('Components Yr 3'!C2:C1111,B28,'Components Yr 3'!I2:I1111)</f>
        <v>0</v>
      </c>
      <c r="T28" s="11">
        <f>SUMIF('Components Yr 3'!C2:C1111,B28,'Components Yr 3'!J2:J1111)</f>
        <v>0</v>
      </c>
    </row>
    <row r="29" spans="1:20" x14ac:dyDescent="0.25">
      <c r="A29" s="15">
        <f t="shared" si="0"/>
        <v>0</v>
      </c>
      <c r="B29" s="14" t="s">
        <v>41</v>
      </c>
      <c r="C29" s="15">
        <f>SUMIF('Components Yr 1'!C2:C1111,B29,'Components Yr 1'!E2:E1111)</f>
        <v>0</v>
      </c>
      <c r="D29" s="15">
        <f>SUMIF('Components Yr 1'!C2:C1111,B29,'Components Yr 1'!F2:F1111)</f>
        <v>0</v>
      </c>
      <c r="E29" s="15">
        <f>SUMIF('Components Yr 1'!C2:C1111,B29,'Components Yr 1'!G2:G1111)</f>
        <v>0</v>
      </c>
      <c r="F29" s="15">
        <f>SUMIF('Components Yr 1'!C2:C1111,B29,'Components Yr 1'!H2:H1111)</f>
        <v>0</v>
      </c>
      <c r="G29" s="15">
        <f>SUMIF('Components Yr 1'!C2:C1111,B29,'Components Yr 1'!I2:I1111)</f>
        <v>0</v>
      </c>
      <c r="H29" s="15">
        <f>SUMIF('Components Yr 1'!C2:C1111,B29,'Components Yr 1'!J2:J1111)</f>
        <v>0</v>
      </c>
      <c r="I29" s="15">
        <f>SUMIF('Components Yr 2'!C2:C1111,B29,'Components Yr 2'!E2:E1111)</f>
        <v>0</v>
      </c>
      <c r="J29" s="15">
        <f>SUMIF('Components Yr 2'!C2:C1111,B29,'Components Yr 2'!F2:F1111)</f>
        <v>0</v>
      </c>
      <c r="K29" s="15">
        <f>SUMIF('Components Yr 2'!C2:C1111,B29,'Components Yr 2'!G2:G1111)</f>
        <v>0</v>
      </c>
      <c r="L29" s="15">
        <f>SUMIF('Components Yr 2'!C2:C1111,B29,'Components Yr 2'!H2:H1111)</f>
        <v>0</v>
      </c>
      <c r="M29" s="15">
        <f>SUMIF('Components Yr 2'!C2:C1111,B29,'Components Yr 2'!I2:I1111)</f>
        <v>0</v>
      </c>
      <c r="N29" s="15">
        <f>SUMIF('Components Yr 2'!C2:C1111,B29,'Components Yr 2'!J2:J1111)</f>
        <v>0</v>
      </c>
      <c r="O29" s="15">
        <f>SUMIF('Components Yr 3'!C2:C1111,B29,'Components Yr 3'!E2:E1111)</f>
        <v>0</v>
      </c>
      <c r="P29" s="15">
        <f>SUMIF('Components Yr 3'!C2:C1111,B29,'Components Yr 3'!F2:F1111)</f>
        <v>0</v>
      </c>
      <c r="Q29" s="15">
        <f>SUMIF('Components Yr 3'!C2:C1111,B29,'Components Yr 3'!G2:G1111)</f>
        <v>0</v>
      </c>
      <c r="R29" s="15">
        <f>SUMIF('Components Yr 3'!C2:C1111,B29,'Components Yr 3'!H2:H1111)</f>
        <v>0</v>
      </c>
      <c r="S29" s="15">
        <f>SUMIF('Components Yr 3'!C2:C1111,B29,'Components Yr 3'!I2:I1111)</f>
        <v>0</v>
      </c>
      <c r="T29" s="15">
        <f>SUMIF('Components Yr 3'!C2:C1111,B29,'Components Yr 3'!J2:J1111)</f>
        <v>0</v>
      </c>
    </row>
    <row r="30" spans="1:20" x14ac:dyDescent="0.25">
      <c r="A30" s="11">
        <f t="shared" si="0"/>
        <v>0</v>
      </c>
      <c r="B30" s="10" t="s">
        <v>42</v>
      </c>
      <c r="C30" s="11">
        <f>SUMIF('Components Yr 1'!C2:C1111,B30,'Components Yr 1'!E2:E1111)</f>
        <v>0</v>
      </c>
      <c r="D30" s="11">
        <f>SUMIF('Components Yr 1'!C2:C1111,B30,'Components Yr 1'!F2:F1111)</f>
        <v>0</v>
      </c>
      <c r="E30" s="11">
        <f>SUMIF('Components Yr 1'!C2:C1111,B30,'Components Yr 1'!G2:G1111)</f>
        <v>0</v>
      </c>
      <c r="F30" s="11">
        <f>SUMIF('Components Yr 1'!C2:C1111,B30,'Components Yr 1'!H2:H1111)</f>
        <v>0</v>
      </c>
      <c r="G30" s="11">
        <f>SUMIF('Components Yr 1'!C2:C1111,B30,'Components Yr 1'!I2:I1111)</f>
        <v>0</v>
      </c>
      <c r="H30" s="11">
        <f>SUMIF('Components Yr 1'!C2:C1111,B30,'Components Yr 1'!J2:J1111)</f>
        <v>0</v>
      </c>
      <c r="I30" s="11">
        <f>SUMIF('Components Yr 2'!C2:C1111,B30,'Components Yr 2'!E2:E1111)</f>
        <v>0</v>
      </c>
      <c r="J30" s="11">
        <f>SUMIF('Components Yr 2'!C2:C1111,B30,'Components Yr 2'!F2:F1111)</f>
        <v>0</v>
      </c>
      <c r="K30" s="11">
        <f>SUMIF('Components Yr 2'!C2:C1111,B30,'Components Yr 2'!G2:G1111)</f>
        <v>0</v>
      </c>
      <c r="L30" s="11">
        <f>SUMIF('Components Yr 2'!C2:C1111,B30,'Components Yr 2'!H2:H1111)</f>
        <v>0</v>
      </c>
      <c r="M30" s="11">
        <f>SUMIF('Components Yr 2'!C2:C1111,B30,'Components Yr 2'!I2:I1111)</f>
        <v>0</v>
      </c>
      <c r="N30" s="11">
        <f>SUMIF('Components Yr 2'!C2:C1111,B30,'Components Yr 2'!J2:J1111)</f>
        <v>0</v>
      </c>
      <c r="O30" s="11">
        <f>SUMIF('Components Yr 3'!C2:C1111,B30,'Components Yr 3'!E2:E1111)</f>
        <v>0</v>
      </c>
      <c r="P30" s="11">
        <f>SUMIF('Components Yr 3'!C2:C1111,B30,'Components Yr 3'!F2:F1111)</f>
        <v>0</v>
      </c>
      <c r="Q30" s="11">
        <f>SUMIF('Components Yr 3'!C2:C1111,B30,'Components Yr 3'!G2:G1111)</f>
        <v>0</v>
      </c>
      <c r="R30" s="11">
        <f>SUMIF('Components Yr 3'!C2:C1111,B30,'Components Yr 3'!H2:H1111)</f>
        <v>0</v>
      </c>
      <c r="S30" s="11">
        <f>SUMIF('Components Yr 3'!C2:C1111,B30,'Components Yr 3'!I2:I1111)</f>
        <v>0</v>
      </c>
      <c r="T30" s="11">
        <f>SUMIF('Components Yr 3'!C2:C1111,B30,'Components Yr 3'!J2:J1111)</f>
        <v>0</v>
      </c>
    </row>
    <row r="31" spans="1:20" x14ac:dyDescent="0.25">
      <c r="A31" s="15">
        <f t="shared" si="0"/>
        <v>0</v>
      </c>
      <c r="B31" s="14" t="s">
        <v>43</v>
      </c>
      <c r="C31" s="15">
        <f>SUMIF('Components Yr 1'!C2:C1111,B31,'Components Yr 1'!E2:E1111)</f>
        <v>0</v>
      </c>
      <c r="D31" s="15">
        <f>SUMIF('Components Yr 1'!C2:C1111,B31,'Components Yr 1'!F2:F1111)</f>
        <v>0</v>
      </c>
      <c r="E31" s="15">
        <f>SUMIF('Components Yr 1'!C2:C1111,B31,'Components Yr 1'!G2:G1111)</f>
        <v>0</v>
      </c>
      <c r="F31" s="15">
        <f>SUMIF('Components Yr 1'!C2:C1111,B31,'Components Yr 1'!H2:H1111)</f>
        <v>0</v>
      </c>
      <c r="G31" s="15">
        <f>SUMIF('Components Yr 1'!C2:C1111,B31,'Components Yr 1'!I2:I1111)</f>
        <v>0</v>
      </c>
      <c r="H31" s="15">
        <f>SUMIF('Components Yr 1'!C2:C1111,B31,'Components Yr 1'!J2:J1111)</f>
        <v>0</v>
      </c>
      <c r="I31" s="15">
        <f>SUMIF('Components Yr 2'!C2:C1111,B31,'Components Yr 2'!E2:E1111)</f>
        <v>0</v>
      </c>
      <c r="J31" s="15">
        <f>SUMIF('Components Yr 2'!C2:C1111,B31,'Components Yr 2'!F2:F1111)</f>
        <v>0</v>
      </c>
      <c r="K31" s="15">
        <f>SUMIF('Components Yr 2'!C2:C1111,B31,'Components Yr 2'!G2:G1111)</f>
        <v>0</v>
      </c>
      <c r="L31" s="15">
        <f>SUMIF('Components Yr 2'!C2:C1111,B31,'Components Yr 2'!H2:H1111)</f>
        <v>0</v>
      </c>
      <c r="M31" s="15">
        <f>SUMIF('Components Yr 2'!C2:C1111,B31,'Components Yr 2'!I2:I1111)</f>
        <v>0</v>
      </c>
      <c r="N31" s="15">
        <f>SUMIF('Components Yr 2'!C2:C1111,B31,'Components Yr 2'!J2:J1111)</f>
        <v>0</v>
      </c>
      <c r="O31" s="15">
        <f>SUMIF('Components Yr 3'!C2:C1111,B31,'Components Yr 3'!E2:E1111)</f>
        <v>0</v>
      </c>
      <c r="P31" s="15">
        <f>SUMIF('Components Yr 3'!C2:C1111,B31,'Components Yr 3'!F2:F1111)</f>
        <v>0</v>
      </c>
      <c r="Q31" s="15">
        <f>SUMIF('Components Yr 3'!C2:C1111,B31,'Components Yr 3'!G2:G1111)</f>
        <v>0</v>
      </c>
      <c r="R31" s="15">
        <f>SUMIF('Components Yr 3'!C2:C1111,B31,'Components Yr 3'!H2:H1111)</f>
        <v>0</v>
      </c>
      <c r="S31" s="15">
        <f>SUMIF('Components Yr 3'!C2:C1111,B31,'Components Yr 3'!I2:I1111)</f>
        <v>0</v>
      </c>
      <c r="T31" s="15">
        <f>SUMIF('Components Yr 3'!C2:C1111,B31,'Components Yr 3'!J2:J1111)</f>
        <v>0</v>
      </c>
    </row>
    <row r="32" spans="1:20" x14ac:dyDescent="0.25">
      <c r="A32" s="11">
        <f t="shared" si="0"/>
        <v>0</v>
      </c>
      <c r="B32" s="10" t="s">
        <v>44</v>
      </c>
      <c r="C32" s="11">
        <f>SUMIF('Components Yr 1'!C2:C1111,B32,'Components Yr 1'!E2:E1111)</f>
        <v>0</v>
      </c>
      <c r="D32" s="11">
        <f>SUMIF('Components Yr 1'!C2:C1111,B32,'Components Yr 1'!F2:F1111)</f>
        <v>0</v>
      </c>
      <c r="E32" s="11">
        <f>SUMIF('Components Yr 1'!C2:C1111,B32,'Components Yr 1'!G2:G1111)</f>
        <v>0</v>
      </c>
      <c r="F32" s="11">
        <f>SUMIF('Components Yr 1'!C2:C1111,B32,'Components Yr 1'!H2:H1111)</f>
        <v>0</v>
      </c>
      <c r="G32" s="11">
        <f>SUMIF('Components Yr 1'!C2:C1111,B32,'Components Yr 1'!I2:I1111)</f>
        <v>0</v>
      </c>
      <c r="H32" s="11">
        <f>SUMIF('Components Yr 1'!C2:C1111,B32,'Components Yr 1'!J2:J1111)</f>
        <v>0</v>
      </c>
      <c r="I32" s="11">
        <f>SUMIF('Components Yr 2'!C2:C1111,B32,'Components Yr 2'!E2:E1111)</f>
        <v>0</v>
      </c>
      <c r="J32" s="11">
        <f>SUMIF('Components Yr 2'!C2:C1111,B32,'Components Yr 2'!F2:F1111)</f>
        <v>0</v>
      </c>
      <c r="K32" s="11">
        <f>SUMIF('Components Yr 2'!C2:C1111,B32,'Components Yr 2'!G2:G1111)</f>
        <v>0</v>
      </c>
      <c r="L32" s="11">
        <f>SUMIF('Components Yr 2'!C2:C1111,B32,'Components Yr 2'!H2:H1111)</f>
        <v>0</v>
      </c>
      <c r="M32" s="11">
        <f>SUMIF('Components Yr 2'!C2:C1111,B32,'Components Yr 2'!I2:I1111)</f>
        <v>0</v>
      </c>
      <c r="N32" s="11">
        <f>SUMIF('Components Yr 2'!C2:C1111,B32,'Components Yr 2'!J2:J1111)</f>
        <v>0</v>
      </c>
      <c r="O32" s="11">
        <f>SUMIF('Components Yr 3'!C2:C1111,B32,'Components Yr 3'!E2:E1111)</f>
        <v>0</v>
      </c>
      <c r="P32" s="11">
        <f>SUMIF('Components Yr 3'!C2:C1111,B32,'Components Yr 3'!F2:F1111)</f>
        <v>0</v>
      </c>
      <c r="Q32" s="11">
        <f>SUMIF('Components Yr 3'!C2:C1111,B32,'Components Yr 3'!G2:G1111)</f>
        <v>0</v>
      </c>
      <c r="R32" s="11">
        <f>SUMIF('Components Yr 3'!C2:C1111,B32,'Components Yr 3'!H2:H1111)</f>
        <v>0</v>
      </c>
      <c r="S32" s="11">
        <f>SUMIF('Components Yr 3'!C2:C1111,B32,'Components Yr 3'!I2:I1111)</f>
        <v>0</v>
      </c>
      <c r="T32" s="11">
        <f>SUMIF('Components Yr 3'!C2:C1111,B32,'Components Yr 3'!J2:J1111)</f>
        <v>0</v>
      </c>
    </row>
    <row r="33" spans="1:20" x14ac:dyDescent="0.25">
      <c r="A33" s="15">
        <f t="shared" si="0"/>
        <v>0</v>
      </c>
      <c r="B33" s="14" t="s">
        <v>45</v>
      </c>
      <c r="C33" s="15">
        <f>SUMIF('Components Yr 1'!C2:C1111,B33,'Components Yr 1'!E2:E1111)</f>
        <v>0</v>
      </c>
      <c r="D33" s="15">
        <f>SUMIF('Components Yr 1'!C2:C1111,B33,'Components Yr 1'!F2:F1111)</f>
        <v>0</v>
      </c>
      <c r="E33" s="15">
        <f>SUMIF('Components Yr 1'!C2:C1111,B33,'Components Yr 1'!G2:G1111)</f>
        <v>0</v>
      </c>
      <c r="F33" s="15">
        <f>SUMIF('Components Yr 1'!C2:C1111,B33,'Components Yr 1'!H2:H1111)</f>
        <v>0</v>
      </c>
      <c r="G33" s="15">
        <f>SUMIF('Components Yr 1'!C2:C1111,B33,'Components Yr 1'!I2:I1111)</f>
        <v>0</v>
      </c>
      <c r="H33" s="15">
        <f>SUMIF('Components Yr 1'!C2:C1111,B33,'Components Yr 1'!J2:J1111)</f>
        <v>0</v>
      </c>
      <c r="I33" s="15">
        <f>SUMIF('Components Yr 2'!C2:C1111,B33,'Components Yr 2'!E2:E1111)</f>
        <v>0</v>
      </c>
      <c r="J33" s="15">
        <f>SUMIF('Components Yr 2'!C2:C1111,B33,'Components Yr 2'!F2:F1111)</f>
        <v>0</v>
      </c>
      <c r="K33" s="15">
        <f>SUMIF('Components Yr 2'!C2:C1111,B33,'Components Yr 2'!G2:G1111)</f>
        <v>0</v>
      </c>
      <c r="L33" s="15">
        <f>SUMIF('Components Yr 2'!C2:C1111,B33,'Components Yr 2'!H2:H1111)</f>
        <v>0</v>
      </c>
      <c r="M33" s="15">
        <f>SUMIF('Components Yr 2'!C2:C1111,B33,'Components Yr 2'!I2:I1111)</f>
        <v>0</v>
      </c>
      <c r="N33" s="15">
        <f>SUMIF('Components Yr 2'!C2:C1111,B33,'Components Yr 2'!J2:J1111)</f>
        <v>0</v>
      </c>
      <c r="O33" s="15">
        <f>SUMIF('Components Yr 3'!C2:C1111,B33,'Components Yr 3'!E2:E1111)</f>
        <v>0</v>
      </c>
      <c r="P33" s="15">
        <f>SUMIF('Components Yr 3'!C2:C1111,B33,'Components Yr 3'!F2:F1111)</f>
        <v>0</v>
      </c>
      <c r="Q33" s="15">
        <f>SUMIF('Components Yr 3'!C2:C1111,B33,'Components Yr 3'!G2:G1111)</f>
        <v>0</v>
      </c>
      <c r="R33" s="15">
        <f>SUMIF('Components Yr 3'!C2:C1111,B33,'Components Yr 3'!H2:H1111)</f>
        <v>0</v>
      </c>
      <c r="S33" s="15">
        <f>SUMIF('Components Yr 3'!C2:C1111,B33,'Components Yr 3'!I2:I1111)</f>
        <v>0</v>
      </c>
      <c r="T33" s="15">
        <f>SUMIF('Components Yr 3'!C2:C1111,B33,'Components Yr 3'!J2:J1111)</f>
        <v>0</v>
      </c>
    </row>
    <row r="34" spans="1:20" x14ac:dyDescent="0.25">
      <c r="A34" s="11">
        <f t="shared" si="0"/>
        <v>0</v>
      </c>
      <c r="B34" s="10" t="s">
        <v>46</v>
      </c>
      <c r="C34" s="11">
        <f>SUMIF('Components Yr 1'!C2:C1111,B34,'Components Yr 1'!E2:E1111)</f>
        <v>0</v>
      </c>
      <c r="D34" s="11">
        <f>SUMIF('Components Yr 1'!C2:C1111,B34,'Components Yr 1'!F2:F1111)</f>
        <v>0</v>
      </c>
      <c r="E34" s="11">
        <f>SUMIF('Components Yr 1'!C2:C1111,B34,'Components Yr 1'!G2:G1111)</f>
        <v>0</v>
      </c>
      <c r="F34" s="11">
        <f>SUMIF('Components Yr 1'!C2:C1111,B34,'Components Yr 1'!H2:H1111)</f>
        <v>0</v>
      </c>
      <c r="G34" s="11">
        <f>SUMIF('Components Yr 1'!C2:C1111,B34,'Components Yr 1'!I2:I1111)</f>
        <v>0</v>
      </c>
      <c r="H34" s="11">
        <f>SUMIF('Components Yr 1'!C2:C1111,B34,'Components Yr 1'!J2:J1111)</f>
        <v>0</v>
      </c>
      <c r="I34" s="11">
        <f>SUMIF('Components Yr 2'!C2:C1111,B34,'Components Yr 2'!E2:E1111)</f>
        <v>0</v>
      </c>
      <c r="J34" s="11">
        <f>SUMIF('Components Yr 2'!C2:C1111,B34,'Components Yr 2'!F2:F1111)</f>
        <v>0</v>
      </c>
      <c r="K34" s="11">
        <f>SUMIF('Components Yr 2'!C2:C1111,B34,'Components Yr 2'!G2:G1111)</f>
        <v>0</v>
      </c>
      <c r="L34" s="11">
        <f>SUMIF('Components Yr 2'!C2:C1111,B34,'Components Yr 2'!H2:H1111)</f>
        <v>0</v>
      </c>
      <c r="M34" s="11">
        <f>SUMIF('Components Yr 2'!C2:C1111,B34,'Components Yr 2'!I2:I1111)</f>
        <v>0</v>
      </c>
      <c r="N34" s="11">
        <f>SUMIF('Components Yr 2'!C2:C1111,B34,'Components Yr 2'!J2:J1111)</f>
        <v>0</v>
      </c>
      <c r="O34" s="11">
        <f>SUMIF('Components Yr 3'!C2:C1111,B34,'Components Yr 3'!E2:E1111)</f>
        <v>0</v>
      </c>
      <c r="P34" s="11">
        <f>SUMIF('Components Yr 3'!C2:C1111,B34,'Components Yr 3'!F2:F1111)</f>
        <v>0</v>
      </c>
      <c r="Q34" s="11">
        <f>SUMIF('Components Yr 3'!C2:C1111,B34,'Components Yr 3'!G2:G1111)</f>
        <v>0</v>
      </c>
      <c r="R34" s="11">
        <f>SUMIF('Components Yr 3'!C2:C1111,B34,'Components Yr 3'!H2:H1111)</f>
        <v>0</v>
      </c>
      <c r="S34" s="11">
        <f>SUMIF('Components Yr 3'!C2:C1111,B34,'Components Yr 3'!I2:I1111)</f>
        <v>0</v>
      </c>
      <c r="T34" s="11">
        <f>SUMIF('Components Yr 3'!C2:C1111,B34,'Components Yr 3'!J2:J1111)</f>
        <v>0</v>
      </c>
    </row>
    <row r="35" spans="1:20" x14ac:dyDescent="0.25">
      <c r="A35" s="15">
        <f t="shared" si="0"/>
        <v>0</v>
      </c>
      <c r="B35" s="14" t="s">
        <v>47</v>
      </c>
      <c r="C35" s="15">
        <f>SUMIF('Components Yr 1'!C2:C1111,B35,'Components Yr 1'!E2:E1111)</f>
        <v>0</v>
      </c>
      <c r="D35" s="15">
        <f>SUMIF('Components Yr 1'!C2:C1111,B35,'Components Yr 1'!F2:F1111)</f>
        <v>0</v>
      </c>
      <c r="E35" s="15">
        <f>SUMIF('Components Yr 1'!C2:C1111,B35,'Components Yr 1'!G2:G1111)</f>
        <v>0</v>
      </c>
      <c r="F35" s="15">
        <f>SUMIF('Components Yr 1'!C2:C1111,B35,'Components Yr 1'!H2:H1111)</f>
        <v>0</v>
      </c>
      <c r="G35" s="15">
        <f>SUMIF('Components Yr 1'!C2:C1111,B35,'Components Yr 1'!I2:I1111)</f>
        <v>0</v>
      </c>
      <c r="H35" s="15">
        <f>SUMIF('Components Yr 1'!C2:C1111,B35,'Components Yr 1'!J2:J1111)</f>
        <v>0</v>
      </c>
      <c r="I35" s="15">
        <f>SUMIF('Components Yr 2'!C2:C1111,B35,'Components Yr 2'!E2:E1111)</f>
        <v>0</v>
      </c>
      <c r="J35" s="15">
        <f>SUMIF('Components Yr 2'!C2:C1111,B35,'Components Yr 2'!F2:F1111)</f>
        <v>0</v>
      </c>
      <c r="K35" s="15">
        <f>SUMIF('Components Yr 2'!C2:C1111,B35,'Components Yr 2'!G2:G1111)</f>
        <v>0</v>
      </c>
      <c r="L35" s="15">
        <f>SUMIF('Components Yr 2'!C2:C1111,B35,'Components Yr 2'!H2:H1111)</f>
        <v>0</v>
      </c>
      <c r="M35" s="15">
        <f>SUMIF('Components Yr 2'!C2:C1111,B35,'Components Yr 2'!I2:I1111)</f>
        <v>0</v>
      </c>
      <c r="N35" s="15">
        <f>SUMIF('Components Yr 2'!C2:C1111,B35,'Components Yr 2'!J2:J1111)</f>
        <v>0</v>
      </c>
      <c r="O35" s="15">
        <f>SUMIF('Components Yr 3'!C2:C1111,B35,'Components Yr 3'!E2:E1111)</f>
        <v>0</v>
      </c>
      <c r="P35" s="15">
        <f>SUMIF('Components Yr 3'!C2:C1111,B35,'Components Yr 3'!F2:F1111)</f>
        <v>0</v>
      </c>
      <c r="Q35" s="15">
        <f>SUMIF('Components Yr 3'!C2:C1111,B35,'Components Yr 3'!G2:G1111)</f>
        <v>0</v>
      </c>
      <c r="R35" s="15">
        <f>SUMIF('Components Yr 3'!C2:C1111,B35,'Components Yr 3'!H2:H1111)</f>
        <v>0</v>
      </c>
      <c r="S35" s="15">
        <f>SUMIF('Components Yr 3'!C2:C1111,B35,'Components Yr 3'!I2:I1111)</f>
        <v>0</v>
      </c>
      <c r="T35" s="15">
        <f>SUMIF('Components Yr 3'!C2:C1111,B35,'Components Yr 3'!J2:J1111)</f>
        <v>0</v>
      </c>
    </row>
    <row r="36" spans="1:20" x14ac:dyDescent="0.25">
      <c r="A36" s="11">
        <f t="shared" si="0"/>
        <v>0</v>
      </c>
      <c r="B36" s="10" t="s">
        <v>48</v>
      </c>
      <c r="C36" s="11">
        <f>SUMIF('Components Yr 1'!C2:C1111,B36,'Components Yr 1'!E2:E1111)</f>
        <v>0</v>
      </c>
      <c r="D36" s="11">
        <f>SUMIF('Components Yr 1'!C2:C1111,B36,'Components Yr 1'!F2:F1111)</f>
        <v>0</v>
      </c>
      <c r="E36" s="11">
        <f>SUMIF('Components Yr 1'!C2:C1111,B36,'Components Yr 1'!G2:G1111)</f>
        <v>0</v>
      </c>
      <c r="F36" s="11">
        <f>SUMIF('Components Yr 1'!C2:C1111,B36,'Components Yr 1'!H2:H1111)</f>
        <v>0</v>
      </c>
      <c r="G36" s="11">
        <f>SUMIF('Components Yr 1'!C2:C1111,B36,'Components Yr 1'!I2:I1111)</f>
        <v>0</v>
      </c>
      <c r="H36" s="11">
        <f>SUMIF('Components Yr 1'!C2:C1111,B36,'Components Yr 1'!J2:J1111)</f>
        <v>0</v>
      </c>
      <c r="I36" s="11">
        <f>SUMIF('Components Yr 2'!C2:C1111,B36,'Components Yr 2'!E2:E1111)</f>
        <v>0</v>
      </c>
      <c r="J36" s="11">
        <f>SUMIF('Components Yr 2'!C2:C1111,B36,'Components Yr 2'!F2:F1111)</f>
        <v>0</v>
      </c>
      <c r="K36" s="11">
        <f>SUMIF('Components Yr 2'!C2:C1111,B36,'Components Yr 2'!G2:G1111)</f>
        <v>0</v>
      </c>
      <c r="L36" s="11">
        <f>SUMIF('Components Yr 2'!C2:C1111,B36,'Components Yr 2'!H2:H1111)</f>
        <v>0</v>
      </c>
      <c r="M36" s="11">
        <f>SUMIF('Components Yr 2'!C2:C1111,B36,'Components Yr 2'!I2:I1111)</f>
        <v>0</v>
      </c>
      <c r="N36" s="11">
        <f>SUMIF('Components Yr 2'!C2:C1111,B36,'Components Yr 2'!J2:J1111)</f>
        <v>0</v>
      </c>
      <c r="O36" s="11">
        <f>SUMIF('Components Yr 3'!C2:C1111,B36,'Components Yr 3'!E2:E1111)</f>
        <v>0</v>
      </c>
      <c r="P36" s="11">
        <f>SUMIF('Components Yr 3'!C2:C1111,B36,'Components Yr 3'!F2:F1111)</f>
        <v>0</v>
      </c>
      <c r="Q36" s="11">
        <f>SUMIF('Components Yr 3'!C2:C1111,B36,'Components Yr 3'!G2:G1111)</f>
        <v>0</v>
      </c>
      <c r="R36" s="11">
        <f>SUMIF('Components Yr 3'!C2:C1111,B36,'Components Yr 3'!H2:H1111)</f>
        <v>0</v>
      </c>
      <c r="S36" s="11">
        <f>SUMIF('Components Yr 3'!C2:C1111,B36,'Components Yr 3'!I2:I1111)</f>
        <v>0</v>
      </c>
      <c r="T36" s="11">
        <f>SUMIF('Components Yr 3'!C2:C1111,B36,'Components Yr 3'!J2:J1111)</f>
        <v>0</v>
      </c>
    </row>
    <row r="37" spans="1:20" x14ac:dyDescent="0.25">
      <c r="A37" s="15">
        <f t="shared" si="0"/>
        <v>0</v>
      </c>
      <c r="B37" s="14" t="s">
        <v>49</v>
      </c>
      <c r="C37" s="15">
        <f>SUMIF('Components Yr 1'!C2:C1111,B37,'Components Yr 1'!E2:E1111)</f>
        <v>0</v>
      </c>
      <c r="D37" s="15">
        <f>SUMIF('Components Yr 1'!C2:C1111,B37,'Components Yr 1'!F2:F1111)</f>
        <v>0</v>
      </c>
      <c r="E37" s="15">
        <f>SUMIF('Components Yr 1'!C2:C1111,B37,'Components Yr 1'!G2:G1111)</f>
        <v>0</v>
      </c>
      <c r="F37" s="15">
        <f>SUMIF('Components Yr 1'!C2:C1111,B37,'Components Yr 1'!H2:H1111)</f>
        <v>0</v>
      </c>
      <c r="G37" s="15">
        <f>SUMIF('Components Yr 1'!C2:C1111,B37,'Components Yr 1'!I2:I1111)</f>
        <v>0</v>
      </c>
      <c r="H37" s="15">
        <f>SUMIF('Components Yr 1'!C2:C1111,B37,'Components Yr 1'!J2:J1111)</f>
        <v>0</v>
      </c>
      <c r="I37" s="15">
        <f>SUMIF('Components Yr 2'!C2:C1111,B37,'Components Yr 2'!E2:E1111)</f>
        <v>0</v>
      </c>
      <c r="J37" s="15">
        <f>SUMIF('Components Yr 2'!C2:C1111,B37,'Components Yr 2'!F2:F1111)</f>
        <v>0</v>
      </c>
      <c r="K37" s="15">
        <f>SUMIF('Components Yr 2'!C2:C1111,B37,'Components Yr 2'!G2:G1111)</f>
        <v>0</v>
      </c>
      <c r="L37" s="15">
        <f>SUMIF('Components Yr 2'!C2:C1111,B37,'Components Yr 2'!H2:H1111)</f>
        <v>0</v>
      </c>
      <c r="M37" s="15">
        <f>SUMIF('Components Yr 2'!C2:C1111,B37,'Components Yr 2'!I2:I1111)</f>
        <v>0</v>
      </c>
      <c r="N37" s="15">
        <f>SUMIF('Components Yr 2'!C2:C1111,B37,'Components Yr 2'!J2:J1111)</f>
        <v>0</v>
      </c>
      <c r="O37" s="15">
        <f>SUMIF('Components Yr 3'!C2:C1111,B37,'Components Yr 3'!E2:E1111)</f>
        <v>0</v>
      </c>
      <c r="P37" s="15">
        <f>SUMIF('Components Yr 3'!C2:C1111,B37,'Components Yr 3'!F2:F1111)</f>
        <v>0</v>
      </c>
      <c r="Q37" s="15">
        <f>SUMIF('Components Yr 3'!C2:C1111,B37,'Components Yr 3'!G2:G1111)</f>
        <v>0</v>
      </c>
      <c r="R37" s="15">
        <f>SUMIF('Components Yr 3'!C2:C1111,B37,'Components Yr 3'!H2:H1111)</f>
        <v>0</v>
      </c>
      <c r="S37" s="15">
        <f>SUMIF('Components Yr 3'!C2:C1111,B37,'Components Yr 3'!I2:I1111)</f>
        <v>0</v>
      </c>
      <c r="T37" s="15">
        <f>SUMIF('Components Yr 3'!C2:C1111,B37,'Components Yr 3'!J2:J1111)</f>
        <v>0</v>
      </c>
    </row>
    <row r="38" spans="1:20" x14ac:dyDescent="0.25">
      <c r="A38" s="11">
        <f t="shared" si="0"/>
        <v>0</v>
      </c>
      <c r="B38" s="10" t="s">
        <v>50</v>
      </c>
      <c r="C38" s="11">
        <f>SUMIF('Components Yr 1'!C2:C1111,B38,'Components Yr 1'!E2:E1111)</f>
        <v>0</v>
      </c>
      <c r="D38" s="11">
        <f>SUMIF('Components Yr 1'!C2:C1111,B38,'Components Yr 1'!F2:F1111)</f>
        <v>0</v>
      </c>
      <c r="E38" s="11">
        <f>SUMIF('Components Yr 1'!C2:C1111,B38,'Components Yr 1'!G2:G1111)</f>
        <v>0</v>
      </c>
      <c r="F38" s="11">
        <f>SUMIF('Components Yr 1'!C2:C1111,B38,'Components Yr 1'!H2:H1111)</f>
        <v>0</v>
      </c>
      <c r="G38" s="11">
        <f>SUMIF('Components Yr 1'!C2:C1111,B38,'Components Yr 1'!I2:I1111)</f>
        <v>0</v>
      </c>
      <c r="H38" s="11">
        <f>SUMIF('Components Yr 1'!C2:C1111,B38,'Components Yr 1'!J2:J1111)</f>
        <v>0</v>
      </c>
      <c r="I38" s="11">
        <f>SUMIF('Components Yr 2'!C2:C1111,B38,'Components Yr 2'!E2:E1111)</f>
        <v>0</v>
      </c>
      <c r="J38" s="11">
        <f>SUMIF('Components Yr 2'!C2:C1111,B38,'Components Yr 2'!F2:F1111)</f>
        <v>0</v>
      </c>
      <c r="K38" s="11">
        <f>SUMIF('Components Yr 2'!C2:C1111,B38,'Components Yr 2'!G2:G1111)</f>
        <v>0</v>
      </c>
      <c r="L38" s="11">
        <f>SUMIF('Components Yr 2'!C2:C1111,B38,'Components Yr 2'!H2:H1111)</f>
        <v>0</v>
      </c>
      <c r="M38" s="11">
        <f>SUMIF('Components Yr 2'!C2:C1111,B38,'Components Yr 2'!I2:I1111)</f>
        <v>0</v>
      </c>
      <c r="N38" s="11">
        <f>SUMIF('Components Yr 2'!C2:C1111,B38,'Components Yr 2'!J2:J1111)</f>
        <v>0</v>
      </c>
      <c r="O38" s="11">
        <f>SUMIF('Components Yr 3'!C2:C1111,B38,'Components Yr 3'!E2:E1111)</f>
        <v>0</v>
      </c>
      <c r="P38" s="11">
        <f>SUMIF('Components Yr 3'!C2:C1111,B38,'Components Yr 3'!F2:F1111)</f>
        <v>0</v>
      </c>
      <c r="Q38" s="11">
        <f>SUMIF('Components Yr 3'!C2:C1111,B38,'Components Yr 3'!G2:G1111)</f>
        <v>0</v>
      </c>
      <c r="R38" s="11">
        <f>SUMIF('Components Yr 3'!C2:C1111,B38,'Components Yr 3'!H2:H1111)</f>
        <v>0</v>
      </c>
      <c r="S38" s="11">
        <f>SUMIF('Components Yr 3'!C2:C1111,B38,'Components Yr 3'!I2:I1111)</f>
        <v>0</v>
      </c>
      <c r="T38" s="11">
        <f>SUMIF('Components Yr 3'!C2:C1111,B38,'Components Yr 3'!J2:J1111)</f>
        <v>0</v>
      </c>
    </row>
    <row r="39" spans="1:20" x14ac:dyDescent="0.25">
      <c r="A39" s="15">
        <f t="shared" si="0"/>
        <v>0</v>
      </c>
      <c r="B39" s="14" t="s">
        <v>51</v>
      </c>
      <c r="C39" s="15">
        <f>SUMIF('Components Yr 1'!C2:C1111,B39,'Components Yr 1'!E2:E1111)</f>
        <v>0</v>
      </c>
      <c r="D39" s="15">
        <f>SUMIF('Components Yr 1'!C2:C1111,B39,'Components Yr 1'!F2:F1111)</f>
        <v>0</v>
      </c>
      <c r="E39" s="15">
        <f>SUMIF('Components Yr 1'!C2:C1111,B39,'Components Yr 1'!G2:G1111)</f>
        <v>0</v>
      </c>
      <c r="F39" s="15">
        <f>SUMIF('Components Yr 1'!C2:C1111,B39,'Components Yr 1'!H2:H1111)</f>
        <v>0</v>
      </c>
      <c r="G39" s="15">
        <f>SUMIF('Components Yr 1'!C2:C1111,B39,'Components Yr 1'!I2:I1111)</f>
        <v>0</v>
      </c>
      <c r="H39" s="15">
        <f>SUMIF('Components Yr 1'!C2:C1111,B39,'Components Yr 1'!J2:J1111)</f>
        <v>0</v>
      </c>
      <c r="I39" s="15">
        <f>SUMIF('Components Yr 2'!C2:C1111,B39,'Components Yr 2'!E2:E1111)</f>
        <v>0</v>
      </c>
      <c r="J39" s="15">
        <f>SUMIF('Components Yr 2'!C2:C1111,B39,'Components Yr 2'!F2:F1111)</f>
        <v>0</v>
      </c>
      <c r="K39" s="15">
        <f>SUMIF('Components Yr 2'!C2:C1111,B39,'Components Yr 2'!G2:G1111)</f>
        <v>0</v>
      </c>
      <c r="L39" s="15">
        <f>SUMIF('Components Yr 2'!C2:C1111,B39,'Components Yr 2'!H2:H1111)</f>
        <v>0</v>
      </c>
      <c r="M39" s="15">
        <f>SUMIF('Components Yr 2'!C2:C1111,B39,'Components Yr 2'!I2:I1111)</f>
        <v>0</v>
      </c>
      <c r="N39" s="15">
        <f>SUMIF('Components Yr 2'!C2:C1111,B39,'Components Yr 2'!J2:J1111)</f>
        <v>0</v>
      </c>
      <c r="O39" s="15">
        <f>SUMIF('Components Yr 3'!C2:C1111,B39,'Components Yr 3'!E2:E1111)</f>
        <v>0</v>
      </c>
      <c r="P39" s="15">
        <f>SUMIF('Components Yr 3'!C2:C1111,B39,'Components Yr 3'!F2:F1111)</f>
        <v>0</v>
      </c>
      <c r="Q39" s="15">
        <f>SUMIF('Components Yr 3'!C2:C1111,B39,'Components Yr 3'!G2:G1111)</f>
        <v>0</v>
      </c>
      <c r="R39" s="15">
        <f>SUMIF('Components Yr 3'!C2:C1111,B39,'Components Yr 3'!H2:H1111)</f>
        <v>0</v>
      </c>
      <c r="S39" s="15">
        <f>SUMIF('Components Yr 3'!C2:C1111,B39,'Components Yr 3'!I2:I1111)</f>
        <v>0</v>
      </c>
      <c r="T39" s="15">
        <f>SUMIF('Components Yr 3'!C2:C1111,B39,'Components Yr 3'!J2:J1111)</f>
        <v>0</v>
      </c>
    </row>
    <row r="40" spans="1:20" ht="15.75" x14ac:dyDescent="0.25">
      <c r="B40" s="77" t="s">
        <v>178</v>
      </c>
      <c r="C40" s="78" t="str">
        <f>'Price Calculator'!F6</f>
        <v/>
      </c>
      <c r="D40" s="78"/>
      <c r="E40" s="78"/>
      <c r="F40" s="78"/>
      <c r="G40" s="78"/>
      <c r="H40" s="78"/>
      <c r="I40" s="78" t="str">
        <f>'Price Calculator'!F7</f>
        <v/>
      </c>
      <c r="J40" s="78"/>
      <c r="K40" s="78"/>
      <c r="L40" s="78"/>
      <c r="M40" s="78"/>
      <c r="N40" s="78"/>
      <c r="O40" s="78" t="str">
        <f>'Price Calculator'!F8</f>
        <v/>
      </c>
      <c r="P40" s="78"/>
      <c r="Q40" s="78"/>
      <c r="R40" s="78"/>
      <c r="S40" s="78"/>
      <c r="T40" s="78"/>
    </row>
  </sheetData>
  <mergeCells count="3">
    <mergeCell ref="C40:H40"/>
    <mergeCell ref="I40:N40"/>
    <mergeCell ref="O40:T4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8"/>
  <sheetViews>
    <sheetView zoomScaleNormal="100" workbookViewId="0">
      <selection activeCell="C17" sqref="C17"/>
    </sheetView>
  </sheetViews>
  <sheetFormatPr defaultColWidth="8.7109375" defaultRowHeight="15" x14ac:dyDescent="0.25"/>
  <cols>
    <col min="1" max="1" width="52" customWidth="1"/>
    <col min="2" max="9" width="14" customWidth="1"/>
  </cols>
  <sheetData>
    <row r="1" spans="1:9" x14ac:dyDescent="0.25">
      <c r="A1" s="8" t="s">
        <v>2</v>
      </c>
      <c r="B1" s="9" t="s">
        <v>14</v>
      </c>
      <c r="C1" s="8" t="s">
        <v>3</v>
      </c>
      <c r="D1" s="8" t="s">
        <v>137</v>
      </c>
      <c r="E1" s="8" t="s">
        <v>5</v>
      </c>
      <c r="F1" s="8" t="s">
        <v>6</v>
      </c>
      <c r="G1" s="8" t="s">
        <v>7</v>
      </c>
      <c r="H1" s="8" t="s">
        <v>57</v>
      </c>
      <c r="I1" s="8" t="s">
        <v>138</v>
      </c>
    </row>
    <row r="2" spans="1:9" x14ac:dyDescent="0.25">
      <c r="A2" s="10" t="s">
        <v>15</v>
      </c>
      <c r="B2" s="11">
        <f>SUMIF('Components Yr 1'!C2:C1111,A2,'Components Yr 1'!E2:E1111)</f>
        <v>0</v>
      </c>
      <c r="C2" s="11">
        <f>SUMIF('Components Yr 1'!C2:C1111,A2,'Components Yr 1'!F2:F1111)</f>
        <v>0</v>
      </c>
      <c r="D2" s="11">
        <f>SUMIF('Components Yr 1'!C2:C1111,A2,'Components Yr 1'!G2:G1111)</f>
        <v>0</v>
      </c>
      <c r="E2" s="11">
        <f>SUMIF('Components Yr 1'!C2:C1111,A2,'Components Yr 1'!H2:H1111)</f>
        <v>0</v>
      </c>
      <c r="F2" s="11">
        <f>SUMIF('Components Yr 1'!C2:C1111,A2,'Components Yr 1'!I2:I1111)</f>
        <v>0</v>
      </c>
      <c r="G2" s="11">
        <f>SUMIF('Components Yr 1'!C2:C1111,A2,'Components Yr 1'!J2:J1111)</f>
        <v>0</v>
      </c>
      <c r="H2" s="43">
        <f>SUMIF('Components Yr 1'!C2:C1111,A2,'Components Yr 1'!R2:R1111)</f>
        <v>0</v>
      </c>
      <c r="I2" s="11">
        <f>SUMIF('Components Yr 1'!C2:C1111,A2,'Components Yr 1'!S2:S1111)</f>
        <v>0</v>
      </c>
    </row>
    <row r="3" spans="1:9" x14ac:dyDescent="0.25">
      <c r="A3" s="14" t="s">
        <v>16</v>
      </c>
      <c r="B3" s="15">
        <f>SUMIF('Components Yr 1'!C2:C1111,A3,'Components Yr 1'!E2:E1111)</f>
        <v>0</v>
      </c>
      <c r="C3" s="15">
        <f>SUMIF('Components Yr 1'!C2:C1111,A3,'Components Yr 1'!F2:F1111)</f>
        <v>0</v>
      </c>
      <c r="D3" s="15">
        <f>SUMIF('Components Yr 1'!C2:C1111,A3,'Components Yr 1'!G2:G1111)</f>
        <v>0</v>
      </c>
      <c r="E3" s="15">
        <f>SUMIF('Components Yr 1'!C2:C1111,A3,'Components Yr 1'!H2:H1111)</f>
        <v>0</v>
      </c>
      <c r="F3" s="15">
        <f>SUMIF('Components Yr 1'!C2:C1111,A3,'Components Yr 1'!I2:I1111)</f>
        <v>0</v>
      </c>
      <c r="G3" s="15">
        <f>SUMIF('Components Yr 1'!C2:C1111,A3,'Components Yr 1'!J2:J1111)</f>
        <v>0</v>
      </c>
      <c r="H3" s="44">
        <f>SUMIF('Components Yr 1'!C2:C1111,A3,'Components Yr 1'!R2:R1111)</f>
        <v>0</v>
      </c>
      <c r="I3" s="15">
        <f>SUMIF('Components Yr 1'!C2:C1111,A3,'Components Yr 1'!S2:S1111)</f>
        <v>0</v>
      </c>
    </row>
    <row r="4" spans="1:9" x14ac:dyDescent="0.25">
      <c r="A4" s="10" t="s">
        <v>17</v>
      </c>
      <c r="B4" s="11">
        <f>SUMIF('Components Yr 1'!C2:C1111,A4,'Components Yr 1'!E2:E1111)</f>
        <v>0</v>
      </c>
      <c r="C4" s="11">
        <f>SUMIF('Components Yr 1'!C2:C1111,A4,'Components Yr 1'!F2:F1111)</f>
        <v>0</v>
      </c>
      <c r="D4" s="11">
        <f>SUMIF('Components Yr 1'!C2:C1111,A4,'Components Yr 1'!G2:G1111)</f>
        <v>0</v>
      </c>
      <c r="E4" s="11">
        <f>SUMIF('Components Yr 1'!C2:C1111,A4,'Components Yr 1'!H2:H1111)</f>
        <v>0</v>
      </c>
      <c r="F4" s="11">
        <f>SUMIF('Components Yr 1'!C2:C1111,A4,'Components Yr 1'!I2:I1111)</f>
        <v>0</v>
      </c>
      <c r="G4" s="11">
        <f>SUMIF('Components Yr 1'!C2:C1111,A4,'Components Yr 1'!J2:J1111)</f>
        <v>0</v>
      </c>
      <c r="H4" s="43">
        <f>SUMIF('Components Yr 1'!C2:C1111,A4,'Components Yr 1'!R2:R1111)</f>
        <v>0</v>
      </c>
      <c r="I4" s="11">
        <f>SUMIF('Components Yr 1'!C2:C1111,A4,'Components Yr 1'!S2:S1111)</f>
        <v>0</v>
      </c>
    </row>
    <row r="5" spans="1:9" x14ac:dyDescent="0.25">
      <c r="A5" s="14" t="s">
        <v>18</v>
      </c>
      <c r="B5" s="15">
        <f>SUMIF('Components Yr 1'!C2:C1111,A5,'Components Yr 1'!E2:E1111)</f>
        <v>0</v>
      </c>
      <c r="C5" s="15">
        <f>SUMIF('Components Yr 1'!C2:C1111,A5,'Components Yr 1'!F2:F1111)</f>
        <v>0</v>
      </c>
      <c r="D5" s="15">
        <f>SUMIF('Components Yr 1'!C2:C1111,A5,'Components Yr 1'!G2:G1111)</f>
        <v>0</v>
      </c>
      <c r="E5" s="15">
        <f>SUMIF('Components Yr 1'!C2:C1111,A5,'Components Yr 1'!H2:H1111)</f>
        <v>0</v>
      </c>
      <c r="F5" s="15">
        <f>SUMIF('Components Yr 1'!C2:C1111,A5,'Components Yr 1'!I2:I1111)</f>
        <v>0</v>
      </c>
      <c r="G5" s="15">
        <f>SUMIF('Components Yr 1'!C2:C1111,A5,'Components Yr 1'!J2:J1111)</f>
        <v>0</v>
      </c>
      <c r="H5" s="44">
        <f>SUMIF('Components Yr 1'!C2:C1111,A5,'Components Yr 1'!R2:R1111)</f>
        <v>0</v>
      </c>
      <c r="I5" s="15">
        <f>SUMIF('Components Yr 1'!C2:C1111,A5,'Components Yr 1'!S2:S1111)</f>
        <v>0</v>
      </c>
    </row>
    <row r="6" spans="1:9" x14ac:dyDescent="0.25">
      <c r="A6" s="10" t="s">
        <v>19</v>
      </c>
      <c r="B6" s="11">
        <f>SUMIF('Components Yr 1'!C2:C1111,A6,'Components Yr 1'!E2:E1111)</f>
        <v>0</v>
      </c>
      <c r="C6" s="11">
        <f>SUMIF('Components Yr 1'!C2:C1111,A6,'Components Yr 1'!F2:F1111)</f>
        <v>0</v>
      </c>
      <c r="D6" s="11">
        <f>SUMIF('Components Yr 1'!C2:C1111,A6,'Components Yr 1'!G2:G1111)</f>
        <v>0</v>
      </c>
      <c r="E6" s="11">
        <f>SUMIF('Components Yr 1'!C2:C1111,A6,'Components Yr 1'!H2:H1111)</f>
        <v>0</v>
      </c>
      <c r="F6" s="11">
        <f>SUMIF('Components Yr 1'!C2:C1111,A6,'Components Yr 1'!I2:I1111)</f>
        <v>0</v>
      </c>
      <c r="G6" s="11">
        <f>SUMIF('Components Yr 1'!C2:C1111,A6,'Components Yr 1'!J2:J1111)</f>
        <v>0</v>
      </c>
      <c r="H6" s="43">
        <f>SUMIF('Components Yr 1'!C2:C1111,A6,'Components Yr 1'!R2:R1111)</f>
        <v>0</v>
      </c>
      <c r="I6" s="11">
        <f>SUMIF('Components Yr 1'!C2:C1111,A6,'Components Yr 1'!S2:S1111)</f>
        <v>0</v>
      </c>
    </row>
    <row r="7" spans="1:9" x14ac:dyDescent="0.25">
      <c r="A7" s="14" t="s">
        <v>20</v>
      </c>
      <c r="B7" s="15">
        <f>SUMIF('Components Yr 1'!C2:C1111,A7,'Components Yr 1'!E2:E1111)</f>
        <v>0</v>
      </c>
      <c r="C7" s="15">
        <f>SUMIF('Components Yr 1'!C2:C1111,A7,'Components Yr 1'!F2:F1111)</f>
        <v>0</v>
      </c>
      <c r="D7" s="15">
        <f>SUMIF('Components Yr 1'!C2:C1111,A7,'Components Yr 1'!G2:G1111)</f>
        <v>0</v>
      </c>
      <c r="E7" s="15">
        <f>SUMIF('Components Yr 1'!C2:C1111,A7,'Components Yr 1'!H2:H1111)</f>
        <v>0</v>
      </c>
      <c r="F7" s="15">
        <f>SUMIF('Components Yr 1'!C2:C1111,A7,'Components Yr 1'!I2:I1111)</f>
        <v>0</v>
      </c>
      <c r="G7" s="15">
        <f>SUMIF('Components Yr 1'!C2:C1111,A7,'Components Yr 1'!J2:J1111)</f>
        <v>0</v>
      </c>
      <c r="H7" s="44">
        <f>SUMIF('Components Yr 1'!C2:C1111,A7,'Components Yr 1'!R2:R1111)</f>
        <v>0</v>
      </c>
      <c r="I7" s="15">
        <f>SUMIF('Components Yr 1'!C2:C1111,A7,'Components Yr 1'!S2:S1111)</f>
        <v>0</v>
      </c>
    </row>
    <row r="8" spans="1:9" x14ac:dyDescent="0.25">
      <c r="A8" s="10" t="s">
        <v>21</v>
      </c>
      <c r="B8" s="11">
        <f>SUMIF('Components Yr 1'!C2:C1111,A8,'Components Yr 1'!E2:E1111)</f>
        <v>0</v>
      </c>
      <c r="C8" s="11">
        <f>SUMIF('Components Yr 1'!C2:C1111,A8,'Components Yr 1'!F2:F1111)</f>
        <v>0</v>
      </c>
      <c r="D8" s="11">
        <f>SUMIF('Components Yr 1'!C2:C1111,A8,'Components Yr 1'!G2:G1111)</f>
        <v>0</v>
      </c>
      <c r="E8" s="11">
        <f>SUMIF('Components Yr 1'!C2:C1111,A8,'Components Yr 1'!H2:H1111)</f>
        <v>0</v>
      </c>
      <c r="F8" s="11">
        <f>SUMIF('Components Yr 1'!C2:C1111,A8,'Components Yr 1'!I2:I1111)</f>
        <v>0</v>
      </c>
      <c r="G8" s="11">
        <f>SUMIF('Components Yr 1'!C2:C1111,A8,'Components Yr 1'!J2:J1111)</f>
        <v>0</v>
      </c>
      <c r="H8" s="43">
        <f>SUMIF('Components Yr 1'!C2:C1111,A8,'Components Yr 1'!R2:R1111)</f>
        <v>0</v>
      </c>
      <c r="I8" s="11">
        <f>SUMIF('Components Yr 1'!C2:C1111,A8,'Components Yr 1'!S2:S1111)</f>
        <v>0</v>
      </c>
    </row>
    <row r="9" spans="1:9" x14ac:dyDescent="0.25">
      <c r="A9" s="14" t="s">
        <v>22</v>
      </c>
      <c r="B9" s="15">
        <f>SUMIF('Components Yr 1'!C2:C1111,A9,'Components Yr 1'!E2:E1111)</f>
        <v>0</v>
      </c>
      <c r="C9" s="15">
        <f>SUMIF('Components Yr 1'!C2:C1111,A9,'Components Yr 1'!F2:F1111)</f>
        <v>0</v>
      </c>
      <c r="D9" s="15">
        <f>SUMIF('Components Yr 1'!C2:C1111,A9,'Components Yr 1'!G2:G1111)</f>
        <v>0</v>
      </c>
      <c r="E9" s="15">
        <f>SUMIF('Components Yr 1'!C2:C1111,A9,'Components Yr 1'!H2:H1111)</f>
        <v>0</v>
      </c>
      <c r="F9" s="15">
        <f>SUMIF('Components Yr 1'!C2:C1111,A9,'Components Yr 1'!I2:I1111)</f>
        <v>0</v>
      </c>
      <c r="G9" s="15">
        <f>SUMIF('Components Yr 1'!C2:C1111,A9,'Components Yr 1'!J2:J1111)</f>
        <v>0</v>
      </c>
      <c r="H9" s="44">
        <f>SUMIF('Components Yr 1'!C2:C1111,A9,'Components Yr 1'!R2:R1111)</f>
        <v>0</v>
      </c>
      <c r="I9" s="15">
        <f>SUMIF('Components Yr 1'!C2:C1111,A9,'Components Yr 1'!S2:S1111)</f>
        <v>0</v>
      </c>
    </row>
    <row r="10" spans="1:9" x14ac:dyDescent="0.25">
      <c r="A10" s="10" t="s">
        <v>23</v>
      </c>
      <c r="B10" s="11">
        <f>SUMIF('Components Yr 1'!C2:C1111,A10,'Components Yr 1'!E2:E1111)</f>
        <v>0</v>
      </c>
      <c r="C10" s="11">
        <f>SUMIF('Components Yr 1'!C2:C1111,A10,'Components Yr 1'!F2:F1111)</f>
        <v>0</v>
      </c>
      <c r="D10" s="11">
        <f>SUMIF('Components Yr 1'!C2:C1111,A10,'Components Yr 1'!G2:G1111)</f>
        <v>0</v>
      </c>
      <c r="E10" s="11">
        <f>SUMIF('Components Yr 1'!C2:C1111,A10,'Components Yr 1'!H2:H1111)</f>
        <v>0</v>
      </c>
      <c r="F10" s="11">
        <f>SUMIF('Components Yr 1'!C2:C1111,A10,'Components Yr 1'!I2:I1111)</f>
        <v>0</v>
      </c>
      <c r="G10" s="11">
        <f>SUMIF('Components Yr 1'!C2:C1111,A10,'Components Yr 1'!J2:J1111)</f>
        <v>0</v>
      </c>
      <c r="H10" s="43">
        <f>SUMIF('Components Yr 1'!C2:C1111,A10,'Components Yr 1'!R2:R1111)</f>
        <v>0</v>
      </c>
      <c r="I10" s="11">
        <f>SUMIF('Components Yr 1'!C2:C1111,A10,'Components Yr 1'!S2:S1111)</f>
        <v>0</v>
      </c>
    </row>
    <row r="11" spans="1:9" x14ac:dyDescent="0.25">
      <c r="A11" s="14" t="s">
        <v>24</v>
      </c>
      <c r="B11" s="15">
        <f>SUMIF('Components Yr 1'!C2:C1111,A11,'Components Yr 1'!E2:E1111)</f>
        <v>0</v>
      </c>
      <c r="C11" s="15">
        <f>SUMIF('Components Yr 1'!C2:C1111,A11,'Components Yr 1'!F2:F1111)</f>
        <v>0</v>
      </c>
      <c r="D11" s="15">
        <f>SUMIF('Components Yr 1'!C2:C1111,A11,'Components Yr 1'!G2:G1111)</f>
        <v>0</v>
      </c>
      <c r="E11" s="15">
        <f>SUMIF('Components Yr 1'!C2:C1111,A11,'Components Yr 1'!H2:H1111)</f>
        <v>0</v>
      </c>
      <c r="F11" s="15">
        <f>SUMIF('Components Yr 1'!C2:C1111,A11,'Components Yr 1'!I2:I1111)</f>
        <v>0</v>
      </c>
      <c r="G11" s="15">
        <f>SUMIF('Components Yr 1'!C2:C1111,A11,'Components Yr 1'!J2:J1111)</f>
        <v>0</v>
      </c>
      <c r="H11" s="44">
        <f>SUMIF('Components Yr 1'!C2:C1111,A11,'Components Yr 1'!R2:R1111)</f>
        <v>0</v>
      </c>
      <c r="I11" s="15">
        <f>SUMIF('Components Yr 1'!C2:C1111,A11,'Components Yr 1'!S2:S1111)</f>
        <v>0</v>
      </c>
    </row>
    <row r="12" spans="1:9" x14ac:dyDescent="0.25">
      <c r="A12" s="10" t="s">
        <v>25</v>
      </c>
      <c r="B12" s="11">
        <f>SUMIF('Components Yr 1'!C2:C1111,A12,'Components Yr 1'!E2:E1111)</f>
        <v>0</v>
      </c>
      <c r="C12" s="11">
        <f>SUMIF('Components Yr 1'!C2:C1111,A12,'Components Yr 1'!F2:F1111)</f>
        <v>0</v>
      </c>
      <c r="D12" s="11">
        <f>SUMIF('Components Yr 1'!C2:C1111,A12,'Components Yr 1'!G2:G1111)</f>
        <v>0</v>
      </c>
      <c r="E12" s="11">
        <f>SUMIF('Components Yr 1'!C2:C1111,A12,'Components Yr 1'!H2:H1111)</f>
        <v>0</v>
      </c>
      <c r="F12" s="11">
        <f>SUMIF('Components Yr 1'!C2:C1111,A12,'Components Yr 1'!I2:I1111)</f>
        <v>0</v>
      </c>
      <c r="G12" s="11">
        <f>SUMIF('Components Yr 1'!C2:C1111,A12,'Components Yr 1'!J2:J1111)</f>
        <v>0</v>
      </c>
      <c r="H12" s="43">
        <f>SUMIF('Components Yr 1'!C2:C1111,A12,'Components Yr 1'!R2:R1111)</f>
        <v>0</v>
      </c>
      <c r="I12" s="11">
        <f>SUMIF('Components Yr 1'!C2:C1111,A12,'Components Yr 1'!S2:S1111)</f>
        <v>0</v>
      </c>
    </row>
    <row r="13" spans="1:9" x14ac:dyDescent="0.25">
      <c r="A13" s="14" t="s">
        <v>26</v>
      </c>
      <c r="B13" s="15">
        <f>SUMIF('Components Yr 1'!C2:C1111,A13,'Components Yr 1'!E2:E1111)</f>
        <v>0</v>
      </c>
      <c r="C13" s="15">
        <f>SUMIF('Components Yr 1'!C2:C1111,A13,'Components Yr 1'!F2:F1111)</f>
        <v>0</v>
      </c>
      <c r="D13" s="15">
        <f>SUMIF('Components Yr 1'!C2:C1111,A13,'Components Yr 1'!G2:G1111)</f>
        <v>0</v>
      </c>
      <c r="E13" s="15">
        <f>SUMIF('Components Yr 1'!C2:C1111,A13,'Components Yr 1'!H2:H1111)</f>
        <v>0</v>
      </c>
      <c r="F13" s="15">
        <f>SUMIF('Components Yr 1'!C2:C1111,A13,'Components Yr 1'!I2:I1111)</f>
        <v>0</v>
      </c>
      <c r="G13" s="15">
        <f>SUMIF('Components Yr 1'!C2:C1111,A13,'Components Yr 1'!J2:J1111)</f>
        <v>0</v>
      </c>
      <c r="H13" s="44">
        <f>SUMIF('Components Yr 1'!C2:C1111,A13,'Components Yr 1'!R2:R1111)</f>
        <v>0</v>
      </c>
      <c r="I13" s="15">
        <f>SUMIF('Components Yr 1'!C2:C1111,A13,'Components Yr 1'!S2:S1111)</f>
        <v>0</v>
      </c>
    </row>
    <row r="14" spans="1:9" x14ac:dyDescent="0.25">
      <c r="A14" s="10" t="s">
        <v>27</v>
      </c>
      <c r="B14" s="11">
        <f>SUMIF('Components Yr 1'!C2:C1111,A14,'Components Yr 1'!E2:E1111)</f>
        <v>0</v>
      </c>
      <c r="C14" s="11">
        <f>SUMIF('Components Yr 1'!C2:C1111,A14,'Components Yr 1'!F2:F1111)</f>
        <v>0</v>
      </c>
      <c r="D14" s="11">
        <f>SUMIF('Components Yr 1'!C2:C1111,A14,'Components Yr 1'!G2:G1111)</f>
        <v>0</v>
      </c>
      <c r="E14" s="11">
        <f>SUMIF('Components Yr 1'!C2:C1111,A14,'Components Yr 1'!H2:H1111)</f>
        <v>0</v>
      </c>
      <c r="F14" s="11">
        <f>SUMIF('Components Yr 1'!C2:C1111,A14,'Components Yr 1'!I2:I1111)</f>
        <v>0</v>
      </c>
      <c r="G14" s="11">
        <f>SUMIF('Components Yr 1'!C2:C1111,A14,'Components Yr 1'!J2:J1111)</f>
        <v>0</v>
      </c>
      <c r="H14" s="43">
        <f>SUMIF('Components Yr 1'!C2:C1111,A14,'Components Yr 1'!R2:R1111)</f>
        <v>0</v>
      </c>
      <c r="I14" s="11">
        <f>SUMIF('Components Yr 1'!C2:C1111,A14,'Components Yr 1'!S2:S1111)</f>
        <v>0</v>
      </c>
    </row>
    <row r="15" spans="1:9" x14ac:dyDescent="0.25">
      <c r="A15" s="14" t="s">
        <v>28</v>
      </c>
      <c r="B15" s="15">
        <f>SUMIF('Components Yr 1'!C2:C1111,A15,'Components Yr 1'!E2:E1111)</f>
        <v>0</v>
      </c>
      <c r="C15" s="15">
        <f>SUMIF('Components Yr 1'!C2:C1111,A15,'Components Yr 1'!F2:F1111)</f>
        <v>0</v>
      </c>
      <c r="D15" s="15">
        <f>SUMIF('Components Yr 1'!C2:C1111,A15,'Components Yr 1'!G2:G1111)</f>
        <v>0</v>
      </c>
      <c r="E15" s="15">
        <f>SUMIF('Components Yr 1'!C2:C1111,A15,'Components Yr 1'!H2:H1111)</f>
        <v>0</v>
      </c>
      <c r="F15" s="15">
        <f>SUMIF('Components Yr 1'!C2:C1111,A15,'Components Yr 1'!I2:I1111)</f>
        <v>0</v>
      </c>
      <c r="G15" s="15">
        <f>SUMIF('Components Yr 1'!C2:C1111,A15,'Components Yr 1'!J2:J1111)</f>
        <v>0</v>
      </c>
      <c r="H15" s="44">
        <f>SUMIF('Components Yr 1'!C2:C1111,A15,'Components Yr 1'!R2:R1111)</f>
        <v>0</v>
      </c>
      <c r="I15" s="15">
        <f>SUMIF('Components Yr 1'!C2:C1111,A15,'Components Yr 1'!S2:S1111)</f>
        <v>0</v>
      </c>
    </row>
    <row r="16" spans="1:9" x14ac:dyDescent="0.25">
      <c r="A16" s="10" t="s">
        <v>29</v>
      </c>
      <c r="B16" s="11">
        <f>SUMIF('Components Yr 1'!C2:C1111,A16,'Components Yr 1'!E2:E1111)</f>
        <v>0</v>
      </c>
      <c r="C16" s="11">
        <f>SUMIF('Components Yr 1'!C2:C1111,A16,'Components Yr 1'!F2:F1111)</f>
        <v>0</v>
      </c>
      <c r="D16" s="11">
        <f>SUMIF('Components Yr 1'!C2:C1111,A16,'Components Yr 1'!G2:G1111)</f>
        <v>0</v>
      </c>
      <c r="E16" s="11">
        <f>SUMIF('Components Yr 1'!C2:C1111,A16,'Components Yr 1'!H2:H1111)</f>
        <v>0</v>
      </c>
      <c r="F16" s="11">
        <f>SUMIF('Components Yr 1'!C2:C1111,A16,'Components Yr 1'!I2:I1111)</f>
        <v>0</v>
      </c>
      <c r="G16" s="11">
        <f>SUMIF('Components Yr 1'!C2:C1111,A16,'Components Yr 1'!J2:J1111)</f>
        <v>0</v>
      </c>
      <c r="H16" s="43">
        <f>SUMIF('Components Yr 1'!C2:C1111,A16,'Components Yr 1'!R2:R1111)</f>
        <v>0</v>
      </c>
      <c r="I16" s="11">
        <f>SUMIF('Components Yr 1'!C2:C1111,A16,'Components Yr 1'!S2:S1111)</f>
        <v>0</v>
      </c>
    </row>
    <row r="17" spans="1:9" x14ac:dyDescent="0.25">
      <c r="A17" s="14" t="s">
        <v>30</v>
      </c>
      <c r="B17" s="15">
        <f>SUMIF('Components Yr 1'!C2:C1111,A17,'Components Yr 1'!E2:E1111)</f>
        <v>0</v>
      </c>
      <c r="C17" s="15">
        <f>SUMIF('Components Yr 1'!C2:C1111,A17,'Components Yr 1'!F2:F1111)</f>
        <v>0</v>
      </c>
      <c r="D17" s="15">
        <f>SUMIF('Components Yr 1'!C2:C1111,A17,'Components Yr 1'!G2:G1111)</f>
        <v>0</v>
      </c>
      <c r="E17" s="15">
        <f>SUMIF('Components Yr 1'!C2:C1111,A17,'Components Yr 1'!H2:H1111)</f>
        <v>0</v>
      </c>
      <c r="F17" s="15">
        <f>SUMIF('Components Yr 1'!C2:C1111,A17,'Components Yr 1'!I2:I1111)</f>
        <v>0</v>
      </c>
      <c r="G17" s="15">
        <f>SUMIF('Components Yr 1'!C2:C1111,A17,'Components Yr 1'!J2:J1111)</f>
        <v>0</v>
      </c>
      <c r="H17" s="44">
        <f>SUMIF('Components Yr 1'!C2:C1111,A17,'Components Yr 1'!R2:R1111)</f>
        <v>0</v>
      </c>
      <c r="I17" s="15">
        <f>SUMIF('Components Yr 1'!C2:C1111,A17,'Components Yr 1'!S2:S1111)</f>
        <v>0</v>
      </c>
    </row>
    <row r="18" spans="1:9" x14ac:dyDescent="0.25">
      <c r="A18" s="10" t="s">
        <v>31</v>
      </c>
      <c r="B18" s="11">
        <f>SUMIF('Components Yr 1'!C2:C1111,A18,'Components Yr 1'!E2:E1111)</f>
        <v>0</v>
      </c>
      <c r="C18" s="11">
        <f>SUMIF('Components Yr 1'!C2:C1111,A18,'Components Yr 1'!F2:F1111)</f>
        <v>0</v>
      </c>
      <c r="D18" s="11">
        <f>SUMIF('Components Yr 1'!C2:C1111,A18,'Components Yr 1'!G2:G1111)</f>
        <v>0</v>
      </c>
      <c r="E18" s="11">
        <f>SUMIF('Components Yr 1'!C2:C1111,A18,'Components Yr 1'!H2:H1111)</f>
        <v>0</v>
      </c>
      <c r="F18" s="11">
        <f>SUMIF('Components Yr 1'!C2:C1111,A18,'Components Yr 1'!I2:I1111)</f>
        <v>0</v>
      </c>
      <c r="G18" s="11">
        <f>SUMIF('Components Yr 1'!C2:C1111,A18,'Components Yr 1'!J2:J1111)</f>
        <v>0</v>
      </c>
      <c r="H18" s="43">
        <f>SUMIF('Components Yr 1'!C2:C1111,A18,'Components Yr 1'!R2:R1111)</f>
        <v>0</v>
      </c>
      <c r="I18" s="11">
        <f>SUMIF('Components Yr 1'!C2:C1111,A18,'Components Yr 1'!S2:S1111)</f>
        <v>0</v>
      </c>
    </row>
    <row r="19" spans="1:9" x14ac:dyDescent="0.25">
      <c r="A19" s="14" t="s">
        <v>32</v>
      </c>
      <c r="B19" s="15">
        <f>SUMIF('Components Yr 1'!C2:C1111,A19,'Components Yr 1'!E2:E1111)</f>
        <v>0</v>
      </c>
      <c r="C19" s="15">
        <f>SUMIF('Components Yr 1'!C2:C1111,A19,'Components Yr 1'!F2:F1111)</f>
        <v>0</v>
      </c>
      <c r="D19" s="15">
        <f>SUMIF('Components Yr 1'!C2:C1111,A19,'Components Yr 1'!G2:G1111)</f>
        <v>0</v>
      </c>
      <c r="E19" s="15">
        <f>SUMIF('Components Yr 1'!C2:C1111,A19,'Components Yr 1'!H2:H1111)</f>
        <v>0</v>
      </c>
      <c r="F19" s="15">
        <f>SUMIF('Components Yr 1'!C2:C1111,A19,'Components Yr 1'!I2:I1111)</f>
        <v>0</v>
      </c>
      <c r="G19" s="15">
        <f>SUMIF('Components Yr 1'!C2:C1111,A19,'Components Yr 1'!J2:J1111)</f>
        <v>0</v>
      </c>
      <c r="H19" s="44">
        <f>SUMIF('Components Yr 1'!C2:C1111,A19,'Components Yr 1'!R2:R1111)</f>
        <v>0</v>
      </c>
      <c r="I19" s="15">
        <f>SUMIF('Components Yr 1'!C2:C1111,A19,'Components Yr 1'!S2:S1111)</f>
        <v>0</v>
      </c>
    </row>
    <row r="20" spans="1:9" x14ac:dyDescent="0.25">
      <c r="A20" s="10" t="s">
        <v>33</v>
      </c>
      <c r="B20" s="11">
        <f>SUMIF('Components Yr 1'!C2:C1111,A20,'Components Yr 1'!E2:E1111)</f>
        <v>0</v>
      </c>
      <c r="C20" s="11">
        <f>SUMIF('Components Yr 1'!C2:C1111,A20,'Components Yr 1'!F2:F1111)</f>
        <v>0</v>
      </c>
      <c r="D20" s="11">
        <f>SUMIF('Components Yr 1'!C2:C1111,A20,'Components Yr 1'!G2:G1111)</f>
        <v>0</v>
      </c>
      <c r="E20" s="11">
        <f>SUMIF('Components Yr 1'!C2:C1111,A20,'Components Yr 1'!H2:H1111)</f>
        <v>0</v>
      </c>
      <c r="F20" s="11">
        <f>SUMIF('Components Yr 1'!C2:C1111,A20,'Components Yr 1'!I2:I1111)</f>
        <v>0</v>
      </c>
      <c r="G20" s="11">
        <f>SUMIF('Components Yr 1'!C2:C1111,A20,'Components Yr 1'!J2:J1111)</f>
        <v>0</v>
      </c>
      <c r="H20" s="43">
        <f>SUMIF('Components Yr 1'!C2:C1111,A20,'Components Yr 1'!R2:R1111)</f>
        <v>0</v>
      </c>
      <c r="I20" s="11">
        <f>SUMIF('Components Yr 1'!C2:C1111,A20,'Components Yr 1'!S2:S1111)</f>
        <v>0</v>
      </c>
    </row>
    <row r="21" spans="1:9" x14ac:dyDescent="0.25">
      <c r="A21" s="14" t="s">
        <v>34</v>
      </c>
      <c r="B21" s="15">
        <f>SUMIF('Components Yr 1'!C2:C1111,A21,'Components Yr 1'!E2:E1111)</f>
        <v>0</v>
      </c>
      <c r="C21" s="15">
        <f>SUMIF('Components Yr 1'!C2:C1111,A21,'Components Yr 1'!F2:F1111)</f>
        <v>0</v>
      </c>
      <c r="D21" s="15">
        <f>SUMIF('Components Yr 1'!C2:C1111,A21,'Components Yr 1'!G2:G1111)</f>
        <v>0</v>
      </c>
      <c r="E21" s="15">
        <f>SUMIF('Components Yr 1'!C2:C1111,A21,'Components Yr 1'!H2:H1111)</f>
        <v>0</v>
      </c>
      <c r="F21" s="15">
        <f>SUMIF('Components Yr 1'!C2:C1111,A21,'Components Yr 1'!I2:I1111)</f>
        <v>0</v>
      </c>
      <c r="G21" s="15">
        <f>SUMIF('Components Yr 1'!C2:C1111,A21,'Components Yr 1'!J2:J1111)</f>
        <v>0</v>
      </c>
      <c r="H21" s="44">
        <f>SUMIF('Components Yr 1'!C2:C1111,A21,'Components Yr 1'!R2:R1111)</f>
        <v>0</v>
      </c>
      <c r="I21" s="15">
        <f>SUMIF('Components Yr 1'!C2:C1111,A21,'Components Yr 1'!S2:S1111)</f>
        <v>0</v>
      </c>
    </row>
    <row r="22" spans="1:9" x14ac:dyDescent="0.25">
      <c r="A22" s="10" t="s">
        <v>35</v>
      </c>
      <c r="B22" s="11">
        <f>SUMIF('Components Yr 1'!C2:C1111,A22,'Components Yr 1'!E2:E1111)</f>
        <v>0</v>
      </c>
      <c r="C22" s="11">
        <f>SUMIF('Components Yr 1'!C2:C1111,A22,'Components Yr 1'!F2:F1111)</f>
        <v>0</v>
      </c>
      <c r="D22" s="11">
        <f>SUMIF('Components Yr 1'!C2:C1111,A22,'Components Yr 1'!G2:G1111)</f>
        <v>0</v>
      </c>
      <c r="E22" s="11">
        <f>SUMIF('Components Yr 1'!C2:C1111,A22,'Components Yr 1'!H2:H1111)</f>
        <v>0</v>
      </c>
      <c r="F22" s="11">
        <f>SUMIF('Components Yr 1'!C2:C1111,A22,'Components Yr 1'!I2:I1111)</f>
        <v>0</v>
      </c>
      <c r="G22" s="11">
        <f>SUMIF('Components Yr 1'!C2:C1111,A22,'Components Yr 1'!J2:J1111)</f>
        <v>0</v>
      </c>
      <c r="H22" s="43">
        <f>SUMIF('Components Yr 1'!C2:C1111,A22,'Components Yr 1'!R2:R1111)</f>
        <v>0</v>
      </c>
      <c r="I22" s="11">
        <f>SUMIF('Components Yr 1'!C2:C1111,A22,'Components Yr 1'!S2:S1111)</f>
        <v>0</v>
      </c>
    </row>
    <row r="23" spans="1:9" x14ac:dyDescent="0.25">
      <c r="A23" s="14" t="s">
        <v>36</v>
      </c>
      <c r="B23" s="15">
        <f>SUMIF('Components Yr 1'!C2:C1111,A23,'Components Yr 1'!E2:E1111)</f>
        <v>0</v>
      </c>
      <c r="C23" s="15">
        <f>SUMIF('Components Yr 1'!C2:C1111,A23,'Components Yr 1'!F2:F1111)</f>
        <v>0</v>
      </c>
      <c r="D23" s="15">
        <f>SUMIF('Components Yr 1'!C2:C1111,A23,'Components Yr 1'!G2:G1111)</f>
        <v>0</v>
      </c>
      <c r="E23" s="15">
        <f>SUMIF('Components Yr 1'!C2:C1111,A23,'Components Yr 1'!H2:H1111)</f>
        <v>0</v>
      </c>
      <c r="F23" s="15">
        <f>SUMIF('Components Yr 1'!C2:C1111,A23,'Components Yr 1'!I2:I1111)</f>
        <v>0</v>
      </c>
      <c r="G23" s="15">
        <f>SUMIF('Components Yr 1'!C2:C1111,A23,'Components Yr 1'!J2:J1111)</f>
        <v>0</v>
      </c>
      <c r="H23" s="44">
        <f>SUMIF('Components Yr 1'!C2:C1111,A23,'Components Yr 1'!R2:R1111)</f>
        <v>0</v>
      </c>
      <c r="I23" s="15">
        <f>SUMIF('Components Yr 1'!C2:C1111,A23,'Components Yr 1'!S2:S1111)</f>
        <v>0</v>
      </c>
    </row>
    <row r="24" spans="1:9" x14ac:dyDescent="0.25">
      <c r="A24" s="10" t="s">
        <v>37</v>
      </c>
      <c r="B24" s="11">
        <f>SUMIF('Components Yr 1'!C2:C1111,A24,'Components Yr 1'!E2:E1111)</f>
        <v>0</v>
      </c>
      <c r="C24" s="11">
        <f>SUMIF('Components Yr 1'!C2:C1111,A24,'Components Yr 1'!F2:F1111)</f>
        <v>0</v>
      </c>
      <c r="D24" s="11">
        <f>SUMIF('Components Yr 1'!C2:C1111,A24,'Components Yr 1'!G2:G1111)</f>
        <v>0</v>
      </c>
      <c r="E24" s="11">
        <f>SUMIF('Components Yr 1'!C2:C1111,A24,'Components Yr 1'!H2:H1111)</f>
        <v>0</v>
      </c>
      <c r="F24" s="11">
        <f>SUMIF('Components Yr 1'!C2:C1111,A24,'Components Yr 1'!I2:I1111)</f>
        <v>0</v>
      </c>
      <c r="G24" s="11">
        <f>SUMIF('Components Yr 1'!C2:C1111,A24,'Components Yr 1'!J2:J1111)</f>
        <v>0</v>
      </c>
      <c r="H24" s="43">
        <f>SUMIF('Components Yr 1'!C2:C1111,A24,'Components Yr 1'!R2:R1111)</f>
        <v>0</v>
      </c>
      <c r="I24" s="11">
        <f>SUMIF('Components Yr 1'!C2:C1111,A24,'Components Yr 1'!S2:S1111)</f>
        <v>0</v>
      </c>
    </row>
    <row r="25" spans="1:9" x14ac:dyDescent="0.25">
      <c r="A25" s="14" t="s">
        <v>38</v>
      </c>
      <c r="B25" s="15">
        <f>SUMIF('Components Yr 1'!C2:C1111,A25,'Components Yr 1'!E2:E1111)</f>
        <v>0</v>
      </c>
      <c r="C25" s="15">
        <f>SUMIF('Components Yr 1'!C2:C1111,A25,'Components Yr 1'!F2:F1111)</f>
        <v>0</v>
      </c>
      <c r="D25" s="15">
        <f>SUMIF('Components Yr 1'!C2:C1111,A25,'Components Yr 1'!G2:G1111)</f>
        <v>0</v>
      </c>
      <c r="E25" s="15">
        <f>SUMIF('Components Yr 1'!C2:C1111,A25,'Components Yr 1'!H2:H1111)</f>
        <v>0</v>
      </c>
      <c r="F25" s="15">
        <f>SUMIF('Components Yr 1'!C2:C1111,A25,'Components Yr 1'!I2:I1111)</f>
        <v>0</v>
      </c>
      <c r="G25" s="15">
        <f>SUMIF('Components Yr 1'!C2:C1111,A25,'Components Yr 1'!J2:J1111)</f>
        <v>0</v>
      </c>
      <c r="H25" s="44">
        <f>SUMIF('Components Yr 1'!C2:C1111,A25,'Components Yr 1'!R2:R1111)</f>
        <v>0</v>
      </c>
      <c r="I25" s="15">
        <f>SUMIF('Components Yr 1'!C2:C1111,A25,'Components Yr 1'!S2:S1111)</f>
        <v>0</v>
      </c>
    </row>
    <row r="26" spans="1:9" x14ac:dyDescent="0.25">
      <c r="A26" s="10" t="s">
        <v>39</v>
      </c>
      <c r="B26" s="11">
        <f>SUMIF('Components Yr 1'!C2:C1111,A26,'Components Yr 1'!E2:E1111)</f>
        <v>0</v>
      </c>
      <c r="C26" s="11">
        <f>SUMIF('Components Yr 1'!C2:C1111,A26,'Components Yr 1'!F2:F1111)</f>
        <v>0</v>
      </c>
      <c r="D26" s="11">
        <f>SUMIF('Components Yr 1'!C2:C1111,A26,'Components Yr 1'!G2:G1111)</f>
        <v>0</v>
      </c>
      <c r="E26" s="11">
        <f>SUMIF('Components Yr 1'!C2:C1111,A26,'Components Yr 1'!H2:H1111)</f>
        <v>0</v>
      </c>
      <c r="F26" s="11">
        <f>SUMIF('Components Yr 1'!C2:C1111,A26,'Components Yr 1'!I2:I1111)</f>
        <v>0</v>
      </c>
      <c r="G26" s="11">
        <f>SUMIF('Components Yr 1'!C2:C1111,A26,'Components Yr 1'!J2:J1111)</f>
        <v>0</v>
      </c>
      <c r="H26" s="43">
        <f>SUMIF('Components Yr 1'!C2:C1111,A26,'Components Yr 1'!R2:R1111)</f>
        <v>0</v>
      </c>
      <c r="I26" s="11">
        <f>SUMIF('Components Yr 1'!C2:C1111,A26,'Components Yr 1'!S2:S1111)</f>
        <v>0</v>
      </c>
    </row>
    <row r="27" spans="1:9" x14ac:dyDescent="0.25">
      <c r="A27" s="14" t="s">
        <v>40</v>
      </c>
      <c r="B27" s="15">
        <f>SUMIF('Components Yr 1'!C2:C1111,A27,'Components Yr 1'!E2:E1111)</f>
        <v>0</v>
      </c>
      <c r="C27" s="15">
        <f>SUMIF('Components Yr 1'!C2:C1111,A27,'Components Yr 1'!F2:F1111)</f>
        <v>0</v>
      </c>
      <c r="D27" s="15">
        <f>SUMIF('Components Yr 1'!C2:C1111,A27,'Components Yr 1'!G2:G1111)</f>
        <v>0</v>
      </c>
      <c r="E27" s="15">
        <f>SUMIF('Components Yr 1'!C2:C1111,A27,'Components Yr 1'!H2:H1111)</f>
        <v>0</v>
      </c>
      <c r="F27" s="15">
        <f>SUMIF('Components Yr 1'!C2:C1111,A27,'Components Yr 1'!I2:I1111)</f>
        <v>0</v>
      </c>
      <c r="G27" s="15">
        <f>SUMIF('Components Yr 1'!C2:C1111,A27,'Components Yr 1'!J2:J1111)</f>
        <v>0</v>
      </c>
      <c r="H27" s="44">
        <f>SUMIF('Components Yr 1'!C2:C1111,A27,'Components Yr 1'!R2:R1111)</f>
        <v>0</v>
      </c>
      <c r="I27" s="15">
        <f>SUMIF('Components Yr 1'!C2:C1111,A27,'Components Yr 1'!S2:S1111)</f>
        <v>0</v>
      </c>
    </row>
    <row r="28" spans="1:9" x14ac:dyDescent="0.25">
      <c r="A28" s="10" t="s">
        <v>41</v>
      </c>
      <c r="B28" s="11">
        <f>SUMIF('Components Yr 1'!C2:C1111,A28,'Components Yr 1'!E2:E1111)</f>
        <v>0</v>
      </c>
      <c r="C28" s="11">
        <f>SUMIF('Components Yr 1'!C2:C1111,A28,'Components Yr 1'!F2:F1111)</f>
        <v>0</v>
      </c>
      <c r="D28" s="11">
        <f>SUMIF('Components Yr 1'!C2:C1111,A28,'Components Yr 1'!G2:G1111)</f>
        <v>0</v>
      </c>
      <c r="E28" s="11">
        <f>SUMIF('Components Yr 1'!C2:C1111,A28,'Components Yr 1'!H2:H1111)</f>
        <v>0</v>
      </c>
      <c r="F28" s="11">
        <f>SUMIF('Components Yr 1'!C2:C1111,A28,'Components Yr 1'!I2:I1111)</f>
        <v>0</v>
      </c>
      <c r="G28" s="11">
        <f>SUMIF('Components Yr 1'!C2:C1111,A28,'Components Yr 1'!J2:J1111)</f>
        <v>0</v>
      </c>
      <c r="H28" s="43">
        <f>SUMIF('Components Yr 1'!C2:C1111,A28,'Components Yr 1'!R2:R1111)</f>
        <v>0</v>
      </c>
      <c r="I28" s="11">
        <f>SUMIF('Components Yr 1'!C2:C1111,A28,'Components Yr 1'!S2:S1111)</f>
        <v>0</v>
      </c>
    </row>
    <row r="29" spans="1:9" x14ac:dyDescent="0.25">
      <c r="A29" s="14" t="s">
        <v>42</v>
      </c>
      <c r="B29" s="15">
        <f>SUMIF('Components Yr 1'!C2:C1111,A29,'Components Yr 1'!E2:E1111)</f>
        <v>0</v>
      </c>
      <c r="C29" s="15">
        <f>SUMIF('Components Yr 1'!C2:C1111,A29,'Components Yr 1'!F2:F1111)</f>
        <v>0</v>
      </c>
      <c r="D29" s="15">
        <f>SUMIF('Components Yr 1'!C2:C1111,A29,'Components Yr 1'!G2:G1111)</f>
        <v>0</v>
      </c>
      <c r="E29" s="15">
        <f>SUMIF('Components Yr 1'!C2:C1111,A29,'Components Yr 1'!H2:H1111)</f>
        <v>0</v>
      </c>
      <c r="F29" s="15">
        <f>SUMIF('Components Yr 1'!C2:C1111,A29,'Components Yr 1'!I2:I1111)</f>
        <v>0</v>
      </c>
      <c r="G29" s="15">
        <f>SUMIF('Components Yr 1'!C2:C1111,A29,'Components Yr 1'!J2:J1111)</f>
        <v>0</v>
      </c>
      <c r="H29" s="44">
        <f>SUMIF('Components Yr 1'!C2:C1111,A29,'Components Yr 1'!R2:R1111)</f>
        <v>0</v>
      </c>
      <c r="I29" s="15">
        <f>SUMIF('Components Yr 1'!C2:C1111,A29,'Components Yr 1'!S2:S1111)</f>
        <v>0</v>
      </c>
    </row>
    <row r="30" spans="1:9" x14ac:dyDescent="0.25">
      <c r="A30" s="10" t="s">
        <v>43</v>
      </c>
      <c r="B30" s="11">
        <f>SUMIF('Components Yr 1'!C2:C1111,A30,'Components Yr 1'!E2:E1111)</f>
        <v>0</v>
      </c>
      <c r="C30" s="11">
        <f>SUMIF('Components Yr 1'!C2:C1111,A30,'Components Yr 1'!F2:F1111)</f>
        <v>0</v>
      </c>
      <c r="D30" s="11">
        <f>SUMIF('Components Yr 1'!C2:C1111,A30,'Components Yr 1'!G2:G1111)</f>
        <v>0</v>
      </c>
      <c r="E30" s="11">
        <f>SUMIF('Components Yr 1'!C2:C1111,A30,'Components Yr 1'!H2:H1111)</f>
        <v>0</v>
      </c>
      <c r="F30" s="11">
        <f>SUMIF('Components Yr 1'!C2:C1111,A30,'Components Yr 1'!I2:I1111)</f>
        <v>0</v>
      </c>
      <c r="G30" s="11">
        <f>SUMIF('Components Yr 1'!C2:C1111,A30,'Components Yr 1'!J2:J1111)</f>
        <v>0</v>
      </c>
      <c r="H30" s="43">
        <f>SUMIF('Components Yr 1'!C2:C1111,A30,'Components Yr 1'!R2:R1111)</f>
        <v>0</v>
      </c>
      <c r="I30" s="11">
        <f>SUMIF('Components Yr 1'!C2:C1111,A30,'Components Yr 1'!S2:S1111)</f>
        <v>0</v>
      </c>
    </row>
    <row r="31" spans="1:9" x14ac:dyDescent="0.25">
      <c r="A31" s="14" t="s">
        <v>44</v>
      </c>
      <c r="B31" s="15">
        <f>SUMIF('Components Yr 1'!C2:C1111,A31,'Components Yr 1'!E2:E1111)</f>
        <v>0</v>
      </c>
      <c r="C31" s="15">
        <f>SUMIF('Components Yr 1'!C2:C1111,A31,'Components Yr 1'!F2:F1111)</f>
        <v>0</v>
      </c>
      <c r="D31" s="15">
        <f>SUMIF('Components Yr 1'!C2:C1111,A31,'Components Yr 1'!G2:G1111)</f>
        <v>0</v>
      </c>
      <c r="E31" s="15">
        <f>SUMIF('Components Yr 1'!C2:C1111,A31,'Components Yr 1'!H2:H1111)</f>
        <v>0</v>
      </c>
      <c r="F31" s="15">
        <f>SUMIF('Components Yr 1'!C2:C1111,A31,'Components Yr 1'!I2:I1111)</f>
        <v>0</v>
      </c>
      <c r="G31" s="15">
        <f>SUMIF('Components Yr 1'!C2:C1111,A31,'Components Yr 1'!J2:J1111)</f>
        <v>0</v>
      </c>
      <c r="H31" s="44">
        <f>SUMIF('Components Yr 1'!C2:C1111,A31,'Components Yr 1'!R2:R1111)</f>
        <v>0</v>
      </c>
      <c r="I31" s="15">
        <f>SUMIF('Components Yr 1'!C2:C1111,A31,'Components Yr 1'!S2:S1111)</f>
        <v>0</v>
      </c>
    </row>
    <row r="32" spans="1:9" x14ac:dyDescent="0.25">
      <c r="A32" s="10" t="s">
        <v>45</v>
      </c>
      <c r="B32" s="11">
        <f>SUMIF('Components Yr 1'!C2:C1111,A32,'Components Yr 1'!E2:E1111)</f>
        <v>0</v>
      </c>
      <c r="C32" s="11">
        <f>SUMIF('Components Yr 1'!C2:C1111,A32,'Components Yr 1'!F2:F1111)</f>
        <v>0</v>
      </c>
      <c r="D32" s="11">
        <f>SUMIF('Components Yr 1'!C2:C1111,A32,'Components Yr 1'!G2:G1111)</f>
        <v>0</v>
      </c>
      <c r="E32" s="11">
        <f>SUMIF('Components Yr 1'!C2:C1111,A32,'Components Yr 1'!H2:H1111)</f>
        <v>0</v>
      </c>
      <c r="F32" s="11">
        <f>SUMIF('Components Yr 1'!C2:C1111,A32,'Components Yr 1'!I2:I1111)</f>
        <v>0</v>
      </c>
      <c r="G32" s="11">
        <f>SUMIF('Components Yr 1'!C2:C1111,A32,'Components Yr 1'!J2:J1111)</f>
        <v>0</v>
      </c>
      <c r="H32" s="43">
        <f>SUMIF('Components Yr 1'!C2:C1111,A32,'Components Yr 1'!R2:R1111)</f>
        <v>0</v>
      </c>
      <c r="I32" s="11">
        <f>SUMIF('Components Yr 1'!C2:C1111,A32,'Components Yr 1'!S2:S1111)</f>
        <v>0</v>
      </c>
    </row>
    <row r="33" spans="1:9" x14ac:dyDescent="0.25">
      <c r="A33" s="14" t="s">
        <v>46</v>
      </c>
      <c r="B33" s="15">
        <f>SUMIF('Components Yr 1'!C2:C1111,A33,'Components Yr 1'!E2:E1111)</f>
        <v>0</v>
      </c>
      <c r="C33" s="15">
        <f>SUMIF('Components Yr 1'!C2:C1111,A33,'Components Yr 1'!F2:F1111)</f>
        <v>0</v>
      </c>
      <c r="D33" s="15">
        <f>SUMIF('Components Yr 1'!C2:C1111,A33,'Components Yr 1'!G2:G1111)</f>
        <v>0</v>
      </c>
      <c r="E33" s="15">
        <f>SUMIF('Components Yr 1'!C2:C1111,A33,'Components Yr 1'!H2:H1111)</f>
        <v>0</v>
      </c>
      <c r="F33" s="15">
        <f>SUMIF('Components Yr 1'!C2:C1111,A33,'Components Yr 1'!I2:I1111)</f>
        <v>0</v>
      </c>
      <c r="G33" s="15">
        <f>SUMIF('Components Yr 1'!C2:C1111,A33,'Components Yr 1'!J2:J1111)</f>
        <v>0</v>
      </c>
      <c r="H33" s="44">
        <f>SUMIF('Components Yr 1'!C2:C1111,A33,'Components Yr 1'!R2:R1111)</f>
        <v>0</v>
      </c>
      <c r="I33" s="15">
        <f>SUMIF('Components Yr 1'!C2:C1111,A33,'Components Yr 1'!S2:S1111)</f>
        <v>0</v>
      </c>
    </row>
    <row r="34" spans="1:9" x14ac:dyDescent="0.25">
      <c r="A34" s="10" t="s">
        <v>47</v>
      </c>
      <c r="B34" s="11">
        <f>SUMIF('Components Yr 1'!C2:C1111,A34,'Components Yr 1'!E2:E1111)</f>
        <v>0</v>
      </c>
      <c r="C34" s="11">
        <f>SUMIF('Components Yr 1'!C2:C1111,A34,'Components Yr 1'!F2:F1111)</f>
        <v>0</v>
      </c>
      <c r="D34" s="11">
        <f>SUMIF('Components Yr 1'!C2:C1111,A34,'Components Yr 1'!G2:G1111)</f>
        <v>0</v>
      </c>
      <c r="E34" s="11">
        <f>SUMIF('Components Yr 1'!C2:C1111,A34,'Components Yr 1'!H2:H1111)</f>
        <v>0</v>
      </c>
      <c r="F34" s="11">
        <f>SUMIF('Components Yr 1'!C2:C1111,A34,'Components Yr 1'!I2:I1111)</f>
        <v>0</v>
      </c>
      <c r="G34" s="11">
        <f>SUMIF('Components Yr 1'!C2:C1111,A34,'Components Yr 1'!J2:J1111)</f>
        <v>0</v>
      </c>
      <c r="H34" s="43">
        <f>SUMIF('Components Yr 1'!C2:C1111,A34,'Components Yr 1'!R2:R1111)</f>
        <v>0</v>
      </c>
      <c r="I34" s="11">
        <f>SUMIF('Components Yr 1'!C2:C1111,A34,'Components Yr 1'!S2:S1111)</f>
        <v>0</v>
      </c>
    </row>
    <row r="35" spans="1:9" x14ac:dyDescent="0.25">
      <c r="A35" s="14" t="s">
        <v>48</v>
      </c>
      <c r="B35" s="15">
        <f>SUMIF('Components Yr 1'!C2:C1111,A35,'Components Yr 1'!E2:E1111)</f>
        <v>0</v>
      </c>
      <c r="C35" s="15">
        <f>SUMIF('Components Yr 1'!C2:C1111,A35,'Components Yr 1'!F2:F1111)</f>
        <v>0</v>
      </c>
      <c r="D35" s="15">
        <f>SUMIF('Components Yr 1'!C2:C1111,A35,'Components Yr 1'!G2:G1111)</f>
        <v>0</v>
      </c>
      <c r="E35" s="15">
        <f>SUMIF('Components Yr 1'!C2:C1111,A35,'Components Yr 1'!H2:H1111)</f>
        <v>0</v>
      </c>
      <c r="F35" s="15">
        <f>SUMIF('Components Yr 1'!C2:C1111,A35,'Components Yr 1'!I2:I1111)</f>
        <v>0</v>
      </c>
      <c r="G35" s="15">
        <f>SUMIF('Components Yr 1'!C2:C1111,A35,'Components Yr 1'!J2:J1111)</f>
        <v>0</v>
      </c>
      <c r="H35" s="44">
        <f>SUMIF('Components Yr 1'!C2:C1111,A35,'Components Yr 1'!R2:R1111)</f>
        <v>0</v>
      </c>
      <c r="I35" s="15">
        <f>SUMIF('Components Yr 1'!C2:C1111,A35,'Components Yr 1'!S2:S1111)</f>
        <v>0</v>
      </c>
    </row>
    <row r="36" spans="1:9" x14ac:dyDescent="0.25">
      <c r="A36" s="10" t="s">
        <v>49</v>
      </c>
      <c r="B36" s="11">
        <f>SUMIF('Components Yr 1'!C2:C1111,A36,'Components Yr 1'!E2:E1111)</f>
        <v>0</v>
      </c>
      <c r="C36" s="11">
        <f>SUMIF('Components Yr 1'!C2:C1111,A36,'Components Yr 1'!F2:F1111)</f>
        <v>0</v>
      </c>
      <c r="D36" s="11">
        <f>SUMIF('Components Yr 1'!C2:C1111,A36,'Components Yr 1'!G2:G1111)</f>
        <v>0</v>
      </c>
      <c r="E36" s="11">
        <f>SUMIF('Components Yr 1'!C2:C1111,A36,'Components Yr 1'!H2:H1111)</f>
        <v>0</v>
      </c>
      <c r="F36" s="11">
        <f>SUMIF('Components Yr 1'!C2:C1111,A36,'Components Yr 1'!I2:I1111)</f>
        <v>0</v>
      </c>
      <c r="G36" s="11">
        <f>SUMIF('Components Yr 1'!C2:C1111,A36,'Components Yr 1'!J2:J1111)</f>
        <v>0</v>
      </c>
      <c r="H36" s="43">
        <f>SUMIF('Components Yr 1'!C2:C1111,A36,'Components Yr 1'!R2:R1111)</f>
        <v>0</v>
      </c>
      <c r="I36" s="11">
        <f>SUMIF('Components Yr 1'!C2:C1111,A36,'Components Yr 1'!S2:S1111)</f>
        <v>0</v>
      </c>
    </row>
    <row r="37" spans="1:9" x14ac:dyDescent="0.25">
      <c r="A37" s="14" t="s">
        <v>50</v>
      </c>
      <c r="B37" s="15">
        <f>SUMIF('Components Yr 1'!C2:C1111,A37,'Components Yr 1'!E2:E1111)</f>
        <v>0</v>
      </c>
      <c r="C37" s="15">
        <f>SUMIF('Components Yr 1'!C2:C1111,A37,'Components Yr 1'!F2:F1111)</f>
        <v>0</v>
      </c>
      <c r="D37" s="15">
        <f>SUMIF('Components Yr 1'!C2:C1111,A37,'Components Yr 1'!G2:G1111)</f>
        <v>0</v>
      </c>
      <c r="E37" s="15">
        <f>SUMIF('Components Yr 1'!C2:C1111,A37,'Components Yr 1'!H2:H1111)</f>
        <v>0</v>
      </c>
      <c r="F37" s="15">
        <f>SUMIF('Components Yr 1'!C2:C1111,A37,'Components Yr 1'!I2:I1111)</f>
        <v>0</v>
      </c>
      <c r="G37" s="15">
        <f>SUMIF('Components Yr 1'!C2:C1111,A37,'Components Yr 1'!J2:J1111)</f>
        <v>0</v>
      </c>
      <c r="H37" s="44">
        <f>SUMIF('Components Yr 1'!C2:C1111,A37,'Components Yr 1'!R2:R1111)</f>
        <v>0</v>
      </c>
      <c r="I37" s="15">
        <f>SUMIF('Components Yr 1'!C2:C1111,A37,'Components Yr 1'!S2:S1111)</f>
        <v>0</v>
      </c>
    </row>
    <row r="38" spans="1:9" x14ac:dyDescent="0.25">
      <c r="A38" s="10" t="s">
        <v>51</v>
      </c>
      <c r="B38" s="11">
        <f>SUMIF('Components Yr 1'!C2:C1111,A38,'Components Yr 1'!E2:E1111)</f>
        <v>0</v>
      </c>
      <c r="C38" s="11">
        <f>SUMIF('Components Yr 1'!C2:C1111,A38,'Components Yr 1'!F2:F1111)</f>
        <v>0</v>
      </c>
      <c r="D38" s="11">
        <f>SUMIF('Components Yr 1'!C2:C1111,A38,'Components Yr 1'!G2:G1111)</f>
        <v>0</v>
      </c>
      <c r="E38" s="11">
        <f>SUMIF('Components Yr 1'!C2:C1111,A38,'Components Yr 1'!H2:H1111)</f>
        <v>0</v>
      </c>
      <c r="F38" s="11">
        <f>SUMIF('Components Yr 1'!C2:C1111,A38,'Components Yr 1'!I2:I1111)</f>
        <v>0</v>
      </c>
      <c r="G38" s="11">
        <f>SUMIF('Components Yr 1'!C2:C1111,A38,'Components Yr 1'!J2:J1111)</f>
        <v>0</v>
      </c>
      <c r="H38" s="43">
        <f>SUMIF('Components Yr 1'!C2:C1111,A38,'Components Yr 1'!R2:R1111)</f>
        <v>0</v>
      </c>
      <c r="I38" s="11">
        <f>SUMIF('Components Yr 1'!C2:C1111,A38,'Components Yr 1'!S2:S1111)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8"/>
  <sheetViews>
    <sheetView zoomScaleNormal="100" workbookViewId="0"/>
  </sheetViews>
  <sheetFormatPr defaultColWidth="8.7109375" defaultRowHeight="15" x14ac:dyDescent="0.25"/>
  <cols>
    <col min="1" max="1" width="52" customWidth="1"/>
    <col min="2" max="9" width="14" customWidth="1"/>
  </cols>
  <sheetData>
    <row r="1" spans="1:9" x14ac:dyDescent="0.25">
      <c r="A1" s="8" t="s">
        <v>2</v>
      </c>
      <c r="B1" s="9" t="s">
        <v>14</v>
      </c>
      <c r="C1" s="8" t="s">
        <v>3</v>
      </c>
      <c r="D1" s="8" t="s">
        <v>137</v>
      </c>
      <c r="E1" s="8" t="s">
        <v>5</v>
      </c>
      <c r="F1" s="8" t="s">
        <v>6</v>
      </c>
      <c r="G1" s="8" t="s">
        <v>7</v>
      </c>
      <c r="H1" s="8" t="s">
        <v>57</v>
      </c>
      <c r="I1" s="8" t="s">
        <v>138</v>
      </c>
    </row>
    <row r="2" spans="1:9" x14ac:dyDescent="0.25">
      <c r="A2" s="10" t="s">
        <v>15</v>
      </c>
      <c r="B2" s="11">
        <f>SUMIF('Components Yr 2'!C2:C1111,A2,'Components Yr 2'!E2:E1111)</f>
        <v>0</v>
      </c>
      <c r="C2" s="11">
        <f>SUMIF('Components Yr 2'!C2:C1111,A2,'Components Yr 2'!F2:F1111)</f>
        <v>0</v>
      </c>
      <c r="D2" s="11">
        <f>SUMIF('Components Yr 2'!C2:C1111,A2,'Components Yr 2'!G2:G1111)</f>
        <v>0</v>
      </c>
      <c r="E2" s="11">
        <f>SUMIF('Components Yr 2'!C2:C1111,A2,'Components Yr 2'!H2:H1111)</f>
        <v>0</v>
      </c>
      <c r="F2" s="11">
        <f>SUMIF('Components Yr 2'!C2:C1111,A2,'Components Yr 2'!I2:I1111)</f>
        <v>0</v>
      </c>
      <c r="G2" s="11">
        <f>SUMIF('Components Yr 2'!C2:C1111,A2,'Components Yr 2'!J2:J1111)</f>
        <v>0</v>
      </c>
      <c r="H2" s="43">
        <f>SUMIF('Components Yr 2'!C2:C1111,A2,'Components Yr 2'!R2:R1111)</f>
        <v>0</v>
      </c>
      <c r="I2" s="11">
        <f>SUMIF('Components Yr 2'!C2:C1111,A2,'Components Yr 2'!S2:S1111)</f>
        <v>0</v>
      </c>
    </row>
    <row r="3" spans="1:9" x14ac:dyDescent="0.25">
      <c r="A3" s="14" t="s">
        <v>16</v>
      </c>
      <c r="B3" s="15">
        <f>SUMIF('Components Yr 2'!C2:C1111,A3,'Components Yr 2'!E2:E1111)</f>
        <v>0</v>
      </c>
      <c r="C3" s="15">
        <f>SUMIF('Components Yr 2'!C2:C1111,A3,'Components Yr 2'!F2:F1111)</f>
        <v>0</v>
      </c>
      <c r="D3" s="15">
        <f>SUMIF('Components Yr 2'!C2:C1111,A3,'Components Yr 2'!G2:G1111)</f>
        <v>0</v>
      </c>
      <c r="E3" s="15">
        <f>SUMIF('Components Yr 2'!C2:C1111,A3,'Components Yr 2'!H2:H1111)</f>
        <v>0</v>
      </c>
      <c r="F3" s="15">
        <f>SUMIF('Components Yr 2'!C2:C1111,A3,'Components Yr 2'!I2:I1111)</f>
        <v>0</v>
      </c>
      <c r="G3" s="15">
        <f>SUMIF('Components Yr 2'!C2:C1111,A3,'Components Yr 2'!J2:J1111)</f>
        <v>0</v>
      </c>
      <c r="H3" s="44">
        <f>SUMIF('Components Yr 2'!C2:C1111,A3,'Components Yr 2'!R2:R1111)</f>
        <v>0</v>
      </c>
      <c r="I3" s="15">
        <f>SUMIF('Components Yr 2'!C2:C1111,A3,'Components Yr 2'!S2:S1111)</f>
        <v>0</v>
      </c>
    </row>
    <row r="4" spans="1:9" x14ac:dyDescent="0.25">
      <c r="A4" s="10" t="s">
        <v>17</v>
      </c>
      <c r="B4" s="11">
        <f>SUMIF('Components Yr 2'!C2:C1111,A4,'Components Yr 2'!E2:E1111)</f>
        <v>0</v>
      </c>
      <c r="C4" s="11">
        <f>SUMIF('Components Yr 2'!C2:C1111,A4,'Components Yr 2'!F2:F1111)</f>
        <v>0</v>
      </c>
      <c r="D4" s="11">
        <f>SUMIF('Components Yr 2'!C2:C1111,A4,'Components Yr 2'!G2:G1111)</f>
        <v>0</v>
      </c>
      <c r="E4" s="11">
        <f>SUMIF('Components Yr 2'!C2:C1111,A4,'Components Yr 2'!H2:H1111)</f>
        <v>0</v>
      </c>
      <c r="F4" s="11">
        <f>SUMIF('Components Yr 2'!C2:C1111,A4,'Components Yr 2'!I2:I1111)</f>
        <v>0</v>
      </c>
      <c r="G4" s="11">
        <f>SUMIF('Components Yr 2'!C2:C1111,A4,'Components Yr 2'!J2:J1111)</f>
        <v>0</v>
      </c>
      <c r="H4" s="43">
        <f>SUMIF('Components Yr 2'!C2:C1111,A4,'Components Yr 2'!R2:R1111)</f>
        <v>0</v>
      </c>
      <c r="I4" s="11">
        <f>SUMIF('Components Yr 2'!C2:C1111,A4,'Components Yr 2'!S2:S1111)</f>
        <v>0</v>
      </c>
    </row>
    <row r="5" spans="1:9" x14ac:dyDescent="0.25">
      <c r="A5" s="14" t="s">
        <v>18</v>
      </c>
      <c r="B5" s="15">
        <f>SUMIF('Components Yr 2'!C2:C1111,A5,'Components Yr 2'!E2:E1111)</f>
        <v>0</v>
      </c>
      <c r="C5" s="15">
        <f>SUMIF('Components Yr 2'!C2:C1111,A5,'Components Yr 2'!F2:F1111)</f>
        <v>0</v>
      </c>
      <c r="D5" s="15">
        <f>SUMIF('Components Yr 2'!C2:C1111,A5,'Components Yr 2'!G2:G1111)</f>
        <v>0</v>
      </c>
      <c r="E5" s="15">
        <f>SUMIF('Components Yr 2'!C2:C1111,A5,'Components Yr 2'!H2:H1111)</f>
        <v>0</v>
      </c>
      <c r="F5" s="15">
        <f>SUMIF('Components Yr 2'!C2:C1111,A5,'Components Yr 2'!I2:I1111)</f>
        <v>0</v>
      </c>
      <c r="G5" s="15">
        <f>SUMIF('Components Yr 2'!C2:C1111,A5,'Components Yr 2'!J2:J1111)</f>
        <v>0</v>
      </c>
      <c r="H5" s="44">
        <f>SUMIF('Components Yr 2'!C2:C1111,A5,'Components Yr 2'!R2:R1111)</f>
        <v>0</v>
      </c>
      <c r="I5" s="15">
        <f>SUMIF('Components Yr 2'!C2:C1111,A5,'Components Yr 2'!S2:S1111)</f>
        <v>0</v>
      </c>
    </row>
    <row r="6" spans="1:9" x14ac:dyDescent="0.25">
      <c r="A6" s="10" t="s">
        <v>19</v>
      </c>
      <c r="B6" s="11">
        <f>SUMIF('Components Yr 2'!C2:C1111,A6,'Components Yr 2'!E2:E1111)</f>
        <v>0</v>
      </c>
      <c r="C6" s="11">
        <f>SUMIF('Components Yr 2'!C2:C1111,A6,'Components Yr 2'!F2:F1111)</f>
        <v>0</v>
      </c>
      <c r="D6" s="11">
        <f>SUMIF('Components Yr 2'!C2:C1111,A6,'Components Yr 2'!G2:G1111)</f>
        <v>0</v>
      </c>
      <c r="E6" s="11">
        <f>SUMIF('Components Yr 2'!C2:C1111,A6,'Components Yr 2'!H2:H1111)</f>
        <v>0</v>
      </c>
      <c r="F6" s="11">
        <f>SUMIF('Components Yr 2'!C2:C1111,A6,'Components Yr 2'!I2:I1111)</f>
        <v>0</v>
      </c>
      <c r="G6" s="11">
        <f>SUMIF('Components Yr 2'!C2:C1111,A6,'Components Yr 2'!J2:J1111)</f>
        <v>0</v>
      </c>
      <c r="H6" s="43">
        <f>SUMIF('Components Yr 2'!C2:C1111,A6,'Components Yr 2'!R2:R1111)</f>
        <v>0</v>
      </c>
      <c r="I6" s="11">
        <f>SUMIF('Components Yr 2'!C2:C1111,A6,'Components Yr 2'!S2:S1111)</f>
        <v>0</v>
      </c>
    </row>
    <row r="7" spans="1:9" x14ac:dyDescent="0.25">
      <c r="A7" s="14" t="s">
        <v>20</v>
      </c>
      <c r="B7" s="15">
        <f>SUMIF('Components Yr 2'!C2:C1111,A7,'Components Yr 2'!E2:E1111)</f>
        <v>0</v>
      </c>
      <c r="C7" s="15">
        <f>SUMIF('Components Yr 2'!C2:C1111,A7,'Components Yr 2'!F2:F1111)</f>
        <v>0</v>
      </c>
      <c r="D7" s="15">
        <f>SUMIF('Components Yr 2'!C2:C1111,A7,'Components Yr 2'!G2:G1111)</f>
        <v>0</v>
      </c>
      <c r="E7" s="15">
        <f>SUMIF('Components Yr 2'!C2:C1111,A7,'Components Yr 2'!H2:H1111)</f>
        <v>0</v>
      </c>
      <c r="F7" s="15">
        <f>SUMIF('Components Yr 2'!C2:C1111,A7,'Components Yr 2'!I2:I1111)</f>
        <v>0</v>
      </c>
      <c r="G7" s="15">
        <f>SUMIF('Components Yr 2'!C2:C1111,A7,'Components Yr 2'!J2:J1111)</f>
        <v>0</v>
      </c>
      <c r="H7" s="44">
        <f>SUMIF('Components Yr 2'!C2:C1111,A7,'Components Yr 2'!R2:R1111)</f>
        <v>0</v>
      </c>
      <c r="I7" s="15">
        <f>SUMIF('Components Yr 2'!C2:C1111,A7,'Components Yr 2'!S2:S1111)</f>
        <v>0</v>
      </c>
    </row>
    <row r="8" spans="1:9" x14ac:dyDescent="0.25">
      <c r="A8" s="10" t="s">
        <v>21</v>
      </c>
      <c r="B8" s="11">
        <f>SUMIF('Components Yr 2'!C2:C1111,A8,'Components Yr 2'!E2:E1111)</f>
        <v>0</v>
      </c>
      <c r="C8" s="11">
        <f>SUMIF('Components Yr 2'!C2:C1111,A8,'Components Yr 2'!F2:F1111)</f>
        <v>0</v>
      </c>
      <c r="D8" s="11">
        <f>SUMIF('Components Yr 2'!C2:C1111,A8,'Components Yr 2'!G2:G1111)</f>
        <v>0</v>
      </c>
      <c r="E8" s="11">
        <f>SUMIF('Components Yr 2'!C2:C1111,A8,'Components Yr 2'!H2:H1111)</f>
        <v>0</v>
      </c>
      <c r="F8" s="11">
        <f>SUMIF('Components Yr 2'!C2:C1111,A8,'Components Yr 2'!I2:I1111)</f>
        <v>0</v>
      </c>
      <c r="G8" s="11">
        <f>SUMIF('Components Yr 2'!C2:C1111,A8,'Components Yr 2'!J2:J1111)</f>
        <v>0</v>
      </c>
      <c r="H8" s="43">
        <f>SUMIF('Components Yr 2'!C2:C1111,A8,'Components Yr 2'!R2:R1111)</f>
        <v>0</v>
      </c>
      <c r="I8" s="11">
        <f>SUMIF('Components Yr 2'!C2:C1111,A8,'Components Yr 2'!S2:S1111)</f>
        <v>0</v>
      </c>
    </row>
    <row r="9" spans="1:9" x14ac:dyDescent="0.25">
      <c r="A9" s="14" t="s">
        <v>22</v>
      </c>
      <c r="B9" s="15">
        <f>SUMIF('Components Yr 2'!C2:C1111,A9,'Components Yr 2'!E2:E1111)</f>
        <v>0</v>
      </c>
      <c r="C9" s="15">
        <f>SUMIF('Components Yr 2'!C2:C1111,A9,'Components Yr 2'!F2:F1111)</f>
        <v>0</v>
      </c>
      <c r="D9" s="15">
        <f>SUMIF('Components Yr 2'!C2:C1111,A9,'Components Yr 2'!G2:G1111)</f>
        <v>0</v>
      </c>
      <c r="E9" s="15">
        <f>SUMIF('Components Yr 2'!C2:C1111,A9,'Components Yr 2'!H2:H1111)</f>
        <v>0</v>
      </c>
      <c r="F9" s="15">
        <f>SUMIF('Components Yr 2'!C2:C1111,A9,'Components Yr 2'!I2:I1111)</f>
        <v>0</v>
      </c>
      <c r="G9" s="15">
        <f>SUMIF('Components Yr 2'!C2:C1111,A9,'Components Yr 2'!J2:J1111)</f>
        <v>0</v>
      </c>
      <c r="H9" s="44">
        <f>SUMIF('Components Yr 2'!C2:C1111,A9,'Components Yr 2'!R2:R1111)</f>
        <v>0</v>
      </c>
      <c r="I9" s="15">
        <f>SUMIF('Components Yr 2'!C2:C1111,A9,'Components Yr 2'!S2:S1111)</f>
        <v>0</v>
      </c>
    </row>
    <row r="10" spans="1:9" x14ac:dyDescent="0.25">
      <c r="A10" s="10" t="s">
        <v>23</v>
      </c>
      <c r="B10" s="11">
        <f>SUMIF('Components Yr 2'!C2:C1111,A10,'Components Yr 2'!E2:E1111)</f>
        <v>0</v>
      </c>
      <c r="C10" s="11">
        <f>SUMIF('Components Yr 2'!C2:C1111,A10,'Components Yr 2'!F2:F1111)</f>
        <v>0</v>
      </c>
      <c r="D10" s="11">
        <f>SUMIF('Components Yr 2'!C2:C1111,A10,'Components Yr 2'!G2:G1111)</f>
        <v>0</v>
      </c>
      <c r="E10" s="11">
        <f>SUMIF('Components Yr 2'!C2:C1111,A10,'Components Yr 2'!H2:H1111)</f>
        <v>0</v>
      </c>
      <c r="F10" s="11">
        <f>SUMIF('Components Yr 2'!C2:C1111,A10,'Components Yr 2'!I2:I1111)</f>
        <v>0</v>
      </c>
      <c r="G10" s="11">
        <f>SUMIF('Components Yr 2'!C2:C1111,A10,'Components Yr 2'!J2:J1111)</f>
        <v>0</v>
      </c>
      <c r="H10" s="43">
        <f>SUMIF('Components Yr 2'!C2:C1111,A10,'Components Yr 2'!R2:R1111)</f>
        <v>0</v>
      </c>
      <c r="I10" s="11">
        <f>SUMIF('Components Yr 2'!C2:C1111,A10,'Components Yr 2'!S2:S1111)</f>
        <v>0</v>
      </c>
    </row>
    <row r="11" spans="1:9" x14ac:dyDescent="0.25">
      <c r="A11" s="14" t="s">
        <v>24</v>
      </c>
      <c r="B11" s="15">
        <f>SUMIF('Components Yr 2'!C2:C1111,A11,'Components Yr 2'!E2:E1111)</f>
        <v>0</v>
      </c>
      <c r="C11" s="15">
        <f>SUMIF('Components Yr 2'!C2:C1111,A11,'Components Yr 2'!F2:F1111)</f>
        <v>0</v>
      </c>
      <c r="D11" s="15">
        <f>SUMIF('Components Yr 2'!C2:C1111,A11,'Components Yr 2'!G2:G1111)</f>
        <v>0</v>
      </c>
      <c r="E11" s="15">
        <f>SUMIF('Components Yr 2'!C2:C1111,A11,'Components Yr 2'!H2:H1111)</f>
        <v>0</v>
      </c>
      <c r="F11" s="15">
        <f>SUMIF('Components Yr 2'!C2:C1111,A11,'Components Yr 2'!I2:I1111)</f>
        <v>0</v>
      </c>
      <c r="G11" s="15">
        <f>SUMIF('Components Yr 2'!C2:C1111,A11,'Components Yr 2'!J2:J1111)</f>
        <v>0</v>
      </c>
      <c r="H11" s="44">
        <f>SUMIF('Components Yr 2'!C2:C1111,A11,'Components Yr 2'!R2:R1111)</f>
        <v>0</v>
      </c>
      <c r="I11" s="15">
        <f>SUMIF('Components Yr 2'!C2:C1111,A11,'Components Yr 2'!S2:S1111)</f>
        <v>0</v>
      </c>
    </row>
    <row r="12" spans="1:9" x14ac:dyDescent="0.25">
      <c r="A12" s="10" t="s">
        <v>25</v>
      </c>
      <c r="B12" s="11">
        <f>SUMIF('Components Yr 2'!C2:C1111,A12,'Components Yr 2'!E2:E1111)</f>
        <v>0</v>
      </c>
      <c r="C12" s="11">
        <f>SUMIF('Components Yr 2'!C2:C1111,A12,'Components Yr 2'!F2:F1111)</f>
        <v>0</v>
      </c>
      <c r="D12" s="11">
        <f>SUMIF('Components Yr 2'!C2:C1111,A12,'Components Yr 2'!G2:G1111)</f>
        <v>0</v>
      </c>
      <c r="E12" s="11">
        <f>SUMIF('Components Yr 2'!C2:C1111,A12,'Components Yr 2'!H2:H1111)</f>
        <v>0</v>
      </c>
      <c r="F12" s="11">
        <f>SUMIF('Components Yr 2'!C2:C1111,A12,'Components Yr 2'!I2:I1111)</f>
        <v>0</v>
      </c>
      <c r="G12" s="11">
        <f>SUMIF('Components Yr 2'!C2:C1111,A12,'Components Yr 2'!J2:J1111)</f>
        <v>0</v>
      </c>
      <c r="H12" s="43">
        <f>SUMIF('Components Yr 2'!C2:C1111,A12,'Components Yr 2'!R2:R1111)</f>
        <v>0</v>
      </c>
      <c r="I12" s="11">
        <f>SUMIF('Components Yr 2'!C2:C1111,A12,'Components Yr 2'!S2:S1111)</f>
        <v>0</v>
      </c>
    </row>
    <row r="13" spans="1:9" x14ac:dyDescent="0.25">
      <c r="A13" s="14" t="s">
        <v>26</v>
      </c>
      <c r="B13" s="15">
        <f>SUMIF('Components Yr 2'!C2:C1111,A13,'Components Yr 2'!E2:E1111)</f>
        <v>0</v>
      </c>
      <c r="C13" s="15">
        <f>SUMIF('Components Yr 2'!C2:C1111,A13,'Components Yr 2'!F2:F1111)</f>
        <v>0</v>
      </c>
      <c r="D13" s="15">
        <f>SUMIF('Components Yr 2'!C2:C1111,A13,'Components Yr 2'!G2:G1111)</f>
        <v>0</v>
      </c>
      <c r="E13" s="15">
        <f>SUMIF('Components Yr 2'!C2:C1111,A13,'Components Yr 2'!H2:H1111)</f>
        <v>0</v>
      </c>
      <c r="F13" s="15">
        <f>SUMIF('Components Yr 2'!C2:C1111,A13,'Components Yr 2'!I2:I1111)</f>
        <v>0</v>
      </c>
      <c r="G13" s="15">
        <f>SUMIF('Components Yr 2'!C2:C1111,A13,'Components Yr 2'!J2:J1111)</f>
        <v>0</v>
      </c>
      <c r="H13" s="44">
        <f>SUMIF('Components Yr 2'!C2:C1111,A13,'Components Yr 2'!R2:R1111)</f>
        <v>0</v>
      </c>
      <c r="I13" s="15">
        <f>SUMIF('Components Yr 2'!C2:C1111,A13,'Components Yr 2'!S2:S1111)</f>
        <v>0</v>
      </c>
    </row>
    <row r="14" spans="1:9" x14ac:dyDescent="0.25">
      <c r="A14" s="10" t="s">
        <v>27</v>
      </c>
      <c r="B14" s="11">
        <f>SUMIF('Components Yr 2'!C2:C1111,A14,'Components Yr 2'!E2:E1111)</f>
        <v>0</v>
      </c>
      <c r="C14" s="11">
        <f>SUMIF('Components Yr 2'!C2:C1111,A14,'Components Yr 2'!F2:F1111)</f>
        <v>0</v>
      </c>
      <c r="D14" s="11">
        <f>SUMIF('Components Yr 2'!C2:C1111,A14,'Components Yr 2'!G2:G1111)</f>
        <v>0</v>
      </c>
      <c r="E14" s="11">
        <f>SUMIF('Components Yr 2'!C2:C1111,A14,'Components Yr 2'!H2:H1111)</f>
        <v>0</v>
      </c>
      <c r="F14" s="11">
        <f>SUMIF('Components Yr 2'!C2:C1111,A14,'Components Yr 2'!I2:I1111)</f>
        <v>0</v>
      </c>
      <c r="G14" s="11">
        <f>SUMIF('Components Yr 2'!C2:C1111,A14,'Components Yr 2'!J2:J1111)</f>
        <v>0</v>
      </c>
      <c r="H14" s="43">
        <f>SUMIF('Components Yr 2'!C2:C1111,A14,'Components Yr 2'!R2:R1111)</f>
        <v>0</v>
      </c>
      <c r="I14" s="11">
        <f>SUMIF('Components Yr 2'!C2:C1111,A14,'Components Yr 2'!S2:S1111)</f>
        <v>0</v>
      </c>
    </row>
    <row r="15" spans="1:9" x14ac:dyDescent="0.25">
      <c r="A15" s="14" t="s">
        <v>28</v>
      </c>
      <c r="B15" s="15">
        <f>SUMIF('Components Yr 2'!C2:C1111,A15,'Components Yr 2'!E2:E1111)</f>
        <v>0</v>
      </c>
      <c r="C15" s="15">
        <f>SUMIF('Components Yr 2'!C2:C1111,A15,'Components Yr 2'!F2:F1111)</f>
        <v>0</v>
      </c>
      <c r="D15" s="15">
        <f>SUMIF('Components Yr 2'!C2:C1111,A15,'Components Yr 2'!G2:G1111)</f>
        <v>0</v>
      </c>
      <c r="E15" s="15">
        <f>SUMIF('Components Yr 2'!C2:C1111,A15,'Components Yr 2'!H2:H1111)</f>
        <v>0</v>
      </c>
      <c r="F15" s="15">
        <f>SUMIF('Components Yr 2'!C2:C1111,A15,'Components Yr 2'!I2:I1111)</f>
        <v>0</v>
      </c>
      <c r="G15" s="15">
        <f>SUMIF('Components Yr 2'!C2:C1111,A15,'Components Yr 2'!J2:J1111)</f>
        <v>0</v>
      </c>
      <c r="H15" s="44">
        <f>SUMIF('Components Yr 2'!C2:C1111,A15,'Components Yr 2'!R2:R1111)</f>
        <v>0</v>
      </c>
      <c r="I15" s="15">
        <f>SUMIF('Components Yr 2'!C2:C1111,A15,'Components Yr 2'!S2:S1111)</f>
        <v>0</v>
      </c>
    </row>
    <row r="16" spans="1:9" x14ac:dyDescent="0.25">
      <c r="A16" s="10" t="s">
        <v>29</v>
      </c>
      <c r="B16" s="11">
        <f>SUMIF('Components Yr 2'!C2:C1111,A16,'Components Yr 2'!E2:E1111)</f>
        <v>0</v>
      </c>
      <c r="C16" s="11">
        <f>SUMIF('Components Yr 2'!C2:C1111,A16,'Components Yr 2'!F2:F1111)</f>
        <v>0</v>
      </c>
      <c r="D16" s="11">
        <f>SUMIF('Components Yr 2'!C2:C1111,A16,'Components Yr 2'!G2:G1111)</f>
        <v>0</v>
      </c>
      <c r="E16" s="11">
        <f>SUMIF('Components Yr 2'!C2:C1111,A16,'Components Yr 2'!H2:H1111)</f>
        <v>0</v>
      </c>
      <c r="F16" s="11">
        <f>SUMIF('Components Yr 2'!C2:C1111,A16,'Components Yr 2'!I2:I1111)</f>
        <v>0</v>
      </c>
      <c r="G16" s="11">
        <f>SUMIF('Components Yr 2'!C2:C1111,A16,'Components Yr 2'!J2:J1111)</f>
        <v>0</v>
      </c>
      <c r="H16" s="43">
        <f>SUMIF('Components Yr 2'!C2:C1111,A16,'Components Yr 2'!R2:R1111)</f>
        <v>0</v>
      </c>
      <c r="I16" s="11">
        <f>SUMIF('Components Yr 2'!C2:C1111,A16,'Components Yr 2'!S2:S1111)</f>
        <v>0</v>
      </c>
    </row>
    <row r="17" spans="1:9" x14ac:dyDescent="0.25">
      <c r="A17" s="14" t="s">
        <v>30</v>
      </c>
      <c r="B17" s="15">
        <f>SUMIF('Components Yr 2'!C2:C1111,A17,'Components Yr 2'!E2:E1111)</f>
        <v>0</v>
      </c>
      <c r="C17" s="15">
        <f>SUMIF('Components Yr 2'!C2:C1111,A17,'Components Yr 2'!F2:F1111)</f>
        <v>0</v>
      </c>
      <c r="D17" s="15">
        <f>SUMIF('Components Yr 2'!C2:C1111,A17,'Components Yr 2'!G2:G1111)</f>
        <v>0</v>
      </c>
      <c r="E17" s="15">
        <f>SUMIF('Components Yr 2'!C2:C1111,A17,'Components Yr 2'!H2:H1111)</f>
        <v>0</v>
      </c>
      <c r="F17" s="15">
        <f>SUMIF('Components Yr 2'!C2:C1111,A17,'Components Yr 2'!I2:I1111)</f>
        <v>0</v>
      </c>
      <c r="G17" s="15">
        <f>SUMIF('Components Yr 2'!C2:C1111,A17,'Components Yr 2'!J2:J1111)</f>
        <v>0</v>
      </c>
      <c r="H17" s="44">
        <f>SUMIF('Components Yr 2'!C2:C1111,A17,'Components Yr 2'!R2:R1111)</f>
        <v>0</v>
      </c>
      <c r="I17" s="15">
        <f>SUMIF('Components Yr 2'!C2:C1111,A17,'Components Yr 2'!S2:S1111)</f>
        <v>0</v>
      </c>
    </row>
    <row r="18" spans="1:9" x14ac:dyDescent="0.25">
      <c r="A18" s="10" t="s">
        <v>31</v>
      </c>
      <c r="B18" s="11">
        <f>SUMIF('Components Yr 2'!C2:C1111,A18,'Components Yr 2'!E2:E1111)</f>
        <v>0</v>
      </c>
      <c r="C18" s="11">
        <f>SUMIF('Components Yr 2'!C2:C1111,A18,'Components Yr 2'!F2:F1111)</f>
        <v>0</v>
      </c>
      <c r="D18" s="11">
        <f>SUMIF('Components Yr 2'!C2:C1111,A18,'Components Yr 2'!G2:G1111)</f>
        <v>0</v>
      </c>
      <c r="E18" s="11">
        <f>SUMIF('Components Yr 2'!C2:C1111,A18,'Components Yr 2'!H2:H1111)</f>
        <v>0</v>
      </c>
      <c r="F18" s="11">
        <f>SUMIF('Components Yr 2'!C2:C1111,A18,'Components Yr 2'!I2:I1111)</f>
        <v>0</v>
      </c>
      <c r="G18" s="11">
        <f>SUMIF('Components Yr 2'!C2:C1111,A18,'Components Yr 2'!J2:J1111)</f>
        <v>0</v>
      </c>
      <c r="H18" s="43">
        <f>SUMIF('Components Yr 2'!C2:C1111,A18,'Components Yr 2'!R2:R1111)</f>
        <v>0</v>
      </c>
      <c r="I18" s="11">
        <f>SUMIF('Components Yr 2'!C2:C1111,A18,'Components Yr 2'!S2:S1111)</f>
        <v>0</v>
      </c>
    </row>
    <row r="19" spans="1:9" x14ac:dyDescent="0.25">
      <c r="A19" s="14" t="s">
        <v>32</v>
      </c>
      <c r="B19" s="15">
        <f>SUMIF('Components Yr 2'!C2:C1111,A19,'Components Yr 2'!E2:E1111)</f>
        <v>0</v>
      </c>
      <c r="C19" s="15">
        <f>SUMIF('Components Yr 2'!C2:C1111,A19,'Components Yr 2'!F2:F1111)</f>
        <v>0</v>
      </c>
      <c r="D19" s="15">
        <f>SUMIF('Components Yr 2'!C2:C1111,A19,'Components Yr 2'!G2:G1111)</f>
        <v>0</v>
      </c>
      <c r="E19" s="15">
        <f>SUMIF('Components Yr 2'!C2:C1111,A19,'Components Yr 2'!H2:H1111)</f>
        <v>0</v>
      </c>
      <c r="F19" s="15">
        <f>SUMIF('Components Yr 2'!C2:C1111,A19,'Components Yr 2'!I2:I1111)</f>
        <v>0</v>
      </c>
      <c r="G19" s="15">
        <f>SUMIF('Components Yr 2'!C2:C1111,A19,'Components Yr 2'!J2:J1111)</f>
        <v>0</v>
      </c>
      <c r="H19" s="44">
        <f>SUMIF('Components Yr 2'!C2:C1111,A19,'Components Yr 2'!R2:R1111)</f>
        <v>0</v>
      </c>
      <c r="I19" s="15">
        <f>SUMIF('Components Yr 2'!C2:C1111,A19,'Components Yr 2'!S2:S1111)</f>
        <v>0</v>
      </c>
    </row>
    <row r="20" spans="1:9" x14ac:dyDescent="0.25">
      <c r="A20" s="10" t="s">
        <v>33</v>
      </c>
      <c r="B20" s="11">
        <f>SUMIF('Components Yr 2'!C2:C1111,A20,'Components Yr 2'!E2:E1111)</f>
        <v>0</v>
      </c>
      <c r="C20" s="11">
        <f>SUMIF('Components Yr 2'!C2:C1111,A20,'Components Yr 2'!F2:F1111)</f>
        <v>0</v>
      </c>
      <c r="D20" s="11">
        <f>SUMIF('Components Yr 2'!C2:C1111,A20,'Components Yr 2'!G2:G1111)</f>
        <v>0</v>
      </c>
      <c r="E20" s="11">
        <f>SUMIF('Components Yr 2'!C2:C1111,A20,'Components Yr 2'!H2:H1111)</f>
        <v>0</v>
      </c>
      <c r="F20" s="11">
        <f>SUMIF('Components Yr 2'!C2:C1111,A20,'Components Yr 2'!I2:I1111)</f>
        <v>0</v>
      </c>
      <c r="G20" s="11">
        <f>SUMIF('Components Yr 2'!C2:C1111,A20,'Components Yr 2'!J2:J1111)</f>
        <v>0</v>
      </c>
      <c r="H20" s="43">
        <f>SUMIF('Components Yr 2'!C2:C1111,A20,'Components Yr 2'!R2:R1111)</f>
        <v>0</v>
      </c>
      <c r="I20" s="11">
        <f>SUMIF('Components Yr 2'!C2:C1111,A20,'Components Yr 2'!S2:S1111)</f>
        <v>0</v>
      </c>
    </row>
    <row r="21" spans="1:9" x14ac:dyDescent="0.25">
      <c r="A21" s="14" t="s">
        <v>34</v>
      </c>
      <c r="B21" s="15">
        <f>SUMIF('Components Yr 2'!C2:C1111,A21,'Components Yr 2'!E2:E1111)</f>
        <v>0</v>
      </c>
      <c r="C21" s="15">
        <f>SUMIF('Components Yr 2'!C2:C1111,A21,'Components Yr 2'!F2:F1111)</f>
        <v>0</v>
      </c>
      <c r="D21" s="15">
        <f>SUMIF('Components Yr 2'!C2:C1111,A21,'Components Yr 2'!G2:G1111)</f>
        <v>0</v>
      </c>
      <c r="E21" s="15">
        <f>SUMIF('Components Yr 2'!C2:C1111,A21,'Components Yr 2'!H2:H1111)</f>
        <v>0</v>
      </c>
      <c r="F21" s="15">
        <f>SUMIF('Components Yr 2'!C2:C1111,A21,'Components Yr 2'!I2:I1111)</f>
        <v>0</v>
      </c>
      <c r="G21" s="15">
        <f>SUMIF('Components Yr 2'!C2:C1111,A21,'Components Yr 2'!J2:J1111)</f>
        <v>0</v>
      </c>
      <c r="H21" s="44">
        <f>SUMIF('Components Yr 2'!C2:C1111,A21,'Components Yr 2'!R2:R1111)</f>
        <v>0</v>
      </c>
      <c r="I21" s="15">
        <f>SUMIF('Components Yr 2'!C2:C1111,A21,'Components Yr 2'!S2:S1111)</f>
        <v>0</v>
      </c>
    </row>
    <row r="22" spans="1:9" x14ac:dyDescent="0.25">
      <c r="A22" s="10" t="s">
        <v>35</v>
      </c>
      <c r="B22" s="11">
        <f>SUMIF('Components Yr 2'!C2:C1111,A22,'Components Yr 2'!E2:E1111)</f>
        <v>0</v>
      </c>
      <c r="C22" s="11">
        <f>SUMIF('Components Yr 2'!C2:C1111,A22,'Components Yr 2'!F2:F1111)</f>
        <v>0</v>
      </c>
      <c r="D22" s="11">
        <f>SUMIF('Components Yr 2'!C2:C1111,A22,'Components Yr 2'!G2:G1111)</f>
        <v>0</v>
      </c>
      <c r="E22" s="11">
        <f>SUMIF('Components Yr 2'!C2:C1111,A22,'Components Yr 2'!H2:H1111)</f>
        <v>0</v>
      </c>
      <c r="F22" s="11">
        <f>SUMIF('Components Yr 2'!C2:C1111,A22,'Components Yr 2'!I2:I1111)</f>
        <v>0</v>
      </c>
      <c r="G22" s="11">
        <f>SUMIF('Components Yr 2'!C2:C1111,A22,'Components Yr 2'!J2:J1111)</f>
        <v>0</v>
      </c>
      <c r="H22" s="43">
        <f>SUMIF('Components Yr 2'!C2:C1111,A22,'Components Yr 2'!R2:R1111)</f>
        <v>0</v>
      </c>
      <c r="I22" s="11">
        <f>SUMIF('Components Yr 2'!C2:C1111,A22,'Components Yr 2'!S2:S1111)</f>
        <v>0</v>
      </c>
    </row>
    <row r="23" spans="1:9" x14ac:dyDescent="0.25">
      <c r="A23" s="14" t="s">
        <v>36</v>
      </c>
      <c r="B23" s="15">
        <f>SUMIF('Components Yr 2'!C2:C1111,A23,'Components Yr 2'!E2:E1111)</f>
        <v>0</v>
      </c>
      <c r="C23" s="15">
        <f>SUMIF('Components Yr 2'!C2:C1111,A23,'Components Yr 2'!F2:F1111)</f>
        <v>0</v>
      </c>
      <c r="D23" s="15">
        <f>SUMIF('Components Yr 2'!C2:C1111,A23,'Components Yr 2'!G2:G1111)</f>
        <v>0</v>
      </c>
      <c r="E23" s="15">
        <f>SUMIF('Components Yr 2'!C2:C1111,A23,'Components Yr 2'!H2:H1111)</f>
        <v>0</v>
      </c>
      <c r="F23" s="15">
        <f>SUMIF('Components Yr 2'!C2:C1111,A23,'Components Yr 2'!I2:I1111)</f>
        <v>0</v>
      </c>
      <c r="G23" s="15">
        <f>SUMIF('Components Yr 2'!C2:C1111,A23,'Components Yr 2'!J2:J1111)</f>
        <v>0</v>
      </c>
      <c r="H23" s="44">
        <f>SUMIF('Components Yr 2'!C2:C1111,A23,'Components Yr 2'!R2:R1111)</f>
        <v>0</v>
      </c>
      <c r="I23" s="15">
        <f>SUMIF('Components Yr 2'!C2:C1111,A23,'Components Yr 2'!S2:S1111)</f>
        <v>0</v>
      </c>
    </row>
    <row r="24" spans="1:9" x14ac:dyDescent="0.25">
      <c r="A24" s="10" t="s">
        <v>37</v>
      </c>
      <c r="B24" s="11">
        <f>SUMIF('Components Yr 2'!C2:C1111,A24,'Components Yr 2'!E2:E1111)</f>
        <v>0</v>
      </c>
      <c r="C24" s="11">
        <f>SUMIF('Components Yr 2'!C2:C1111,A24,'Components Yr 2'!F2:F1111)</f>
        <v>0</v>
      </c>
      <c r="D24" s="11">
        <f>SUMIF('Components Yr 2'!C2:C1111,A24,'Components Yr 2'!G2:G1111)</f>
        <v>0</v>
      </c>
      <c r="E24" s="11">
        <f>SUMIF('Components Yr 2'!C2:C1111,A24,'Components Yr 2'!H2:H1111)</f>
        <v>0</v>
      </c>
      <c r="F24" s="11">
        <f>SUMIF('Components Yr 2'!C2:C1111,A24,'Components Yr 2'!I2:I1111)</f>
        <v>0</v>
      </c>
      <c r="G24" s="11">
        <f>SUMIF('Components Yr 2'!C2:C1111,A24,'Components Yr 2'!J2:J1111)</f>
        <v>0</v>
      </c>
      <c r="H24" s="43">
        <f>SUMIF('Components Yr 2'!C2:C1111,A24,'Components Yr 2'!R2:R1111)</f>
        <v>0</v>
      </c>
      <c r="I24" s="11">
        <f>SUMIF('Components Yr 2'!C2:C1111,A24,'Components Yr 2'!S2:S1111)</f>
        <v>0</v>
      </c>
    </row>
    <row r="25" spans="1:9" x14ac:dyDescent="0.25">
      <c r="A25" s="14" t="s">
        <v>38</v>
      </c>
      <c r="B25" s="15">
        <f>SUMIF('Components Yr 2'!C2:C1111,A25,'Components Yr 2'!E2:E1111)</f>
        <v>0</v>
      </c>
      <c r="C25" s="15">
        <f>SUMIF('Components Yr 2'!C2:C1111,A25,'Components Yr 2'!F2:F1111)</f>
        <v>0</v>
      </c>
      <c r="D25" s="15">
        <f>SUMIF('Components Yr 2'!C2:C1111,A25,'Components Yr 2'!G2:G1111)</f>
        <v>0</v>
      </c>
      <c r="E25" s="15">
        <f>SUMIF('Components Yr 2'!C2:C1111,A25,'Components Yr 2'!H2:H1111)</f>
        <v>0</v>
      </c>
      <c r="F25" s="15">
        <f>SUMIF('Components Yr 2'!C2:C1111,A25,'Components Yr 2'!I2:I1111)</f>
        <v>0</v>
      </c>
      <c r="G25" s="15">
        <f>SUMIF('Components Yr 2'!C2:C1111,A25,'Components Yr 2'!J2:J1111)</f>
        <v>0</v>
      </c>
      <c r="H25" s="44">
        <f>SUMIF('Components Yr 2'!C2:C1111,A25,'Components Yr 2'!R2:R1111)</f>
        <v>0</v>
      </c>
      <c r="I25" s="15">
        <f>SUMIF('Components Yr 2'!C2:C1111,A25,'Components Yr 2'!S2:S1111)</f>
        <v>0</v>
      </c>
    </row>
    <row r="26" spans="1:9" x14ac:dyDescent="0.25">
      <c r="A26" s="10" t="s">
        <v>39</v>
      </c>
      <c r="B26" s="11">
        <f>SUMIF('Components Yr 2'!C2:C1111,A26,'Components Yr 2'!E2:E1111)</f>
        <v>0</v>
      </c>
      <c r="C26" s="11">
        <f>SUMIF('Components Yr 2'!C2:C1111,A26,'Components Yr 2'!F2:F1111)</f>
        <v>0</v>
      </c>
      <c r="D26" s="11">
        <f>SUMIF('Components Yr 2'!C2:C1111,A26,'Components Yr 2'!G2:G1111)</f>
        <v>0</v>
      </c>
      <c r="E26" s="11">
        <f>SUMIF('Components Yr 2'!C2:C1111,A26,'Components Yr 2'!H2:H1111)</f>
        <v>0</v>
      </c>
      <c r="F26" s="11">
        <f>SUMIF('Components Yr 2'!C2:C1111,A26,'Components Yr 2'!I2:I1111)</f>
        <v>0</v>
      </c>
      <c r="G26" s="11">
        <f>SUMIF('Components Yr 2'!C2:C1111,A26,'Components Yr 2'!J2:J1111)</f>
        <v>0</v>
      </c>
      <c r="H26" s="43">
        <f>SUMIF('Components Yr 2'!C2:C1111,A26,'Components Yr 2'!R2:R1111)</f>
        <v>0</v>
      </c>
      <c r="I26" s="11">
        <f>SUMIF('Components Yr 2'!C2:C1111,A26,'Components Yr 2'!S2:S1111)</f>
        <v>0</v>
      </c>
    </row>
    <row r="27" spans="1:9" x14ac:dyDescent="0.25">
      <c r="A27" s="14" t="s">
        <v>40</v>
      </c>
      <c r="B27" s="15">
        <f>SUMIF('Components Yr 2'!C2:C1111,A27,'Components Yr 2'!E2:E1111)</f>
        <v>0</v>
      </c>
      <c r="C27" s="15">
        <f>SUMIF('Components Yr 2'!C2:C1111,A27,'Components Yr 2'!F2:F1111)</f>
        <v>0</v>
      </c>
      <c r="D27" s="15">
        <f>SUMIF('Components Yr 2'!C2:C1111,A27,'Components Yr 2'!G2:G1111)</f>
        <v>0</v>
      </c>
      <c r="E27" s="15">
        <f>SUMIF('Components Yr 2'!C2:C1111,A27,'Components Yr 2'!H2:H1111)</f>
        <v>0</v>
      </c>
      <c r="F27" s="15">
        <f>SUMIF('Components Yr 2'!C2:C1111,A27,'Components Yr 2'!I2:I1111)</f>
        <v>0</v>
      </c>
      <c r="G27" s="15">
        <f>SUMIF('Components Yr 2'!C2:C1111,A27,'Components Yr 2'!J2:J1111)</f>
        <v>0</v>
      </c>
      <c r="H27" s="44">
        <f>SUMIF('Components Yr 2'!C2:C1111,A27,'Components Yr 2'!R2:R1111)</f>
        <v>0</v>
      </c>
      <c r="I27" s="15">
        <f>SUMIF('Components Yr 2'!C2:C1111,A27,'Components Yr 2'!S2:S1111)</f>
        <v>0</v>
      </c>
    </row>
    <row r="28" spans="1:9" x14ac:dyDescent="0.25">
      <c r="A28" s="10" t="s">
        <v>41</v>
      </c>
      <c r="B28" s="11">
        <f>SUMIF('Components Yr 2'!C2:C1111,A28,'Components Yr 2'!E2:E1111)</f>
        <v>0</v>
      </c>
      <c r="C28" s="11">
        <f>SUMIF('Components Yr 2'!C2:C1111,A28,'Components Yr 2'!F2:F1111)</f>
        <v>0</v>
      </c>
      <c r="D28" s="11">
        <f>SUMIF('Components Yr 2'!C2:C1111,A28,'Components Yr 2'!G2:G1111)</f>
        <v>0</v>
      </c>
      <c r="E28" s="11">
        <f>SUMIF('Components Yr 2'!C2:C1111,A28,'Components Yr 2'!H2:H1111)</f>
        <v>0</v>
      </c>
      <c r="F28" s="11">
        <f>SUMIF('Components Yr 2'!C2:C1111,A28,'Components Yr 2'!I2:I1111)</f>
        <v>0</v>
      </c>
      <c r="G28" s="11">
        <f>SUMIF('Components Yr 2'!C2:C1111,A28,'Components Yr 2'!J2:J1111)</f>
        <v>0</v>
      </c>
      <c r="H28" s="43">
        <f>SUMIF('Components Yr 2'!C2:C1111,A28,'Components Yr 2'!R2:R1111)</f>
        <v>0</v>
      </c>
      <c r="I28" s="11">
        <f>SUMIF('Components Yr 2'!C2:C1111,A28,'Components Yr 2'!S2:S1111)</f>
        <v>0</v>
      </c>
    </row>
    <row r="29" spans="1:9" x14ac:dyDescent="0.25">
      <c r="A29" s="14" t="s">
        <v>42</v>
      </c>
      <c r="B29" s="15">
        <f>SUMIF('Components Yr 2'!C2:C1111,A29,'Components Yr 2'!E2:E1111)</f>
        <v>0</v>
      </c>
      <c r="C29" s="15">
        <f>SUMIF('Components Yr 2'!C2:C1111,A29,'Components Yr 2'!F2:F1111)</f>
        <v>0</v>
      </c>
      <c r="D29" s="15">
        <f>SUMIF('Components Yr 2'!C2:C1111,A29,'Components Yr 2'!G2:G1111)</f>
        <v>0</v>
      </c>
      <c r="E29" s="15">
        <f>SUMIF('Components Yr 2'!C2:C1111,A29,'Components Yr 2'!H2:H1111)</f>
        <v>0</v>
      </c>
      <c r="F29" s="15">
        <f>SUMIF('Components Yr 2'!C2:C1111,A29,'Components Yr 2'!I2:I1111)</f>
        <v>0</v>
      </c>
      <c r="G29" s="15">
        <f>SUMIF('Components Yr 2'!C2:C1111,A29,'Components Yr 2'!J2:J1111)</f>
        <v>0</v>
      </c>
      <c r="H29" s="44">
        <f>SUMIF('Components Yr 2'!C2:C1111,A29,'Components Yr 2'!R2:R1111)</f>
        <v>0</v>
      </c>
      <c r="I29" s="15">
        <f>SUMIF('Components Yr 2'!C2:C1111,A29,'Components Yr 2'!S2:S1111)</f>
        <v>0</v>
      </c>
    </row>
    <row r="30" spans="1:9" x14ac:dyDescent="0.25">
      <c r="A30" s="10" t="s">
        <v>43</v>
      </c>
      <c r="B30" s="11">
        <f>SUMIF('Components Yr 2'!C2:C1111,A30,'Components Yr 2'!E2:E1111)</f>
        <v>0</v>
      </c>
      <c r="C30" s="11">
        <f>SUMIF('Components Yr 2'!C2:C1111,A30,'Components Yr 2'!F2:F1111)</f>
        <v>0</v>
      </c>
      <c r="D30" s="11">
        <f>SUMIF('Components Yr 2'!C2:C1111,A30,'Components Yr 2'!G2:G1111)</f>
        <v>0</v>
      </c>
      <c r="E30" s="11">
        <f>SUMIF('Components Yr 2'!C2:C1111,A30,'Components Yr 2'!H2:H1111)</f>
        <v>0</v>
      </c>
      <c r="F30" s="11">
        <f>SUMIF('Components Yr 2'!C2:C1111,A30,'Components Yr 2'!I2:I1111)</f>
        <v>0</v>
      </c>
      <c r="G30" s="11">
        <f>SUMIF('Components Yr 2'!C2:C1111,A30,'Components Yr 2'!J2:J1111)</f>
        <v>0</v>
      </c>
      <c r="H30" s="43">
        <f>SUMIF('Components Yr 2'!C2:C1111,A30,'Components Yr 2'!R2:R1111)</f>
        <v>0</v>
      </c>
      <c r="I30" s="11">
        <f>SUMIF('Components Yr 2'!C2:C1111,A30,'Components Yr 2'!S2:S1111)</f>
        <v>0</v>
      </c>
    </row>
    <row r="31" spans="1:9" x14ac:dyDescent="0.25">
      <c r="A31" s="14" t="s">
        <v>44</v>
      </c>
      <c r="B31" s="15">
        <f>SUMIF('Components Yr 2'!C2:C1111,A31,'Components Yr 2'!E2:E1111)</f>
        <v>0</v>
      </c>
      <c r="C31" s="15">
        <f>SUMIF('Components Yr 2'!C2:C1111,A31,'Components Yr 2'!F2:F1111)</f>
        <v>0</v>
      </c>
      <c r="D31" s="15">
        <f>SUMIF('Components Yr 2'!C2:C1111,A31,'Components Yr 2'!G2:G1111)</f>
        <v>0</v>
      </c>
      <c r="E31" s="15">
        <f>SUMIF('Components Yr 2'!C2:C1111,A31,'Components Yr 2'!H2:H1111)</f>
        <v>0</v>
      </c>
      <c r="F31" s="15">
        <f>SUMIF('Components Yr 2'!C2:C1111,A31,'Components Yr 2'!I2:I1111)</f>
        <v>0</v>
      </c>
      <c r="G31" s="15">
        <f>SUMIF('Components Yr 2'!C2:C1111,A31,'Components Yr 2'!J2:J1111)</f>
        <v>0</v>
      </c>
      <c r="H31" s="44">
        <f>SUMIF('Components Yr 2'!C2:C1111,A31,'Components Yr 2'!R2:R1111)</f>
        <v>0</v>
      </c>
      <c r="I31" s="15">
        <f>SUMIF('Components Yr 2'!C2:C1111,A31,'Components Yr 2'!S2:S1111)</f>
        <v>0</v>
      </c>
    </row>
    <row r="32" spans="1:9" x14ac:dyDescent="0.25">
      <c r="A32" s="10" t="s">
        <v>45</v>
      </c>
      <c r="B32" s="11">
        <f>SUMIF('Components Yr 2'!C2:C1111,A32,'Components Yr 2'!E2:E1111)</f>
        <v>0</v>
      </c>
      <c r="C32" s="11">
        <f>SUMIF('Components Yr 2'!C2:C1111,A32,'Components Yr 2'!F2:F1111)</f>
        <v>0</v>
      </c>
      <c r="D32" s="11">
        <f>SUMIF('Components Yr 2'!C2:C1111,A32,'Components Yr 2'!G2:G1111)</f>
        <v>0</v>
      </c>
      <c r="E32" s="11">
        <f>SUMIF('Components Yr 2'!C2:C1111,A32,'Components Yr 2'!H2:H1111)</f>
        <v>0</v>
      </c>
      <c r="F32" s="11">
        <f>SUMIF('Components Yr 2'!C2:C1111,A32,'Components Yr 2'!I2:I1111)</f>
        <v>0</v>
      </c>
      <c r="G32" s="11">
        <f>SUMIF('Components Yr 2'!C2:C1111,A32,'Components Yr 2'!J2:J1111)</f>
        <v>0</v>
      </c>
      <c r="H32" s="43">
        <f>SUMIF('Components Yr 2'!C2:C1111,A32,'Components Yr 2'!R2:R1111)</f>
        <v>0</v>
      </c>
      <c r="I32" s="11">
        <f>SUMIF('Components Yr 2'!C2:C1111,A32,'Components Yr 2'!S2:S1111)</f>
        <v>0</v>
      </c>
    </row>
    <row r="33" spans="1:9" x14ac:dyDescent="0.25">
      <c r="A33" s="14" t="s">
        <v>46</v>
      </c>
      <c r="B33" s="15">
        <f>SUMIF('Components Yr 2'!C2:C1111,A33,'Components Yr 2'!E2:E1111)</f>
        <v>0</v>
      </c>
      <c r="C33" s="15">
        <f>SUMIF('Components Yr 2'!C2:C1111,A33,'Components Yr 2'!F2:F1111)</f>
        <v>0</v>
      </c>
      <c r="D33" s="15">
        <f>SUMIF('Components Yr 2'!C2:C1111,A33,'Components Yr 2'!G2:G1111)</f>
        <v>0</v>
      </c>
      <c r="E33" s="15">
        <f>SUMIF('Components Yr 2'!C2:C1111,A33,'Components Yr 2'!H2:H1111)</f>
        <v>0</v>
      </c>
      <c r="F33" s="15">
        <f>SUMIF('Components Yr 2'!C2:C1111,A33,'Components Yr 2'!I2:I1111)</f>
        <v>0</v>
      </c>
      <c r="G33" s="15">
        <f>SUMIF('Components Yr 2'!C2:C1111,A33,'Components Yr 2'!J2:J1111)</f>
        <v>0</v>
      </c>
      <c r="H33" s="44">
        <f>SUMIF('Components Yr 2'!C2:C1111,A33,'Components Yr 2'!R2:R1111)</f>
        <v>0</v>
      </c>
      <c r="I33" s="15">
        <f>SUMIF('Components Yr 2'!C2:C1111,A33,'Components Yr 2'!S2:S1111)</f>
        <v>0</v>
      </c>
    </row>
    <row r="34" spans="1:9" x14ac:dyDescent="0.25">
      <c r="A34" s="10" t="s">
        <v>47</v>
      </c>
      <c r="B34" s="11">
        <f>SUMIF('Components Yr 2'!C2:C1111,A34,'Components Yr 2'!E2:E1111)</f>
        <v>0</v>
      </c>
      <c r="C34" s="11">
        <f>SUMIF('Components Yr 2'!C2:C1111,A34,'Components Yr 2'!F2:F1111)</f>
        <v>0</v>
      </c>
      <c r="D34" s="11">
        <f>SUMIF('Components Yr 2'!C2:C1111,A34,'Components Yr 2'!G2:G1111)</f>
        <v>0</v>
      </c>
      <c r="E34" s="11">
        <f>SUMIF('Components Yr 2'!C2:C1111,A34,'Components Yr 2'!H2:H1111)</f>
        <v>0</v>
      </c>
      <c r="F34" s="11">
        <f>SUMIF('Components Yr 2'!C2:C1111,A34,'Components Yr 2'!I2:I1111)</f>
        <v>0</v>
      </c>
      <c r="G34" s="11">
        <f>SUMIF('Components Yr 2'!C2:C1111,A34,'Components Yr 2'!J2:J1111)</f>
        <v>0</v>
      </c>
      <c r="H34" s="43">
        <f>SUMIF('Components Yr 2'!C2:C1111,A34,'Components Yr 2'!R2:R1111)</f>
        <v>0</v>
      </c>
      <c r="I34" s="11">
        <f>SUMIF('Components Yr 2'!C2:C1111,A34,'Components Yr 2'!S2:S1111)</f>
        <v>0</v>
      </c>
    </row>
    <row r="35" spans="1:9" x14ac:dyDescent="0.25">
      <c r="A35" s="14" t="s">
        <v>48</v>
      </c>
      <c r="B35" s="15">
        <f>SUMIF('Components Yr 2'!C2:C1111,A35,'Components Yr 2'!E2:E1111)</f>
        <v>0</v>
      </c>
      <c r="C35" s="15">
        <f>SUMIF('Components Yr 2'!C2:C1111,A35,'Components Yr 2'!F2:F1111)</f>
        <v>0</v>
      </c>
      <c r="D35" s="15">
        <f>SUMIF('Components Yr 2'!C2:C1111,A35,'Components Yr 2'!G2:G1111)</f>
        <v>0</v>
      </c>
      <c r="E35" s="15">
        <f>SUMIF('Components Yr 2'!C2:C1111,A35,'Components Yr 2'!H2:H1111)</f>
        <v>0</v>
      </c>
      <c r="F35" s="15">
        <f>SUMIF('Components Yr 2'!C2:C1111,A35,'Components Yr 2'!I2:I1111)</f>
        <v>0</v>
      </c>
      <c r="G35" s="15">
        <f>SUMIF('Components Yr 2'!C2:C1111,A35,'Components Yr 2'!J2:J1111)</f>
        <v>0</v>
      </c>
      <c r="H35" s="44">
        <f>SUMIF('Components Yr 2'!C2:C1111,A35,'Components Yr 2'!R2:R1111)</f>
        <v>0</v>
      </c>
      <c r="I35" s="15">
        <f>SUMIF('Components Yr 2'!C2:C1111,A35,'Components Yr 2'!S2:S1111)</f>
        <v>0</v>
      </c>
    </row>
    <row r="36" spans="1:9" x14ac:dyDescent="0.25">
      <c r="A36" s="10" t="s">
        <v>49</v>
      </c>
      <c r="B36" s="11">
        <f>SUMIF('Components Yr 2'!C2:C1111,A36,'Components Yr 2'!E2:E1111)</f>
        <v>0</v>
      </c>
      <c r="C36" s="11">
        <f>SUMIF('Components Yr 2'!C2:C1111,A36,'Components Yr 2'!F2:F1111)</f>
        <v>0</v>
      </c>
      <c r="D36" s="11">
        <f>SUMIF('Components Yr 2'!C2:C1111,A36,'Components Yr 2'!G2:G1111)</f>
        <v>0</v>
      </c>
      <c r="E36" s="11">
        <f>SUMIF('Components Yr 2'!C2:C1111,A36,'Components Yr 2'!H2:H1111)</f>
        <v>0</v>
      </c>
      <c r="F36" s="11">
        <f>SUMIF('Components Yr 2'!C2:C1111,A36,'Components Yr 2'!I2:I1111)</f>
        <v>0</v>
      </c>
      <c r="G36" s="11">
        <f>SUMIF('Components Yr 2'!C2:C1111,A36,'Components Yr 2'!J2:J1111)</f>
        <v>0</v>
      </c>
      <c r="H36" s="43">
        <f>SUMIF('Components Yr 2'!C2:C1111,A36,'Components Yr 2'!R2:R1111)</f>
        <v>0</v>
      </c>
      <c r="I36" s="11">
        <f>SUMIF('Components Yr 2'!C2:C1111,A36,'Components Yr 2'!S2:S1111)</f>
        <v>0</v>
      </c>
    </row>
    <row r="37" spans="1:9" x14ac:dyDescent="0.25">
      <c r="A37" s="14" t="s">
        <v>50</v>
      </c>
      <c r="B37" s="15">
        <f>SUMIF('Components Yr 2'!C2:C1111,A37,'Components Yr 2'!E2:E1111)</f>
        <v>0</v>
      </c>
      <c r="C37" s="15">
        <f>SUMIF('Components Yr 2'!C2:C1111,A37,'Components Yr 2'!F2:F1111)</f>
        <v>0</v>
      </c>
      <c r="D37" s="15">
        <f>SUMIF('Components Yr 2'!C2:C1111,A37,'Components Yr 2'!G2:G1111)</f>
        <v>0</v>
      </c>
      <c r="E37" s="15">
        <f>SUMIF('Components Yr 2'!C2:C1111,A37,'Components Yr 2'!H2:H1111)</f>
        <v>0</v>
      </c>
      <c r="F37" s="15">
        <f>SUMIF('Components Yr 2'!C2:C1111,A37,'Components Yr 2'!I2:I1111)</f>
        <v>0</v>
      </c>
      <c r="G37" s="15">
        <f>SUMIF('Components Yr 2'!C2:C1111,A37,'Components Yr 2'!J2:J1111)</f>
        <v>0</v>
      </c>
      <c r="H37" s="44">
        <f>SUMIF('Components Yr 2'!C2:C1111,A37,'Components Yr 2'!R2:R1111)</f>
        <v>0</v>
      </c>
      <c r="I37" s="15">
        <f>SUMIF('Components Yr 2'!C2:C1111,A37,'Components Yr 2'!S2:S1111)</f>
        <v>0</v>
      </c>
    </row>
    <row r="38" spans="1:9" x14ac:dyDescent="0.25">
      <c r="A38" s="10" t="s">
        <v>51</v>
      </c>
      <c r="B38" s="11">
        <f>SUMIF('Components Yr 2'!C2:C1111,A38,'Components Yr 2'!E2:E1111)</f>
        <v>0</v>
      </c>
      <c r="C38" s="11">
        <f>SUMIF('Components Yr 2'!C2:C1111,A38,'Components Yr 2'!F2:F1111)</f>
        <v>0</v>
      </c>
      <c r="D38" s="11">
        <f>SUMIF('Components Yr 2'!C2:C1111,A38,'Components Yr 2'!G2:G1111)</f>
        <v>0</v>
      </c>
      <c r="E38" s="11">
        <f>SUMIF('Components Yr 2'!C2:C1111,A38,'Components Yr 2'!H2:H1111)</f>
        <v>0</v>
      </c>
      <c r="F38" s="11">
        <f>SUMIF('Components Yr 2'!C2:C1111,A38,'Components Yr 2'!I2:I1111)</f>
        <v>0</v>
      </c>
      <c r="G38" s="11">
        <f>SUMIF('Components Yr 2'!C2:C1111,A38,'Components Yr 2'!J2:J1111)</f>
        <v>0</v>
      </c>
      <c r="H38" s="43">
        <f>SUMIF('Components Yr 2'!C2:C1111,A38,'Components Yr 2'!R2:R1111)</f>
        <v>0</v>
      </c>
      <c r="I38" s="11">
        <f>SUMIF('Components Yr 2'!C2:C1111,A38,'Components Yr 2'!S2:S1111)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8"/>
  <sheetViews>
    <sheetView zoomScaleNormal="100" workbookViewId="0"/>
  </sheetViews>
  <sheetFormatPr defaultColWidth="8.7109375" defaultRowHeight="15" x14ac:dyDescent="0.25"/>
  <cols>
    <col min="1" max="1" width="52" customWidth="1"/>
    <col min="2" max="9" width="14" customWidth="1"/>
  </cols>
  <sheetData>
    <row r="1" spans="1:9" x14ac:dyDescent="0.25">
      <c r="A1" s="8" t="s">
        <v>2</v>
      </c>
      <c r="B1" s="9" t="s">
        <v>14</v>
      </c>
      <c r="C1" s="8" t="s">
        <v>3</v>
      </c>
      <c r="D1" s="8" t="s">
        <v>137</v>
      </c>
      <c r="E1" s="8" t="s">
        <v>5</v>
      </c>
      <c r="F1" s="8" t="s">
        <v>6</v>
      </c>
      <c r="G1" s="8" t="s">
        <v>7</v>
      </c>
      <c r="H1" s="8" t="s">
        <v>57</v>
      </c>
      <c r="I1" s="8" t="s">
        <v>138</v>
      </c>
    </row>
    <row r="2" spans="1:9" x14ac:dyDescent="0.25">
      <c r="A2" s="10" t="s">
        <v>15</v>
      </c>
      <c r="B2" s="11">
        <f>SUMIF('Components Yr 3'!C2:C1111,A2,'Components Yr 3'!E2:E1111)</f>
        <v>0</v>
      </c>
      <c r="C2" s="11">
        <f>SUMIF('Components Yr 3'!C2:C1111,A2,'Components Yr 3'!F2:F1111)</f>
        <v>0</v>
      </c>
      <c r="D2" s="11">
        <f>SUMIF('Components Yr 3'!C2:C1111,A2,'Components Yr 3'!G2:G1111)</f>
        <v>0</v>
      </c>
      <c r="E2" s="11">
        <f>SUMIF('Components Yr 3'!C2:C1111,A2,'Components Yr 3'!H2:H1111)</f>
        <v>0</v>
      </c>
      <c r="F2" s="11">
        <f>SUMIF('Components Yr 3'!C2:C1111,A2,'Components Yr 3'!I2:I1111)</f>
        <v>0</v>
      </c>
      <c r="G2" s="11">
        <f>SUMIF('Components Yr 3'!C2:C1111,A2,'Components Yr 3'!J2:J1111)</f>
        <v>0</v>
      </c>
      <c r="H2" s="43">
        <f>SUMIF('Components Yr 3'!C2:C1111,A2,'Components Yr 3'!R2:R1111)</f>
        <v>0</v>
      </c>
      <c r="I2" s="11">
        <f>SUMIF('Components Yr 3'!C2:C1111,A2,'Components Yr 3'!S2:S1111)</f>
        <v>0</v>
      </c>
    </row>
    <row r="3" spans="1:9" x14ac:dyDescent="0.25">
      <c r="A3" s="14" t="s">
        <v>16</v>
      </c>
      <c r="B3" s="15">
        <f>SUMIF('Components Yr 3'!C2:C1111,A3,'Components Yr 3'!E2:E1111)</f>
        <v>0</v>
      </c>
      <c r="C3" s="15">
        <f>SUMIF('Components Yr 3'!C2:C1111,A3,'Components Yr 3'!F2:F1111)</f>
        <v>0</v>
      </c>
      <c r="D3" s="15">
        <f>SUMIF('Components Yr 3'!C2:C1111,A3,'Components Yr 3'!G2:G1111)</f>
        <v>0</v>
      </c>
      <c r="E3" s="15">
        <f>SUMIF('Components Yr 3'!C2:C1111,A3,'Components Yr 3'!H2:H1111)</f>
        <v>0</v>
      </c>
      <c r="F3" s="15">
        <f>SUMIF('Components Yr 3'!C2:C1111,A3,'Components Yr 3'!I2:I1111)</f>
        <v>0</v>
      </c>
      <c r="G3" s="15">
        <f>SUMIF('Components Yr 3'!C2:C1111,A3,'Components Yr 3'!J2:J1111)</f>
        <v>0</v>
      </c>
      <c r="H3" s="44">
        <f>SUMIF('Components Yr 3'!C2:C1111,A3,'Components Yr 3'!R2:R1111)</f>
        <v>0</v>
      </c>
      <c r="I3" s="15">
        <f>SUMIF('Components Yr 3'!C2:C1111,A3,'Components Yr 3'!S2:S1111)</f>
        <v>0</v>
      </c>
    </row>
    <row r="4" spans="1:9" x14ac:dyDescent="0.25">
      <c r="A4" s="10" t="s">
        <v>17</v>
      </c>
      <c r="B4" s="11">
        <f>SUMIF('Components Yr 3'!C2:C1111,A4,'Components Yr 3'!E2:E1111)</f>
        <v>0</v>
      </c>
      <c r="C4" s="11">
        <f>SUMIF('Components Yr 3'!C2:C1111,A4,'Components Yr 3'!F2:F1111)</f>
        <v>0</v>
      </c>
      <c r="D4" s="11">
        <f>SUMIF('Components Yr 3'!C2:C1111,A4,'Components Yr 3'!G2:G1111)</f>
        <v>0</v>
      </c>
      <c r="E4" s="11">
        <f>SUMIF('Components Yr 3'!C2:C1111,A4,'Components Yr 3'!H2:H1111)</f>
        <v>0</v>
      </c>
      <c r="F4" s="11">
        <f>SUMIF('Components Yr 3'!C2:C1111,A4,'Components Yr 3'!I2:I1111)</f>
        <v>0</v>
      </c>
      <c r="G4" s="11">
        <f>SUMIF('Components Yr 3'!C2:C1111,A4,'Components Yr 3'!J2:J1111)</f>
        <v>0</v>
      </c>
      <c r="H4" s="43">
        <f>SUMIF('Components Yr 3'!C2:C1111,A4,'Components Yr 3'!R2:R1111)</f>
        <v>0</v>
      </c>
      <c r="I4" s="11">
        <f>SUMIF('Components Yr 3'!C2:C1111,A4,'Components Yr 3'!S2:S1111)</f>
        <v>0</v>
      </c>
    </row>
    <row r="5" spans="1:9" x14ac:dyDescent="0.25">
      <c r="A5" s="14" t="s">
        <v>18</v>
      </c>
      <c r="B5" s="15">
        <f>SUMIF('Components Yr 3'!C2:C1111,A5,'Components Yr 3'!E2:E1111)</f>
        <v>0</v>
      </c>
      <c r="C5" s="15">
        <f>SUMIF('Components Yr 3'!C2:C1111,A5,'Components Yr 3'!F2:F1111)</f>
        <v>0</v>
      </c>
      <c r="D5" s="15">
        <f>SUMIF('Components Yr 3'!C2:C1111,A5,'Components Yr 3'!G2:G1111)</f>
        <v>0</v>
      </c>
      <c r="E5" s="15">
        <f>SUMIF('Components Yr 3'!C2:C1111,A5,'Components Yr 3'!H2:H1111)</f>
        <v>0</v>
      </c>
      <c r="F5" s="15">
        <f>SUMIF('Components Yr 3'!C2:C1111,A5,'Components Yr 3'!I2:I1111)</f>
        <v>0</v>
      </c>
      <c r="G5" s="15">
        <f>SUMIF('Components Yr 3'!C2:C1111,A5,'Components Yr 3'!J2:J1111)</f>
        <v>0</v>
      </c>
      <c r="H5" s="44">
        <f>SUMIF('Components Yr 3'!C2:C1111,A5,'Components Yr 3'!R2:R1111)</f>
        <v>0</v>
      </c>
      <c r="I5" s="15">
        <f>SUMIF('Components Yr 3'!C2:C1111,A5,'Components Yr 3'!S2:S1111)</f>
        <v>0</v>
      </c>
    </row>
    <row r="6" spans="1:9" x14ac:dyDescent="0.25">
      <c r="A6" s="10" t="s">
        <v>19</v>
      </c>
      <c r="B6" s="11">
        <f>SUMIF('Components Yr 3'!C2:C1111,A6,'Components Yr 3'!E2:E1111)</f>
        <v>0</v>
      </c>
      <c r="C6" s="11">
        <f>SUMIF('Components Yr 3'!C2:C1111,A6,'Components Yr 3'!F2:F1111)</f>
        <v>0</v>
      </c>
      <c r="D6" s="11">
        <f>SUMIF('Components Yr 3'!C2:C1111,A6,'Components Yr 3'!G2:G1111)</f>
        <v>0</v>
      </c>
      <c r="E6" s="11">
        <f>SUMIF('Components Yr 3'!C2:C1111,A6,'Components Yr 3'!H2:H1111)</f>
        <v>0</v>
      </c>
      <c r="F6" s="11">
        <f>SUMIF('Components Yr 3'!C2:C1111,A6,'Components Yr 3'!I2:I1111)</f>
        <v>0</v>
      </c>
      <c r="G6" s="11">
        <f>SUMIF('Components Yr 3'!C2:C1111,A6,'Components Yr 3'!J2:J1111)</f>
        <v>0</v>
      </c>
      <c r="H6" s="43">
        <f>SUMIF('Components Yr 3'!C2:C1111,A6,'Components Yr 3'!R2:R1111)</f>
        <v>0</v>
      </c>
      <c r="I6" s="11">
        <f>SUMIF('Components Yr 3'!C2:C1111,A6,'Components Yr 3'!S2:S1111)</f>
        <v>0</v>
      </c>
    </row>
    <row r="7" spans="1:9" x14ac:dyDescent="0.25">
      <c r="A7" s="14" t="s">
        <v>20</v>
      </c>
      <c r="B7" s="15">
        <f>SUMIF('Components Yr 3'!C2:C1111,A7,'Components Yr 3'!E2:E1111)</f>
        <v>0</v>
      </c>
      <c r="C7" s="15">
        <f>SUMIF('Components Yr 3'!C2:C1111,A7,'Components Yr 3'!F2:F1111)</f>
        <v>0</v>
      </c>
      <c r="D7" s="15">
        <f>SUMIF('Components Yr 3'!C2:C1111,A7,'Components Yr 3'!G2:G1111)</f>
        <v>0</v>
      </c>
      <c r="E7" s="15">
        <f>SUMIF('Components Yr 3'!C2:C1111,A7,'Components Yr 3'!H2:H1111)</f>
        <v>0</v>
      </c>
      <c r="F7" s="15">
        <f>SUMIF('Components Yr 3'!C2:C1111,A7,'Components Yr 3'!I2:I1111)</f>
        <v>0</v>
      </c>
      <c r="G7" s="15">
        <f>SUMIF('Components Yr 3'!C2:C1111,A7,'Components Yr 3'!J2:J1111)</f>
        <v>0</v>
      </c>
      <c r="H7" s="44">
        <f>SUMIF('Components Yr 3'!C2:C1111,A7,'Components Yr 3'!R2:R1111)</f>
        <v>0</v>
      </c>
      <c r="I7" s="15">
        <f>SUMIF('Components Yr 3'!C2:C1111,A7,'Components Yr 3'!S2:S1111)</f>
        <v>0</v>
      </c>
    </row>
    <row r="8" spans="1:9" x14ac:dyDescent="0.25">
      <c r="A8" s="10" t="s">
        <v>21</v>
      </c>
      <c r="B8" s="11">
        <f>SUMIF('Components Yr 3'!C2:C1111,A8,'Components Yr 3'!E2:E1111)</f>
        <v>0</v>
      </c>
      <c r="C8" s="11">
        <f>SUMIF('Components Yr 3'!C2:C1111,A8,'Components Yr 3'!F2:F1111)</f>
        <v>0</v>
      </c>
      <c r="D8" s="11">
        <f>SUMIF('Components Yr 3'!C2:C1111,A8,'Components Yr 3'!G2:G1111)</f>
        <v>0</v>
      </c>
      <c r="E8" s="11">
        <f>SUMIF('Components Yr 3'!C2:C1111,A8,'Components Yr 3'!H2:H1111)</f>
        <v>0</v>
      </c>
      <c r="F8" s="11">
        <f>SUMIF('Components Yr 3'!C2:C1111,A8,'Components Yr 3'!I2:I1111)</f>
        <v>0</v>
      </c>
      <c r="G8" s="11">
        <f>SUMIF('Components Yr 3'!C2:C1111,A8,'Components Yr 3'!J2:J1111)</f>
        <v>0</v>
      </c>
      <c r="H8" s="43">
        <f>SUMIF('Components Yr 3'!C2:C1111,A8,'Components Yr 3'!R2:R1111)</f>
        <v>0</v>
      </c>
      <c r="I8" s="11">
        <f>SUMIF('Components Yr 3'!C2:C1111,A8,'Components Yr 3'!S2:S1111)</f>
        <v>0</v>
      </c>
    </row>
    <row r="9" spans="1:9" x14ac:dyDescent="0.25">
      <c r="A9" s="14" t="s">
        <v>22</v>
      </c>
      <c r="B9" s="15">
        <f>SUMIF('Components Yr 3'!C2:C1111,A9,'Components Yr 3'!E2:E1111)</f>
        <v>0</v>
      </c>
      <c r="C9" s="15">
        <f>SUMIF('Components Yr 3'!C2:C1111,A9,'Components Yr 3'!F2:F1111)</f>
        <v>0</v>
      </c>
      <c r="D9" s="15">
        <f>SUMIF('Components Yr 3'!C2:C1111,A9,'Components Yr 3'!G2:G1111)</f>
        <v>0</v>
      </c>
      <c r="E9" s="15">
        <f>SUMIF('Components Yr 3'!C2:C1111,A9,'Components Yr 3'!H2:H1111)</f>
        <v>0</v>
      </c>
      <c r="F9" s="15">
        <f>SUMIF('Components Yr 3'!C2:C1111,A9,'Components Yr 3'!I2:I1111)</f>
        <v>0</v>
      </c>
      <c r="G9" s="15">
        <f>SUMIF('Components Yr 3'!C2:C1111,A9,'Components Yr 3'!J2:J1111)</f>
        <v>0</v>
      </c>
      <c r="H9" s="44">
        <f>SUMIF('Components Yr 3'!C2:C1111,A9,'Components Yr 3'!R2:R1111)</f>
        <v>0</v>
      </c>
      <c r="I9" s="15">
        <f>SUMIF('Components Yr 3'!C2:C1111,A9,'Components Yr 3'!S2:S1111)</f>
        <v>0</v>
      </c>
    </row>
    <row r="10" spans="1:9" x14ac:dyDescent="0.25">
      <c r="A10" s="10" t="s">
        <v>23</v>
      </c>
      <c r="B10" s="11">
        <f>SUMIF('Components Yr 3'!C2:C1111,A10,'Components Yr 3'!E2:E1111)</f>
        <v>0</v>
      </c>
      <c r="C10" s="11">
        <f>SUMIF('Components Yr 3'!C2:C1111,A10,'Components Yr 3'!F2:F1111)</f>
        <v>0</v>
      </c>
      <c r="D10" s="11">
        <f>SUMIF('Components Yr 3'!C2:C1111,A10,'Components Yr 3'!G2:G1111)</f>
        <v>0</v>
      </c>
      <c r="E10" s="11">
        <f>SUMIF('Components Yr 3'!C2:C1111,A10,'Components Yr 3'!H2:H1111)</f>
        <v>0</v>
      </c>
      <c r="F10" s="11">
        <f>SUMIF('Components Yr 3'!C2:C1111,A10,'Components Yr 3'!I2:I1111)</f>
        <v>0</v>
      </c>
      <c r="G10" s="11">
        <f>SUMIF('Components Yr 3'!C2:C1111,A10,'Components Yr 3'!J2:J1111)</f>
        <v>0</v>
      </c>
      <c r="H10" s="43">
        <f>SUMIF('Components Yr 3'!C2:C1111,A10,'Components Yr 3'!R2:R1111)</f>
        <v>0</v>
      </c>
      <c r="I10" s="11">
        <f>SUMIF('Components Yr 3'!C2:C1111,A10,'Components Yr 3'!S2:S1111)</f>
        <v>0</v>
      </c>
    </row>
    <row r="11" spans="1:9" x14ac:dyDescent="0.25">
      <c r="A11" s="14" t="s">
        <v>24</v>
      </c>
      <c r="B11" s="15">
        <f>SUMIF('Components Yr 3'!C2:C1111,A11,'Components Yr 3'!E2:E1111)</f>
        <v>0</v>
      </c>
      <c r="C11" s="15">
        <f>SUMIF('Components Yr 3'!C2:C1111,A11,'Components Yr 3'!F2:F1111)</f>
        <v>0</v>
      </c>
      <c r="D11" s="15">
        <f>SUMIF('Components Yr 3'!C2:C1111,A11,'Components Yr 3'!G2:G1111)</f>
        <v>0</v>
      </c>
      <c r="E11" s="15">
        <f>SUMIF('Components Yr 3'!C2:C1111,A11,'Components Yr 3'!H2:H1111)</f>
        <v>0</v>
      </c>
      <c r="F11" s="15">
        <f>SUMIF('Components Yr 3'!C2:C1111,A11,'Components Yr 3'!I2:I1111)</f>
        <v>0</v>
      </c>
      <c r="G11" s="15">
        <f>SUMIF('Components Yr 3'!C2:C1111,A11,'Components Yr 3'!J2:J1111)</f>
        <v>0</v>
      </c>
      <c r="H11" s="44">
        <f>SUMIF('Components Yr 3'!C2:C1111,A11,'Components Yr 3'!R2:R1111)</f>
        <v>0</v>
      </c>
      <c r="I11" s="15">
        <f>SUMIF('Components Yr 3'!C2:C1111,A11,'Components Yr 3'!S2:S1111)</f>
        <v>0</v>
      </c>
    </row>
    <row r="12" spans="1:9" x14ac:dyDescent="0.25">
      <c r="A12" s="10" t="s">
        <v>25</v>
      </c>
      <c r="B12" s="11">
        <f>SUMIF('Components Yr 3'!C2:C1111,A12,'Components Yr 3'!E2:E1111)</f>
        <v>0</v>
      </c>
      <c r="C12" s="11">
        <f>SUMIF('Components Yr 3'!C2:C1111,A12,'Components Yr 3'!F2:F1111)</f>
        <v>0</v>
      </c>
      <c r="D12" s="11">
        <f>SUMIF('Components Yr 3'!C2:C1111,A12,'Components Yr 3'!G2:G1111)</f>
        <v>0</v>
      </c>
      <c r="E12" s="11">
        <f>SUMIF('Components Yr 3'!C2:C1111,A12,'Components Yr 3'!H2:H1111)</f>
        <v>0</v>
      </c>
      <c r="F12" s="11">
        <f>SUMIF('Components Yr 3'!C2:C1111,A12,'Components Yr 3'!I2:I1111)</f>
        <v>0</v>
      </c>
      <c r="G12" s="11">
        <f>SUMIF('Components Yr 3'!C2:C1111,A12,'Components Yr 3'!J2:J1111)</f>
        <v>0</v>
      </c>
      <c r="H12" s="43">
        <f>SUMIF('Components Yr 3'!C2:C1111,A12,'Components Yr 3'!R2:R1111)</f>
        <v>0</v>
      </c>
      <c r="I12" s="11">
        <f>SUMIF('Components Yr 3'!C2:C1111,A12,'Components Yr 3'!S2:S1111)</f>
        <v>0</v>
      </c>
    </row>
    <row r="13" spans="1:9" x14ac:dyDescent="0.25">
      <c r="A13" s="14" t="s">
        <v>26</v>
      </c>
      <c r="B13" s="15">
        <f>SUMIF('Components Yr 3'!C2:C1111,A13,'Components Yr 3'!E2:E1111)</f>
        <v>0</v>
      </c>
      <c r="C13" s="15">
        <f>SUMIF('Components Yr 3'!C2:C1111,A13,'Components Yr 3'!F2:F1111)</f>
        <v>0</v>
      </c>
      <c r="D13" s="15">
        <f>SUMIF('Components Yr 3'!C2:C1111,A13,'Components Yr 3'!G2:G1111)</f>
        <v>0</v>
      </c>
      <c r="E13" s="15">
        <f>SUMIF('Components Yr 3'!C2:C1111,A13,'Components Yr 3'!H2:H1111)</f>
        <v>0</v>
      </c>
      <c r="F13" s="15">
        <f>SUMIF('Components Yr 3'!C2:C1111,A13,'Components Yr 3'!I2:I1111)</f>
        <v>0</v>
      </c>
      <c r="G13" s="15">
        <f>SUMIF('Components Yr 3'!C2:C1111,A13,'Components Yr 3'!J2:J1111)</f>
        <v>0</v>
      </c>
      <c r="H13" s="44">
        <f>SUMIF('Components Yr 3'!C2:C1111,A13,'Components Yr 3'!R2:R1111)</f>
        <v>0</v>
      </c>
      <c r="I13" s="15">
        <f>SUMIF('Components Yr 3'!C2:C1111,A13,'Components Yr 3'!S2:S1111)</f>
        <v>0</v>
      </c>
    </row>
    <row r="14" spans="1:9" x14ac:dyDescent="0.25">
      <c r="A14" s="10" t="s">
        <v>27</v>
      </c>
      <c r="B14" s="11">
        <f>SUMIF('Components Yr 3'!C2:C1111,A14,'Components Yr 3'!E2:E1111)</f>
        <v>0</v>
      </c>
      <c r="C14" s="11">
        <f>SUMIF('Components Yr 3'!C2:C1111,A14,'Components Yr 3'!F2:F1111)</f>
        <v>0</v>
      </c>
      <c r="D14" s="11">
        <f>SUMIF('Components Yr 3'!C2:C1111,A14,'Components Yr 3'!G2:G1111)</f>
        <v>0</v>
      </c>
      <c r="E14" s="11">
        <f>SUMIF('Components Yr 3'!C2:C1111,A14,'Components Yr 3'!H2:H1111)</f>
        <v>0</v>
      </c>
      <c r="F14" s="11">
        <f>SUMIF('Components Yr 3'!C2:C1111,A14,'Components Yr 3'!I2:I1111)</f>
        <v>0</v>
      </c>
      <c r="G14" s="11">
        <f>SUMIF('Components Yr 3'!C2:C1111,A14,'Components Yr 3'!J2:J1111)</f>
        <v>0</v>
      </c>
      <c r="H14" s="43">
        <f>SUMIF('Components Yr 3'!C2:C1111,A14,'Components Yr 3'!R2:R1111)</f>
        <v>0</v>
      </c>
      <c r="I14" s="11">
        <f>SUMIF('Components Yr 3'!C2:C1111,A14,'Components Yr 3'!S2:S1111)</f>
        <v>0</v>
      </c>
    </row>
    <row r="15" spans="1:9" x14ac:dyDescent="0.25">
      <c r="A15" s="14" t="s">
        <v>28</v>
      </c>
      <c r="B15" s="15">
        <f>SUMIF('Components Yr 3'!C2:C1111,A15,'Components Yr 3'!E2:E1111)</f>
        <v>0</v>
      </c>
      <c r="C15" s="15">
        <f>SUMIF('Components Yr 3'!C2:C1111,A15,'Components Yr 3'!F2:F1111)</f>
        <v>0</v>
      </c>
      <c r="D15" s="15">
        <f>SUMIF('Components Yr 3'!C2:C1111,A15,'Components Yr 3'!G2:G1111)</f>
        <v>0</v>
      </c>
      <c r="E15" s="15">
        <f>SUMIF('Components Yr 3'!C2:C1111,A15,'Components Yr 3'!H2:H1111)</f>
        <v>0</v>
      </c>
      <c r="F15" s="15">
        <f>SUMIF('Components Yr 3'!C2:C1111,A15,'Components Yr 3'!I2:I1111)</f>
        <v>0</v>
      </c>
      <c r="G15" s="15">
        <f>SUMIF('Components Yr 3'!C2:C1111,A15,'Components Yr 3'!J2:J1111)</f>
        <v>0</v>
      </c>
      <c r="H15" s="44">
        <f>SUMIF('Components Yr 3'!C2:C1111,A15,'Components Yr 3'!R2:R1111)</f>
        <v>0</v>
      </c>
      <c r="I15" s="15">
        <f>SUMIF('Components Yr 3'!C2:C1111,A15,'Components Yr 3'!S2:S1111)</f>
        <v>0</v>
      </c>
    </row>
    <row r="16" spans="1:9" x14ac:dyDescent="0.25">
      <c r="A16" s="10" t="s">
        <v>29</v>
      </c>
      <c r="B16" s="11">
        <f>SUMIF('Components Yr 3'!C2:C1111,A16,'Components Yr 3'!E2:E1111)</f>
        <v>0</v>
      </c>
      <c r="C16" s="11">
        <f>SUMIF('Components Yr 3'!C2:C1111,A16,'Components Yr 3'!F2:F1111)</f>
        <v>0</v>
      </c>
      <c r="D16" s="11">
        <f>SUMIF('Components Yr 3'!C2:C1111,A16,'Components Yr 3'!G2:G1111)</f>
        <v>0</v>
      </c>
      <c r="E16" s="11">
        <f>SUMIF('Components Yr 3'!C2:C1111,A16,'Components Yr 3'!H2:H1111)</f>
        <v>0</v>
      </c>
      <c r="F16" s="11">
        <f>SUMIF('Components Yr 3'!C2:C1111,A16,'Components Yr 3'!I2:I1111)</f>
        <v>0</v>
      </c>
      <c r="G16" s="11">
        <f>SUMIF('Components Yr 3'!C2:C1111,A16,'Components Yr 3'!J2:J1111)</f>
        <v>0</v>
      </c>
      <c r="H16" s="43">
        <f>SUMIF('Components Yr 3'!C2:C1111,A16,'Components Yr 3'!R2:R1111)</f>
        <v>0</v>
      </c>
      <c r="I16" s="11">
        <f>SUMIF('Components Yr 3'!C2:C1111,A16,'Components Yr 3'!S2:S1111)</f>
        <v>0</v>
      </c>
    </row>
    <row r="17" spans="1:9" x14ac:dyDescent="0.25">
      <c r="A17" s="14" t="s">
        <v>30</v>
      </c>
      <c r="B17" s="15">
        <f>SUMIF('Components Yr 3'!C2:C1111,A17,'Components Yr 3'!E2:E1111)</f>
        <v>0</v>
      </c>
      <c r="C17" s="15">
        <f>SUMIF('Components Yr 3'!C2:C1111,A17,'Components Yr 3'!F2:F1111)</f>
        <v>0</v>
      </c>
      <c r="D17" s="15">
        <f>SUMIF('Components Yr 3'!C2:C1111,A17,'Components Yr 3'!G2:G1111)</f>
        <v>0</v>
      </c>
      <c r="E17" s="15">
        <f>SUMIF('Components Yr 3'!C2:C1111,A17,'Components Yr 3'!H2:H1111)</f>
        <v>0</v>
      </c>
      <c r="F17" s="15">
        <f>SUMIF('Components Yr 3'!C2:C1111,A17,'Components Yr 3'!I2:I1111)</f>
        <v>0</v>
      </c>
      <c r="G17" s="15">
        <f>SUMIF('Components Yr 3'!C2:C1111,A17,'Components Yr 3'!J2:J1111)</f>
        <v>0</v>
      </c>
      <c r="H17" s="44">
        <f>SUMIF('Components Yr 3'!C2:C1111,A17,'Components Yr 3'!R2:R1111)</f>
        <v>0</v>
      </c>
      <c r="I17" s="15">
        <f>SUMIF('Components Yr 3'!C2:C1111,A17,'Components Yr 3'!S2:S1111)</f>
        <v>0</v>
      </c>
    </row>
    <row r="18" spans="1:9" x14ac:dyDescent="0.25">
      <c r="A18" s="10" t="s">
        <v>31</v>
      </c>
      <c r="B18" s="11">
        <f>SUMIF('Components Yr 3'!C2:C1111,A18,'Components Yr 3'!E2:E1111)</f>
        <v>0</v>
      </c>
      <c r="C18" s="11">
        <f>SUMIF('Components Yr 3'!C2:C1111,A18,'Components Yr 3'!F2:F1111)</f>
        <v>0</v>
      </c>
      <c r="D18" s="11">
        <f>SUMIF('Components Yr 3'!C2:C1111,A18,'Components Yr 3'!G2:G1111)</f>
        <v>0</v>
      </c>
      <c r="E18" s="11">
        <f>SUMIF('Components Yr 3'!C2:C1111,A18,'Components Yr 3'!H2:H1111)</f>
        <v>0</v>
      </c>
      <c r="F18" s="11">
        <f>SUMIF('Components Yr 3'!C2:C1111,A18,'Components Yr 3'!I2:I1111)</f>
        <v>0</v>
      </c>
      <c r="G18" s="11">
        <f>SUMIF('Components Yr 3'!C2:C1111,A18,'Components Yr 3'!J2:J1111)</f>
        <v>0</v>
      </c>
      <c r="H18" s="43">
        <f>SUMIF('Components Yr 3'!C2:C1111,A18,'Components Yr 3'!R2:R1111)</f>
        <v>0</v>
      </c>
      <c r="I18" s="11">
        <f>SUMIF('Components Yr 3'!C2:C1111,A18,'Components Yr 3'!S2:S1111)</f>
        <v>0</v>
      </c>
    </row>
    <row r="19" spans="1:9" x14ac:dyDescent="0.25">
      <c r="A19" s="14" t="s">
        <v>32</v>
      </c>
      <c r="B19" s="15">
        <f>SUMIF('Components Yr 3'!C2:C1111,A19,'Components Yr 3'!E2:E1111)</f>
        <v>0</v>
      </c>
      <c r="C19" s="15">
        <f>SUMIF('Components Yr 3'!C2:C1111,A19,'Components Yr 3'!F2:F1111)</f>
        <v>0</v>
      </c>
      <c r="D19" s="15">
        <f>SUMIF('Components Yr 3'!C2:C1111,A19,'Components Yr 3'!G2:G1111)</f>
        <v>0</v>
      </c>
      <c r="E19" s="15">
        <f>SUMIF('Components Yr 3'!C2:C1111,A19,'Components Yr 3'!H2:H1111)</f>
        <v>0</v>
      </c>
      <c r="F19" s="15">
        <f>SUMIF('Components Yr 3'!C2:C1111,A19,'Components Yr 3'!I2:I1111)</f>
        <v>0</v>
      </c>
      <c r="G19" s="15">
        <f>SUMIF('Components Yr 3'!C2:C1111,A19,'Components Yr 3'!J2:J1111)</f>
        <v>0</v>
      </c>
      <c r="H19" s="44">
        <f>SUMIF('Components Yr 3'!C2:C1111,A19,'Components Yr 3'!R2:R1111)</f>
        <v>0</v>
      </c>
      <c r="I19" s="15">
        <f>SUMIF('Components Yr 3'!C2:C1111,A19,'Components Yr 3'!S2:S1111)</f>
        <v>0</v>
      </c>
    </row>
    <row r="20" spans="1:9" x14ac:dyDescent="0.25">
      <c r="A20" s="10" t="s">
        <v>33</v>
      </c>
      <c r="B20" s="11">
        <f>SUMIF('Components Yr 3'!C2:C1111,A20,'Components Yr 3'!E2:E1111)</f>
        <v>0</v>
      </c>
      <c r="C20" s="11">
        <f>SUMIF('Components Yr 3'!C2:C1111,A20,'Components Yr 3'!F2:F1111)</f>
        <v>0</v>
      </c>
      <c r="D20" s="11">
        <f>SUMIF('Components Yr 3'!C2:C1111,A20,'Components Yr 3'!G2:G1111)</f>
        <v>0</v>
      </c>
      <c r="E20" s="11">
        <f>SUMIF('Components Yr 3'!C2:C1111,A20,'Components Yr 3'!H2:H1111)</f>
        <v>0</v>
      </c>
      <c r="F20" s="11">
        <f>SUMIF('Components Yr 3'!C2:C1111,A20,'Components Yr 3'!I2:I1111)</f>
        <v>0</v>
      </c>
      <c r="G20" s="11">
        <f>SUMIF('Components Yr 3'!C2:C1111,A20,'Components Yr 3'!J2:J1111)</f>
        <v>0</v>
      </c>
      <c r="H20" s="43">
        <f>SUMIF('Components Yr 3'!C2:C1111,A20,'Components Yr 3'!R2:R1111)</f>
        <v>0</v>
      </c>
      <c r="I20" s="11">
        <f>SUMIF('Components Yr 3'!C2:C1111,A20,'Components Yr 3'!S2:S1111)</f>
        <v>0</v>
      </c>
    </row>
    <row r="21" spans="1:9" x14ac:dyDescent="0.25">
      <c r="A21" s="14" t="s">
        <v>34</v>
      </c>
      <c r="B21" s="15">
        <f>SUMIF('Components Yr 3'!C2:C1111,A21,'Components Yr 3'!E2:E1111)</f>
        <v>0</v>
      </c>
      <c r="C21" s="15">
        <f>SUMIF('Components Yr 3'!C2:C1111,A21,'Components Yr 3'!F2:F1111)</f>
        <v>0</v>
      </c>
      <c r="D21" s="15">
        <f>SUMIF('Components Yr 3'!C2:C1111,A21,'Components Yr 3'!G2:G1111)</f>
        <v>0</v>
      </c>
      <c r="E21" s="15">
        <f>SUMIF('Components Yr 3'!C2:C1111,A21,'Components Yr 3'!H2:H1111)</f>
        <v>0</v>
      </c>
      <c r="F21" s="15">
        <f>SUMIF('Components Yr 3'!C2:C1111,A21,'Components Yr 3'!I2:I1111)</f>
        <v>0</v>
      </c>
      <c r="G21" s="15">
        <f>SUMIF('Components Yr 3'!C2:C1111,A21,'Components Yr 3'!J2:J1111)</f>
        <v>0</v>
      </c>
      <c r="H21" s="44">
        <f>SUMIF('Components Yr 3'!C2:C1111,A21,'Components Yr 3'!R2:R1111)</f>
        <v>0</v>
      </c>
      <c r="I21" s="15">
        <f>SUMIF('Components Yr 3'!C2:C1111,A21,'Components Yr 3'!S2:S1111)</f>
        <v>0</v>
      </c>
    </row>
    <row r="22" spans="1:9" x14ac:dyDescent="0.25">
      <c r="A22" s="10" t="s">
        <v>35</v>
      </c>
      <c r="B22" s="11">
        <f>SUMIF('Components Yr 3'!C2:C1111,A22,'Components Yr 3'!E2:E1111)</f>
        <v>0</v>
      </c>
      <c r="C22" s="11">
        <f>SUMIF('Components Yr 3'!C2:C1111,A22,'Components Yr 3'!F2:F1111)</f>
        <v>0</v>
      </c>
      <c r="D22" s="11">
        <f>SUMIF('Components Yr 3'!C2:C1111,A22,'Components Yr 3'!G2:G1111)</f>
        <v>0</v>
      </c>
      <c r="E22" s="11">
        <f>SUMIF('Components Yr 3'!C2:C1111,A22,'Components Yr 3'!H2:H1111)</f>
        <v>0</v>
      </c>
      <c r="F22" s="11">
        <f>SUMIF('Components Yr 3'!C2:C1111,A22,'Components Yr 3'!I2:I1111)</f>
        <v>0</v>
      </c>
      <c r="G22" s="11">
        <f>SUMIF('Components Yr 3'!C2:C1111,A22,'Components Yr 3'!J2:J1111)</f>
        <v>0</v>
      </c>
      <c r="H22" s="43">
        <f>SUMIF('Components Yr 3'!C2:C1111,A22,'Components Yr 3'!R2:R1111)</f>
        <v>0</v>
      </c>
      <c r="I22" s="11">
        <f>SUMIF('Components Yr 3'!C2:C1111,A22,'Components Yr 3'!S2:S1111)</f>
        <v>0</v>
      </c>
    </row>
    <row r="23" spans="1:9" x14ac:dyDescent="0.25">
      <c r="A23" s="14" t="s">
        <v>36</v>
      </c>
      <c r="B23" s="15">
        <f>SUMIF('Components Yr 3'!C2:C1111,A23,'Components Yr 3'!E2:E1111)</f>
        <v>0</v>
      </c>
      <c r="C23" s="15">
        <f>SUMIF('Components Yr 3'!C2:C1111,A23,'Components Yr 3'!F2:F1111)</f>
        <v>0</v>
      </c>
      <c r="D23" s="15">
        <f>SUMIF('Components Yr 3'!C2:C1111,A23,'Components Yr 3'!G2:G1111)</f>
        <v>0</v>
      </c>
      <c r="E23" s="15">
        <f>SUMIF('Components Yr 3'!C2:C1111,A23,'Components Yr 3'!H2:H1111)</f>
        <v>0</v>
      </c>
      <c r="F23" s="15">
        <f>SUMIF('Components Yr 3'!C2:C1111,A23,'Components Yr 3'!I2:I1111)</f>
        <v>0</v>
      </c>
      <c r="G23" s="15">
        <f>SUMIF('Components Yr 3'!C2:C1111,A23,'Components Yr 3'!J2:J1111)</f>
        <v>0</v>
      </c>
      <c r="H23" s="44">
        <f>SUMIF('Components Yr 3'!C2:C1111,A23,'Components Yr 3'!R2:R1111)</f>
        <v>0</v>
      </c>
      <c r="I23" s="15">
        <f>SUMIF('Components Yr 3'!C2:C1111,A23,'Components Yr 3'!S2:S1111)</f>
        <v>0</v>
      </c>
    </row>
    <row r="24" spans="1:9" x14ac:dyDescent="0.25">
      <c r="A24" s="10" t="s">
        <v>37</v>
      </c>
      <c r="B24" s="11">
        <f>SUMIF('Components Yr 3'!C2:C1111,A24,'Components Yr 3'!E2:E1111)</f>
        <v>0</v>
      </c>
      <c r="C24" s="11">
        <f>SUMIF('Components Yr 3'!C2:C1111,A24,'Components Yr 3'!F2:F1111)</f>
        <v>0</v>
      </c>
      <c r="D24" s="11">
        <f>SUMIF('Components Yr 3'!C2:C1111,A24,'Components Yr 3'!G2:G1111)</f>
        <v>0</v>
      </c>
      <c r="E24" s="11">
        <f>SUMIF('Components Yr 3'!C2:C1111,A24,'Components Yr 3'!H2:H1111)</f>
        <v>0</v>
      </c>
      <c r="F24" s="11">
        <f>SUMIF('Components Yr 3'!C2:C1111,A24,'Components Yr 3'!I2:I1111)</f>
        <v>0</v>
      </c>
      <c r="G24" s="11">
        <f>SUMIF('Components Yr 3'!C2:C1111,A24,'Components Yr 3'!J2:J1111)</f>
        <v>0</v>
      </c>
      <c r="H24" s="43">
        <f>SUMIF('Components Yr 3'!C2:C1111,A24,'Components Yr 3'!R2:R1111)</f>
        <v>0</v>
      </c>
      <c r="I24" s="11">
        <f>SUMIF('Components Yr 3'!C2:C1111,A24,'Components Yr 3'!S2:S1111)</f>
        <v>0</v>
      </c>
    </row>
    <row r="25" spans="1:9" x14ac:dyDescent="0.25">
      <c r="A25" s="14" t="s">
        <v>38</v>
      </c>
      <c r="B25" s="15">
        <f>SUMIF('Components Yr 3'!C2:C1111,A25,'Components Yr 3'!E2:E1111)</f>
        <v>0</v>
      </c>
      <c r="C25" s="15">
        <f>SUMIF('Components Yr 3'!C2:C1111,A25,'Components Yr 3'!F2:F1111)</f>
        <v>0</v>
      </c>
      <c r="D25" s="15">
        <f>SUMIF('Components Yr 3'!C2:C1111,A25,'Components Yr 3'!G2:G1111)</f>
        <v>0</v>
      </c>
      <c r="E25" s="15">
        <f>SUMIF('Components Yr 3'!C2:C1111,A25,'Components Yr 3'!H2:H1111)</f>
        <v>0</v>
      </c>
      <c r="F25" s="15">
        <f>SUMIF('Components Yr 3'!C2:C1111,A25,'Components Yr 3'!I2:I1111)</f>
        <v>0</v>
      </c>
      <c r="G25" s="15">
        <f>SUMIF('Components Yr 3'!C2:C1111,A25,'Components Yr 3'!J2:J1111)</f>
        <v>0</v>
      </c>
      <c r="H25" s="44">
        <f>SUMIF('Components Yr 3'!C2:C1111,A25,'Components Yr 3'!R2:R1111)</f>
        <v>0</v>
      </c>
      <c r="I25" s="15">
        <f>SUMIF('Components Yr 3'!C2:C1111,A25,'Components Yr 3'!S2:S1111)</f>
        <v>0</v>
      </c>
    </row>
    <row r="26" spans="1:9" x14ac:dyDescent="0.25">
      <c r="A26" s="10" t="s">
        <v>39</v>
      </c>
      <c r="B26" s="11">
        <f>SUMIF('Components Yr 3'!C2:C1111,A26,'Components Yr 3'!E2:E1111)</f>
        <v>0</v>
      </c>
      <c r="C26" s="11">
        <f>SUMIF('Components Yr 3'!C2:C1111,A26,'Components Yr 3'!F2:F1111)</f>
        <v>0</v>
      </c>
      <c r="D26" s="11">
        <f>SUMIF('Components Yr 3'!C2:C1111,A26,'Components Yr 3'!G2:G1111)</f>
        <v>0</v>
      </c>
      <c r="E26" s="11">
        <f>SUMIF('Components Yr 3'!C2:C1111,A26,'Components Yr 3'!H2:H1111)</f>
        <v>0</v>
      </c>
      <c r="F26" s="11">
        <f>SUMIF('Components Yr 3'!C2:C1111,A26,'Components Yr 3'!I2:I1111)</f>
        <v>0</v>
      </c>
      <c r="G26" s="11">
        <f>SUMIF('Components Yr 3'!C2:C1111,A26,'Components Yr 3'!J2:J1111)</f>
        <v>0</v>
      </c>
      <c r="H26" s="43">
        <f>SUMIF('Components Yr 3'!C2:C1111,A26,'Components Yr 3'!R2:R1111)</f>
        <v>0</v>
      </c>
      <c r="I26" s="11">
        <f>SUMIF('Components Yr 3'!C2:C1111,A26,'Components Yr 3'!S2:S1111)</f>
        <v>0</v>
      </c>
    </row>
    <row r="27" spans="1:9" x14ac:dyDescent="0.25">
      <c r="A27" s="14" t="s">
        <v>40</v>
      </c>
      <c r="B27" s="15">
        <f>SUMIF('Components Yr 3'!C2:C1111,A27,'Components Yr 3'!E2:E1111)</f>
        <v>0</v>
      </c>
      <c r="C27" s="15">
        <f>SUMIF('Components Yr 3'!C2:C1111,A27,'Components Yr 3'!F2:F1111)</f>
        <v>0</v>
      </c>
      <c r="D27" s="15">
        <f>SUMIF('Components Yr 3'!C2:C1111,A27,'Components Yr 3'!G2:G1111)</f>
        <v>0</v>
      </c>
      <c r="E27" s="15">
        <f>SUMIF('Components Yr 3'!C2:C1111,A27,'Components Yr 3'!H2:H1111)</f>
        <v>0</v>
      </c>
      <c r="F27" s="15">
        <f>SUMIF('Components Yr 3'!C2:C1111,A27,'Components Yr 3'!I2:I1111)</f>
        <v>0</v>
      </c>
      <c r="G27" s="15">
        <f>SUMIF('Components Yr 3'!C2:C1111,A27,'Components Yr 3'!J2:J1111)</f>
        <v>0</v>
      </c>
      <c r="H27" s="44">
        <f>SUMIF('Components Yr 3'!C2:C1111,A27,'Components Yr 3'!R2:R1111)</f>
        <v>0</v>
      </c>
      <c r="I27" s="15">
        <f>SUMIF('Components Yr 3'!C2:C1111,A27,'Components Yr 3'!S2:S1111)</f>
        <v>0</v>
      </c>
    </row>
    <row r="28" spans="1:9" x14ac:dyDescent="0.25">
      <c r="A28" s="10" t="s">
        <v>41</v>
      </c>
      <c r="B28" s="11">
        <f>SUMIF('Components Yr 3'!C2:C1111,A28,'Components Yr 3'!E2:E1111)</f>
        <v>0</v>
      </c>
      <c r="C28" s="11">
        <f>SUMIF('Components Yr 3'!C2:C1111,A28,'Components Yr 3'!F2:F1111)</f>
        <v>0</v>
      </c>
      <c r="D28" s="11">
        <f>SUMIF('Components Yr 3'!C2:C1111,A28,'Components Yr 3'!G2:G1111)</f>
        <v>0</v>
      </c>
      <c r="E28" s="11">
        <f>SUMIF('Components Yr 3'!C2:C1111,A28,'Components Yr 3'!H2:H1111)</f>
        <v>0</v>
      </c>
      <c r="F28" s="11">
        <f>SUMIF('Components Yr 3'!C2:C1111,A28,'Components Yr 3'!I2:I1111)</f>
        <v>0</v>
      </c>
      <c r="G28" s="11">
        <f>SUMIF('Components Yr 3'!C2:C1111,A28,'Components Yr 3'!J2:J1111)</f>
        <v>0</v>
      </c>
      <c r="H28" s="43">
        <f>SUMIF('Components Yr 3'!C2:C1111,A28,'Components Yr 3'!R2:R1111)</f>
        <v>0</v>
      </c>
      <c r="I28" s="11">
        <f>SUMIF('Components Yr 3'!C2:C1111,A28,'Components Yr 3'!S2:S1111)</f>
        <v>0</v>
      </c>
    </row>
    <row r="29" spans="1:9" x14ac:dyDescent="0.25">
      <c r="A29" s="14" t="s">
        <v>42</v>
      </c>
      <c r="B29" s="15">
        <f>SUMIF('Components Yr 3'!C2:C1111,A29,'Components Yr 3'!E2:E1111)</f>
        <v>0</v>
      </c>
      <c r="C29" s="15">
        <f>SUMIF('Components Yr 3'!C2:C1111,A29,'Components Yr 3'!F2:F1111)</f>
        <v>0</v>
      </c>
      <c r="D29" s="15">
        <f>SUMIF('Components Yr 3'!C2:C1111,A29,'Components Yr 3'!G2:G1111)</f>
        <v>0</v>
      </c>
      <c r="E29" s="15">
        <f>SUMIF('Components Yr 3'!C2:C1111,A29,'Components Yr 3'!H2:H1111)</f>
        <v>0</v>
      </c>
      <c r="F29" s="15">
        <f>SUMIF('Components Yr 3'!C2:C1111,A29,'Components Yr 3'!I2:I1111)</f>
        <v>0</v>
      </c>
      <c r="G29" s="15">
        <f>SUMIF('Components Yr 3'!C2:C1111,A29,'Components Yr 3'!J2:J1111)</f>
        <v>0</v>
      </c>
      <c r="H29" s="44">
        <f>SUMIF('Components Yr 3'!C2:C1111,A29,'Components Yr 3'!R2:R1111)</f>
        <v>0</v>
      </c>
      <c r="I29" s="15">
        <f>SUMIF('Components Yr 3'!C2:C1111,A29,'Components Yr 3'!S2:S1111)</f>
        <v>0</v>
      </c>
    </row>
    <row r="30" spans="1:9" x14ac:dyDescent="0.25">
      <c r="A30" s="10" t="s">
        <v>43</v>
      </c>
      <c r="B30" s="11">
        <f>SUMIF('Components Yr 3'!C2:C1111,A30,'Components Yr 3'!E2:E1111)</f>
        <v>0</v>
      </c>
      <c r="C30" s="11">
        <f>SUMIF('Components Yr 3'!C2:C1111,A30,'Components Yr 3'!F2:F1111)</f>
        <v>0</v>
      </c>
      <c r="D30" s="11">
        <f>SUMIF('Components Yr 3'!C2:C1111,A30,'Components Yr 3'!G2:G1111)</f>
        <v>0</v>
      </c>
      <c r="E30" s="11">
        <f>SUMIF('Components Yr 3'!C2:C1111,A30,'Components Yr 3'!H2:H1111)</f>
        <v>0</v>
      </c>
      <c r="F30" s="11">
        <f>SUMIF('Components Yr 3'!C2:C1111,A30,'Components Yr 3'!I2:I1111)</f>
        <v>0</v>
      </c>
      <c r="G30" s="11">
        <f>SUMIF('Components Yr 3'!C2:C1111,A30,'Components Yr 3'!J2:J1111)</f>
        <v>0</v>
      </c>
      <c r="H30" s="43">
        <f>SUMIF('Components Yr 3'!C2:C1111,A30,'Components Yr 3'!R2:R1111)</f>
        <v>0</v>
      </c>
      <c r="I30" s="11">
        <f>SUMIF('Components Yr 3'!C2:C1111,A30,'Components Yr 3'!S2:S1111)</f>
        <v>0</v>
      </c>
    </row>
    <row r="31" spans="1:9" x14ac:dyDescent="0.25">
      <c r="A31" s="14" t="s">
        <v>44</v>
      </c>
      <c r="B31" s="15">
        <f>SUMIF('Components Yr 3'!C2:C1111,A31,'Components Yr 3'!E2:E1111)</f>
        <v>0</v>
      </c>
      <c r="C31" s="15">
        <f>SUMIF('Components Yr 3'!C2:C1111,A31,'Components Yr 3'!F2:F1111)</f>
        <v>0</v>
      </c>
      <c r="D31" s="15">
        <f>SUMIF('Components Yr 3'!C2:C1111,A31,'Components Yr 3'!G2:G1111)</f>
        <v>0</v>
      </c>
      <c r="E31" s="15">
        <f>SUMIF('Components Yr 3'!C2:C1111,A31,'Components Yr 3'!H2:H1111)</f>
        <v>0</v>
      </c>
      <c r="F31" s="15">
        <f>SUMIF('Components Yr 3'!C2:C1111,A31,'Components Yr 3'!I2:I1111)</f>
        <v>0</v>
      </c>
      <c r="G31" s="15">
        <f>SUMIF('Components Yr 3'!C2:C1111,A31,'Components Yr 3'!J2:J1111)</f>
        <v>0</v>
      </c>
      <c r="H31" s="44">
        <f>SUMIF('Components Yr 3'!C2:C1111,A31,'Components Yr 3'!R2:R1111)</f>
        <v>0</v>
      </c>
      <c r="I31" s="15">
        <f>SUMIF('Components Yr 3'!C2:C1111,A31,'Components Yr 3'!S2:S1111)</f>
        <v>0</v>
      </c>
    </row>
    <row r="32" spans="1:9" x14ac:dyDescent="0.25">
      <c r="A32" s="10" t="s">
        <v>45</v>
      </c>
      <c r="B32" s="11">
        <f>SUMIF('Components Yr 3'!C2:C1111,A32,'Components Yr 3'!E2:E1111)</f>
        <v>0</v>
      </c>
      <c r="C32" s="11">
        <f>SUMIF('Components Yr 3'!C2:C1111,A32,'Components Yr 3'!F2:F1111)</f>
        <v>0</v>
      </c>
      <c r="D32" s="11">
        <f>SUMIF('Components Yr 3'!C2:C1111,A32,'Components Yr 3'!G2:G1111)</f>
        <v>0</v>
      </c>
      <c r="E32" s="11">
        <f>SUMIF('Components Yr 3'!C2:C1111,A32,'Components Yr 3'!H2:H1111)</f>
        <v>0</v>
      </c>
      <c r="F32" s="11">
        <f>SUMIF('Components Yr 3'!C2:C1111,A32,'Components Yr 3'!I2:I1111)</f>
        <v>0</v>
      </c>
      <c r="G32" s="11">
        <f>SUMIF('Components Yr 3'!C2:C1111,A32,'Components Yr 3'!J2:J1111)</f>
        <v>0</v>
      </c>
      <c r="H32" s="43">
        <f>SUMIF('Components Yr 3'!C2:C1111,A32,'Components Yr 3'!R2:R1111)</f>
        <v>0</v>
      </c>
      <c r="I32" s="11">
        <f>SUMIF('Components Yr 3'!C2:C1111,A32,'Components Yr 3'!S2:S1111)</f>
        <v>0</v>
      </c>
    </row>
    <row r="33" spans="1:9" x14ac:dyDescent="0.25">
      <c r="A33" s="14" t="s">
        <v>46</v>
      </c>
      <c r="B33" s="15">
        <f>SUMIF('Components Yr 3'!C2:C1111,A33,'Components Yr 3'!E2:E1111)</f>
        <v>0</v>
      </c>
      <c r="C33" s="15">
        <f>SUMIF('Components Yr 3'!C2:C1111,A33,'Components Yr 3'!F2:F1111)</f>
        <v>0</v>
      </c>
      <c r="D33" s="15">
        <f>SUMIF('Components Yr 3'!C2:C1111,A33,'Components Yr 3'!G2:G1111)</f>
        <v>0</v>
      </c>
      <c r="E33" s="15">
        <f>SUMIF('Components Yr 3'!C2:C1111,A33,'Components Yr 3'!H2:H1111)</f>
        <v>0</v>
      </c>
      <c r="F33" s="15">
        <f>SUMIF('Components Yr 3'!C2:C1111,A33,'Components Yr 3'!I2:I1111)</f>
        <v>0</v>
      </c>
      <c r="G33" s="15">
        <f>SUMIF('Components Yr 3'!C2:C1111,A33,'Components Yr 3'!J2:J1111)</f>
        <v>0</v>
      </c>
      <c r="H33" s="44">
        <f>SUMIF('Components Yr 3'!C2:C1111,A33,'Components Yr 3'!R2:R1111)</f>
        <v>0</v>
      </c>
      <c r="I33" s="15">
        <f>SUMIF('Components Yr 3'!C2:C1111,A33,'Components Yr 3'!S2:S1111)</f>
        <v>0</v>
      </c>
    </row>
    <row r="34" spans="1:9" x14ac:dyDescent="0.25">
      <c r="A34" s="10" t="s">
        <v>47</v>
      </c>
      <c r="B34" s="11">
        <f>SUMIF('Components Yr 3'!C2:C1111,A34,'Components Yr 3'!E2:E1111)</f>
        <v>0</v>
      </c>
      <c r="C34" s="11">
        <f>SUMIF('Components Yr 3'!C2:C1111,A34,'Components Yr 3'!F2:F1111)</f>
        <v>0</v>
      </c>
      <c r="D34" s="11">
        <f>SUMIF('Components Yr 3'!C2:C1111,A34,'Components Yr 3'!G2:G1111)</f>
        <v>0</v>
      </c>
      <c r="E34" s="11">
        <f>SUMIF('Components Yr 3'!C2:C1111,A34,'Components Yr 3'!H2:H1111)</f>
        <v>0</v>
      </c>
      <c r="F34" s="11">
        <f>SUMIF('Components Yr 3'!C2:C1111,A34,'Components Yr 3'!I2:I1111)</f>
        <v>0</v>
      </c>
      <c r="G34" s="11">
        <f>SUMIF('Components Yr 3'!C2:C1111,A34,'Components Yr 3'!J2:J1111)</f>
        <v>0</v>
      </c>
      <c r="H34" s="43">
        <f>SUMIF('Components Yr 3'!C2:C1111,A34,'Components Yr 3'!R2:R1111)</f>
        <v>0</v>
      </c>
      <c r="I34" s="11">
        <f>SUMIF('Components Yr 3'!C2:C1111,A34,'Components Yr 3'!S2:S1111)</f>
        <v>0</v>
      </c>
    </row>
    <row r="35" spans="1:9" x14ac:dyDescent="0.25">
      <c r="A35" s="14" t="s">
        <v>48</v>
      </c>
      <c r="B35" s="15">
        <f>SUMIF('Components Yr 3'!C2:C1111,A35,'Components Yr 3'!E2:E1111)</f>
        <v>0</v>
      </c>
      <c r="C35" s="15">
        <f>SUMIF('Components Yr 3'!C2:C1111,A35,'Components Yr 3'!F2:F1111)</f>
        <v>0</v>
      </c>
      <c r="D35" s="15">
        <f>SUMIF('Components Yr 3'!C2:C1111,A35,'Components Yr 3'!G2:G1111)</f>
        <v>0</v>
      </c>
      <c r="E35" s="15">
        <f>SUMIF('Components Yr 3'!C2:C1111,A35,'Components Yr 3'!H2:H1111)</f>
        <v>0</v>
      </c>
      <c r="F35" s="15">
        <f>SUMIF('Components Yr 3'!C2:C1111,A35,'Components Yr 3'!I2:I1111)</f>
        <v>0</v>
      </c>
      <c r="G35" s="15">
        <f>SUMIF('Components Yr 3'!C2:C1111,A35,'Components Yr 3'!J2:J1111)</f>
        <v>0</v>
      </c>
      <c r="H35" s="44">
        <f>SUMIF('Components Yr 3'!C2:C1111,A35,'Components Yr 3'!R2:R1111)</f>
        <v>0</v>
      </c>
      <c r="I35" s="15">
        <f>SUMIF('Components Yr 3'!C2:C1111,A35,'Components Yr 3'!S2:S1111)</f>
        <v>0</v>
      </c>
    </row>
    <row r="36" spans="1:9" x14ac:dyDescent="0.25">
      <c r="A36" s="10" t="s">
        <v>49</v>
      </c>
      <c r="B36" s="11">
        <f>SUMIF('Components Yr 3'!C2:C1111,A36,'Components Yr 3'!E2:E1111)</f>
        <v>0</v>
      </c>
      <c r="C36" s="11">
        <f>SUMIF('Components Yr 3'!C2:C1111,A36,'Components Yr 3'!F2:F1111)</f>
        <v>0</v>
      </c>
      <c r="D36" s="11">
        <f>SUMIF('Components Yr 3'!C2:C1111,A36,'Components Yr 3'!G2:G1111)</f>
        <v>0</v>
      </c>
      <c r="E36" s="11">
        <f>SUMIF('Components Yr 3'!C2:C1111,A36,'Components Yr 3'!H2:H1111)</f>
        <v>0</v>
      </c>
      <c r="F36" s="11">
        <f>SUMIF('Components Yr 3'!C2:C1111,A36,'Components Yr 3'!I2:I1111)</f>
        <v>0</v>
      </c>
      <c r="G36" s="11">
        <f>SUMIF('Components Yr 3'!C2:C1111,A36,'Components Yr 3'!J2:J1111)</f>
        <v>0</v>
      </c>
      <c r="H36" s="43">
        <f>SUMIF('Components Yr 3'!C2:C1111,A36,'Components Yr 3'!R2:R1111)</f>
        <v>0</v>
      </c>
      <c r="I36" s="11">
        <f>SUMIF('Components Yr 3'!C2:C1111,A36,'Components Yr 3'!S2:S1111)</f>
        <v>0</v>
      </c>
    </row>
    <row r="37" spans="1:9" x14ac:dyDescent="0.25">
      <c r="A37" s="14" t="s">
        <v>50</v>
      </c>
      <c r="B37" s="15">
        <f>SUMIF('Components Yr 3'!C2:C1111,A37,'Components Yr 3'!E2:E1111)</f>
        <v>0</v>
      </c>
      <c r="C37" s="15">
        <f>SUMIF('Components Yr 3'!C2:C1111,A37,'Components Yr 3'!F2:F1111)</f>
        <v>0</v>
      </c>
      <c r="D37" s="15">
        <f>SUMIF('Components Yr 3'!C2:C1111,A37,'Components Yr 3'!G2:G1111)</f>
        <v>0</v>
      </c>
      <c r="E37" s="15">
        <f>SUMIF('Components Yr 3'!C2:C1111,A37,'Components Yr 3'!H2:H1111)</f>
        <v>0</v>
      </c>
      <c r="F37" s="15">
        <f>SUMIF('Components Yr 3'!C2:C1111,A37,'Components Yr 3'!I2:I1111)</f>
        <v>0</v>
      </c>
      <c r="G37" s="15">
        <f>SUMIF('Components Yr 3'!C2:C1111,A37,'Components Yr 3'!J2:J1111)</f>
        <v>0</v>
      </c>
      <c r="H37" s="44">
        <f>SUMIF('Components Yr 3'!C2:C1111,A37,'Components Yr 3'!R2:R1111)</f>
        <v>0</v>
      </c>
      <c r="I37" s="15">
        <f>SUMIF('Components Yr 3'!C2:C1111,A37,'Components Yr 3'!S2:S1111)</f>
        <v>0</v>
      </c>
    </row>
    <row r="38" spans="1:9" x14ac:dyDescent="0.25">
      <c r="A38" s="10" t="s">
        <v>51</v>
      </c>
      <c r="B38" s="11">
        <f>SUMIF('Components Yr 3'!C2:C1111,A38,'Components Yr 3'!E2:E1111)</f>
        <v>0</v>
      </c>
      <c r="C38" s="11">
        <f>SUMIF('Components Yr 3'!C2:C1111,A38,'Components Yr 3'!F2:F1111)</f>
        <v>0</v>
      </c>
      <c r="D38" s="11">
        <f>SUMIF('Components Yr 3'!C2:C1111,A38,'Components Yr 3'!G2:G1111)</f>
        <v>0</v>
      </c>
      <c r="E38" s="11">
        <f>SUMIF('Components Yr 3'!C2:C1111,A38,'Components Yr 3'!H2:H1111)</f>
        <v>0</v>
      </c>
      <c r="F38" s="11">
        <f>SUMIF('Components Yr 3'!C2:C1111,A38,'Components Yr 3'!I2:I1111)</f>
        <v>0</v>
      </c>
      <c r="G38" s="11">
        <f>SUMIF('Components Yr 3'!C2:C1111,A38,'Components Yr 3'!J2:J1111)</f>
        <v>0</v>
      </c>
      <c r="H38" s="43">
        <f>SUMIF('Components Yr 3'!C2:C1111,A38,'Components Yr 3'!R2:R1111)</f>
        <v>0</v>
      </c>
      <c r="I38" s="11">
        <f>SUMIF('Components Yr 3'!C2:C1111,A38,'Components Yr 3'!S2:S1111)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3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52" customWidth="1"/>
    <col min="2" max="32" width="10" customWidth="1"/>
  </cols>
  <sheetData>
    <row r="1" spans="1:32" x14ac:dyDescent="0.25">
      <c r="A1" s="8" t="s">
        <v>2</v>
      </c>
      <c r="B1" s="22">
        <f>'Bldgs &amp; Rooms'!B2</f>
        <v>0</v>
      </c>
      <c r="C1" s="22">
        <f>'Bldgs &amp; Rooms'!B3</f>
        <v>0</v>
      </c>
      <c r="D1" s="22">
        <f>'Bldgs &amp; Rooms'!B4</f>
        <v>0</v>
      </c>
      <c r="E1" s="22">
        <f>'Bldgs &amp; Rooms'!B5</f>
        <v>0</v>
      </c>
      <c r="F1" s="22">
        <f>'Bldgs &amp; Rooms'!B6</f>
        <v>0</v>
      </c>
      <c r="G1" s="22">
        <f>'Bldgs &amp; Rooms'!B7</f>
        <v>0</v>
      </c>
      <c r="H1" s="22">
        <f>'Bldgs &amp; Rooms'!B8</f>
        <v>0</v>
      </c>
      <c r="I1" s="22">
        <f>'Bldgs &amp; Rooms'!B9</f>
        <v>0</v>
      </c>
      <c r="J1" s="22">
        <f>'Bldgs &amp; Rooms'!B10</f>
        <v>0</v>
      </c>
      <c r="K1" s="22">
        <f>'Bldgs &amp; Rooms'!B11</f>
        <v>0</v>
      </c>
      <c r="L1" s="22">
        <f>'Bldgs &amp; Rooms'!B12</f>
        <v>0</v>
      </c>
      <c r="M1" s="22">
        <f>'Bldgs &amp; Rooms'!B13</f>
        <v>0</v>
      </c>
      <c r="N1" s="22">
        <f>'Bldgs &amp; Rooms'!B14</f>
        <v>0</v>
      </c>
      <c r="O1" s="22">
        <f>'Bldgs &amp; Rooms'!B15</f>
        <v>0</v>
      </c>
      <c r="P1" s="22">
        <f>'Bldgs &amp; Rooms'!B16</f>
        <v>0</v>
      </c>
      <c r="Q1" s="22">
        <f>'Bldgs &amp; Rooms'!B17</f>
        <v>0</v>
      </c>
      <c r="R1" s="22">
        <f>'Bldgs &amp; Rooms'!B18</f>
        <v>0</v>
      </c>
      <c r="S1" s="22">
        <f>'Bldgs &amp; Rooms'!B19</f>
        <v>0</v>
      </c>
      <c r="T1" s="22">
        <f>'Bldgs &amp; Rooms'!B20</f>
        <v>0</v>
      </c>
      <c r="U1" s="22">
        <f>'Bldgs &amp; Rooms'!B21</f>
        <v>0</v>
      </c>
      <c r="V1" s="22">
        <f>'Bldgs &amp; Rooms'!B22</f>
        <v>0</v>
      </c>
      <c r="W1" s="22">
        <f>'Bldgs &amp; Rooms'!B23</f>
        <v>0</v>
      </c>
      <c r="X1" s="22">
        <f>'Bldgs &amp; Rooms'!B24</f>
        <v>0</v>
      </c>
      <c r="Y1" s="22">
        <f>'Bldgs &amp; Rooms'!B25</f>
        <v>0</v>
      </c>
      <c r="Z1" s="22">
        <f>'Bldgs &amp; Rooms'!B26</f>
        <v>0</v>
      </c>
      <c r="AA1" s="22">
        <f>'Bldgs &amp; Rooms'!B27</f>
        <v>0</v>
      </c>
      <c r="AB1" s="22">
        <f>'Bldgs &amp; Rooms'!B28</f>
        <v>0</v>
      </c>
      <c r="AC1" s="22">
        <f>'Bldgs &amp; Rooms'!B29</f>
        <v>0</v>
      </c>
      <c r="AD1" s="22">
        <f>'Bldgs &amp; Rooms'!B30</f>
        <v>0</v>
      </c>
      <c r="AE1" s="22">
        <f>'Bldgs &amp; Rooms'!B31</f>
        <v>0</v>
      </c>
      <c r="AF1" s="8" t="s">
        <v>139</v>
      </c>
    </row>
    <row r="2" spans="1:32" x14ac:dyDescent="0.25">
      <c r="A2" s="45" t="s">
        <v>15</v>
      </c>
      <c r="B2" s="46">
        <f>SUMIFS('Components Yr 1'!D2:D1111,'Components Yr 1'!C2:C1111,A2,'Components Yr 1'!B2:B1111,'Bldgs &amp; Rooms'!B2)</f>
        <v>0</v>
      </c>
      <c r="C2" s="46">
        <f>SUMIFS('Components Yr 1'!D2:D1111,'Components Yr 1'!C2:C1111,A2,'Components Yr 1'!B2:B1111,'Bldgs &amp; Rooms'!B3)</f>
        <v>0</v>
      </c>
      <c r="D2" s="46">
        <f>SUMIFS('Components Yr 1'!D2:D1111,'Components Yr 1'!C2:C1111,A2,'Components Yr 1'!B2:B1111,'Bldgs &amp; Rooms'!B4)</f>
        <v>0</v>
      </c>
      <c r="E2" s="46">
        <f>SUMIFS('Components Yr 1'!D2:D1111,'Components Yr 1'!C2:C1111,A2,'Components Yr 1'!B2:B1111,'Bldgs &amp; Rooms'!B5)</f>
        <v>0</v>
      </c>
      <c r="F2" s="46">
        <f>SUMIFS('Components Yr 1'!D2:D1111,'Components Yr 1'!C2:C1111,A2,'Components Yr 1'!B2:B1111,'Bldgs &amp; Rooms'!B6)</f>
        <v>0</v>
      </c>
      <c r="G2" s="46">
        <f>SUMIFS('Components Yr 1'!D2:D1111,'Components Yr 1'!C2:C1111,A2,'Components Yr 1'!B2:B1111,'Bldgs &amp; Rooms'!B7)</f>
        <v>0</v>
      </c>
      <c r="H2" s="46">
        <f>SUMIFS('Components Yr 1'!D2:D1111,'Components Yr 1'!C2:C1111,A2,'Components Yr 1'!B2:B1111,'Bldgs &amp; Rooms'!B8)</f>
        <v>0</v>
      </c>
      <c r="I2" s="46">
        <f>SUMIFS('Components Yr 1'!D2:D1111,'Components Yr 1'!C2:C1111,A2,'Components Yr 1'!B2:B1111,'Bldgs &amp; Rooms'!B9)</f>
        <v>0</v>
      </c>
      <c r="J2" s="46">
        <f>SUMIFS('Components Yr 1'!D2:D1111,'Components Yr 1'!C2:C1111,A2,'Components Yr 1'!B2:B1111,'Bldgs &amp; Rooms'!B10)</f>
        <v>0</v>
      </c>
      <c r="K2" s="46">
        <f>SUMIFS('Components Yr 1'!D2:D1111,'Components Yr 1'!C2:C1111,A2,'Components Yr 1'!B2:B1111,'Bldgs &amp; Rooms'!B11)</f>
        <v>0</v>
      </c>
      <c r="L2" s="46">
        <f>SUMIFS('Components Yr 1'!D2:D1111,'Components Yr 1'!C2:C1111,A2,'Components Yr 1'!B2:B1111,'Bldgs &amp; Rooms'!B12)</f>
        <v>0</v>
      </c>
      <c r="M2" s="46">
        <f>SUMIFS('Components Yr 1'!D2:D1111,'Components Yr 1'!C2:C1111,A2,'Components Yr 1'!B2:B1111,'Bldgs &amp; Rooms'!B13)</f>
        <v>0</v>
      </c>
      <c r="N2" s="46">
        <f>SUMIFS('Components Yr 1'!D2:D1111,'Components Yr 1'!C2:C1111,A2,'Components Yr 1'!B2:B1111,'Bldgs &amp; Rooms'!B14)</f>
        <v>0</v>
      </c>
      <c r="O2" s="46">
        <f>SUMIFS('Components Yr 1'!D2:D1111,'Components Yr 1'!C2:C1111,A2,'Components Yr 1'!B2:B1111,'Bldgs &amp; Rooms'!B15)</f>
        <v>0</v>
      </c>
      <c r="P2" s="46">
        <f>SUMIFS('Components Yr 1'!D2:D1111,'Components Yr 1'!C2:C1111,A2,'Components Yr 1'!B2:B1111,'Bldgs &amp; Rooms'!B16)</f>
        <v>0</v>
      </c>
      <c r="Q2" s="46">
        <f>SUMIFS('Components Yr 1'!D2:D1111,'Components Yr 1'!C2:C1111,A2,'Components Yr 1'!B2:B1111,'Bldgs &amp; Rooms'!B17)</f>
        <v>0</v>
      </c>
      <c r="R2" s="46">
        <f>SUMIFS('Components Yr 1'!D2:D1111,'Components Yr 1'!C2:C1111,A2,'Components Yr 1'!B2:B1111,'Bldgs &amp; Rooms'!B18)</f>
        <v>0</v>
      </c>
      <c r="S2" s="46">
        <f>SUMIFS('Components Yr 1'!D2:D1111,'Components Yr 1'!C2:C1111,A2,'Components Yr 1'!B2:B1111,'Bldgs &amp; Rooms'!B19)</f>
        <v>0</v>
      </c>
      <c r="T2" s="46">
        <f>SUMIFS('Components Yr 1'!D2:D1111,'Components Yr 1'!C2:C1111,A2,'Components Yr 1'!B2:B1111,'Bldgs &amp; Rooms'!B20)</f>
        <v>0</v>
      </c>
      <c r="U2" s="46">
        <f>SUMIFS('Components Yr 1'!D2:D1111,'Components Yr 1'!C2:C1111,A2,'Components Yr 1'!B2:B1111,'Bldgs &amp; Rooms'!B21)</f>
        <v>0</v>
      </c>
      <c r="V2" s="46">
        <f>SUMIFS('Components Yr 1'!D2:D1111,'Components Yr 1'!C2:C1111,A2,'Components Yr 1'!B2:B1111,'Bldgs &amp; Rooms'!B22)</f>
        <v>0</v>
      </c>
      <c r="W2" s="46">
        <f>SUMIFS('Components Yr 1'!D2:D1111,'Components Yr 1'!C2:C1111,A2,'Components Yr 1'!B2:B1111,'Bldgs &amp; Rooms'!B23)</f>
        <v>0</v>
      </c>
      <c r="X2" s="46">
        <f>SUMIFS('Components Yr 1'!D2:D1111,'Components Yr 1'!C2:C1111,A2,'Components Yr 1'!B2:B1111,'Bldgs &amp; Rooms'!B24)</f>
        <v>0</v>
      </c>
      <c r="Y2" s="46">
        <f>SUMIFS('Components Yr 1'!D2:D1111,'Components Yr 1'!C2:C1111,A2,'Components Yr 1'!B2:B1111,'Bldgs &amp; Rooms'!B25)</f>
        <v>0</v>
      </c>
      <c r="Z2" s="46">
        <f>SUMIFS('Components Yr 1'!D2:D1111,'Components Yr 1'!C2:C1111,A2,'Components Yr 1'!B2:B1111,'Bldgs &amp; Rooms'!B26)</f>
        <v>0</v>
      </c>
      <c r="AA2" s="46">
        <f>SUMIFS('Components Yr 1'!D2:D1111,'Components Yr 1'!C2:C1111,A2,'Components Yr 1'!B2:B1111,'Bldgs &amp; Rooms'!B27)</f>
        <v>0</v>
      </c>
      <c r="AB2" s="46">
        <f>SUMIFS('Components Yr 1'!D2:D1111,'Components Yr 1'!C2:C1111,A2,'Components Yr 1'!B2:B1111,'Bldgs &amp; Rooms'!B28)</f>
        <v>0</v>
      </c>
      <c r="AC2" s="46">
        <f>SUMIFS('Components Yr 1'!D2:D1111,'Components Yr 1'!C2:C1111,A2,'Components Yr 1'!B2:B1111,'Bldgs &amp; Rooms'!B29)</f>
        <v>0</v>
      </c>
      <c r="AD2" s="46">
        <f>SUMIFS('Components Yr 1'!D2:D1111,'Components Yr 1'!C2:C1111,A2,'Components Yr 1'!B2:B1111,'Bldgs &amp; Rooms'!B30)</f>
        <v>0</v>
      </c>
      <c r="AE2" s="46">
        <f>SUMIFS('Components Yr 1'!D2:D1111,'Components Yr 1'!C2:C1111,A2,'Components Yr 1'!B2:B1111,'Bldgs &amp; Rooms'!B31)</f>
        <v>0</v>
      </c>
      <c r="AF2" s="47">
        <f t="shared" ref="AF2:AF38" si="0">SUM(B2:AE2)</f>
        <v>0</v>
      </c>
    </row>
    <row r="3" spans="1:32" x14ac:dyDescent="0.25">
      <c r="A3" s="48" t="s">
        <v>16</v>
      </c>
      <c r="B3" s="49">
        <f>SUMIFS('Components Yr 1'!D2:D1111,'Components Yr 1'!C2:C1111,A3,'Components Yr 1'!B2:B1111,'Bldgs &amp; Rooms'!B2)</f>
        <v>0</v>
      </c>
      <c r="C3" s="49">
        <f>SUMIFS('Components Yr 1'!D2:D1111,'Components Yr 1'!C2:C1111,A3,'Components Yr 1'!B2:B1111,'Bldgs &amp; Rooms'!B3)</f>
        <v>0</v>
      </c>
      <c r="D3" s="49">
        <f>SUMIFS('Components Yr 1'!D2:D1111,'Components Yr 1'!C2:C1111,A3,'Components Yr 1'!B2:B1111,'Bldgs &amp; Rooms'!B4)</f>
        <v>0</v>
      </c>
      <c r="E3" s="49">
        <f>SUMIFS('Components Yr 1'!D2:D1111,'Components Yr 1'!C2:C1111,A3,'Components Yr 1'!B2:B1111,'Bldgs &amp; Rooms'!B5)</f>
        <v>0</v>
      </c>
      <c r="F3" s="49">
        <f>SUMIFS('Components Yr 1'!D2:D1111,'Components Yr 1'!C2:C1111,A3,'Components Yr 1'!B2:B1111,'Bldgs &amp; Rooms'!B6)</f>
        <v>0</v>
      </c>
      <c r="G3" s="49">
        <f>SUMIFS('Components Yr 1'!D2:D1111,'Components Yr 1'!C2:C1111,A3,'Components Yr 1'!B2:B1111,'Bldgs &amp; Rooms'!B7)</f>
        <v>0</v>
      </c>
      <c r="H3" s="49">
        <f>SUMIFS('Components Yr 1'!D2:D1111,'Components Yr 1'!C2:C1111,A3,'Components Yr 1'!B2:B1111,'Bldgs &amp; Rooms'!B8)</f>
        <v>0</v>
      </c>
      <c r="I3" s="49">
        <f>SUMIFS('Components Yr 1'!D2:D1111,'Components Yr 1'!C2:C1111,A3,'Components Yr 1'!B2:B1111,'Bldgs &amp; Rooms'!B9)</f>
        <v>0</v>
      </c>
      <c r="J3" s="49">
        <f>SUMIFS('Components Yr 1'!D2:D1111,'Components Yr 1'!C2:C1111,A3,'Components Yr 1'!B2:B1111,'Bldgs &amp; Rooms'!B10)</f>
        <v>0</v>
      </c>
      <c r="K3" s="49">
        <f>SUMIFS('Components Yr 1'!D2:D1111,'Components Yr 1'!C2:C1111,A3,'Components Yr 1'!B2:B1111,'Bldgs &amp; Rooms'!B11)</f>
        <v>0</v>
      </c>
      <c r="L3" s="49">
        <f>SUMIFS('Components Yr 1'!D2:D1111,'Components Yr 1'!C2:C1111,A3,'Components Yr 1'!B2:B1111,'Bldgs &amp; Rooms'!B12)</f>
        <v>0</v>
      </c>
      <c r="M3" s="49">
        <f>SUMIFS('Components Yr 1'!D2:D1111,'Components Yr 1'!C2:C1111,A3,'Components Yr 1'!B2:B1111,'Bldgs &amp; Rooms'!B13)</f>
        <v>0</v>
      </c>
      <c r="N3" s="49">
        <f>SUMIFS('Components Yr 1'!D2:D1111,'Components Yr 1'!C2:C1111,A3,'Components Yr 1'!B2:B1111,'Bldgs &amp; Rooms'!B14)</f>
        <v>0</v>
      </c>
      <c r="O3" s="49">
        <f>SUMIFS('Components Yr 1'!D2:D1111,'Components Yr 1'!C2:C1111,A3,'Components Yr 1'!B2:B1111,'Bldgs &amp; Rooms'!B15)</f>
        <v>0</v>
      </c>
      <c r="P3" s="49">
        <f>SUMIFS('Components Yr 1'!D2:D1111,'Components Yr 1'!C2:C1111,A3,'Components Yr 1'!B2:B1111,'Bldgs &amp; Rooms'!B16)</f>
        <v>0</v>
      </c>
      <c r="Q3" s="49">
        <f>SUMIFS('Components Yr 1'!D2:D1111,'Components Yr 1'!C2:C1111,A3,'Components Yr 1'!B2:B1111,'Bldgs &amp; Rooms'!B17)</f>
        <v>0</v>
      </c>
      <c r="R3" s="49">
        <f>SUMIFS('Components Yr 1'!D2:D1111,'Components Yr 1'!C2:C1111,A3,'Components Yr 1'!B2:B1111,'Bldgs &amp; Rooms'!B18)</f>
        <v>0</v>
      </c>
      <c r="S3" s="49">
        <f>SUMIFS('Components Yr 1'!D2:D1111,'Components Yr 1'!C2:C1111,A3,'Components Yr 1'!B2:B1111,'Bldgs &amp; Rooms'!B19)</f>
        <v>0</v>
      </c>
      <c r="T3" s="49">
        <f>SUMIFS('Components Yr 1'!D2:D1111,'Components Yr 1'!C2:C1111,A3,'Components Yr 1'!B2:B1111,'Bldgs &amp; Rooms'!B20)</f>
        <v>0</v>
      </c>
      <c r="U3" s="49">
        <f>SUMIFS('Components Yr 1'!D2:D1111,'Components Yr 1'!C2:C1111,A3,'Components Yr 1'!B2:B1111,'Bldgs &amp; Rooms'!B21)</f>
        <v>0</v>
      </c>
      <c r="V3" s="49">
        <f>SUMIFS('Components Yr 1'!D2:D1111,'Components Yr 1'!C2:C1111,A3,'Components Yr 1'!B2:B1111,'Bldgs &amp; Rooms'!B22)</f>
        <v>0</v>
      </c>
      <c r="W3" s="49">
        <f>SUMIFS('Components Yr 1'!D2:D1111,'Components Yr 1'!C2:C1111,A3,'Components Yr 1'!B2:B1111,'Bldgs &amp; Rooms'!B23)</f>
        <v>0</v>
      </c>
      <c r="X3" s="49">
        <f>SUMIFS('Components Yr 1'!D2:D1111,'Components Yr 1'!C2:C1111,A3,'Components Yr 1'!B2:B1111,'Bldgs &amp; Rooms'!B24)</f>
        <v>0</v>
      </c>
      <c r="Y3" s="49">
        <f>SUMIFS('Components Yr 1'!D2:D1111,'Components Yr 1'!C2:C1111,A3,'Components Yr 1'!B2:B1111,'Bldgs &amp; Rooms'!B25)</f>
        <v>0</v>
      </c>
      <c r="Z3" s="49">
        <f>SUMIFS('Components Yr 1'!D2:D1111,'Components Yr 1'!C2:C1111,A3,'Components Yr 1'!B2:B1111,'Bldgs &amp; Rooms'!B26)</f>
        <v>0</v>
      </c>
      <c r="AA3" s="49">
        <f>SUMIFS('Components Yr 1'!D2:D1111,'Components Yr 1'!C2:C1111,A3,'Components Yr 1'!B2:B1111,'Bldgs &amp; Rooms'!B27)</f>
        <v>0</v>
      </c>
      <c r="AB3" s="49">
        <f>SUMIFS('Components Yr 1'!D2:D1111,'Components Yr 1'!C2:C1111,A3,'Components Yr 1'!B2:B1111,'Bldgs &amp; Rooms'!B28)</f>
        <v>0</v>
      </c>
      <c r="AC3" s="49">
        <f>SUMIFS('Components Yr 1'!D2:D1111,'Components Yr 1'!C2:C1111,A3,'Components Yr 1'!B2:B1111,'Bldgs &amp; Rooms'!B29)</f>
        <v>0</v>
      </c>
      <c r="AD3" s="49">
        <f>SUMIFS('Components Yr 1'!D2:D1111,'Components Yr 1'!C2:C1111,A3,'Components Yr 1'!B2:B1111,'Bldgs &amp; Rooms'!B30)</f>
        <v>0</v>
      </c>
      <c r="AE3" s="49">
        <f>SUMIFS('Components Yr 1'!D2:D1111,'Components Yr 1'!C2:C1111,A3,'Components Yr 1'!B2:B1111,'Bldgs &amp; Rooms'!B31)</f>
        <v>0</v>
      </c>
      <c r="AF3" s="47">
        <f t="shared" si="0"/>
        <v>0</v>
      </c>
    </row>
    <row r="4" spans="1:32" x14ac:dyDescent="0.25">
      <c r="A4" s="45" t="s">
        <v>17</v>
      </c>
      <c r="B4" s="46">
        <f>SUMIFS('Components Yr 1'!D2:D1111,'Components Yr 1'!C2:C1111,A4,'Components Yr 1'!B2:B1111,'Bldgs &amp; Rooms'!B2)</f>
        <v>0</v>
      </c>
      <c r="C4" s="46">
        <f>SUMIFS('Components Yr 1'!D2:D1111,'Components Yr 1'!C2:C1111,A4,'Components Yr 1'!B2:B1111,'Bldgs &amp; Rooms'!B3)</f>
        <v>0</v>
      </c>
      <c r="D4" s="46">
        <f>SUMIFS('Components Yr 1'!D2:D1111,'Components Yr 1'!C2:C1111,A4,'Components Yr 1'!B2:B1111,'Bldgs &amp; Rooms'!B4)</f>
        <v>0</v>
      </c>
      <c r="E4" s="46">
        <f>SUMIFS('Components Yr 1'!D2:D1111,'Components Yr 1'!C2:C1111,A4,'Components Yr 1'!B2:B1111,'Bldgs &amp; Rooms'!B5)</f>
        <v>0</v>
      </c>
      <c r="F4" s="46">
        <f>SUMIFS('Components Yr 1'!D2:D1111,'Components Yr 1'!C2:C1111,A4,'Components Yr 1'!B2:B1111,'Bldgs &amp; Rooms'!B6)</f>
        <v>0</v>
      </c>
      <c r="G4" s="46">
        <f>SUMIFS('Components Yr 1'!D2:D1111,'Components Yr 1'!C2:C1111,A4,'Components Yr 1'!B2:B1111,'Bldgs &amp; Rooms'!B7)</f>
        <v>0</v>
      </c>
      <c r="H4" s="46">
        <f>SUMIFS('Components Yr 1'!D2:D1111,'Components Yr 1'!C2:C1111,A4,'Components Yr 1'!B2:B1111,'Bldgs &amp; Rooms'!B8)</f>
        <v>0</v>
      </c>
      <c r="I4" s="46">
        <f>SUMIFS('Components Yr 1'!D2:D1111,'Components Yr 1'!C2:C1111,A4,'Components Yr 1'!B2:B1111,'Bldgs &amp; Rooms'!B9)</f>
        <v>0</v>
      </c>
      <c r="J4" s="46">
        <f>SUMIFS('Components Yr 1'!D2:D1111,'Components Yr 1'!C2:C1111,A4,'Components Yr 1'!B2:B1111,'Bldgs &amp; Rooms'!B10)</f>
        <v>0</v>
      </c>
      <c r="K4" s="46">
        <f>SUMIFS('Components Yr 1'!D2:D1111,'Components Yr 1'!C2:C1111,A4,'Components Yr 1'!B2:B1111,'Bldgs &amp; Rooms'!B11)</f>
        <v>0</v>
      </c>
      <c r="L4" s="46">
        <f>SUMIFS('Components Yr 1'!D2:D1111,'Components Yr 1'!C2:C1111,A4,'Components Yr 1'!B2:B1111,'Bldgs &amp; Rooms'!B12)</f>
        <v>0</v>
      </c>
      <c r="M4" s="46">
        <f>SUMIFS('Components Yr 1'!D2:D1111,'Components Yr 1'!C2:C1111,A4,'Components Yr 1'!B2:B1111,'Bldgs &amp; Rooms'!B13)</f>
        <v>0</v>
      </c>
      <c r="N4" s="46">
        <f>SUMIFS('Components Yr 1'!D2:D1111,'Components Yr 1'!C2:C1111,A4,'Components Yr 1'!B2:B1111,'Bldgs &amp; Rooms'!B14)</f>
        <v>0</v>
      </c>
      <c r="O4" s="46">
        <f>SUMIFS('Components Yr 1'!D2:D1111,'Components Yr 1'!C2:C1111,A4,'Components Yr 1'!B2:B1111,'Bldgs &amp; Rooms'!B15)</f>
        <v>0</v>
      </c>
      <c r="P4" s="46">
        <f>SUMIFS('Components Yr 1'!D2:D1111,'Components Yr 1'!C2:C1111,A4,'Components Yr 1'!B2:B1111,'Bldgs &amp; Rooms'!B16)</f>
        <v>0</v>
      </c>
      <c r="Q4" s="46">
        <f>SUMIFS('Components Yr 1'!D2:D1111,'Components Yr 1'!C2:C1111,A4,'Components Yr 1'!B2:B1111,'Bldgs &amp; Rooms'!B17)</f>
        <v>0</v>
      </c>
      <c r="R4" s="46">
        <f>SUMIFS('Components Yr 1'!D2:D1111,'Components Yr 1'!C2:C1111,A4,'Components Yr 1'!B2:B1111,'Bldgs &amp; Rooms'!B18)</f>
        <v>0</v>
      </c>
      <c r="S4" s="46">
        <f>SUMIFS('Components Yr 1'!D2:D1111,'Components Yr 1'!C2:C1111,A4,'Components Yr 1'!B2:B1111,'Bldgs &amp; Rooms'!B19)</f>
        <v>0</v>
      </c>
      <c r="T4" s="46">
        <f>SUMIFS('Components Yr 1'!D2:D1111,'Components Yr 1'!C2:C1111,A4,'Components Yr 1'!B2:B1111,'Bldgs &amp; Rooms'!B20)</f>
        <v>0</v>
      </c>
      <c r="U4" s="46">
        <f>SUMIFS('Components Yr 1'!D2:D1111,'Components Yr 1'!C2:C1111,A4,'Components Yr 1'!B2:B1111,'Bldgs &amp; Rooms'!B21)</f>
        <v>0</v>
      </c>
      <c r="V4" s="46">
        <f>SUMIFS('Components Yr 1'!D2:D1111,'Components Yr 1'!C2:C1111,A4,'Components Yr 1'!B2:B1111,'Bldgs &amp; Rooms'!B22)</f>
        <v>0</v>
      </c>
      <c r="W4" s="46">
        <f>SUMIFS('Components Yr 1'!D2:D1111,'Components Yr 1'!C2:C1111,A4,'Components Yr 1'!B2:B1111,'Bldgs &amp; Rooms'!B23)</f>
        <v>0</v>
      </c>
      <c r="X4" s="46">
        <f>SUMIFS('Components Yr 1'!D2:D1111,'Components Yr 1'!C2:C1111,A4,'Components Yr 1'!B2:B1111,'Bldgs &amp; Rooms'!B24)</f>
        <v>0</v>
      </c>
      <c r="Y4" s="46">
        <f>SUMIFS('Components Yr 1'!D2:D1111,'Components Yr 1'!C2:C1111,A4,'Components Yr 1'!B2:B1111,'Bldgs &amp; Rooms'!B25)</f>
        <v>0</v>
      </c>
      <c r="Z4" s="46">
        <f>SUMIFS('Components Yr 1'!D2:D1111,'Components Yr 1'!C2:C1111,A4,'Components Yr 1'!B2:B1111,'Bldgs &amp; Rooms'!B26)</f>
        <v>0</v>
      </c>
      <c r="AA4" s="46">
        <f>SUMIFS('Components Yr 1'!D2:D1111,'Components Yr 1'!C2:C1111,A4,'Components Yr 1'!B2:B1111,'Bldgs &amp; Rooms'!B27)</f>
        <v>0</v>
      </c>
      <c r="AB4" s="46">
        <f>SUMIFS('Components Yr 1'!D2:D1111,'Components Yr 1'!C2:C1111,A4,'Components Yr 1'!B2:B1111,'Bldgs &amp; Rooms'!B28)</f>
        <v>0</v>
      </c>
      <c r="AC4" s="46">
        <f>SUMIFS('Components Yr 1'!D2:D1111,'Components Yr 1'!C2:C1111,A4,'Components Yr 1'!B2:B1111,'Bldgs &amp; Rooms'!B29)</f>
        <v>0</v>
      </c>
      <c r="AD4" s="46">
        <f>SUMIFS('Components Yr 1'!D2:D1111,'Components Yr 1'!C2:C1111,A4,'Components Yr 1'!B2:B1111,'Bldgs &amp; Rooms'!B30)</f>
        <v>0</v>
      </c>
      <c r="AE4" s="46">
        <f>SUMIFS('Components Yr 1'!D2:D1111,'Components Yr 1'!C2:C1111,A4,'Components Yr 1'!B2:B1111,'Bldgs &amp; Rooms'!B31)</f>
        <v>0</v>
      </c>
      <c r="AF4" s="47">
        <f t="shared" si="0"/>
        <v>0</v>
      </c>
    </row>
    <row r="5" spans="1:32" x14ac:dyDescent="0.25">
      <c r="A5" s="48" t="s">
        <v>18</v>
      </c>
      <c r="B5" s="49">
        <f>SUMIFS('Components Yr 1'!D2:D1111,'Components Yr 1'!C2:C1111,A5,'Components Yr 1'!B2:B1111,'Bldgs &amp; Rooms'!B2)</f>
        <v>0</v>
      </c>
      <c r="C5" s="49">
        <f>SUMIFS('Components Yr 1'!D2:D1111,'Components Yr 1'!C2:C1111,A5,'Components Yr 1'!B2:B1111,'Bldgs &amp; Rooms'!B3)</f>
        <v>0</v>
      </c>
      <c r="D5" s="49">
        <f>SUMIFS('Components Yr 1'!D2:D1111,'Components Yr 1'!C2:C1111,A5,'Components Yr 1'!B2:B1111,'Bldgs &amp; Rooms'!B4)</f>
        <v>0</v>
      </c>
      <c r="E5" s="49">
        <f>SUMIFS('Components Yr 1'!D2:D1111,'Components Yr 1'!C2:C1111,A5,'Components Yr 1'!B2:B1111,'Bldgs &amp; Rooms'!B5)</f>
        <v>0</v>
      </c>
      <c r="F5" s="49">
        <f>SUMIFS('Components Yr 1'!D2:D1111,'Components Yr 1'!C2:C1111,A5,'Components Yr 1'!B2:B1111,'Bldgs &amp; Rooms'!B6)</f>
        <v>0</v>
      </c>
      <c r="G5" s="49">
        <f>SUMIFS('Components Yr 1'!D2:D1111,'Components Yr 1'!C2:C1111,A5,'Components Yr 1'!B2:B1111,'Bldgs &amp; Rooms'!B7)</f>
        <v>0</v>
      </c>
      <c r="H5" s="49">
        <f>SUMIFS('Components Yr 1'!D2:D1111,'Components Yr 1'!C2:C1111,A5,'Components Yr 1'!B2:B1111,'Bldgs &amp; Rooms'!B8)</f>
        <v>0</v>
      </c>
      <c r="I5" s="49">
        <f>SUMIFS('Components Yr 1'!D2:D1111,'Components Yr 1'!C2:C1111,A5,'Components Yr 1'!B2:B1111,'Bldgs &amp; Rooms'!B9)</f>
        <v>0</v>
      </c>
      <c r="J5" s="49">
        <f>SUMIFS('Components Yr 1'!D2:D1111,'Components Yr 1'!C2:C1111,A5,'Components Yr 1'!B2:B1111,'Bldgs &amp; Rooms'!B10)</f>
        <v>0</v>
      </c>
      <c r="K5" s="49">
        <f>SUMIFS('Components Yr 1'!D2:D1111,'Components Yr 1'!C2:C1111,A5,'Components Yr 1'!B2:B1111,'Bldgs &amp; Rooms'!B11)</f>
        <v>0</v>
      </c>
      <c r="L5" s="49">
        <f>SUMIFS('Components Yr 1'!D2:D1111,'Components Yr 1'!C2:C1111,A5,'Components Yr 1'!B2:B1111,'Bldgs &amp; Rooms'!B12)</f>
        <v>0</v>
      </c>
      <c r="M5" s="49">
        <f>SUMIFS('Components Yr 1'!D2:D1111,'Components Yr 1'!C2:C1111,A5,'Components Yr 1'!B2:B1111,'Bldgs &amp; Rooms'!B13)</f>
        <v>0</v>
      </c>
      <c r="N5" s="49">
        <f>SUMIFS('Components Yr 1'!D2:D1111,'Components Yr 1'!C2:C1111,A5,'Components Yr 1'!B2:B1111,'Bldgs &amp; Rooms'!B14)</f>
        <v>0</v>
      </c>
      <c r="O5" s="49">
        <f>SUMIFS('Components Yr 1'!D2:D1111,'Components Yr 1'!C2:C1111,A5,'Components Yr 1'!B2:B1111,'Bldgs &amp; Rooms'!B15)</f>
        <v>0</v>
      </c>
      <c r="P5" s="49">
        <f>SUMIFS('Components Yr 1'!D2:D1111,'Components Yr 1'!C2:C1111,A5,'Components Yr 1'!B2:B1111,'Bldgs &amp; Rooms'!B16)</f>
        <v>0</v>
      </c>
      <c r="Q5" s="49">
        <f>SUMIFS('Components Yr 1'!D2:D1111,'Components Yr 1'!C2:C1111,A5,'Components Yr 1'!B2:B1111,'Bldgs &amp; Rooms'!B17)</f>
        <v>0</v>
      </c>
      <c r="R5" s="49">
        <f>SUMIFS('Components Yr 1'!D2:D1111,'Components Yr 1'!C2:C1111,A5,'Components Yr 1'!B2:B1111,'Bldgs &amp; Rooms'!B18)</f>
        <v>0</v>
      </c>
      <c r="S5" s="49">
        <f>SUMIFS('Components Yr 1'!D2:D1111,'Components Yr 1'!C2:C1111,A5,'Components Yr 1'!B2:B1111,'Bldgs &amp; Rooms'!B19)</f>
        <v>0</v>
      </c>
      <c r="T5" s="49">
        <f>SUMIFS('Components Yr 1'!D2:D1111,'Components Yr 1'!C2:C1111,A5,'Components Yr 1'!B2:B1111,'Bldgs &amp; Rooms'!B20)</f>
        <v>0</v>
      </c>
      <c r="U5" s="49">
        <f>SUMIFS('Components Yr 1'!D2:D1111,'Components Yr 1'!C2:C1111,A5,'Components Yr 1'!B2:B1111,'Bldgs &amp; Rooms'!B21)</f>
        <v>0</v>
      </c>
      <c r="V5" s="49">
        <f>SUMIFS('Components Yr 1'!D2:D1111,'Components Yr 1'!C2:C1111,A5,'Components Yr 1'!B2:B1111,'Bldgs &amp; Rooms'!B22)</f>
        <v>0</v>
      </c>
      <c r="W5" s="49">
        <f>SUMIFS('Components Yr 1'!D2:D1111,'Components Yr 1'!C2:C1111,A5,'Components Yr 1'!B2:B1111,'Bldgs &amp; Rooms'!B23)</f>
        <v>0</v>
      </c>
      <c r="X5" s="49">
        <f>SUMIFS('Components Yr 1'!D2:D1111,'Components Yr 1'!C2:C1111,A5,'Components Yr 1'!B2:B1111,'Bldgs &amp; Rooms'!B24)</f>
        <v>0</v>
      </c>
      <c r="Y5" s="49">
        <f>SUMIFS('Components Yr 1'!D2:D1111,'Components Yr 1'!C2:C1111,A5,'Components Yr 1'!B2:B1111,'Bldgs &amp; Rooms'!B25)</f>
        <v>0</v>
      </c>
      <c r="Z5" s="49">
        <f>SUMIFS('Components Yr 1'!D2:D1111,'Components Yr 1'!C2:C1111,A5,'Components Yr 1'!B2:B1111,'Bldgs &amp; Rooms'!B26)</f>
        <v>0</v>
      </c>
      <c r="AA5" s="49">
        <f>SUMIFS('Components Yr 1'!D2:D1111,'Components Yr 1'!C2:C1111,A5,'Components Yr 1'!B2:B1111,'Bldgs &amp; Rooms'!B27)</f>
        <v>0</v>
      </c>
      <c r="AB5" s="49">
        <f>SUMIFS('Components Yr 1'!D2:D1111,'Components Yr 1'!C2:C1111,A5,'Components Yr 1'!B2:B1111,'Bldgs &amp; Rooms'!B28)</f>
        <v>0</v>
      </c>
      <c r="AC5" s="49">
        <f>SUMIFS('Components Yr 1'!D2:D1111,'Components Yr 1'!C2:C1111,A5,'Components Yr 1'!B2:B1111,'Bldgs &amp; Rooms'!B29)</f>
        <v>0</v>
      </c>
      <c r="AD5" s="49">
        <f>SUMIFS('Components Yr 1'!D2:D1111,'Components Yr 1'!C2:C1111,A5,'Components Yr 1'!B2:B1111,'Bldgs &amp; Rooms'!B30)</f>
        <v>0</v>
      </c>
      <c r="AE5" s="49">
        <f>SUMIFS('Components Yr 1'!D2:D1111,'Components Yr 1'!C2:C1111,A5,'Components Yr 1'!B2:B1111,'Bldgs &amp; Rooms'!B31)</f>
        <v>0</v>
      </c>
      <c r="AF5" s="47">
        <f t="shared" si="0"/>
        <v>0</v>
      </c>
    </row>
    <row r="6" spans="1:32" x14ac:dyDescent="0.25">
      <c r="A6" s="45" t="s">
        <v>19</v>
      </c>
      <c r="B6" s="46">
        <f>SUMIFS('Components Yr 1'!D2:D1111,'Components Yr 1'!C2:C1111,A6,'Components Yr 1'!B2:B1111,'Bldgs &amp; Rooms'!B2)</f>
        <v>0</v>
      </c>
      <c r="C6" s="46">
        <f>SUMIFS('Components Yr 1'!D2:D1111,'Components Yr 1'!C2:C1111,A6,'Components Yr 1'!B2:B1111,'Bldgs &amp; Rooms'!B3)</f>
        <v>0</v>
      </c>
      <c r="D6" s="46">
        <f>SUMIFS('Components Yr 1'!D2:D1111,'Components Yr 1'!C2:C1111,A6,'Components Yr 1'!B2:B1111,'Bldgs &amp; Rooms'!B4)</f>
        <v>0</v>
      </c>
      <c r="E6" s="46">
        <f>SUMIFS('Components Yr 1'!D2:D1111,'Components Yr 1'!C2:C1111,A6,'Components Yr 1'!B2:B1111,'Bldgs &amp; Rooms'!B5)</f>
        <v>0</v>
      </c>
      <c r="F6" s="46">
        <f>SUMIFS('Components Yr 1'!D2:D1111,'Components Yr 1'!C2:C1111,A6,'Components Yr 1'!B2:B1111,'Bldgs &amp; Rooms'!B6)</f>
        <v>0</v>
      </c>
      <c r="G6" s="46">
        <f>SUMIFS('Components Yr 1'!D2:D1111,'Components Yr 1'!C2:C1111,A6,'Components Yr 1'!B2:B1111,'Bldgs &amp; Rooms'!B7)</f>
        <v>0</v>
      </c>
      <c r="H6" s="46">
        <f>SUMIFS('Components Yr 1'!D2:D1111,'Components Yr 1'!C2:C1111,A6,'Components Yr 1'!B2:B1111,'Bldgs &amp; Rooms'!B8)</f>
        <v>0</v>
      </c>
      <c r="I6" s="46">
        <f>SUMIFS('Components Yr 1'!D2:D1111,'Components Yr 1'!C2:C1111,A6,'Components Yr 1'!B2:B1111,'Bldgs &amp; Rooms'!B9)</f>
        <v>0</v>
      </c>
      <c r="J6" s="46">
        <f>SUMIFS('Components Yr 1'!D2:D1111,'Components Yr 1'!C2:C1111,A6,'Components Yr 1'!B2:B1111,'Bldgs &amp; Rooms'!B10)</f>
        <v>0</v>
      </c>
      <c r="K6" s="46">
        <f>SUMIFS('Components Yr 1'!D2:D1111,'Components Yr 1'!C2:C1111,A6,'Components Yr 1'!B2:B1111,'Bldgs &amp; Rooms'!B11)</f>
        <v>0</v>
      </c>
      <c r="L6" s="46">
        <f>SUMIFS('Components Yr 1'!D2:D1111,'Components Yr 1'!C2:C1111,A6,'Components Yr 1'!B2:B1111,'Bldgs &amp; Rooms'!B12)</f>
        <v>0</v>
      </c>
      <c r="M6" s="46">
        <f>SUMIFS('Components Yr 1'!D2:D1111,'Components Yr 1'!C2:C1111,A6,'Components Yr 1'!B2:B1111,'Bldgs &amp; Rooms'!B13)</f>
        <v>0</v>
      </c>
      <c r="N6" s="46">
        <f>SUMIFS('Components Yr 1'!D2:D1111,'Components Yr 1'!C2:C1111,A6,'Components Yr 1'!B2:B1111,'Bldgs &amp; Rooms'!B14)</f>
        <v>0</v>
      </c>
      <c r="O6" s="46">
        <f>SUMIFS('Components Yr 1'!D2:D1111,'Components Yr 1'!C2:C1111,A6,'Components Yr 1'!B2:B1111,'Bldgs &amp; Rooms'!B15)</f>
        <v>0</v>
      </c>
      <c r="P6" s="46">
        <f>SUMIFS('Components Yr 1'!D2:D1111,'Components Yr 1'!C2:C1111,A6,'Components Yr 1'!B2:B1111,'Bldgs &amp; Rooms'!B16)</f>
        <v>0</v>
      </c>
      <c r="Q6" s="46">
        <f>SUMIFS('Components Yr 1'!D2:D1111,'Components Yr 1'!C2:C1111,A6,'Components Yr 1'!B2:B1111,'Bldgs &amp; Rooms'!B17)</f>
        <v>0</v>
      </c>
      <c r="R6" s="46">
        <f>SUMIFS('Components Yr 1'!D2:D1111,'Components Yr 1'!C2:C1111,A6,'Components Yr 1'!B2:B1111,'Bldgs &amp; Rooms'!B18)</f>
        <v>0</v>
      </c>
      <c r="S6" s="46">
        <f>SUMIFS('Components Yr 1'!D2:D1111,'Components Yr 1'!C2:C1111,A6,'Components Yr 1'!B2:B1111,'Bldgs &amp; Rooms'!B19)</f>
        <v>0</v>
      </c>
      <c r="T6" s="46">
        <f>SUMIFS('Components Yr 1'!D2:D1111,'Components Yr 1'!C2:C1111,A6,'Components Yr 1'!B2:B1111,'Bldgs &amp; Rooms'!B20)</f>
        <v>0</v>
      </c>
      <c r="U6" s="46">
        <f>SUMIFS('Components Yr 1'!D2:D1111,'Components Yr 1'!C2:C1111,A6,'Components Yr 1'!B2:B1111,'Bldgs &amp; Rooms'!B21)</f>
        <v>0</v>
      </c>
      <c r="V6" s="46">
        <f>SUMIFS('Components Yr 1'!D2:D1111,'Components Yr 1'!C2:C1111,A6,'Components Yr 1'!B2:B1111,'Bldgs &amp; Rooms'!B22)</f>
        <v>0</v>
      </c>
      <c r="W6" s="46">
        <f>SUMIFS('Components Yr 1'!D2:D1111,'Components Yr 1'!C2:C1111,A6,'Components Yr 1'!B2:B1111,'Bldgs &amp; Rooms'!B23)</f>
        <v>0</v>
      </c>
      <c r="X6" s="46">
        <f>SUMIFS('Components Yr 1'!D2:D1111,'Components Yr 1'!C2:C1111,A6,'Components Yr 1'!B2:B1111,'Bldgs &amp; Rooms'!B24)</f>
        <v>0</v>
      </c>
      <c r="Y6" s="46">
        <f>SUMIFS('Components Yr 1'!D2:D1111,'Components Yr 1'!C2:C1111,A6,'Components Yr 1'!B2:B1111,'Bldgs &amp; Rooms'!B25)</f>
        <v>0</v>
      </c>
      <c r="Z6" s="46">
        <f>SUMIFS('Components Yr 1'!D2:D1111,'Components Yr 1'!C2:C1111,A6,'Components Yr 1'!B2:B1111,'Bldgs &amp; Rooms'!B26)</f>
        <v>0</v>
      </c>
      <c r="AA6" s="46">
        <f>SUMIFS('Components Yr 1'!D2:D1111,'Components Yr 1'!C2:C1111,A6,'Components Yr 1'!B2:B1111,'Bldgs &amp; Rooms'!B27)</f>
        <v>0</v>
      </c>
      <c r="AB6" s="46">
        <f>SUMIFS('Components Yr 1'!D2:D1111,'Components Yr 1'!C2:C1111,A6,'Components Yr 1'!B2:B1111,'Bldgs &amp; Rooms'!B28)</f>
        <v>0</v>
      </c>
      <c r="AC6" s="46">
        <f>SUMIFS('Components Yr 1'!D2:D1111,'Components Yr 1'!C2:C1111,A6,'Components Yr 1'!B2:B1111,'Bldgs &amp; Rooms'!B29)</f>
        <v>0</v>
      </c>
      <c r="AD6" s="46">
        <f>SUMIFS('Components Yr 1'!D2:D1111,'Components Yr 1'!C2:C1111,A6,'Components Yr 1'!B2:B1111,'Bldgs &amp; Rooms'!B30)</f>
        <v>0</v>
      </c>
      <c r="AE6" s="46">
        <f>SUMIFS('Components Yr 1'!D2:D1111,'Components Yr 1'!C2:C1111,A6,'Components Yr 1'!B2:B1111,'Bldgs &amp; Rooms'!B31)</f>
        <v>0</v>
      </c>
      <c r="AF6" s="47">
        <f t="shared" si="0"/>
        <v>0</v>
      </c>
    </row>
    <row r="7" spans="1:32" x14ac:dyDescent="0.25">
      <c r="A7" s="48" t="s">
        <v>20</v>
      </c>
      <c r="B7" s="49">
        <f>SUMIFS('Components Yr 1'!D2:D1111,'Components Yr 1'!C2:C1111,A7,'Components Yr 1'!B2:B1111,'Bldgs &amp; Rooms'!B2)</f>
        <v>0</v>
      </c>
      <c r="C7" s="49">
        <f>SUMIFS('Components Yr 1'!D2:D1111,'Components Yr 1'!C2:C1111,A7,'Components Yr 1'!B2:B1111,'Bldgs &amp; Rooms'!B3)</f>
        <v>0</v>
      </c>
      <c r="D7" s="49">
        <f>SUMIFS('Components Yr 1'!D2:D1111,'Components Yr 1'!C2:C1111,A7,'Components Yr 1'!B2:B1111,'Bldgs &amp; Rooms'!B4)</f>
        <v>0</v>
      </c>
      <c r="E7" s="49">
        <f>SUMIFS('Components Yr 1'!D2:D1111,'Components Yr 1'!C2:C1111,A7,'Components Yr 1'!B2:B1111,'Bldgs &amp; Rooms'!B5)</f>
        <v>0</v>
      </c>
      <c r="F7" s="49">
        <f>SUMIFS('Components Yr 1'!D2:D1111,'Components Yr 1'!C2:C1111,A7,'Components Yr 1'!B2:B1111,'Bldgs &amp; Rooms'!B6)</f>
        <v>0</v>
      </c>
      <c r="G7" s="49">
        <f>SUMIFS('Components Yr 1'!D2:D1111,'Components Yr 1'!C2:C1111,A7,'Components Yr 1'!B2:B1111,'Bldgs &amp; Rooms'!B7)</f>
        <v>0</v>
      </c>
      <c r="H7" s="49">
        <f>SUMIFS('Components Yr 1'!D2:D1111,'Components Yr 1'!C2:C1111,A7,'Components Yr 1'!B2:B1111,'Bldgs &amp; Rooms'!B8)</f>
        <v>0</v>
      </c>
      <c r="I7" s="49">
        <f>SUMIFS('Components Yr 1'!D2:D1111,'Components Yr 1'!C2:C1111,A7,'Components Yr 1'!B2:B1111,'Bldgs &amp; Rooms'!B9)</f>
        <v>0</v>
      </c>
      <c r="J7" s="49">
        <f>SUMIFS('Components Yr 1'!D2:D1111,'Components Yr 1'!C2:C1111,A7,'Components Yr 1'!B2:B1111,'Bldgs &amp; Rooms'!B10)</f>
        <v>0</v>
      </c>
      <c r="K7" s="49">
        <f>SUMIFS('Components Yr 1'!D2:D1111,'Components Yr 1'!C2:C1111,A7,'Components Yr 1'!B2:B1111,'Bldgs &amp; Rooms'!B11)</f>
        <v>0</v>
      </c>
      <c r="L7" s="49">
        <f>SUMIFS('Components Yr 1'!D2:D1111,'Components Yr 1'!C2:C1111,A7,'Components Yr 1'!B2:B1111,'Bldgs &amp; Rooms'!B12)</f>
        <v>0</v>
      </c>
      <c r="M7" s="49">
        <f>SUMIFS('Components Yr 1'!D2:D1111,'Components Yr 1'!C2:C1111,A7,'Components Yr 1'!B2:B1111,'Bldgs &amp; Rooms'!B13)</f>
        <v>0</v>
      </c>
      <c r="N7" s="49">
        <f>SUMIFS('Components Yr 1'!D2:D1111,'Components Yr 1'!C2:C1111,A7,'Components Yr 1'!B2:B1111,'Bldgs &amp; Rooms'!B14)</f>
        <v>0</v>
      </c>
      <c r="O7" s="49">
        <f>SUMIFS('Components Yr 1'!D2:D1111,'Components Yr 1'!C2:C1111,A7,'Components Yr 1'!B2:B1111,'Bldgs &amp; Rooms'!B15)</f>
        <v>0</v>
      </c>
      <c r="P7" s="49">
        <f>SUMIFS('Components Yr 1'!D2:D1111,'Components Yr 1'!C2:C1111,A7,'Components Yr 1'!B2:B1111,'Bldgs &amp; Rooms'!B16)</f>
        <v>0</v>
      </c>
      <c r="Q7" s="49">
        <f>SUMIFS('Components Yr 1'!D2:D1111,'Components Yr 1'!C2:C1111,A7,'Components Yr 1'!B2:B1111,'Bldgs &amp; Rooms'!B17)</f>
        <v>0</v>
      </c>
      <c r="R7" s="49">
        <f>SUMIFS('Components Yr 1'!D2:D1111,'Components Yr 1'!C2:C1111,A7,'Components Yr 1'!B2:B1111,'Bldgs &amp; Rooms'!B18)</f>
        <v>0</v>
      </c>
      <c r="S7" s="49">
        <f>SUMIFS('Components Yr 1'!D2:D1111,'Components Yr 1'!C2:C1111,A7,'Components Yr 1'!B2:B1111,'Bldgs &amp; Rooms'!B19)</f>
        <v>0</v>
      </c>
      <c r="T7" s="49">
        <f>SUMIFS('Components Yr 1'!D2:D1111,'Components Yr 1'!C2:C1111,A7,'Components Yr 1'!B2:B1111,'Bldgs &amp; Rooms'!B20)</f>
        <v>0</v>
      </c>
      <c r="U7" s="49">
        <f>SUMIFS('Components Yr 1'!D2:D1111,'Components Yr 1'!C2:C1111,A7,'Components Yr 1'!B2:B1111,'Bldgs &amp; Rooms'!B21)</f>
        <v>0</v>
      </c>
      <c r="V7" s="49">
        <f>SUMIFS('Components Yr 1'!D2:D1111,'Components Yr 1'!C2:C1111,A7,'Components Yr 1'!B2:B1111,'Bldgs &amp; Rooms'!B22)</f>
        <v>0</v>
      </c>
      <c r="W7" s="49">
        <f>SUMIFS('Components Yr 1'!D2:D1111,'Components Yr 1'!C2:C1111,A7,'Components Yr 1'!B2:B1111,'Bldgs &amp; Rooms'!B23)</f>
        <v>0</v>
      </c>
      <c r="X7" s="49">
        <f>SUMIFS('Components Yr 1'!D2:D1111,'Components Yr 1'!C2:C1111,A7,'Components Yr 1'!B2:B1111,'Bldgs &amp; Rooms'!B24)</f>
        <v>0</v>
      </c>
      <c r="Y7" s="49">
        <f>SUMIFS('Components Yr 1'!D2:D1111,'Components Yr 1'!C2:C1111,A7,'Components Yr 1'!B2:B1111,'Bldgs &amp; Rooms'!B25)</f>
        <v>0</v>
      </c>
      <c r="Z7" s="49">
        <f>SUMIFS('Components Yr 1'!D2:D1111,'Components Yr 1'!C2:C1111,A7,'Components Yr 1'!B2:B1111,'Bldgs &amp; Rooms'!B26)</f>
        <v>0</v>
      </c>
      <c r="AA7" s="49">
        <f>SUMIFS('Components Yr 1'!D2:D1111,'Components Yr 1'!C2:C1111,A7,'Components Yr 1'!B2:B1111,'Bldgs &amp; Rooms'!B27)</f>
        <v>0</v>
      </c>
      <c r="AB7" s="49">
        <f>SUMIFS('Components Yr 1'!D2:D1111,'Components Yr 1'!C2:C1111,A7,'Components Yr 1'!B2:B1111,'Bldgs &amp; Rooms'!B28)</f>
        <v>0</v>
      </c>
      <c r="AC7" s="49">
        <f>SUMIFS('Components Yr 1'!D2:D1111,'Components Yr 1'!C2:C1111,A7,'Components Yr 1'!B2:B1111,'Bldgs &amp; Rooms'!B29)</f>
        <v>0</v>
      </c>
      <c r="AD7" s="49">
        <f>SUMIFS('Components Yr 1'!D2:D1111,'Components Yr 1'!C2:C1111,A7,'Components Yr 1'!B2:B1111,'Bldgs &amp; Rooms'!B30)</f>
        <v>0</v>
      </c>
      <c r="AE7" s="49">
        <f>SUMIFS('Components Yr 1'!D2:D1111,'Components Yr 1'!C2:C1111,A7,'Components Yr 1'!B2:B1111,'Bldgs &amp; Rooms'!B31)</f>
        <v>0</v>
      </c>
      <c r="AF7" s="47">
        <f t="shared" si="0"/>
        <v>0</v>
      </c>
    </row>
    <row r="8" spans="1:32" x14ac:dyDescent="0.25">
      <c r="A8" s="45" t="s">
        <v>21</v>
      </c>
      <c r="B8" s="46">
        <f>SUMIFS('Components Yr 1'!D2:D1111,'Components Yr 1'!C2:C1111,A8,'Components Yr 1'!B2:B1111,'Bldgs &amp; Rooms'!B2)</f>
        <v>0</v>
      </c>
      <c r="C8" s="46">
        <f>SUMIFS('Components Yr 1'!D2:D1111,'Components Yr 1'!C2:C1111,A8,'Components Yr 1'!B2:B1111,'Bldgs &amp; Rooms'!B3)</f>
        <v>0</v>
      </c>
      <c r="D8" s="46">
        <f>SUMIFS('Components Yr 1'!D2:D1111,'Components Yr 1'!C2:C1111,A8,'Components Yr 1'!B2:B1111,'Bldgs &amp; Rooms'!B4)</f>
        <v>0</v>
      </c>
      <c r="E8" s="46">
        <f>SUMIFS('Components Yr 1'!D2:D1111,'Components Yr 1'!C2:C1111,A8,'Components Yr 1'!B2:B1111,'Bldgs &amp; Rooms'!B5)</f>
        <v>0</v>
      </c>
      <c r="F8" s="46">
        <f>SUMIFS('Components Yr 1'!D2:D1111,'Components Yr 1'!C2:C1111,A8,'Components Yr 1'!B2:B1111,'Bldgs &amp; Rooms'!B6)</f>
        <v>0</v>
      </c>
      <c r="G8" s="46">
        <f>SUMIFS('Components Yr 1'!D2:D1111,'Components Yr 1'!C2:C1111,A8,'Components Yr 1'!B2:B1111,'Bldgs &amp; Rooms'!B7)</f>
        <v>0</v>
      </c>
      <c r="H8" s="46">
        <f>SUMIFS('Components Yr 1'!D2:D1111,'Components Yr 1'!C2:C1111,A8,'Components Yr 1'!B2:B1111,'Bldgs &amp; Rooms'!B8)</f>
        <v>0</v>
      </c>
      <c r="I8" s="46">
        <f>SUMIFS('Components Yr 1'!D2:D1111,'Components Yr 1'!C2:C1111,A8,'Components Yr 1'!B2:B1111,'Bldgs &amp; Rooms'!B9)</f>
        <v>0</v>
      </c>
      <c r="J8" s="46">
        <f>SUMIFS('Components Yr 1'!D2:D1111,'Components Yr 1'!C2:C1111,A8,'Components Yr 1'!B2:B1111,'Bldgs &amp; Rooms'!B10)</f>
        <v>0</v>
      </c>
      <c r="K8" s="46">
        <f>SUMIFS('Components Yr 1'!D2:D1111,'Components Yr 1'!C2:C1111,A8,'Components Yr 1'!B2:B1111,'Bldgs &amp; Rooms'!B11)</f>
        <v>0</v>
      </c>
      <c r="L8" s="46">
        <f>SUMIFS('Components Yr 1'!D2:D1111,'Components Yr 1'!C2:C1111,A8,'Components Yr 1'!B2:B1111,'Bldgs &amp; Rooms'!B12)</f>
        <v>0</v>
      </c>
      <c r="M8" s="46">
        <f>SUMIFS('Components Yr 1'!D2:D1111,'Components Yr 1'!C2:C1111,A8,'Components Yr 1'!B2:B1111,'Bldgs &amp; Rooms'!B13)</f>
        <v>0</v>
      </c>
      <c r="N8" s="46">
        <f>SUMIFS('Components Yr 1'!D2:D1111,'Components Yr 1'!C2:C1111,A8,'Components Yr 1'!B2:B1111,'Bldgs &amp; Rooms'!B14)</f>
        <v>0</v>
      </c>
      <c r="O8" s="46">
        <f>SUMIFS('Components Yr 1'!D2:D1111,'Components Yr 1'!C2:C1111,A8,'Components Yr 1'!B2:B1111,'Bldgs &amp; Rooms'!B15)</f>
        <v>0</v>
      </c>
      <c r="P8" s="46">
        <f>SUMIFS('Components Yr 1'!D2:D1111,'Components Yr 1'!C2:C1111,A8,'Components Yr 1'!B2:B1111,'Bldgs &amp; Rooms'!B16)</f>
        <v>0</v>
      </c>
      <c r="Q8" s="46">
        <f>SUMIFS('Components Yr 1'!D2:D1111,'Components Yr 1'!C2:C1111,A8,'Components Yr 1'!B2:B1111,'Bldgs &amp; Rooms'!B17)</f>
        <v>0</v>
      </c>
      <c r="R8" s="46">
        <f>SUMIFS('Components Yr 1'!D2:D1111,'Components Yr 1'!C2:C1111,A8,'Components Yr 1'!B2:B1111,'Bldgs &amp; Rooms'!B18)</f>
        <v>0</v>
      </c>
      <c r="S8" s="46">
        <f>SUMIFS('Components Yr 1'!D2:D1111,'Components Yr 1'!C2:C1111,A8,'Components Yr 1'!B2:B1111,'Bldgs &amp; Rooms'!B19)</f>
        <v>0</v>
      </c>
      <c r="T8" s="46">
        <f>SUMIFS('Components Yr 1'!D2:D1111,'Components Yr 1'!C2:C1111,A8,'Components Yr 1'!B2:B1111,'Bldgs &amp; Rooms'!B20)</f>
        <v>0</v>
      </c>
      <c r="U8" s="46">
        <f>SUMIFS('Components Yr 1'!D2:D1111,'Components Yr 1'!C2:C1111,A8,'Components Yr 1'!B2:B1111,'Bldgs &amp; Rooms'!B21)</f>
        <v>0</v>
      </c>
      <c r="V8" s="46">
        <f>SUMIFS('Components Yr 1'!D2:D1111,'Components Yr 1'!C2:C1111,A8,'Components Yr 1'!B2:B1111,'Bldgs &amp; Rooms'!B22)</f>
        <v>0</v>
      </c>
      <c r="W8" s="46">
        <f>SUMIFS('Components Yr 1'!D2:D1111,'Components Yr 1'!C2:C1111,A8,'Components Yr 1'!B2:B1111,'Bldgs &amp; Rooms'!B23)</f>
        <v>0</v>
      </c>
      <c r="X8" s="46">
        <f>SUMIFS('Components Yr 1'!D2:D1111,'Components Yr 1'!C2:C1111,A8,'Components Yr 1'!B2:B1111,'Bldgs &amp; Rooms'!B24)</f>
        <v>0</v>
      </c>
      <c r="Y8" s="46">
        <f>SUMIFS('Components Yr 1'!D2:D1111,'Components Yr 1'!C2:C1111,A8,'Components Yr 1'!B2:B1111,'Bldgs &amp; Rooms'!B25)</f>
        <v>0</v>
      </c>
      <c r="Z8" s="46">
        <f>SUMIFS('Components Yr 1'!D2:D1111,'Components Yr 1'!C2:C1111,A8,'Components Yr 1'!B2:B1111,'Bldgs &amp; Rooms'!B26)</f>
        <v>0</v>
      </c>
      <c r="AA8" s="46">
        <f>SUMIFS('Components Yr 1'!D2:D1111,'Components Yr 1'!C2:C1111,A8,'Components Yr 1'!B2:B1111,'Bldgs &amp; Rooms'!B27)</f>
        <v>0</v>
      </c>
      <c r="AB8" s="46">
        <f>SUMIFS('Components Yr 1'!D2:D1111,'Components Yr 1'!C2:C1111,A8,'Components Yr 1'!B2:B1111,'Bldgs &amp; Rooms'!B28)</f>
        <v>0</v>
      </c>
      <c r="AC8" s="46">
        <f>SUMIFS('Components Yr 1'!D2:D1111,'Components Yr 1'!C2:C1111,A8,'Components Yr 1'!B2:B1111,'Bldgs &amp; Rooms'!B29)</f>
        <v>0</v>
      </c>
      <c r="AD8" s="46">
        <f>SUMIFS('Components Yr 1'!D2:D1111,'Components Yr 1'!C2:C1111,A8,'Components Yr 1'!B2:B1111,'Bldgs &amp; Rooms'!B30)</f>
        <v>0</v>
      </c>
      <c r="AE8" s="46">
        <f>SUMIFS('Components Yr 1'!D2:D1111,'Components Yr 1'!C2:C1111,A8,'Components Yr 1'!B2:B1111,'Bldgs &amp; Rooms'!B31)</f>
        <v>0</v>
      </c>
      <c r="AF8" s="47">
        <f t="shared" si="0"/>
        <v>0</v>
      </c>
    </row>
    <row r="9" spans="1:32" x14ac:dyDescent="0.25">
      <c r="A9" s="48" t="s">
        <v>22</v>
      </c>
      <c r="B9" s="49">
        <f>SUMIFS('Components Yr 1'!D2:D1111,'Components Yr 1'!C2:C1111,A9,'Components Yr 1'!B2:B1111,'Bldgs &amp; Rooms'!B2)</f>
        <v>0</v>
      </c>
      <c r="C9" s="49">
        <f>SUMIFS('Components Yr 1'!D2:D1111,'Components Yr 1'!C2:C1111,A9,'Components Yr 1'!B2:B1111,'Bldgs &amp; Rooms'!B3)</f>
        <v>0</v>
      </c>
      <c r="D9" s="49">
        <f>SUMIFS('Components Yr 1'!D2:D1111,'Components Yr 1'!C2:C1111,A9,'Components Yr 1'!B2:B1111,'Bldgs &amp; Rooms'!B4)</f>
        <v>0</v>
      </c>
      <c r="E9" s="49">
        <f>SUMIFS('Components Yr 1'!D2:D1111,'Components Yr 1'!C2:C1111,A9,'Components Yr 1'!B2:B1111,'Bldgs &amp; Rooms'!B5)</f>
        <v>0</v>
      </c>
      <c r="F9" s="49">
        <f>SUMIFS('Components Yr 1'!D2:D1111,'Components Yr 1'!C2:C1111,A9,'Components Yr 1'!B2:B1111,'Bldgs &amp; Rooms'!B6)</f>
        <v>0</v>
      </c>
      <c r="G9" s="49">
        <f>SUMIFS('Components Yr 1'!D2:D1111,'Components Yr 1'!C2:C1111,A9,'Components Yr 1'!B2:B1111,'Bldgs &amp; Rooms'!B7)</f>
        <v>0</v>
      </c>
      <c r="H9" s="49">
        <f>SUMIFS('Components Yr 1'!D2:D1111,'Components Yr 1'!C2:C1111,A9,'Components Yr 1'!B2:B1111,'Bldgs &amp; Rooms'!B8)</f>
        <v>0</v>
      </c>
      <c r="I9" s="49">
        <f>SUMIFS('Components Yr 1'!D2:D1111,'Components Yr 1'!C2:C1111,A9,'Components Yr 1'!B2:B1111,'Bldgs &amp; Rooms'!B9)</f>
        <v>0</v>
      </c>
      <c r="J9" s="49">
        <f>SUMIFS('Components Yr 1'!D2:D1111,'Components Yr 1'!C2:C1111,A9,'Components Yr 1'!B2:B1111,'Bldgs &amp; Rooms'!B10)</f>
        <v>0</v>
      </c>
      <c r="K9" s="49">
        <f>SUMIFS('Components Yr 1'!D2:D1111,'Components Yr 1'!C2:C1111,A9,'Components Yr 1'!B2:B1111,'Bldgs &amp; Rooms'!B11)</f>
        <v>0</v>
      </c>
      <c r="L9" s="49">
        <f>SUMIFS('Components Yr 1'!D2:D1111,'Components Yr 1'!C2:C1111,A9,'Components Yr 1'!B2:B1111,'Bldgs &amp; Rooms'!B12)</f>
        <v>0</v>
      </c>
      <c r="M9" s="49">
        <f>SUMIFS('Components Yr 1'!D2:D1111,'Components Yr 1'!C2:C1111,A9,'Components Yr 1'!B2:B1111,'Bldgs &amp; Rooms'!B13)</f>
        <v>0</v>
      </c>
      <c r="N9" s="49">
        <f>SUMIFS('Components Yr 1'!D2:D1111,'Components Yr 1'!C2:C1111,A9,'Components Yr 1'!B2:B1111,'Bldgs &amp; Rooms'!B14)</f>
        <v>0</v>
      </c>
      <c r="O9" s="49">
        <f>SUMIFS('Components Yr 1'!D2:D1111,'Components Yr 1'!C2:C1111,A9,'Components Yr 1'!B2:B1111,'Bldgs &amp; Rooms'!B15)</f>
        <v>0</v>
      </c>
      <c r="P9" s="49">
        <f>SUMIFS('Components Yr 1'!D2:D1111,'Components Yr 1'!C2:C1111,A9,'Components Yr 1'!B2:B1111,'Bldgs &amp; Rooms'!B16)</f>
        <v>0</v>
      </c>
      <c r="Q9" s="49">
        <f>SUMIFS('Components Yr 1'!D2:D1111,'Components Yr 1'!C2:C1111,A9,'Components Yr 1'!B2:B1111,'Bldgs &amp; Rooms'!B17)</f>
        <v>0</v>
      </c>
      <c r="R9" s="49">
        <f>SUMIFS('Components Yr 1'!D2:D1111,'Components Yr 1'!C2:C1111,A9,'Components Yr 1'!B2:B1111,'Bldgs &amp; Rooms'!B18)</f>
        <v>0</v>
      </c>
      <c r="S9" s="49">
        <f>SUMIFS('Components Yr 1'!D2:D1111,'Components Yr 1'!C2:C1111,A9,'Components Yr 1'!B2:B1111,'Bldgs &amp; Rooms'!B19)</f>
        <v>0</v>
      </c>
      <c r="T9" s="49">
        <f>SUMIFS('Components Yr 1'!D2:D1111,'Components Yr 1'!C2:C1111,A9,'Components Yr 1'!B2:B1111,'Bldgs &amp; Rooms'!B20)</f>
        <v>0</v>
      </c>
      <c r="U9" s="49">
        <f>SUMIFS('Components Yr 1'!D2:D1111,'Components Yr 1'!C2:C1111,A9,'Components Yr 1'!B2:B1111,'Bldgs &amp; Rooms'!B21)</f>
        <v>0</v>
      </c>
      <c r="V9" s="49">
        <f>SUMIFS('Components Yr 1'!D2:D1111,'Components Yr 1'!C2:C1111,A9,'Components Yr 1'!B2:B1111,'Bldgs &amp; Rooms'!B22)</f>
        <v>0</v>
      </c>
      <c r="W9" s="49">
        <f>SUMIFS('Components Yr 1'!D2:D1111,'Components Yr 1'!C2:C1111,A9,'Components Yr 1'!B2:B1111,'Bldgs &amp; Rooms'!B23)</f>
        <v>0</v>
      </c>
      <c r="X9" s="49">
        <f>SUMIFS('Components Yr 1'!D2:D1111,'Components Yr 1'!C2:C1111,A9,'Components Yr 1'!B2:B1111,'Bldgs &amp; Rooms'!B24)</f>
        <v>0</v>
      </c>
      <c r="Y9" s="49">
        <f>SUMIFS('Components Yr 1'!D2:D1111,'Components Yr 1'!C2:C1111,A9,'Components Yr 1'!B2:B1111,'Bldgs &amp; Rooms'!B25)</f>
        <v>0</v>
      </c>
      <c r="Z9" s="49">
        <f>SUMIFS('Components Yr 1'!D2:D1111,'Components Yr 1'!C2:C1111,A9,'Components Yr 1'!B2:B1111,'Bldgs &amp; Rooms'!B26)</f>
        <v>0</v>
      </c>
      <c r="AA9" s="49">
        <f>SUMIFS('Components Yr 1'!D2:D1111,'Components Yr 1'!C2:C1111,A9,'Components Yr 1'!B2:B1111,'Bldgs &amp; Rooms'!B27)</f>
        <v>0</v>
      </c>
      <c r="AB9" s="49">
        <f>SUMIFS('Components Yr 1'!D2:D1111,'Components Yr 1'!C2:C1111,A9,'Components Yr 1'!B2:B1111,'Bldgs &amp; Rooms'!B28)</f>
        <v>0</v>
      </c>
      <c r="AC9" s="49">
        <f>SUMIFS('Components Yr 1'!D2:D1111,'Components Yr 1'!C2:C1111,A9,'Components Yr 1'!B2:B1111,'Bldgs &amp; Rooms'!B29)</f>
        <v>0</v>
      </c>
      <c r="AD9" s="49">
        <f>SUMIFS('Components Yr 1'!D2:D1111,'Components Yr 1'!C2:C1111,A9,'Components Yr 1'!B2:B1111,'Bldgs &amp; Rooms'!B30)</f>
        <v>0</v>
      </c>
      <c r="AE9" s="49">
        <f>SUMIFS('Components Yr 1'!D2:D1111,'Components Yr 1'!C2:C1111,A9,'Components Yr 1'!B2:B1111,'Bldgs &amp; Rooms'!B31)</f>
        <v>0</v>
      </c>
      <c r="AF9" s="47">
        <f t="shared" si="0"/>
        <v>0</v>
      </c>
    </row>
    <row r="10" spans="1:32" x14ac:dyDescent="0.25">
      <c r="A10" s="45" t="s">
        <v>23</v>
      </c>
      <c r="B10" s="46">
        <f>SUMIFS('Components Yr 1'!D2:D1111,'Components Yr 1'!C2:C1111,A10,'Components Yr 1'!B2:B1111,'Bldgs &amp; Rooms'!B2)</f>
        <v>0</v>
      </c>
      <c r="C10" s="46">
        <f>SUMIFS('Components Yr 1'!D2:D1111,'Components Yr 1'!C2:C1111,A10,'Components Yr 1'!B2:B1111,'Bldgs &amp; Rooms'!B3)</f>
        <v>0</v>
      </c>
      <c r="D10" s="46">
        <f>SUMIFS('Components Yr 1'!D2:D1111,'Components Yr 1'!C2:C1111,A10,'Components Yr 1'!B2:B1111,'Bldgs &amp; Rooms'!B4)</f>
        <v>0</v>
      </c>
      <c r="E10" s="46">
        <f>SUMIFS('Components Yr 1'!D2:D1111,'Components Yr 1'!C2:C1111,A10,'Components Yr 1'!B2:B1111,'Bldgs &amp; Rooms'!B5)</f>
        <v>0</v>
      </c>
      <c r="F10" s="46">
        <f>SUMIFS('Components Yr 1'!D2:D1111,'Components Yr 1'!C2:C1111,A10,'Components Yr 1'!B2:B1111,'Bldgs &amp; Rooms'!B6)</f>
        <v>0</v>
      </c>
      <c r="G10" s="46">
        <f>SUMIFS('Components Yr 1'!D2:D1111,'Components Yr 1'!C2:C1111,A10,'Components Yr 1'!B2:B1111,'Bldgs &amp; Rooms'!B7)</f>
        <v>0</v>
      </c>
      <c r="H10" s="46">
        <f>SUMIFS('Components Yr 1'!D2:D1111,'Components Yr 1'!C2:C1111,A10,'Components Yr 1'!B2:B1111,'Bldgs &amp; Rooms'!B8)</f>
        <v>0</v>
      </c>
      <c r="I10" s="46">
        <f>SUMIFS('Components Yr 1'!D2:D1111,'Components Yr 1'!C2:C1111,A10,'Components Yr 1'!B2:B1111,'Bldgs &amp; Rooms'!B9)</f>
        <v>0</v>
      </c>
      <c r="J10" s="46">
        <f>SUMIFS('Components Yr 1'!D2:D1111,'Components Yr 1'!C2:C1111,A10,'Components Yr 1'!B2:B1111,'Bldgs &amp; Rooms'!B10)</f>
        <v>0</v>
      </c>
      <c r="K10" s="46">
        <f>SUMIFS('Components Yr 1'!D2:D1111,'Components Yr 1'!C2:C1111,A10,'Components Yr 1'!B2:B1111,'Bldgs &amp; Rooms'!B11)</f>
        <v>0</v>
      </c>
      <c r="L10" s="46">
        <f>SUMIFS('Components Yr 1'!D2:D1111,'Components Yr 1'!C2:C1111,A10,'Components Yr 1'!B2:B1111,'Bldgs &amp; Rooms'!B12)</f>
        <v>0</v>
      </c>
      <c r="M10" s="46">
        <f>SUMIFS('Components Yr 1'!D2:D1111,'Components Yr 1'!C2:C1111,A10,'Components Yr 1'!B2:B1111,'Bldgs &amp; Rooms'!B13)</f>
        <v>0</v>
      </c>
      <c r="N10" s="46">
        <f>SUMIFS('Components Yr 1'!D2:D1111,'Components Yr 1'!C2:C1111,A10,'Components Yr 1'!B2:B1111,'Bldgs &amp; Rooms'!B14)</f>
        <v>0</v>
      </c>
      <c r="O10" s="46">
        <f>SUMIFS('Components Yr 1'!D2:D1111,'Components Yr 1'!C2:C1111,A10,'Components Yr 1'!B2:B1111,'Bldgs &amp; Rooms'!B15)</f>
        <v>0</v>
      </c>
      <c r="P10" s="46">
        <f>SUMIFS('Components Yr 1'!D2:D1111,'Components Yr 1'!C2:C1111,A10,'Components Yr 1'!B2:B1111,'Bldgs &amp; Rooms'!B16)</f>
        <v>0</v>
      </c>
      <c r="Q10" s="46">
        <f>SUMIFS('Components Yr 1'!D2:D1111,'Components Yr 1'!C2:C1111,A10,'Components Yr 1'!B2:B1111,'Bldgs &amp; Rooms'!B17)</f>
        <v>0</v>
      </c>
      <c r="R10" s="46">
        <f>SUMIFS('Components Yr 1'!D2:D1111,'Components Yr 1'!C2:C1111,A10,'Components Yr 1'!B2:B1111,'Bldgs &amp; Rooms'!B18)</f>
        <v>0</v>
      </c>
      <c r="S10" s="46">
        <f>SUMIFS('Components Yr 1'!D2:D1111,'Components Yr 1'!C2:C1111,A10,'Components Yr 1'!B2:B1111,'Bldgs &amp; Rooms'!B19)</f>
        <v>0</v>
      </c>
      <c r="T10" s="46">
        <f>SUMIFS('Components Yr 1'!D2:D1111,'Components Yr 1'!C2:C1111,A10,'Components Yr 1'!B2:B1111,'Bldgs &amp; Rooms'!B20)</f>
        <v>0</v>
      </c>
      <c r="U10" s="46">
        <f>SUMIFS('Components Yr 1'!D2:D1111,'Components Yr 1'!C2:C1111,A10,'Components Yr 1'!B2:B1111,'Bldgs &amp; Rooms'!B21)</f>
        <v>0</v>
      </c>
      <c r="V10" s="46">
        <f>SUMIFS('Components Yr 1'!D2:D1111,'Components Yr 1'!C2:C1111,A10,'Components Yr 1'!B2:B1111,'Bldgs &amp; Rooms'!B22)</f>
        <v>0</v>
      </c>
      <c r="W10" s="46">
        <f>SUMIFS('Components Yr 1'!D2:D1111,'Components Yr 1'!C2:C1111,A10,'Components Yr 1'!B2:B1111,'Bldgs &amp; Rooms'!B23)</f>
        <v>0</v>
      </c>
      <c r="X10" s="46">
        <f>SUMIFS('Components Yr 1'!D2:D1111,'Components Yr 1'!C2:C1111,A10,'Components Yr 1'!B2:B1111,'Bldgs &amp; Rooms'!B24)</f>
        <v>0</v>
      </c>
      <c r="Y10" s="46">
        <f>SUMIFS('Components Yr 1'!D2:D1111,'Components Yr 1'!C2:C1111,A10,'Components Yr 1'!B2:B1111,'Bldgs &amp; Rooms'!B25)</f>
        <v>0</v>
      </c>
      <c r="Z10" s="46">
        <f>SUMIFS('Components Yr 1'!D2:D1111,'Components Yr 1'!C2:C1111,A10,'Components Yr 1'!B2:B1111,'Bldgs &amp; Rooms'!B26)</f>
        <v>0</v>
      </c>
      <c r="AA10" s="46">
        <f>SUMIFS('Components Yr 1'!D2:D1111,'Components Yr 1'!C2:C1111,A10,'Components Yr 1'!B2:B1111,'Bldgs &amp; Rooms'!B27)</f>
        <v>0</v>
      </c>
      <c r="AB10" s="46">
        <f>SUMIFS('Components Yr 1'!D2:D1111,'Components Yr 1'!C2:C1111,A10,'Components Yr 1'!B2:B1111,'Bldgs &amp; Rooms'!B28)</f>
        <v>0</v>
      </c>
      <c r="AC10" s="46">
        <f>SUMIFS('Components Yr 1'!D2:D1111,'Components Yr 1'!C2:C1111,A10,'Components Yr 1'!B2:B1111,'Bldgs &amp; Rooms'!B29)</f>
        <v>0</v>
      </c>
      <c r="AD10" s="46">
        <f>SUMIFS('Components Yr 1'!D2:D1111,'Components Yr 1'!C2:C1111,A10,'Components Yr 1'!B2:B1111,'Bldgs &amp; Rooms'!B30)</f>
        <v>0</v>
      </c>
      <c r="AE10" s="46">
        <f>SUMIFS('Components Yr 1'!D2:D1111,'Components Yr 1'!C2:C1111,A10,'Components Yr 1'!B2:B1111,'Bldgs &amp; Rooms'!B31)</f>
        <v>0</v>
      </c>
      <c r="AF10" s="47">
        <f t="shared" si="0"/>
        <v>0</v>
      </c>
    </row>
    <row r="11" spans="1:32" x14ac:dyDescent="0.25">
      <c r="A11" s="48" t="s">
        <v>24</v>
      </c>
      <c r="B11" s="49">
        <f>SUMIFS('Components Yr 1'!D2:D1111,'Components Yr 1'!C2:C1111,A11,'Components Yr 1'!B2:B1111,'Bldgs &amp; Rooms'!B2)</f>
        <v>0</v>
      </c>
      <c r="C11" s="49">
        <f>SUMIFS('Components Yr 1'!D2:D1111,'Components Yr 1'!C2:C1111,A11,'Components Yr 1'!B2:B1111,'Bldgs &amp; Rooms'!B3)</f>
        <v>0</v>
      </c>
      <c r="D11" s="49">
        <f>SUMIFS('Components Yr 1'!D2:D1111,'Components Yr 1'!C2:C1111,A11,'Components Yr 1'!B2:B1111,'Bldgs &amp; Rooms'!B4)</f>
        <v>0</v>
      </c>
      <c r="E11" s="49">
        <f>SUMIFS('Components Yr 1'!D2:D1111,'Components Yr 1'!C2:C1111,A11,'Components Yr 1'!B2:B1111,'Bldgs &amp; Rooms'!B5)</f>
        <v>0</v>
      </c>
      <c r="F11" s="49">
        <f>SUMIFS('Components Yr 1'!D2:D1111,'Components Yr 1'!C2:C1111,A11,'Components Yr 1'!B2:B1111,'Bldgs &amp; Rooms'!B6)</f>
        <v>0</v>
      </c>
      <c r="G11" s="49">
        <f>SUMIFS('Components Yr 1'!D2:D1111,'Components Yr 1'!C2:C1111,A11,'Components Yr 1'!B2:B1111,'Bldgs &amp; Rooms'!B7)</f>
        <v>0</v>
      </c>
      <c r="H11" s="49">
        <f>SUMIFS('Components Yr 1'!D2:D1111,'Components Yr 1'!C2:C1111,A11,'Components Yr 1'!B2:B1111,'Bldgs &amp; Rooms'!B8)</f>
        <v>0</v>
      </c>
      <c r="I11" s="49">
        <f>SUMIFS('Components Yr 1'!D2:D1111,'Components Yr 1'!C2:C1111,A11,'Components Yr 1'!B2:B1111,'Bldgs &amp; Rooms'!B9)</f>
        <v>0</v>
      </c>
      <c r="J11" s="49">
        <f>SUMIFS('Components Yr 1'!D2:D1111,'Components Yr 1'!C2:C1111,A11,'Components Yr 1'!B2:B1111,'Bldgs &amp; Rooms'!B10)</f>
        <v>0</v>
      </c>
      <c r="K11" s="49">
        <f>SUMIFS('Components Yr 1'!D2:D1111,'Components Yr 1'!C2:C1111,A11,'Components Yr 1'!B2:B1111,'Bldgs &amp; Rooms'!B11)</f>
        <v>0</v>
      </c>
      <c r="L11" s="49">
        <f>SUMIFS('Components Yr 1'!D2:D1111,'Components Yr 1'!C2:C1111,A11,'Components Yr 1'!B2:B1111,'Bldgs &amp; Rooms'!B12)</f>
        <v>0</v>
      </c>
      <c r="M11" s="49">
        <f>SUMIFS('Components Yr 1'!D2:D1111,'Components Yr 1'!C2:C1111,A11,'Components Yr 1'!B2:B1111,'Bldgs &amp; Rooms'!B13)</f>
        <v>0</v>
      </c>
      <c r="N11" s="49">
        <f>SUMIFS('Components Yr 1'!D2:D1111,'Components Yr 1'!C2:C1111,A11,'Components Yr 1'!B2:B1111,'Bldgs &amp; Rooms'!B14)</f>
        <v>0</v>
      </c>
      <c r="O11" s="49">
        <f>SUMIFS('Components Yr 1'!D2:D1111,'Components Yr 1'!C2:C1111,A11,'Components Yr 1'!B2:B1111,'Bldgs &amp; Rooms'!B15)</f>
        <v>0</v>
      </c>
      <c r="P11" s="49">
        <f>SUMIFS('Components Yr 1'!D2:D1111,'Components Yr 1'!C2:C1111,A11,'Components Yr 1'!B2:B1111,'Bldgs &amp; Rooms'!B16)</f>
        <v>0</v>
      </c>
      <c r="Q11" s="49">
        <f>SUMIFS('Components Yr 1'!D2:D1111,'Components Yr 1'!C2:C1111,A11,'Components Yr 1'!B2:B1111,'Bldgs &amp; Rooms'!B17)</f>
        <v>0</v>
      </c>
      <c r="R11" s="49">
        <f>SUMIFS('Components Yr 1'!D2:D1111,'Components Yr 1'!C2:C1111,A11,'Components Yr 1'!B2:B1111,'Bldgs &amp; Rooms'!B18)</f>
        <v>0</v>
      </c>
      <c r="S11" s="49">
        <f>SUMIFS('Components Yr 1'!D2:D1111,'Components Yr 1'!C2:C1111,A11,'Components Yr 1'!B2:B1111,'Bldgs &amp; Rooms'!B19)</f>
        <v>0</v>
      </c>
      <c r="T11" s="49">
        <f>SUMIFS('Components Yr 1'!D2:D1111,'Components Yr 1'!C2:C1111,A11,'Components Yr 1'!B2:B1111,'Bldgs &amp; Rooms'!B20)</f>
        <v>0</v>
      </c>
      <c r="U11" s="49">
        <f>SUMIFS('Components Yr 1'!D2:D1111,'Components Yr 1'!C2:C1111,A11,'Components Yr 1'!B2:B1111,'Bldgs &amp; Rooms'!B21)</f>
        <v>0</v>
      </c>
      <c r="V11" s="49">
        <f>SUMIFS('Components Yr 1'!D2:D1111,'Components Yr 1'!C2:C1111,A11,'Components Yr 1'!B2:B1111,'Bldgs &amp; Rooms'!B22)</f>
        <v>0</v>
      </c>
      <c r="W11" s="49">
        <f>SUMIFS('Components Yr 1'!D2:D1111,'Components Yr 1'!C2:C1111,A11,'Components Yr 1'!B2:B1111,'Bldgs &amp; Rooms'!B23)</f>
        <v>0</v>
      </c>
      <c r="X11" s="49">
        <f>SUMIFS('Components Yr 1'!D2:D1111,'Components Yr 1'!C2:C1111,A11,'Components Yr 1'!B2:B1111,'Bldgs &amp; Rooms'!B24)</f>
        <v>0</v>
      </c>
      <c r="Y11" s="49">
        <f>SUMIFS('Components Yr 1'!D2:D1111,'Components Yr 1'!C2:C1111,A11,'Components Yr 1'!B2:B1111,'Bldgs &amp; Rooms'!B25)</f>
        <v>0</v>
      </c>
      <c r="Z11" s="49">
        <f>SUMIFS('Components Yr 1'!D2:D1111,'Components Yr 1'!C2:C1111,A11,'Components Yr 1'!B2:B1111,'Bldgs &amp; Rooms'!B26)</f>
        <v>0</v>
      </c>
      <c r="AA11" s="49">
        <f>SUMIFS('Components Yr 1'!D2:D1111,'Components Yr 1'!C2:C1111,A11,'Components Yr 1'!B2:B1111,'Bldgs &amp; Rooms'!B27)</f>
        <v>0</v>
      </c>
      <c r="AB11" s="49">
        <f>SUMIFS('Components Yr 1'!D2:D1111,'Components Yr 1'!C2:C1111,A11,'Components Yr 1'!B2:B1111,'Bldgs &amp; Rooms'!B28)</f>
        <v>0</v>
      </c>
      <c r="AC11" s="49">
        <f>SUMIFS('Components Yr 1'!D2:D1111,'Components Yr 1'!C2:C1111,A11,'Components Yr 1'!B2:B1111,'Bldgs &amp; Rooms'!B29)</f>
        <v>0</v>
      </c>
      <c r="AD11" s="49">
        <f>SUMIFS('Components Yr 1'!D2:D1111,'Components Yr 1'!C2:C1111,A11,'Components Yr 1'!B2:B1111,'Bldgs &amp; Rooms'!B30)</f>
        <v>0</v>
      </c>
      <c r="AE11" s="49">
        <f>SUMIFS('Components Yr 1'!D2:D1111,'Components Yr 1'!C2:C1111,A11,'Components Yr 1'!B2:B1111,'Bldgs &amp; Rooms'!B31)</f>
        <v>0</v>
      </c>
      <c r="AF11" s="47">
        <f t="shared" si="0"/>
        <v>0</v>
      </c>
    </row>
    <row r="12" spans="1:32" x14ac:dyDescent="0.25">
      <c r="A12" s="45" t="s">
        <v>25</v>
      </c>
      <c r="B12" s="46">
        <f>SUMIFS('Components Yr 1'!D2:D1111,'Components Yr 1'!C2:C1111,A12,'Components Yr 1'!B2:B1111,'Bldgs &amp; Rooms'!B2)</f>
        <v>0</v>
      </c>
      <c r="C12" s="46">
        <f>SUMIFS('Components Yr 1'!D2:D1111,'Components Yr 1'!C2:C1111,A12,'Components Yr 1'!B2:B1111,'Bldgs &amp; Rooms'!B3)</f>
        <v>0</v>
      </c>
      <c r="D12" s="46">
        <f>SUMIFS('Components Yr 1'!D2:D1111,'Components Yr 1'!C2:C1111,A12,'Components Yr 1'!B2:B1111,'Bldgs &amp; Rooms'!B4)</f>
        <v>0</v>
      </c>
      <c r="E12" s="46">
        <f>SUMIFS('Components Yr 1'!D2:D1111,'Components Yr 1'!C2:C1111,A12,'Components Yr 1'!B2:B1111,'Bldgs &amp; Rooms'!B5)</f>
        <v>0</v>
      </c>
      <c r="F12" s="46">
        <f>SUMIFS('Components Yr 1'!D2:D1111,'Components Yr 1'!C2:C1111,A12,'Components Yr 1'!B2:B1111,'Bldgs &amp; Rooms'!B6)</f>
        <v>0</v>
      </c>
      <c r="G12" s="46">
        <f>SUMIFS('Components Yr 1'!D2:D1111,'Components Yr 1'!C2:C1111,A12,'Components Yr 1'!B2:B1111,'Bldgs &amp; Rooms'!B7)</f>
        <v>0</v>
      </c>
      <c r="H12" s="46">
        <f>SUMIFS('Components Yr 1'!D2:D1111,'Components Yr 1'!C2:C1111,A12,'Components Yr 1'!B2:B1111,'Bldgs &amp; Rooms'!B8)</f>
        <v>0</v>
      </c>
      <c r="I12" s="46">
        <f>SUMIFS('Components Yr 1'!D2:D1111,'Components Yr 1'!C2:C1111,A12,'Components Yr 1'!B2:B1111,'Bldgs &amp; Rooms'!B9)</f>
        <v>0</v>
      </c>
      <c r="J12" s="46">
        <f>SUMIFS('Components Yr 1'!D2:D1111,'Components Yr 1'!C2:C1111,A12,'Components Yr 1'!B2:B1111,'Bldgs &amp; Rooms'!B10)</f>
        <v>0</v>
      </c>
      <c r="K12" s="46">
        <f>SUMIFS('Components Yr 1'!D2:D1111,'Components Yr 1'!C2:C1111,A12,'Components Yr 1'!B2:B1111,'Bldgs &amp; Rooms'!B11)</f>
        <v>0</v>
      </c>
      <c r="L12" s="46">
        <f>SUMIFS('Components Yr 1'!D2:D1111,'Components Yr 1'!C2:C1111,A12,'Components Yr 1'!B2:B1111,'Bldgs &amp; Rooms'!B12)</f>
        <v>0</v>
      </c>
      <c r="M12" s="46">
        <f>SUMIFS('Components Yr 1'!D2:D1111,'Components Yr 1'!C2:C1111,A12,'Components Yr 1'!B2:B1111,'Bldgs &amp; Rooms'!B13)</f>
        <v>0</v>
      </c>
      <c r="N12" s="46">
        <f>SUMIFS('Components Yr 1'!D2:D1111,'Components Yr 1'!C2:C1111,A12,'Components Yr 1'!B2:B1111,'Bldgs &amp; Rooms'!B14)</f>
        <v>0</v>
      </c>
      <c r="O12" s="46">
        <f>SUMIFS('Components Yr 1'!D2:D1111,'Components Yr 1'!C2:C1111,A12,'Components Yr 1'!B2:B1111,'Bldgs &amp; Rooms'!B15)</f>
        <v>0</v>
      </c>
      <c r="P12" s="46">
        <f>SUMIFS('Components Yr 1'!D2:D1111,'Components Yr 1'!C2:C1111,A12,'Components Yr 1'!B2:B1111,'Bldgs &amp; Rooms'!B16)</f>
        <v>0</v>
      </c>
      <c r="Q12" s="46">
        <f>SUMIFS('Components Yr 1'!D2:D1111,'Components Yr 1'!C2:C1111,A12,'Components Yr 1'!B2:B1111,'Bldgs &amp; Rooms'!B17)</f>
        <v>0</v>
      </c>
      <c r="R12" s="46">
        <f>SUMIFS('Components Yr 1'!D2:D1111,'Components Yr 1'!C2:C1111,A12,'Components Yr 1'!B2:B1111,'Bldgs &amp; Rooms'!B18)</f>
        <v>0</v>
      </c>
      <c r="S12" s="46">
        <f>SUMIFS('Components Yr 1'!D2:D1111,'Components Yr 1'!C2:C1111,A12,'Components Yr 1'!B2:B1111,'Bldgs &amp; Rooms'!B19)</f>
        <v>0</v>
      </c>
      <c r="T12" s="46">
        <f>SUMIFS('Components Yr 1'!D2:D1111,'Components Yr 1'!C2:C1111,A12,'Components Yr 1'!B2:B1111,'Bldgs &amp; Rooms'!B20)</f>
        <v>0</v>
      </c>
      <c r="U12" s="46">
        <f>SUMIFS('Components Yr 1'!D2:D1111,'Components Yr 1'!C2:C1111,A12,'Components Yr 1'!B2:B1111,'Bldgs &amp; Rooms'!B21)</f>
        <v>0</v>
      </c>
      <c r="V12" s="46">
        <f>SUMIFS('Components Yr 1'!D2:D1111,'Components Yr 1'!C2:C1111,A12,'Components Yr 1'!B2:B1111,'Bldgs &amp; Rooms'!B22)</f>
        <v>0</v>
      </c>
      <c r="W12" s="46">
        <f>SUMIFS('Components Yr 1'!D2:D1111,'Components Yr 1'!C2:C1111,A12,'Components Yr 1'!B2:B1111,'Bldgs &amp; Rooms'!B23)</f>
        <v>0</v>
      </c>
      <c r="X12" s="46">
        <f>SUMIFS('Components Yr 1'!D2:D1111,'Components Yr 1'!C2:C1111,A12,'Components Yr 1'!B2:B1111,'Bldgs &amp; Rooms'!B24)</f>
        <v>0</v>
      </c>
      <c r="Y12" s="46">
        <f>SUMIFS('Components Yr 1'!D2:D1111,'Components Yr 1'!C2:C1111,A12,'Components Yr 1'!B2:B1111,'Bldgs &amp; Rooms'!B25)</f>
        <v>0</v>
      </c>
      <c r="Z12" s="46">
        <f>SUMIFS('Components Yr 1'!D2:D1111,'Components Yr 1'!C2:C1111,A12,'Components Yr 1'!B2:B1111,'Bldgs &amp; Rooms'!B26)</f>
        <v>0</v>
      </c>
      <c r="AA12" s="46">
        <f>SUMIFS('Components Yr 1'!D2:D1111,'Components Yr 1'!C2:C1111,A12,'Components Yr 1'!B2:B1111,'Bldgs &amp; Rooms'!B27)</f>
        <v>0</v>
      </c>
      <c r="AB12" s="46">
        <f>SUMIFS('Components Yr 1'!D2:D1111,'Components Yr 1'!C2:C1111,A12,'Components Yr 1'!B2:B1111,'Bldgs &amp; Rooms'!B28)</f>
        <v>0</v>
      </c>
      <c r="AC12" s="46">
        <f>SUMIFS('Components Yr 1'!D2:D1111,'Components Yr 1'!C2:C1111,A12,'Components Yr 1'!B2:B1111,'Bldgs &amp; Rooms'!B29)</f>
        <v>0</v>
      </c>
      <c r="AD12" s="46">
        <f>SUMIFS('Components Yr 1'!D2:D1111,'Components Yr 1'!C2:C1111,A12,'Components Yr 1'!B2:B1111,'Bldgs &amp; Rooms'!B30)</f>
        <v>0</v>
      </c>
      <c r="AE12" s="46">
        <f>SUMIFS('Components Yr 1'!D2:D1111,'Components Yr 1'!C2:C1111,A12,'Components Yr 1'!B2:B1111,'Bldgs &amp; Rooms'!B31)</f>
        <v>0</v>
      </c>
      <c r="AF12" s="47">
        <f t="shared" si="0"/>
        <v>0</v>
      </c>
    </row>
    <row r="13" spans="1:32" x14ac:dyDescent="0.25">
      <c r="A13" s="48" t="s">
        <v>26</v>
      </c>
      <c r="B13" s="49">
        <f>SUMIFS('Components Yr 1'!D2:D1111,'Components Yr 1'!C2:C1111,A13,'Components Yr 1'!B2:B1111,'Bldgs &amp; Rooms'!B2)</f>
        <v>0</v>
      </c>
      <c r="C13" s="49">
        <f>SUMIFS('Components Yr 1'!D2:D1111,'Components Yr 1'!C2:C1111,A13,'Components Yr 1'!B2:B1111,'Bldgs &amp; Rooms'!B3)</f>
        <v>0</v>
      </c>
      <c r="D13" s="49">
        <f>SUMIFS('Components Yr 1'!D2:D1111,'Components Yr 1'!C2:C1111,A13,'Components Yr 1'!B2:B1111,'Bldgs &amp; Rooms'!B4)</f>
        <v>0</v>
      </c>
      <c r="E13" s="49">
        <f>SUMIFS('Components Yr 1'!D2:D1111,'Components Yr 1'!C2:C1111,A13,'Components Yr 1'!B2:B1111,'Bldgs &amp; Rooms'!B5)</f>
        <v>0</v>
      </c>
      <c r="F13" s="49">
        <f>SUMIFS('Components Yr 1'!D2:D1111,'Components Yr 1'!C2:C1111,A13,'Components Yr 1'!B2:B1111,'Bldgs &amp; Rooms'!B6)</f>
        <v>0</v>
      </c>
      <c r="G13" s="49">
        <f>SUMIFS('Components Yr 1'!D2:D1111,'Components Yr 1'!C2:C1111,A13,'Components Yr 1'!B2:B1111,'Bldgs &amp; Rooms'!B7)</f>
        <v>0</v>
      </c>
      <c r="H13" s="49">
        <f>SUMIFS('Components Yr 1'!D2:D1111,'Components Yr 1'!C2:C1111,A13,'Components Yr 1'!B2:B1111,'Bldgs &amp; Rooms'!B8)</f>
        <v>0</v>
      </c>
      <c r="I13" s="49">
        <f>SUMIFS('Components Yr 1'!D2:D1111,'Components Yr 1'!C2:C1111,A13,'Components Yr 1'!B2:B1111,'Bldgs &amp; Rooms'!B9)</f>
        <v>0</v>
      </c>
      <c r="J13" s="49">
        <f>SUMIFS('Components Yr 1'!D2:D1111,'Components Yr 1'!C2:C1111,A13,'Components Yr 1'!B2:B1111,'Bldgs &amp; Rooms'!B10)</f>
        <v>0</v>
      </c>
      <c r="K13" s="49">
        <f>SUMIFS('Components Yr 1'!D2:D1111,'Components Yr 1'!C2:C1111,A13,'Components Yr 1'!B2:B1111,'Bldgs &amp; Rooms'!B11)</f>
        <v>0</v>
      </c>
      <c r="L13" s="49">
        <f>SUMIFS('Components Yr 1'!D2:D1111,'Components Yr 1'!C2:C1111,A13,'Components Yr 1'!B2:B1111,'Bldgs &amp; Rooms'!B12)</f>
        <v>0</v>
      </c>
      <c r="M13" s="49">
        <f>SUMIFS('Components Yr 1'!D2:D1111,'Components Yr 1'!C2:C1111,A13,'Components Yr 1'!B2:B1111,'Bldgs &amp; Rooms'!B13)</f>
        <v>0</v>
      </c>
      <c r="N13" s="49">
        <f>SUMIFS('Components Yr 1'!D2:D1111,'Components Yr 1'!C2:C1111,A13,'Components Yr 1'!B2:B1111,'Bldgs &amp; Rooms'!B14)</f>
        <v>0</v>
      </c>
      <c r="O13" s="49">
        <f>SUMIFS('Components Yr 1'!D2:D1111,'Components Yr 1'!C2:C1111,A13,'Components Yr 1'!B2:B1111,'Bldgs &amp; Rooms'!B15)</f>
        <v>0</v>
      </c>
      <c r="P13" s="49">
        <f>SUMIFS('Components Yr 1'!D2:D1111,'Components Yr 1'!C2:C1111,A13,'Components Yr 1'!B2:B1111,'Bldgs &amp; Rooms'!B16)</f>
        <v>0</v>
      </c>
      <c r="Q13" s="49">
        <f>SUMIFS('Components Yr 1'!D2:D1111,'Components Yr 1'!C2:C1111,A13,'Components Yr 1'!B2:B1111,'Bldgs &amp; Rooms'!B17)</f>
        <v>0</v>
      </c>
      <c r="R13" s="49">
        <f>SUMIFS('Components Yr 1'!D2:D1111,'Components Yr 1'!C2:C1111,A13,'Components Yr 1'!B2:B1111,'Bldgs &amp; Rooms'!B18)</f>
        <v>0</v>
      </c>
      <c r="S13" s="49">
        <f>SUMIFS('Components Yr 1'!D2:D1111,'Components Yr 1'!C2:C1111,A13,'Components Yr 1'!B2:B1111,'Bldgs &amp; Rooms'!B19)</f>
        <v>0</v>
      </c>
      <c r="T13" s="49">
        <f>SUMIFS('Components Yr 1'!D2:D1111,'Components Yr 1'!C2:C1111,A13,'Components Yr 1'!B2:B1111,'Bldgs &amp; Rooms'!B20)</f>
        <v>0</v>
      </c>
      <c r="U13" s="49">
        <f>SUMIFS('Components Yr 1'!D2:D1111,'Components Yr 1'!C2:C1111,A13,'Components Yr 1'!B2:B1111,'Bldgs &amp; Rooms'!B21)</f>
        <v>0</v>
      </c>
      <c r="V13" s="49">
        <f>SUMIFS('Components Yr 1'!D2:D1111,'Components Yr 1'!C2:C1111,A13,'Components Yr 1'!B2:B1111,'Bldgs &amp; Rooms'!B22)</f>
        <v>0</v>
      </c>
      <c r="W13" s="49">
        <f>SUMIFS('Components Yr 1'!D2:D1111,'Components Yr 1'!C2:C1111,A13,'Components Yr 1'!B2:B1111,'Bldgs &amp; Rooms'!B23)</f>
        <v>0</v>
      </c>
      <c r="X13" s="49">
        <f>SUMIFS('Components Yr 1'!D2:D1111,'Components Yr 1'!C2:C1111,A13,'Components Yr 1'!B2:B1111,'Bldgs &amp; Rooms'!B24)</f>
        <v>0</v>
      </c>
      <c r="Y13" s="49">
        <f>SUMIFS('Components Yr 1'!D2:D1111,'Components Yr 1'!C2:C1111,A13,'Components Yr 1'!B2:B1111,'Bldgs &amp; Rooms'!B25)</f>
        <v>0</v>
      </c>
      <c r="Z13" s="49">
        <f>SUMIFS('Components Yr 1'!D2:D1111,'Components Yr 1'!C2:C1111,A13,'Components Yr 1'!B2:B1111,'Bldgs &amp; Rooms'!B26)</f>
        <v>0</v>
      </c>
      <c r="AA13" s="49">
        <f>SUMIFS('Components Yr 1'!D2:D1111,'Components Yr 1'!C2:C1111,A13,'Components Yr 1'!B2:B1111,'Bldgs &amp; Rooms'!B27)</f>
        <v>0</v>
      </c>
      <c r="AB13" s="49">
        <f>SUMIFS('Components Yr 1'!D2:D1111,'Components Yr 1'!C2:C1111,A13,'Components Yr 1'!B2:B1111,'Bldgs &amp; Rooms'!B28)</f>
        <v>0</v>
      </c>
      <c r="AC13" s="49">
        <f>SUMIFS('Components Yr 1'!D2:D1111,'Components Yr 1'!C2:C1111,A13,'Components Yr 1'!B2:B1111,'Bldgs &amp; Rooms'!B29)</f>
        <v>0</v>
      </c>
      <c r="AD13" s="49">
        <f>SUMIFS('Components Yr 1'!D2:D1111,'Components Yr 1'!C2:C1111,A13,'Components Yr 1'!B2:B1111,'Bldgs &amp; Rooms'!B30)</f>
        <v>0</v>
      </c>
      <c r="AE13" s="49">
        <f>SUMIFS('Components Yr 1'!D2:D1111,'Components Yr 1'!C2:C1111,A13,'Components Yr 1'!B2:B1111,'Bldgs &amp; Rooms'!B31)</f>
        <v>0</v>
      </c>
      <c r="AF13" s="47">
        <f t="shared" si="0"/>
        <v>0</v>
      </c>
    </row>
    <row r="14" spans="1:32" x14ac:dyDescent="0.25">
      <c r="A14" s="45" t="s">
        <v>27</v>
      </c>
      <c r="B14" s="46">
        <f>SUMIFS('Components Yr 1'!D2:D1111,'Components Yr 1'!C2:C1111,A14,'Components Yr 1'!B2:B1111,'Bldgs &amp; Rooms'!B2)</f>
        <v>0</v>
      </c>
      <c r="C14" s="46">
        <f>SUMIFS('Components Yr 1'!D2:D1111,'Components Yr 1'!C2:C1111,A14,'Components Yr 1'!B2:B1111,'Bldgs &amp; Rooms'!B3)</f>
        <v>0</v>
      </c>
      <c r="D14" s="46">
        <f>SUMIFS('Components Yr 1'!D2:D1111,'Components Yr 1'!C2:C1111,A14,'Components Yr 1'!B2:B1111,'Bldgs &amp; Rooms'!B4)</f>
        <v>0</v>
      </c>
      <c r="E14" s="46">
        <f>SUMIFS('Components Yr 1'!D2:D1111,'Components Yr 1'!C2:C1111,A14,'Components Yr 1'!B2:B1111,'Bldgs &amp; Rooms'!B5)</f>
        <v>0</v>
      </c>
      <c r="F14" s="46">
        <f>SUMIFS('Components Yr 1'!D2:D1111,'Components Yr 1'!C2:C1111,A14,'Components Yr 1'!B2:B1111,'Bldgs &amp; Rooms'!B6)</f>
        <v>0</v>
      </c>
      <c r="G14" s="46">
        <f>SUMIFS('Components Yr 1'!D2:D1111,'Components Yr 1'!C2:C1111,A14,'Components Yr 1'!B2:B1111,'Bldgs &amp; Rooms'!B7)</f>
        <v>0</v>
      </c>
      <c r="H14" s="46">
        <f>SUMIFS('Components Yr 1'!D2:D1111,'Components Yr 1'!C2:C1111,A14,'Components Yr 1'!B2:B1111,'Bldgs &amp; Rooms'!B8)</f>
        <v>0</v>
      </c>
      <c r="I14" s="46">
        <f>SUMIFS('Components Yr 1'!D2:D1111,'Components Yr 1'!C2:C1111,A14,'Components Yr 1'!B2:B1111,'Bldgs &amp; Rooms'!B9)</f>
        <v>0</v>
      </c>
      <c r="J14" s="46">
        <f>SUMIFS('Components Yr 1'!D2:D1111,'Components Yr 1'!C2:C1111,A14,'Components Yr 1'!B2:B1111,'Bldgs &amp; Rooms'!B10)</f>
        <v>0</v>
      </c>
      <c r="K14" s="46">
        <f>SUMIFS('Components Yr 1'!D2:D1111,'Components Yr 1'!C2:C1111,A14,'Components Yr 1'!B2:B1111,'Bldgs &amp; Rooms'!B11)</f>
        <v>0</v>
      </c>
      <c r="L14" s="46">
        <f>SUMIFS('Components Yr 1'!D2:D1111,'Components Yr 1'!C2:C1111,A14,'Components Yr 1'!B2:B1111,'Bldgs &amp; Rooms'!B12)</f>
        <v>0</v>
      </c>
      <c r="M14" s="46">
        <f>SUMIFS('Components Yr 1'!D2:D1111,'Components Yr 1'!C2:C1111,A14,'Components Yr 1'!B2:B1111,'Bldgs &amp; Rooms'!B13)</f>
        <v>0</v>
      </c>
      <c r="N14" s="46">
        <f>SUMIFS('Components Yr 1'!D2:D1111,'Components Yr 1'!C2:C1111,A14,'Components Yr 1'!B2:B1111,'Bldgs &amp; Rooms'!B14)</f>
        <v>0</v>
      </c>
      <c r="O14" s="46">
        <f>SUMIFS('Components Yr 1'!D2:D1111,'Components Yr 1'!C2:C1111,A14,'Components Yr 1'!B2:B1111,'Bldgs &amp; Rooms'!B15)</f>
        <v>0</v>
      </c>
      <c r="P14" s="46">
        <f>SUMIFS('Components Yr 1'!D2:D1111,'Components Yr 1'!C2:C1111,A14,'Components Yr 1'!B2:B1111,'Bldgs &amp; Rooms'!B16)</f>
        <v>0</v>
      </c>
      <c r="Q14" s="46">
        <f>SUMIFS('Components Yr 1'!D2:D1111,'Components Yr 1'!C2:C1111,A14,'Components Yr 1'!B2:B1111,'Bldgs &amp; Rooms'!B17)</f>
        <v>0</v>
      </c>
      <c r="R14" s="46">
        <f>SUMIFS('Components Yr 1'!D2:D1111,'Components Yr 1'!C2:C1111,A14,'Components Yr 1'!B2:B1111,'Bldgs &amp; Rooms'!B18)</f>
        <v>0</v>
      </c>
      <c r="S14" s="46">
        <f>SUMIFS('Components Yr 1'!D2:D1111,'Components Yr 1'!C2:C1111,A14,'Components Yr 1'!B2:B1111,'Bldgs &amp; Rooms'!B19)</f>
        <v>0</v>
      </c>
      <c r="T14" s="46">
        <f>SUMIFS('Components Yr 1'!D2:D1111,'Components Yr 1'!C2:C1111,A14,'Components Yr 1'!B2:B1111,'Bldgs &amp; Rooms'!B20)</f>
        <v>0</v>
      </c>
      <c r="U14" s="46">
        <f>SUMIFS('Components Yr 1'!D2:D1111,'Components Yr 1'!C2:C1111,A14,'Components Yr 1'!B2:B1111,'Bldgs &amp; Rooms'!B21)</f>
        <v>0</v>
      </c>
      <c r="V14" s="46">
        <f>SUMIFS('Components Yr 1'!D2:D1111,'Components Yr 1'!C2:C1111,A14,'Components Yr 1'!B2:B1111,'Bldgs &amp; Rooms'!B22)</f>
        <v>0</v>
      </c>
      <c r="W14" s="46">
        <f>SUMIFS('Components Yr 1'!D2:D1111,'Components Yr 1'!C2:C1111,A14,'Components Yr 1'!B2:B1111,'Bldgs &amp; Rooms'!B23)</f>
        <v>0</v>
      </c>
      <c r="X14" s="46">
        <f>SUMIFS('Components Yr 1'!D2:D1111,'Components Yr 1'!C2:C1111,A14,'Components Yr 1'!B2:B1111,'Bldgs &amp; Rooms'!B24)</f>
        <v>0</v>
      </c>
      <c r="Y14" s="46">
        <f>SUMIFS('Components Yr 1'!D2:D1111,'Components Yr 1'!C2:C1111,A14,'Components Yr 1'!B2:B1111,'Bldgs &amp; Rooms'!B25)</f>
        <v>0</v>
      </c>
      <c r="Z14" s="46">
        <f>SUMIFS('Components Yr 1'!D2:D1111,'Components Yr 1'!C2:C1111,A14,'Components Yr 1'!B2:B1111,'Bldgs &amp; Rooms'!B26)</f>
        <v>0</v>
      </c>
      <c r="AA14" s="46">
        <f>SUMIFS('Components Yr 1'!D2:D1111,'Components Yr 1'!C2:C1111,A14,'Components Yr 1'!B2:B1111,'Bldgs &amp; Rooms'!B27)</f>
        <v>0</v>
      </c>
      <c r="AB14" s="46">
        <f>SUMIFS('Components Yr 1'!D2:D1111,'Components Yr 1'!C2:C1111,A14,'Components Yr 1'!B2:B1111,'Bldgs &amp; Rooms'!B28)</f>
        <v>0</v>
      </c>
      <c r="AC14" s="46">
        <f>SUMIFS('Components Yr 1'!D2:D1111,'Components Yr 1'!C2:C1111,A14,'Components Yr 1'!B2:B1111,'Bldgs &amp; Rooms'!B29)</f>
        <v>0</v>
      </c>
      <c r="AD14" s="46">
        <f>SUMIFS('Components Yr 1'!D2:D1111,'Components Yr 1'!C2:C1111,A14,'Components Yr 1'!B2:B1111,'Bldgs &amp; Rooms'!B30)</f>
        <v>0</v>
      </c>
      <c r="AE14" s="46">
        <f>SUMIFS('Components Yr 1'!D2:D1111,'Components Yr 1'!C2:C1111,A14,'Components Yr 1'!B2:B1111,'Bldgs &amp; Rooms'!B31)</f>
        <v>0</v>
      </c>
      <c r="AF14" s="47">
        <f t="shared" si="0"/>
        <v>0</v>
      </c>
    </row>
    <row r="15" spans="1:32" x14ac:dyDescent="0.25">
      <c r="A15" s="48" t="s">
        <v>28</v>
      </c>
      <c r="B15" s="49">
        <f>SUMIFS('Components Yr 1'!D2:D1111,'Components Yr 1'!C2:C1111,A15,'Components Yr 1'!B2:B1111,'Bldgs &amp; Rooms'!B2)</f>
        <v>0</v>
      </c>
      <c r="C15" s="49">
        <f>SUMIFS('Components Yr 1'!D2:D1111,'Components Yr 1'!C2:C1111,A15,'Components Yr 1'!B2:B1111,'Bldgs &amp; Rooms'!B3)</f>
        <v>0</v>
      </c>
      <c r="D15" s="49">
        <f>SUMIFS('Components Yr 1'!D2:D1111,'Components Yr 1'!C2:C1111,A15,'Components Yr 1'!B2:B1111,'Bldgs &amp; Rooms'!B4)</f>
        <v>0</v>
      </c>
      <c r="E15" s="49">
        <f>SUMIFS('Components Yr 1'!D2:D1111,'Components Yr 1'!C2:C1111,A15,'Components Yr 1'!B2:B1111,'Bldgs &amp; Rooms'!B5)</f>
        <v>0</v>
      </c>
      <c r="F15" s="49">
        <f>SUMIFS('Components Yr 1'!D2:D1111,'Components Yr 1'!C2:C1111,A15,'Components Yr 1'!B2:B1111,'Bldgs &amp; Rooms'!B6)</f>
        <v>0</v>
      </c>
      <c r="G15" s="49">
        <f>SUMIFS('Components Yr 1'!D2:D1111,'Components Yr 1'!C2:C1111,A15,'Components Yr 1'!B2:B1111,'Bldgs &amp; Rooms'!B7)</f>
        <v>0</v>
      </c>
      <c r="H15" s="49">
        <f>SUMIFS('Components Yr 1'!D2:D1111,'Components Yr 1'!C2:C1111,A15,'Components Yr 1'!B2:B1111,'Bldgs &amp; Rooms'!B8)</f>
        <v>0</v>
      </c>
      <c r="I15" s="49">
        <f>SUMIFS('Components Yr 1'!D2:D1111,'Components Yr 1'!C2:C1111,A15,'Components Yr 1'!B2:B1111,'Bldgs &amp; Rooms'!B9)</f>
        <v>0</v>
      </c>
      <c r="J15" s="49">
        <f>SUMIFS('Components Yr 1'!D2:D1111,'Components Yr 1'!C2:C1111,A15,'Components Yr 1'!B2:B1111,'Bldgs &amp; Rooms'!B10)</f>
        <v>0</v>
      </c>
      <c r="K15" s="49">
        <f>SUMIFS('Components Yr 1'!D2:D1111,'Components Yr 1'!C2:C1111,A15,'Components Yr 1'!B2:B1111,'Bldgs &amp; Rooms'!B11)</f>
        <v>0</v>
      </c>
      <c r="L15" s="49">
        <f>SUMIFS('Components Yr 1'!D2:D1111,'Components Yr 1'!C2:C1111,A15,'Components Yr 1'!B2:B1111,'Bldgs &amp; Rooms'!B12)</f>
        <v>0</v>
      </c>
      <c r="M15" s="49">
        <f>SUMIFS('Components Yr 1'!D2:D1111,'Components Yr 1'!C2:C1111,A15,'Components Yr 1'!B2:B1111,'Bldgs &amp; Rooms'!B13)</f>
        <v>0</v>
      </c>
      <c r="N15" s="49">
        <f>SUMIFS('Components Yr 1'!D2:D1111,'Components Yr 1'!C2:C1111,A15,'Components Yr 1'!B2:B1111,'Bldgs &amp; Rooms'!B14)</f>
        <v>0</v>
      </c>
      <c r="O15" s="49">
        <f>SUMIFS('Components Yr 1'!D2:D1111,'Components Yr 1'!C2:C1111,A15,'Components Yr 1'!B2:B1111,'Bldgs &amp; Rooms'!B15)</f>
        <v>0</v>
      </c>
      <c r="P15" s="49">
        <f>SUMIFS('Components Yr 1'!D2:D1111,'Components Yr 1'!C2:C1111,A15,'Components Yr 1'!B2:B1111,'Bldgs &amp; Rooms'!B16)</f>
        <v>0</v>
      </c>
      <c r="Q15" s="49">
        <f>SUMIFS('Components Yr 1'!D2:D1111,'Components Yr 1'!C2:C1111,A15,'Components Yr 1'!B2:B1111,'Bldgs &amp; Rooms'!B17)</f>
        <v>0</v>
      </c>
      <c r="R15" s="49">
        <f>SUMIFS('Components Yr 1'!D2:D1111,'Components Yr 1'!C2:C1111,A15,'Components Yr 1'!B2:B1111,'Bldgs &amp; Rooms'!B18)</f>
        <v>0</v>
      </c>
      <c r="S15" s="49">
        <f>SUMIFS('Components Yr 1'!D2:D1111,'Components Yr 1'!C2:C1111,A15,'Components Yr 1'!B2:B1111,'Bldgs &amp; Rooms'!B19)</f>
        <v>0</v>
      </c>
      <c r="T15" s="49">
        <f>SUMIFS('Components Yr 1'!D2:D1111,'Components Yr 1'!C2:C1111,A15,'Components Yr 1'!B2:B1111,'Bldgs &amp; Rooms'!B20)</f>
        <v>0</v>
      </c>
      <c r="U15" s="49">
        <f>SUMIFS('Components Yr 1'!D2:D1111,'Components Yr 1'!C2:C1111,A15,'Components Yr 1'!B2:B1111,'Bldgs &amp; Rooms'!B21)</f>
        <v>0</v>
      </c>
      <c r="V15" s="49">
        <f>SUMIFS('Components Yr 1'!D2:D1111,'Components Yr 1'!C2:C1111,A15,'Components Yr 1'!B2:B1111,'Bldgs &amp; Rooms'!B22)</f>
        <v>0</v>
      </c>
      <c r="W15" s="49">
        <f>SUMIFS('Components Yr 1'!D2:D1111,'Components Yr 1'!C2:C1111,A15,'Components Yr 1'!B2:B1111,'Bldgs &amp; Rooms'!B23)</f>
        <v>0</v>
      </c>
      <c r="X15" s="49">
        <f>SUMIFS('Components Yr 1'!D2:D1111,'Components Yr 1'!C2:C1111,A15,'Components Yr 1'!B2:B1111,'Bldgs &amp; Rooms'!B24)</f>
        <v>0</v>
      </c>
      <c r="Y15" s="49">
        <f>SUMIFS('Components Yr 1'!D2:D1111,'Components Yr 1'!C2:C1111,A15,'Components Yr 1'!B2:B1111,'Bldgs &amp; Rooms'!B25)</f>
        <v>0</v>
      </c>
      <c r="Z15" s="49">
        <f>SUMIFS('Components Yr 1'!D2:D1111,'Components Yr 1'!C2:C1111,A15,'Components Yr 1'!B2:B1111,'Bldgs &amp; Rooms'!B26)</f>
        <v>0</v>
      </c>
      <c r="AA15" s="49">
        <f>SUMIFS('Components Yr 1'!D2:D1111,'Components Yr 1'!C2:C1111,A15,'Components Yr 1'!B2:B1111,'Bldgs &amp; Rooms'!B27)</f>
        <v>0</v>
      </c>
      <c r="AB15" s="49">
        <f>SUMIFS('Components Yr 1'!D2:D1111,'Components Yr 1'!C2:C1111,A15,'Components Yr 1'!B2:B1111,'Bldgs &amp; Rooms'!B28)</f>
        <v>0</v>
      </c>
      <c r="AC15" s="49">
        <f>SUMIFS('Components Yr 1'!D2:D1111,'Components Yr 1'!C2:C1111,A15,'Components Yr 1'!B2:B1111,'Bldgs &amp; Rooms'!B29)</f>
        <v>0</v>
      </c>
      <c r="AD15" s="49">
        <f>SUMIFS('Components Yr 1'!D2:D1111,'Components Yr 1'!C2:C1111,A15,'Components Yr 1'!B2:B1111,'Bldgs &amp; Rooms'!B30)</f>
        <v>0</v>
      </c>
      <c r="AE15" s="49">
        <f>SUMIFS('Components Yr 1'!D2:D1111,'Components Yr 1'!C2:C1111,A15,'Components Yr 1'!B2:B1111,'Bldgs &amp; Rooms'!B31)</f>
        <v>0</v>
      </c>
      <c r="AF15" s="47">
        <f t="shared" si="0"/>
        <v>0</v>
      </c>
    </row>
    <row r="16" spans="1:32" x14ac:dyDescent="0.25">
      <c r="A16" s="45" t="s">
        <v>29</v>
      </c>
      <c r="B16" s="46">
        <f>SUMIFS('Components Yr 1'!D2:D1111,'Components Yr 1'!C2:C1111,A16,'Components Yr 1'!B2:B1111,'Bldgs &amp; Rooms'!B2)</f>
        <v>0</v>
      </c>
      <c r="C16" s="46">
        <f>SUMIFS('Components Yr 1'!D2:D1111,'Components Yr 1'!C2:C1111,A16,'Components Yr 1'!B2:B1111,'Bldgs &amp; Rooms'!B3)</f>
        <v>0</v>
      </c>
      <c r="D16" s="46">
        <f>SUMIFS('Components Yr 1'!D2:D1111,'Components Yr 1'!C2:C1111,A16,'Components Yr 1'!B2:B1111,'Bldgs &amp; Rooms'!B4)</f>
        <v>0</v>
      </c>
      <c r="E16" s="46">
        <f>SUMIFS('Components Yr 1'!D2:D1111,'Components Yr 1'!C2:C1111,A16,'Components Yr 1'!B2:B1111,'Bldgs &amp; Rooms'!B5)</f>
        <v>0</v>
      </c>
      <c r="F16" s="46">
        <f>SUMIFS('Components Yr 1'!D2:D1111,'Components Yr 1'!C2:C1111,A16,'Components Yr 1'!B2:B1111,'Bldgs &amp; Rooms'!B6)</f>
        <v>0</v>
      </c>
      <c r="G16" s="46">
        <f>SUMIFS('Components Yr 1'!D2:D1111,'Components Yr 1'!C2:C1111,A16,'Components Yr 1'!B2:B1111,'Bldgs &amp; Rooms'!B7)</f>
        <v>0</v>
      </c>
      <c r="H16" s="46">
        <f>SUMIFS('Components Yr 1'!D2:D1111,'Components Yr 1'!C2:C1111,A16,'Components Yr 1'!B2:B1111,'Bldgs &amp; Rooms'!B8)</f>
        <v>0</v>
      </c>
      <c r="I16" s="46">
        <f>SUMIFS('Components Yr 1'!D2:D1111,'Components Yr 1'!C2:C1111,A16,'Components Yr 1'!B2:B1111,'Bldgs &amp; Rooms'!B9)</f>
        <v>0</v>
      </c>
      <c r="J16" s="46">
        <f>SUMIFS('Components Yr 1'!D2:D1111,'Components Yr 1'!C2:C1111,A16,'Components Yr 1'!B2:B1111,'Bldgs &amp; Rooms'!B10)</f>
        <v>0</v>
      </c>
      <c r="K16" s="46">
        <f>SUMIFS('Components Yr 1'!D2:D1111,'Components Yr 1'!C2:C1111,A16,'Components Yr 1'!B2:B1111,'Bldgs &amp; Rooms'!B11)</f>
        <v>0</v>
      </c>
      <c r="L16" s="46">
        <f>SUMIFS('Components Yr 1'!D2:D1111,'Components Yr 1'!C2:C1111,A16,'Components Yr 1'!B2:B1111,'Bldgs &amp; Rooms'!B12)</f>
        <v>0</v>
      </c>
      <c r="M16" s="46">
        <f>SUMIFS('Components Yr 1'!D2:D1111,'Components Yr 1'!C2:C1111,A16,'Components Yr 1'!B2:B1111,'Bldgs &amp; Rooms'!B13)</f>
        <v>0</v>
      </c>
      <c r="N16" s="46">
        <f>SUMIFS('Components Yr 1'!D2:D1111,'Components Yr 1'!C2:C1111,A16,'Components Yr 1'!B2:B1111,'Bldgs &amp; Rooms'!B14)</f>
        <v>0</v>
      </c>
      <c r="O16" s="46">
        <f>SUMIFS('Components Yr 1'!D2:D1111,'Components Yr 1'!C2:C1111,A16,'Components Yr 1'!B2:B1111,'Bldgs &amp; Rooms'!B15)</f>
        <v>0</v>
      </c>
      <c r="P16" s="46">
        <f>SUMIFS('Components Yr 1'!D2:D1111,'Components Yr 1'!C2:C1111,A16,'Components Yr 1'!B2:B1111,'Bldgs &amp; Rooms'!B16)</f>
        <v>0</v>
      </c>
      <c r="Q16" s="46">
        <f>SUMIFS('Components Yr 1'!D2:D1111,'Components Yr 1'!C2:C1111,A16,'Components Yr 1'!B2:B1111,'Bldgs &amp; Rooms'!B17)</f>
        <v>0</v>
      </c>
      <c r="R16" s="46">
        <f>SUMIFS('Components Yr 1'!D2:D1111,'Components Yr 1'!C2:C1111,A16,'Components Yr 1'!B2:B1111,'Bldgs &amp; Rooms'!B18)</f>
        <v>0</v>
      </c>
      <c r="S16" s="46">
        <f>SUMIFS('Components Yr 1'!D2:D1111,'Components Yr 1'!C2:C1111,A16,'Components Yr 1'!B2:B1111,'Bldgs &amp; Rooms'!B19)</f>
        <v>0</v>
      </c>
      <c r="T16" s="46">
        <f>SUMIFS('Components Yr 1'!D2:D1111,'Components Yr 1'!C2:C1111,A16,'Components Yr 1'!B2:B1111,'Bldgs &amp; Rooms'!B20)</f>
        <v>0</v>
      </c>
      <c r="U16" s="46">
        <f>SUMIFS('Components Yr 1'!D2:D1111,'Components Yr 1'!C2:C1111,A16,'Components Yr 1'!B2:B1111,'Bldgs &amp; Rooms'!B21)</f>
        <v>0</v>
      </c>
      <c r="V16" s="46">
        <f>SUMIFS('Components Yr 1'!D2:D1111,'Components Yr 1'!C2:C1111,A16,'Components Yr 1'!B2:B1111,'Bldgs &amp; Rooms'!B22)</f>
        <v>0</v>
      </c>
      <c r="W16" s="46">
        <f>SUMIFS('Components Yr 1'!D2:D1111,'Components Yr 1'!C2:C1111,A16,'Components Yr 1'!B2:B1111,'Bldgs &amp; Rooms'!B23)</f>
        <v>0</v>
      </c>
      <c r="X16" s="46">
        <f>SUMIFS('Components Yr 1'!D2:D1111,'Components Yr 1'!C2:C1111,A16,'Components Yr 1'!B2:B1111,'Bldgs &amp; Rooms'!B24)</f>
        <v>0</v>
      </c>
      <c r="Y16" s="46">
        <f>SUMIFS('Components Yr 1'!D2:D1111,'Components Yr 1'!C2:C1111,A16,'Components Yr 1'!B2:B1111,'Bldgs &amp; Rooms'!B25)</f>
        <v>0</v>
      </c>
      <c r="Z16" s="46">
        <f>SUMIFS('Components Yr 1'!D2:D1111,'Components Yr 1'!C2:C1111,A16,'Components Yr 1'!B2:B1111,'Bldgs &amp; Rooms'!B26)</f>
        <v>0</v>
      </c>
      <c r="AA16" s="46">
        <f>SUMIFS('Components Yr 1'!D2:D1111,'Components Yr 1'!C2:C1111,A16,'Components Yr 1'!B2:B1111,'Bldgs &amp; Rooms'!B27)</f>
        <v>0</v>
      </c>
      <c r="AB16" s="46">
        <f>SUMIFS('Components Yr 1'!D2:D1111,'Components Yr 1'!C2:C1111,A16,'Components Yr 1'!B2:B1111,'Bldgs &amp; Rooms'!B28)</f>
        <v>0</v>
      </c>
      <c r="AC16" s="46">
        <f>SUMIFS('Components Yr 1'!D2:D1111,'Components Yr 1'!C2:C1111,A16,'Components Yr 1'!B2:B1111,'Bldgs &amp; Rooms'!B29)</f>
        <v>0</v>
      </c>
      <c r="AD16" s="46">
        <f>SUMIFS('Components Yr 1'!D2:D1111,'Components Yr 1'!C2:C1111,A16,'Components Yr 1'!B2:B1111,'Bldgs &amp; Rooms'!B30)</f>
        <v>0</v>
      </c>
      <c r="AE16" s="46">
        <f>SUMIFS('Components Yr 1'!D2:D1111,'Components Yr 1'!C2:C1111,A16,'Components Yr 1'!B2:B1111,'Bldgs &amp; Rooms'!B31)</f>
        <v>0</v>
      </c>
      <c r="AF16" s="47">
        <f t="shared" si="0"/>
        <v>0</v>
      </c>
    </row>
    <row r="17" spans="1:32" x14ac:dyDescent="0.25">
      <c r="A17" s="48" t="s">
        <v>30</v>
      </c>
      <c r="B17" s="49">
        <f>SUMIFS('Components Yr 1'!D2:D1111,'Components Yr 1'!C2:C1111,A17,'Components Yr 1'!B2:B1111,'Bldgs &amp; Rooms'!B2)</f>
        <v>0</v>
      </c>
      <c r="C17" s="49">
        <f>SUMIFS('Components Yr 1'!D2:D1111,'Components Yr 1'!C2:C1111,A17,'Components Yr 1'!B2:B1111,'Bldgs &amp; Rooms'!B3)</f>
        <v>0</v>
      </c>
      <c r="D17" s="49">
        <f>SUMIFS('Components Yr 1'!D2:D1111,'Components Yr 1'!C2:C1111,A17,'Components Yr 1'!B2:B1111,'Bldgs &amp; Rooms'!B4)</f>
        <v>0</v>
      </c>
      <c r="E17" s="49">
        <f>SUMIFS('Components Yr 1'!D2:D1111,'Components Yr 1'!C2:C1111,A17,'Components Yr 1'!B2:B1111,'Bldgs &amp; Rooms'!B5)</f>
        <v>0</v>
      </c>
      <c r="F17" s="49">
        <f>SUMIFS('Components Yr 1'!D2:D1111,'Components Yr 1'!C2:C1111,A17,'Components Yr 1'!B2:B1111,'Bldgs &amp; Rooms'!B6)</f>
        <v>0</v>
      </c>
      <c r="G17" s="49">
        <f>SUMIFS('Components Yr 1'!D2:D1111,'Components Yr 1'!C2:C1111,A17,'Components Yr 1'!B2:B1111,'Bldgs &amp; Rooms'!B7)</f>
        <v>0</v>
      </c>
      <c r="H17" s="49">
        <f>SUMIFS('Components Yr 1'!D2:D1111,'Components Yr 1'!C2:C1111,A17,'Components Yr 1'!B2:B1111,'Bldgs &amp; Rooms'!B8)</f>
        <v>0</v>
      </c>
      <c r="I17" s="49">
        <f>SUMIFS('Components Yr 1'!D2:D1111,'Components Yr 1'!C2:C1111,A17,'Components Yr 1'!B2:B1111,'Bldgs &amp; Rooms'!B9)</f>
        <v>0</v>
      </c>
      <c r="J17" s="49">
        <f>SUMIFS('Components Yr 1'!D2:D1111,'Components Yr 1'!C2:C1111,A17,'Components Yr 1'!B2:B1111,'Bldgs &amp; Rooms'!B10)</f>
        <v>0</v>
      </c>
      <c r="K17" s="49">
        <f>SUMIFS('Components Yr 1'!D2:D1111,'Components Yr 1'!C2:C1111,A17,'Components Yr 1'!B2:B1111,'Bldgs &amp; Rooms'!B11)</f>
        <v>0</v>
      </c>
      <c r="L17" s="49">
        <f>SUMIFS('Components Yr 1'!D2:D1111,'Components Yr 1'!C2:C1111,A17,'Components Yr 1'!B2:B1111,'Bldgs &amp; Rooms'!B12)</f>
        <v>0</v>
      </c>
      <c r="M17" s="49">
        <f>SUMIFS('Components Yr 1'!D2:D1111,'Components Yr 1'!C2:C1111,A17,'Components Yr 1'!B2:B1111,'Bldgs &amp; Rooms'!B13)</f>
        <v>0</v>
      </c>
      <c r="N17" s="49">
        <f>SUMIFS('Components Yr 1'!D2:D1111,'Components Yr 1'!C2:C1111,A17,'Components Yr 1'!B2:B1111,'Bldgs &amp; Rooms'!B14)</f>
        <v>0</v>
      </c>
      <c r="O17" s="49">
        <f>SUMIFS('Components Yr 1'!D2:D1111,'Components Yr 1'!C2:C1111,A17,'Components Yr 1'!B2:B1111,'Bldgs &amp; Rooms'!B15)</f>
        <v>0</v>
      </c>
      <c r="P17" s="49">
        <f>SUMIFS('Components Yr 1'!D2:D1111,'Components Yr 1'!C2:C1111,A17,'Components Yr 1'!B2:B1111,'Bldgs &amp; Rooms'!B16)</f>
        <v>0</v>
      </c>
      <c r="Q17" s="49">
        <f>SUMIFS('Components Yr 1'!D2:D1111,'Components Yr 1'!C2:C1111,A17,'Components Yr 1'!B2:B1111,'Bldgs &amp; Rooms'!B17)</f>
        <v>0</v>
      </c>
      <c r="R17" s="49">
        <f>SUMIFS('Components Yr 1'!D2:D1111,'Components Yr 1'!C2:C1111,A17,'Components Yr 1'!B2:B1111,'Bldgs &amp; Rooms'!B18)</f>
        <v>0</v>
      </c>
      <c r="S17" s="49">
        <f>SUMIFS('Components Yr 1'!D2:D1111,'Components Yr 1'!C2:C1111,A17,'Components Yr 1'!B2:B1111,'Bldgs &amp; Rooms'!B19)</f>
        <v>0</v>
      </c>
      <c r="T17" s="49">
        <f>SUMIFS('Components Yr 1'!D2:D1111,'Components Yr 1'!C2:C1111,A17,'Components Yr 1'!B2:B1111,'Bldgs &amp; Rooms'!B20)</f>
        <v>0</v>
      </c>
      <c r="U17" s="49">
        <f>SUMIFS('Components Yr 1'!D2:D1111,'Components Yr 1'!C2:C1111,A17,'Components Yr 1'!B2:B1111,'Bldgs &amp; Rooms'!B21)</f>
        <v>0</v>
      </c>
      <c r="V17" s="49">
        <f>SUMIFS('Components Yr 1'!D2:D1111,'Components Yr 1'!C2:C1111,A17,'Components Yr 1'!B2:B1111,'Bldgs &amp; Rooms'!B22)</f>
        <v>0</v>
      </c>
      <c r="W17" s="49">
        <f>SUMIFS('Components Yr 1'!D2:D1111,'Components Yr 1'!C2:C1111,A17,'Components Yr 1'!B2:B1111,'Bldgs &amp; Rooms'!B23)</f>
        <v>0</v>
      </c>
      <c r="X17" s="49">
        <f>SUMIFS('Components Yr 1'!D2:D1111,'Components Yr 1'!C2:C1111,A17,'Components Yr 1'!B2:B1111,'Bldgs &amp; Rooms'!B24)</f>
        <v>0</v>
      </c>
      <c r="Y17" s="49">
        <f>SUMIFS('Components Yr 1'!D2:D1111,'Components Yr 1'!C2:C1111,A17,'Components Yr 1'!B2:B1111,'Bldgs &amp; Rooms'!B25)</f>
        <v>0</v>
      </c>
      <c r="Z17" s="49">
        <f>SUMIFS('Components Yr 1'!D2:D1111,'Components Yr 1'!C2:C1111,A17,'Components Yr 1'!B2:B1111,'Bldgs &amp; Rooms'!B26)</f>
        <v>0</v>
      </c>
      <c r="AA17" s="49">
        <f>SUMIFS('Components Yr 1'!D2:D1111,'Components Yr 1'!C2:C1111,A17,'Components Yr 1'!B2:B1111,'Bldgs &amp; Rooms'!B27)</f>
        <v>0</v>
      </c>
      <c r="AB17" s="49">
        <f>SUMIFS('Components Yr 1'!D2:D1111,'Components Yr 1'!C2:C1111,A17,'Components Yr 1'!B2:B1111,'Bldgs &amp; Rooms'!B28)</f>
        <v>0</v>
      </c>
      <c r="AC17" s="49">
        <f>SUMIFS('Components Yr 1'!D2:D1111,'Components Yr 1'!C2:C1111,A17,'Components Yr 1'!B2:B1111,'Bldgs &amp; Rooms'!B29)</f>
        <v>0</v>
      </c>
      <c r="AD17" s="49">
        <f>SUMIFS('Components Yr 1'!D2:D1111,'Components Yr 1'!C2:C1111,A17,'Components Yr 1'!B2:B1111,'Bldgs &amp; Rooms'!B30)</f>
        <v>0</v>
      </c>
      <c r="AE17" s="49">
        <f>SUMIFS('Components Yr 1'!D2:D1111,'Components Yr 1'!C2:C1111,A17,'Components Yr 1'!B2:B1111,'Bldgs &amp; Rooms'!B31)</f>
        <v>0</v>
      </c>
      <c r="AF17" s="47">
        <f t="shared" si="0"/>
        <v>0</v>
      </c>
    </row>
    <row r="18" spans="1:32" x14ac:dyDescent="0.25">
      <c r="A18" s="45" t="s">
        <v>31</v>
      </c>
      <c r="B18" s="46">
        <f>SUMIFS('Components Yr 1'!D2:D1111,'Components Yr 1'!C2:C1111,A18,'Components Yr 1'!B2:B1111,'Bldgs &amp; Rooms'!B2)</f>
        <v>0</v>
      </c>
      <c r="C18" s="46">
        <f>SUMIFS('Components Yr 1'!D2:D1111,'Components Yr 1'!C2:C1111,A18,'Components Yr 1'!B2:B1111,'Bldgs &amp; Rooms'!B3)</f>
        <v>0</v>
      </c>
      <c r="D18" s="46">
        <f>SUMIFS('Components Yr 1'!D2:D1111,'Components Yr 1'!C2:C1111,A18,'Components Yr 1'!B2:B1111,'Bldgs &amp; Rooms'!B4)</f>
        <v>0</v>
      </c>
      <c r="E18" s="46">
        <f>SUMIFS('Components Yr 1'!D2:D1111,'Components Yr 1'!C2:C1111,A18,'Components Yr 1'!B2:B1111,'Bldgs &amp; Rooms'!B5)</f>
        <v>0</v>
      </c>
      <c r="F18" s="46">
        <f>SUMIFS('Components Yr 1'!D2:D1111,'Components Yr 1'!C2:C1111,A18,'Components Yr 1'!B2:B1111,'Bldgs &amp; Rooms'!B6)</f>
        <v>0</v>
      </c>
      <c r="G18" s="46">
        <f>SUMIFS('Components Yr 1'!D2:D1111,'Components Yr 1'!C2:C1111,A18,'Components Yr 1'!B2:B1111,'Bldgs &amp; Rooms'!B7)</f>
        <v>0</v>
      </c>
      <c r="H18" s="46">
        <f>SUMIFS('Components Yr 1'!D2:D1111,'Components Yr 1'!C2:C1111,A18,'Components Yr 1'!B2:B1111,'Bldgs &amp; Rooms'!B8)</f>
        <v>0</v>
      </c>
      <c r="I18" s="46">
        <f>SUMIFS('Components Yr 1'!D2:D1111,'Components Yr 1'!C2:C1111,A18,'Components Yr 1'!B2:B1111,'Bldgs &amp; Rooms'!B9)</f>
        <v>0</v>
      </c>
      <c r="J18" s="46">
        <f>SUMIFS('Components Yr 1'!D2:D1111,'Components Yr 1'!C2:C1111,A18,'Components Yr 1'!B2:B1111,'Bldgs &amp; Rooms'!B10)</f>
        <v>0</v>
      </c>
      <c r="K18" s="46">
        <f>SUMIFS('Components Yr 1'!D2:D1111,'Components Yr 1'!C2:C1111,A18,'Components Yr 1'!B2:B1111,'Bldgs &amp; Rooms'!B11)</f>
        <v>0</v>
      </c>
      <c r="L18" s="46">
        <f>SUMIFS('Components Yr 1'!D2:D1111,'Components Yr 1'!C2:C1111,A18,'Components Yr 1'!B2:B1111,'Bldgs &amp; Rooms'!B12)</f>
        <v>0</v>
      </c>
      <c r="M18" s="46">
        <f>SUMIFS('Components Yr 1'!D2:D1111,'Components Yr 1'!C2:C1111,A18,'Components Yr 1'!B2:B1111,'Bldgs &amp; Rooms'!B13)</f>
        <v>0</v>
      </c>
      <c r="N18" s="46">
        <f>SUMIFS('Components Yr 1'!D2:D1111,'Components Yr 1'!C2:C1111,A18,'Components Yr 1'!B2:B1111,'Bldgs &amp; Rooms'!B14)</f>
        <v>0</v>
      </c>
      <c r="O18" s="46">
        <f>SUMIFS('Components Yr 1'!D2:D1111,'Components Yr 1'!C2:C1111,A18,'Components Yr 1'!B2:B1111,'Bldgs &amp; Rooms'!B15)</f>
        <v>0</v>
      </c>
      <c r="P18" s="46">
        <f>SUMIFS('Components Yr 1'!D2:D1111,'Components Yr 1'!C2:C1111,A18,'Components Yr 1'!B2:B1111,'Bldgs &amp; Rooms'!B16)</f>
        <v>0</v>
      </c>
      <c r="Q18" s="46">
        <f>SUMIFS('Components Yr 1'!D2:D1111,'Components Yr 1'!C2:C1111,A18,'Components Yr 1'!B2:B1111,'Bldgs &amp; Rooms'!B17)</f>
        <v>0</v>
      </c>
      <c r="R18" s="46">
        <f>SUMIFS('Components Yr 1'!D2:D1111,'Components Yr 1'!C2:C1111,A18,'Components Yr 1'!B2:B1111,'Bldgs &amp; Rooms'!B18)</f>
        <v>0</v>
      </c>
      <c r="S18" s="46">
        <f>SUMIFS('Components Yr 1'!D2:D1111,'Components Yr 1'!C2:C1111,A18,'Components Yr 1'!B2:B1111,'Bldgs &amp; Rooms'!B19)</f>
        <v>0</v>
      </c>
      <c r="T18" s="46">
        <f>SUMIFS('Components Yr 1'!D2:D1111,'Components Yr 1'!C2:C1111,A18,'Components Yr 1'!B2:B1111,'Bldgs &amp; Rooms'!B20)</f>
        <v>0</v>
      </c>
      <c r="U18" s="46">
        <f>SUMIFS('Components Yr 1'!D2:D1111,'Components Yr 1'!C2:C1111,A18,'Components Yr 1'!B2:B1111,'Bldgs &amp; Rooms'!B21)</f>
        <v>0</v>
      </c>
      <c r="V18" s="46">
        <f>SUMIFS('Components Yr 1'!D2:D1111,'Components Yr 1'!C2:C1111,A18,'Components Yr 1'!B2:B1111,'Bldgs &amp; Rooms'!B22)</f>
        <v>0</v>
      </c>
      <c r="W18" s="46">
        <f>SUMIFS('Components Yr 1'!D2:D1111,'Components Yr 1'!C2:C1111,A18,'Components Yr 1'!B2:B1111,'Bldgs &amp; Rooms'!B23)</f>
        <v>0</v>
      </c>
      <c r="X18" s="46">
        <f>SUMIFS('Components Yr 1'!D2:D1111,'Components Yr 1'!C2:C1111,A18,'Components Yr 1'!B2:B1111,'Bldgs &amp; Rooms'!B24)</f>
        <v>0</v>
      </c>
      <c r="Y18" s="46">
        <f>SUMIFS('Components Yr 1'!D2:D1111,'Components Yr 1'!C2:C1111,A18,'Components Yr 1'!B2:B1111,'Bldgs &amp; Rooms'!B25)</f>
        <v>0</v>
      </c>
      <c r="Z18" s="46">
        <f>SUMIFS('Components Yr 1'!D2:D1111,'Components Yr 1'!C2:C1111,A18,'Components Yr 1'!B2:B1111,'Bldgs &amp; Rooms'!B26)</f>
        <v>0</v>
      </c>
      <c r="AA18" s="46">
        <f>SUMIFS('Components Yr 1'!D2:D1111,'Components Yr 1'!C2:C1111,A18,'Components Yr 1'!B2:B1111,'Bldgs &amp; Rooms'!B27)</f>
        <v>0</v>
      </c>
      <c r="AB18" s="46">
        <f>SUMIFS('Components Yr 1'!D2:D1111,'Components Yr 1'!C2:C1111,A18,'Components Yr 1'!B2:B1111,'Bldgs &amp; Rooms'!B28)</f>
        <v>0</v>
      </c>
      <c r="AC18" s="46">
        <f>SUMIFS('Components Yr 1'!D2:D1111,'Components Yr 1'!C2:C1111,A18,'Components Yr 1'!B2:B1111,'Bldgs &amp; Rooms'!B29)</f>
        <v>0</v>
      </c>
      <c r="AD18" s="46">
        <f>SUMIFS('Components Yr 1'!D2:D1111,'Components Yr 1'!C2:C1111,A18,'Components Yr 1'!B2:B1111,'Bldgs &amp; Rooms'!B30)</f>
        <v>0</v>
      </c>
      <c r="AE18" s="46">
        <f>SUMIFS('Components Yr 1'!D2:D1111,'Components Yr 1'!C2:C1111,A18,'Components Yr 1'!B2:B1111,'Bldgs &amp; Rooms'!B31)</f>
        <v>0</v>
      </c>
      <c r="AF18" s="47">
        <f t="shared" si="0"/>
        <v>0</v>
      </c>
    </row>
    <row r="19" spans="1:32" x14ac:dyDescent="0.25">
      <c r="A19" s="48" t="s">
        <v>32</v>
      </c>
      <c r="B19" s="49">
        <f>SUMIFS('Components Yr 1'!D2:D1111,'Components Yr 1'!C2:C1111,A19,'Components Yr 1'!B2:B1111,'Bldgs &amp; Rooms'!B2)</f>
        <v>0</v>
      </c>
      <c r="C19" s="49">
        <f>SUMIFS('Components Yr 1'!D2:D1111,'Components Yr 1'!C2:C1111,A19,'Components Yr 1'!B2:B1111,'Bldgs &amp; Rooms'!B3)</f>
        <v>0</v>
      </c>
      <c r="D19" s="49">
        <f>SUMIFS('Components Yr 1'!D2:D1111,'Components Yr 1'!C2:C1111,A19,'Components Yr 1'!B2:B1111,'Bldgs &amp; Rooms'!B4)</f>
        <v>0</v>
      </c>
      <c r="E19" s="49">
        <f>SUMIFS('Components Yr 1'!D2:D1111,'Components Yr 1'!C2:C1111,A19,'Components Yr 1'!B2:B1111,'Bldgs &amp; Rooms'!B5)</f>
        <v>0</v>
      </c>
      <c r="F19" s="49">
        <f>SUMIFS('Components Yr 1'!D2:D1111,'Components Yr 1'!C2:C1111,A19,'Components Yr 1'!B2:B1111,'Bldgs &amp; Rooms'!B6)</f>
        <v>0</v>
      </c>
      <c r="G19" s="49">
        <f>SUMIFS('Components Yr 1'!D2:D1111,'Components Yr 1'!C2:C1111,A19,'Components Yr 1'!B2:B1111,'Bldgs &amp; Rooms'!B7)</f>
        <v>0</v>
      </c>
      <c r="H19" s="49">
        <f>SUMIFS('Components Yr 1'!D2:D1111,'Components Yr 1'!C2:C1111,A19,'Components Yr 1'!B2:B1111,'Bldgs &amp; Rooms'!B8)</f>
        <v>0</v>
      </c>
      <c r="I19" s="49">
        <f>SUMIFS('Components Yr 1'!D2:D1111,'Components Yr 1'!C2:C1111,A19,'Components Yr 1'!B2:B1111,'Bldgs &amp; Rooms'!B9)</f>
        <v>0</v>
      </c>
      <c r="J19" s="49">
        <f>SUMIFS('Components Yr 1'!D2:D1111,'Components Yr 1'!C2:C1111,A19,'Components Yr 1'!B2:B1111,'Bldgs &amp; Rooms'!B10)</f>
        <v>0</v>
      </c>
      <c r="K19" s="49">
        <f>SUMIFS('Components Yr 1'!D2:D1111,'Components Yr 1'!C2:C1111,A19,'Components Yr 1'!B2:B1111,'Bldgs &amp; Rooms'!B11)</f>
        <v>0</v>
      </c>
      <c r="L19" s="49">
        <f>SUMIFS('Components Yr 1'!D2:D1111,'Components Yr 1'!C2:C1111,A19,'Components Yr 1'!B2:B1111,'Bldgs &amp; Rooms'!B12)</f>
        <v>0</v>
      </c>
      <c r="M19" s="49">
        <f>SUMIFS('Components Yr 1'!D2:D1111,'Components Yr 1'!C2:C1111,A19,'Components Yr 1'!B2:B1111,'Bldgs &amp; Rooms'!B13)</f>
        <v>0</v>
      </c>
      <c r="N19" s="49">
        <f>SUMIFS('Components Yr 1'!D2:D1111,'Components Yr 1'!C2:C1111,A19,'Components Yr 1'!B2:B1111,'Bldgs &amp; Rooms'!B14)</f>
        <v>0</v>
      </c>
      <c r="O19" s="49">
        <f>SUMIFS('Components Yr 1'!D2:D1111,'Components Yr 1'!C2:C1111,A19,'Components Yr 1'!B2:B1111,'Bldgs &amp; Rooms'!B15)</f>
        <v>0</v>
      </c>
      <c r="P19" s="49">
        <f>SUMIFS('Components Yr 1'!D2:D1111,'Components Yr 1'!C2:C1111,A19,'Components Yr 1'!B2:B1111,'Bldgs &amp; Rooms'!B16)</f>
        <v>0</v>
      </c>
      <c r="Q19" s="49">
        <f>SUMIFS('Components Yr 1'!D2:D1111,'Components Yr 1'!C2:C1111,A19,'Components Yr 1'!B2:B1111,'Bldgs &amp; Rooms'!B17)</f>
        <v>0</v>
      </c>
      <c r="R19" s="49">
        <f>SUMIFS('Components Yr 1'!D2:D1111,'Components Yr 1'!C2:C1111,A19,'Components Yr 1'!B2:B1111,'Bldgs &amp; Rooms'!B18)</f>
        <v>0</v>
      </c>
      <c r="S19" s="49">
        <f>SUMIFS('Components Yr 1'!D2:D1111,'Components Yr 1'!C2:C1111,A19,'Components Yr 1'!B2:B1111,'Bldgs &amp; Rooms'!B19)</f>
        <v>0</v>
      </c>
      <c r="T19" s="49">
        <f>SUMIFS('Components Yr 1'!D2:D1111,'Components Yr 1'!C2:C1111,A19,'Components Yr 1'!B2:B1111,'Bldgs &amp; Rooms'!B20)</f>
        <v>0</v>
      </c>
      <c r="U19" s="49">
        <f>SUMIFS('Components Yr 1'!D2:D1111,'Components Yr 1'!C2:C1111,A19,'Components Yr 1'!B2:B1111,'Bldgs &amp; Rooms'!B21)</f>
        <v>0</v>
      </c>
      <c r="V19" s="49">
        <f>SUMIFS('Components Yr 1'!D2:D1111,'Components Yr 1'!C2:C1111,A19,'Components Yr 1'!B2:B1111,'Bldgs &amp; Rooms'!B22)</f>
        <v>0</v>
      </c>
      <c r="W19" s="49">
        <f>SUMIFS('Components Yr 1'!D2:D1111,'Components Yr 1'!C2:C1111,A19,'Components Yr 1'!B2:B1111,'Bldgs &amp; Rooms'!B23)</f>
        <v>0</v>
      </c>
      <c r="X19" s="49">
        <f>SUMIFS('Components Yr 1'!D2:D1111,'Components Yr 1'!C2:C1111,A19,'Components Yr 1'!B2:B1111,'Bldgs &amp; Rooms'!B24)</f>
        <v>0</v>
      </c>
      <c r="Y19" s="49">
        <f>SUMIFS('Components Yr 1'!D2:D1111,'Components Yr 1'!C2:C1111,A19,'Components Yr 1'!B2:B1111,'Bldgs &amp; Rooms'!B25)</f>
        <v>0</v>
      </c>
      <c r="Z19" s="49">
        <f>SUMIFS('Components Yr 1'!D2:D1111,'Components Yr 1'!C2:C1111,A19,'Components Yr 1'!B2:B1111,'Bldgs &amp; Rooms'!B26)</f>
        <v>0</v>
      </c>
      <c r="AA19" s="49">
        <f>SUMIFS('Components Yr 1'!D2:D1111,'Components Yr 1'!C2:C1111,A19,'Components Yr 1'!B2:B1111,'Bldgs &amp; Rooms'!B27)</f>
        <v>0</v>
      </c>
      <c r="AB19" s="49">
        <f>SUMIFS('Components Yr 1'!D2:D1111,'Components Yr 1'!C2:C1111,A19,'Components Yr 1'!B2:B1111,'Bldgs &amp; Rooms'!B28)</f>
        <v>0</v>
      </c>
      <c r="AC19" s="49">
        <f>SUMIFS('Components Yr 1'!D2:D1111,'Components Yr 1'!C2:C1111,A19,'Components Yr 1'!B2:B1111,'Bldgs &amp; Rooms'!B29)</f>
        <v>0</v>
      </c>
      <c r="AD19" s="49">
        <f>SUMIFS('Components Yr 1'!D2:D1111,'Components Yr 1'!C2:C1111,A19,'Components Yr 1'!B2:B1111,'Bldgs &amp; Rooms'!B30)</f>
        <v>0</v>
      </c>
      <c r="AE19" s="49">
        <f>SUMIFS('Components Yr 1'!D2:D1111,'Components Yr 1'!C2:C1111,A19,'Components Yr 1'!B2:B1111,'Bldgs &amp; Rooms'!B31)</f>
        <v>0</v>
      </c>
      <c r="AF19" s="47">
        <f t="shared" si="0"/>
        <v>0</v>
      </c>
    </row>
    <row r="20" spans="1:32" x14ac:dyDescent="0.25">
      <c r="A20" s="45" t="s">
        <v>33</v>
      </c>
      <c r="B20" s="46">
        <f>SUMIFS('Components Yr 1'!D2:D1111,'Components Yr 1'!C2:C1111,A20,'Components Yr 1'!B2:B1111,'Bldgs &amp; Rooms'!B2)</f>
        <v>0</v>
      </c>
      <c r="C20" s="46">
        <f>SUMIFS('Components Yr 1'!D2:D1111,'Components Yr 1'!C2:C1111,A20,'Components Yr 1'!B2:B1111,'Bldgs &amp; Rooms'!B3)</f>
        <v>0</v>
      </c>
      <c r="D20" s="46">
        <f>SUMIFS('Components Yr 1'!D2:D1111,'Components Yr 1'!C2:C1111,A20,'Components Yr 1'!B2:B1111,'Bldgs &amp; Rooms'!B4)</f>
        <v>0</v>
      </c>
      <c r="E20" s="46">
        <f>SUMIFS('Components Yr 1'!D2:D1111,'Components Yr 1'!C2:C1111,A20,'Components Yr 1'!B2:B1111,'Bldgs &amp; Rooms'!B5)</f>
        <v>0</v>
      </c>
      <c r="F20" s="46">
        <f>SUMIFS('Components Yr 1'!D2:D1111,'Components Yr 1'!C2:C1111,A20,'Components Yr 1'!B2:B1111,'Bldgs &amp; Rooms'!B6)</f>
        <v>0</v>
      </c>
      <c r="G20" s="46">
        <f>SUMIFS('Components Yr 1'!D2:D1111,'Components Yr 1'!C2:C1111,A20,'Components Yr 1'!B2:B1111,'Bldgs &amp; Rooms'!B7)</f>
        <v>0</v>
      </c>
      <c r="H20" s="46">
        <f>SUMIFS('Components Yr 1'!D2:D1111,'Components Yr 1'!C2:C1111,A20,'Components Yr 1'!B2:B1111,'Bldgs &amp; Rooms'!B8)</f>
        <v>0</v>
      </c>
      <c r="I20" s="46">
        <f>SUMIFS('Components Yr 1'!D2:D1111,'Components Yr 1'!C2:C1111,A20,'Components Yr 1'!B2:B1111,'Bldgs &amp; Rooms'!B9)</f>
        <v>0</v>
      </c>
      <c r="J20" s="46">
        <f>SUMIFS('Components Yr 1'!D2:D1111,'Components Yr 1'!C2:C1111,A20,'Components Yr 1'!B2:B1111,'Bldgs &amp; Rooms'!B10)</f>
        <v>0</v>
      </c>
      <c r="K20" s="46">
        <f>SUMIFS('Components Yr 1'!D2:D1111,'Components Yr 1'!C2:C1111,A20,'Components Yr 1'!B2:B1111,'Bldgs &amp; Rooms'!B11)</f>
        <v>0</v>
      </c>
      <c r="L20" s="46">
        <f>SUMIFS('Components Yr 1'!D2:D1111,'Components Yr 1'!C2:C1111,A20,'Components Yr 1'!B2:B1111,'Bldgs &amp; Rooms'!B12)</f>
        <v>0</v>
      </c>
      <c r="M20" s="46">
        <f>SUMIFS('Components Yr 1'!D2:D1111,'Components Yr 1'!C2:C1111,A20,'Components Yr 1'!B2:B1111,'Bldgs &amp; Rooms'!B13)</f>
        <v>0</v>
      </c>
      <c r="N20" s="46">
        <f>SUMIFS('Components Yr 1'!D2:D1111,'Components Yr 1'!C2:C1111,A20,'Components Yr 1'!B2:B1111,'Bldgs &amp; Rooms'!B14)</f>
        <v>0</v>
      </c>
      <c r="O20" s="46">
        <f>SUMIFS('Components Yr 1'!D2:D1111,'Components Yr 1'!C2:C1111,A20,'Components Yr 1'!B2:B1111,'Bldgs &amp; Rooms'!B15)</f>
        <v>0</v>
      </c>
      <c r="P20" s="46">
        <f>SUMIFS('Components Yr 1'!D2:D1111,'Components Yr 1'!C2:C1111,A20,'Components Yr 1'!B2:B1111,'Bldgs &amp; Rooms'!B16)</f>
        <v>0</v>
      </c>
      <c r="Q20" s="46">
        <f>SUMIFS('Components Yr 1'!D2:D1111,'Components Yr 1'!C2:C1111,A20,'Components Yr 1'!B2:B1111,'Bldgs &amp; Rooms'!B17)</f>
        <v>0</v>
      </c>
      <c r="R20" s="46">
        <f>SUMIFS('Components Yr 1'!D2:D1111,'Components Yr 1'!C2:C1111,A20,'Components Yr 1'!B2:B1111,'Bldgs &amp; Rooms'!B18)</f>
        <v>0</v>
      </c>
      <c r="S20" s="46">
        <f>SUMIFS('Components Yr 1'!D2:D1111,'Components Yr 1'!C2:C1111,A20,'Components Yr 1'!B2:B1111,'Bldgs &amp; Rooms'!B19)</f>
        <v>0</v>
      </c>
      <c r="T20" s="46">
        <f>SUMIFS('Components Yr 1'!D2:D1111,'Components Yr 1'!C2:C1111,A20,'Components Yr 1'!B2:B1111,'Bldgs &amp; Rooms'!B20)</f>
        <v>0</v>
      </c>
      <c r="U20" s="46">
        <f>SUMIFS('Components Yr 1'!D2:D1111,'Components Yr 1'!C2:C1111,A20,'Components Yr 1'!B2:B1111,'Bldgs &amp; Rooms'!B21)</f>
        <v>0</v>
      </c>
      <c r="V20" s="46">
        <f>SUMIFS('Components Yr 1'!D2:D1111,'Components Yr 1'!C2:C1111,A20,'Components Yr 1'!B2:B1111,'Bldgs &amp; Rooms'!B22)</f>
        <v>0</v>
      </c>
      <c r="W20" s="46">
        <f>SUMIFS('Components Yr 1'!D2:D1111,'Components Yr 1'!C2:C1111,A20,'Components Yr 1'!B2:B1111,'Bldgs &amp; Rooms'!B23)</f>
        <v>0</v>
      </c>
      <c r="X20" s="46">
        <f>SUMIFS('Components Yr 1'!D2:D1111,'Components Yr 1'!C2:C1111,A20,'Components Yr 1'!B2:B1111,'Bldgs &amp; Rooms'!B24)</f>
        <v>0</v>
      </c>
      <c r="Y20" s="46">
        <f>SUMIFS('Components Yr 1'!D2:D1111,'Components Yr 1'!C2:C1111,A20,'Components Yr 1'!B2:B1111,'Bldgs &amp; Rooms'!B25)</f>
        <v>0</v>
      </c>
      <c r="Z20" s="46">
        <f>SUMIFS('Components Yr 1'!D2:D1111,'Components Yr 1'!C2:C1111,A20,'Components Yr 1'!B2:B1111,'Bldgs &amp; Rooms'!B26)</f>
        <v>0</v>
      </c>
      <c r="AA20" s="46">
        <f>SUMIFS('Components Yr 1'!D2:D1111,'Components Yr 1'!C2:C1111,A20,'Components Yr 1'!B2:B1111,'Bldgs &amp; Rooms'!B27)</f>
        <v>0</v>
      </c>
      <c r="AB20" s="46">
        <f>SUMIFS('Components Yr 1'!D2:D1111,'Components Yr 1'!C2:C1111,A20,'Components Yr 1'!B2:B1111,'Bldgs &amp; Rooms'!B28)</f>
        <v>0</v>
      </c>
      <c r="AC20" s="46">
        <f>SUMIFS('Components Yr 1'!D2:D1111,'Components Yr 1'!C2:C1111,A20,'Components Yr 1'!B2:B1111,'Bldgs &amp; Rooms'!B29)</f>
        <v>0</v>
      </c>
      <c r="AD20" s="46">
        <f>SUMIFS('Components Yr 1'!D2:D1111,'Components Yr 1'!C2:C1111,A20,'Components Yr 1'!B2:B1111,'Bldgs &amp; Rooms'!B30)</f>
        <v>0</v>
      </c>
      <c r="AE20" s="46">
        <f>SUMIFS('Components Yr 1'!D2:D1111,'Components Yr 1'!C2:C1111,A20,'Components Yr 1'!B2:B1111,'Bldgs &amp; Rooms'!B31)</f>
        <v>0</v>
      </c>
      <c r="AF20" s="47">
        <f t="shared" si="0"/>
        <v>0</v>
      </c>
    </row>
    <row r="21" spans="1:32" x14ac:dyDescent="0.25">
      <c r="A21" s="48" t="s">
        <v>34</v>
      </c>
      <c r="B21" s="49">
        <f>SUMIFS('Components Yr 1'!D2:D1111,'Components Yr 1'!C2:C1111,A21,'Components Yr 1'!B2:B1111,'Bldgs &amp; Rooms'!B2)</f>
        <v>0</v>
      </c>
      <c r="C21" s="49">
        <f>SUMIFS('Components Yr 1'!D2:D1111,'Components Yr 1'!C2:C1111,A21,'Components Yr 1'!B2:B1111,'Bldgs &amp; Rooms'!B3)</f>
        <v>0</v>
      </c>
      <c r="D21" s="49">
        <f>SUMIFS('Components Yr 1'!D2:D1111,'Components Yr 1'!C2:C1111,A21,'Components Yr 1'!B2:B1111,'Bldgs &amp; Rooms'!B4)</f>
        <v>0</v>
      </c>
      <c r="E21" s="49">
        <f>SUMIFS('Components Yr 1'!D2:D1111,'Components Yr 1'!C2:C1111,A21,'Components Yr 1'!B2:B1111,'Bldgs &amp; Rooms'!B5)</f>
        <v>0</v>
      </c>
      <c r="F21" s="49">
        <f>SUMIFS('Components Yr 1'!D2:D1111,'Components Yr 1'!C2:C1111,A21,'Components Yr 1'!B2:B1111,'Bldgs &amp; Rooms'!B6)</f>
        <v>0</v>
      </c>
      <c r="G21" s="49">
        <f>SUMIFS('Components Yr 1'!D2:D1111,'Components Yr 1'!C2:C1111,A21,'Components Yr 1'!B2:B1111,'Bldgs &amp; Rooms'!B7)</f>
        <v>0</v>
      </c>
      <c r="H21" s="49">
        <f>SUMIFS('Components Yr 1'!D2:D1111,'Components Yr 1'!C2:C1111,A21,'Components Yr 1'!B2:B1111,'Bldgs &amp; Rooms'!B8)</f>
        <v>0</v>
      </c>
      <c r="I21" s="49">
        <f>SUMIFS('Components Yr 1'!D2:D1111,'Components Yr 1'!C2:C1111,A21,'Components Yr 1'!B2:B1111,'Bldgs &amp; Rooms'!B9)</f>
        <v>0</v>
      </c>
      <c r="J21" s="49">
        <f>SUMIFS('Components Yr 1'!D2:D1111,'Components Yr 1'!C2:C1111,A21,'Components Yr 1'!B2:B1111,'Bldgs &amp; Rooms'!B10)</f>
        <v>0</v>
      </c>
      <c r="K21" s="49">
        <f>SUMIFS('Components Yr 1'!D2:D1111,'Components Yr 1'!C2:C1111,A21,'Components Yr 1'!B2:B1111,'Bldgs &amp; Rooms'!B11)</f>
        <v>0</v>
      </c>
      <c r="L21" s="49">
        <f>SUMIFS('Components Yr 1'!D2:D1111,'Components Yr 1'!C2:C1111,A21,'Components Yr 1'!B2:B1111,'Bldgs &amp; Rooms'!B12)</f>
        <v>0</v>
      </c>
      <c r="M21" s="49">
        <f>SUMIFS('Components Yr 1'!D2:D1111,'Components Yr 1'!C2:C1111,A21,'Components Yr 1'!B2:B1111,'Bldgs &amp; Rooms'!B13)</f>
        <v>0</v>
      </c>
      <c r="N21" s="49">
        <f>SUMIFS('Components Yr 1'!D2:D1111,'Components Yr 1'!C2:C1111,A21,'Components Yr 1'!B2:B1111,'Bldgs &amp; Rooms'!B14)</f>
        <v>0</v>
      </c>
      <c r="O21" s="49">
        <f>SUMIFS('Components Yr 1'!D2:D1111,'Components Yr 1'!C2:C1111,A21,'Components Yr 1'!B2:B1111,'Bldgs &amp; Rooms'!B15)</f>
        <v>0</v>
      </c>
      <c r="P21" s="49">
        <f>SUMIFS('Components Yr 1'!D2:D1111,'Components Yr 1'!C2:C1111,A21,'Components Yr 1'!B2:B1111,'Bldgs &amp; Rooms'!B16)</f>
        <v>0</v>
      </c>
      <c r="Q21" s="49">
        <f>SUMIFS('Components Yr 1'!D2:D1111,'Components Yr 1'!C2:C1111,A21,'Components Yr 1'!B2:B1111,'Bldgs &amp; Rooms'!B17)</f>
        <v>0</v>
      </c>
      <c r="R21" s="49">
        <f>SUMIFS('Components Yr 1'!D2:D1111,'Components Yr 1'!C2:C1111,A21,'Components Yr 1'!B2:B1111,'Bldgs &amp; Rooms'!B18)</f>
        <v>0</v>
      </c>
      <c r="S21" s="49">
        <f>SUMIFS('Components Yr 1'!D2:D1111,'Components Yr 1'!C2:C1111,A21,'Components Yr 1'!B2:B1111,'Bldgs &amp; Rooms'!B19)</f>
        <v>0</v>
      </c>
      <c r="T21" s="49">
        <f>SUMIFS('Components Yr 1'!D2:D1111,'Components Yr 1'!C2:C1111,A21,'Components Yr 1'!B2:B1111,'Bldgs &amp; Rooms'!B20)</f>
        <v>0</v>
      </c>
      <c r="U21" s="49">
        <f>SUMIFS('Components Yr 1'!D2:D1111,'Components Yr 1'!C2:C1111,A21,'Components Yr 1'!B2:B1111,'Bldgs &amp; Rooms'!B21)</f>
        <v>0</v>
      </c>
      <c r="V21" s="49">
        <f>SUMIFS('Components Yr 1'!D2:D1111,'Components Yr 1'!C2:C1111,A21,'Components Yr 1'!B2:B1111,'Bldgs &amp; Rooms'!B22)</f>
        <v>0</v>
      </c>
      <c r="W21" s="49">
        <f>SUMIFS('Components Yr 1'!D2:D1111,'Components Yr 1'!C2:C1111,A21,'Components Yr 1'!B2:B1111,'Bldgs &amp; Rooms'!B23)</f>
        <v>0</v>
      </c>
      <c r="X21" s="49">
        <f>SUMIFS('Components Yr 1'!D2:D1111,'Components Yr 1'!C2:C1111,A21,'Components Yr 1'!B2:B1111,'Bldgs &amp; Rooms'!B24)</f>
        <v>0</v>
      </c>
      <c r="Y21" s="49">
        <f>SUMIFS('Components Yr 1'!D2:D1111,'Components Yr 1'!C2:C1111,A21,'Components Yr 1'!B2:B1111,'Bldgs &amp; Rooms'!B25)</f>
        <v>0</v>
      </c>
      <c r="Z21" s="49">
        <f>SUMIFS('Components Yr 1'!D2:D1111,'Components Yr 1'!C2:C1111,A21,'Components Yr 1'!B2:B1111,'Bldgs &amp; Rooms'!B26)</f>
        <v>0</v>
      </c>
      <c r="AA21" s="49">
        <f>SUMIFS('Components Yr 1'!D2:D1111,'Components Yr 1'!C2:C1111,A21,'Components Yr 1'!B2:B1111,'Bldgs &amp; Rooms'!B27)</f>
        <v>0</v>
      </c>
      <c r="AB21" s="49">
        <f>SUMIFS('Components Yr 1'!D2:D1111,'Components Yr 1'!C2:C1111,A21,'Components Yr 1'!B2:B1111,'Bldgs &amp; Rooms'!B28)</f>
        <v>0</v>
      </c>
      <c r="AC21" s="49">
        <f>SUMIFS('Components Yr 1'!D2:D1111,'Components Yr 1'!C2:C1111,A21,'Components Yr 1'!B2:B1111,'Bldgs &amp; Rooms'!B29)</f>
        <v>0</v>
      </c>
      <c r="AD21" s="49">
        <f>SUMIFS('Components Yr 1'!D2:D1111,'Components Yr 1'!C2:C1111,A21,'Components Yr 1'!B2:B1111,'Bldgs &amp; Rooms'!B30)</f>
        <v>0</v>
      </c>
      <c r="AE21" s="49">
        <f>SUMIFS('Components Yr 1'!D2:D1111,'Components Yr 1'!C2:C1111,A21,'Components Yr 1'!B2:B1111,'Bldgs &amp; Rooms'!B31)</f>
        <v>0</v>
      </c>
      <c r="AF21" s="47">
        <f t="shared" si="0"/>
        <v>0</v>
      </c>
    </row>
    <row r="22" spans="1:32" x14ac:dyDescent="0.25">
      <c r="A22" s="45" t="s">
        <v>35</v>
      </c>
      <c r="B22" s="46">
        <f>SUMIFS('Components Yr 1'!D2:D1111,'Components Yr 1'!C2:C1111,A22,'Components Yr 1'!B2:B1111,'Bldgs &amp; Rooms'!B2)</f>
        <v>0</v>
      </c>
      <c r="C22" s="46">
        <f>SUMIFS('Components Yr 1'!D2:D1111,'Components Yr 1'!C2:C1111,A22,'Components Yr 1'!B2:B1111,'Bldgs &amp; Rooms'!B3)</f>
        <v>0</v>
      </c>
      <c r="D22" s="46">
        <f>SUMIFS('Components Yr 1'!D2:D1111,'Components Yr 1'!C2:C1111,A22,'Components Yr 1'!B2:B1111,'Bldgs &amp; Rooms'!B4)</f>
        <v>0</v>
      </c>
      <c r="E22" s="46">
        <f>SUMIFS('Components Yr 1'!D2:D1111,'Components Yr 1'!C2:C1111,A22,'Components Yr 1'!B2:B1111,'Bldgs &amp; Rooms'!B5)</f>
        <v>0</v>
      </c>
      <c r="F22" s="46">
        <f>SUMIFS('Components Yr 1'!D2:D1111,'Components Yr 1'!C2:C1111,A22,'Components Yr 1'!B2:B1111,'Bldgs &amp; Rooms'!B6)</f>
        <v>0</v>
      </c>
      <c r="G22" s="46">
        <f>SUMIFS('Components Yr 1'!D2:D1111,'Components Yr 1'!C2:C1111,A22,'Components Yr 1'!B2:B1111,'Bldgs &amp; Rooms'!B7)</f>
        <v>0</v>
      </c>
      <c r="H22" s="46">
        <f>SUMIFS('Components Yr 1'!D2:D1111,'Components Yr 1'!C2:C1111,A22,'Components Yr 1'!B2:B1111,'Bldgs &amp; Rooms'!B8)</f>
        <v>0</v>
      </c>
      <c r="I22" s="46">
        <f>SUMIFS('Components Yr 1'!D2:D1111,'Components Yr 1'!C2:C1111,A22,'Components Yr 1'!B2:B1111,'Bldgs &amp; Rooms'!B9)</f>
        <v>0</v>
      </c>
      <c r="J22" s="46">
        <f>SUMIFS('Components Yr 1'!D2:D1111,'Components Yr 1'!C2:C1111,A22,'Components Yr 1'!B2:B1111,'Bldgs &amp; Rooms'!B10)</f>
        <v>0</v>
      </c>
      <c r="K22" s="46">
        <f>SUMIFS('Components Yr 1'!D2:D1111,'Components Yr 1'!C2:C1111,A22,'Components Yr 1'!B2:B1111,'Bldgs &amp; Rooms'!B11)</f>
        <v>0</v>
      </c>
      <c r="L22" s="46">
        <f>SUMIFS('Components Yr 1'!D2:D1111,'Components Yr 1'!C2:C1111,A22,'Components Yr 1'!B2:B1111,'Bldgs &amp; Rooms'!B12)</f>
        <v>0</v>
      </c>
      <c r="M22" s="46">
        <f>SUMIFS('Components Yr 1'!D2:D1111,'Components Yr 1'!C2:C1111,A22,'Components Yr 1'!B2:B1111,'Bldgs &amp; Rooms'!B13)</f>
        <v>0</v>
      </c>
      <c r="N22" s="46">
        <f>SUMIFS('Components Yr 1'!D2:D1111,'Components Yr 1'!C2:C1111,A22,'Components Yr 1'!B2:B1111,'Bldgs &amp; Rooms'!B14)</f>
        <v>0</v>
      </c>
      <c r="O22" s="46">
        <f>SUMIFS('Components Yr 1'!D2:D1111,'Components Yr 1'!C2:C1111,A22,'Components Yr 1'!B2:B1111,'Bldgs &amp; Rooms'!B15)</f>
        <v>0</v>
      </c>
      <c r="P22" s="46">
        <f>SUMIFS('Components Yr 1'!D2:D1111,'Components Yr 1'!C2:C1111,A22,'Components Yr 1'!B2:B1111,'Bldgs &amp; Rooms'!B16)</f>
        <v>0</v>
      </c>
      <c r="Q22" s="46">
        <f>SUMIFS('Components Yr 1'!D2:D1111,'Components Yr 1'!C2:C1111,A22,'Components Yr 1'!B2:B1111,'Bldgs &amp; Rooms'!B17)</f>
        <v>0</v>
      </c>
      <c r="R22" s="46">
        <f>SUMIFS('Components Yr 1'!D2:D1111,'Components Yr 1'!C2:C1111,A22,'Components Yr 1'!B2:B1111,'Bldgs &amp; Rooms'!B18)</f>
        <v>0</v>
      </c>
      <c r="S22" s="46">
        <f>SUMIFS('Components Yr 1'!D2:D1111,'Components Yr 1'!C2:C1111,A22,'Components Yr 1'!B2:B1111,'Bldgs &amp; Rooms'!B19)</f>
        <v>0</v>
      </c>
      <c r="T22" s="46">
        <f>SUMIFS('Components Yr 1'!D2:D1111,'Components Yr 1'!C2:C1111,A22,'Components Yr 1'!B2:B1111,'Bldgs &amp; Rooms'!B20)</f>
        <v>0</v>
      </c>
      <c r="U22" s="46">
        <f>SUMIFS('Components Yr 1'!D2:D1111,'Components Yr 1'!C2:C1111,A22,'Components Yr 1'!B2:B1111,'Bldgs &amp; Rooms'!B21)</f>
        <v>0</v>
      </c>
      <c r="V22" s="46">
        <f>SUMIFS('Components Yr 1'!D2:D1111,'Components Yr 1'!C2:C1111,A22,'Components Yr 1'!B2:B1111,'Bldgs &amp; Rooms'!B22)</f>
        <v>0</v>
      </c>
      <c r="W22" s="46">
        <f>SUMIFS('Components Yr 1'!D2:D1111,'Components Yr 1'!C2:C1111,A22,'Components Yr 1'!B2:B1111,'Bldgs &amp; Rooms'!B23)</f>
        <v>0</v>
      </c>
      <c r="X22" s="46">
        <f>SUMIFS('Components Yr 1'!D2:D1111,'Components Yr 1'!C2:C1111,A22,'Components Yr 1'!B2:B1111,'Bldgs &amp; Rooms'!B24)</f>
        <v>0</v>
      </c>
      <c r="Y22" s="46">
        <f>SUMIFS('Components Yr 1'!D2:D1111,'Components Yr 1'!C2:C1111,A22,'Components Yr 1'!B2:B1111,'Bldgs &amp; Rooms'!B25)</f>
        <v>0</v>
      </c>
      <c r="Z22" s="46">
        <f>SUMIFS('Components Yr 1'!D2:D1111,'Components Yr 1'!C2:C1111,A22,'Components Yr 1'!B2:B1111,'Bldgs &amp; Rooms'!B26)</f>
        <v>0</v>
      </c>
      <c r="AA22" s="46">
        <f>SUMIFS('Components Yr 1'!D2:D1111,'Components Yr 1'!C2:C1111,A22,'Components Yr 1'!B2:B1111,'Bldgs &amp; Rooms'!B27)</f>
        <v>0</v>
      </c>
      <c r="AB22" s="46">
        <f>SUMIFS('Components Yr 1'!D2:D1111,'Components Yr 1'!C2:C1111,A22,'Components Yr 1'!B2:B1111,'Bldgs &amp; Rooms'!B28)</f>
        <v>0</v>
      </c>
      <c r="AC22" s="46">
        <f>SUMIFS('Components Yr 1'!D2:D1111,'Components Yr 1'!C2:C1111,A22,'Components Yr 1'!B2:B1111,'Bldgs &amp; Rooms'!B29)</f>
        <v>0</v>
      </c>
      <c r="AD22" s="46">
        <f>SUMIFS('Components Yr 1'!D2:D1111,'Components Yr 1'!C2:C1111,A22,'Components Yr 1'!B2:B1111,'Bldgs &amp; Rooms'!B30)</f>
        <v>0</v>
      </c>
      <c r="AE22" s="46">
        <f>SUMIFS('Components Yr 1'!D2:D1111,'Components Yr 1'!C2:C1111,A22,'Components Yr 1'!B2:B1111,'Bldgs &amp; Rooms'!B31)</f>
        <v>0</v>
      </c>
      <c r="AF22" s="47">
        <f t="shared" si="0"/>
        <v>0</v>
      </c>
    </row>
    <row r="23" spans="1:32" x14ac:dyDescent="0.25">
      <c r="A23" s="48" t="s">
        <v>36</v>
      </c>
      <c r="B23" s="49">
        <f>SUMIFS('Components Yr 1'!D2:D1111,'Components Yr 1'!C2:C1111,A23,'Components Yr 1'!B2:B1111,'Bldgs &amp; Rooms'!B2)</f>
        <v>0</v>
      </c>
      <c r="C23" s="49">
        <f>SUMIFS('Components Yr 1'!D2:D1111,'Components Yr 1'!C2:C1111,A23,'Components Yr 1'!B2:B1111,'Bldgs &amp; Rooms'!B3)</f>
        <v>0</v>
      </c>
      <c r="D23" s="49">
        <f>SUMIFS('Components Yr 1'!D2:D1111,'Components Yr 1'!C2:C1111,A23,'Components Yr 1'!B2:B1111,'Bldgs &amp; Rooms'!B4)</f>
        <v>0</v>
      </c>
      <c r="E23" s="49">
        <f>SUMIFS('Components Yr 1'!D2:D1111,'Components Yr 1'!C2:C1111,A23,'Components Yr 1'!B2:B1111,'Bldgs &amp; Rooms'!B5)</f>
        <v>0</v>
      </c>
      <c r="F23" s="49">
        <f>SUMIFS('Components Yr 1'!D2:D1111,'Components Yr 1'!C2:C1111,A23,'Components Yr 1'!B2:B1111,'Bldgs &amp; Rooms'!B6)</f>
        <v>0</v>
      </c>
      <c r="G23" s="49">
        <f>SUMIFS('Components Yr 1'!D2:D1111,'Components Yr 1'!C2:C1111,A23,'Components Yr 1'!B2:B1111,'Bldgs &amp; Rooms'!B7)</f>
        <v>0</v>
      </c>
      <c r="H23" s="49">
        <f>SUMIFS('Components Yr 1'!D2:D1111,'Components Yr 1'!C2:C1111,A23,'Components Yr 1'!B2:B1111,'Bldgs &amp; Rooms'!B8)</f>
        <v>0</v>
      </c>
      <c r="I23" s="49">
        <f>SUMIFS('Components Yr 1'!D2:D1111,'Components Yr 1'!C2:C1111,A23,'Components Yr 1'!B2:B1111,'Bldgs &amp; Rooms'!B9)</f>
        <v>0</v>
      </c>
      <c r="J23" s="49">
        <f>SUMIFS('Components Yr 1'!D2:D1111,'Components Yr 1'!C2:C1111,A23,'Components Yr 1'!B2:B1111,'Bldgs &amp; Rooms'!B10)</f>
        <v>0</v>
      </c>
      <c r="K23" s="49">
        <f>SUMIFS('Components Yr 1'!D2:D1111,'Components Yr 1'!C2:C1111,A23,'Components Yr 1'!B2:B1111,'Bldgs &amp; Rooms'!B11)</f>
        <v>0</v>
      </c>
      <c r="L23" s="49">
        <f>SUMIFS('Components Yr 1'!D2:D1111,'Components Yr 1'!C2:C1111,A23,'Components Yr 1'!B2:B1111,'Bldgs &amp; Rooms'!B12)</f>
        <v>0</v>
      </c>
      <c r="M23" s="49">
        <f>SUMIFS('Components Yr 1'!D2:D1111,'Components Yr 1'!C2:C1111,A23,'Components Yr 1'!B2:B1111,'Bldgs &amp; Rooms'!B13)</f>
        <v>0</v>
      </c>
      <c r="N23" s="49">
        <f>SUMIFS('Components Yr 1'!D2:D1111,'Components Yr 1'!C2:C1111,A23,'Components Yr 1'!B2:B1111,'Bldgs &amp; Rooms'!B14)</f>
        <v>0</v>
      </c>
      <c r="O23" s="49">
        <f>SUMIFS('Components Yr 1'!D2:D1111,'Components Yr 1'!C2:C1111,A23,'Components Yr 1'!B2:B1111,'Bldgs &amp; Rooms'!B15)</f>
        <v>0</v>
      </c>
      <c r="P23" s="49">
        <f>SUMIFS('Components Yr 1'!D2:D1111,'Components Yr 1'!C2:C1111,A23,'Components Yr 1'!B2:B1111,'Bldgs &amp; Rooms'!B16)</f>
        <v>0</v>
      </c>
      <c r="Q23" s="49">
        <f>SUMIFS('Components Yr 1'!D2:D1111,'Components Yr 1'!C2:C1111,A23,'Components Yr 1'!B2:B1111,'Bldgs &amp; Rooms'!B17)</f>
        <v>0</v>
      </c>
      <c r="R23" s="49">
        <f>SUMIFS('Components Yr 1'!D2:D1111,'Components Yr 1'!C2:C1111,A23,'Components Yr 1'!B2:B1111,'Bldgs &amp; Rooms'!B18)</f>
        <v>0</v>
      </c>
      <c r="S23" s="49">
        <f>SUMIFS('Components Yr 1'!D2:D1111,'Components Yr 1'!C2:C1111,A23,'Components Yr 1'!B2:B1111,'Bldgs &amp; Rooms'!B19)</f>
        <v>0</v>
      </c>
      <c r="T23" s="49">
        <f>SUMIFS('Components Yr 1'!D2:D1111,'Components Yr 1'!C2:C1111,A23,'Components Yr 1'!B2:B1111,'Bldgs &amp; Rooms'!B20)</f>
        <v>0</v>
      </c>
      <c r="U23" s="49">
        <f>SUMIFS('Components Yr 1'!D2:D1111,'Components Yr 1'!C2:C1111,A23,'Components Yr 1'!B2:B1111,'Bldgs &amp; Rooms'!B21)</f>
        <v>0</v>
      </c>
      <c r="V23" s="49">
        <f>SUMIFS('Components Yr 1'!D2:D1111,'Components Yr 1'!C2:C1111,A23,'Components Yr 1'!B2:B1111,'Bldgs &amp; Rooms'!B22)</f>
        <v>0</v>
      </c>
      <c r="W23" s="49">
        <f>SUMIFS('Components Yr 1'!D2:D1111,'Components Yr 1'!C2:C1111,A23,'Components Yr 1'!B2:B1111,'Bldgs &amp; Rooms'!B23)</f>
        <v>0</v>
      </c>
      <c r="X23" s="49">
        <f>SUMIFS('Components Yr 1'!D2:D1111,'Components Yr 1'!C2:C1111,A23,'Components Yr 1'!B2:B1111,'Bldgs &amp; Rooms'!B24)</f>
        <v>0</v>
      </c>
      <c r="Y23" s="49">
        <f>SUMIFS('Components Yr 1'!D2:D1111,'Components Yr 1'!C2:C1111,A23,'Components Yr 1'!B2:B1111,'Bldgs &amp; Rooms'!B25)</f>
        <v>0</v>
      </c>
      <c r="Z23" s="49">
        <f>SUMIFS('Components Yr 1'!D2:D1111,'Components Yr 1'!C2:C1111,A23,'Components Yr 1'!B2:B1111,'Bldgs &amp; Rooms'!B26)</f>
        <v>0</v>
      </c>
      <c r="AA23" s="49">
        <f>SUMIFS('Components Yr 1'!D2:D1111,'Components Yr 1'!C2:C1111,A23,'Components Yr 1'!B2:B1111,'Bldgs &amp; Rooms'!B27)</f>
        <v>0</v>
      </c>
      <c r="AB23" s="49">
        <f>SUMIFS('Components Yr 1'!D2:D1111,'Components Yr 1'!C2:C1111,A23,'Components Yr 1'!B2:B1111,'Bldgs &amp; Rooms'!B28)</f>
        <v>0</v>
      </c>
      <c r="AC23" s="49">
        <f>SUMIFS('Components Yr 1'!D2:D1111,'Components Yr 1'!C2:C1111,A23,'Components Yr 1'!B2:B1111,'Bldgs &amp; Rooms'!B29)</f>
        <v>0</v>
      </c>
      <c r="AD23" s="49">
        <f>SUMIFS('Components Yr 1'!D2:D1111,'Components Yr 1'!C2:C1111,A23,'Components Yr 1'!B2:B1111,'Bldgs &amp; Rooms'!B30)</f>
        <v>0</v>
      </c>
      <c r="AE23" s="49">
        <f>SUMIFS('Components Yr 1'!D2:D1111,'Components Yr 1'!C2:C1111,A23,'Components Yr 1'!B2:B1111,'Bldgs &amp; Rooms'!B31)</f>
        <v>0</v>
      </c>
      <c r="AF23" s="47">
        <f t="shared" si="0"/>
        <v>0</v>
      </c>
    </row>
    <row r="24" spans="1:32" x14ac:dyDescent="0.25">
      <c r="A24" s="45" t="s">
        <v>37</v>
      </c>
      <c r="B24" s="46">
        <f>SUMIFS('Components Yr 1'!D2:D1111,'Components Yr 1'!C2:C1111,A24,'Components Yr 1'!B2:B1111,'Bldgs &amp; Rooms'!B2)</f>
        <v>0</v>
      </c>
      <c r="C24" s="46">
        <f>SUMIFS('Components Yr 1'!D2:D1111,'Components Yr 1'!C2:C1111,A24,'Components Yr 1'!B2:B1111,'Bldgs &amp; Rooms'!B3)</f>
        <v>0</v>
      </c>
      <c r="D24" s="46">
        <f>SUMIFS('Components Yr 1'!D2:D1111,'Components Yr 1'!C2:C1111,A24,'Components Yr 1'!B2:B1111,'Bldgs &amp; Rooms'!B4)</f>
        <v>0</v>
      </c>
      <c r="E24" s="46">
        <f>SUMIFS('Components Yr 1'!D2:D1111,'Components Yr 1'!C2:C1111,A24,'Components Yr 1'!B2:B1111,'Bldgs &amp; Rooms'!B5)</f>
        <v>0</v>
      </c>
      <c r="F24" s="46">
        <f>SUMIFS('Components Yr 1'!D2:D1111,'Components Yr 1'!C2:C1111,A24,'Components Yr 1'!B2:B1111,'Bldgs &amp; Rooms'!B6)</f>
        <v>0</v>
      </c>
      <c r="G24" s="46">
        <f>SUMIFS('Components Yr 1'!D2:D1111,'Components Yr 1'!C2:C1111,A24,'Components Yr 1'!B2:B1111,'Bldgs &amp; Rooms'!B7)</f>
        <v>0</v>
      </c>
      <c r="H24" s="46">
        <f>SUMIFS('Components Yr 1'!D2:D1111,'Components Yr 1'!C2:C1111,A24,'Components Yr 1'!B2:B1111,'Bldgs &amp; Rooms'!B8)</f>
        <v>0</v>
      </c>
      <c r="I24" s="46">
        <f>SUMIFS('Components Yr 1'!D2:D1111,'Components Yr 1'!C2:C1111,A24,'Components Yr 1'!B2:B1111,'Bldgs &amp; Rooms'!B9)</f>
        <v>0</v>
      </c>
      <c r="J24" s="46">
        <f>SUMIFS('Components Yr 1'!D2:D1111,'Components Yr 1'!C2:C1111,A24,'Components Yr 1'!B2:B1111,'Bldgs &amp; Rooms'!B10)</f>
        <v>0</v>
      </c>
      <c r="K24" s="46">
        <f>SUMIFS('Components Yr 1'!D2:D1111,'Components Yr 1'!C2:C1111,A24,'Components Yr 1'!B2:B1111,'Bldgs &amp; Rooms'!B11)</f>
        <v>0</v>
      </c>
      <c r="L24" s="46">
        <f>SUMIFS('Components Yr 1'!D2:D1111,'Components Yr 1'!C2:C1111,A24,'Components Yr 1'!B2:B1111,'Bldgs &amp; Rooms'!B12)</f>
        <v>0</v>
      </c>
      <c r="M24" s="46">
        <f>SUMIFS('Components Yr 1'!D2:D1111,'Components Yr 1'!C2:C1111,A24,'Components Yr 1'!B2:B1111,'Bldgs &amp; Rooms'!B13)</f>
        <v>0</v>
      </c>
      <c r="N24" s="46">
        <f>SUMIFS('Components Yr 1'!D2:D1111,'Components Yr 1'!C2:C1111,A24,'Components Yr 1'!B2:B1111,'Bldgs &amp; Rooms'!B14)</f>
        <v>0</v>
      </c>
      <c r="O24" s="46">
        <f>SUMIFS('Components Yr 1'!D2:D1111,'Components Yr 1'!C2:C1111,A24,'Components Yr 1'!B2:B1111,'Bldgs &amp; Rooms'!B15)</f>
        <v>0</v>
      </c>
      <c r="P24" s="46">
        <f>SUMIFS('Components Yr 1'!D2:D1111,'Components Yr 1'!C2:C1111,A24,'Components Yr 1'!B2:B1111,'Bldgs &amp; Rooms'!B16)</f>
        <v>0</v>
      </c>
      <c r="Q24" s="46">
        <f>SUMIFS('Components Yr 1'!D2:D1111,'Components Yr 1'!C2:C1111,A24,'Components Yr 1'!B2:B1111,'Bldgs &amp; Rooms'!B17)</f>
        <v>0</v>
      </c>
      <c r="R24" s="46">
        <f>SUMIFS('Components Yr 1'!D2:D1111,'Components Yr 1'!C2:C1111,A24,'Components Yr 1'!B2:B1111,'Bldgs &amp; Rooms'!B18)</f>
        <v>0</v>
      </c>
      <c r="S24" s="46">
        <f>SUMIFS('Components Yr 1'!D2:D1111,'Components Yr 1'!C2:C1111,A24,'Components Yr 1'!B2:B1111,'Bldgs &amp; Rooms'!B19)</f>
        <v>0</v>
      </c>
      <c r="T24" s="46">
        <f>SUMIFS('Components Yr 1'!D2:D1111,'Components Yr 1'!C2:C1111,A24,'Components Yr 1'!B2:B1111,'Bldgs &amp; Rooms'!B20)</f>
        <v>0</v>
      </c>
      <c r="U24" s="46">
        <f>SUMIFS('Components Yr 1'!D2:D1111,'Components Yr 1'!C2:C1111,A24,'Components Yr 1'!B2:B1111,'Bldgs &amp; Rooms'!B21)</f>
        <v>0</v>
      </c>
      <c r="V24" s="46">
        <f>SUMIFS('Components Yr 1'!D2:D1111,'Components Yr 1'!C2:C1111,A24,'Components Yr 1'!B2:B1111,'Bldgs &amp; Rooms'!B22)</f>
        <v>0</v>
      </c>
      <c r="W24" s="46">
        <f>SUMIFS('Components Yr 1'!D2:D1111,'Components Yr 1'!C2:C1111,A24,'Components Yr 1'!B2:B1111,'Bldgs &amp; Rooms'!B23)</f>
        <v>0</v>
      </c>
      <c r="X24" s="46">
        <f>SUMIFS('Components Yr 1'!D2:D1111,'Components Yr 1'!C2:C1111,A24,'Components Yr 1'!B2:B1111,'Bldgs &amp; Rooms'!B24)</f>
        <v>0</v>
      </c>
      <c r="Y24" s="46">
        <f>SUMIFS('Components Yr 1'!D2:D1111,'Components Yr 1'!C2:C1111,A24,'Components Yr 1'!B2:B1111,'Bldgs &amp; Rooms'!B25)</f>
        <v>0</v>
      </c>
      <c r="Z24" s="46">
        <f>SUMIFS('Components Yr 1'!D2:D1111,'Components Yr 1'!C2:C1111,A24,'Components Yr 1'!B2:B1111,'Bldgs &amp; Rooms'!B26)</f>
        <v>0</v>
      </c>
      <c r="AA24" s="46">
        <f>SUMIFS('Components Yr 1'!D2:D1111,'Components Yr 1'!C2:C1111,A24,'Components Yr 1'!B2:B1111,'Bldgs &amp; Rooms'!B27)</f>
        <v>0</v>
      </c>
      <c r="AB24" s="46">
        <f>SUMIFS('Components Yr 1'!D2:D1111,'Components Yr 1'!C2:C1111,A24,'Components Yr 1'!B2:B1111,'Bldgs &amp; Rooms'!B28)</f>
        <v>0</v>
      </c>
      <c r="AC24" s="46">
        <f>SUMIFS('Components Yr 1'!D2:D1111,'Components Yr 1'!C2:C1111,A24,'Components Yr 1'!B2:B1111,'Bldgs &amp; Rooms'!B29)</f>
        <v>0</v>
      </c>
      <c r="AD24" s="46">
        <f>SUMIFS('Components Yr 1'!D2:D1111,'Components Yr 1'!C2:C1111,A24,'Components Yr 1'!B2:B1111,'Bldgs &amp; Rooms'!B30)</f>
        <v>0</v>
      </c>
      <c r="AE24" s="46">
        <f>SUMIFS('Components Yr 1'!D2:D1111,'Components Yr 1'!C2:C1111,A24,'Components Yr 1'!B2:B1111,'Bldgs &amp; Rooms'!B31)</f>
        <v>0</v>
      </c>
      <c r="AF24" s="47">
        <f t="shared" si="0"/>
        <v>0</v>
      </c>
    </row>
    <row r="25" spans="1:32" x14ac:dyDescent="0.25">
      <c r="A25" s="48" t="s">
        <v>38</v>
      </c>
      <c r="B25" s="49">
        <f>SUMIFS('Components Yr 1'!D2:D1111,'Components Yr 1'!C2:C1111,A25,'Components Yr 1'!B2:B1111,'Bldgs &amp; Rooms'!B2)</f>
        <v>0</v>
      </c>
      <c r="C25" s="49">
        <f>SUMIFS('Components Yr 1'!D2:D1111,'Components Yr 1'!C2:C1111,A25,'Components Yr 1'!B2:B1111,'Bldgs &amp; Rooms'!B3)</f>
        <v>0</v>
      </c>
      <c r="D25" s="49">
        <f>SUMIFS('Components Yr 1'!D2:D1111,'Components Yr 1'!C2:C1111,A25,'Components Yr 1'!B2:B1111,'Bldgs &amp; Rooms'!B4)</f>
        <v>0</v>
      </c>
      <c r="E25" s="49">
        <f>SUMIFS('Components Yr 1'!D2:D1111,'Components Yr 1'!C2:C1111,A25,'Components Yr 1'!B2:B1111,'Bldgs &amp; Rooms'!B5)</f>
        <v>0</v>
      </c>
      <c r="F25" s="49">
        <f>SUMIFS('Components Yr 1'!D2:D1111,'Components Yr 1'!C2:C1111,A25,'Components Yr 1'!B2:B1111,'Bldgs &amp; Rooms'!B6)</f>
        <v>0</v>
      </c>
      <c r="G25" s="49">
        <f>SUMIFS('Components Yr 1'!D2:D1111,'Components Yr 1'!C2:C1111,A25,'Components Yr 1'!B2:B1111,'Bldgs &amp; Rooms'!B7)</f>
        <v>0</v>
      </c>
      <c r="H25" s="49">
        <f>SUMIFS('Components Yr 1'!D2:D1111,'Components Yr 1'!C2:C1111,A25,'Components Yr 1'!B2:B1111,'Bldgs &amp; Rooms'!B8)</f>
        <v>0</v>
      </c>
      <c r="I25" s="49">
        <f>SUMIFS('Components Yr 1'!D2:D1111,'Components Yr 1'!C2:C1111,A25,'Components Yr 1'!B2:B1111,'Bldgs &amp; Rooms'!B9)</f>
        <v>0</v>
      </c>
      <c r="J25" s="49">
        <f>SUMIFS('Components Yr 1'!D2:D1111,'Components Yr 1'!C2:C1111,A25,'Components Yr 1'!B2:B1111,'Bldgs &amp; Rooms'!B10)</f>
        <v>0</v>
      </c>
      <c r="K25" s="49">
        <f>SUMIFS('Components Yr 1'!D2:D1111,'Components Yr 1'!C2:C1111,A25,'Components Yr 1'!B2:B1111,'Bldgs &amp; Rooms'!B11)</f>
        <v>0</v>
      </c>
      <c r="L25" s="49">
        <f>SUMIFS('Components Yr 1'!D2:D1111,'Components Yr 1'!C2:C1111,A25,'Components Yr 1'!B2:B1111,'Bldgs &amp; Rooms'!B12)</f>
        <v>0</v>
      </c>
      <c r="M25" s="49">
        <f>SUMIFS('Components Yr 1'!D2:D1111,'Components Yr 1'!C2:C1111,A25,'Components Yr 1'!B2:B1111,'Bldgs &amp; Rooms'!B13)</f>
        <v>0</v>
      </c>
      <c r="N25" s="49">
        <f>SUMIFS('Components Yr 1'!D2:D1111,'Components Yr 1'!C2:C1111,A25,'Components Yr 1'!B2:B1111,'Bldgs &amp; Rooms'!B14)</f>
        <v>0</v>
      </c>
      <c r="O25" s="49">
        <f>SUMIFS('Components Yr 1'!D2:D1111,'Components Yr 1'!C2:C1111,A25,'Components Yr 1'!B2:B1111,'Bldgs &amp; Rooms'!B15)</f>
        <v>0</v>
      </c>
      <c r="P25" s="49">
        <f>SUMIFS('Components Yr 1'!D2:D1111,'Components Yr 1'!C2:C1111,A25,'Components Yr 1'!B2:B1111,'Bldgs &amp; Rooms'!B16)</f>
        <v>0</v>
      </c>
      <c r="Q25" s="49">
        <f>SUMIFS('Components Yr 1'!D2:D1111,'Components Yr 1'!C2:C1111,A25,'Components Yr 1'!B2:B1111,'Bldgs &amp; Rooms'!B17)</f>
        <v>0</v>
      </c>
      <c r="R25" s="49">
        <f>SUMIFS('Components Yr 1'!D2:D1111,'Components Yr 1'!C2:C1111,A25,'Components Yr 1'!B2:B1111,'Bldgs &amp; Rooms'!B18)</f>
        <v>0</v>
      </c>
      <c r="S25" s="49">
        <f>SUMIFS('Components Yr 1'!D2:D1111,'Components Yr 1'!C2:C1111,A25,'Components Yr 1'!B2:B1111,'Bldgs &amp; Rooms'!B19)</f>
        <v>0</v>
      </c>
      <c r="T25" s="49">
        <f>SUMIFS('Components Yr 1'!D2:D1111,'Components Yr 1'!C2:C1111,A25,'Components Yr 1'!B2:B1111,'Bldgs &amp; Rooms'!B20)</f>
        <v>0</v>
      </c>
      <c r="U25" s="49">
        <f>SUMIFS('Components Yr 1'!D2:D1111,'Components Yr 1'!C2:C1111,A25,'Components Yr 1'!B2:B1111,'Bldgs &amp; Rooms'!B21)</f>
        <v>0</v>
      </c>
      <c r="V25" s="49">
        <f>SUMIFS('Components Yr 1'!D2:D1111,'Components Yr 1'!C2:C1111,A25,'Components Yr 1'!B2:B1111,'Bldgs &amp; Rooms'!B22)</f>
        <v>0</v>
      </c>
      <c r="W25" s="49">
        <f>SUMIFS('Components Yr 1'!D2:D1111,'Components Yr 1'!C2:C1111,A25,'Components Yr 1'!B2:B1111,'Bldgs &amp; Rooms'!B23)</f>
        <v>0</v>
      </c>
      <c r="X25" s="49">
        <f>SUMIFS('Components Yr 1'!D2:D1111,'Components Yr 1'!C2:C1111,A25,'Components Yr 1'!B2:B1111,'Bldgs &amp; Rooms'!B24)</f>
        <v>0</v>
      </c>
      <c r="Y25" s="49">
        <f>SUMIFS('Components Yr 1'!D2:D1111,'Components Yr 1'!C2:C1111,A25,'Components Yr 1'!B2:B1111,'Bldgs &amp; Rooms'!B25)</f>
        <v>0</v>
      </c>
      <c r="Z25" s="49">
        <f>SUMIFS('Components Yr 1'!D2:D1111,'Components Yr 1'!C2:C1111,A25,'Components Yr 1'!B2:B1111,'Bldgs &amp; Rooms'!B26)</f>
        <v>0</v>
      </c>
      <c r="AA25" s="49">
        <f>SUMIFS('Components Yr 1'!D2:D1111,'Components Yr 1'!C2:C1111,A25,'Components Yr 1'!B2:B1111,'Bldgs &amp; Rooms'!B27)</f>
        <v>0</v>
      </c>
      <c r="AB25" s="49">
        <f>SUMIFS('Components Yr 1'!D2:D1111,'Components Yr 1'!C2:C1111,A25,'Components Yr 1'!B2:B1111,'Bldgs &amp; Rooms'!B28)</f>
        <v>0</v>
      </c>
      <c r="AC25" s="49">
        <f>SUMIFS('Components Yr 1'!D2:D1111,'Components Yr 1'!C2:C1111,A25,'Components Yr 1'!B2:B1111,'Bldgs &amp; Rooms'!B29)</f>
        <v>0</v>
      </c>
      <c r="AD25" s="49">
        <f>SUMIFS('Components Yr 1'!D2:D1111,'Components Yr 1'!C2:C1111,A25,'Components Yr 1'!B2:B1111,'Bldgs &amp; Rooms'!B30)</f>
        <v>0</v>
      </c>
      <c r="AE25" s="49">
        <f>SUMIFS('Components Yr 1'!D2:D1111,'Components Yr 1'!C2:C1111,A25,'Components Yr 1'!B2:B1111,'Bldgs &amp; Rooms'!B31)</f>
        <v>0</v>
      </c>
      <c r="AF25" s="47">
        <f t="shared" si="0"/>
        <v>0</v>
      </c>
    </row>
    <row r="26" spans="1:32" x14ac:dyDescent="0.25">
      <c r="A26" s="45" t="s">
        <v>39</v>
      </c>
      <c r="B26" s="46">
        <f>SUMIFS('Components Yr 1'!D2:D1111,'Components Yr 1'!C2:C1111,A26,'Components Yr 1'!B2:B1111,'Bldgs &amp; Rooms'!B2)</f>
        <v>0</v>
      </c>
      <c r="C26" s="46">
        <f>SUMIFS('Components Yr 1'!D2:D1111,'Components Yr 1'!C2:C1111,A26,'Components Yr 1'!B2:B1111,'Bldgs &amp; Rooms'!B3)</f>
        <v>0</v>
      </c>
      <c r="D26" s="46">
        <f>SUMIFS('Components Yr 1'!D2:D1111,'Components Yr 1'!C2:C1111,A26,'Components Yr 1'!B2:B1111,'Bldgs &amp; Rooms'!B4)</f>
        <v>0</v>
      </c>
      <c r="E26" s="46">
        <f>SUMIFS('Components Yr 1'!D2:D1111,'Components Yr 1'!C2:C1111,A26,'Components Yr 1'!B2:B1111,'Bldgs &amp; Rooms'!B5)</f>
        <v>0</v>
      </c>
      <c r="F26" s="46">
        <f>SUMIFS('Components Yr 1'!D2:D1111,'Components Yr 1'!C2:C1111,A26,'Components Yr 1'!B2:B1111,'Bldgs &amp; Rooms'!B6)</f>
        <v>0</v>
      </c>
      <c r="G26" s="46">
        <f>SUMIFS('Components Yr 1'!D2:D1111,'Components Yr 1'!C2:C1111,A26,'Components Yr 1'!B2:B1111,'Bldgs &amp; Rooms'!B7)</f>
        <v>0</v>
      </c>
      <c r="H26" s="46">
        <f>SUMIFS('Components Yr 1'!D2:D1111,'Components Yr 1'!C2:C1111,A26,'Components Yr 1'!B2:B1111,'Bldgs &amp; Rooms'!B8)</f>
        <v>0</v>
      </c>
      <c r="I26" s="46">
        <f>SUMIFS('Components Yr 1'!D2:D1111,'Components Yr 1'!C2:C1111,A26,'Components Yr 1'!B2:B1111,'Bldgs &amp; Rooms'!B9)</f>
        <v>0</v>
      </c>
      <c r="J26" s="46">
        <f>SUMIFS('Components Yr 1'!D2:D1111,'Components Yr 1'!C2:C1111,A26,'Components Yr 1'!B2:B1111,'Bldgs &amp; Rooms'!B10)</f>
        <v>0</v>
      </c>
      <c r="K26" s="46">
        <f>SUMIFS('Components Yr 1'!D2:D1111,'Components Yr 1'!C2:C1111,A26,'Components Yr 1'!B2:B1111,'Bldgs &amp; Rooms'!B11)</f>
        <v>0</v>
      </c>
      <c r="L26" s="46">
        <f>SUMIFS('Components Yr 1'!D2:D1111,'Components Yr 1'!C2:C1111,A26,'Components Yr 1'!B2:B1111,'Bldgs &amp; Rooms'!B12)</f>
        <v>0</v>
      </c>
      <c r="M26" s="46">
        <f>SUMIFS('Components Yr 1'!D2:D1111,'Components Yr 1'!C2:C1111,A26,'Components Yr 1'!B2:B1111,'Bldgs &amp; Rooms'!B13)</f>
        <v>0</v>
      </c>
      <c r="N26" s="46">
        <f>SUMIFS('Components Yr 1'!D2:D1111,'Components Yr 1'!C2:C1111,A26,'Components Yr 1'!B2:B1111,'Bldgs &amp; Rooms'!B14)</f>
        <v>0</v>
      </c>
      <c r="O26" s="46">
        <f>SUMIFS('Components Yr 1'!D2:D1111,'Components Yr 1'!C2:C1111,A26,'Components Yr 1'!B2:B1111,'Bldgs &amp; Rooms'!B15)</f>
        <v>0</v>
      </c>
      <c r="P26" s="46">
        <f>SUMIFS('Components Yr 1'!D2:D1111,'Components Yr 1'!C2:C1111,A26,'Components Yr 1'!B2:B1111,'Bldgs &amp; Rooms'!B16)</f>
        <v>0</v>
      </c>
      <c r="Q26" s="46">
        <f>SUMIFS('Components Yr 1'!D2:D1111,'Components Yr 1'!C2:C1111,A26,'Components Yr 1'!B2:B1111,'Bldgs &amp; Rooms'!B17)</f>
        <v>0</v>
      </c>
      <c r="R26" s="46">
        <f>SUMIFS('Components Yr 1'!D2:D1111,'Components Yr 1'!C2:C1111,A26,'Components Yr 1'!B2:B1111,'Bldgs &amp; Rooms'!B18)</f>
        <v>0</v>
      </c>
      <c r="S26" s="46">
        <f>SUMIFS('Components Yr 1'!D2:D1111,'Components Yr 1'!C2:C1111,A26,'Components Yr 1'!B2:B1111,'Bldgs &amp; Rooms'!B19)</f>
        <v>0</v>
      </c>
      <c r="T26" s="46">
        <f>SUMIFS('Components Yr 1'!D2:D1111,'Components Yr 1'!C2:C1111,A26,'Components Yr 1'!B2:B1111,'Bldgs &amp; Rooms'!B20)</f>
        <v>0</v>
      </c>
      <c r="U26" s="46">
        <f>SUMIFS('Components Yr 1'!D2:D1111,'Components Yr 1'!C2:C1111,A26,'Components Yr 1'!B2:B1111,'Bldgs &amp; Rooms'!B21)</f>
        <v>0</v>
      </c>
      <c r="V26" s="46">
        <f>SUMIFS('Components Yr 1'!D2:D1111,'Components Yr 1'!C2:C1111,A26,'Components Yr 1'!B2:B1111,'Bldgs &amp; Rooms'!B22)</f>
        <v>0</v>
      </c>
      <c r="W26" s="46">
        <f>SUMIFS('Components Yr 1'!D2:D1111,'Components Yr 1'!C2:C1111,A26,'Components Yr 1'!B2:B1111,'Bldgs &amp; Rooms'!B23)</f>
        <v>0</v>
      </c>
      <c r="X26" s="46">
        <f>SUMIFS('Components Yr 1'!D2:D1111,'Components Yr 1'!C2:C1111,A26,'Components Yr 1'!B2:B1111,'Bldgs &amp; Rooms'!B24)</f>
        <v>0</v>
      </c>
      <c r="Y26" s="46">
        <f>SUMIFS('Components Yr 1'!D2:D1111,'Components Yr 1'!C2:C1111,A26,'Components Yr 1'!B2:B1111,'Bldgs &amp; Rooms'!B25)</f>
        <v>0</v>
      </c>
      <c r="Z26" s="46">
        <f>SUMIFS('Components Yr 1'!D2:D1111,'Components Yr 1'!C2:C1111,A26,'Components Yr 1'!B2:B1111,'Bldgs &amp; Rooms'!B26)</f>
        <v>0</v>
      </c>
      <c r="AA26" s="46">
        <f>SUMIFS('Components Yr 1'!D2:D1111,'Components Yr 1'!C2:C1111,A26,'Components Yr 1'!B2:B1111,'Bldgs &amp; Rooms'!B27)</f>
        <v>0</v>
      </c>
      <c r="AB26" s="46">
        <f>SUMIFS('Components Yr 1'!D2:D1111,'Components Yr 1'!C2:C1111,A26,'Components Yr 1'!B2:B1111,'Bldgs &amp; Rooms'!B28)</f>
        <v>0</v>
      </c>
      <c r="AC26" s="46">
        <f>SUMIFS('Components Yr 1'!D2:D1111,'Components Yr 1'!C2:C1111,A26,'Components Yr 1'!B2:B1111,'Bldgs &amp; Rooms'!B29)</f>
        <v>0</v>
      </c>
      <c r="AD26" s="46">
        <f>SUMIFS('Components Yr 1'!D2:D1111,'Components Yr 1'!C2:C1111,A26,'Components Yr 1'!B2:B1111,'Bldgs &amp; Rooms'!B30)</f>
        <v>0</v>
      </c>
      <c r="AE26" s="46">
        <f>SUMIFS('Components Yr 1'!D2:D1111,'Components Yr 1'!C2:C1111,A26,'Components Yr 1'!B2:B1111,'Bldgs &amp; Rooms'!B31)</f>
        <v>0</v>
      </c>
      <c r="AF26" s="47">
        <f t="shared" si="0"/>
        <v>0</v>
      </c>
    </row>
    <row r="27" spans="1:32" x14ac:dyDescent="0.25">
      <c r="A27" s="48" t="s">
        <v>40</v>
      </c>
      <c r="B27" s="49">
        <f>SUMIFS('Components Yr 1'!D2:D1111,'Components Yr 1'!C2:C1111,A27,'Components Yr 1'!B2:B1111,'Bldgs &amp; Rooms'!B2)</f>
        <v>0</v>
      </c>
      <c r="C27" s="49">
        <f>SUMIFS('Components Yr 1'!D2:D1111,'Components Yr 1'!C2:C1111,A27,'Components Yr 1'!B2:B1111,'Bldgs &amp; Rooms'!B3)</f>
        <v>0</v>
      </c>
      <c r="D27" s="49">
        <f>SUMIFS('Components Yr 1'!D2:D1111,'Components Yr 1'!C2:C1111,A27,'Components Yr 1'!B2:B1111,'Bldgs &amp; Rooms'!B4)</f>
        <v>0</v>
      </c>
      <c r="E27" s="49">
        <f>SUMIFS('Components Yr 1'!D2:D1111,'Components Yr 1'!C2:C1111,A27,'Components Yr 1'!B2:B1111,'Bldgs &amp; Rooms'!B5)</f>
        <v>0</v>
      </c>
      <c r="F27" s="49">
        <f>SUMIFS('Components Yr 1'!D2:D1111,'Components Yr 1'!C2:C1111,A27,'Components Yr 1'!B2:B1111,'Bldgs &amp; Rooms'!B6)</f>
        <v>0</v>
      </c>
      <c r="G27" s="49">
        <f>SUMIFS('Components Yr 1'!D2:D1111,'Components Yr 1'!C2:C1111,A27,'Components Yr 1'!B2:B1111,'Bldgs &amp; Rooms'!B7)</f>
        <v>0</v>
      </c>
      <c r="H27" s="49">
        <f>SUMIFS('Components Yr 1'!D2:D1111,'Components Yr 1'!C2:C1111,A27,'Components Yr 1'!B2:B1111,'Bldgs &amp; Rooms'!B8)</f>
        <v>0</v>
      </c>
      <c r="I27" s="49">
        <f>SUMIFS('Components Yr 1'!D2:D1111,'Components Yr 1'!C2:C1111,A27,'Components Yr 1'!B2:B1111,'Bldgs &amp; Rooms'!B9)</f>
        <v>0</v>
      </c>
      <c r="J27" s="49">
        <f>SUMIFS('Components Yr 1'!D2:D1111,'Components Yr 1'!C2:C1111,A27,'Components Yr 1'!B2:B1111,'Bldgs &amp; Rooms'!B10)</f>
        <v>0</v>
      </c>
      <c r="K27" s="49">
        <f>SUMIFS('Components Yr 1'!D2:D1111,'Components Yr 1'!C2:C1111,A27,'Components Yr 1'!B2:B1111,'Bldgs &amp; Rooms'!B11)</f>
        <v>0</v>
      </c>
      <c r="L27" s="49">
        <f>SUMIFS('Components Yr 1'!D2:D1111,'Components Yr 1'!C2:C1111,A27,'Components Yr 1'!B2:B1111,'Bldgs &amp; Rooms'!B12)</f>
        <v>0</v>
      </c>
      <c r="M27" s="49">
        <f>SUMIFS('Components Yr 1'!D2:D1111,'Components Yr 1'!C2:C1111,A27,'Components Yr 1'!B2:B1111,'Bldgs &amp; Rooms'!B13)</f>
        <v>0</v>
      </c>
      <c r="N27" s="49">
        <f>SUMIFS('Components Yr 1'!D2:D1111,'Components Yr 1'!C2:C1111,A27,'Components Yr 1'!B2:B1111,'Bldgs &amp; Rooms'!B14)</f>
        <v>0</v>
      </c>
      <c r="O27" s="49">
        <f>SUMIFS('Components Yr 1'!D2:D1111,'Components Yr 1'!C2:C1111,A27,'Components Yr 1'!B2:B1111,'Bldgs &amp; Rooms'!B15)</f>
        <v>0</v>
      </c>
      <c r="P27" s="49">
        <f>SUMIFS('Components Yr 1'!D2:D1111,'Components Yr 1'!C2:C1111,A27,'Components Yr 1'!B2:B1111,'Bldgs &amp; Rooms'!B16)</f>
        <v>0</v>
      </c>
      <c r="Q27" s="49">
        <f>SUMIFS('Components Yr 1'!D2:D1111,'Components Yr 1'!C2:C1111,A27,'Components Yr 1'!B2:B1111,'Bldgs &amp; Rooms'!B17)</f>
        <v>0</v>
      </c>
      <c r="R27" s="49">
        <f>SUMIFS('Components Yr 1'!D2:D1111,'Components Yr 1'!C2:C1111,A27,'Components Yr 1'!B2:B1111,'Bldgs &amp; Rooms'!B18)</f>
        <v>0</v>
      </c>
      <c r="S27" s="49">
        <f>SUMIFS('Components Yr 1'!D2:D1111,'Components Yr 1'!C2:C1111,A27,'Components Yr 1'!B2:B1111,'Bldgs &amp; Rooms'!B19)</f>
        <v>0</v>
      </c>
      <c r="T27" s="49">
        <f>SUMIFS('Components Yr 1'!D2:D1111,'Components Yr 1'!C2:C1111,A27,'Components Yr 1'!B2:B1111,'Bldgs &amp; Rooms'!B20)</f>
        <v>0</v>
      </c>
      <c r="U27" s="49">
        <f>SUMIFS('Components Yr 1'!D2:D1111,'Components Yr 1'!C2:C1111,A27,'Components Yr 1'!B2:B1111,'Bldgs &amp; Rooms'!B21)</f>
        <v>0</v>
      </c>
      <c r="V27" s="49">
        <f>SUMIFS('Components Yr 1'!D2:D1111,'Components Yr 1'!C2:C1111,A27,'Components Yr 1'!B2:B1111,'Bldgs &amp; Rooms'!B22)</f>
        <v>0</v>
      </c>
      <c r="W27" s="49">
        <f>SUMIFS('Components Yr 1'!D2:D1111,'Components Yr 1'!C2:C1111,A27,'Components Yr 1'!B2:B1111,'Bldgs &amp; Rooms'!B23)</f>
        <v>0</v>
      </c>
      <c r="X27" s="49">
        <f>SUMIFS('Components Yr 1'!D2:D1111,'Components Yr 1'!C2:C1111,A27,'Components Yr 1'!B2:B1111,'Bldgs &amp; Rooms'!B24)</f>
        <v>0</v>
      </c>
      <c r="Y27" s="49">
        <f>SUMIFS('Components Yr 1'!D2:D1111,'Components Yr 1'!C2:C1111,A27,'Components Yr 1'!B2:B1111,'Bldgs &amp; Rooms'!B25)</f>
        <v>0</v>
      </c>
      <c r="Z27" s="49">
        <f>SUMIFS('Components Yr 1'!D2:D1111,'Components Yr 1'!C2:C1111,A27,'Components Yr 1'!B2:B1111,'Bldgs &amp; Rooms'!B26)</f>
        <v>0</v>
      </c>
      <c r="AA27" s="49">
        <f>SUMIFS('Components Yr 1'!D2:D1111,'Components Yr 1'!C2:C1111,A27,'Components Yr 1'!B2:B1111,'Bldgs &amp; Rooms'!B27)</f>
        <v>0</v>
      </c>
      <c r="AB27" s="49">
        <f>SUMIFS('Components Yr 1'!D2:D1111,'Components Yr 1'!C2:C1111,A27,'Components Yr 1'!B2:B1111,'Bldgs &amp; Rooms'!B28)</f>
        <v>0</v>
      </c>
      <c r="AC27" s="49">
        <f>SUMIFS('Components Yr 1'!D2:D1111,'Components Yr 1'!C2:C1111,A27,'Components Yr 1'!B2:B1111,'Bldgs &amp; Rooms'!B29)</f>
        <v>0</v>
      </c>
      <c r="AD27" s="49">
        <f>SUMIFS('Components Yr 1'!D2:D1111,'Components Yr 1'!C2:C1111,A27,'Components Yr 1'!B2:B1111,'Bldgs &amp; Rooms'!B30)</f>
        <v>0</v>
      </c>
      <c r="AE27" s="49">
        <f>SUMIFS('Components Yr 1'!D2:D1111,'Components Yr 1'!C2:C1111,A27,'Components Yr 1'!B2:B1111,'Bldgs &amp; Rooms'!B31)</f>
        <v>0</v>
      </c>
      <c r="AF27" s="47">
        <f t="shared" si="0"/>
        <v>0</v>
      </c>
    </row>
    <row r="28" spans="1:32" x14ac:dyDescent="0.25">
      <c r="A28" s="45" t="s">
        <v>41</v>
      </c>
      <c r="B28" s="46">
        <f>SUMIFS('Components Yr 1'!D2:D1111,'Components Yr 1'!C2:C1111,A28,'Components Yr 1'!B2:B1111,'Bldgs &amp; Rooms'!B2)</f>
        <v>0</v>
      </c>
      <c r="C28" s="46">
        <f>SUMIFS('Components Yr 1'!D2:D1111,'Components Yr 1'!C2:C1111,A28,'Components Yr 1'!B2:B1111,'Bldgs &amp; Rooms'!B3)</f>
        <v>0</v>
      </c>
      <c r="D28" s="46">
        <f>SUMIFS('Components Yr 1'!D2:D1111,'Components Yr 1'!C2:C1111,A28,'Components Yr 1'!B2:B1111,'Bldgs &amp; Rooms'!B4)</f>
        <v>0</v>
      </c>
      <c r="E28" s="46">
        <f>SUMIFS('Components Yr 1'!D2:D1111,'Components Yr 1'!C2:C1111,A28,'Components Yr 1'!B2:B1111,'Bldgs &amp; Rooms'!B5)</f>
        <v>0</v>
      </c>
      <c r="F28" s="46">
        <f>SUMIFS('Components Yr 1'!D2:D1111,'Components Yr 1'!C2:C1111,A28,'Components Yr 1'!B2:B1111,'Bldgs &amp; Rooms'!B6)</f>
        <v>0</v>
      </c>
      <c r="G28" s="46">
        <f>SUMIFS('Components Yr 1'!D2:D1111,'Components Yr 1'!C2:C1111,A28,'Components Yr 1'!B2:B1111,'Bldgs &amp; Rooms'!B7)</f>
        <v>0</v>
      </c>
      <c r="H28" s="46">
        <f>SUMIFS('Components Yr 1'!D2:D1111,'Components Yr 1'!C2:C1111,A28,'Components Yr 1'!B2:B1111,'Bldgs &amp; Rooms'!B8)</f>
        <v>0</v>
      </c>
      <c r="I28" s="46">
        <f>SUMIFS('Components Yr 1'!D2:D1111,'Components Yr 1'!C2:C1111,A28,'Components Yr 1'!B2:B1111,'Bldgs &amp; Rooms'!B9)</f>
        <v>0</v>
      </c>
      <c r="J28" s="46">
        <f>SUMIFS('Components Yr 1'!D2:D1111,'Components Yr 1'!C2:C1111,A28,'Components Yr 1'!B2:B1111,'Bldgs &amp; Rooms'!B10)</f>
        <v>0</v>
      </c>
      <c r="K28" s="46">
        <f>SUMIFS('Components Yr 1'!D2:D1111,'Components Yr 1'!C2:C1111,A28,'Components Yr 1'!B2:B1111,'Bldgs &amp; Rooms'!B11)</f>
        <v>0</v>
      </c>
      <c r="L28" s="46">
        <f>SUMIFS('Components Yr 1'!D2:D1111,'Components Yr 1'!C2:C1111,A28,'Components Yr 1'!B2:B1111,'Bldgs &amp; Rooms'!B12)</f>
        <v>0</v>
      </c>
      <c r="M28" s="46">
        <f>SUMIFS('Components Yr 1'!D2:D1111,'Components Yr 1'!C2:C1111,A28,'Components Yr 1'!B2:B1111,'Bldgs &amp; Rooms'!B13)</f>
        <v>0</v>
      </c>
      <c r="N28" s="46">
        <f>SUMIFS('Components Yr 1'!D2:D1111,'Components Yr 1'!C2:C1111,A28,'Components Yr 1'!B2:B1111,'Bldgs &amp; Rooms'!B14)</f>
        <v>0</v>
      </c>
      <c r="O28" s="46">
        <f>SUMIFS('Components Yr 1'!D2:D1111,'Components Yr 1'!C2:C1111,A28,'Components Yr 1'!B2:B1111,'Bldgs &amp; Rooms'!B15)</f>
        <v>0</v>
      </c>
      <c r="P28" s="46">
        <f>SUMIFS('Components Yr 1'!D2:D1111,'Components Yr 1'!C2:C1111,A28,'Components Yr 1'!B2:B1111,'Bldgs &amp; Rooms'!B16)</f>
        <v>0</v>
      </c>
      <c r="Q28" s="46">
        <f>SUMIFS('Components Yr 1'!D2:D1111,'Components Yr 1'!C2:C1111,A28,'Components Yr 1'!B2:B1111,'Bldgs &amp; Rooms'!B17)</f>
        <v>0</v>
      </c>
      <c r="R28" s="46">
        <f>SUMIFS('Components Yr 1'!D2:D1111,'Components Yr 1'!C2:C1111,A28,'Components Yr 1'!B2:B1111,'Bldgs &amp; Rooms'!B18)</f>
        <v>0</v>
      </c>
      <c r="S28" s="46">
        <f>SUMIFS('Components Yr 1'!D2:D1111,'Components Yr 1'!C2:C1111,A28,'Components Yr 1'!B2:B1111,'Bldgs &amp; Rooms'!B19)</f>
        <v>0</v>
      </c>
      <c r="T28" s="46">
        <f>SUMIFS('Components Yr 1'!D2:D1111,'Components Yr 1'!C2:C1111,A28,'Components Yr 1'!B2:B1111,'Bldgs &amp; Rooms'!B20)</f>
        <v>0</v>
      </c>
      <c r="U28" s="46">
        <f>SUMIFS('Components Yr 1'!D2:D1111,'Components Yr 1'!C2:C1111,A28,'Components Yr 1'!B2:B1111,'Bldgs &amp; Rooms'!B21)</f>
        <v>0</v>
      </c>
      <c r="V28" s="46">
        <f>SUMIFS('Components Yr 1'!D2:D1111,'Components Yr 1'!C2:C1111,A28,'Components Yr 1'!B2:B1111,'Bldgs &amp; Rooms'!B22)</f>
        <v>0</v>
      </c>
      <c r="W28" s="46">
        <f>SUMIFS('Components Yr 1'!D2:D1111,'Components Yr 1'!C2:C1111,A28,'Components Yr 1'!B2:B1111,'Bldgs &amp; Rooms'!B23)</f>
        <v>0</v>
      </c>
      <c r="X28" s="46">
        <f>SUMIFS('Components Yr 1'!D2:D1111,'Components Yr 1'!C2:C1111,A28,'Components Yr 1'!B2:B1111,'Bldgs &amp; Rooms'!B24)</f>
        <v>0</v>
      </c>
      <c r="Y28" s="46">
        <f>SUMIFS('Components Yr 1'!D2:D1111,'Components Yr 1'!C2:C1111,A28,'Components Yr 1'!B2:B1111,'Bldgs &amp; Rooms'!B25)</f>
        <v>0</v>
      </c>
      <c r="Z28" s="46">
        <f>SUMIFS('Components Yr 1'!D2:D1111,'Components Yr 1'!C2:C1111,A28,'Components Yr 1'!B2:B1111,'Bldgs &amp; Rooms'!B26)</f>
        <v>0</v>
      </c>
      <c r="AA28" s="46">
        <f>SUMIFS('Components Yr 1'!D2:D1111,'Components Yr 1'!C2:C1111,A28,'Components Yr 1'!B2:B1111,'Bldgs &amp; Rooms'!B27)</f>
        <v>0</v>
      </c>
      <c r="AB28" s="46">
        <f>SUMIFS('Components Yr 1'!D2:D1111,'Components Yr 1'!C2:C1111,A28,'Components Yr 1'!B2:B1111,'Bldgs &amp; Rooms'!B28)</f>
        <v>0</v>
      </c>
      <c r="AC28" s="46">
        <f>SUMIFS('Components Yr 1'!D2:D1111,'Components Yr 1'!C2:C1111,A28,'Components Yr 1'!B2:B1111,'Bldgs &amp; Rooms'!B29)</f>
        <v>0</v>
      </c>
      <c r="AD28" s="46">
        <f>SUMIFS('Components Yr 1'!D2:D1111,'Components Yr 1'!C2:C1111,A28,'Components Yr 1'!B2:B1111,'Bldgs &amp; Rooms'!B30)</f>
        <v>0</v>
      </c>
      <c r="AE28" s="46">
        <f>SUMIFS('Components Yr 1'!D2:D1111,'Components Yr 1'!C2:C1111,A28,'Components Yr 1'!B2:B1111,'Bldgs &amp; Rooms'!B31)</f>
        <v>0</v>
      </c>
      <c r="AF28" s="47">
        <f t="shared" si="0"/>
        <v>0</v>
      </c>
    </row>
    <row r="29" spans="1:32" x14ac:dyDescent="0.25">
      <c r="A29" s="48" t="s">
        <v>42</v>
      </c>
      <c r="B29" s="49">
        <f>SUMIFS('Components Yr 1'!D2:D1111,'Components Yr 1'!C2:C1111,A29,'Components Yr 1'!B2:B1111,'Bldgs &amp; Rooms'!B2)</f>
        <v>0</v>
      </c>
      <c r="C29" s="49">
        <f>SUMIFS('Components Yr 1'!D2:D1111,'Components Yr 1'!C2:C1111,A29,'Components Yr 1'!B2:B1111,'Bldgs &amp; Rooms'!B3)</f>
        <v>0</v>
      </c>
      <c r="D29" s="49">
        <f>SUMIFS('Components Yr 1'!D2:D1111,'Components Yr 1'!C2:C1111,A29,'Components Yr 1'!B2:B1111,'Bldgs &amp; Rooms'!B4)</f>
        <v>0</v>
      </c>
      <c r="E29" s="49">
        <f>SUMIFS('Components Yr 1'!D2:D1111,'Components Yr 1'!C2:C1111,A29,'Components Yr 1'!B2:B1111,'Bldgs &amp; Rooms'!B5)</f>
        <v>0</v>
      </c>
      <c r="F29" s="49">
        <f>SUMIFS('Components Yr 1'!D2:D1111,'Components Yr 1'!C2:C1111,A29,'Components Yr 1'!B2:B1111,'Bldgs &amp; Rooms'!B6)</f>
        <v>0</v>
      </c>
      <c r="G29" s="49">
        <f>SUMIFS('Components Yr 1'!D2:D1111,'Components Yr 1'!C2:C1111,A29,'Components Yr 1'!B2:B1111,'Bldgs &amp; Rooms'!B7)</f>
        <v>0</v>
      </c>
      <c r="H29" s="49">
        <f>SUMIFS('Components Yr 1'!D2:D1111,'Components Yr 1'!C2:C1111,A29,'Components Yr 1'!B2:B1111,'Bldgs &amp; Rooms'!B8)</f>
        <v>0</v>
      </c>
      <c r="I29" s="49">
        <f>SUMIFS('Components Yr 1'!D2:D1111,'Components Yr 1'!C2:C1111,A29,'Components Yr 1'!B2:B1111,'Bldgs &amp; Rooms'!B9)</f>
        <v>0</v>
      </c>
      <c r="J29" s="49">
        <f>SUMIFS('Components Yr 1'!D2:D1111,'Components Yr 1'!C2:C1111,A29,'Components Yr 1'!B2:B1111,'Bldgs &amp; Rooms'!B10)</f>
        <v>0</v>
      </c>
      <c r="K29" s="49">
        <f>SUMIFS('Components Yr 1'!D2:D1111,'Components Yr 1'!C2:C1111,A29,'Components Yr 1'!B2:B1111,'Bldgs &amp; Rooms'!B11)</f>
        <v>0</v>
      </c>
      <c r="L29" s="49">
        <f>SUMIFS('Components Yr 1'!D2:D1111,'Components Yr 1'!C2:C1111,A29,'Components Yr 1'!B2:B1111,'Bldgs &amp; Rooms'!B12)</f>
        <v>0</v>
      </c>
      <c r="M29" s="49">
        <f>SUMIFS('Components Yr 1'!D2:D1111,'Components Yr 1'!C2:C1111,A29,'Components Yr 1'!B2:B1111,'Bldgs &amp; Rooms'!B13)</f>
        <v>0</v>
      </c>
      <c r="N29" s="49">
        <f>SUMIFS('Components Yr 1'!D2:D1111,'Components Yr 1'!C2:C1111,A29,'Components Yr 1'!B2:B1111,'Bldgs &amp; Rooms'!B14)</f>
        <v>0</v>
      </c>
      <c r="O29" s="49">
        <f>SUMIFS('Components Yr 1'!D2:D1111,'Components Yr 1'!C2:C1111,A29,'Components Yr 1'!B2:B1111,'Bldgs &amp; Rooms'!B15)</f>
        <v>0</v>
      </c>
      <c r="P29" s="49">
        <f>SUMIFS('Components Yr 1'!D2:D1111,'Components Yr 1'!C2:C1111,A29,'Components Yr 1'!B2:B1111,'Bldgs &amp; Rooms'!B16)</f>
        <v>0</v>
      </c>
      <c r="Q29" s="49">
        <f>SUMIFS('Components Yr 1'!D2:D1111,'Components Yr 1'!C2:C1111,A29,'Components Yr 1'!B2:B1111,'Bldgs &amp; Rooms'!B17)</f>
        <v>0</v>
      </c>
      <c r="R29" s="49">
        <f>SUMIFS('Components Yr 1'!D2:D1111,'Components Yr 1'!C2:C1111,A29,'Components Yr 1'!B2:B1111,'Bldgs &amp; Rooms'!B18)</f>
        <v>0</v>
      </c>
      <c r="S29" s="49">
        <f>SUMIFS('Components Yr 1'!D2:D1111,'Components Yr 1'!C2:C1111,A29,'Components Yr 1'!B2:B1111,'Bldgs &amp; Rooms'!B19)</f>
        <v>0</v>
      </c>
      <c r="T29" s="49">
        <f>SUMIFS('Components Yr 1'!D2:D1111,'Components Yr 1'!C2:C1111,A29,'Components Yr 1'!B2:B1111,'Bldgs &amp; Rooms'!B20)</f>
        <v>0</v>
      </c>
      <c r="U29" s="49">
        <f>SUMIFS('Components Yr 1'!D2:D1111,'Components Yr 1'!C2:C1111,A29,'Components Yr 1'!B2:B1111,'Bldgs &amp; Rooms'!B21)</f>
        <v>0</v>
      </c>
      <c r="V29" s="49">
        <f>SUMIFS('Components Yr 1'!D2:D1111,'Components Yr 1'!C2:C1111,A29,'Components Yr 1'!B2:B1111,'Bldgs &amp; Rooms'!B22)</f>
        <v>0</v>
      </c>
      <c r="W29" s="49">
        <f>SUMIFS('Components Yr 1'!D2:D1111,'Components Yr 1'!C2:C1111,A29,'Components Yr 1'!B2:B1111,'Bldgs &amp; Rooms'!B23)</f>
        <v>0</v>
      </c>
      <c r="X29" s="49">
        <f>SUMIFS('Components Yr 1'!D2:D1111,'Components Yr 1'!C2:C1111,A29,'Components Yr 1'!B2:B1111,'Bldgs &amp; Rooms'!B24)</f>
        <v>0</v>
      </c>
      <c r="Y29" s="49">
        <f>SUMIFS('Components Yr 1'!D2:D1111,'Components Yr 1'!C2:C1111,A29,'Components Yr 1'!B2:B1111,'Bldgs &amp; Rooms'!B25)</f>
        <v>0</v>
      </c>
      <c r="Z29" s="49">
        <f>SUMIFS('Components Yr 1'!D2:D1111,'Components Yr 1'!C2:C1111,A29,'Components Yr 1'!B2:B1111,'Bldgs &amp; Rooms'!B26)</f>
        <v>0</v>
      </c>
      <c r="AA29" s="49">
        <f>SUMIFS('Components Yr 1'!D2:D1111,'Components Yr 1'!C2:C1111,A29,'Components Yr 1'!B2:B1111,'Bldgs &amp; Rooms'!B27)</f>
        <v>0</v>
      </c>
      <c r="AB29" s="49">
        <f>SUMIFS('Components Yr 1'!D2:D1111,'Components Yr 1'!C2:C1111,A29,'Components Yr 1'!B2:B1111,'Bldgs &amp; Rooms'!B28)</f>
        <v>0</v>
      </c>
      <c r="AC29" s="49">
        <f>SUMIFS('Components Yr 1'!D2:D1111,'Components Yr 1'!C2:C1111,A29,'Components Yr 1'!B2:B1111,'Bldgs &amp; Rooms'!B29)</f>
        <v>0</v>
      </c>
      <c r="AD29" s="49">
        <f>SUMIFS('Components Yr 1'!D2:D1111,'Components Yr 1'!C2:C1111,A29,'Components Yr 1'!B2:B1111,'Bldgs &amp; Rooms'!B30)</f>
        <v>0</v>
      </c>
      <c r="AE29" s="49">
        <f>SUMIFS('Components Yr 1'!D2:D1111,'Components Yr 1'!C2:C1111,A29,'Components Yr 1'!B2:B1111,'Bldgs &amp; Rooms'!B31)</f>
        <v>0</v>
      </c>
      <c r="AF29" s="47">
        <f t="shared" si="0"/>
        <v>0</v>
      </c>
    </row>
    <row r="30" spans="1:32" x14ac:dyDescent="0.25">
      <c r="A30" s="45" t="s">
        <v>43</v>
      </c>
      <c r="B30" s="46">
        <f>SUMIFS('Components Yr 1'!D2:D1111,'Components Yr 1'!C2:C1111,A30,'Components Yr 1'!B2:B1111,'Bldgs &amp; Rooms'!B2)</f>
        <v>0</v>
      </c>
      <c r="C30" s="46">
        <f>SUMIFS('Components Yr 1'!D2:D1111,'Components Yr 1'!C2:C1111,A30,'Components Yr 1'!B2:B1111,'Bldgs &amp; Rooms'!B3)</f>
        <v>0</v>
      </c>
      <c r="D30" s="46">
        <f>SUMIFS('Components Yr 1'!D2:D1111,'Components Yr 1'!C2:C1111,A30,'Components Yr 1'!B2:B1111,'Bldgs &amp; Rooms'!B4)</f>
        <v>0</v>
      </c>
      <c r="E30" s="46">
        <f>SUMIFS('Components Yr 1'!D2:D1111,'Components Yr 1'!C2:C1111,A30,'Components Yr 1'!B2:B1111,'Bldgs &amp; Rooms'!B5)</f>
        <v>0</v>
      </c>
      <c r="F30" s="46">
        <f>SUMIFS('Components Yr 1'!D2:D1111,'Components Yr 1'!C2:C1111,A30,'Components Yr 1'!B2:B1111,'Bldgs &amp; Rooms'!B6)</f>
        <v>0</v>
      </c>
      <c r="G30" s="46">
        <f>SUMIFS('Components Yr 1'!D2:D1111,'Components Yr 1'!C2:C1111,A30,'Components Yr 1'!B2:B1111,'Bldgs &amp; Rooms'!B7)</f>
        <v>0</v>
      </c>
      <c r="H30" s="46">
        <f>SUMIFS('Components Yr 1'!D2:D1111,'Components Yr 1'!C2:C1111,A30,'Components Yr 1'!B2:B1111,'Bldgs &amp; Rooms'!B8)</f>
        <v>0</v>
      </c>
      <c r="I30" s="46">
        <f>SUMIFS('Components Yr 1'!D2:D1111,'Components Yr 1'!C2:C1111,A30,'Components Yr 1'!B2:B1111,'Bldgs &amp; Rooms'!B9)</f>
        <v>0</v>
      </c>
      <c r="J30" s="46">
        <f>SUMIFS('Components Yr 1'!D2:D1111,'Components Yr 1'!C2:C1111,A30,'Components Yr 1'!B2:B1111,'Bldgs &amp; Rooms'!B10)</f>
        <v>0</v>
      </c>
      <c r="K30" s="46">
        <f>SUMIFS('Components Yr 1'!D2:D1111,'Components Yr 1'!C2:C1111,A30,'Components Yr 1'!B2:B1111,'Bldgs &amp; Rooms'!B11)</f>
        <v>0</v>
      </c>
      <c r="L30" s="46">
        <f>SUMIFS('Components Yr 1'!D2:D1111,'Components Yr 1'!C2:C1111,A30,'Components Yr 1'!B2:B1111,'Bldgs &amp; Rooms'!B12)</f>
        <v>0</v>
      </c>
      <c r="M30" s="46">
        <f>SUMIFS('Components Yr 1'!D2:D1111,'Components Yr 1'!C2:C1111,A30,'Components Yr 1'!B2:B1111,'Bldgs &amp; Rooms'!B13)</f>
        <v>0</v>
      </c>
      <c r="N30" s="46">
        <f>SUMIFS('Components Yr 1'!D2:D1111,'Components Yr 1'!C2:C1111,A30,'Components Yr 1'!B2:B1111,'Bldgs &amp; Rooms'!B14)</f>
        <v>0</v>
      </c>
      <c r="O30" s="46">
        <f>SUMIFS('Components Yr 1'!D2:D1111,'Components Yr 1'!C2:C1111,A30,'Components Yr 1'!B2:B1111,'Bldgs &amp; Rooms'!B15)</f>
        <v>0</v>
      </c>
      <c r="P30" s="46">
        <f>SUMIFS('Components Yr 1'!D2:D1111,'Components Yr 1'!C2:C1111,A30,'Components Yr 1'!B2:B1111,'Bldgs &amp; Rooms'!B16)</f>
        <v>0</v>
      </c>
      <c r="Q30" s="46">
        <f>SUMIFS('Components Yr 1'!D2:D1111,'Components Yr 1'!C2:C1111,A30,'Components Yr 1'!B2:B1111,'Bldgs &amp; Rooms'!B17)</f>
        <v>0</v>
      </c>
      <c r="R30" s="46">
        <f>SUMIFS('Components Yr 1'!D2:D1111,'Components Yr 1'!C2:C1111,A30,'Components Yr 1'!B2:B1111,'Bldgs &amp; Rooms'!B18)</f>
        <v>0</v>
      </c>
      <c r="S30" s="46">
        <f>SUMIFS('Components Yr 1'!D2:D1111,'Components Yr 1'!C2:C1111,A30,'Components Yr 1'!B2:B1111,'Bldgs &amp; Rooms'!B19)</f>
        <v>0</v>
      </c>
      <c r="T30" s="46">
        <f>SUMIFS('Components Yr 1'!D2:D1111,'Components Yr 1'!C2:C1111,A30,'Components Yr 1'!B2:B1111,'Bldgs &amp; Rooms'!B20)</f>
        <v>0</v>
      </c>
      <c r="U30" s="46">
        <f>SUMIFS('Components Yr 1'!D2:D1111,'Components Yr 1'!C2:C1111,A30,'Components Yr 1'!B2:B1111,'Bldgs &amp; Rooms'!B21)</f>
        <v>0</v>
      </c>
      <c r="V30" s="46">
        <f>SUMIFS('Components Yr 1'!D2:D1111,'Components Yr 1'!C2:C1111,A30,'Components Yr 1'!B2:B1111,'Bldgs &amp; Rooms'!B22)</f>
        <v>0</v>
      </c>
      <c r="W30" s="46">
        <f>SUMIFS('Components Yr 1'!D2:D1111,'Components Yr 1'!C2:C1111,A30,'Components Yr 1'!B2:B1111,'Bldgs &amp; Rooms'!B23)</f>
        <v>0</v>
      </c>
      <c r="X30" s="46">
        <f>SUMIFS('Components Yr 1'!D2:D1111,'Components Yr 1'!C2:C1111,A30,'Components Yr 1'!B2:B1111,'Bldgs &amp; Rooms'!B24)</f>
        <v>0</v>
      </c>
      <c r="Y30" s="46">
        <f>SUMIFS('Components Yr 1'!D2:D1111,'Components Yr 1'!C2:C1111,A30,'Components Yr 1'!B2:B1111,'Bldgs &amp; Rooms'!B25)</f>
        <v>0</v>
      </c>
      <c r="Z30" s="46">
        <f>SUMIFS('Components Yr 1'!D2:D1111,'Components Yr 1'!C2:C1111,A30,'Components Yr 1'!B2:B1111,'Bldgs &amp; Rooms'!B26)</f>
        <v>0</v>
      </c>
      <c r="AA30" s="46">
        <f>SUMIFS('Components Yr 1'!D2:D1111,'Components Yr 1'!C2:C1111,A30,'Components Yr 1'!B2:B1111,'Bldgs &amp; Rooms'!B27)</f>
        <v>0</v>
      </c>
      <c r="AB30" s="46">
        <f>SUMIFS('Components Yr 1'!D2:D1111,'Components Yr 1'!C2:C1111,A30,'Components Yr 1'!B2:B1111,'Bldgs &amp; Rooms'!B28)</f>
        <v>0</v>
      </c>
      <c r="AC30" s="46">
        <f>SUMIFS('Components Yr 1'!D2:D1111,'Components Yr 1'!C2:C1111,A30,'Components Yr 1'!B2:B1111,'Bldgs &amp; Rooms'!B29)</f>
        <v>0</v>
      </c>
      <c r="AD30" s="46">
        <f>SUMIFS('Components Yr 1'!D2:D1111,'Components Yr 1'!C2:C1111,A30,'Components Yr 1'!B2:B1111,'Bldgs &amp; Rooms'!B30)</f>
        <v>0</v>
      </c>
      <c r="AE30" s="46">
        <f>SUMIFS('Components Yr 1'!D2:D1111,'Components Yr 1'!C2:C1111,A30,'Components Yr 1'!B2:B1111,'Bldgs &amp; Rooms'!B31)</f>
        <v>0</v>
      </c>
      <c r="AF30" s="47">
        <f t="shared" si="0"/>
        <v>0</v>
      </c>
    </row>
    <row r="31" spans="1:32" x14ac:dyDescent="0.25">
      <c r="A31" s="48" t="s">
        <v>44</v>
      </c>
      <c r="B31" s="49">
        <f>SUMIFS('Components Yr 1'!D2:D1111,'Components Yr 1'!C2:C1111,A31,'Components Yr 1'!B2:B1111,'Bldgs &amp; Rooms'!B2)</f>
        <v>0</v>
      </c>
      <c r="C31" s="49">
        <f>SUMIFS('Components Yr 1'!D2:D1111,'Components Yr 1'!C2:C1111,A31,'Components Yr 1'!B2:B1111,'Bldgs &amp; Rooms'!B3)</f>
        <v>0</v>
      </c>
      <c r="D31" s="49">
        <f>SUMIFS('Components Yr 1'!D2:D1111,'Components Yr 1'!C2:C1111,A31,'Components Yr 1'!B2:B1111,'Bldgs &amp; Rooms'!B4)</f>
        <v>0</v>
      </c>
      <c r="E31" s="49">
        <f>SUMIFS('Components Yr 1'!D2:D1111,'Components Yr 1'!C2:C1111,A31,'Components Yr 1'!B2:B1111,'Bldgs &amp; Rooms'!B5)</f>
        <v>0</v>
      </c>
      <c r="F31" s="49">
        <f>SUMIFS('Components Yr 1'!D2:D1111,'Components Yr 1'!C2:C1111,A31,'Components Yr 1'!B2:B1111,'Bldgs &amp; Rooms'!B6)</f>
        <v>0</v>
      </c>
      <c r="G31" s="49">
        <f>SUMIFS('Components Yr 1'!D2:D1111,'Components Yr 1'!C2:C1111,A31,'Components Yr 1'!B2:B1111,'Bldgs &amp; Rooms'!B7)</f>
        <v>0</v>
      </c>
      <c r="H31" s="49">
        <f>SUMIFS('Components Yr 1'!D2:D1111,'Components Yr 1'!C2:C1111,A31,'Components Yr 1'!B2:B1111,'Bldgs &amp; Rooms'!B8)</f>
        <v>0</v>
      </c>
      <c r="I31" s="49">
        <f>SUMIFS('Components Yr 1'!D2:D1111,'Components Yr 1'!C2:C1111,A31,'Components Yr 1'!B2:B1111,'Bldgs &amp; Rooms'!B9)</f>
        <v>0</v>
      </c>
      <c r="J31" s="49">
        <f>SUMIFS('Components Yr 1'!D2:D1111,'Components Yr 1'!C2:C1111,A31,'Components Yr 1'!B2:B1111,'Bldgs &amp; Rooms'!B10)</f>
        <v>0</v>
      </c>
      <c r="K31" s="49">
        <f>SUMIFS('Components Yr 1'!D2:D1111,'Components Yr 1'!C2:C1111,A31,'Components Yr 1'!B2:B1111,'Bldgs &amp; Rooms'!B11)</f>
        <v>0</v>
      </c>
      <c r="L31" s="49">
        <f>SUMIFS('Components Yr 1'!D2:D1111,'Components Yr 1'!C2:C1111,A31,'Components Yr 1'!B2:B1111,'Bldgs &amp; Rooms'!B12)</f>
        <v>0</v>
      </c>
      <c r="M31" s="49">
        <f>SUMIFS('Components Yr 1'!D2:D1111,'Components Yr 1'!C2:C1111,A31,'Components Yr 1'!B2:B1111,'Bldgs &amp; Rooms'!B13)</f>
        <v>0</v>
      </c>
      <c r="N31" s="49">
        <f>SUMIFS('Components Yr 1'!D2:D1111,'Components Yr 1'!C2:C1111,A31,'Components Yr 1'!B2:B1111,'Bldgs &amp; Rooms'!B14)</f>
        <v>0</v>
      </c>
      <c r="O31" s="49">
        <f>SUMIFS('Components Yr 1'!D2:D1111,'Components Yr 1'!C2:C1111,A31,'Components Yr 1'!B2:B1111,'Bldgs &amp; Rooms'!B15)</f>
        <v>0</v>
      </c>
      <c r="P31" s="49">
        <f>SUMIFS('Components Yr 1'!D2:D1111,'Components Yr 1'!C2:C1111,A31,'Components Yr 1'!B2:B1111,'Bldgs &amp; Rooms'!B16)</f>
        <v>0</v>
      </c>
      <c r="Q31" s="49">
        <f>SUMIFS('Components Yr 1'!D2:D1111,'Components Yr 1'!C2:C1111,A31,'Components Yr 1'!B2:B1111,'Bldgs &amp; Rooms'!B17)</f>
        <v>0</v>
      </c>
      <c r="R31" s="49">
        <f>SUMIFS('Components Yr 1'!D2:D1111,'Components Yr 1'!C2:C1111,A31,'Components Yr 1'!B2:B1111,'Bldgs &amp; Rooms'!B18)</f>
        <v>0</v>
      </c>
      <c r="S31" s="49">
        <f>SUMIFS('Components Yr 1'!D2:D1111,'Components Yr 1'!C2:C1111,A31,'Components Yr 1'!B2:B1111,'Bldgs &amp; Rooms'!B19)</f>
        <v>0</v>
      </c>
      <c r="T31" s="49">
        <f>SUMIFS('Components Yr 1'!D2:D1111,'Components Yr 1'!C2:C1111,A31,'Components Yr 1'!B2:B1111,'Bldgs &amp; Rooms'!B20)</f>
        <v>0</v>
      </c>
      <c r="U31" s="49">
        <f>SUMIFS('Components Yr 1'!D2:D1111,'Components Yr 1'!C2:C1111,A31,'Components Yr 1'!B2:B1111,'Bldgs &amp; Rooms'!B21)</f>
        <v>0</v>
      </c>
      <c r="V31" s="49">
        <f>SUMIFS('Components Yr 1'!D2:D1111,'Components Yr 1'!C2:C1111,A31,'Components Yr 1'!B2:B1111,'Bldgs &amp; Rooms'!B22)</f>
        <v>0</v>
      </c>
      <c r="W31" s="49">
        <f>SUMIFS('Components Yr 1'!D2:D1111,'Components Yr 1'!C2:C1111,A31,'Components Yr 1'!B2:B1111,'Bldgs &amp; Rooms'!B23)</f>
        <v>0</v>
      </c>
      <c r="X31" s="49">
        <f>SUMIFS('Components Yr 1'!D2:D1111,'Components Yr 1'!C2:C1111,A31,'Components Yr 1'!B2:B1111,'Bldgs &amp; Rooms'!B24)</f>
        <v>0</v>
      </c>
      <c r="Y31" s="49">
        <f>SUMIFS('Components Yr 1'!D2:D1111,'Components Yr 1'!C2:C1111,A31,'Components Yr 1'!B2:B1111,'Bldgs &amp; Rooms'!B25)</f>
        <v>0</v>
      </c>
      <c r="Z31" s="49">
        <f>SUMIFS('Components Yr 1'!D2:D1111,'Components Yr 1'!C2:C1111,A31,'Components Yr 1'!B2:B1111,'Bldgs &amp; Rooms'!B26)</f>
        <v>0</v>
      </c>
      <c r="AA31" s="49">
        <f>SUMIFS('Components Yr 1'!D2:D1111,'Components Yr 1'!C2:C1111,A31,'Components Yr 1'!B2:B1111,'Bldgs &amp; Rooms'!B27)</f>
        <v>0</v>
      </c>
      <c r="AB31" s="49">
        <f>SUMIFS('Components Yr 1'!D2:D1111,'Components Yr 1'!C2:C1111,A31,'Components Yr 1'!B2:B1111,'Bldgs &amp; Rooms'!B28)</f>
        <v>0</v>
      </c>
      <c r="AC31" s="49">
        <f>SUMIFS('Components Yr 1'!D2:D1111,'Components Yr 1'!C2:C1111,A31,'Components Yr 1'!B2:B1111,'Bldgs &amp; Rooms'!B29)</f>
        <v>0</v>
      </c>
      <c r="AD31" s="49">
        <f>SUMIFS('Components Yr 1'!D2:D1111,'Components Yr 1'!C2:C1111,A31,'Components Yr 1'!B2:B1111,'Bldgs &amp; Rooms'!B30)</f>
        <v>0</v>
      </c>
      <c r="AE31" s="49">
        <f>SUMIFS('Components Yr 1'!D2:D1111,'Components Yr 1'!C2:C1111,A31,'Components Yr 1'!B2:B1111,'Bldgs &amp; Rooms'!B31)</f>
        <v>0</v>
      </c>
      <c r="AF31" s="47">
        <f t="shared" si="0"/>
        <v>0</v>
      </c>
    </row>
    <row r="32" spans="1:32" x14ac:dyDescent="0.25">
      <c r="A32" s="45" t="s">
        <v>45</v>
      </c>
      <c r="B32" s="46">
        <f>SUMIFS('Components Yr 1'!D2:D1111,'Components Yr 1'!C2:C1111,A32,'Components Yr 1'!B2:B1111,'Bldgs &amp; Rooms'!B2)</f>
        <v>0</v>
      </c>
      <c r="C32" s="46">
        <f>SUMIFS('Components Yr 1'!D2:D1111,'Components Yr 1'!C2:C1111,A32,'Components Yr 1'!B2:B1111,'Bldgs &amp; Rooms'!B3)</f>
        <v>0</v>
      </c>
      <c r="D32" s="46">
        <f>SUMIFS('Components Yr 1'!D2:D1111,'Components Yr 1'!C2:C1111,A32,'Components Yr 1'!B2:B1111,'Bldgs &amp; Rooms'!B4)</f>
        <v>0</v>
      </c>
      <c r="E32" s="46">
        <f>SUMIFS('Components Yr 1'!D2:D1111,'Components Yr 1'!C2:C1111,A32,'Components Yr 1'!B2:B1111,'Bldgs &amp; Rooms'!B5)</f>
        <v>0</v>
      </c>
      <c r="F32" s="46">
        <f>SUMIFS('Components Yr 1'!D2:D1111,'Components Yr 1'!C2:C1111,A32,'Components Yr 1'!B2:B1111,'Bldgs &amp; Rooms'!B6)</f>
        <v>0</v>
      </c>
      <c r="G32" s="46">
        <f>SUMIFS('Components Yr 1'!D2:D1111,'Components Yr 1'!C2:C1111,A32,'Components Yr 1'!B2:B1111,'Bldgs &amp; Rooms'!B7)</f>
        <v>0</v>
      </c>
      <c r="H32" s="46">
        <f>SUMIFS('Components Yr 1'!D2:D1111,'Components Yr 1'!C2:C1111,A32,'Components Yr 1'!B2:B1111,'Bldgs &amp; Rooms'!B8)</f>
        <v>0</v>
      </c>
      <c r="I32" s="46">
        <f>SUMIFS('Components Yr 1'!D2:D1111,'Components Yr 1'!C2:C1111,A32,'Components Yr 1'!B2:B1111,'Bldgs &amp; Rooms'!B9)</f>
        <v>0</v>
      </c>
      <c r="J32" s="46">
        <f>SUMIFS('Components Yr 1'!D2:D1111,'Components Yr 1'!C2:C1111,A32,'Components Yr 1'!B2:B1111,'Bldgs &amp; Rooms'!B10)</f>
        <v>0</v>
      </c>
      <c r="K32" s="46">
        <f>SUMIFS('Components Yr 1'!D2:D1111,'Components Yr 1'!C2:C1111,A32,'Components Yr 1'!B2:B1111,'Bldgs &amp; Rooms'!B11)</f>
        <v>0</v>
      </c>
      <c r="L32" s="46">
        <f>SUMIFS('Components Yr 1'!D2:D1111,'Components Yr 1'!C2:C1111,A32,'Components Yr 1'!B2:B1111,'Bldgs &amp; Rooms'!B12)</f>
        <v>0</v>
      </c>
      <c r="M32" s="46">
        <f>SUMIFS('Components Yr 1'!D2:D1111,'Components Yr 1'!C2:C1111,A32,'Components Yr 1'!B2:B1111,'Bldgs &amp; Rooms'!B13)</f>
        <v>0</v>
      </c>
      <c r="N32" s="46">
        <f>SUMIFS('Components Yr 1'!D2:D1111,'Components Yr 1'!C2:C1111,A32,'Components Yr 1'!B2:B1111,'Bldgs &amp; Rooms'!B14)</f>
        <v>0</v>
      </c>
      <c r="O32" s="46">
        <f>SUMIFS('Components Yr 1'!D2:D1111,'Components Yr 1'!C2:C1111,A32,'Components Yr 1'!B2:B1111,'Bldgs &amp; Rooms'!B15)</f>
        <v>0</v>
      </c>
      <c r="P32" s="46">
        <f>SUMIFS('Components Yr 1'!D2:D1111,'Components Yr 1'!C2:C1111,A32,'Components Yr 1'!B2:B1111,'Bldgs &amp; Rooms'!B16)</f>
        <v>0</v>
      </c>
      <c r="Q32" s="46">
        <f>SUMIFS('Components Yr 1'!D2:D1111,'Components Yr 1'!C2:C1111,A32,'Components Yr 1'!B2:B1111,'Bldgs &amp; Rooms'!B17)</f>
        <v>0</v>
      </c>
      <c r="R32" s="46">
        <f>SUMIFS('Components Yr 1'!D2:D1111,'Components Yr 1'!C2:C1111,A32,'Components Yr 1'!B2:B1111,'Bldgs &amp; Rooms'!B18)</f>
        <v>0</v>
      </c>
      <c r="S32" s="46">
        <f>SUMIFS('Components Yr 1'!D2:D1111,'Components Yr 1'!C2:C1111,A32,'Components Yr 1'!B2:B1111,'Bldgs &amp; Rooms'!B19)</f>
        <v>0</v>
      </c>
      <c r="T32" s="46">
        <f>SUMIFS('Components Yr 1'!D2:D1111,'Components Yr 1'!C2:C1111,A32,'Components Yr 1'!B2:B1111,'Bldgs &amp; Rooms'!B20)</f>
        <v>0</v>
      </c>
      <c r="U32" s="46">
        <f>SUMIFS('Components Yr 1'!D2:D1111,'Components Yr 1'!C2:C1111,A32,'Components Yr 1'!B2:B1111,'Bldgs &amp; Rooms'!B21)</f>
        <v>0</v>
      </c>
      <c r="V32" s="46">
        <f>SUMIFS('Components Yr 1'!D2:D1111,'Components Yr 1'!C2:C1111,A32,'Components Yr 1'!B2:B1111,'Bldgs &amp; Rooms'!B22)</f>
        <v>0</v>
      </c>
      <c r="W32" s="46">
        <f>SUMIFS('Components Yr 1'!D2:D1111,'Components Yr 1'!C2:C1111,A32,'Components Yr 1'!B2:B1111,'Bldgs &amp; Rooms'!B23)</f>
        <v>0</v>
      </c>
      <c r="X32" s="46">
        <f>SUMIFS('Components Yr 1'!D2:D1111,'Components Yr 1'!C2:C1111,A32,'Components Yr 1'!B2:B1111,'Bldgs &amp; Rooms'!B24)</f>
        <v>0</v>
      </c>
      <c r="Y32" s="46">
        <f>SUMIFS('Components Yr 1'!D2:D1111,'Components Yr 1'!C2:C1111,A32,'Components Yr 1'!B2:B1111,'Bldgs &amp; Rooms'!B25)</f>
        <v>0</v>
      </c>
      <c r="Z32" s="46">
        <f>SUMIFS('Components Yr 1'!D2:D1111,'Components Yr 1'!C2:C1111,A32,'Components Yr 1'!B2:B1111,'Bldgs &amp; Rooms'!B26)</f>
        <v>0</v>
      </c>
      <c r="AA32" s="46">
        <f>SUMIFS('Components Yr 1'!D2:D1111,'Components Yr 1'!C2:C1111,A32,'Components Yr 1'!B2:B1111,'Bldgs &amp; Rooms'!B27)</f>
        <v>0</v>
      </c>
      <c r="AB32" s="46">
        <f>SUMIFS('Components Yr 1'!D2:D1111,'Components Yr 1'!C2:C1111,A32,'Components Yr 1'!B2:B1111,'Bldgs &amp; Rooms'!B28)</f>
        <v>0</v>
      </c>
      <c r="AC32" s="46">
        <f>SUMIFS('Components Yr 1'!D2:D1111,'Components Yr 1'!C2:C1111,A32,'Components Yr 1'!B2:B1111,'Bldgs &amp; Rooms'!B29)</f>
        <v>0</v>
      </c>
      <c r="AD32" s="46">
        <f>SUMIFS('Components Yr 1'!D2:D1111,'Components Yr 1'!C2:C1111,A32,'Components Yr 1'!B2:B1111,'Bldgs &amp; Rooms'!B30)</f>
        <v>0</v>
      </c>
      <c r="AE32" s="46">
        <f>SUMIFS('Components Yr 1'!D2:D1111,'Components Yr 1'!C2:C1111,A32,'Components Yr 1'!B2:B1111,'Bldgs &amp; Rooms'!B31)</f>
        <v>0</v>
      </c>
      <c r="AF32" s="47">
        <f t="shared" si="0"/>
        <v>0</v>
      </c>
    </row>
    <row r="33" spans="1:32" x14ac:dyDescent="0.25">
      <c r="A33" s="48" t="s">
        <v>46</v>
      </c>
      <c r="B33" s="49">
        <f>SUMIFS('Components Yr 1'!D2:D1111,'Components Yr 1'!C2:C1111,A33,'Components Yr 1'!B2:B1111,'Bldgs &amp; Rooms'!B2)</f>
        <v>0</v>
      </c>
      <c r="C33" s="49">
        <f>SUMIFS('Components Yr 1'!D2:D1111,'Components Yr 1'!C2:C1111,A33,'Components Yr 1'!B2:B1111,'Bldgs &amp; Rooms'!B3)</f>
        <v>0</v>
      </c>
      <c r="D33" s="49">
        <f>SUMIFS('Components Yr 1'!D2:D1111,'Components Yr 1'!C2:C1111,A33,'Components Yr 1'!B2:B1111,'Bldgs &amp; Rooms'!B4)</f>
        <v>0</v>
      </c>
      <c r="E33" s="49">
        <f>SUMIFS('Components Yr 1'!D2:D1111,'Components Yr 1'!C2:C1111,A33,'Components Yr 1'!B2:B1111,'Bldgs &amp; Rooms'!B5)</f>
        <v>0</v>
      </c>
      <c r="F33" s="49">
        <f>SUMIFS('Components Yr 1'!D2:D1111,'Components Yr 1'!C2:C1111,A33,'Components Yr 1'!B2:B1111,'Bldgs &amp; Rooms'!B6)</f>
        <v>0</v>
      </c>
      <c r="G33" s="49">
        <f>SUMIFS('Components Yr 1'!D2:D1111,'Components Yr 1'!C2:C1111,A33,'Components Yr 1'!B2:B1111,'Bldgs &amp; Rooms'!B7)</f>
        <v>0</v>
      </c>
      <c r="H33" s="49">
        <f>SUMIFS('Components Yr 1'!D2:D1111,'Components Yr 1'!C2:C1111,A33,'Components Yr 1'!B2:B1111,'Bldgs &amp; Rooms'!B8)</f>
        <v>0</v>
      </c>
      <c r="I33" s="49">
        <f>SUMIFS('Components Yr 1'!D2:D1111,'Components Yr 1'!C2:C1111,A33,'Components Yr 1'!B2:B1111,'Bldgs &amp; Rooms'!B9)</f>
        <v>0</v>
      </c>
      <c r="J33" s="49">
        <f>SUMIFS('Components Yr 1'!D2:D1111,'Components Yr 1'!C2:C1111,A33,'Components Yr 1'!B2:B1111,'Bldgs &amp; Rooms'!B10)</f>
        <v>0</v>
      </c>
      <c r="K33" s="49">
        <f>SUMIFS('Components Yr 1'!D2:D1111,'Components Yr 1'!C2:C1111,A33,'Components Yr 1'!B2:B1111,'Bldgs &amp; Rooms'!B11)</f>
        <v>0</v>
      </c>
      <c r="L33" s="49">
        <f>SUMIFS('Components Yr 1'!D2:D1111,'Components Yr 1'!C2:C1111,A33,'Components Yr 1'!B2:B1111,'Bldgs &amp; Rooms'!B12)</f>
        <v>0</v>
      </c>
      <c r="M33" s="49">
        <f>SUMIFS('Components Yr 1'!D2:D1111,'Components Yr 1'!C2:C1111,A33,'Components Yr 1'!B2:B1111,'Bldgs &amp; Rooms'!B13)</f>
        <v>0</v>
      </c>
      <c r="N33" s="49">
        <f>SUMIFS('Components Yr 1'!D2:D1111,'Components Yr 1'!C2:C1111,A33,'Components Yr 1'!B2:B1111,'Bldgs &amp; Rooms'!B14)</f>
        <v>0</v>
      </c>
      <c r="O33" s="49">
        <f>SUMIFS('Components Yr 1'!D2:D1111,'Components Yr 1'!C2:C1111,A33,'Components Yr 1'!B2:B1111,'Bldgs &amp; Rooms'!B15)</f>
        <v>0</v>
      </c>
      <c r="P33" s="49">
        <f>SUMIFS('Components Yr 1'!D2:D1111,'Components Yr 1'!C2:C1111,A33,'Components Yr 1'!B2:B1111,'Bldgs &amp; Rooms'!B16)</f>
        <v>0</v>
      </c>
      <c r="Q33" s="49">
        <f>SUMIFS('Components Yr 1'!D2:D1111,'Components Yr 1'!C2:C1111,A33,'Components Yr 1'!B2:B1111,'Bldgs &amp; Rooms'!B17)</f>
        <v>0</v>
      </c>
      <c r="R33" s="49">
        <f>SUMIFS('Components Yr 1'!D2:D1111,'Components Yr 1'!C2:C1111,A33,'Components Yr 1'!B2:B1111,'Bldgs &amp; Rooms'!B18)</f>
        <v>0</v>
      </c>
      <c r="S33" s="49">
        <f>SUMIFS('Components Yr 1'!D2:D1111,'Components Yr 1'!C2:C1111,A33,'Components Yr 1'!B2:B1111,'Bldgs &amp; Rooms'!B19)</f>
        <v>0</v>
      </c>
      <c r="T33" s="49">
        <f>SUMIFS('Components Yr 1'!D2:D1111,'Components Yr 1'!C2:C1111,A33,'Components Yr 1'!B2:B1111,'Bldgs &amp; Rooms'!B20)</f>
        <v>0</v>
      </c>
      <c r="U33" s="49">
        <f>SUMIFS('Components Yr 1'!D2:D1111,'Components Yr 1'!C2:C1111,A33,'Components Yr 1'!B2:B1111,'Bldgs &amp; Rooms'!B21)</f>
        <v>0</v>
      </c>
      <c r="V33" s="49">
        <f>SUMIFS('Components Yr 1'!D2:D1111,'Components Yr 1'!C2:C1111,A33,'Components Yr 1'!B2:B1111,'Bldgs &amp; Rooms'!B22)</f>
        <v>0</v>
      </c>
      <c r="W33" s="49">
        <f>SUMIFS('Components Yr 1'!D2:D1111,'Components Yr 1'!C2:C1111,A33,'Components Yr 1'!B2:B1111,'Bldgs &amp; Rooms'!B23)</f>
        <v>0</v>
      </c>
      <c r="X33" s="49">
        <f>SUMIFS('Components Yr 1'!D2:D1111,'Components Yr 1'!C2:C1111,A33,'Components Yr 1'!B2:B1111,'Bldgs &amp; Rooms'!B24)</f>
        <v>0</v>
      </c>
      <c r="Y33" s="49">
        <f>SUMIFS('Components Yr 1'!D2:D1111,'Components Yr 1'!C2:C1111,A33,'Components Yr 1'!B2:B1111,'Bldgs &amp; Rooms'!B25)</f>
        <v>0</v>
      </c>
      <c r="Z33" s="49">
        <f>SUMIFS('Components Yr 1'!D2:D1111,'Components Yr 1'!C2:C1111,A33,'Components Yr 1'!B2:B1111,'Bldgs &amp; Rooms'!B26)</f>
        <v>0</v>
      </c>
      <c r="AA33" s="49">
        <f>SUMIFS('Components Yr 1'!D2:D1111,'Components Yr 1'!C2:C1111,A33,'Components Yr 1'!B2:B1111,'Bldgs &amp; Rooms'!B27)</f>
        <v>0</v>
      </c>
      <c r="AB33" s="49">
        <f>SUMIFS('Components Yr 1'!D2:D1111,'Components Yr 1'!C2:C1111,A33,'Components Yr 1'!B2:B1111,'Bldgs &amp; Rooms'!B28)</f>
        <v>0</v>
      </c>
      <c r="AC33" s="49">
        <f>SUMIFS('Components Yr 1'!D2:D1111,'Components Yr 1'!C2:C1111,A33,'Components Yr 1'!B2:B1111,'Bldgs &amp; Rooms'!B29)</f>
        <v>0</v>
      </c>
      <c r="AD33" s="49">
        <f>SUMIFS('Components Yr 1'!D2:D1111,'Components Yr 1'!C2:C1111,A33,'Components Yr 1'!B2:B1111,'Bldgs &amp; Rooms'!B30)</f>
        <v>0</v>
      </c>
      <c r="AE33" s="49">
        <f>SUMIFS('Components Yr 1'!D2:D1111,'Components Yr 1'!C2:C1111,A33,'Components Yr 1'!B2:B1111,'Bldgs &amp; Rooms'!B31)</f>
        <v>0</v>
      </c>
      <c r="AF33" s="47">
        <f t="shared" si="0"/>
        <v>0</v>
      </c>
    </row>
    <row r="34" spans="1:32" x14ac:dyDescent="0.25">
      <c r="A34" s="45" t="s">
        <v>47</v>
      </c>
      <c r="B34" s="46">
        <f>SUMIFS('Components Yr 1'!D2:D1111,'Components Yr 1'!C2:C1111,A34,'Components Yr 1'!B2:B1111,'Bldgs &amp; Rooms'!B2)</f>
        <v>0</v>
      </c>
      <c r="C34" s="46">
        <f>SUMIFS('Components Yr 1'!D2:D1111,'Components Yr 1'!C2:C1111,A34,'Components Yr 1'!B2:B1111,'Bldgs &amp; Rooms'!B3)</f>
        <v>0</v>
      </c>
      <c r="D34" s="46">
        <f>SUMIFS('Components Yr 1'!D2:D1111,'Components Yr 1'!C2:C1111,A34,'Components Yr 1'!B2:B1111,'Bldgs &amp; Rooms'!B4)</f>
        <v>0</v>
      </c>
      <c r="E34" s="46">
        <f>SUMIFS('Components Yr 1'!D2:D1111,'Components Yr 1'!C2:C1111,A34,'Components Yr 1'!B2:B1111,'Bldgs &amp; Rooms'!B5)</f>
        <v>0</v>
      </c>
      <c r="F34" s="46">
        <f>SUMIFS('Components Yr 1'!D2:D1111,'Components Yr 1'!C2:C1111,A34,'Components Yr 1'!B2:B1111,'Bldgs &amp; Rooms'!B6)</f>
        <v>0</v>
      </c>
      <c r="G34" s="46">
        <f>SUMIFS('Components Yr 1'!D2:D1111,'Components Yr 1'!C2:C1111,A34,'Components Yr 1'!B2:B1111,'Bldgs &amp; Rooms'!B7)</f>
        <v>0</v>
      </c>
      <c r="H34" s="46">
        <f>SUMIFS('Components Yr 1'!D2:D1111,'Components Yr 1'!C2:C1111,A34,'Components Yr 1'!B2:B1111,'Bldgs &amp; Rooms'!B8)</f>
        <v>0</v>
      </c>
      <c r="I34" s="46">
        <f>SUMIFS('Components Yr 1'!D2:D1111,'Components Yr 1'!C2:C1111,A34,'Components Yr 1'!B2:B1111,'Bldgs &amp; Rooms'!B9)</f>
        <v>0</v>
      </c>
      <c r="J34" s="46">
        <f>SUMIFS('Components Yr 1'!D2:D1111,'Components Yr 1'!C2:C1111,A34,'Components Yr 1'!B2:B1111,'Bldgs &amp; Rooms'!B10)</f>
        <v>0</v>
      </c>
      <c r="K34" s="46">
        <f>SUMIFS('Components Yr 1'!D2:D1111,'Components Yr 1'!C2:C1111,A34,'Components Yr 1'!B2:B1111,'Bldgs &amp; Rooms'!B11)</f>
        <v>0</v>
      </c>
      <c r="L34" s="46">
        <f>SUMIFS('Components Yr 1'!D2:D1111,'Components Yr 1'!C2:C1111,A34,'Components Yr 1'!B2:B1111,'Bldgs &amp; Rooms'!B12)</f>
        <v>0</v>
      </c>
      <c r="M34" s="46">
        <f>SUMIFS('Components Yr 1'!D2:D1111,'Components Yr 1'!C2:C1111,A34,'Components Yr 1'!B2:B1111,'Bldgs &amp; Rooms'!B13)</f>
        <v>0</v>
      </c>
      <c r="N34" s="46">
        <f>SUMIFS('Components Yr 1'!D2:D1111,'Components Yr 1'!C2:C1111,A34,'Components Yr 1'!B2:B1111,'Bldgs &amp; Rooms'!B14)</f>
        <v>0</v>
      </c>
      <c r="O34" s="46">
        <f>SUMIFS('Components Yr 1'!D2:D1111,'Components Yr 1'!C2:C1111,A34,'Components Yr 1'!B2:B1111,'Bldgs &amp; Rooms'!B15)</f>
        <v>0</v>
      </c>
      <c r="P34" s="46">
        <f>SUMIFS('Components Yr 1'!D2:D1111,'Components Yr 1'!C2:C1111,A34,'Components Yr 1'!B2:B1111,'Bldgs &amp; Rooms'!B16)</f>
        <v>0</v>
      </c>
      <c r="Q34" s="46">
        <f>SUMIFS('Components Yr 1'!D2:D1111,'Components Yr 1'!C2:C1111,A34,'Components Yr 1'!B2:B1111,'Bldgs &amp; Rooms'!B17)</f>
        <v>0</v>
      </c>
      <c r="R34" s="46">
        <f>SUMIFS('Components Yr 1'!D2:D1111,'Components Yr 1'!C2:C1111,A34,'Components Yr 1'!B2:B1111,'Bldgs &amp; Rooms'!B18)</f>
        <v>0</v>
      </c>
      <c r="S34" s="46">
        <f>SUMIFS('Components Yr 1'!D2:D1111,'Components Yr 1'!C2:C1111,A34,'Components Yr 1'!B2:B1111,'Bldgs &amp; Rooms'!B19)</f>
        <v>0</v>
      </c>
      <c r="T34" s="46">
        <f>SUMIFS('Components Yr 1'!D2:D1111,'Components Yr 1'!C2:C1111,A34,'Components Yr 1'!B2:B1111,'Bldgs &amp; Rooms'!B20)</f>
        <v>0</v>
      </c>
      <c r="U34" s="46">
        <f>SUMIFS('Components Yr 1'!D2:D1111,'Components Yr 1'!C2:C1111,A34,'Components Yr 1'!B2:B1111,'Bldgs &amp; Rooms'!B21)</f>
        <v>0</v>
      </c>
      <c r="V34" s="46">
        <f>SUMIFS('Components Yr 1'!D2:D1111,'Components Yr 1'!C2:C1111,A34,'Components Yr 1'!B2:B1111,'Bldgs &amp; Rooms'!B22)</f>
        <v>0</v>
      </c>
      <c r="W34" s="46">
        <f>SUMIFS('Components Yr 1'!D2:D1111,'Components Yr 1'!C2:C1111,A34,'Components Yr 1'!B2:B1111,'Bldgs &amp; Rooms'!B23)</f>
        <v>0</v>
      </c>
      <c r="X34" s="46">
        <f>SUMIFS('Components Yr 1'!D2:D1111,'Components Yr 1'!C2:C1111,A34,'Components Yr 1'!B2:B1111,'Bldgs &amp; Rooms'!B24)</f>
        <v>0</v>
      </c>
      <c r="Y34" s="46">
        <f>SUMIFS('Components Yr 1'!D2:D1111,'Components Yr 1'!C2:C1111,A34,'Components Yr 1'!B2:B1111,'Bldgs &amp; Rooms'!B25)</f>
        <v>0</v>
      </c>
      <c r="Z34" s="46">
        <f>SUMIFS('Components Yr 1'!D2:D1111,'Components Yr 1'!C2:C1111,A34,'Components Yr 1'!B2:B1111,'Bldgs &amp; Rooms'!B26)</f>
        <v>0</v>
      </c>
      <c r="AA34" s="46">
        <f>SUMIFS('Components Yr 1'!D2:D1111,'Components Yr 1'!C2:C1111,A34,'Components Yr 1'!B2:B1111,'Bldgs &amp; Rooms'!B27)</f>
        <v>0</v>
      </c>
      <c r="AB34" s="46">
        <f>SUMIFS('Components Yr 1'!D2:D1111,'Components Yr 1'!C2:C1111,A34,'Components Yr 1'!B2:B1111,'Bldgs &amp; Rooms'!B28)</f>
        <v>0</v>
      </c>
      <c r="AC34" s="46">
        <f>SUMIFS('Components Yr 1'!D2:D1111,'Components Yr 1'!C2:C1111,A34,'Components Yr 1'!B2:B1111,'Bldgs &amp; Rooms'!B29)</f>
        <v>0</v>
      </c>
      <c r="AD34" s="46">
        <f>SUMIFS('Components Yr 1'!D2:D1111,'Components Yr 1'!C2:C1111,A34,'Components Yr 1'!B2:B1111,'Bldgs &amp; Rooms'!B30)</f>
        <v>0</v>
      </c>
      <c r="AE34" s="46">
        <f>SUMIFS('Components Yr 1'!D2:D1111,'Components Yr 1'!C2:C1111,A34,'Components Yr 1'!B2:B1111,'Bldgs &amp; Rooms'!B31)</f>
        <v>0</v>
      </c>
      <c r="AF34" s="47">
        <f t="shared" si="0"/>
        <v>0</v>
      </c>
    </row>
    <row r="35" spans="1:32" x14ac:dyDescent="0.25">
      <c r="A35" s="48" t="s">
        <v>48</v>
      </c>
      <c r="B35" s="49">
        <f>SUMIFS('Components Yr 1'!D2:D1111,'Components Yr 1'!C2:C1111,A35,'Components Yr 1'!B2:B1111,'Bldgs &amp; Rooms'!B2)</f>
        <v>0</v>
      </c>
      <c r="C35" s="49">
        <f>SUMIFS('Components Yr 1'!D2:D1111,'Components Yr 1'!C2:C1111,A35,'Components Yr 1'!B2:B1111,'Bldgs &amp; Rooms'!B3)</f>
        <v>0</v>
      </c>
      <c r="D35" s="49">
        <f>SUMIFS('Components Yr 1'!D2:D1111,'Components Yr 1'!C2:C1111,A35,'Components Yr 1'!B2:B1111,'Bldgs &amp; Rooms'!B4)</f>
        <v>0</v>
      </c>
      <c r="E35" s="49">
        <f>SUMIFS('Components Yr 1'!D2:D1111,'Components Yr 1'!C2:C1111,A35,'Components Yr 1'!B2:B1111,'Bldgs &amp; Rooms'!B5)</f>
        <v>0</v>
      </c>
      <c r="F35" s="49">
        <f>SUMIFS('Components Yr 1'!D2:D1111,'Components Yr 1'!C2:C1111,A35,'Components Yr 1'!B2:B1111,'Bldgs &amp; Rooms'!B6)</f>
        <v>0</v>
      </c>
      <c r="G35" s="49">
        <f>SUMIFS('Components Yr 1'!D2:D1111,'Components Yr 1'!C2:C1111,A35,'Components Yr 1'!B2:B1111,'Bldgs &amp; Rooms'!B7)</f>
        <v>0</v>
      </c>
      <c r="H35" s="49">
        <f>SUMIFS('Components Yr 1'!D2:D1111,'Components Yr 1'!C2:C1111,A35,'Components Yr 1'!B2:B1111,'Bldgs &amp; Rooms'!B8)</f>
        <v>0</v>
      </c>
      <c r="I35" s="49">
        <f>SUMIFS('Components Yr 1'!D2:D1111,'Components Yr 1'!C2:C1111,A35,'Components Yr 1'!B2:B1111,'Bldgs &amp; Rooms'!B9)</f>
        <v>0</v>
      </c>
      <c r="J35" s="49">
        <f>SUMIFS('Components Yr 1'!D2:D1111,'Components Yr 1'!C2:C1111,A35,'Components Yr 1'!B2:B1111,'Bldgs &amp; Rooms'!B10)</f>
        <v>0</v>
      </c>
      <c r="K35" s="49">
        <f>SUMIFS('Components Yr 1'!D2:D1111,'Components Yr 1'!C2:C1111,A35,'Components Yr 1'!B2:B1111,'Bldgs &amp; Rooms'!B11)</f>
        <v>0</v>
      </c>
      <c r="L35" s="49">
        <f>SUMIFS('Components Yr 1'!D2:D1111,'Components Yr 1'!C2:C1111,A35,'Components Yr 1'!B2:B1111,'Bldgs &amp; Rooms'!B12)</f>
        <v>0</v>
      </c>
      <c r="M35" s="49">
        <f>SUMIFS('Components Yr 1'!D2:D1111,'Components Yr 1'!C2:C1111,A35,'Components Yr 1'!B2:B1111,'Bldgs &amp; Rooms'!B13)</f>
        <v>0</v>
      </c>
      <c r="N35" s="49">
        <f>SUMIFS('Components Yr 1'!D2:D1111,'Components Yr 1'!C2:C1111,A35,'Components Yr 1'!B2:B1111,'Bldgs &amp; Rooms'!B14)</f>
        <v>0</v>
      </c>
      <c r="O35" s="49">
        <f>SUMIFS('Components Yr 1'!D2:D1111,'Components Yr 1'!C2:C1111,A35,'Components Yr 1'!B2:B1111,'Bldgs &amp; Rooms'!B15)</f>
        <v>0</v>
      </c>
      <c r="P35" s="49">
        <f>SUMIFS('Components Yr 1'!D2:D1111,'Components Yr 1'!C2:C1111,A35,'Components Yr 1'!B2:B1111,'Bldgs &amp; Rooms'!B16)</f>
        <v>0</v>
      </c>
      <c r="Q35" s="49">
        <f>SUMIFS('Components Yr 1'!D2:D1111,'Components Yr 1'!C2:C1111,A35,'Components Yr 1'!B2:B1111,'Bldgs &amp; Rooms'!B17)</f>
        <v>0</v>
      </c>
      <c r="R35" s="49">
        <f>SUMIFS('Components Yr 1'!D2:D1111,'Components Yr 1'!C2:C1111,A35,'Components Yr 1'!B2:B1111,'Bldgs &amp; Rooms'!B18)</f>
        <v>0</v>
      </c>
      <c r="S35" s="49">
        <f>SUMIFS('Components Yr 1'!D2:D1111,'Components Yr 1'!C2:C1111,A35,'Components Yr 1'!B2:B1111,'Bldgs &amp; Rooms'!B19)</f>
        <v>0</v>
      </c>
      <c r="T35" s="49">
        <f>SUMIFS('Components Yr 1'!D2:D1111,'Components Yr 1'!C2:C1111,A35,'Components Yr 1'!B2:B1111,'Bldgs &amp; Rooms'!B20)</f>
        <v>0</v>
      </c>
      <c r="U35" s="49">
        <f>SUMIFS('Components Yr 1'!D2:D1111,'Components Yr 1'!C2:C1111,A35,'Components Yr 1'!B2:B1111,'Bldgs &amp; Rooms'!B21)</f>
        <v>0</v>
      </c>
      <c r="V35" s="49">
        <f>SUMIFS('Components Yr 1'!D2:D1111,'Components Yr 1'!C2:C1111,A35,'Components Yr 1'!B2:B1111,'Bldgs &amp; Rooms'!B22)</f>
        <v>0</v>
      </c>
      <c r="W35" s="49">
        <f>SUMIFS('Components Yr 1'!D2:D1111,'Components Yr 1'!C2:C1111,A35,'Components Yr 1'!B2:B1111,'Bldgs &amp; Rooms'!B23)</f>
        <v>0</v>
      </c>
      <c r="X35" s="49">
        <f>SUMIFS('Components Yr 1'!D2:D1111,'Components Yr 1'!C2:C1111,A35,'Components Yr 1'!B2:B1111,'Bldgs &amp; Rooms'!B24)</f>
        <v>0</v>
      </c>
      <c r="Y35" s="49">
        <f>SUMIFS('Components Yr 1'!D2:D1111,'Components Yr 1'!C2:C1111,A35,'Components Yr 1'!B2:B1111,'Bldgs &amp; Rooms'!B25)</f>
        <v>0</v>
      </c>
      <c r="Z35" s="49">
        <f>SUMIFS('Components Yr 1'!D2:D1111,'Components Yr 1'!C2:C1111,A35,'Components Yr 1'!B2:B1111,'Bldgs &amp; Rooms'!B26)</f>
        <v>0</v>
      </c>
      <c r="AA35" s="49">
        <f>SUMIFS('Components Yr 1'!D2:D1111,'Components Yr 1'!C2:C1111,A35,'Components Yr 1'!B2:B1111,'Bldgs &amp; Rooms'!B27)</f>
        <v>0</v>
      </c>
      <c r="AB35" s="49">
        <f>SUMIFS('Components Yr 1'!D2:D1111,'Components Yr 1'!C2:C1111,A35,'Components Yr 1'!B2:B1111,'Bldgs &amp; Rooms'!B28)</f>
        <v>0</v>
      </c>
      <c r="AC35" s="49">
        <f>SUMIFS('Components Yr 1'!D2:D1111,'Components Yr 1'!C2:C1111,A35,'Components Yr 1'!B2:B1111,'Bldgs &amp; Rooms'!B29)</f>
        <v>0</v>
      </c>
      <c r="AD35" s="49">
        <f>SUMIFS('Components Yr 1'!D2:D1111,'Components Yr 1'!C2:C1111,A35,'Components Yr 1'!B2:B1111,'Bldgs &amp; Rooms'!B30)</f>
        <v>0</v>
      </c>
      <c r="AE35" s="49">
        <f>SUMIFS('Components Yr 1'!D2:D1111,'Components Yr 1'!C2:C1111,A35,'Components Yr 1'!B2:B1111,'Bldgs &amp; Rooms'!B31)</f>
        <v>0</v>
      </c>
      <c r="AF35" s="47">
        <f t="shared" si="0"/>
        <v>0</v>
      </c>
    </row>
    <row r="36" spans="1:32" x14ac:dyDescent="0.25">
      <c r="A36" s="45" t="s">
        <v>49</v>
      </c>
      <c r="B36" s="46">
        <f>SUMIFS('Components Yr 1'!D2:D1111,'Components Yr 1'!C2:C1111,A36,'Components Yr 1'!B2:B1111,'Bldgs &amp; Rooms'!B2)</f>
        <v>0</v>
      </c>
      <c r="C36" s="46">
        <f>SUMIFS('Components Yr 1'!D2:D1111,'Components Yr 1'!C2:C1111,A36,'Components Yr 1'!B2:B1111,'Bldgs &amp; Rooms'!B3)</f>
        <v>0</v>
      </c>
      <c r="D36" s="46">
        <f>SUMIFS('Components Yr 1'!D2:D1111,'Components Yr 1'!C2:C1111,A36,'Components Yr 1'!B2:B1111,'Bldgs &amp; Rooms'!B4)</f>
        <v>0</v>
      </c>
      <c r="E36" s="46">
        <f>SUMIFS('Components Yr 1'!D2:D1111,'Components Yr 1'!C2:C1111,A36,'Components Yr 1'!B2:B1111,'Bldgs &amp; Rooms'!B5)</f>
        <v>0</v>
      </c>
      <c r="F36" s="46">
        <f>SUMIFS('Components Yr 1'!D2:D1111,'Components Yr 1'!C2:C1111,A36,'Components Yr 1'!B2:B1111,'Bldgs &amp; Rooms'!B6)</f>
        <v>0</v>
      </c>
      <c r="G36" s="46">
        <f>SUMIFS('Components Yr 1'!D2:D1111,'Components Yr 1'!C2:C1111,A36,'Components Yr 1'!B2:B1111,'Bldgs &amp; Rooms'!B7)</f>
        <v>0</v>
      </c>
      <c r="H36" s="46">
        <f>SUMIFS('Components Yr 1'!D2:D1111,'Components Yr 1'!C2:C1111,A36,'Components Yr 1'!B2:B1111,'Bldgs &amp; Rooms'!B8)</f>
        <v>0</v>
      </c>
      <c r="I36" s="46">
        <f>SUMIFS('Components Yr 1'!D2:D1111,'Components Yr 1'!C2:C1111,A36,'Components Yr 1'!B2:B1111,'Bldgs &amp; Rooms'!B9)</f>
        <v>0</v>
      </c>
      <c r="J36" s="46">
        <f>SUMIFS('Components Yr 1'!D2:D1111,'Components Yr 1'!C2:C1111,A36,'Components Yr 1'!B2:B1111,'Bldgs &amp; Rooms'!B10)</f>
        <v>0</v>
      </c>
      <c r="K36" s="46">
        <f>SUMIFS('Components Yr 1'!D2:D1111,'Components Yr 1'!C2:C1111,A36,'Components Yr 1'!B2:B1111,'Bldgs &amp; Rooms'!B11)</f>
        <v>0</v>
      </c>
      <c r="L36" s="46">
        <f>SUMIFS('Components Yr 1'!D2:D1111,'Components Yr 1'!C2:C1111,A36,'Components Yr 1'!B2:B1111,'Bldgs &amp; Rooms'!B12)</f>
        <v>0</v>
      </c>
      <c r="M36" s="46">
        <f>SUMIFS('Components Yr 1'!D2:D1111,'Components Yr 1'!C2:C1111,A36,'Components Yr 1'!B2:B1111,'Bldgs &amp; Rooms'!B13)</f>
        <v>0</v>
      </c>
      <c r="N36" s="46">
        <f>SUMIFS('Components Yr 1'!D2:D1111,'Components Yr 1'!C2:C1111,A36,'Components Yr 1'!B2:B1111,'Bldgs &amp; Rooms'!B14)</f>
        <v>0</v>
      </c>
      <c r="O36" s="46">
        <f>SUMIFS('Components Yr 1'!D2:D1111,'Components Yr 1'!C2:C1111,A36,'Components Yr 1'!B2:B1111,'Bldgs &amp; Rooms'!B15)</f>
        <v>0</v>
      </c>
      <c r="P36" s="46">
        <f>SUMIFS('Components Yr 1'!D2:D1111,'Components Yr 1'!C2:C1111,A36,'Components Yr 1'!B2:B1111,'Bldgs &amp; Rooms'!B16)</f>
        <v>0</v>
      </c>
      <c r="Q36" s="46">
        <f>SUMIFS('Components Yr 1'!D2:D1111,'Components Yr 1'!C2:C1111,A36,'Components Yr 1'!B2:B1111,'Bldgs &amp; Rooms'!B17)</f>
        <v>0</v>
      </c>
      <c r="R36" s="46">
        <f>SUMIFS('Components Yr 1'!D2:D1111,'Components Yr 1'!C2:C1111,A36,'Components Yr 1'!B2:B1111,'Bldgs &amp; Rooms'!B18)</f>
        <v>0</v>
      </c>
      <c r="S36" s="46">
        <f>SUMIFS('Components Yr 1'!D2:D1111,'Components Yr 1'!C2:C1111,A36,'Components Yr 1'!B2:B1111,'Bldgs &amp; Rooms'!B19)</f>
        <v>0</v>
      </c>
      <c r="T36" s="46">
        <f>SUMIFS('Components Yr 1'!D2:D1111,'Components Yr 1'!C2:C1111,A36,'Components Yr 1'!B2:B1111,'Bldgs &amp; Rooms'!B20)</f>
        <v>0</v>
      </c>
      <c r="U36" s="46">
        <f>SUMIFS('Components Yr 1'!D2:D1111,'Components Yr 1'!C2:C1111,A36,'Components Yr 1'!B2:B1111,'Bldgs &amp; Rooms'!B21)</f>
        <v>0</v>
      </c>
      <c r="V36" s="46">
        <f>SUMIFS('Components Yr 1'!D2:D1111,'Components Yr 1'!C2:C1111,A36,'Components Yr 1'!B2:B1111,'Bldgs &amp; Rooms'!B22)</f>
        <v>0</v>
      </c>
      <c r="W36" s="46">
        <f>SUMIFS('Components Yr 1'!D2:D1111,'Components Yr 1'!C2:C1111,A36,'Components Yr 1'!B2:B1111,'Bldgs &amp; Rooms'!B23)</f>
        <v>0</v>
      </c>
      <c r="X36" s="46">
        <f>SUMIFS('Components Yr 1'!D2:D1111,'Components Yr 1'!C2:C1111,A36,'Components Yr 1'!B2:B1111,'Bldgs &amp; Rooms'!B24)</f>
        <v>0</v>
      </c>
      <c r="Y36" s="46">
        <f>SUMIFS('Components Yr 1'!D2:D1111,'Components Yr 1'!C2:C1111,A36,'Components Yr 1'!B2:B1111,'Bldgs &amp; Rooms'!B25)</f>
        <v>0</v>
      </c>
      <c r="Z36" s="46">
        <f>SUMIFS('Components Yr 1'!D2:D1111,'Components Yr 1'!C2:C1111,A36,'Components Yr 1'!B2:B1111,'Bldgs &amp; Rooms'!B26)</f>
        <v>0</v>
      </c>
      <c r="AA36" s="46">
        <f>SUMIFS('Components Yr 1'!D2:D1111,'Components Yr 1'!C2:C1111,A36,'Components Yr 1'!B2:B1111,'Bldgs &amp; Rooms'!B27)</f>
        <v>0</v>
      </c>
      <c r="AB36" s="46">
        <f>SUMIFS('Components Yr 1'!D2:D1111,'Components Yr 1'!C2:C1111,A36,'Components Yr 1'!B2:B1111,'Bldgs &amp; Rooms'!B28)</f>
        <v>0</v>
      </c>
      <c r="AC36" s="46">
        <f>SUMIFS('Components Yr 1'!D2:D1111,'Components Yr 1'!C2:C1111,A36,'Components Yr 1'!B2:B1111,'Bldgs &amp; Rooms'!B29)</f>
        <v>0</v>
      </c>
      <c r="AD36" s="46">
        <f>SUMIFS('Components Yr 1'!D2:D1111,'Components Yr 1'!C2:C1111,A36,'Components Yr 1'!B2:B1111,'Bldgs &amp; Rooms'!B30)</f>
        <v>0</v>
      </c>
      <c r="AE36" s="46">
        <f>SUMIFS('Components Yr 1'!D2:D1111,'Components Yr 1'!C2:C1111,A36,'Components Yr 1'!B2:B1111,'Bldgs &amp; Rooms'!B31)</f>
        <v>0</v>
      </c>
      <c r="AF36" s="47">
        <f t="shared" si="0"/>
        <v>0</v>
      </c>
    </row>
    <row r="37" spans="1:32" x14ac:dyDescent="0.25">
      <c r="A37" s="48" t="s">
        <v>50</v>
      </c>
      <c r="B37" s="49">
        <f>SUMIFS('Components Yr 1'!D2:D1111,'Components Yr 1'!C2:C1111,A37,'Components Yr 1'!B2:B1111,'Bldgs &amp; Rooms'!B2)</f>
        <v>0</v>
      </c>
      <c r="C37" s="49">
        <f>SUMIFS('Components Yr 1'!D2:D1111,'Components Yr 1'!C2:C1111,A37,'Components Yr 1'!B2:B1111,'Bldgs &amp; Rooms'!B3)</f>
        <v>0</v>
      </c>
      <c r="D37" s="49">
        <f>SUMIFS('Components Yr 1'!D2:D1111,'Components Yr 1'!C2:C1111,A37,'Components Yr 1'!B2:B1111,'Bldgs &amp; Rooms'!B4)</f>
        <v>0</v>
      </c>
      <c r="E37" s="49">
        <f>SUMIFS('Components Yr 1'!D2:D1111,'Components Yr 1'!C2:C1111,A37,'Components Yr 1'!B2:B1111,'Bldgs &amp; Rooms'!B5)</f>
        <v>0</v>
      </c>
      <c r="F37" s="49">
        <f>SUMIFS('Components Yr 1'!D2:D1111,'Components Yr 1'!C2:C1111,A37,'Components Yr 1'!B2:B1111,'Bldgs &amp; Rooms'!B6)</f>
        <v>0</v>
      </c>
      <c r="G37" s="49">
        <f>SUMIFS('Components Yr 1'!D2:D1111,'Components Yr 1'!C2:C1111,A37,'Components Yr 1'!B2:B1111,'Bldgs &amp; Rooms'!B7)</f>
        <v>0</v>
      </c>
      <c r="H37" s="49">
        <f>SUMIFS('Components Yr 1'!D2:D1111,'Components Yr 1'!C2:C1111,A37,'Components Yr 1'!B2:B1111,'Bldgs &amp; Rooms'!B8)</f>
        <v>0</v>
      </c>
      <c r="I37" s="49">
        <f>SUMIFS('Components Yr 1'!D2:D1111,'Components Yr 1'!C2:C1111,A37,'Components Yr 1'!B2:B1111,'Bldgs &amp; Rooms'!B9)</f>
        <v>0</v>
      </c>
      <c r="J37" s="49">
        <f>SUMIFS('Components Yr 1'!D2:D1111,'Components Yr 1'!C2:C1111,A37,'Components Yr 1'!B2:B1111,'Bldgs &amp; Rooms'!B10)</f>
        <v>0</v>
      </c>
      <c r="K37" s="49">
        <f>SUMIFS('Components Yr 1'!D2:D1111,'Components Yr 1'!C2:C1111,A37,'Components Yr 1'!B2:B1111,'Bldgs &amp; Rooms'!B11)</f>
        <v>0</v>
      </c>
      <c r="L37" s="49">
        <f>SUMIFS('Components Yr 1'!D2:D1111,'Components Yr 1'!C2:C1111,A37,'Components Yr 1'!B2:B1111,'Bldgs &amp; Rooms'!B12)</f>
        <v>0</v>
      </c>
      <c r="M37" s="49">
        <f>SUMIFS('Components Yr 1'!D2:D1111,'Components Yr 1'!C2:C1111,A37,'Components Yr 1'!B2:B1111,'Bldgs &amp; Rooms'!B13)</f>
        <v>0</v>
      </c>
      <c r="N37" s="49">
        <f>SUMIFS('Components Yr 1'!D2:D1111,'Components Yr 1'!C2:C1111,A37,'Components Yr 1'!B2:B1111,'Bldgs &amp; Rooms'!B14)</f>
        <v>0</v>
      </c>
      <c r="O37" s="49">
        <f>SUMIFS('Components Yr 1'!D2:D1111,'Components Yr 1'!C2:C1111,A37,'Components Yr 1'!B2:B1111,'Bldgs &amp; Rooms'!B15)</f>
        <v>0</v>
      </c>
      <c r="P37" s="49">
        <f>SUMIFS('Components Yr 1'!D2:D1111,'Components Yr 1'!C2:C1111,A37,'Components Yr 1'!B2:B1111,'Bldgs &amp; Rooms'!B16)</f>
        <v>0</v>
      </c>
      <c r="Q37" s="49">
        <f>SUMIFS('Components Yr 1'!D2:D1111,'Components Yr 1'!C2:C1111,A37,'Components Yr 1'!B2:B1111,'Bldgs &amp; Rooms'!B17)</f>
        <v>0</v>
      </c>
      <c r="R37" s="49">
        <f>SUMIFS('Components Yr 1'!D2:D1111,'Components Yr 1'!C2:C1111,A37,'Components Yr 1'!B2:B1111,'Bldgs &amp; Rooms'!B18)</f>
        <v>0</v>
      </c>
      <c r="S37" s="49">
        <f>SUMIFS('Components Yr 1'!D2:D1111,'Components Yr 1'!C2:C1111,A37,'Components Yr 1'!B2:B1111,'Bldgs &amp; Rooms'!B19)</f>
        <v>0</v>
      </c>
      <c r="T37" s="49">
        <f>SUMIFS('Components Yr 1'!D2:D1111,'Components Yr 1'!C2:C1111,A37,'Components Yr 1'!B2:B1111,'Bldgs &amp; Rooms'!B20)</f>
        <v>0</v>
      </c>
      <c r="U37" s="49">
        <f>SUMIFS('Components Yr 1'!D2:D1111,'Components Yr 1'!C2:C1111,A37,'Components Yr 1'!B2:B1111,'Bldgs &amp; Rooms'!B21)</f>
        <v>0</v>
      </c>
      <c r="V37" s="49">
        <f>SUMIFS('Components Yr 1'!D2:D1111,'Components Yr 1'!C2:C1111,A37,'Components Yr 1'!B2:B1111,'Bldgs &amp; Rooms'!B22)</f>
        <v>0</v>
      </c>
      <c r="W37" s="49">
        <f>SUMIFS('Components Yr 1'!D2:D1111,'Components Yr 1'!C2:C1111,A37,'Components Yr 1'!B2:B1111,'Bldgs &amp; Rooms'!B23)</f>
        <v>0</v>
      </c>
      <c r="X37" s="49">
        <f>SUMIFS('Components Yr 1'!D2:D1111,'Components Yr 1'!C2:C1111,A37,'Components Yr 1'!B2:B1111,'Bldgs &amp; Rooms'!B24)</f>
        <v>0</v>
      </c>
      <c r="Y37" s="49">
        <f>SUMIFS('Components Yr 1'!D2:D1111,'Components Yr 1'!C2:C1111,A37,'Components Yr 1'!B2:B1111,'Bldgs &amp; Rooms'!B25)</f>
        <v>0</v>
      </c>
      <c r="Z37" s="49">
        <f>SUMIFS('Components Yr 1'!D2:D1111,'Components Yr 1'!C2:C1111,A37,'Components Yr 1'!B2:B1111,'Bldgs &amp; Rooms'!B26)</f>
        <v>0</v>
      </c>
      <c r="AA37" s="49">
        <f>SUMIFS('Components Yr 1'!D2:D1111,'Components Yr 1'!C2:C1111,A37,'Components Yr 1'!B2:B1111,'Bldgs &amp; Rooms'!B27)</f>
        <v>0</v>
      </c>
      <c r="AB37" s="49">
        <f>SUMIFS('Components Yr 1'!D2:D1111,'Components Yr 1'!C2:C1111,A37,'Components Yr 1'!B2:B1111,'Bldgs &amp; Rooms'!B28)</f>
        <v>0</v>
      </c>
      <c r="AC37" s="49">
        <f>SUMIFS('Components Yr 1'!D2:D1111,'Components Yr 1'!C2:C1111,A37,'Components Yr 1'!B2:B1111,'Bldgs &amp; Rooms'!B29)</f>
        <v>0</v>
      </c>
      <c r="AD37" s="49">
        <f>SUMIFS('Components Yr 1'!D2:D1111,'Components Yr 1'!C2:C1111,A37,'Components Yr 1'!B2:B1111,'Bldgs &amp; Rooms'!B30)</f>
        <v>0</v>
      </c>
      <c r="AE37" s="49">
        <f>SUMIFS('Components Yr 1'!D2:D1111,'Components Yr 1'!C2:C1111,A37,'Components Yr 1'!B2:B1111,'Bldgs &amp; Rooms'!B31)</f>
        <v>0</v>
      </c>
      <c r="AF37" s="47">
        <f t="shared" si="0"/>
        <v>0</v>
      </c>
    </row>
    <row r="38" spans="1:32" x14ac:dyDescent="0.25">
      <c r="A38" s="45" t="s">
        <v>51</v>
      </c>
      <c r="B38" s="46">
        <f>SUMIFS('Components Yr 1'!D2:D1111,'Components Yr 1'!C2:C1111,A38,'Components Yr 1'!B2:B1111,'Bldgs &amp; Rooms'!B2)</f>
        <v>0</v>
      </c>
      <c r="C38" s="46">
        <f>SUMIFS('Components Yr 1'!D2:D1111,'Components Yr 1'!C2:C1111,A38,'Components Yr 1'!B2:B1111,'Bldgs &amp; Rooms'!B3)</f>
        <v>0</v>
      </c>
      <c r="D38" s="46">
        <f>SUMIFS('Components Yr 1'!D2:D1111,'Components Yr 1'!C2:C1111,A38,'Components Yr 1'!B2:B1111,'Bldgs &amp; Rooms'!B4)</f>
        <v>0</v>
      </c>
      <c r="E38" s="46">
        <f>SUMIFS('Components Yr 1'!D2:D1111,'Components Yr 1'!C2:C1111,A38,'Components Yr 1'!B2:B1111,'Bldgs &amp; Rooms'!B5)</f>
        <v>0</v>
      </c>
      <c r="F38" s="46">
        <f>SUMIFS('Components Yr 1'!D2:D1111,'Components Yr 1'!C2:C1111,A38,'Components Yr 1'!B2:B1111,'Bldgs &amp; Rooms'!B6)</f>
        <v>0</v>
      </c>
      <c r="G38" s="46">
        <f>SUMIFS('Components Yr 1'!D2:D1111,'Components Yr 1'!C2:C1111,A38,'Components Yr 1'!B2:B1111,'Bldgs &amp; Rooms'!B7)</f>
        <v>0</v>
      </c>
      <c r="H38" s="46">
        <f>SUMIFS('Components Yr 1'!D2:D1111,'Components Yr 1'!C2:C1111,A38,'Components Yr 1'!B2:B1111,'Bldgs &amp; Rooms'!B8)</f>
        <v>0</v>
      </c>
      <c r="I38" s="46">
        <f>SUMIFS('Components Yr 1'!D2:D1111,'Components Yr 1'!C2:C1111,A38,'Components Yr 1'!B2:B1111,'Bldgs &amp; Rooms'!B9)</f>
        <v>0</v>
      </c>
      <c r="J38" s="46">
        <f>SUMIFS('Components Yr 1'!D2:D1111,'Components Yr 1'!C2:C1111,A38,'Components Yr 1'!B2:B1111,'Bldgs &amp; Rooms'!B10)</f>
        <v>0</v>
      </c>
      <c r="K38" s="46">
        <f>SUMIFS('Components Yr 1'!D2:D1111,'Components Yr 1'!C2:C1111,A38,'Components Yr 1'!B2:B1111,'Bldgs &amp; Rooms'!B11)</f>
        <v>0</v>
      </c>
      <c r="L38" s="46">
        <f>SUMIFS('Components Yr 1'!D2:D1111,'Components Yr 1'!C2:C1111,A38,'Components Yr 1'!B2:B1111,'Bldgs &amp; Rooms'!B12)</f>
        <v>0</v>
      </c>
      <c r="M38" s="46">
        <f>SUMIFS('Components Yr 1'!D2:D1111,'Components Yr 1'!C2:C1111,A38,'Components Yr 1'!B2:B1111,'Bldgs &amp; Rooms'!B13)</f>
        <v>0</v>
      </c>
      <c r="N38" s="46">
        <f>SUMIFS('Components Yr 1'!D2:D1111,'Components Yr 1'!C2:C1111,A38,'Components Yr 1'!B2:B1111,'Bldgs &amp; Rooms'!B14)</f>
        <v>0</v>
      </c>
      <c r="O38" s="46">
        <f>SUMIFS('Components Yr 1'!D2:D1111,'Components Yr 1'!C2:C1111,A38,'Components Yr 1'!B2:B1111,'Bldgs &amp; Rooms'!B15)</f>
        <v>0</v>
      </c>
      <c r="P38" s="46">
        <f>SUMIFS('Components Yr 1'!D2:D1111,'Components Yr 1'!C2:C1111,A38,'Components Yr 1'!B2:B1111,'Bldgs &amp; Rooms'!B16)</f>
        <v>0</v>
      </c>
      <c r="Q38" s="46">
        <f>SUMIFS('Components Yr 1'!D2:D1111,'Components Yr 1'!C2:C1111,A38,'Components Yr 1'!B2:B1111,'Bldgs &amp; Rooms'!B17)</f>
        <v>0</v>
      </c>
      <c r="R38" s="46">
        <f>SUMIFS('Components Yr 1'!D2:D1111,'Components Yr 1'!C2:C1111,A38,'Components Yr 1'!B2:B1111,'Bldgs &amp; Rooms'!B18)</f>
        <v>0</v>
      </c>
      <c r="S38" s="46">
        <f>SUMIFS('Components Yr 1'!D2:D1111,'Components Yr 1'!C2:C1111,A38,'Components Yr 1'!B2:B1111,'Bldgs &amp; Rooms'!B19)</f>
        <v>0</v>
      </c>
      <c r="T38" s="46">
        <f>SUMIFS('Components Yr 1'!D2:D1111,'Components Yr 1'!C2:C1111,A38,'Components Yr 1'!B2:B1111,'Bldgs &amp; Rooms'!B20)</f>
        <v>0</v>
      </c>
      <c r="U38" s="46">
        <f>SUMIFS('Components Yr 1'!D2:D1111,'Components Yr 1'!C2:C1111,A38,'Components Yr 1'!B2:B1111,'Bldgs &amp; Rooms'!B21)</f>
        <v>0</v>
      </c>
      <c r="V38" s="46">
        <f>SUMIFS('Components Yr 1'!D2:D1111,'Components Yr 1'!C2:C1111,A38,'Components Yr 1'!B2:B1111,'Bldgs &amp; Rooms'!B22)</f>
        <v>0</v>
      </c>
      <c r="W38" s="46">
        <f>SUMIFS('Components Yr 1'!D2:D1111,'Components Yr 1'!C2:C1111,A38,'Components Yr 1'!B2:B1111,'Bldgs &amp; Rooms'!B23)</f>
        <v>0</v>
      </c>
      <c r="X38" s="46">
        <f>SUMIFS('Components Yr 1'!D2:D1111,'Components Yr 1'!C2:C1111,A38,'Components Yr 1'!B2:B1111,'Bldgs &amp; Rooms'!B24)</f>
        <v>0</v>
      </c>
      <c r="Y38" s="46">
        <f>SUMIFS('Components Yr 1'!D2:D1111,'Components Yr 1'!C2:C1111,A38,'Components Yr 1'!B2:B1111,'Bldgs &amp; Rooms'!B25)</f>
        <v>0</v>
      </c>
      <c r="Z38" s="46">
        <f>SUMIFS('Components Yr 1'!D2:D1111,'Components Yr 1'!C2:C1111,A38,'Components Yr 1'!B2:B1111,'Bldgs &amp; Rooms'!B26)</f>
        <v>0</v>
      </c>
      <c r="AA38" s="46">
        <f>SUMIFS('Components Yr 1'!D2:D1111,'Components Yr 1'!C2:C1111,A38,'Components Yr 1'!B2:B1111,'Bldgs &amp; Rooms'!B27)</f>
        <v>0</v>
      </c>
      <c r="AB38" s="46">
        <f>SUMIFS('Components Yr 1'!D2:D1111,'Components Yr 1'!C2:C1111,A38,'Components Yr 1'!B2:B1111,'Bldgs &amp; Rooms'!B28)</f>
        <v>0</v>
      </c>
      <c r="AC38" s="46">
        <f>SUMIFS('Components Yr 1'!D2:D1111,'Components Yr 1'!C2:C1111,A38,'Components Yr 1'!B2:B1111,'Bldgs &amp; Rooms'!B29)</f>
        <v>0</v>
      </c>
      <c r="AD38" s="46">
        <f>SUMIFS('Components Yr 1'!D2:D1111,'Components Yr 1'!C2:C1111,A38,'Components Yr 1'!B2:B1111,'Bldgs &amp; Rooms'!B30)</f>
        <v>0</v>
      </c>
      <c r="AE38" s="46">
        <f>SUMIFS('Components Yr 1'!D2:D1111,'Components Yr 1'!C2:C1111,A38,'Components Yr 1'!B2:B1111,'Bldgs &amp; Rooms'!B31)</f>
        <v>0</v>
      </c>
      <c r="AF38" s="47">
        <f t="shared" si="0"/>
        <v>0</v>
      </c>
    </row>
    <row r="39" spans="1:32" x14ac:dyDescent="0.25">
      <c r="A39" s="50" t="s">
        <v>140</v>
      </c>
      <c r="B39" s="51">
        <f t="shared" ref="B39:AF39" si="1">SUM(B2:B38)</f>
        <v>0</v>
      </c>
      <c r="C39" s="51">
        <f t="shared" si="1"/>
        <v>0</v>
      </c>
      <c r="D39" s="51">
        <f t="shared" si="1"/>
        <v>0</v>
      </c>
      <c r="E39" s="51">
        <f t="shared" si="1"/>
        <v>0</v>
      </c>
      <c r="F39" s="51">
        <f t="shared" si="1"/>
        <v>0</v>
      </c>
      <c r="G39" s="51">
        <f t="shared" si="1"/>
        <v>0</v>
      </c>
      <c r="H39" s="51">
        <f t="shared" si="1"/>
        <v>0</v>
      </c>
      <c r="I39" s="51">
        <f t="shared" si="1"/>
        <v>0</v>
      </c>
      <c r="J39" s="51">
        <f t="shared" si="1"/>
        <v>0</v>
      </c>
      <c r="K39" s="51">
        <f t="shared" si="1"/>
        <v>0</v>
      </c>
      <c r="L39" s="51">
        <f t="shared" si="1"/>
        <v>0</v>
      </c>
      <c r="M39" s="51">
        <f t="shared" si="1"/>
        <v>0</v>
      </c>
      <c r="N39" s="51">
        <f t="shared" si="1"/>
        <v>0</v>
      </c>
      <c r="O39" s="51">
        <f t="shared" si="1"/>
        <v>0</v>
      </c>
      <c r="P39" s="51">
        <f t="shared" si="1"/>
        <v>0</v>
      </c>
      <c r="Q39" s="51">
        <f t="shared" si="1"/>
        <v>0</v>
      </c>
      <c r="R39" s="51">
        <f t="shared" si="1"/>
        <v>0</v>
      </c>
      <c r="S39" s="51">
        <f t="shared" si="1"/>
        <v>0</v>
      </c>
      <c r="T39" s="51">
        <f t="shared" si="1"/>
        <v>0</v>
      </c>
      <c r="U39" s="51">
        <f t="shared" si="1"/>
        <v>0</v>
      </c>
      <c r="V39" s="51">
        <f t="shared" si="1"/>
        <v>0</v>
      </c>
      <c r="W39" s="51">
        <f t="shared" si="1"/>
        <v>0</v>
      </c>
      <c r="X39" s="51">
        <f t="shared" si="1"/>
        <v>0</v>
      </c>
      <c r="Y39" s="51">
        <f t="shared" si="1"/>
        <v>0</v>
      </c>
      <c r="Z39" s="51">
        <f t="shared" si="1"/>
        <v>0</v>
      </c>
      <c r="AA39" s="51">
        <f t="shared" si="1"/>
        <v>0</v>
      </c>
      <c r="AB39" s="51">
        <f t="shared" si="1"/>
        <v>0</v>
      </c>
      <c r="AC39" s="51">
        <f t="shared" si="1"/>
        <v>0</v>
      </c>
      <c r="AD39" s="51">
        <f t="shared" si="1"/>
        <v>0</v>
      </c>
      <c r="AE39" s="51">
        <f t="shared" si="1"/>
        <v>0</v>
      </c>
      <c r="AF39" s="51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3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52" customWidth="1"/>
    <col min="2" max="32" width="10" customWidth="1"/>
  </cols>
  <sheetData>
    <row r="1" spans="1:32" x14ac:dyDescent="0.25">
      <c r="A1" s="8" t="s">
        <v>2</v>
      </c>
      <c r="B1" s="22">
        <f>'Bldgs &amp; Rooms'!B2</f>
        <v>0</v>
      </c>
      <c r="C1" s="22">
        <f>'Bldgs &amp; Rooms'!B3</f>
        <v>0</v>
      </c>
      <c r="D1" s="22">
        <f>'Bldgs &amp; Rooms'!B4</f>
        <v>0</v>
      </c>
      <c r="E1" s="22">
        <f>'Bldgs &amp; Rooms'!B5</f>
        <v>0</v>
      </c>
      <c r="F1" s="22">
        <f>'Bldgs &amp; Rooms'!B6</f>
        <v>0</v>
      </c>
      <c r="G1" s="22">
        <f>'Bldgs &amp; Rooms'!B7</f>
        <v>0</v>
      </c>
      <c r="H1" s="22">
        <f>'Bldgs &amp; Rooms'!B8</f>
        <v>0</v>
      </c>
      <c r="I1" s="22">
        <f>'Bldgs &amp; Rooms'!B9</f>
        <v>0</v>
      </c>
      <c r="J1" s="22">
        <f>'Bldgs &amp; Rooms'!B10</f>
        <v>0</v>
      </c>
      <c r="K1" s="22">
        <f>'Bldgs &amp; Rooms'!B11</f>
        <v>0</v>
      </c>
      <c r="L1" s="22">
        <f>'Bldgs &amp; Rooms'!B12</f>
        <v>0</v>
      </c>
      <c r="M1" s="22">
        <f>'Bldgs &amp; Rooms'!B13</f>
        <v>0</v>
      </c>
      <c r="N1" s="22">
        <f>'Bldgs &amp; Rooms'!B14</f>
        <v>0</v>
      </c>
      <c r="O1" s="22">
        <f>'Bldgs &amp; Rooms'!B15</f>
        <v>0</v>
      </c>
      <c r="P1" s="22">
        <f>'Bldgs &amp; Rooms'!B16</f>
        <v>0</v>
      </c>
      <c r="Q1" s="22">
        <f>'Bldgs &amp; Rooms'!B17</f>
        <v>0</v>
      </c>
      <c r="R1" s="22">
        <f>'Bldgs &amp; Rooms'!B18</f>
        <v>0</v>
      </c>
      <c r="S1" s="22">
        <f>'Bldgs &amp; Rooms'!B19</f>
        <v>0</v>
      </c>
      <c r="T1" s="22">
        <f>'Bldgs &amp; Rooms'!B20</f>
        <v>0</v>
      </c>
      <c r="U1" s="22">
        <f>'Bldgs &amp; Rooms'!B21</f>
        <v>0</v>
      </c>
      <c r="V1" s="22">
        <f>'Bldgs &amp; Rooms'!B22</f>
        <v>0</v>
      </c>
      <c r="W1" s="22">
        <f>'Bldgs &amp; Rooms'!B23</f>
        <v>0</v>
      </c>
      <c r="X1" s="22">
        <f>'Bldgs &amp; Rooms'!B24</f>
        <v>0</v>
      </c>
      <c r="Y1" s="22">
        <f>'Bldgs &amp; Rooms'!B25</f>
        <v>0</v>
      </c>
      <c r="Z1" s="22">
        <f>'Bldgs &amp; Rooms'!B26</f>
        <v>0</v>
      </c>
      <c r="AA1" s="22">
        <f>'Bldgs &amp; Rooms'!B27</f>
        <v>0</v>
      </c>
      <c r="AB1" s="22">
        <f>'Bldgs &amp; Rooms'!B28</f>
        <v>0</v>
      </c>
      <c r="AC1" s="22">
        <f>'Bldgs &amp; Rooms'!B29</f>
        <v>0</v>
      </c>
      <c r="AD1" s="22">
        <f>'Bldgs &amp; Rooms'!B30</f>
        <v>0</v>
      </c>
      <c r="AE1" s="22">
        <f>'Bldgs &amp; Rooms'!B31</f>
        <v>0</v>
      </c>
      <c r="AF1" s="8" t="s">
        <v>139</v>
      </c>
    </row>
    <row r="2" spans="1:32" x14ac:dyDescent="0.25">
      <c r="A2" s="45" t="s">
        <v>15</v>
      </c>
      <c r="B2" s="46">
        <f>SUMIFS('Components Yr 2'!D2:D1111,'Components Yr 2'!C2:C1111,A2,'Components Yr 2'!B2:B1111,'Bldgs &amp; Rooms'!B2)</f>
        <v>0</v>
      </c>
      <c r="C2" s="46">
        <f>SUMIFS('Components Yr 2'!D2:D1111,'Components Yr 2'!C2:C1111,A2,'Components Yr 2'!B2:B1111,'Bldgs &amp; Rooms'!B3)</f>
        <v>0</v>
      </c>
      <c r="D2" s="46">
        <f>SUMIFS('Components Yr 2'!D2:D1111,'Components Yr 2'!C2:C1111,A2,'Components Yr 2'!B2:B1111,'Bldgs &amp; Rooms'!B4)</f>
        <v>0</v>
      </c>
      <c r="E2" s="46">
        <f>SUMIFS('Components Yr 2'!D2:D1111,'Components Yr 2'!C2:C1111,A2,'Components Yr 2'!B2:B1111,'Bldgs &amp; Rooms'!B5)</f>
        <v>0</v>
      </c>
      <c r="F2" s="46">
        <f>SUMIFS('Components Yr 2'!D2:D1111,'Components Yr 2'!C2:C1111,A2,'Components Yr 2'!B2:B1111,'Bldgs &amp; Rooms'!B6)</f>
        <v>0</v>
      </c>
      <c r="G2" s="46">
        <f>SUMIFS('Components Yr 2'!D2:D1111,'Components Yr 2'!C2:C1111,A2,'Components Yr 2'!B2:B1111,'Bldgs &amp; Rooms'!B7)</f>
        <v>0</v>
      </c>
      <c r="H2" s="46">
        <f>SUMIFS('Components Yr 2'!D2:D1111,'Components Yr 2'!C2:C1111,A2,'Components Yr 2'!B2:B1111,'Bldgs &amp; Rooms'!B8)</f>
        <v>0</v>
      </c>
      <c r="I2" s="46">
        <f>SUMIFS('Components Yr 2'!D2:D1111,'Components Yr 2'!C2:C1111,A2,'Components Yr 2'!B2:B1111,'Bldgs &amp; Rooms'!B9)</f>
        <v>0</v>
      </c>
      <c r="J2" s="46">
        <f>SUMIFS('Components Yr 2'!D2:D1111,'Components Yr 2'!C2:C1111,A2,'Components Yr 2'!B2:B1111,'Bldgs &amp; Rooms'!B10)</f>
        <v>0</v>
      </c>
      <c r="K2" s="46">
        <f>SUMIFS('Components Yr 2'!D2:D1111,'Components Yr 2'!C2:C1111,A2,'Components Yr 2'!B2:B1111,'Bldgs &amp; Rooms'!B11)</f>
        <v>0</v>
      </c>
      <c r="L2" s="46">
        <f>SUMIFS('Components Yr 2'!D2:D1111,'Components Yr 2'!C2:C1111,A2,'Components Yr 2'!B2:B1111,'Bldgs &amp; Rooms'!B12)</f>
        <v>0</v>
      </c>
      <c r="M2" s="46">
        <f>SUMIFS('Components Yr 2'!D2:D1111,'Components Yr 2'!C2:C1111,A2,'Components Yr 2'!B2:B1111,'Bldgs &amp; Rooms'!B13)</f>
        <v>0</v>
      </c>
      <c r="N2" s="46">
        <f>SUMIFS('Components Yr 2'!D2:D1111,'Components Yr 2'!C2:C1111,A2,'Components Yr 2'!B2:B1111,'Bldgs &amp; Rooms'!B14)</f>
        <v>0</v>
      </c>
      <c r="O2" s="46">
        <f>SUMIFS('Components Yr 2'!D2:D1111,'Components Yr 2'!C2:C1111,A2,'Components Yr 2'!B2:B1111,'Bldgs &amp; Rooms'!B15)</f>
        <v>0</v>
      </c>
      <c r="P2" s="46">
        <f>SUMIFS('Components Yr 2'!D2:D1111,'Components Yr 2'!C2:C1111,A2,'Components Yr 2'!B2:B1111,'Bldgs &amp; Rooms'!B16)</f>
        <v>0</v>
      </c>
      <c r="Q2" s="46">
        <f>SUMIFS('Components Yr 2'!D2:D1111,'Components Yr 2'!C2:C1111,A2,'Components Yr 2'!B2:B1111,'Bldgs &amp; Rooms'!B17)</f>
        <v>0</v>
      </c>
      <c r="R2" s="46">
        <f>SUMIFS('Components Yr 2'!D2:D1111,'Components Yr 2'!C2:C1111,A2,'Components Yr 2'!B2:B1111,'Bldgs &amp; Rooms'!B18)</f>
        <v>0</v>
      </c>
      <c r="S2" s="46">
        <f>SUMIFS('Components Yr 2'!D2:D1111,'Components Yr 2'!C2:C1111,A2,'Components Yr 2'!B2:B1111,'Bldgs &amp; Rooms'!B19)</f>
        <v>0</v>
      </c>
      <c r="T2" s="46">
        <f>SUMIFS('Components Yr 2'!D2:D1111,'Components Yr 2'!C2:C1111,A2,'Components Yr 2'!B2:B1111,'Bldgs &amp; Rooms'!B20)</f>
        <v>0</v>
      </c>
      <c r="U2" s="46">
        <f>SUMIFS('Components Yr 2'!D2:D1111,'Components Yr 2'!C2:C1111,A2,'Components Yr 2'!B2:B1111,'Bldgs &amp; Rooms'!B21)</f>
        <v>0</v>
      </c>
      <c r="V2" s="46">
        <f>SUMIFS('Components Yr 2'!D2:D1111,'Components Yr 2'!C2:C1111,A2,'Components Yr 2'!B2:B1111,'Bldgs &amp; Rooms'!B22)</f>
        <v>0</v>
      </c>
      <c r="W2" s="46">
        <f>SUMIFS('Components Yr 2'!D2:D1111,'Components Yr 2'!C2:C1111,A2,'Components Yr 2'!B2:B1111,'Bldgs &amp; Rooms'!B23)</f>
        <v>0</v>
      </c>
      <c r="X2" s="46">
        <f>SUMIFS('Components Yr 2'!D2:D1111,'Components Yr 2'!C2:C1111,A2,'Components Yr 2'!B2:B1111,'Bldgs &amp; Rooms'!B24)</f>
        <v>0</v>
      </c>
      <c r="Y2" s="46">
        <f>SUMIFS('Components Yr 2'!D2:D1111,'Components Yr 2'!C2:C1111,A2,'Components Yr 2'!B2:B1111,'Bldgs &amp; Rooms'!B25)</f>
        <v>0</v>
      </c>
      <c r="Z2" s="46">
        <f>SUMIFS('Components Yr 2'!D2:D1111,'Components Yr 2'!C2:C1111,A2,'Components Yr 2'!B2:B1111,'Bldgs &amp; Rooms'!B26)</f>
        <v>0</v>
      </c>
      <c r="AA2" s="46">
        <f>SUMIFS('Components Yr 2'!D2:D1111,'Components Yr 2'!C2:C1111,A2,'Components Yr 2'!B2:B1111,'Bldgs &amp; Rooms'!B27)</f>
        <v>0</v>
      </c>
      <c r="AB2" s="46">
        <f>SUMIFS('Components Yr 2'!D2:D1111,'Components Yr 2'!C2:C1111,A2,'Components Yr 2'!B2:B1111,'Bldgs &amp; Rooms'!B28)</f>
        <v>0</v>
      </c>
      <c r="AC2" s="46">
        <f>SUMIFS('Components Yr 2'!D2:D1111,'Components Yr 2'!C2:C1111,A2,'Components Yr 2'!B2:B1111,'Bldgs &amp; Rooms'!B29)</f>
        <v>0</v>
      </c>
      <c r="AD2" s="46">
        <f>SUMIFS('Components Yr 2'!D2:D1111,'Components Yr 2'!C2:C1111,A2,'Components Yr 2'!B2:B1111,'Bldgs &amp; Rooms'!B30)</f>
        <v>0</v>
      </c>
      <c r="AE2" s="46">
        <f>SUMIFS('Components Yr 2'!D2:D1111,'Components Yr 2'!C2:C1111,A2,'Components Yr 2'!B2:B1111,'Bldgs &amp; Rooms'!B31)</f>
        <v>0</v>
      </c>
      <c r="AF2" s="47">
        <f t="shared" ref="AF2:AF38" si="0">SUM(B2:AE2)</f>
        <v>0</v>
      </c>
    </row>
    <row r="3" spans="1:32" x14ac:dyDescent="0.25">
      <c r="A3" s="48" t="s">
        <v>16</v>
      </c>
      <c r="B3" s="49">
        <f>SUMIFS('Components Yr 2'!D2:D1111,'Components Yr 2'!C2:C1111,A3,'Components Yr 2'!B2:B1111,'Bldgs &amp; Rooms'!B2)</f>
        <v>0</v>
      </c>
      <c r="C3" s="49">
        <f>SUMIFS('Components Yr 2'!D2:D1111,'Components Yr 2'!C2:C1111,A3,'Components Yr 2'!B2:B1111,'Bldgs &amp; Rooms'!B3)</f>
        <v>0</v>
      </c>
      <c r="D3" s="49">
        <f>SUMIFS('Components Yr 2'!D2:D1111,'Components Yr 2'!C2:C1111,A3,'Components Yr 2'!B2:B1111,'Bldgs &amp; Rooms'!B4)</f>
        <v>0</v>
      </c>
      <c r="E3" s="49">
        <f>SUMIFS('Components Yr 2'!D2:D1111,'Components Yr 2'!C2:C1111,A3,'Components Yr 2'!B2:B1111,'Bldgs &amp; Rooms'!B5)</f>
        <v>0</v>
      </c>
      <c r="F3" s="49">
        <f>SUMIFS('Components Yr 2'!D2:D1111,'Components Yr 2'!C2:C1111,A3,'Components Yr 2'!B2:B1111,'Bldgs &amp; Rooms'!B6)</f>
        <v>0</v>
      </c>
      <c r="G3" s="49">
        <f>SUMIFS('Components Yr 2'!D2:D1111,'Components Yr 2'!C2:C1111,A3,'Components Yr 2'!B2:B1111,'Bldgs &amp; Rooms'!B7)</f>
        <v>0</v>
      </c>
      <c r="H3" s="49">
        <f>SUMIFS('Components Yr 2'!D2:D1111,'Components Yr 2'!C2:C1111,A3,'Components Yr 2'!B2:B1111,'Bldgs &amp; Rooms'!B8)</f>
        <v>0</v>
      </c>
      <c r="I3" s="49">
        <f>SUMIFS('Components Yr 2'!D2:D1111,'Components Yr 2'!C2:C1111,A3,'Components Yr 2'!B2:B1111,'Bldgs &amp; Rooms'!B9)</f>
        <v>0</v>
      </c>
      <c r="J3" s="49">
        <f>SUMIFS('Components Yr 2'!D2:D1111,'Components Yr 2'!C2:C1111,A3,'Components Yr 2'!B2:B1111,'Bldgs &amp; Rooms'!B10)</f>
        <v>0</v>
      </c>
      <c r="K3" s="49">
        <f>SUMIFS('Components Yr 2'!D2:D1111,'Components Yr 2'!C2:C1111,A3,'Components Yr 2'!B2:B1111,'Bldgs &amp; Rooms'!B11)</f>
        <v>0</v>
      </c>
      <c r="L3" s="49">
        <f>SUMIFS('Components Yr 2'!D2:D1111,'Components Yr 2'!C2:C1111,A3,'Components Yr 2'!B2:B1111,'Bldgs &amp; Rooms'!B12)</f>
        <v>0</v>
      </c>
      <c r="M3" s="49">
        <f>SUMIFS('Components Yr 2'!D2:D1111,'Components Yr 2'!C2:C1111,A3,'Components Yr 2'!B2:B1111,'Bldgs &amp; Rooms'!B13)</f>
        <v>0</v>
      </c>
      <c r="N3" s="49">
        <f>SUMIFS('Components Yr 2'!D2:D1111,'Components Yr 2'!C2:C1111,A3,'Components Yr 2'!B2:B1111,'Bldgs &amp; Rooms'!B14)</f>
        <v>0</v>
      </c>
      <c r="O3" s="49">
        <f>SUMIFS('Components Yr 2'!D2:D1111,'Components Yr 2'!C2:C1111,A3,'Components Yr 2'!B2:B1111,'Bldgs &amp; Rooms'!B15)</f>
        <v>0</v>
      </c>
      <c r="P3" s="49">
        <f>SUMIFS('Components Yr 2'!D2:D1111,'Components Yr 2'!C2:C1111,A3,'Components Yr 2'!B2:B1111,'Bldgs &amp; Rooms'!B16)</f>
        <v>0</v>
      </c>
      <c r="Q3" s="49">
        <f>SUMIFS('Components Yr 2'!D2:D1111,'Components Yr 2'!C2:C1111,A3,'Components Yr 2'!B2:B1111,'Bldgs &amp; Rooms'!B17)</f>
        <v>0</v>
      </c>
      <c r="R3" s="49">
        <f>SUMIFS('Components Yr 2'!D2:D1111,'Components Yr 2'!C2:C1111,A3,'Components Yr 2'!B2:B1111,'Bldgs &amp; Rooms'!B18)</f>
        <v>0</v>
      </c>
      <c r="S3" s="49">
        <f>SUMIFS('Components Yr 2'!D2:D1111,'Components Yr 2'!C2:C1111,A3,'Components Yr 2'!B2:B1111,'Bldgs &amp; Rooms'!B19)</f>
        <v>0</v>
      </c>
      <c r="T3" s="49">
        <f>SUMIFS('Components Yr 2'!D2:D1111,'Components Yr 2'!C2:C1111,A3,'Components Yr 2'!B2:B1111,'Bldgs &amp; Rooms'!B20)</f>
        <v>0</v>
      </c>
      <c r="U3" s="49">
        <f>SUMIFS('Components Yr 2'!D2:D1111,'Components Yr 2'!C2:C1111,A3,'Components Yr 2'!B2:B1111,'Bldgs &amp; Rooms'!B21)</f>
        <v>0</v>
      </c>
      <c r="V3" s="49">
        <f>SUMIFS('Components Yr 2'!D2:D1111,'Components Yr 2'!C2:C1111,A3,'Components Yr 2'!B2:B1111,'Bldgs &amp; Rooms'!B22)</f>
        <v>0</v>
      </c>
      <c r="W3" s="49">
        <f>SUMIFS('Components Yr 2'!D2:D1111,'Components Yr 2'!C2:C1111,A3,'Components Yr 2'!B2:B1111,'Bldgs &amp; Rooms'!B23)</f>
        <v>0</v>
      </c>
      <c r="X3" s="49">
        <f>SUMIFS('Components Yr 2'!D2:D1111,'Components Yr 2'!C2:C1111,A3,'Components Yr 2'!B2:B1111,'Bldgs &amp; Rooms'!B24)</f>
        <v>0</v>
      </c>
      <c r="Y3" s="49">
        <f>SUMIFS('Components Yr 2'!D2:D1111,'Components Yr 2'!C2:C1111,A3,'Components Yr 2'!B2:B1111,'Bldgs &amp; Rooms'!B25)</f>
        <v>0</v>
      </c>
      <c r="Z3" s="49">
        <f>SUMIFS('Components Yr 2'!D2:D1111,'Components Yr 2'!C2:C1111,A3,'Components Yr 2'!B2:B1111,'Bldgs &amp; Rooms'!B26)</f>
        <v>0</v>
      </c>
      <c r="AA3" s="49">
        <f>SUMIFS('Components Yr 2'!D2:D1111,'Components Yr 2'!C2:C1111,A3,'Components Yr 2'!B2:B1111,'Bldgs &amp; Rooms'!B27)</f>
        <v>0</v>
      </c>
      <c r="AB3" s="49">
        <f>SUMIFS('Components Yr 2'!D2:D1111,'Components Yr 2'!C2:C1111,A3,'Components Yr 2'!B2:B1111,'Bldgs &amp; Rooms'!B28)</f>
        <v>0</v>
      </c>
      <c r="AC3" s="49">
        <f>SUMIFS('Components Yr 2'!D2:D1111,'Components Yr 2'!C2:C1111,A3,'Components Yr 2'!B2:B1111,'Bldgs &amp; Rooms'!B29)</f>
        <v>0</v>
      </c>
      <c r="AD3" s="49">
        <f>SUMIFS('Components Yr 2'!D2:D1111,'Components Yr 2'!C2:C1111,A3,'Components Yr 2'!B2:B1111,'Bldgs &amp; Rooms'!B30)</f>
        <v>0</v>
      </c>
      <c r="AE3" s="49">
        <f>SUMIFS('Components Yr 2'!D2:D1111,'Components Yr 2'!C2:C1111,A3,'Components Yr 2'!B2:B1111,'Bldgs &amp; Rooms'!B31)</f>
        <v>0</v>
      </c>
      <c r="AF3" s="47">
        <f t="shared" si="0"/>
        <v>0</v>
      </c>
    </row>
    <row r="4" spans="1:32" x14ac:dyDescent="0.25">
      <c r="A4" s="45" t="s">
        <v>17</v>
      </c>
      <c r="B4" s="46">
        <f>SUMIFS('Components Yr 2'!D2:D1111,'Components Yr 2'!C2:C1111,A4,'Components Yr 2'!B2:B1111,'Bldgs &amp; Rooms'!B2)</f>
        <v>0</v>
      </c>
      <c r="C4" s="46">
        <f>SUMIFS('Components Yr 2'!D2:D1111,'Components Yr 2'!C2:C1111,A4,'Components Yr 2'!B2:B1111,'Bldgs &amp; Rooms'!B3)</f>
        <v>0</v>
      </c>
      <c r="D4" s="46">
        <f>SUMIFS('Components Yr 2'!D2:D1111,'Components Yr 2'!C2:C1111,A4,'Components Yr 2'!B2:B1111,'Bldgs &amp; Rooms'!B4)</f>
        <v>0</v>
      </c>
      <c r="E4" s="46">
        <f>SUMIFS('Components Yr 2'!D2:D1111,'Components Yr 2'!C2:C1111,A4,'Components Yr 2'!B2:B1111,'Bldgs &amp; Rooms'!B5)</f>
        <v>0</v>
      </c>
      <c r="F4" s="46">
        <f>SUMIFS('Components Yr 2'!D2:D1111,'Components Yr 2'!C2:C1111,A4,'Components Yr 2'!B2:B1111,'Bldgs &amp; Rooms'!B6)</f>
        <v>0</v>
      </c>
      <c r="G4" s="46">
        <f>SUMIFS('Components Yr 2'!D2:D1111,'Components Yr 2'!C2:C1111,A4,'Components Yr 2'!B2:B1111,'Bldgs &amp; Rooms'!B7)</f>
        <v>0</v>
      </c>
      <c r="H4" s="46">
        <f>SUMIFS('Components Yr 2'!D2:D1111,'Components Yr 2'!C2:C1111,A4,'Components Yr 2'!B2:B1111,'Bldgs &amp; Rooms'!B8)</f>
        <v>0</v>
      </c>
      <c r="I4" s="46">
        <f>SUMIFS('Components Yr 2'!D2:D1111,'Components Yr 2'!C2:C1111,A4,'Components Yr 2'!B2:B1111,'Bldgs &amp; Rooms'!B9)</f>
        <v>0</v>
      </c>
      <c r="J4" s="46">
        <f>SUMIFS('Components Yr 2'!D2:D1111,'Components Yr 2'!C2:C1111,A4,'Components Yr 2'!B2:B1111,'Bldgs &amp; Rooms'!B10)</f>
        <v>0</v>
      </c>
      <c r="K4" s="46">
        <f>SUMIFS('Components Yr 2'!D2:D1111,'Components Yr 2'!C2:C1111,A4,'Components Yr 2'!B2:B1111,'Bldgs &amp; Rooms'!B11)</f>
        <v>0</v>
      </c>
      <c r="L4" s="46">
        <f>SUMIFS('Components Yr 2'!D2:D1111,'Components Yr 2'!C2:C1111,A4,'Components Yr 2'!B2:B1111,'Bldgs &amp; Rooms'!B12)</f>
        <v>0</v>
      </c>
      <c r="M4" s="46">
        <f>SUMIFS('Components Yr 2'!D2:D1111,'Components Yr 2'!C2:C1111,A4,'Components Yr 2'!B2:B1111,'Bldgs &amp; Rooms'!B13)</f>
        <v>0</v>
      </c>
      <c r="N4" s="46">
        <f>SUMIFS('Components Yr 2'!D2:D1111,'Components Yr 2'!C2:C1111,A4,'Components Yr 2'!B2:B1111,'Bldgs &amp; Rooms'!B14)</f>
        <v>0</v>
      </c>
      <c r="O4" s="46">
        <f>SUMIFS('Components Yr 2'!D2:D1111,'Components Yr 2'!C2:C1111,A4,'Components Yr 2'!B2:B1111,'Bldgs &amp; Rooms'!B15)</f>
        <v>0</v>
      </c>
      <c r="P4" s="46">
        <f>SUMIFS('Components Yr 2'!D2:D1111,'Components Yr 2'!C2:C1111,A4,'Components Yr 2'!B2:B1111,'Bldgs &amp; Rooms'!B16)</f>
        <v>0</v>
      </c>
      <c r="Q4" s="46">
        <f>SUMIFS('Components Yr 2'!D2:D1111,'Components Yr 2'!C2:C1111,A4,'Components Yr 2'!B2:B1111,'Bldgs &amp; Rooms'!B17)</f>
        <v>0</v>
      </c>
      <c r="R4" s="46">
        <f>SUMIFS('Components Yr 2'!D2:D1111,'Components Yr 2'!C2:C1111,A4,'Components Yr 2'!B2:B1111,'Bldgs &amp; Rooms'!B18)</f>
        <v>0</v>
      </c>
      <c r="S4" s="46">
        <f>SUMIFS('Components Yr 2'!D2:D1111,'Components Yr 2'!C2:C1111,A4,'Components Yr 2'!B2:B1111,'Bldgs &amp; Rooms'!B19)</f>
        <v>0</v>
      </c>
      <c r="T4" s="46">
        <f>SUMIFS('Components Yr 2'!D2:D1111,'Components Yr 2'!C2:C1111,A4,'Components Yr 2'!B2:B1111,'Bldgs &amp; Rooms'!B20)</f>
        <v>0</v>
      </c>
      <c r="U4" s="46">
        <f>SUMIFS('Components Yr 2'!D2:D1111,'Components Yr 2'!C2:C1111,A4,'Components Yr 2'!B2:B1111,'Bldgs &amp; Rooms'!B21)</f>
        <v>0</v>
      </c>
      <c r="V4" s="46">
        <f>SUMIFS('Components Yr 2'!D2:D1111,'Components Yr 2'!C2:C1111,A4,'Components Yr 2'!B2:B1111,'Bldgs &amp; Rooms'!B22)</f>
        <v>0</v>
      </c>
      <c r="W4" s="46">
        <f>SUMIFS('Components Yr 2'!D2:D1111,'Components Yr 2'!C2:C1111,A4,'Components Yr 2'!B2:B1111,'Bldgs &amp; Rooms'!B23)</f>
        <v>0</v>
      </c>
      <c r="X4" s="46">
        <f>SUMIFS('Components Yr 2'!D2:D1111,'Components Yr 2'!C2:C1111,A4,'Components Yr 2'!B2:B1111,'Bldgs &amp; Rooms'!B24)</f>
        <v>0</v>
      </c>
      <c r="Y4" s="46">
        <f>SUMIFS('Components Yr 2'!D2:D1111,'Components Yr 2'!C2:C1111,A4,'Components Yr 2'!B2:B1111,'Bldgs &amp; Rooms'!B25)</f>
        <v>0</v>
      </c>
      <c r="Z4" s="46">
        <f>SUMIFS('Components Yr 2'!D2:D1111,'Components Yr 2'!C2:C1111,A4,'Components Yr 2'!B2:B1111,'Bldgs &amp; Rooms'!B26)</f>
        <v>0</v>
      </c>
      <c r="AA4" s="46">
        <f>SUMIFS('Components Yr 2'!D2:D1111,'Components Yr 2'!C2:C1111,A4,'Components Yr 2'!B2:B1111,'Bldgs &amp; Rooms'!B27)</f>
        <v>0</v>
      </c>
      <c r="AB4" s="46">
        <f>SUMIFS('Components Yr 2'!D2:D1111,'Components Yr 2'!C2:C1111,A4,'Components Yr 2'!B2:B1111,'Bldgs &amp; Rooms'!B28)</f>
        <v>0</v>
      </c>
      <c r="AC4" s="46">
        <f>SUMIFS('Components Yr 2'!D2:D1111,'Components Yr 2'!C2:C1111,A4,'Components Yr 2'!B2:B1111,'Bldgs &amp; Rooms'!B29)</f>
        <v>0</v>
      </c>
      <c r="AD4" s="46">
        <f>SUMIFS('Components Yr 2'!D2:D1111,'Components Yr 2'!C2:C1111,A4,'Components Yr 2'!B2:B1111,'Bldgs &amp; Rooms'!B30)</f>
        <v>0</v>
      </c>
      <c r="AE4" s="46">
        <f>SUMIFS('Components Yr 2'!D2:D1111,'Components Yr 2'!C2:C1111,A4,'Components Yr 2'!B2:B1111,'Bldgs &amp; Rooms'!B31)</f>
        <v>0</v>
      </c>
      <c r="AF4" s="47">
        <f t="shared" si="0"/>
        <v>0</v>
      </c>
    </row>
    <row r="5" spans="1:32" x14ac:dyDescent="0.25">
      <c r="A5" s="48" t="s">
        <v>18</v>
      </c>
      <c r="B5" s="49">
        <f>SUMIFS('Components Yr 2'!D2:D1111,'Components Yr 2'!C2:C1111,A5,'Components Yr 2'!B2:B1111,'Bldgs &amp; Rooms'!B2)</f>
        <v>0</v>
      </c>
      <c r="C5" s="49">
        <f>SUMIFS('Components Yr 2'!D2:D1111,'Components Yr 2'!C2:C1111,A5,'Components Yr 2'!B2:B1111,'Bldgs &amp; Rooms'!B3)</f>
        <v>0</v>
      </c>
      <c r="D5" s="49">
        <f>SUMIFS('Components Yr 2'!D2:D1111,'Components Yr 2'!C2:C1111,A5,'Components Yr 2'!B2:B1111,'Bldgs &amp; Rooms'!B4)</f>
        <v>0</v>
      </c>
      <c r="E5" s="49">
        <f>SUMIFS('Components Yr 2'!D2:D1111,'Components Yr 2'!C2:C1111,A5,'Components Yr 2'!B2:B1111,'Bldgs &amp; Rooms'!B5)</f>
        <v>0</v>
      </c>
      <c r="F5" s="49">
        <f>SUMIFS('Components Yr 2'!D2:D1111,'Components Yr 2'!C2:C1111,A5,'Components Yr 2'!B2:B1111,'Bldgs &amp; Rooms'!B6)</f>
        <v>0</v>
      </c>
      <c r="G5" s="49">
        <f>SUMIFS('Components Yr 2'!D2:D1111,'Components Yr 2'!C2:C1111,A5,'Components Yr 2'!B2:B1111,'Bldgs &amp; Rooms'!B7)</f>
        <v>0</v>
      </c>
      <c r="H5" s="49">
        <f>SUMIFS('Components Yr 2'!D2:D1111,'Components Yr 2'!C2:C1111,A5,'Components Yr 2'!B2:B1111,'Bldgs &amp; Rooms'!B8)</f>
        <v>0</v>
      </c>
      <c r="I5" s="49">
        <f>SUMIFS('Components Yr 2'!D2:D1111,'Components Yr 2'!C2:C1111,A5,'Components Yr 2'!B2:B1111,'Bldgs &amp; Rooms'!B9)</f>
        <v>0</v>
      </c>
      <c r="J5" s="49">
        <f>SUMIFS('Components Yr 2'!D2:D1111,'Components Yr 2'!C2:C1111,A5,'Components Yr 2'!B2:B1111,'Bldgs &amp; Rooms'!B10)</f>
        <v>0</v>
      </c>
      <c r="K5" s="49">
        <f>SUMIFS('Components Yr 2'!D2:D1111,'Components Yr 2'!C2:C1111,A5,'Components Yr 2'!B2:B1111,'Bldgs &amp; Rooms'!B11)</f>
        <v>0</v>
      </c>
      <c r="L5" s="49">
        <f>SUMIFS('Components Yr 2'!D2:D1111,'Components Yr 2'!C2:C1111,A5,'Components Yr 2'!B2:B1111,'Bldgs &amp; Rooms'!B12)</f>
        <v>0</v>
      </c>
      <c r="M5" s="49">
        <f>SUMIFS('Components Yr 2'!D2:D1111,'Components Yr 2'!C2:C1111,A5,'Components Yr 2'!B2:B1111,'Bldgs &amp; Rooms'!B13)</f>
        <v>0</v>
      </c>
      <c r="N5" s="49">
        <f>SUMIFS('Components Yr 2'!D2:D1111,'Components Yr 2'!C2:C1111,A5,'Components Yr 2'!B2:B1111,'Bldgs &amp; Rooms'!B14)</f>
        <v>0</v>
      </c>
      <c r="O5" s="49">
        <f>SUMIFS('Components Yr 2'!D2:D1111,'Components Yr 2'!C2:C1111,A5,'Components Yr 2'!B2:B1111,'Bldgs &amp; Rooms'!B15)</f>
        <v>0</v>
      </c>
      <c r="P5" s="49">
        <f>SUMIFS('Components Yr 2'!D2:D1111,'Components Yr 2'!C2:C1111,A5,'Components Yr 2'!B2:B1111,'Bldgs &amp; Rooms'!B16)</f>
        <v>0</v>
      </c>
      <c r="Q5" s="49">
        <f>SUMIFS('Components Yr 2'!D2:D1111,'Components Yr 2'!C2:C1111,A5,'Components Yr 2'!B2:B1111,'Bldgs &amp; Rooms'!B17)</f>
        <v>0</v>
      </c>
      <c r="R5" s="49">
        <f>SUMIFS('Components Yr 2'!D2:D1111,'Components Yr 2'!C2:C1111,A5,'Components Yr 2'!B2:B1111,'Bldgs &amp; Rooms'!B18)</f>
        <v>0</v>
      </c>
      <c r="S5" s="49">
        <f>SUMIFS('Components Yr 2'!D2:D1111,'Components Yr 2'!C2:C1111,A5,'Components Yr 2'!B2:B1111,'Bldgs &amp; Rooms'!B19)</f>
        <v>0</v>
      </c>
      <c r="T5" s="49">
        <f>SUMIFS('Components Yr 2'!D2:D1111,'Components Yr 2'!C2:C1111,A5,'Components Yr 2'!B2:B1111,'Bldgs &amp; Rooms'!B20)</f>
        <v>0</v>
      </c>
      <c r="U5" s="49">
        <f>SUMIFS('Components Yr 2'!D2:D1111,'Components Yr 2'!C2:C1111,A5,'Components Yr 2'!B2:B1111,'Bldgs &amp; Rooms'!B21)</f>
        <v>0</v>
      </c>
      <c r="V5" s="49">
        <f>SUMIFS('Components Yr 2'!D2:D1111,'Components Yr 2'!C2:C1111,A5,'Components Yr 2'!B2:B1111,'Bldgs &amp; Rooms'!B22)</f>
        <v>0</v>
      </c>
      <c r="W5" s="49">
        <f>SUMIFS('Components Yr 2'!D2:D1111,'Components Yr 2'!C2:C1111,A5,'Components Yr 2'!B2:B1111,'Bldgs &amp; Rooms'!B23)</f>
        <v>0</v>
      </c>
      <c r="X5" s="49">
        <f>SUMIFS('Components Yr 2'!D2:D1111,'Components Yr 2'!C2:C1111,A5,'Components Yr 2'!B2:B1111,'Bldgs &amp; Rooms'!B24)</f>
        <v>0</v>
      </c>
      <c r="Y5" s="49">
        <f>SUMIFS('Components Yr 2'!D2:D1111,'Components Yr 2'!C2:C1111,A5,'Components Yr 2'!B2:B1111,'Bldgs &amp; Rooms'!B25)</f>
        <v>0</v>
      </c>
      <c r="Z5" s="49">
        <f>SUMIFS('Components Yr 2'!D2:D1111,'Components Yr 2'!C2:C1111,A5,'Components Yr 2'!B2:B1111,'Bldgs &amp; Rooms'!B26)</f>
        <v>0</v>
      </c>
      <c r="AA5" s="49">
        <f>SUMIFS('Components Yr 2'!D2:D1111,'Components Yr 2'!C2:C1111,A5,'Components Yr 2'!B2:B1111,'Bldgs &amp; Rooms'!B27)</f>
        <v>0</v>
      </c>
      <c r="AB5" s="49">
        <f>SUMIFS('Components Yr 2'!D2:D1111,'Components Yr 2'!C2:C1111,A5,'Components Yr 2'!B2:B1111,'Bldgs &amp; Rooms'!B28)</f>
        <v>0</v>
      </c>
      <c r="AC5" s="49">
        <f>SUMIFS('Components Yr 2'!D2:D1111,'Components Yr 2'!C2:C1111,A5,'Components Yr 2'!B2:B1111,'Bldgs &amp; Rooms'!B29)</f>
        <v>0</v>
      </c>
      <c r="AD5" s="49">
        <f>SUMIFS('Components Yr 2'!D2:D1111,'Components Yr 2'!C2:C1111,A5,'Components Yr 2'!B2:B1111,'Bldgs &amp; Rooms'!B30)</f>
        <v>0</v>
      </c>
      <c r="AE5" s="49">
        <f>SUMIFS('Components Yr 2'!D2:D1111,'Components Yr 2'!C2:C1111,A5,'Components Yr 2'!B2:B1111,'Bldgs &amp; Rooms'!B31)</f>
        <v>0</v>
      </c>
      <c r="AF5" s="47">
        <f t="shared" si="0"/>
        <v>0</v>
      </c>
    </row>
    <row r="6" spans="1:32" x14ac:dyDescent="0.25">
      <c r="A6" s="45" t="s">
        <v>19</v>
      </c>
      <c r="B6" s="46">
        <f>SUMIFS('Components Yr 2'!D2:D1111,'Components Yr 2'!C2:C1111,A6,'Components Yr 2'!B2:B1111,'Bldgs &amp; Rooms'!B2)</f>
        <v>0</v>
      </c>
      <c r="C6" s="46">
        <f>SUMIFS('Components Yr 2'!D2:D1111,'Components Yr 2'!C2:C1111,A6,'Components Yr 2'!B2:B1111,'Bldgs &amp; Rooms'!B3)</f>
        <v>0</v>
      </c>
      <c r="D6" s="46">
        <f>SUMIFS('Components Yr 2'!D2:D1111,'Components Yr 2'!C2:C1111,A6,'Components Yr 2'!B2:B1111,'Bldgs &amp; Rooms'!B4)</f>
        <v>0</v>
      </c>
      <c r="E6" s="46">
        <f>SUMIFS('Components Yr 2'!D2:D1111,'Components Yr 2'!C2:C1111,A6,'Components Yr 2'!B2:B1111,'Bldgs &amp; Rooms'!B5)</f>
        <v>0</v>
      </c>
      <c r="F6" s="46">
        <f>SUMIFS('Components Yr 2'!D2:D1111,'Components Yr 2'!C2:C1111,A6,'Components Yr 2'!B2:B1111,'Bldgs &amp; Rooms'!B6)</f>
        <v>0</v>
      </c>
      <c r="G6" s="46">
        <f>SUMIFS('Components Yr 2'!D2:D1111,'Components Yr 2'!C2:C1111,A6,'Components Yr 2'!B2:B1111,'Bldgs &amp; Rooms'!B7)</f>
        <v>0</v>
      </c>
      <c r="H6" s="46">
        <f>SUMIFS('Components Yr 2'!D2:D1111,'Components Yr 2'!C2:C1111,A6,'Components Yr 2'!B2:B1111,'Bldgs &amp; Rooms'!B8)</f>
        <v>0</v>
      </c>
      <c r="I6" s="46">
        <f>SUMIFS('Components Yr 2'!D2:D1111,'Components Yr 2'!C2:C1111,A6,'Components Yr 2'!B2:B1111,'Bldgs &amp; Rooms'!B9)</f>
        <v>0</v>
      </c>
      <c r="J6" s="46">
        <f>SUMIFS('Components Yr 2'!D2:D1111,'Components Yr 2'!C2:C1111,A6,'Components Yr 2'!B2:B1111,'Bldgs &amp; Rooms'!B10)</f>
        <v>0</v>
      </c>
      <c r="K6" s="46">
        <f>SUMIFS('Components Yr 2'!D2:D1111,'Components Yr 2'!C2:C1111,A6,'Components Yr 2'!B2:B1111,'Bldgs &amp; Rooms'!B11)</f>
        <v>0</v>
      </c>
      <c r="L6" s="46">
        <f>SUMIFS('Components Yr 2'!D2:D1111,'Components Yr 2'!C2:C1111,A6,'Components Yr 2'!B2:B1111,'Bldgs &amp; Rooms'!B12)</f>
        <v>0</v>
      </c>
      <c r="M6" s="46">
        <f>SUMIFS('Components Yr 2'!D2:D1111,'Components Yr 2'!C2:C1111,A6,'Components Yr 2'!B2:B1111,'Bldgs &amp; Rooms'!B13)</f>
        <v>0</v>
      </c>
      <c r="N6" s="46">
        <f>SUMIFS('Components Yr 2'!D2:D1111,'Components Yr 2'!C2:C1111,A6,'Components Yr 2'!B2:B1111,'Bldgs &amp; Rooms'!B14)</f>
        <v>0</v>
      </c>
      <c r="O6" s="46">
        <f>SUMIFS('Components Yr 2'!D2:D1111,'Components Yr 2'!C2:C1111,A6,'Components Yr 2'!B2:B1111,'Bldgs &amp; Rooms'!B15)</f>
        <v>0</v>
      </c>
      <c r="P6" s="46">
        <f>SUMIFS('Components Yr 2'!D2:D1111,'Components Yr 2'!C2:C1111,A6,'Components Yr 2'!B2:B1111,'Bldgs &amp; Rooms'!B16)</f>
        <v>0</v>
      </c>
      <c r="Q6" s="46">
        <f>SUMIFS('Components Yr 2'!D2:D1111,'Components Yr 2'!C2:C1111,A6,'Components Yr 2'!B2:B1111,'Bldgs &amp; Rooms'!B17)</f>
        <v>0</v>
      </c>
      <c r="R6" s="46">
        <f>SUMIFS('Components Yr 2'!D2:D1111,'Components Yr 2'!C2:C1111,A6,'Components Yr 2'!B2:B1111,'Bldgs &amp; Rooms'!B18)</f>
        <v>0</v>
      </c>
      <c r="S6" s="46">
        <f>SUMIFS('Components Yr 2'!D2:D1111,'Components Yr 2'!C2:C1111,A6,'Components Yr 2'!B2:B1111,'Bldgs &amp; Rooms'!B19)</f>
        <v>0</v>
      </c>
      <c r="T6" s="46">
        <f>SUMIFS('Components Yr 2'!D2:D1111,'Components Yr 2'!C2:C1111,A6,'Components Yr 2'!B2:B1111,'Bldgs &amp; Rooms'!B20)</f>
        <v>0</v>
      </c>
      <c r="U6" s="46">
        <f>SUMIFS('Components Yr 2'!D2:D1111,'Components Yr 2'!C2:C1111,A6,'Components Yr 2'!B2:B1111,'Bldgs &amp; Rooms'!B21)</f>
        <v>0</v>
      </c>
      <c r="V6" s="46">
        <f>SUMIFS('Components Yr 2'!D2:D1111,'Components Yr 2'!C2:C1111,A6,'Components Yr 2'!B2:B1111,'Bldgs &amp; Rooms'!B22)</f>
        <v>0</v>
      </c>
      <c r="W6" s="46">
        <f>SUMIFS('Components Yr 2'!D2:D1111,'Components Yr 2'!C2:C1111,A6,'Components Yr 2'!B2:B1111,'Bldgs &amp; Rooms'!B23)</f>
        <v>0</v>
      </c>
      <c r="X6" s="46">
        <f>SUMIFS('Components Yr 2'!D2:D1111,'Components Yr 2'!C2:C1111,A6,'Components Yr 2'!B2:B1111,'Bldgs &amp; Rooms'!B24)</f>
        <v>0</v>
      </c>
      <c r="Y6" s="46">
        <f>SUMIFS('Components Yr 2'!D2:D1111,'Components Yr 2'!C2:C1111,A6,'Components Yr 2'!B2:B1111,'Bldgs &amp; Rooms'!B25)</f>
        <v>0</v>
      </c>
      <c r="Z6" s="46">
        <f>SUMIFS('Components Yr 2'!D2:D1111,'Components Yr 2'!C2:C1111,A6,'Components Yr 2'!B2:B1111,'Bldgs &amp; Rooms'!B26)</f>
        <v>0</v>
      </c>
      <c r="AA6" s="46">
        <f>SUMIFS('Components Yr 2'!D2:D1111,'Components Yr 2'!C2:C1111,A6,'Components Yr 2'!B2:B1111,'Bldgs &amp; Rooms'!B27)</f>
        <v>0</v>
      </c>
      <c r="AB6" s="46">
        <f>SUMIFS('Components Yr 2'!D2:D1111,'Components Yr 2'!C2:C1111,A6,'Components Yr 2'!B2:B1111,'Bldgs &amp; Rooms'!B28)</f>
        <v>0</v>
      </c>
      <c r="AC6" s="46">
        <f>SUMIFS('Components Yr 2'!D2:D1111,'Components Yr 2'!C2:C1111,A6,'Components Yr 2'!B2:B1111,'Bldgs &amp; Rooms'!B29)</f>
        <v>0</v>
      </c>
      <c r="AD6" s="46">
        <f>SUMIFS('Components Yr 2'!D2:D1111,'Components Yr 2'!C2:C1111,A6,'Components Yr 2'!B2:B1111,'Bldgs &amp; Rooms'!B30)</f>
        <v>0</v>
      </c>
      <c r="AE6" s="46">
        <f>SUMIFS('Components Yr 2'!D2:D1111,'Components Yr 2'!C2:C1111,A6,'Components Yr 2'!B2:B1111,'Bldgs &amp; Rooms'!B31)</f>
        <v>0</v>
      </c>
      <c r="AF6" s="47">
        <f t="shared" si="0"/>
        <v>0</v>
      </c>
    </row>
    <row r="7" spans="1:32" x14ac:dyDescent="0.25">
      <c r="A7" s="48" t="s">
        <v>20</v>
      </c>
      <c r="B7" s="49">
        <f>SUMIFS('Components Yr 2'!D2:D1111,'Components Yr 2'!C2:C1111,A7,'Components Yr 2'!B2:B1111,'Bldgs &amp; Rooms'!B2)</f>
        <v>0</v>
      </c>
      <c r="C7" s="49">
        <f>SUMIFS('Components Yr 2'!D2:D1111,'Components Yr 2'!C2:C1111,A7,'Components Yr 2'!B2:B1111,'Bldgs &amp; Rooms'!B3)</f>
        <v>0</v>
      </c>
      <c r="D7" s="49">
        <f>SUMIFS('Components Yr 2'!D2:D1111,'Components Yr 2'!C2:C1111,A7,'Components Yr 2'!B2:B1111,'Bldgs &amp; Rooms'!B4)</f>
        <v>0</v>
      </c>
      <c r="E7" s="49">
        <f>SUMIFS('Components Yr 2'!D2:D1111,'Components Yr 2'!C2:C1111,A7,'Components Yr 2'!B2:B1111,'Bldgs &amp; Rooms'!B5)</f>
        <v>0</v>
      </c>
      <c r="F7" s="49">
        <f>SUMIFS('Components Yr 2'!D2:D1111,'Components Yr 2'!C2:C1111,A7,'Components Yr 2'!B2:B1111,'Bldgs &amp; Rooms'!B6)</f>
        <v>0</v>
      </c>
      <c r="G7" s="49">
        <f>SUMIFS('Components Yr 2'!D2:D1111,'Components Yr 2'!C2:C1111,A7,'Components Yr 2'!B2:B1111,'Bldgs &amp; Rooms'!B7)</f>
        <v>0</v>
      </c>
      <c r="H7" s="49">
        <f>SUMIFS('Components Yr 2'!D2:D1111,'Components Yr 2'!C2:C1111,A7,'Components Yr 2'!B2:B1111,'Bldgs &amp; Rooms'!B8)</f>
        <v>0</v>
      </c>
      <c r="I7" s="49">
        <f>SUMIFS('Components Yr 2'!D2:D1111,'Components Yr 2'!C2:C1111,A7,'Components Yr 2'!B2:B1111,'Bldgs &amp; Rooms'!B9)</f>
        <v>0</v>
      </c>
      <c r="J7" s="49">
        <f>SUMIFS('Components Yr 2'!D2:D1111,'Components Yr 2'!C2:C1111,A7,'Components Yr 2'!B2:B1111,'Bldgs &amp; Rooms'!B10)</f>
        <v>0</v>
      </c>
      <c r="K7" s="49">
        <f>SUMIFS('Components Yr 2'!D2:D1111,'Components Yr 2'!C2:C1111,A7,'Components Yr 2'!B2:B1111,'Bldgs &amp; Rooms'!B11)</f>
        <v>0</v>
      </c>
      <c r="L7" s="49">
        <f>SUMIFS('Components Yr 2'!D2:D1111,'Components Yr 2'!C2:C1111,A7,'Components Yr 2'!B2:B1111,'Bldgs &amp; Rooms'!B12)</f>
        <v>0</v>
      </c>
      <c r="M7" s="49">
        <f>SUMIFS('Components Yr 2'!D2:D1111,'Components Yr 2'!C2:C1111,A7,'Components Yr 2'!B2:B1111,'Bldgs &amp; Rooms'!B13)</f>
        <v>0</v>
      </c>
      <c r="N7" s="49">
        <f>SUMIFS('Components Yr 2'!D2:D1111,'Components Yr 2'!C2:C1111,A7,'Components Yr 2'!B2:B1111,'Bldgs &amp; Rooms'!B14)</f>
        <v>0</v>
      </c>
      <c r="O7" s="49">
        <f>SUMIFS('Components Yr 2'!D2:D1111,'Components Yr 2'!C2:C1111,A7,'Components Yr 2'!B2:B1111,'Bldgs &amp; Rooms'!B15)</f>
        <v>0</v>
      </c>
      <c r="P7" s="49">
        <f>SUMIFS('Components Yr 2'!D2:D1111,'Components Yr 2'!C2:C1111,A7,'Components Yr 2'!B2:B1111,'Bldgs &amp; Rooms'!B16)</f>
        <v>0</v>
      </c>
      <c r="Q7" s="49">
        <f>SUMIFS('Components Yr 2'!D2:D1111,'Components Yr 2'!C2:C1111,A7,'Components Yr 2'!B2:B1111,'Bldgs &amp; Rooms'!B17)</f>
        <v>0</v>
      </c>
      <c r="R7" s="49">
        <f>SUMIFS('Components Yr 2'!D2:D1111,'Components Yr 2'!C2:C1111,A7,'Components Yr 2'!B2:B1111,'Bldgs &amp; Rooms'!B18)</f>
        <v>0</v>
      </c>
      <c r="S7" s="49">
        <f>SUMIFS('Components Yr 2'!D2:D1111,'Components Yr 2'!C2:C1111,A7,'Components Yr 2'!B2:B1111,'Bldgs &amp; Rooms'!B19)</f>
        <v>0</v>
      </c>
      <c r="T7" s="49">
        <f>SUMIFS('Components Yr 2'!D2:D1111,'Components Yr 2'!C2:C1111,A7,'Components Yr 2'!B2:B1111,'Bldgs &amp; Rooms'!B20)</f>
        <v>0</v>
      </c>
      <c r="U7" s="49">
        <f>SUMIFS('Components Yr 2'!D2:D1111,'Components Yr 2'!C2:C1111,A7,'Components Yr 2'!B2:B1111,'Bldgs &amp; Rooms'!B21)</f>
        <v>0</v>
      </c>
      <c r="V7" s="49">
        <f>SUMIFS('Components Yr 2'!D2:D1111,'Components Yr 2'!C2:C1111,A7,'Components Yr 2'!B2:B1111,'Bldgs &amp; Rooms'!B22)</f>
        <v>0</v>
      </c>
      <c r="W7" s="49">
        <f>SUMIFS('Components Yr 2'!D2:D1111,'Components Yr 2'!C2:C1111,A7,'Components Yr 2'!B2:B1111,'Bldgs &amp; Rooms'!B23)</f>
        <v>0</v>
      </c>
      <c r="X7" s="49">
        <f>SUMIFS('Components Yr 2'!D2:D1111,'Components Yr 2'!C2:C1111,A7,'Components Yr 2'!B2:B1111,'Bldgs &amp; Rooms'!B24)</f>
        <v>0</v>
      </c>
      <c r="Y7" s="49">
        <f>SUMIFS('Components Yr 2'!D2:D1111,'Components Yr 2'!C2:C1111,A7,'Components Yr 2'!B2:B1111,'Bldgs &amp; Rooms'!B25)</f>
        <v>0</v>
      </c>
      <c r="Z7" s="49">
        <f>SUMIFS('Components Yr 2'!D2:D1111,'Components Yr 2'!C2:C1111,A7,'Components Yr 2'!B2:B1111,'Bldgs &amp; Rooms'!B26)</f>
        <v>0</v>
      </c>
      <c r="AA7" s="49">
        <f>SUMIFS('Components Yr 2'!D2:D1111,'Components Yr 2'!C2:C1111,A7,'Components Yr 2'!B2:B1111,'Bldgs &amp; Rooms'!B27)</f>
        <v>0</v>
      </c>
      <c r="AB7" s="49">
        <f>SUMIFS('Components Yr 2'!D2:D1111,'Components Yr 2'!C2:C1111,A7,'Components Yr 2'!B2:B1111,'Bldgs &amp; Rooms'!B28)</f>
        <v>0</v>
      </c>
      <c r="AC7" s="49">
        <f>SUMIFS('Components Yr 2'!D2:D1111,'Components Yr 2'!C2:C1111,A7,'Components Yr 2'!B2:B1111,'Bldgs &amp; Rooms'!B29)</f>
        <v>0</v>
      </c>
      <c r="AD7" s="49">
        <f>SUMIFS('Components Yr 2'!D2:D1111,'Components Yr 2'!C2:C1111,A7,'Components Yr 2'!B2:B1111,'Bldgs &amp; Rooms'!B30)</f>
        <v>0</v>
      </c>
      <c r="AE7" s="49">
        <f>SUMIFS('Components Yr 2'!D2:D1111,'Components Yr 2'!C2:C1111,A7,'Components Yr 2'!B2:B1111,'Bldgs &amp; Rooms'!B31)</f>
        <v>0</v>
      </c>
      <c r="AF7" s="47">
        <f t="shared" si="0"/>
        <v>0</v>
      </c>
    </row>
    <row r="8" spans="1:32" x14ac:dyDescent="0.25">
      <c r="A8" s="45" t="s">
        <v>21</v>
      </c>
      <c r="B8" s="46">
        <f>SUMIFS('Components Yr 2'!D2:D1111,'Components Yr 2'!C2:C1111,A8,'Components Yr 2'!B2:B1111,'Bldgs &amp; Rooms'!B2)</f>
        <v>0</v>
      </c>
      <c r="C8" s="46">
        <f>SUMIFS('Components Yr 2'!D2:D1111,'Components Yr 2'!C2:C1111,A8,'Components Yr 2'!B2:B1111,'Bldgs &amp; Rooms'!B3)</f>
        <v>0</v>
      </c>
      <c r="D8" s="46">
        <f>SUMIFS('Components Yr 2'!D2:D1111,'Components Yr 2'!C2:C1111,A8,'Components Yr 2'!B2:B1111,'Bldgs &amp; Rooms'!B4)</f>
        <v>0</v>
      </c>
      <c r="E8" s="46">
        <f>SUMIFS('Components Yr 2'!D2:D1111,'Components Yr 2'!C2:C1111,A8,'Components Yr 2'!B2:B1111,'Bldgs &amp; Rooms'!B5)</f>
        <v>0</v>
      </c>
      <c r="F8" s="46">
        <f>SUMIFS('Components Yr 2'!D2:D1111,'Components Yr 2'!C2:C1111,A8,'Components Yr 2'!B2:B1111,'Bldgs &amp; Rooms'!B6)</f>
        <v>0</v>
      </c>
      <c r="G8" s="46">
        <f>SUMIFS('Components Yr 2'!D2:D1111,'Components Yr 2'!C2:C1111,A8,'Components Yr 2'!B2:B1111,'Bldgs &amp; Rooms'!B7)</f>
        <v>0</v>
      </c>
      <c r="H8" s="46">
        <f>SUMIFS('Components Yr 2'!D2:D1111,'Components Yr 2'!C2:C1111,A8,'Components Yr 2'!B2:B1111,'Bldgs &amp; Rooms'!B8)</f>
        <v>0</v>
      </c>
      <c r="I8" s="46">
        <f>SUMIFS('Components Yr 2'!D2:D1111,'Components Yr 2'!C2:C1111,A8,'Components Yr 2'!B2:B1111,'Bldgs &amp; Rooms'!B9)</f>
        <v>0</v>
      </c>
      <c r="J8" s="46">
        <f>SUMIFS('Components Yr 2'!D2:D1111,'Components Yr 2'!C2:C1111,A8,'Components Yr 2'!B2:B1111,'Bldgs &amp; Rooms'!B10)</f>
        <v>0</v>
      </c>
      <c r="K8" s="46">
        <f>SUMIFS('Components Yr 2'!D2:D1111,'Components Yr 2'!C2:C1111,A8,'Components Yr 2'!B2:B1111,'Bldgs &amp; Rooms'!B11)</f>
        <v>0</v>
      </c>
      <c r="L8" s="46">
        <f>SUMIFS('Components Yr 2'!D2:D1111,'Components Yr 2'!C2:C1111,A8,'Components Yr 2'!B2:B1111,'Bldgs &amp; Rooms'!B12)</f>
        <v>0</v>
      </c>
      <c r="M8" s="46">
        <f>SUMIFS('Components Yr 2'!D2:D1111,'Components Yr 2'!C2:C1111,A8,'Components Yr 2'!B2:B1111,'Bldgs &amp; Rooms'!B13)</f>
        <v>0</v>
      </c>
      <c r="N8" s="46">
        <f>SUMIFS('Components Yr 2'!D2:D1111,'Components Yr 2'!C2:C1111,A8,'Components Yr 2'!B2:B1111,'Bldgs &amp; Rooms'!B14)</f>
        <v>0</v>
      </c>
      <c r="O8" s="46">
        <f>SUMIFS('Components Yr 2'!D2:D1111,'Components Yr 2'!C2:C1111,A8,'Components Yr 2'!B2:B1111,'Bldgs &amp; Rooms'!B15)</f>
        <v>0</v>
      </c>
      <c r="P8" s="46">
        <f>SUMIFS('Components Yr 2'!D2:D1111,'Components Yr 2'!C2:C1111,A8,'Components Yr 2'!B2:B1111,'Bldgs &amp; Rooms'!B16)</f>
        <v>0</v>
      </c>
      <c r="Q8" s="46">
        <f>SUMIFS('Components Yr 2'!D2:D1111,'Components Yr 2'!C2:C1111,A8,'Components Yr 2'!B2:B1111,'Bldgs &amp; Rooms'!B17)</f>
        <v>0</v>
      </c>
      <c r="R8" s="46">
        <f>SUMIFS('Components Yr 2'!D2:D1111,'Components Yr 2'!C2:C1111,A8,'Components Yr 2'!B2:B1111,'Bldgs &amp; Rooms'!B18)</f>
        <v>0</v>
      </c>
      <c r="S8" s="46">
        <f>SUMIFS('Components Yr 2'!D2:D1111,'Components Yr 2'!C2:C1111,A8,'Components Yr 2'!B2:B1111,'Bldgs &amp; Rooms'!B19)</f>
        <v>0</v>
      </c>
      <c r="T8" s="46">
        <f>SUMIFS('Components Yr 2'!D2:D1111,'Components Yr 2'!C2:C1111,A8,'Components Yr 2'!B2:B1111,'Bldgs &amp; Rooms'!B20)</f>
        <v>0</v>
      </c>
      <c r="U8" s="46">
        <f>SUMIFS('Components Yr 2'!D2:D1111,'Components Yr 2'!C2:C1111,A8,'Components Yr 2'!B2:B1111,'Bldgs &amp; Rooms'!B21)</f>
        <v>0</v>
      </c>
      <c r="V8" s="46">
        <f>SUMIFS('Components Yr 2'!D2:D1111,'Components Yr 2'!C2:C1111,A8,'Components Yr 2'!B2:B1111,'Bldgs &amp; Rooms'!B22)</f>
        <v>0</v>
      </c>
      <c r="W8" s="46">
        <f>SUMIFS('Components Yr 2'!D2:D1111,'Components Yr 2'!C2:C1111,A8,'Components Yr 2'!B2:B1111,'Bldgs &amp; Rooms'!B23)</f>
        <v>0</v>
      </c>
      <c r="X8" s="46">
        <f>SUMIFS('Components Yr 2'!D2:D1111,'Components Yr 2'!C2:C1111,A8,'Components Yr 2'!B2:B1111,'Bldgs &amp; Rooms'!B24)</f>
        <v>0</v>
      </c>
      <c r="Y8" s="46">
        <f>SUMIFS('Components Yr 2'!D2:D1111,'Components Yr 2'!C2:C1111,A8,'Components Yr 2'!B2:B1111,'Bldgs &amp; Rooms'!B25)</f>
        <v>0</v>
      </c>
      <c r="Z8" s="46">
        <f>SUMIFS('Components Yr 2'!D2:D1111,'Components Yr 2'!C2:C1111,A8,'Components Yr 2'!B2:B1111,'Bldgs &amp; Rooms'!B26)</f>
        <v>0</v>
      </c>
      <c r="AA8" s="46">
        <f>SUMIFS('Components Yr 2'!D2:D1111,'Components Yr 2'!C2:C1111,A8,'Components Yr 2'!B2:B1111,'Bldgs &amp; Rooms'!B27)</f>
        <v>0</v>
      </c>
      <c r="AB8" s="46">
        <f>SUMIFS('Components Yr 2'!D2:D1111,'Components Yr 2'!C2:C1111,A8,'Components Yr 2'!B2:B1111,'Bldgs &amp; Rooms'!B28)</f>
        <v>0</v>
      </c>
      <c r="AC8" s="46">
        <f>SUMIFS('Components Yr 2'!D2:D1111,'Components Yr 2'!C2:C1111,A8,'Components Yr 2'!B2:B1111,'Bldgs &amp; Rooms'!B29)</f>
        <v>0</v>
      </c>
      <c r="AD8" s="46">
        <f>SUMIFS('Components Yr 2'!D2:D1111,'Components Yr 2'!C2:C1111,A8,'Components Yr 2'!B2:B1111,'Bldgs &amp; Rooms'!B30)</f>
        <v>0</v>
      </c>
      <c r="AE8" s="46">
        <f>SUMIFS('Components Yr 2'!D2:D1111,'Components Yr 2'!C2:C1111,A8,'Components Yr 2'!B2:B1111,'Bldgs &amp; Rooms'!B31)</f>
        <v>0</v>
      </c>
      <c r="AF8" s="47">
        <f t="shared" si="0"/>
        <v>0</v>
      </c>
    </row>
    <row r="9" spans="1:32" x14ac:dyDescent="0.25">
      <c r="A9" s="48" t="s">
        <v>22</v>
      </c>
      <c r="B9" s="49">
        <f>SUMIFS('Components Yr 2'!D2:D1111,'Components Yr 2'!C2:C1111,A9,'Components Yr 2'!B2:B1111,'Bldgs &amp; Rooms'!B2)</f>
        <v>0</v>
      </c>
      <c r="C9" s="49">
        <f>SUMIFS('Components Yr 2'!D2:D1111,'Components Yr 2'!C2:C1111,A9,'Components Yr 2'!B2:B1111,'Bldgs &amp; Rooms'!B3)</f>
        <v>0</v>
      </c>
      <c r="D9" s="49">
        <f>SUMIFS('Components Yr 2'!D2:D1111,'Components Yr 2'!C2:C1111,A9,'Components Yr 2'!B2:B1111,'Bldgs &amp; Rooms'!B4)</f>
        <v>0</v>
      </c>
      <c r="E9" s="49">
        <f>SUMIFS('Components Yr 2'!D2:D1111,'Components Yr 2'!C2:C1111,A9,'Components Yr 2'!B2:B1111,'Bldgs &amp; Rooms'!B5)</f>
        <v>0</v>
      </c>
      <c r="F9" s="49">
        <f>SUMIFS('Components Yr 2'!D2:D1111,'Components Yr 2'!C2:C1111,A9,'Components Yr 2'!B2:B1111,'Bldgs &amp; Rooms'!B6)</f>
        <v>0</v>
      </c>
      <c r="G9" s="49">
        <f>SUMIFS('Components Yr 2'!D2:D1111,'Components Yr 2'!C2:C1111,A9,'Components Yr 2'!B2:B1111,'Bldgs &amp; Rooms'!B7)</f>
        <v>0</v>
      </c>
      <c r="H9" s="49">
        <f>SUMIFS('Components Yr 2'!D2:D1111,'Components Yr 2'!C2:C1111,A9,'Components Yr 2'!B2:B1111,'Bldgs &amp; Rooms'!B8)</f>
        <v>0</v>
      </c>
      <c r="I9" s="49">
        <f>SUMIFS('Components Yr 2'!D2:D1111,'Components Yr 2'!C2:C1111,A9,'Components Yr 2'!B2:B1111,'Bldgs &amp; Rooms'!B9)</f>
        <v>0</v>
      </c>
      <c r="J9" s="49">
        <f>SUMIFS('Components Yr 2'!D2:D1111,'Components Yr 2'!C2:C1111,A9,'Components Yr 2'!B2:B1111,'Bldgs &amp; Rooms'!B10)</f>
        <v>0</v>
      </c>
      <c r="K9" s="49">
        <f>SUMIFS('Components Yr 2'!D2:D1111,'Components Yr 2'!C2:C1111,A9,'Components Yr 2'!B2:B1111,'Bldgs &amp; Rooms'!B11)</f>
        <v>0</v>
      </c>
      <c r="L9" s="49">
        <f>SUMIFS('Components Yr 2'!D2:D1111,'Components Yr 2'!C2:C1111,A9,'Components Yr 2'!B2:B1111,'Bldgs &amp; Rooms'!B12)</f>
        <v>0</v>
      </c>
      <c r="M9" s="49">
        <f>SUMIFS('Components Yr 2'!D2:D1111,'Components Yr 2'!C2:C1111,A9,'Components Yr 2'!B2:B1111,'Bldgs &amp; Rooms'!B13)</f>
        <v>0</v>
      </c>
      <c r="N9" s="49">
        <f>SUMIFS('Components Yr 2'!D2:D1111,'Components Yr 2'!C2:C1111,A9,'Components Yr 2'!B2:B1111,'Bldgs &amp; Rooms'!B14)</f>
        <v>0</v>
      </c>
      <c r="O9" s="49">
        <f>SUMIFS('Components Yr 2'!D2:D1111,'Components Yr 2'!C2:C1111,A9,'Components Yr 2'!B2:B1111,'Bldgs &amp; Rooms'!B15)</f>
        <v>0</v>
      </c>
      <c r="P9" s="49">
        <f>SUMIFS('Components Yr 2'!D2:D1111,'Components Yr 2'!C2:C1111,A9,'Components Yr 2'!B2:B1111,'Bldgs &amp; Rooms'!B16)</f>
        <v>0</v>
      </c>
      <c r="Q9" s="49">
        <f>SUMIFS('Components Yr 2'!D2:D1111,'Components Yr 2'!C2:C1111,A9,'Components Yr 2'!B2:B1111,'Bldgs &amp; Rooms'!B17)</f>
        <v>0</v>
      </c>
      <c r="R9" s="49">
        <f>SUMIFS('Components Yr 2'!D2:D1111,'Components Yr 2'!C2:C1111,A9,'Components Yr 2'!B2:B1111,'Bldgs &amp; Rooms'!B18)</f>
        <v>0</v>
      </c>
      <c r="S9" s="49">
        <f>SUMIFS('Components Yr 2'!D2:D1111,'Components Yr 2'!C2:C1111,A9,'Components Yr 2'!B2:B1111,'Bldgs &amp; Rooms'!B19)</f>
        <v>0</v>
      </c>
      <c r="T9" s="49">
        <f>SUMIFS('Components Yr 2'!D2:D1111,'Components Yr 2'!C2:C1111,A9,'Components Yr 2'!B2:B1111,'Bldgs &amp; Rooms'!B20)</f>
        <v>0</v>
      </c>
      <c r="U9" s="49">
        <f>SUMIFS('Components Yr 2'!D2:D1111,'Components Yr 2'!C2:C1111,A9,'Components Yr 2'!B2:B1111,'Bldgs &amp; Rooms'!B21)</f>
        <v>0</v>
      </c>
      <c r="V9" s="49">
        <f>SUMIFS('Components Yr 2'!D2:D1111,'Components Yr 2'!C2:C1111,A9,'Components Yr 2'!B2:B1111,'Bldgs &amp; Rooms'!B22)</f>
        <v>0</v>
      </c>
      <c r="W9" s="49">
        <f>SUMIFS('Components Yr 2'!D2:D1111,'Components Yr 2'!C2:C1111,A9,'Components Yr 2'!B2:B1111,'Bldgs &amp; Rooms'!B23)</f>
        <v>0</v>
      </c>
      <c r="X9" s="49">
        <f>SUMIFS('Components Yr 2'!D2:D1111,'Components Yr 2'!C2:C1111,A9,'Components Yr 2'!B2:B1111,'Bldgs &amp; Rooms'!B24)</f>
        <v>0</v>
      </c>
      <c r="Y9" s="49">
        <f>SUMIFS('Components Yr 2'!D2:D1111,'Components Yr 2'!C2:C1111,A9,'Components Yr 2'!B2:B1111,'Bldgs &amp; Rooms'!B25)</f>
        <v>0</v>
      </c>
      <c r="Z9" s="49">
        <f>SUMIFS('Components Yr 2'!D2:D1111,'Components Yr 2'!C2:C1111,A9,'Components Yr 2'!B2:B1111,'Bldgs &amp; Rooms'!B26)</f>
        <v>0</v>
      </c>
      <c r="AA9" s="49">
        <f>SUMIFS('Components Yr 2'!D2:D1111,'Components Yr 2'!C2:C1111,A9,'Components Yr 2'!B2:B1111,'Bldgs &amp; Rooms'!B27)</f>
        <v>0</v>
      </c>
      <c r="AB9" s="49">
        <f>SUMIFS('Components Yr 2'!D2:D1111,'Components Yr 2'!C2:C1111,A9,'Components Yr 2'!B2:B1111,'Bldgs &amp; Rooms'!B28)</f>
        <v>0</v>
      </c>
      <c r="AC9" s="49">
        <f>SUMIFS('Components Yr 2'!D2:D1111,'Components Yr 2'!C2:C1111,A9,'Components Yr 2'!B2:B1111,'Bldgs &amp; Rooms'!B29)</f>
        <v>0</v>
      </c>
      <c r="AD9" s="49">
        <f>SUMIFS('Components Yr 2'!D2:D1111,'Components Yr 2'!C2:C1111,A9,'Components Yr 2'!B2:B1111,'Bldgs &amp; Rooms'!B30)</f>
        <v>0</v>
      </c>
      <c r="AE9" s="49">
        <f>SUMIFS('Components Yr 2'!D2:D1111,'Components Yr 2'!C2:C1111,A9,'Components Yr 2'!B2:B1111,'Bldgs &amp; Rooms'!B31)</f>
        <v>0</v>
      </c>
      <c r="AF9" s="47">
        <f t="shared" si="0"/>
        <v>0</v>
      </c>
    </row>
    <row r="10" spans="1:32" x14ac:dyDescent="0.25">
      <c r="A10" s="45" t="s">
        <v>23</v>
      </c>
      <c r="B10" s="46">
        <f>SUMIFS('Components Yr 2'!D2:D1111,'Components Yr 2'!C2:C1111,A10,'Components Yr 2'!B2:B1111,'Bldgs &amp; Rooms'!B2)</f>
        <v>0</v>
      </c>
      <c r="C10" s="46">
        <f>SUMIFS('Components Yr 2'!D2:D1111,'Components Yr 2'!C2:C1111,A10,'Components Yr 2'!B2:B1111,'Bldgs &amp; Rooms'!B3)</f>
        <v>0</v>
      </c>
      <c r="D10" s="46">
        <f>SUMIFS('Components Yr 2'!D2:D1111,'Components Yr 2'!C2:C1111,A10,'Components Yr 2'!B2:B1111,'Bldgs &amp; Rooms'!B4)</f>
        <v>0</v>
      </c>
      <c r="E10" s="46">
        <f>SUMIFS('Components Yr 2'!D2:D1111,'Components Yr 2'!C2:C1111,A10,'Components Yr 2'!B2:B1111,'Bldgs &amp; Rooms'!B5)</f>
        <v>0</v>
      </c>
      <c r="F10" s="46">
        <f>SUMIFS('Components Yr 2'!D2:D1111,'Components Yr 2'!C2:C1111,A10,'Components Yr 2'!B2:B1111,'Bldgs &amp; Rooms'!B6)</f>
        <v>0</v>
      </c>
      <c r="G10" s="46">
        <f>SUMIFS('Components Yr 2'!D2:D1111,'Components Yr 2'!C2:C1111,A10,'Components Yr 2'!B2:B1111,'Bldgs &amp; Rooms'!B7)</f>
        <v>0</v>
      </c>
      <c r="H10" s="46">
        <f>SUMIFS('Components Yr 2'!D2:D1111,'Components Yr 2'!C2:C1111,A10,'Components Yr 2'!B2:B1111,'Bldgs &amp; Rooms'!B8)</f>
        <v>0</v>
      </c>
      <c r="I10" s="46">
        <f>SUMIFS('Components Yr 2'!D2:D1111,'Components Yr 2'!C2:C1111,A10,'Components Yr 2'!B2:B1111,'Bldgs &amp; Rooms'!B9)</f>
        <v>0</v>
      </c>
      <c r="J10" s="46">
        <f>SUMIFS('Components Yr 2'!D2:D1111,'Components Yr 2'!C2:C1111,A10,'Components Yr 2'!B2:B1111,'Bldgs &amp; Rooms'!B10)</f>
        <v>0</v>
      </c>
      <c r="K10" s="46">
        <f>SUMIFS('Components Yr 2'!D2:D1111,'Components Yr 2'!C2:C1111,A10,'Components Yr 2'!B2:B1111,'Bldgs &amp; Rooms'!B11)</f>
        <v>0</v>
      </c>
      <c r="L10" s="46">
        <f>SUMIFS('Components Yr 2'!D2:D1111,'Components Yr 2'!C2:C1111,A10,'Components Yr 2'!B2:B1111,'Bldgs &amp; Rooms'!B12)</f>
        <v>0</v>
      </c>
      <c r="M10" s="46">
        <f>SUMIFS('Components Yr 2'!D2:D1111,'Components Yr 2'!C2:C1111,A10,'Components Yr 2'!B2:B1111,'Bldgs &amp; Rooms'!B13)</f>
        <v>0</v>
      </c>
      <c r="N10" s="46">
        <f>SUMIFS('Components Yr 2'!D2:D1111,'Components Yr 2'!C2:C1111,A10,'Components Yr 2'!B2:B1111,'Bldgs &amp; Rooms'!B14)</f>
        <v>0</v>
      </c>
      <c r="O10" s="46">
        <f>SUMIFS('Components Yr 2'!D2:D1111,'Components Yr 2'!C2:C1111,A10,'Components Yr 2'!B2:B1111,'Bldgs &amp; Rooms'!B15)</f>
        <v>0</v>
      </c>
      <c r="P10" s="46">
        <f>SUMIFS('Components Yr 2'!D2:D1111,'Components Yr 2'!C2:C1111,A10,'Components Yr 2'!B2:B1111,'Bldgs &amp; Rooms'!B16)</f>
        <v>0</v>
      </c>
      <c r="Q10" s="46">
        <f>SUMIFS('Components Yr 2'!D2:D1111,'Components Yr 2'!C2:C1111,A10,'Components Yr 2'!B2:B1111,'Bldgs &amp; Rooms'!B17)</f>
        <v>0</v>
      </c>
      <c r="R10" s="46">
        <f>SUMIFS('Components Yr 2'!D2:D1111,'Components Yr 2'!C2:C1111,A10,'Components Yr 2'!B2:B1111,'Bldgs &amp; Rooms'!B18)</f>
        <v>0</v>
      </c>
      <c r="S10" s="46">
        <f>SUMIFS('Components Yr 2'!D2:D1111,'Components Yr 2'!C2:C1111,A10,'Components Yr 2'!B2:B1111,'Bldgs &amp; Rooms'!B19)</f>
        <v>0</v>
      </c>
      <c r="T10" s="46">
        <f>SUMIFS('Components Yr 2'!D2:D1111,'Components Yr 2'!C2:C1111,A10,'Components Yr 2'!B2:B1111,'Bldgs &amp; Rooms'!B20)</f>
        <v>0</v>
      </c>
      <c r="U10" s="46">
        <f>SUMIFS('Components Yr 2'!D2:D1111,'Components Yr 2'!C2:C1111,A10,'Components Yr 2'!B2:B1111,'Bldgs &amp; Rooms'!B21)</f>
        <v>0</v>
      </c>
      <c r="V10" s="46">
        <f>SUMIFS('Components Yr 2'!D2:D1111,'Components Yr 2'!C2:C1111,A10,'Components Yr 2'!B2:B1111,'Bldgs &amp; Rooms'!B22)</f>
        <v>0</v>
      </c>
      <c r="W10" s="46">
        <f>SUMIFS('Components Yr 2'!D2:D1111,'Components Yr 2'!C2:C1111,A10,'Components Yr 2'!B2:B1111,'Bldgs &amp; Rooms'!B23)</f>
        <v>0</v>
      </c>
      <c r="X10" s="46">
        <f>SUMIFS('Components Yr 2'!D2:D1111,'Components Yr 2'!C2:C1111,A10,'Components Yr 2'!B2:B1111,'Bldgs &amp; Rooms'!B24)</f>
        <v>0</v>
      </c>
      <c r="Y10" s="46">
        <f>SUMIFS('Components Yr 2'!D2:D1111,'Components Yr 2'!C2:C1111,A10,'Components Yr 2'!B2:B1111,'Bldgs &amp; Rooms'!B25)</f>
        <v>0</v>
      </c>
      <c r="Z10" s="46">
        <f>SUMIFS('Components Yr 2'!D2:D1111,'Components Yr 2'!C2:C1111,A10,'Components Yr 2'!B2:B1111,'Bldgs &amp; Rooms'!B26)</f>
        <v>0</v>
      </c>
      <c r="AA10" s="46">
        <f>SUMIFS('Components Yr 2'!D2:D1111,'Components Yr 2'!C2:C1111,A10,'Components Yr 2'!B2:B1111,'Bldgs &amp; Rooms'!B27)</f>
        <v>0</v>
      </c>
      <c r="AB10" s="46">
        <f>SUMIFS('Components Yr 2'!D2:D1111,'Components Yr 2'!C2:C1111,A10,'Components Yr 2'!B2:B1111,'Bldgs &amp; Rooms'!B28)</f>
        <v>0</v>
      </c>
      <c r="AC10" s="46">
        <f>SUMIFS('Components Yr 2'!D2:D1111,'Components Yr 2'!C2:C1111,A10,'Components Yr 2'!B2:B1111,'Bldgs &amp; Rooms'!B29)</f>
        <v>0</v>
      </c>
      <c r="AD10" s="46">
        <f>SUMIFS('Components Yr 2'!D2:D1111,'Components Yr 2'!C2:C1111,A10,'Components Yr 2'!B2:B1111,'Bldgs &amp; Rooms'!B30)</f>
        <v>0</v>
      </c>
      <c r="AE10" s="46">
        <f>SUMIFS('Components Yr 2'!D2:D1111,'Components Yr 2'!C2:C1111,A10,'Components Yr 2'!B2:B1111,'Bldgs &amp; Rooms'!B31)</f>
        <v>0</v>
      </c>
      <c r="AF10" s="47">
        <f t="shared" si="0"/>
        <v>0</v>
      </c>
    </row>
    <row r="11" spans="1:32" x14ac:dyDescent="0.25">
      <c r="A11" s="48" t="s">
        <v>24</v>
      </c>
      <c r="B11" s="49">
        <f>SUMIFS('Components Yr 2'!D2:D1111,'Components Yr 2'!C2:C1111,A11,'Components Yr 2'!B2:B1111,'Bldgs &amp; Rooms'!B2)</f>
        <v>0</v>
      </c>
      <c r="C11" s="49">
        <f>SUMIFS('Components Yr 2'!D2:D1111,'Components Yr 2'!C2:C1111,A11,'Components Yr 2'!B2:B1111,'Bldgs &amp; Rooms'!B3)</f>
        <v>0</v>
      </c>
      <c r="D11" s="49">
        <f>SUMIFS('Components Yr 2'!D2:D1111,'Components Yr 2'!C2:C1111,A11,'Components Yr 2'!B2:B1111,'Bldgs &amp; Rooms'!B4)</f>
        <v>0</v>
      </c>
      <c r="E11" s="49">
        <f>SUMIFS('Components Yr 2'!D2:D1111,'Components Yr 2'!C2:C1111,A11,'Components Yr 2'!B2:B1111,'Bldgs &amp; Rooms'!B5)</f>
        <v>0</v>
      </c>
      <c r="F11" s="49">
        <f>SUMIFS('Components Yr 2'!D2:D1111,'Components Yr 2'!C2:C1111,A11,'Components Yr 2'!B2:B1111,'Bldgs &amp; Rooms'!B6)</f>
        <v>0</v>
      </c>
      <c r="G11" s="49">
        <f>SUMIFS('Components Yr 2'!D2:D1111,'Components Yr 2'!C2:C1111,A11,'Components Yr 2'!B2:B1111,'Bldgs &amp; Rooms'!B7)</f>
        <v>0</v>
      </c>
      <c r="H11" s="49">
        <f>SUMIFS('Components Yr 2'!D2:D1111,'Components Yr 2'!C2:C1111,A11,'Components Yr 2'!B2:B1111,'Bldgs &amp; Rooms'!B8)</f>
        <v>0</v>
      </c>
      <c r="I11" s="49">
        <f>SUMIFS('Components Yr 2'!D2:D1111,'Components Yr 2'!C2:C1111,A11,'Components Yr 2'!B2:B1111,'Bldgs &amp; Rooms'!B9)</f>
        <v>0</v>
      </c>
      <c r="J11" s="49">
        <f>SUMIFS('Components Yr 2'!D2:D1111,'Components Yr 2'!C2:C1111,A11,'Components Yr 2'!B2:B1111,'Bldgs &amp; Rooms'!B10)</f>
        <v>0</v>
      </c>
      <c r="K11" s="49">
        <f>SUMIFS('Components Yr 2'!D2:D1111,'Components Yr 2'!C2:C1111,A11,'Components Yr 2'!B2:B1111,'Bldgs &amp; Rooms'!B11)</f>
        <v>0</v>
      </c>
      <c r="L11" s="49">
        <f>SUMIFS('Components Yr 2'!D2:D1111,'Components Yr 2'!C2:C1111,A11,'Components Yr 2'!B2:B1111,'Bldgs &amp; Rooms'!B12)</f>
        <v>0</v>
      </c>
      <c r="M11" s="49">
        <f>SUMIFS('Components Yr 2'!D2:D1111,'Components Yr 2'!C2:C1111,A11,'Components Yr 2'!B2:B1111,'Bldgs &amp; Rooms'!B13)</f>
        <v>0</v>
      </c>
      <c r="N11" s="49">
        <f>SUMIFS('Components Yr 2'!D2:D1111,'Components Yr 2'!C2:C1111,A11,'Components Yr 2'!B2:B1111,'Bldgs &amp; Rooms'!B14)</f>
        <v>0</v>
      </c>
      <c r="O11" s="49">
        <f>SUMIFS('Components Yr 2'!D2:D1111,'Components Yr 2'!C2:C1111,A11,'Components Yr 2'!B2:B1111,'Bldgs &amp; Rooms'!B15)</f>
        <v>0</v>
      </c>
      <c r="P11" s="49">
        <f>SUMIFS('Components Yr 2'!D2:D1111,'Components Yr 2'!C2:C1111,A11,'Components Yr 2'!B2:B1111,'Bldgs &amp; Rooms'!B16)</f>
        <v>0</v>
      </c>
      <c r="Q11" s="49">
        <f>SUMIFS('Components Yr 2'!D2:D1111,'Components Yr 2'!C2:C1111,A11,'Components Yr 2'!B2:B1111,'Bldgs &amp; Rooms'!B17)</f>
        <v>0</v>
      </c>
      <c r="R11" s="49">
        <f>SUMIFS('Components Yr 2'!D2:D1111,'Components Yr 2'!C2:C1111,A11,'Components Yr 2'!B2:B1111,'Bldgs &amp; Rooms'!B18)</f>
        <v>0</v>
      </c>
      <c r="S11" s="49">
        <f>SUMIFS('Components Yr 2'!D2:D1111,'Components Yr 2'!C2:C1111,A11,'Components Yr 2'!B2:B1111,'Bldgs &amp; Rooms'!B19)</f>
        <v>0</v>
      </c>
      <c r="T11" s="49">
        <f>SUMIFS('Components Yr 2'!D2:D1111,'Components Yr 2'!C2:C1111,A11,'Components Yr 2'!B2:B1111,'Bldgs &amp; Rooms'!B20)</f>
        <v>0</v>
      </c>
      <c r="U11" s="49">
        <f>SUMIFS('Components Yr 2'!D2:D1111,'Components Yr 2'!C2:C1111,A11,'Components Yr 2'!B2:B1111,'Bldgs &amp; Rooms'!B21)</f>
        <v>0</v>
      </c>
      <c r="V11" s="49">
        <f>SUMIFS('Components Yr 2'!D2:D1111,'Components Yr 2'!C2:C1111,A11,'Components Yr 2'!B2:B1111,'Bldgs &amp; Rooms'!B22)</f>
        <v>0</v>
      </c>
      <c r="W11" s="49">
        <f>SUMIFS('Components Yr 2'!D2:D1111,'Components Yr 2'!C2:C1111,A11,'Components Yr 2'!B2:B1111,'Bldgs &amp; Rooms'!B23)</f>
        <v>0</v>
      </c>
      <c r="X11" s="49">
        <f>SUMIFS('Components Yr 2'!D2:D1111,'Components Yr 2'!C2:C1111,A11,'Components Yr 2'!B2:B1111,'Bldgs &amp; Rooms'!B24)</f>
        <v>0</v>
      </c>
      <c r="Y11" s="49">
        <f>SUMIFS('Components Yr 2'!D2:D1111,'Components Yr 2'!C2:C1111,A11,'Components Yr 2'!B2:B1111,'Bldgs &amp; Rooms'!B25)</f>
        <v>0</v>
      </c>
      <c r="Z11" s="49">
        <f>SUMIFS('Components Yr 2'!D2:D1111,'Components Yr 2'!C2:C1111,A11,'Components Yr 2'!B2:B1111,'Bldgs &amp; Rooms'!B26)</f>
        <v>0</v>
      </c>
      <c r="AA11" s="49">
        <f>SUMIFS('Components Yr 2'!D2:D1111,'Components Yr 2'!C2:C1111,A11,'Components Yr 2'!B2:B1111,'Bldgs &amp; Rooms'!B27)</f>
        <v>0</v>
      </c>
      <c r="AB11" s="49">
        <f>SUMIFS('Components Yr 2'!D2:D1111,'Components Yr 2'!C2:C1111,A11,'Components Yr 2'!B2:B1111,'Bldgs &amp; Rooms'!B28)</f>
        <v>0</v>
      </c>
      <c r="AC11" s="49">
        <f>SUMIFS('Components Yr 2'!D2:D1111,'Components Yr 2'!C2:C1111,A11,'Components Yr 2'!B2:B1111,'Bldgs &amp; Rooms'!B29)</f>
        <v>0</v>
      </c>
      <c r="AD11" s="49">
        <f>SUMIFS('Components Yr 2'!D2:D1111,'Components Yr 2'!C2:C1111,A11,'Components Yr 2'!B2:B1111,'Bldgs &amp; Rooms'!B30)</f>
        <v>0</v>
      </c>
      <c r="AE11" s="49">
        <f>SUMIFS('Components Yr 2'!D2:D1111,'Components Yr 2'!C2:C1111,A11,'Components Yr 2'!B2:B1111,'Bldgs &amp; Rooms'!B31)</f>
        <v>0</v>
      </c>
      <c r="AF11" s="47">
        <f t="shared" si="0"/>
        <v>0</v>
      </c>
    </row>
    <row r="12" spans="1:32" x14ac:dyDescent="0.25">
      <c r="A12" s="45" t="s">
        <v>25</v>
      </c>
      <c r="B12" s="46">
        <f>SUMIFS('Components Yr 2'!D2:D1111,'Components Yr 2'!C2:C1111,A12,'Components Yr 2'!B2:B1111,'Bldgs &amp; Rooms'!B2)</f>
        <v>0</v>
      </c>
      <c r="C12" s="46">
        <f>SUMIFS('Components Yr 2'!D2:D1111,'Components Yr 2'!C2:C1111,A12,'Components Yr 2'!B2:B1111,'Bldgs &amp; Rooms'!B3)</f>
        <v>0</v>
      </c>
      <c r="D12" s="46">
        <f>SUMIFS('Components Yr 2'!D2:D1111,'Components Yr 2'!C2:C1111,A12,'Components Yr 2'!B2:B1111,'Bldgs &amp; Rooms'!B4)</f>
        <v>0</v>
      </c>
      <c r="E12" s="46">
        <f>SUMIFS('Components Yr 2'!D2:D1111,'Components Yr 2'!C2:C1111,A12,'Components Yr 2'!B2:B1111,'Bldgs &amp; Rooms'!B5)</f>
        <v>0</v>
      </c>
      <c r="F12" s="46">
        <f>SUMIFS('Components Yr 2'!D2:D1111,'Components Yr 2'!C2:C1111,A12,'Components Yr 2'!B2:B1111,'Bldgs &amp; Rooms'!B6)</f>
        <v>0</v>
      </c>
      <c r="G12" s="46">
        <f>SUMIFS('Components Yr 2'!D2:D1111,'Components Yr 2'!C2:C1111,A12,'Components Yr 2'!B2:B1111,'Bldgs &amp; Rooms'!B7)</f>
        <v>0</v>
      </c>
      <c r="H12" s="46">
        <f>SUMIFS('Components Yr 2'!D2:D1111,'Components Yr 2'!C2:C1111,A12,'Components Yr 2'!B2:B1111,'Bldgs &amp; Rooms'!B8)</f>
        <v>0</v>
      </c>
      <c r="I12" s="46">
        <f>SUMIFS('Components Yr 2'!D2:D1111,'Components Yr 2'!C2:C1111,A12,'Components Yr 2'!B2:B1111,'Bldgs &amp; Rooms'!B9)</f>
        <v>0</v>
      </c>
      <c r="J12" s="46">
        <f>SUMIFS('Components Yr 2'!D2:D1111,'Components Yr 2'!C2:C1111,A12,'Components Yr 2'!B2:B1111,'Bldgs &amp; Rooms'!B10)</f>
        <v>0</v>
      </c>
      <c r="K12" s="46">
        <f>SUMIFS('Components Yr 2'!D2:D1111,'Components Yr 2'!C2:C1111,A12,'Components Yr 2'!B2:B1111,'Bldgs &amp; Rooms'!B11)</f>
        <v>0</v>
      </c>
      <c r="L12" s="46">
        <f>SUMIFS('Components Yr 2'!D2:D1111,'Components Yr 2'!C2:C1111,A12,'Components Yr 2'!B2:B1111,'Bldgs &amp; Rooms'!B12)</f>
        <v>0</v>
      </c>
      <c r="M12" s="46">
        <f>SUMIFS('Components Yr 2'!D2:D1111,'Components Yr 2'!C2:C1111,A12,'Components Yr 2'!B2:B1111,'Bldgs &amp; Rooms'!B13)</f>
        <v>0</v>
      </c>
      <c r="N12" s="46">
        <f>SUMIFS('Components Yr 2'!D2:D1111,'Components Yr 2'!C2:C1111,A12,'Components Yr 2'!B2:B1111,'Bldgs &amp; Rooms'!B14)</f>
        <v>0</v>
      </c>
      <c r="O12" s="46">
        <f>SUMIFS('Components Yr 2'!D2:D1111,'Components Yr 2'!C2:C1111,A12,'Components Yr 2'!B2:B1111,'Bldgs &amp; Rooms'!B15)</f>
        <v>0</v>
      </c>
      <c r="P12" s="46">
        <f>SUMIFS('Components Yr 2'!D2:D1111,'Components Yr 2'!C2:C1111,A12,'Components Yr 2'!B2:B1111,'Bldgs &amp; Rooms'!B16)</f>
        <v>0</v>
      </c>
      <c r="Q12" s="46">
        <f>SUMIFS('Components Yr 2'!D2:D1111,'Components Yr 2'!C2:C1111,A12,'Components Yr 2'!B2:B1111,'Bldgs &amp; Rooms'!B17)</f>
        <v>0</v>
      </c>
      <c r="R12" s="46">
        <f>SUMIFS('Components Yr 2'!D2:D1111,'Components Yr 2'!C2:C1111,A12,'Components Yr 2'!B2:B1111,'Bldgs &amp; Rooms'!B18)</f>
        <v>0</v>
      </c>
      <c r="S12" s="46">
        <f>SUMIFS('Components Yr 2'!D2:D1111,'Components Yr 2'!C2:C1111,A12,'Components Yr 2'!B2:B1111,'Bldgs &amp; Rooms'!B19)</f>
        <v>0</v>
      </c>
      <c r="T12" s="46">
        <f>SUMIFS('Components Yr 2'!D2:D1111,'Components Yr 2'!C2:C1111,A12,'Components Yr 2'!B2:B1111,'Bldgs &amp; Rooms'!B20)</f>
        <v>0</v>
      </c>
      <c r="U12" s="46">
        <f>SUMIFS('Components Yr 2'!D2:D1111,'Components Yr 2'!C2:C1111,A12,'Components Yr 2'!B2:B1111,'Bldgs &amp; Rooms'!B21)</f>
        <v>0</v>
      </c>
      <c r="V12" s="46">
        <f>SUMIFS('Components Yr 2'!D2:D1111,'Components Yr 2'!C2:C1111,A12,'Components Yr 2'!B2:B1111,'Bldgs &amp; Rooms'!B22)</f>
        <v>0</v>
      </c>
      <c r="W12" s="46">
        <f>SUMIFS('Components Yr 2'!D2:D1111,'Components Yr 2'!C2:C1111,A12,'Components Yr 2'!B2:B1111,'Bldgs &amp; Rooms'!B23)</f>
        <v>0</v>
      </c>
      <c r="X12" s="46">
        <f>SUMIFS('Components Yr 2'!D2:D1111,'Components Yr 2'!C2:C1111,A12,'Components Yr 2'!B2:B1111,'Bldgs &amp; Rooms'!B24)</f>
        <v>0</v>
      </c>
      <c r="Y12" s="46">
        <f>SUMIFS('Components Yr 2'!D2:D1111,'Components Yr 2'!C2:C1111,A12,'Components Yr 2'!B2:B1111,'Bldgs &amp; Rooms'!B25)</f>
        <v>0</v>
      </c>
      <c r="Z12" s="46">
        <f>SUMIFS('Components Yr 2'!D2:D1111,'Components Yr 2'!C2:C1111,A12,'Components Yr 2'!B2:B1111,'Bldgs &amp; Rooms'!B26)</f>
        <v>0</v>
      </c>
      <c r="AA12" s="46">
        <f>SUMIFS('Components Yr 2'!D2:D1111,'Components Yr 2'!C2:C1111,A12,'Components Yr 2'!B2:B1111,'Bldgs &amp; Rooms'!B27)</f>
        <v>0</v>
      </c>
      <c r="AB12" s="46">
        <f>SUMIFS('Components Yr 2'!D2:D1111,'Components Yr 2'!C2:C1111,A12,'Components Yr 2'!B2:B1111,'Bldgs &amp; Rooms'!B28)</f>
        <v>0</v>
      </c>
      <c r="AC12" s="46">
        <f>SUMIFS('Components Yr 2'!D2:D1111,'Components Yr 2'!C2:C1111,A12,'Components Yr 2'!B2:B1111,'Bldgs &amp; Rooms'!B29)</f>
        <v>0</v>
      </c>
      <c r="AD12" s="46">
        <f>SUMIFS('Components Yr 2'!D2:D1111,'Components Yr 2'!C2:C1111,A12,'Components Yr 2'!B2:B1111,'Bldgs &amp; Rooms'!B30)</f>
        <v>0</v>
      </c>
      <c r="AE12" s="46">
        <f>SUMIFS('Components Yr 2'!D2:D1111,'Components Yr 2'!C2:C1111,A12,'Components Yr 2'!B2:B1111,'Bldgs &amp; Rooms'!B31)</f>
        <v>0</v>
      </c>
      <c r="AF12" s="47">
        <f t="shared" si="0"/>
        <v>0</v>
      </c>
    </row>
    <row r="13" spans="1:32" x14ac:dyDescent="0.25">
      <c r="A13" s="48" t="s">
        <v>26</v>
      </c>
      <c r="B13" s="49">
        <f>SUMIFS('Components Yr 2'!D2:D1111,'Components Yr 2'!C2:C1111,A13,'Components Yr 2'!B2:B1111,'Bldgs &amp; Rooms'!B2)</f>
        <v>0</v>
      </c>
      <c r="C13" s="49">
        <f>SUMIFS('Components Yr 2'!D2:D1111,'Components Yr 2'!C2:C1111,A13,'Components Yr 2'!B2:B1111,'Bldgs &amp; Rooms'!B3)</f>
        <v>0</v>
      </c>
      <c r="D13" s="49">
        <f>SUMIFS('Components Yr 2'!D2:D1111,'Components Yr 2'!C2:C1111,A13,'Components Yr 2'!B2:B1111,'Bldgs &amp; Rooms'!B4)</f>
        <v>0</v>
      </c>
      <c r="E13" s="49">
        <f>SUMIFS('Components Yr 2'!D2:D1111,'Components Yr 2'!C2:C1111,A13,'Components Yr 2'!B2:B1111,'Bldgs &amp; Rooms'!B5)</f>
        <v>0</v>
      </c>
      <c r="F13" s="49">
        <f>SUMIFS('Components Yr 2'!D2:D1111,'Components Yr 2'!C2:C1111,A13,'Components Yr 2'!B2:B1111,'Bldgs &amp; Rooms'!B6)</f>
        <v>0</v>
      </c>
      <c r="G13" s="49">
        <f>SUMIFS('Components Yr 2'!D2:D1111,'Components Yr 2'!C2:C1111,A13,'Components Yr 2'!B2:B1111,'Bldgs &amp; Rooms'!B7)</f>
        <v>0</v>
      </c>
      <c r="H13" s="49">
        <f>SUMIFS('Components Yr 2'!D2:D1111,'Components Yr 2'!C2:C1111,A13,'Components Yr 2'!B2:B1111,'Bldgs &amp; Rooms'!B8)</f>
        <v>0</v>
      </c>
      <c r="I13" s="49">
        <f>SUMIFS('Components Yr 2'!D2:D1111,'Components Yr 2'!C2:C1111,A13,'Components Yr 2'!B2:B1111,'Bldgs &amp; Rooms'!B9)</f>
        <v>0</v>
      </c>
      <c r="J13" s="49">
        <f>SUMIFS('Components Yr 2'!D2:D1111,'Components Yr 2'!C2:C1111,A13,'Components Yr 2'!B2:B1111,'Bldgs &amp; Rooms'!B10)</f>
        <v>0</v>
      </c>
      <c r="K13" s="49">
        <f>SUMIFS('Components Yr 2'!D2:D1111,'Components Yr 2'!C2:C1111,A13,'Components Yr 2'!B2:B1111,'Bldgs &amp; Rooms'!B11)</f>
        <v>0</v>
      </c>
      <c r="L13" s="49">
        <f>SUMIFS('Components Yr 2'!D2:D1111,'Components Yr 2'!C2:C1111,A13,'Components Yr 2'!B2:B1111,'Bldgs &amp; Rooms'!B12)</f>
        <v>0</v>
      </c>
      <c r="M13" s="49">
        <f>SUMIFS('Components Yr 2'!D2:D1111,'Components Yr 2'!C2:C1111,A13,'Components Yr 2'!B2:B1111,'Bldgs &amp; Rooms'!B13)</f>
        <v>0</v>
      </c>
      <c r="N13" s="49">
        <f>SUMIFS('Components Yr 2'!D2:D1111,'Components Yr 2'!C2:C1111,A13,'Components Yr 2'!B2:B1111,'Bldgs &amp; Rooms'!B14)</f>
        <v>0</v>
      </c>
      <c r="O13" s="49">
        <f>SUMIFS('Components Yr 2'!D2:D1111,'Components Yr 2'!C2:C1111,A13,'Components Yr 2'!B2:B1111,'Bldgs &amp; Rooms'!B15)</f>
        <v>0</v>
      </c>
      <c r="P13" s="49">
        <f>SUMIFS('Components Yr 2'!D2:D1111,'Components Yr 2'!C2:C1111,A13,'Components Yr 2'!B2:B1111,'Bldgs &amp; Rooms'!B16)</f>
        <v>0</v>
      </c>
      <c r="Q13" s="49">
        <f>SUMIFS('Components Yr 2'!D2:D1111,'Components Yr 2'!C2:C1111,A13,'Components Yr 2'!B2:B1111,'Bldgs &amp; Rooms'!B17)</f>
        <v>0</v>
      </c>
      <c r="R13" s="49">
        <f>SUMIFS('Components Yr 2'!D2:D1111,'Components Yr 2'!C2:C1111,A13,'Components Yr 2'!B2:B1111,'Bldgs &amp; Rooms'!B18)</f>
        <v>0</v>
      </c>
      <c r="S13" s="49">
        <f>SUMIFS('Components Yr 2'!D2:D1111,'Components Yr 2'!C2:C1111,A13,'Components Yr 2'!B2:B1111,'Bldgs &amp; Rooms'!B19)</f>
        <v>0</v>
      </c>
      <c r="T13" s="49">
        <f>SUMIFS('Components Yr 2'!D2:D1111,'Components Yr 2'!C2:C1111,A13,'Components Yr 2'!B2:B1111,'Bldgs &amp; Rooms'!B20)</f>
        <v>0</v>
      </c>
      <c r="U13" s="49">
        <f>SUMIFS('Components Yr 2'!D2:D1111,'Components Yr 2'!C2:C1111,A13,'Components Yr 2'!B2:B1111,'Bldgs &amp; Rooms'!B21)</f>
        <v>0</v>
      </c>
      <c r="V13" s="49">
        <f>SUMIFS('Components Yr 2'!D2:D1111,'Components Yr 2'!C2:C1111,A13,'Components Yr 2'!B2:B1111,'Bldgs &amp; Rooms'!B22)</f>
        <v>0</v>
      </c>
      <c r="W13" s="49">
        <f>SUMIFS('Components Yr 2'!D2:D1111,'Components Yr 2'!C2:C1111,A13,'Components Yr 2'!B2:B1111,'Bldgs &amp; Rooms'!B23)</f>
        <v>0</v>
      </c>
      <c r="X13" s="49">
        <f>SUMIFS('Components Yr 2'!D2:D1111,'Components Yr 2'!C2:C1111,A13,'Components Yr 2'!B2:B1111,'Bldgs &amp; Rooms'!B24)</f>
        <v>0</v>
      </c>
      <c r="Y13" s="49">
        <f>SUMIFS('Components Yr 2'!D2:D1111,'Components Yr 2'!C2:C1111,A13,'Components Yr 2'!B2:B1111,'Bldgs &amp; Rooms'!B25)</f>
        <v>0</v>
      </c>
      <c r="Z13" s="49">
        <f>SUMIFS('Components Yr 2'!D2:D1111,'Components Yr 2'!C2:C1111,A13,'Components Yr 2'!B2:B1111,'Bldgs &amp; Rooms'!B26)</f>
        <v>0</v>
      </c>
      <c r="AA13" s="49">
        <f>SUMIFS('Components Yr 2'!D2:D1111,'Components Yr 2'!C2:C1111,A13,'Components Yr 2'!B2:B1111,'Bldgs &amp; Rooms'!B27)</f>
        <v>0</v>
      </c>
      <c r="AB13" s="49">
        <f>SUMIFS('Components Yr 2'!D2:D1111,'Components Yr 2'!C2:C1111,A13,'Components Yr 2'!B2:B1111,'Bldgs &amp; Rooms'!B28)</f>
        <v>0</v>
      </c>
      <c r="AC13" s="49">
        <f>SUMIFS('Components Yr 2'!D2:D1111,'Components Yr 2'!C2:C1111,A13,'Components Yr 2'!B2:B1111,'Bldgs &amp; Rooms'!B29)</f>
        <v>0</v>
      </c>
      <c r="AD13" s="49">
        <f>SUMIFS('Components Yr 2'!D2:D1111,'Components Yr 2'!C2:C1111,A13,'Components Yr 2'!B2:B1111,'Bldgs &amp; Rooms'!B30)</f>
        <v>0</v>
      </c>
      <c r="AE13" s="49">
        <f>SUMIFS('Components Yr 2'!D2:D1111,'Components Yr 2'!C2:C1111,A13,'Components Yr 2'!B2:B1111,'Bldgs &amp; Rooms'!B31)</f>
        <v>0</v>
      </c>
      <c r="AF13" s="47">
        <f t="shared" si="0"/>
        <v>0</v>
      </c>
    </row>
    <row r="14" spans="1:32" x14ac:dyDescent="0.25">
      <c r="A14" s="45" t="s">
        <v>27</v>
      </c>
      <c r="B14" s="46">
        <f>SUMIFS('Components Yr 2'!D2:D1111,'Components Yr 2'!C2:C1111,A14,'Components Yr 2'!B2:B1111,'Bldgs &amp; Rooms'!B2)</f>
        <v>0</v>
      </c>
      <c r="C14" s="46">
        <f>SUMIFS('Components Yr 2'!D2:D1111,'Components Yr 2'!C2:C1111,A14,'Components Yr 2'!B2:B1111,'Bldgs &amp; Rooms'!B3)</f>
        <v>0</v>
      </c>
      <c r="D14" s="46">
        <f>SUMIFS('Components Yr 2'!D2:D1111,'Components Yr 2'!C2:C1111,A14,'Components Yr 2'!B2:B1111,'Bldgs &amp; Rooms'!B4)</f>
        <v>0</v>
      </c>
      <c r="E14" s="46">
        <f>SUMIFS('Components Yr 2'!D2:D1111,'Components Yr 2'!C2:C1111,A14,'Components Yr 2'!B2:B1111,'Bldgs &amp; Rooms'!B5)</f>
        <v>0</v>
      </c>
      <c r="F14" s="46">
        <f>SUMIFS('Components Yr 2'!D2:D1111,'Components Yr 2'!C2:C1111,A14,'Components Yr 2'!B2:B1111,'Bldgs &amp; Rooms'!B6)</f>
        <v>0</v>
      </c>
      <c r="G14" s="46">
        <f>SUMIFS('Components Yr 2'!D2:D1111,'Components Yr 2'!C2:C1111,A14,'Components Yr 2'!B2:B1111,'Bldgs &amp; Rooms'!B7)</f>
        <v>0</v>
      </c>
      <c r="H14" s="46">
        <f>SUMIFS('Components Yr 2'!D2:D1111,'Components Yr 2'!C2:C1111,A14,'Components Yr 2'!B2:B1111,'Bldgs &amp; Rooms'!B8)</f>
        <v>0</v>
      </c>
      <c r="I14" s="46">
        <f>SUMIFS('Components Yr 2'!D2:D1111,'Components Yr 2'!C2:C1111,A14,'Components Yr 2'!B2:B1111,'Bldgs &amp; Rooms'!B9)</f>
        <v>0</v>
      </c>
      <c r="J14" s="46">
        <f>SUMIFS('Components Yr 2'!D2:D1111,'Components Yr 2'!C2:C1111,A14,'Components Yr 2'!B2:B1111,'Bldgs &amp; Rooms'!B10)</f>
        <v>0</v>
      </c>
      <c r="K14" s="46">
        <f>SUMIFS('Components Yr 2'!D2:D1111,'Components Yr 2'!C2:C1111,A14,'Components Yr 2'!B2:B1111,'Bldgs &amp; Rooms'!B11)</f>
        <v>0</v>
      </c>
      <c r="L14" s="46">
        <f>SUMIFS('Components Yr 2'!D2:D1111,'Components Yr 2'!C2:C1111,A14,'Components Yr 2'!B2:B1111,'Bldgs &amp; Rooms'!B12)</f>
        <v>0</v>
      </c>
      <c r="M14" s="46">
        <f>SUMIFS('Components Yr 2'!D2:D1111,'Components Yr 2'!C2:C1111,A14,'Components Yr 2'!B2:B1111,'Bldgs &amp; Rooms'!B13)</f>
        <v>0</v>
      </c>
      <c r="N14" s="46">
        <f>SUMIFS('Components Yr 2'!D2:D1111,'Components Yr 2'!C2:C1111,A14,'Components Yr 2'!B2:B1111,'Bldgs &amp; Rooms'!B14)</f>
        <v>0</v>
      </c>
      <c r="O14" s="46">
        <f>SUMIFS('Components Yr 2'!D2:D1111,'Components Yr 2'!C2:C1111,A14,'Components Yr 2'!B2:B1111,'Bldgs &amp; Rooms'!B15)</f>
        <v>0</v>
      </c>
      <c r="P14" s="46">
        <f>SUMIFS('Components Yr 2'!D2:D1111,'Components Yr 2'!C2:C1111,A14,'Components Yr 2'!B2:B1111,'Bldgs &amp; Rooms'!B16)</f>
        <v>0</v>
      </c>
      <c r="Q14" s="46">
        <f>SUMIFS('Components Yr 2'!D2:D1111,'Components Yr 2'!C2:C1111,A14,'Components Yr 2'!B2:B1111,'Bldgs &amp; Rooms'!B17)</f>
        <v>0</v>
      </c>
      <c r="R14" s="46">
        <f>SUMIFS('Components Yr 2'!D2:D1111,'Components Yr 2'!C2:C1111,A14,'Components Yr 2'!B2:B1111,'Bldgs &amp; Rooms'!B18)</f>
        <v>0</v>
      </c>
      <c r="S14" s="46">
        <f>SUMIFS('Components Yr 2'!D2:D1111,'Components Yr 2'!C2:C1111,A14,'Components Yr 2'!B2:B1111,'Bldgs &amp; Rooms'!B19)</f>
        <v>0</v>
      </c>
      <c r="T14" s="46">
        <f>SUMIFS('Components Yr 2'!D2:D1111,'Components Yr 2'!C2:C1111,A14,'Components Yr 2'!B2:B1111,'Bldgs &amp; Rooms'!B20)</f>
        <v>0</v>
      </c>
      <c r="U14" s="46">
        <f>SUMIFS('Components Yr 2'!D2:D1111,'Components Yr 2'!C2:C1111,A14,'Components Yr 2'!B2:B1111,'Bldgs &amp; Rooms'!B21)</f>
        <v>0</v>
      </c>
      <c r="V14" s="46">
        <f>SUMIFS('Components Yr 2'!D2:D1111,'Components Yr 2'!C2:C1111,A14,'Components Yr 2'!B2:B1111,'Bldgs &amp; Rooms'!B22)</f>
        <v>0</v>
      </c>
      <c r="W14" s="46">
        <f>SUMIFS('Components Yr 2'!D2:D1111,'Components Yr 2'!C2:C1111,A14,'Components Yr 2'!B2:B1111,'Bldgs &amp; Rooms'!B23)</f>
        <v>0</v>
      </c>
      <c r="X14" s="46">
        <f>SUMIFS('Components Yr 2'!D2:D1111,'Components Yr 2'!C2:C1111,A14,'Components Yr 2'!B2:B1111,'Bldgs &amp; Rooms'!B24)</f>
        <v>0</v>
      </c>
      <c r="Y14" s="46">
        <f>SUMIFS('Components Yr 2'!D2:D1111,'Components Yr 2'!C2:C1111,A14,'Components Yr 2'!B2:B1111,'Bldgs &amp; Rooms'!B25)</f>
        <v>0</v>
      </c>
      <c r="Z14" s="46">
        <f>SUMIFS('Components Yr 2'!D2:D1111,'Components Yr 2'!C2:C1111,A14,'Components Yr 2'!B2:B1111,'Bldgs &amp; Rooms'!B26)</f>
        <v>0</v>
      </c>
      <c r="AA14" s="46">
        <f>SUMIFS('Components Yr 2'!D2:D1111,'Components Yr 2'!C2:C1111,A14,'Components Yr 2'!B2:B1111,'Bldgs &amp; Rooms'!B27)</f>
        <v>0</v>
      </c>
      <c r="AB14" s="46">
        <f>SUMIFS('Components Yr 2'!D2:D1111,'Components Yr 2'!C2:C1111,A14,'Components Yr 2'!B2:B1111,'Bldgs &amp; Rooms'!B28)</f>
        <v>0</v>
      </c>
      <c r="AC14" s="46">
        <f>SUMIFS('Components Yr 2'!D2:D1111,'Components Yr 2'!C2:C1111,A14,'Components Yr 2'!B2:B1111,'Bldgs &amp; Rooms'!B29)</f>
        <v>0</v>
      </c>
      <c r="AD14" s="46">
        <f>SUMIFS('Components Yr 2'!D2:D1111,'Components Yr 2'!C2:C1111,A14,'Components Yr 2'!B2:B1111,'Bldgs &amp; Rooms'!B30)</f>
        <v>0</v>
      </c>
      <c r="AE14" s="46">
        <f>SUMIFS('Components Yr 2'!D2:D1111,'Components Yr 2'!C2:C1111,A14,'Components Yr 2'!B2:B1111,'Bldgs &amp; Rooms'!B31)</f>
        <v>0</v>
      </c>
      <c r="AF14" s="47">
        <f t="shared" si="0"/>
        <v>0</v>
      </c>
    </row>
    <row r="15" spans="1:32" x14ac:dyDescent="0.25">
      <c r="A15" s="48" t="s">
        <v>28</v>
      </c>
      <c r="B15" s="49">
        <f>SUMIFS('Components Yr 2'!D2:D1111,'Components Yr 2'!C2:C1111,A15,'Components Yr 2'!B2:B1111,'Bldgs &amp; Rooms'!B2)</f>
        <v>0</v>
      </c>
      <c r="C15" s="49">
        <f>SUMIFS('Components Yr 2'!D2:D1111,'Components Yr 2'!C2:C1111,A15,'Components Yr 2'!B2:B1111,'Bldgs &amp; Rooms'!B3)</f>
        <v>0</v>
      </c>
      <c r="D15" s="49">
        <f>SUMIFS('Components Yr 2'!D2:D1111,'Components Yr 2'!C2:C1111,A15,'Components Yr 2'!B2:B1111,'Bldgs &amp; Rooms'!B4)</f>
        <v>0</v>
      </c>
      <c r="E15" s="49">
        <f>SUMIFS('Components Yr 2'!D2:D1111,'Components Yr 2'!C2:C1111,A15,'Components Yr 2'!B2:B1111,'Bldgs &amp; Rooms'!B5)</f>
        <v>0</v>
      </c>
      <c r="F15" s="49">
        <f>SUMIFS('Components Yr 2'!D2:D1111,'Components Yr 2'!C2:C1111,A15,'Components Yr 2'!B2:B1111,'Bldgs &amp; Rooms'!B6)</f>
        <v>0</v>
      </c>
      <c r="G15" s="49">
        <f>SUMIFS('Components Yr 2'!D2:D1111,'Components Yr 2'!C2:C1111,A15,'Components Yr 2'!B2:B1111,'Bldgs &amp; Rooms'!B7)</f>
        <v>0</v>
      </c>
      <c r="H15" s="49">
        <f>SUMIFS('Components Yr 2'!D2:D1111,'Components Yr 2'!C2:C1111,A15,'Components Yr 2'!B2:B1111,'Bldgs &amp; Rooms'!B8)</f>
        <v>0</v>
      </c>
      <c r="I15" s="49">
        <f>SUMIFS('Components Yr 2'!D2:D1111,'Components Yr 2'!C2:C1111,A15,'Components Yr 2'!B2:B1111,'Bldgs &amp; Rooms'!B9)</f>
        <v>0</v>
      </c>
      <c r="J15" s="49">
        <f>SUMIFS('Components Yr 2'!D2:D1111,'Components Yr 2'!C2:C1111,A15,'Components Yr 2'!B2:B1111,'Bldgs &amp; Rooms'!B10)</f>
        <v>0</v>
      </c>
      <c r="K15" s="49">
        <f>SUMIFS('Components Yr 2'!D2:D1111,'Components Yr 2'!C2:C1111,A15,'Components Yr 2'!B2:B1111,'Bldgs &amp; Rooms'!B11)</f>
        <v>0</v>
      </c>
      <c r="L15" s="49">
        <f>SUMIFS('Components Yr 2'!D2:D1111,'Components Yr 2'!C2:C1111,A15,'Components Yr 2'!B2:B1111,'Bldgs &amp; Rooms'!B12)</f>
        <v>0</v>
      </c>
      <c r="M15" s="49">
        <f>SUMIFS('Components Yr 2'!D2:D1111,'Components Yr 2'!C2:C1111,A15,'Components Yr 2'!B2:B1111,'Bldgs &amp; Rooms'!B13)</f>
        <v>0</v>
      </c>
      <c r="N15" s="49">
        <f>SUMIFS('Components Yr 2'!D2:D1111,'Components Yr 2'!C2:C1111,A15,'Components Yr 2'!B2:B1111,'Bldgs &amp; Rooms'!B14)</f>
        <v>0</v>
      </c>
      <c r="O15" s="49">
        <f>SUMIFS('Components Yr 2'!D2:D1111,'Components Yr 2'!C2:C1111,A15,'Components Yr 2'!B2:B1111,'Bldgs &amp; Rooms'!B15)</f>
        <v>0</v>
      </c>
      <c r="P15" s="49">
        <f>SUMIFS('Components Yr 2'!D2:D1111,'Components Yr 2'!C2:C1111,A15,'Components Yr 2'!B2:B1111,'Bldgs &amp; Rooms'!B16)</f>
        <v>0</v>
      </c>
      <c r="Q15" s="49">
        <f>SUMIFS('Components Yr 2'!D2:D1111,'Components Yr 2'!C2:C1111,A15,'Components Yr 2'!B2:B1111,'Bldgs &amp; Rooms'!B17)</f>
        <v>0</v>
      </c>
      <c r="R15" s="49">
        <f>SUMIFS('Components Yr 2'!D2:D1111,'Components Yr 2'!C2:C1111,A15,'Components Yr 2'!B2:B1111,'Bldgs &amp; Rooms'!B18)</f>
        <v>0</v>
      </c>
      <c r="S15" s="49">
        <f>SUMIFS('Components Yr 2'!D2:D1111,'Components Yr 2'!C2:C1111,A15,'Components Yr 2'!B2:B1111,'Bldgs &amp; Rooms'!B19)</f>
        <v>0</v>
      </c>
      <c r="T15" s="49">
        <f>SUMIFS('Components Yr 2'!D2:D1111,'Components Yr 2'!C2:C1111,A15,'Components Yr 2'!B2:B1111,'Bldgs &amp; Rooms'!B20)</f>
        <v>0</v>
      </c>
      <c r="U15" s="49">
        <f>SUMIFS('Components Yr 2'!D2:D1111,'Components Yr 2'!C2:C1111,A15,'Components Yr 2'!B2:B1111,'Bldgs &amp; Rooms'!B21)</f>
        <v>0</v>
      </c>
      <c r="V15" s="49">
        <f>SUMIFS('Components Yr 2'!D2:D1111,'Components Yr 2'!C2:C1111,A15,'Components Yr 2'!B2:B1111,'Bldgs &amp; Rooms'!B22)</f>
        <v>0</v>
      </c>
      <c r="W15" s="49">
        <f>SUMIFS('Components Yr 2'!D2:D1111,'Components Yr 2'!C2:C1111,A15,'Components Yr 2'!B2:B1111,'Bldgs &amp; Rooms'!B23)</f>
        <v>0</v>
      </c>
      <c r="X15" s="49">
        <f>SUMIFS('Components Yr 2'!D2:D1111,'Components Yr 2'!C2:C1111,A15,'Components Yr 2'!B2:B1111,'Bldgs &amp; Rooms'!B24)</f>
        <v>0</v>
      </c>
      <c r="Y15" s="49">
        <f>SUMIFS('Components Yr 2'!D2:D1111,'Components Yr 2'!C2:C1111,A15,'Components Yr 2'!B2:B1111,'Bldgs &amp; Rooms'!B25)</f>
        <v>0</v>
      </c>
      <c r="Z15" s="49">
        <f>SUMIFS('Components Yr 2'!D2:D1111,'Components Yr 2'!C2:C1111,A15,'Components Yr 2'!B2:B1111,'Bldgs &amp; Rooms'!B26)</f>
        <v>0</v>
      </c>
      <c r="AA15" s="49">
        <f>SUMIFS('Components Yr 2'!D2:D1111,'Components Yr 2'!C2:C1111,A15,'Components Yr 2'!B2:B1111,'Bldgs &amp; Rooms'!B27)</f>
        <v>0</v>
      </c>
      <c r="AB15" s="49">
        <f>SUMIFS('Components Yr 2'!D2:D1111,'Components Yr 2'!C2:C1111,A15,'Components Yr 2'!B2:B1111,'Bldgs &amp; Rooms'!B28)</f>
        <v>0</v>
      </c>
      <c r="AC15" s="49">
        <f>SUMIFS('Components Yr 2'!D2:D1111,'Components Yr 2'!C2:C1111,A15,'Components Yr 2'!B2:B1111,'Bldgs &amp; Rooms'!B29)</f>
        <v>0</v>
      </c>
      <c r="AD15" s="49">
        <f>SUMIFS('Components Yr 2'!D2:D1111,'Components Yr 2'!C2:C1111,A15,'Components Yr 2'!B2:B1111,'Bldgs &amp; Rooms'!B30)</f>
        <v>0</v>
      </c>
      <c r="AE15" s="49">
        <f>SUMIFS('Components Yr 2'!D2:D1111,'Components Yr 2'!C2:C1111,A15,'Components Yr 2'!B2:B1111,'Bldgs &amp; Rooms'!B31)</f>
        <v>0</v>
      </c>
      <c r="AF15" s="47">
        <f t="shared" si="0"/>
        <v>0</v>
      </c>
    </row>
    <row r="16" spans="1:32" x14ac:dyDescent="0.25">
      <c r="A16" s="45" t="s">
        <v>29</v>
      </c>
      <c r="B16" s="46">
        <f>SUMIFS('Components Yr 2'!D2:D1111,'Components Yr 2'!C2:C1111,A16,'Components Yr 2'!B2:B1111,'Bldgs &amp; Rooms'!B2)</f>
        <v>0</v>
      </c>
      <c r="C16" s="46">
        <f>SUMIFS('Components Yr 2'!D2:D1111,'Components Yr 2'!C2:C1111,A16,'Components Yr 2'!B2:B1111,'Bldgs &amp; Rooms'!B3)</f>
        <v>0</v>
      </c>
      <c r="D16" s="46">
        <f>SUMIFS('Components Yr 2'!D2:D1111,'Components Yr 2'!C2:C1111,A16,'Components Yr 2'!B2:B1111,'Bldgs &amp; Rooms'!B4)</f>
        <v>0</v>
      </c>
      <c r="E16" s="46">
        <f>SUMIFS('Components Yr 2'!D2:D1111,'Components Yr 2'!C2:C1111,A16,'Components Yr 2'!B2:B1111,'Bldgs &amp; Rooms'!B5)</f>
        <v>0</v>
      </c>
      <c r="F16" s="46">
        <f>SUMIFS('Components Yr 2'!D2:D1111,'Components Yr 2'!C2:C1111,A16,'Components Yr 2'!B2:B1111,'Bldgs &amp; Rooms'!B6)</f>
        <v>0</v>
      </c>
      <c r="G16" s="46">
        <f>SUMIFS('Components Yr 2'!D2:D1111,'Components Yr 2'!C2:C1111,A16,'Components Yr 2'!B2:B1111,'Bldgs &amp; Rooms'!B7)</f>
        <v>0</v>
      </c>
      <c r="H16" s="46">
        <f>SUMIFS('Components Yr 2'!D2:D1111,'Components Yr 2'!C2:C1111,A16,'Components Yr 2'!B2:B1111,'Bldgs &amp; Rooms'!B8)</f>
        <v>0</v>
      </c>
      <c r="I16" s="46">
        <f>SUMIFS('Components Yr 2'!D2:D1111,'Components Yr 2'!C2:C1111,A16,'Components Yr 2'!B2:B1111,'Bldgs &amp; Rooms'!B9)</f>
        <v>0</v>
      </c>
      <c r="J16" s="46">
        <f>SUMIFS('Components Yr 2'!D2:D1111,'Components Yr 2'!C2:C1111,A16,'Components Yr 2'!B2:B1111,'Bldgs &amp; Rooms'!B10)</f>
        <v>0</v>
      </c>
      <c r="K16" s="46">
        <f>SUMIFS('Components Yr 2'!D2:D1111,'Components Yr 2'!C2:C1111,A16,'Components Yr 2'!B2:B1111,'Bldgs &amp; Rooms'!B11)</f>
        <v>0</v>
      </c>
      <c r="L16" s="46">
        <f>SUMIFS('Components Yr 2'!D2:D1111,'Components Yr 2'!C2:C1111,A16,'Components Yr 2'!B2:B1111,'Bldgs &amp; Rooms'!B12)</f>
        <v>0</v>
      </c>
      <c r="M16" s="46">
        <f>SUMIFS('Components Yr 2'!D2:D1111,'Components Yr 2'!C2:C1111,A16,'Components Yr 2'!B2:B1111,'Bldgs &amp; Rooms'!B13)</f>
        <v>0</v>
      </c>
      <c r="N16" s="46">
        <f>SUMIFS('Components Yr 2'!D2:D1111,'Components Yr 2'!C2:C1111,A16,'Components Yr 2'!B2:B1111,'Bldgs &amp; Rooms'!B14)</f>
        <v>0</v>
      </c>
      <c r="O16" s="46">
        <f>SUMIFS('Components Yr 2'!D2:D1111,'Components Yr 2'!C2:C1111,A16,'Components Yr 2'!B2:B1111,'Bldgs &amp; Rooms'!B15)</f>
        <v>0</v>
      </c>
      <c r="P16" s="46">
        <f>SUMIFS('Components Yr 2'!D2:D1111,'Components Yr 2'!C2:C1111,A16,'Components Yr 2'!B2:B1111,'Bldgs &amp; Rooms'!B16)</f>
        <v>0</v>
      </c>
      <c r="Q16" s="46">
        <f>SUMIFS('Components Yr 2'!D2:D1111,'Components Yr 2'!C2:C1111,A16,'Components Yr 2'!B2:B1111,'Bldgs &amp; Rooms'!B17)</f>
        <v>0</v>
      </c>
      <c r="R16" s="46">
        <f>SUMIFS('Components Yr 2'!D2:D1111,'Components Yr 2'!C2:C1111,A16,'Components Yr 2'!B2:B1111,'Bldgs &amp; Rooms'!B18)</f>
        <v>0</v>
      </c>
      <c r="S16" s="46">
        <f>SUMIFS('Components Yr 2'!D2:D1111,'Components Yr 2'!C2:C1111,A16,'Components Yr 2'!B2:B1111,'Bldgs &amp; Rooms'!B19)</f>
        <v>0</v>
      </c>
      <c r="T16" s="46">
        <f>SUMIFS('Components Yr 2'!D2:D1111,'Components Yr 2'!C2:C1111,A16,'Components Yr 2'!B2:B1111,'Bldgs &amp; Rooms'!B20)</f>
        <v>0</v>
      </c>
      <c r="U16" s="46">
        <f>SUMIFS('Components Yr 2'!D2:D1111,'Components Yr 2'!C2:C1111,A16,'Components Yr 2'!B2:B1111,'Bldgs &amp; Rooms'!B21)</f>
        <v>0</v>
      </c>
      <c r="V16" s="46">
        <f>SUMIFS('Components Yr 2'!D2:D1111,'Components Yr 2'!C2:C1111,A16,'Components Yr 2'!B2:B1111,'Bldgs &amp; Rooms'!B22)</f>
        <v>0</v>
      </c>
      <c r="W16" s="46">
        <f>SUMIFS('Components Yr 2'!D2:D1111,'Components Yr 2'!C2:C1111,A16,'Components Yr 2'!B2:B1111,'Bldgs &amp; Rooms'!B23)</f>
        <v>0</v>
      </c>
      <c r="X16" s="46">
        <f>SUMIFS('Components Yr 2'!D2:D1111,'Components Yr 2'!C2:C1111,A16,'Components Yr 2'!B2:B1111,'Bldgs &amp; Rooms'!B24)</f>
        <v>0</v>
      </c>
      <c r="Y16" s="46">
        <f>SUMIFS('Components Yr 2'!D2:D1111,'Components Yr 2'!C2:C1111,A16,'Components Yr 2'!B2:B1111,'Bldgs &amp; Rooms'!B25)</f>
        <v>0</v>
      </c>
      <c r="Z16" s="46">
        <f>SUMIFS('Components Yr 2'!D2:D1111,'Components Yr 2'!C2:C1111,A16,'Components Yr 2'!B2:B1111,'Bldgs &amp; Rooms'!B26)</f>
        <v>0</v>
      </c>
      <c r="AA16" s="46">
        <f>SUMIFS('Components Yr 2'!D2:D1111,'Components Yr 2'!C2:C1111,A16,'Components Yr 2'!B2:B1111,'Bldgs &amp; Rooms'!B27)</f>
        <v>0</v>
      </c>
      <c r="AB16" s="46">
        <f>SUMIFS('Components Yr 2'!D2:D1111,'Components Yr 2'!C2:C1111,A16,'Components Yr 2'!B2:B1111,'Bldgs &amp; Rooms'!B28)</f>
        <v>0</v>
      </c>
      <c r="AC16" s="46">
        <f>SUMIFS('Components Yr 2'!D2:D1111,'Components Yr 2'!C2:C1111,A16,'Components Yr 2'!B2:B1111,'Bldgs &amp; Rooms'!B29)</f>
        <v>0</v>
      </c>
      <c r="AD16" s="46">
        <f>SUMIFS('Components Yr 2'!D2:D1111,'Components Yr 2'!C2:C1111,A16,'Components Yr 2'!B2:B1111,'Bldgs &amp; Rooms'!B30)</f>
        <v>0</v>
      </c>
      <c r="AE16" s="46">
        <f>SUMIFS('Components Yr 2'!D2:D1111,'Components Yr 2'!C2:C1111,A16,'Components Yr 2'!B2:B1111,'Bldgs &amp; Rooms'!B31)</f>
        <v>0</v>
      </c>
      <c r="AF16" s="47">
        <f t="shared" si="0"/>
        <v>0</v>
      </c>
    </row>
    <row r="17" spans="1:32" x14ac:dyDescent="0.25">
      <c r="A17" s="48" t="s">
        <v>30</v>
      </c>
      <c r="B17" s="49">
        <f>SUMIFS('Components Yr 2'!D2:D1111,'Components Yr 2'!C2:C1111,A17,'Components Yr 2'!B2:B1111,'Bldgs &amp; Rooms'!B2)</f>
        <v>0</v>
      </c>
      <c r="C17" s="49">
        <f>SUMIFS('Components Yr 2'!D2:D1111,'Components Yr 2'!C2:C1111,A17,'Components Yr 2'!B2:B1111,'Bldgs &amp; Rooms'!B3)</f>
        <v>0</v>
      </c>
      <c r="D17" s="49">
        <f>SUMIFS('Components Yr 2'!D2:D1111,'Components Yr 2'!C2:C1111,A17,'Components Yr 2'!B2:B1111,'Bldgs &amp; Rooms'!B4)</f>
        <v>0</v>
      </c>
      <c r="E17" s="49">
        <f>SUMIFS('Components Yr 2'!D2:D1111,'Components Yr 2'!C2:C1111,A17,'Components Yr 2'!B2:B1111,'Bldgs &amp; Rooms'!B5)</f>
        <v>0</v>
      </c>
      <c r="F17" s="49">
        <f>SUMIFS('Components Yr 2'!D2:D1111,'Components Yr 2'!C2:C1111,A17,'Components Yr 2'!B2:B1111,'Bldgs &amp; Rooms'!B6)</f>
        <v>0</v>
      </c>
      <c r="G17" s="49">
        <f>SUMIFS('Components Yr 2'!D2:D1111,'Components Yr 2'!C2:C1111,A17,'Components Yr 2'!B2:B1111,'Bldgs &amp; Rooms'!B7)</f>
        <v>0</v>
      </c>
      <c r="H17" s="49">
        <f>SUMIFS('Components Yr 2'!D2:D1111,'Components Yr 2'!C2:C1111,A17,'Components Yr 2'!B2:B1111,'Bldgs &amp; Rooms'!B8)</f>
        <v>0</v>
      </c>
      <c r="I17" s="49">
        <f>SUMIFS('Components Yr 2'!D2:D1111,'Components Yr 2'!C2:C1111,A17,'Components Yr 2'!B2:B1111,'Bldgs &amp; Rooms'!B9)</f>
        <v>0</v>
      </c>
      <c r="J17" s="49">
        <f>SUMIFS('Components Yr 2'!D2:D1111,'Components Yr 2'!C2:C1111,A17,'Components Yr 2'!B2:B1111,'Bldgs &amp; Rooms'!B10)</f>
        <v>0</v>
      </c>
      <c r="K17" s="49">
        <f>SUMIFS('Components Yr 2'!D2:D1111,'Components Yr 2'!C2:C1111,A17,'Components Yr 2'!B2:B1111,'Bldgs &amp; Rooms'!B11)</f>
        <v>0</v>
      </c>
      <c r="L17" s="49">
        <f>SUMIFS('Components Yr 2'!D2:D1111,'Components Yr 2'!C2:C1111,A17,'Components Yr 2'!B2:B1111,'Bldgs &amp; Rooms'!B12)</f>
        <v>0</v>
      </c>
      <c r="M17" s="49">
        <f>SUMIFS('Components Yr 2'!D2:D1111,'Components Yr 2'!C2:C1111,A17,'Components Yr 2'!B2:B1111,'Bldgs &amp; Rooms'!B13)</f>
        <v>0</v>
      </c>
      <c r="N17" s="49">
        <f>SUMIFS('Components Yr 2'!D2:D1111,'Components Yr 2'!C2:C1111,A17,'Components Yr 2'!B2:B1111,'Bldgs &amp; Rooms'!B14)</f>
        <v>0</v>
      </c>
      <c r="O17" s="49">
        <f>SUMIFS('Components Yr 2'!D2:D1111,'Components Yr 2'!C2:C1111,A17,'Components Yr 2'!B2:B1111,'Bldgs &amp; Rooms'!B15)</f>
        <v>0</v>
      </c>
      <c r="P17" s="49">
        <f>SUMIFS('Components Yr 2'!D2:D1111,'Components Yr 2'!C2:C1111,A17,'Components Yr 2'!B2:B1111,'Bldgs &amp; Rooms'!B16)</f>
        <v>0</v>
      </c>
      <c r="Q17" s="49">
        <f>SUMIFS('Components Yr 2'!D2:D1111,'Components Yr 2'!C2:C1111,A17,'Components Yr 2'!B2:B1111,'Bldgs &amp; Rooms'!B17)</f>
        <v>0</v>
      </c>
      <c r="R17" s="49">
        <f>SUMIFS('Components Yr 2'!D2:D1111,'Components Yr 2'!C2:C1111,A17,'Components Yr 2'!B2:B1111,'Bldgs &amp; Rooms'!B18)</f>
        <v>0</v>
      </c>
      <c r="S17" s="49">
        <f>SUMIFS('Components Yr 2'!D2:D1111,'Components Yr 2'!C2:C1111,A17,'Components Yr 2'!B2:B1111,'Bldgs &amp; Rooms'!B19)</f>
        <v>0</v>
      </c>
      <c r="T17" s="49">
        <f>SUMIFS('Components Yr 2'!D2:D1111,'Components Yr 2'!C2:C1111,A17,'Components Yr 2'!B2:B1111,'Bldgs &amp; Rooms'!B20)</f>
        <v>0</v>
      </c>
      <c r="U17" s="49">
        <f>SUMIFS('Components Yr 2'!D2:D1111,'Components Yr 2'!C2:C1111,A17,'Components Yr 2'!B2:B1111,'Bldgs &amp; Rooms'!B21)</f>
        <v>0</v>
      </c>
      <c r="V17" s="49">
        <f>SUMIFS('Components Yr 2'!D2:D1111,'Components Yr 2'!C2:C1111,A17,'Components Yr 2'!B2:B1111,'Bldgs &amp; Rooms'!B22)</f>
        <v>0</v>
      </c>
      <c r="W17" s="49">
        <f>SUMIFS('Components Yr 2'!D2:D1111,'Components Yr 2'!C2:C1111,A17,'Components Yr 2'!B2:B1111,'Bldgs &amp; Rooms'!B23)</f>
        <v>0</v>
      </c>
      <c r="X17" s="49">
        <f>SUMIFS('Components Yr 2'!D2:D1111,'Components Yr 2'!C2:C1111,A17,'Components Yr 2'!B2:B1111,'Bldgs &amp; Rooms'!B24)</f>
        <v>0</v>
      </c>
      <c r="Y17" s="49">
        <f>SUMIFS('Components Yr 2'!D2:D1111,'Components Yr 2'!C2:C1111,A17,'Components Yr 2'!B2:B1111,'Bldgs &amp; Rooms'!B25)</f>
        <v>0</v>
      </c>
      <c r="Z17" s="49">
        <f>SUMIFS('Components Yr 2'!D2:D1111,'Components Yr 2'!C2:C1111,A17,'Components Yr 2'!B2:B1111,'Bldgs &amp; Rooms'!B26)</f>
        <v>0</v>
      </c>
      <c r="AA17" s="49">
        <f>SUMIFS('Components Yr 2'!D2:D1111,'Components Yr 2'!C2:C1111,A17,'Components Yr 2'!B2:B1111,'Bldgs &amp; Rooms'!B27)</f>
        <v>0</v>
      </c>
      <c r="AB17" s="49">
        <f>SUMIFS('Components Yr 2'!D2:D1111,'Components Yr 2'!C2:C1111,A17,'Components Yr 2'!B2:B1111,'Bldgs &amp; Rooms'!B28)</f>
        <v>0</v>
      </c>
      <c r="AC17" s="49">
        <f>SUMIFS('Components Yr 2'!D2:D1111,'Components Yr 2'!C2:C1111,A17,'Components Yr 2'!B2:B1111,'Bldgs &amp; Rooms'!B29)</f>
        <v>0</v>
      </c>
      <c r="AD17" s="49">
        <f>SUMIFS('Components Yr 2'!D2:D1111,'Components Yr 2'!C2:C1111,A17,'Components Yr 2'!B2:B1111,'Bldgs &amp; Rooms'!B30)</f>
        <v>0</v>
      </c>
      <c r="AE17" s="49">
        <f>SUMIFS('Components Yr 2'!D2:D1111,'Components Yr 2'!C2:C1111,A17,'Components Yr 2'!B2:B1111,'Bldgs &amp; Rooms'!B31)</f>
        <v>0</v>
      </c>
      <c r="AF17" s="47">
        <f t="shared" si="0"/>
        <v>0</v>
      </c>
    </row>
    <row r="18" spans="1:32" x14ac:dyDescent="0.25">
      <c r="A18" s="45" t="s">
        <v>31</v>
      </c>
      <c r="B18" s="46">
        <f>SUMIFS('Components Yr 2'!D2:D1111,'Components Yr 2'!C2:C1111,A18,'Components Yr 2'!B2:B1111,'Bldgs &amp; Rooms'!B2)</f>
        <v>0</v>
      </c>
      <c r="C18" s="46">
        <f>SUMIFS('Components Yr 2'!D2:D1111,'Components Yr 2'!C2:C1111,A18,'Components Yr 2'!B2:B1111,'Bldgs &amp; Rooms'!B3)</f>
        <v>0</v>
      </c>
      <c r="D18" s="46">
        <f>SUMIFS('Components Yr 2'!D2:D1111,'Components Yr 2'!C2:C1111,A18,'Components Yr 2'!B2:B1111,'Bldgs &amp; Rooms'!B4)</f>
        <v>0</v>
      </c>
      <c r="E18" s="46">
        <f>SUMIFS('Components Yr 2'!D2:D1111,'Components Yr 2'!C2:C1111,A18,'Components Yr 2'!B2:B1111,'Bldgs &amp; Rooms'!B5)</f>
        <v>0</v>
      </c>
      <c r="F18" s="46">
        <f>SUMIFS('Components Yr 2'!D2:D1111,'Components Yr 2'!C2:C1111,A18,'Components Yr 2'!B2:B1111,'Bldgs &amp; Rooms'!B6)</f>
        <v>0</v>
      </c>
      <c r="G18" s="46">
        <f>SUMIFS('Components Yr 2'!D2:D1111,'Components Yr 2'!C2:C1111,A18,'Components Yr 2'!B2:B1111,'Bldgs &amp; Rooms'!B7)</f>
        <v>0</v>
      </c>
      <c r="H18" s="46">
        <f>SUMIFS('Components Yr 2'!D2:D1111,'Components Yr 2'!C2:C1111,A18,'Components Yr 2'!B2:B1111,'Bldgs &amp; Rooms'!B8)</f>
        <v>0</v>
      </c>
      <c r="I18" s="46">
        <f>SUMIFS('Components Yr 2'!D2:D1111,'Components Yr 2'!C2:C1111,A18,'Components Yr 2'!B2:B1111,'Bldgs &amp; Rooms'!B9)</f>
        <v>0</v>
      </c>
      <c r="J18" s="46">
        <f>SUMIFS('Components Yr 2'!D2:D1111,'Components Yr 2'!C2:C1111,A18,'Components Yr 2'!B2:B1111,'Bldgs &amp; Rooms'!B10)</f>
        <v>0</v>
      </c>
      <c r="K18" s="46">
        <f>SUMIFS('Components Yr 2'!D2:D1111,'Components Yr 2'!C2:C1111,A18,'Components Yr 2'!B2:B1111,'Bldgs &amp; Rooms'!B11)</f>
        <v>0</v>
      </c>
      <c r="L18" s="46">
        <f>SUMIFS('Components Yr 2'!D2:D1111,'Components Yr 2'!C2:C1111,A18,'Components Yr 2'!B2:B1111,'Bldgs &amp; Rooms'!B12)</f>
        <v>0</v>
      </c>
      <c r="M18" s="46">
        <f>SUMIFS('Components Yr 2'!D2:D1111,'Components Yr 2'!C2:C1111,A18,'Components Yr 2'!B2:B1111,'Bldgs &amp; Rooms'!B13)</f>
        <v>0</v>
      </c>
      <c r="N18" s="46">
        <f>SUMIFS('Components Yr 2'!D2:D1111,'Components Yr 2'!C2:C1111,A18,'Components Yr 2'!B2:B1111,'Bldgs &amp; Rooms'!B14)</f>
        <v>0</v>
      </c>
      <c r="O18" s="46">
        <f>SUMIFS('Components Yr 2'!D2:D1111,'Components Yr 2'!C2:C1111,A18,'Components Yr 2'!B2:B1111,'Bldgs &amp; Rooms'!B15)</f>
        <v>0</v>
      </c>
      <c r="P18" s="46">
        <f>SUMIFS('Components Yr 2'!D2:D1111,'Components Yr 2'!C2:C1111,A18,'Components Yr 2'!B2:B1111,'Bldgs &amp; Rooms'!B16)</f>
        <v>0</v>
      </c>
      <c r="Q18" s="46">
        <f>SUMIFS('Components Yr 2'!D2:D1111,'Components Yr 2'!C2:C1111,A18,'Components Yr 2'!B2:B1111,'Bldgs &amp; Rooms'!B17)</f>
        <v>0</v>
      </c>
      <c r="R18" s="46">
        <f>SUMIFS('Components Yr 2'!D2:D1111,'Components Yr 2'!C2:C1111,A18,'Components Yr 2'!B2:B1111,'Bldgs &amp; Rooms'!B18)</f>
        <v>0</v>
      </c>
      <c r="S18" s="46">
        <f>SUMIFS('Components Yr 2'!D2:D1111,'Components Yr 2'!C2:C1111,A18,'Components Yr 2'!B2:B1111,'Bldgs &amp; Rooms'!B19)</f>
        <v>0</v>
      </c>
      <c r="T18" s="46">
        <f>SUMIFS('Components Yr 2'!D2:D1111,'Components Yr 2'!C2:C1111,A18,'Components Yr 2'!B2:B1111,'Bldgs &amp; Rooms'!B20)</f>
        <v>0</v>
      </c>
      <c r="U18" s="46">
        <f>SUMIFS('Components Yr 2'!D2:D1111,'Components Yr 2'!C2:C1111,A18,'Components Yr 2'!B2:B1111,'Bldgs &amp; Rooms'!B21)</f>
        <v>0</v>
      </c>
      <c r="V18" s="46">
        <f>SUMIFS('Components Yr 2'!D2:D1111,'Components Yr 2'!C2:C1111,A18,'Components Yr 2'!B2:B1111,'Bldgs &amp; Rooms'!B22)</f>
        <v>0</v>
      </c>
      <c r="W18" s="46">
        <f>SUMIFS('Components Yr 2'!D2:D1111,'Components Yr 2'!C2:C1111,A18,'Components Yr 2'!B2:B1111,'Bldgs &amp; Rooms'!B23)</f>
        <v>0</v>
      </c>
      <c r="X18" s="46">
        <f>SUMIFS('Components Yr 2'!D2:D1111,'Components Yr 2'!C2:C1111,A18,'Components Yr 2'!B2:B1111,'Bldgs &amp; Rooms'!B24)</f>
        <v>0</v>
      </c>
      <c r="Y18" s="46">
        <f>SUMIFS('Components Yr 2'!D2:D1111,'Components Yr 2'!C2:C1111,A18,'Components Yr 2'!B2:B1111,'Bldgs &amp; Rooms'!B25)</f>
        <v>0</v>
      </c>
      <c r="Z18" s="46">
        <f>SUMIFS('Components Yr 2'!D2:D1111,'Components Yr 2'!C2:C1111,A18,'Components Yr 2'!B2:B1111,'Bldgs &amp; Rooms'!B26)</f>
        <v>0</v>
      </c>
      <c r="AA18" s="46">
        <f>SUMIFS('Components Yr 2'!D2:D1111,'Components Yr 2'!C2:C1111,A18,'Components Yr 2'!B2:B1111,'Bldgs &amp; Rooms'!B27)</f>
        <v>0</v>
      </c>
      <c r="AB18" s="46">
        <f>SUMIFS('Components Yr 2'!D2:D1111,'Components Yr 2'!C2:C1111,A18,'Components Yr 2'!B2:B1111,'Bldgs &amp; Rooms'!B28)</f>
        <v>0</v>
      </c>
      <c r="AC18" s="46">
        <f>SUMIFS('Components Yr 2'!D2:D1111,'Components Yr 2'!C2:C1111,A18,'Components Yr 2'!B2:B1111,'Bldgs &amp; Rooms'!B29)</f>
        <v>0</v>
      </c>
      <c r="AD18" s="46">
        <f>SUMIFS('Components Yr 2'!D2:D1111,'Components Yr 2'!C2:C1111,A18,'Components Yr 2'!B2:B1111,'Bldgs &amp; Rooms'!B30)</f>
        <v>0</v>
      </c>
      <c r="AE18" s="46">
        <f>SUMIFS('Components Yr 2'!D2:D1111,'Components Yr 2'!C2:C1111,A18,'Components Yr 2'!B2:B1111,'Bldgs &amp; Rooms'!B31)</f>
        <v>0</v>
      </c>
      <c r="AF18" s="47">
        <f t="shared" si="0"/>
        <v>0</v>
      </c>
    </row>
    <row r="19" spans="1:32" x14ac:dyDescent="0.25">
      <c r="A19" s="48" t="s">
        <v>32</v>
      </c>
      <c r="B19" s="49">
        <f>SUMIFS('Components Yr 2'!D2:D1111,'Components Yr 2'!C2:C1111,A19,'Components Yr 2'!B2:B1111,'Bldgs &amp; Rooms'!B2)</f>
        <v>0</v>
      </c>
      <c r="C19" s="49">
        <f>SUMIFS('Components Yr 2'!D2:D1111,'Components Yr 2'!C2:C1111,A19,'Components Yr 2'!B2:B1111,'Bldgs &amp; Rooms'!B3)</f>
        <v>0</v>
      </c>
      <c r="D19" s="49">
        <f>SUMIFS('Components Yr 2'!D2:D1111,'Components Yr 2'!C2:C1111,A19,'Components Yr 2'!B2:B1111,'Bldgs &amp; Rooms'!B4)</f>
        <v>0</v>
      </c>
      <c r="E19" s="49">
        <f>SUMIFS('Components Yr 2'!D2:D1111,'Components Yr 2'!C2:C1111,A19,'Components Yr 2'!B2:B1111,'Bldgs &amp; Rooms'!B5)</f>
        <v>0</v>
      </c>
      <c r="F19" s="49">
        <f>SUMIFS('Components Yr 2'!D2:D1111,'Components Yr 2'!C2:C1111,A19,'Components Yr 2'!B2:B1111,'Bldgs &amp; Rooms'!B6)</f>
        <v>0</v>
      </c>
      <c r="G19" s="49">
        <f>SUMIFS('Components Yr 2'!D2:D1111,'Components Yr 2'!C2:C1111,A19,'Components Yr 2'!B2:B1111,'Bldgs &amp; Rooms'!B7)</f>
        <v>0</v>
      </c>
      <c r="H19" s="49">
        <f>SUMIFS('Components Yr 2'!D2:D1111,'Components Yr 2'!C2:C1111,A19,'Components Yr 2'!B2:B1111,'Bldgs &amp; Rooms'!B8)</f>
        <v>0</v>
      </c>
      <c r="I19" s="49">
        <f>SUMIFS('Components Yr 2'!D2:D1111,'Components Yr 2'!C2:C1111,A19,'Components Yr 2'!B2:B1111,'Bldgs &amp; Rooms'!B9)</f>
        <v>0</v>
      </c>
      <c r="J19" s="49">
        <f>SUMIFS('Components Yr 2'!D2:D1111,'Components Yr 2'!C2:C1111,A19,'Components Yr 2'!B2:B1111,'Bldgs &amp; Rooms'!B10)</f>
        <v>0</v>
      </c>
      <c r="K19" s="49">
        <f>SUMIFS('Components Yr 2'!D2:D1111,'Components Yr 2'!C2:C1111,A19,'Components Yr 2'!B2:B1111,'Bldgs &amp; Rooms'!B11)</f>
        <v>0</v>
      </c>
      <c r="L19" s="49">
        <f>SUMIFS('Components Yr 2'!D2:D1111,'Components Yr 2'!C2:C1111,A19,'Components Yr 2'!B2:B1111,'Bldgs &amp; Rooms'!B12)</f>
        <v>0</v>
      </c>
      <c r="M19" s="49">
        <f>SUMIFS('Components Yr 2'!D2:D1111,'Components Yr 2'!C2:C1111,A19,'Components Yr 2'!B2:B1111,'Bldgs &amp; Rooms'!B13)</f>
        <v>0</v>
      </c>
      <c r="N19" s="49">
        <f>SUMIFS('Components Yr 2'!D2:D1111,'Components Yr 2'!C2:C1111,A19,'Components Yr 2'!B2:B1111,'Bldgs &amp; Rooms'!B14)</f>
        <v>0</v>
      </c>
      <c r="O19" s="49">
        <f>SUMIFS('Components Yr 2'!D2:D1111,'Components Yr 2'!C2:C1111,A19,'Components Yr 2'!B2:B1111,'Bldgs &amp; Rooms'!B15)</f>
        <v>0</v>
      </c>
      <c r="P19" s="49">
        <f>SUMIFS('Components Yr 2'!D2:D1111,'Components Yr 2'!C2:C1111,A19,'Components Yr 2'!B2:B1111,'Bldgs &amp; Rooms'!B16)</f>
        <v>0</v>
      </c>
      <c r="Q19" s="49">
        <f>SUMIFS('Components Yr 2'!D2:D1111,'Components Yr 2'!C2:C1111,A19,'Components Yr 2'!B2:B1111,'Bldgs &amp; Rooms'!B17)</f>
        <v>0</v>
      </c>
      <c r="R19" s="49">
        <f>SUMIFS('Components Yr 2'!D2:D1111,'Components Yr 2'!C2:C1111,A19,'Components Yr 2'!B2:B1111,'Bldgs &amp; Rooms'!B18)</f>
        <v>0</v>
      </c>
      <c r="S19" s="49">
        <f>SUMIFS('Components Yr 2'!D2:D1111,'Components Yr 2'!C2:C1111,A19,'Components Yr 2'!B2:B1111,'Bldgs &amp; Rooms'!B19)</f>
        <v>0</v>
      </c>
      <c r="T19" s="49">
        <f>SUMIFS('Components Yr 2'!D2:D1111,'Components Yr 2'!C2:C1111,A19,'Components Yr 2'!B2:B1111,'Bldgs &amp; Rooms'!B20)</f>
        <v>0</v>
      </c>
      <c r="U19" s="49">
        <f>SUMIFS('Components Yr 2'!D2:D1111,'Components Yr 2'!C2:C1111,A19,'Components Yr 2'!B2:B1111,'Bldgs &amp; Rooms'!B21)</f>
        <v>0</v>
      </c>
      <c r="V19" s="49">
        <f>SUMIFS('Components Yr 2'!D2:D1111,'Components Yr 2'!C2:C1111,A19,'Components Yr 2'!B2:B1111,'Bldgs &amp; Rooms'!B22)</f>
        <v>0</v>
      </c>
      <c r="W19" s="49">
        <f>SUMIFS('Components Yr 2'!D2:D1111,'Components Yr 2'!C2:C1111,A19,'Components Yr 2'!B2:B1111,'Bldgs &amp; Rooms'!B23)</f>
        <v>0</v>
      </c>
      <c r="X19" s="49">
        <f>SUMIFS('Components Yr 2'!D2:D1111,'Components Yr 2'!C2:C1111,A19,'Components Yr 2'!B2:B1111,'Bldgs &amp; Rooms'!B24)</f>
        <v>0</v>
      </c>
      <c r="Y19" s="49">
        <f>SUMIFS('Components Yr 2'!D2:D1111,'Components Yr 2'!C2:C1111,A19,'Components Yr 2'!B2:B1111,'Bldgs &amp; Rooms'!B25)</f>
        <v>0</v>
      </c>
      <c r="Z19" s="49">
        <f>SUMIFS('Components Yr 2'!D2:D1111,'Components Yr 2'!C2:C1111,A19,'Components Yr 2'!B2:B1111,'Bldgs &amp; Rooms'!B26)</f>
        <v>0</v>
      </c>
      <c r="AA19" s="49">
        <f>SUMIFS('Components Yr 2'!D2:D1111,'Components Yr 2'!C2:C1111,A19,'Components Yr 2'!B2:B1111,'Bldgs &amp; Rooms'!B27)</f>
        <v>0</v>
      </c>
      <c r="AB19" s="49">
        <f>SUMIFS('Components Yr 2'!D2:D1111,'Components Yr 2'!C2:C1111,A19,'Components Yr 2'!B2:B1111,'Bldgs &amp; Rooms'!B28)</f>
        <v>0</v>
      </c>
      <c r="AC19" s="49">
        <f>SUMIFS('Components Yr 2'!D2:D1111,'Components Yr 2'!C2:C1111,A19,'Components Yr 2'!B2:B1111,'Bldgs &amp; Rooms'!B29)</f>
        <v>0</v>
      </c>
      <c r="AD19" s="49">
        <f>SUMIFS('Components Yr 2'!D2:D1111,'Components Yr 2'!C2:C1111,A19,'Components Yr 2'!B2:B1111,'Bldgs &amp; Rooms'!B30)</f>
        <v>0</v>
      </c>
      <c r="AE19" s="49">
        <f>SUMIFS('Components Yr 2'!D2:D1111,'Components Yr 2'!C2:C1111,A19,'Components Yr 2'!B2:B1111,'Bldgs &amp; Rooms'!B31)</f>
        <v>0</v>
      </c>
      <c r="AF19" s="47">
        <f t="shared" si="0"/>
        <v>0</v>
      </c>
    </row>
    <row r="20" spans="1:32" x14ac:dyDescent="0.25">
      <c r="A20" s="45" t="s">
        <v>33</v>
      </c>
      <c r="B20" s="46">
        <f>SUMIFS('Components Yr 2'!D2:D1111,'Components Yr 2'!C2:C1111,A20,'Components Yr 2'!B2:B1111,'Bldgs &amp; Rooms'!B2)</f>
        <v>0</v>
      </c>
      <c r="C20" s="46">
        <f>SUMIFS('Components Yr 2'!D2:D1111,'Components Yr 2'!C2:C1111,A20,'Components Yr 2'!B2:B1111,'Bldgs &amp; Rooms'!B3)</f>
        <v>0</v>
      </c>
      <c r="D20" s="46">
        <f>SUMIFS('Components Yr 2'!D2:D1111,'Components Yr 2'!C2:C1111,A20,'Components Yr 2'!B2:B1111,'Bldgs &amp; Rooms'!B4)</f>
        <v>0</v>
      </c>
      <c r="E20" s="46">
        <f>SUMIFS('Components Yr 2'!D2:D1111,'Components Yr 2'!C2:C1111,A20,'Components Yr 2'!B2:B1111,'Bldgs &amp; Rooms'!B5)</f>
        <v>0</v>
      </c>
      <c r="F20" s="46">
        <f>SUMIFS('Components Yr 2'!D2:D1111,'Components Yr 2'!C2:C1111,A20,'Components Yr 2'!B2:B1111,'Bldgs &amp; Rooms'!B6)</f>
        <v>0</v>
      </c>
      <c r="G20" s="46">
        <f>SUMIFS('Components Yr 2'!D2:D1111,'Components Yr 2'!C2:C1111,A20,'Components Yr 2'!B2:B1111,'Bldgs &amp; Rooms'!B7)</f>
        <v>0</v>
      </c>
      <c r="H20" s="46">
        <f>SUMIFS('Components Yr 2'!D2:D1111,'Components Yr 2'!C2:C1111,A20,'Components Yr 2'!B2:B1111,'Bldgs &amp; Rooms'!B8)</f>
        <v>0</v>
      </c>
      <c r="I20" s="46">
        <f>SUMIFS('Components Yr 2'!D2:D1111,'Components Yr 2'!C2:C1111,A20,'Components Yr 2'!B2:B1111,'Bldgs &amp; Rooms'!B9)</f>
        <v>0</v>
      </c>
      <c r="J20" s="46">
        <f>SUMIFS('Components Yr 2'!D2:D1111,'Components Yr 2'!C2:C1111,A20,'Components Yr 2'!B2:B1111,'Bldgs &amp; Rooms'!B10)</f>
        <v>0</v>
      </c>
      <c r="K20" s="46">
        <f>SUMIFS('Components Yr 2'!D2:D1111,'Components Yr 2'!C2:C1111,A20,'Components Yr 2'!B2:B1111,'Bldgs &amp; Rooms'!B11)</f>
        <v>0</v>
      </c>
      <c r="L20" s="46">
        <f>SUMIFS('Components Yr 2'!D2:D1111,'Components Yr 2'!C2:C1111,A20,'Components Yr 2'!B2:B1111,'Bldgs &amp; Rooms'!B12)</f>
        <v>0</v>
      </c>
      <c r="M20" s="46">
        <f>SUMIFS('Components Yr 2'!D2:D1111,'Components Yr 2'!C2:C1111,A20,'Components Yr 2'!B2:B1111,'Bldgs &amp; Rooms'!B13)</f>
        <v>0</v>
      </c>
      <c r="N20" s="46">
        <f>SUMIFS('Components Yr 2'!D2:D1111,'Components Yr 2'!C2:C1111,A20,'Components Yr 2'!B2:B1111,'Bldgs &amp; Rooms'!B14)</f>
        <v>0</v>
      </c>
      <c r="O20" s="46">
        <f>SUMIFS('Components Yr 2'!D2:D1111,'Components Yr 2'!C2:C1111,A20,'Components Yr 2'!B2:B1111,'Bldgs &amp; Rooms'!B15)</f>
        <v>0</v>
      </c>
      <c r="P20" s="46">
        <f>SUMIFS('Components Yr 2'!D2:D1111,'Components Yr 2'!C2:C1111,A20,'Components Yr 2'!B2:B1111,'Bldgs &amp; Rooms'!B16)</f>
        <v>0</v>
      </c>
      <c r="Q20" s="46">
        <f>SUMIFS('Components Yr 2'!D2:D1111,'Components Yr 2'!C2:C1111,A20,'Components Yr 2'!B2:B1111,'Bldgs &amp; Rooms'!B17)</f>
        <v>0</v>
      </c>
      <c r="R20" s="46">
        <f>SUMIFS('Components Yr 2'!D2:D1111,'Components Yr 2'!C2:C1111,A20,'Components Yr 2'!B2:B1111,'Bldgs &amp; Rooms'!B18)</f>
        <v>0</v>
      </c>
      <c r="S20" s="46">
        <f>SUMIFS('Components Yr 2'!D2:D1111,'Components Yr 2'!C2:C1111,A20,'Components Yr 2'!B2:B1111,'Bldgs &amp; Rooms'!B19)</f>
        <v>0</v>
      </c>
      <c r="T20" s="46">
        <f>SUMIFS('Components Yr 2'!D2:D1111,'Components Yr 2'!C2:C1111,A20,'Components Yr 2'!B2:B1111,'Bldgs &amp; Rooms'!B20)</f>
        <v>0</v>
      </c>
      <c r="U20" s="46">
        <f>SUMIFS('Components Yr 2'!D2:D1111,'Components Yr 2'!C2:C1111,A20,'Components Yr 2'!B2:B1111,'Bldgs &amp; Rooms'!B21)</f>
        <v>0</v>
      </c>
      <c r="V20" s="46">
        <f>SUMIFS('Components Yr 2'!D2:D1111,'Components Yr 2'!C2:C1111,A20,'Components Yr 2'!B2:B1111,'Bldgs &amp; Rooms'!B22)</f>
        <v>0</v>
      </c>
      <c r="W20" s="46">
        <f>SUMIFS('Components Yr 2'!D2:D1111,'Components Yr 2'!C2:C1111,A20,'Components Yr 2'!B2:B1111,'Bldgs &amp; Rooms'!B23)</f>
        <v>0</v>
      </c>
      <c r="X20" s="46">
        <f>SUMIFS('Components Yr 2'!D2:D1111,'Components Yr 2'!C2:C1111,A20,'Components Yr 2'!B2:B1111,'Bldgs &amp; Rooms'!B24)</f>
        <v>0</v>
      </c>
      <c r="Y20" s="46">
        <f>SUMIFS('Components Yr 2'!D2:D1111,'Components Yr 2'!C2:C1111,A20,'Components Yr 2'!B2:B1111,'Bldgs &amp; Rooms'!B25)</f>
        <v>0</v>
      </c>
      <c r="Z20" s="46">
        <f>SUMIFS('Components Yr 2'!D2:D1111,'Components Yr 2'!C2:C1111,A20,'Components Yr 2'!B2:B1111,'Bldgs &amp; Rooms'!B26)</f>
        <v>0</v>
      </c>
      <c r="AA20" s="46">
        <f>SUMIFS('Components Yr 2'!D2:D1111,'Components Yr 2'!C2:C1111,A20,'Components Yr 2'!B2:B1111,'Bldgs &amp; Rooms'!B27)</f>
        <v>0</v>
      </c>
      <c r="AB20" s="46">
        <f>SUMIFS('Components Yr 2'!D2:D1111,'Components Yr 2'!C2:C1111,A20,'Components Yr 2'!B2:B1111,'Bldgs &amp; Rooms'!B28)</f>
        <v>0</v>
      </c>
      <c r="AC20" s="46">
        <f>SUMIFS('Components Yr 2'!D2:D1111,'Components Yr 2'!C2:C1111,A20,'Components Yr 2'!B2:B1111,'Bldgs &amp; Rooms'!B29)</f>
        <v>0</v>
      </c>
      <c r="AD20" s="46">
        <f>SUMIFS('Components Yr 2'!D2:D1111,'Components Yr 2'!C2:C1111,A20,'Components Yr 2'!B2:B1111,'Bldgs &amp; Rooms'!B30)</f>
        <v>0</v>
      </c>
      <c r="AE20" s="46">
        <f>SUMIFS('Components Yr 2'!D2:D1111,'Components Yr 2'!C2:C1111,A20,'Components Yr 2'!B2:B1111,'Bldgs &amp; Rooms'!B31)</f>
        <v>0</v>
      </c>
      <c r="AF20" s="47">
        <f t="shared" si="0"/>
        <v>0</v>
      </c>
    </row>
    <row r="21" spans="1:32" x14ac:dyDescent="0.25">
      <c r="A21" s="48" t="s">
        <v>34</v>
      </c>
      <c r="B21" s="49">
        <f>SUMIFS('Components Yr 2'!D2:D1111,'Components Yr 2'!C2:C1111,A21,'Components Yr 2'!B2:B1111,'Bldgs &amp; Rooms'!B2)</f>
        <v>0</v>
      </c>
      <c r="C21" s="49">
        <f>SUMIFS('Components Yr 2'!D2:D1111,'Components Yr 2'!C2:C1111,A21,'Components Yr 2'!B2:B1111,'Bldgs &amp; Rooms'!B3)</f>
        <v>0</v>
      </c>
      <c r="D21" s="49">
        <f>SUMIFS('Components Yr 2'!D2:D1111,'Components Yr 2'!C2:C1111,A21,'Components Yr 2'!B2:B1111,'Bldgs &amp; Rooms'!B4)</f>
        <v>0</v>
      </c>
      <c r="E21" s="49">
        <f>SUMIFS('Components Yr 2'!D2:D1111,'Components Yr 2'!C2:C1111,A21,'Components Yr 2'!B2:B1111,'Bldgs &amp; Rooms'!B5)</f>
        <v>0</v>
      </c>
      <c r="F21" s="49">
        <f>SUMIFS('Components Yr 2'!D2:D1111,'Components Yr 2'!C2:C1111,A21,'Components Yr 2'!B2:B1111,'Bldgs &amp; Rooms'!B6)</f>
        <v>0</v>
      </c>
      <c r="G21" s="49">
        <f>SUMIFS('Components Yr 2'!D2:D1111,'Components Yr 2'!C2:C1111,A21,'Components Yr 2'!B2:B1111,'Bldgs &amp; Rooms'!B7)</f>
        <v>0</v>
      </c>
      <c r="H21" s="49">
        <f>SUMIFS('Components Yr 2'!D2:D1111,'Components Yr 2'!C2:C1111,A21,'Components Yr 2'!B2:B1111,'Bldgs &amp; Rooms'!B8)</f>
        <v>0</v>
      </c>
      <c r="I21" s="49">
        <f>SUMIFS('Components Yr 2'!D2:D1111,'Components Yr 2'!C2:C1111,A21,'Components Yr 2'!B2:B1111,'Bldgs &amp; Rooms'!B9)</f>
        <v>0</v>
      </c>
      <c r="J21" s="49">
        <f>SUMIFS('Components Yr 2'!D2:D1111,'Components Yr 2'!C2:C1111,A21,'Components Yr 2'!B2:B1111,'Bldgs &amp; Rooms'!B10)</f>
        <v>0</v>
      </c>
      <c r="K21" s="49">
        <f>SUMIFS('Components Yr 2'!D2:D1111,'Components Yr 2'!C2:C1111,A21,'Components Yr 2'!B2:B1111,'Bldgs &amp; Rooms'!B11)</f>
        <v>0</v>
      </c>
      <c r="L21" s="49">
        <f>SUMIFS('Components Yr 2'!D2:D1111,'Components Yr 2'!C2:C1111,A21,'Components Yr 2'!B2:B1111,'Bldgs &amp; Rooms'!B12)</f>
        <v>0</v>
      </c>
      <c r="M21" s="49">
        <f>SUMIFS('Components Yr 2'!D2:D1111,'Components Yr 2'!C2:C1111,A21,'Components Yr 2'!B2:B1111,'Bldgs &amp; Rooms'!B13)</f>
        <v>0</v>
      </c>
      <c r="N21" s="49">
        <f>SUMIFS('Components Yr 2'!D2:D1111,'Components Yr 2'!C2:C1111,A21,'Components Yr 2'!B2:B1111,'Bldgs &amp; Rooms'!B14)</f>
        <v>0</v>
      </c>
      <c r="O21" s="49">
        <f>SUMIFS('Components Yr 2'!D2:D1111,'Components Yr 2'!C2:C1111,A21,'Components Yr 2'!B2:B1111,'Bldgs &amp; Rooms'!B15)</f>
        <v>0</v>
      </c>
      <c r="P21" s="49">
        <f>SUMIFS('Components Yr 2'!D2:D1111,'Components Yr 2'!C2:C1111,A21,'Components Yr 2'!B2:B1111,'Bldgs &amp; Rooms'!B16)</f>
        <v>0</v>
      </c>
      <c r="Q21" s="49">
        <f>SUMIFS('Components Yr 2'!D2:D1111,'Components Yr 2'!C2:C1111,A21,'Components Yr 2'!B2:B1111,'Bldgs &amp; Rooms'!B17)</f>
        <v>0</v>
      </c>
      <c r="R21" s="49">
        <f>SUMIFS('Components Yr 2'!D2:D1111,'Components Yr 2'!C2:C1111,A21,'Components Yr 2'!B2:B1111,'Bldgs &amp; Rooms'!B18)</f>
        <v>0</v>
      </c>
      <c r="S21" s="49">
        <f>SUMIFS('Components Yr 2'!D2:D1111,'Components Yr 2'!C2:C1111,A21,'Components Yr 2'!B2:B1111,'Bldgs &amp; Rooms'!B19)</f>
        <v>0</v>
      </c>
      <c r="T21" s="49">
        <f>SUMIFS('Components Yr 2'!D2:D1111,'Components Yr 2'!C2:C1111,A21,'Components Yr 2'!B2:B1111,'Bldgs &amp; Rooms'!B20)</f>
        <v>0</v>
      </c>
      <c r="U21" s="49">
        <f>SUMIFS('Components Yr 2'!D2:D1111,'Components Yr 2'!C2:C1111,A21,'Components Yr 2'!B2:B1111,'Bldgs &amp; Rooms'!B21)</f>
        <v>0</v>
      </c>
      <c r="V21" s="49">
        <f>SUMIFS('Components Yr 2'!D2:D1111,'Components Yr 2'!C2:C1111,A21,'Components Yr 2'!B2:B1111,'Bldgs &amp; Rooms'!B22)</f>
        <v>0</v>
      </c>
      <c r="W21" s="49">
        <f>SUMIFS('Components Yr 2'!D2:D1111,'Components Yr 2'!C2:C1111,A21,'Components Yr 2'!B2:B1111,'Bldgs &amp; Rooms'!B23)</f>
        <v>0</v>
      </c>
      <c r="X21" s="49">
        <f>SUMIFS('Components Yr 2'!D2:D1111,'Components Yr 2'!C2:C1111,A21,'Components Yr 2'!B2:B1111,'Bldgs &amp; Rooms'!B24)</f>
        <v>0</v>
      </c>
      <c r="Y21" s="49">
        <f>SUMIFS('Components Yr 2'!D2:D1111,'Components Yr 2'!C2:C1111,A21,'Components Yr 2'!B2:B1111,'Bldgs &amp; Rooms'!B25)</f>
        <v>0</v>
      </c>
      <c r="Z21" s="49">
        <f>SUMIFS('Components Yr 2'!D2:D1111,'Components Yr 2'!C2:C1111,A21,'Components Yr 2'!B2:B1111,'Bldgs &amp; Rooms'!B26)</f>
        <v>0</v>
      </c>
      <c r="AA21" s="49">
        <f>SUMIFS('Components Yr 2'!D2:D1111,'Components Yr 2'!C2:C1111,A21,'Components Yr 2'!B2:B1111,'Bldgs &amp; Rooms'!B27)</f>
        <v>0</v>
      </c>
      <c r="AB21" s="49">
        <f>SUMIFS('Components Yr 2'!D2:D1111,'Components Yr 2'!C2:C1111,A21,'Components Yr 2'!B2:B1111,'Bldgs &amp; Rooms'!B28)</f>
        <v>0</v>
      </c>
      <c r="AC21" s="49">
        <f>SUMIFS('Components Yr 2'!D2:D1111,'Components Yr 2'!C2:C1111,A21,'Components Yr 2'!B2:B1111,'Bldgs &amp; Rooms'!B29)</f>
        <v>0</v>
      </c>
      <c r="AD21" s="49">
        <f>SUMIFS('Components Yr 2'!D2:D1111,'Components Yr 2'!C2:C1111,A21,'Components Yr 2'!B2:B1111,'Bldgs &amp; Rooms'!B30)</f>
        <v>0</v>
      </c>
      <c r="AE21" s="49">
        <f>SUMIFS('Components Yr 2'!D2:D1111,'Components Yr 2'!C2:C1111,A21,'Components Yr 2'!B2:B1111,'Bldgs &amp; Rooms'!B31)</f>
        <v>0</v>
      </c>
      <c r="AF21" s="47">
        <f t="shared" si="0"/>
        <v>0</v>
      </c>
    </row>
    <row r="22" spans="1:32" x14ac:dyDescent="0.25">
      <c r="A22" s="45" t="s">
        <v>35</v>
      </c>
      <c r="B22" s="46">
        <f>SUMIFS('Components Yr 2'!D2:D1111,'Components Yr 2'!C2:C1111,A22,'Components Yr 2'!B2:B1111,'Bldgs &amp; Rooms'!B2)</f>
        <v>0</v>
      </c>
      <c r="C22" s="46">
        <f>SUMIFS('Components Yr 2'!D2:D1111,'Components Yr 2'!C2:C1111,A22,'Components Yr 2'!B2:B1111,'Bldgs &amp; Rooms'!B3)</f>
        <v>0</v>
      </c>
      <c r="D22" s="46">
        <f>SUMIFS('Components Yr 2'!D2:D1111,'Components Yr 2'!C2:C1111,A22,'Components Yr 2'!B2:B1111,'Bldgs &amp; Rooms'!B4)</f>
        <v>0</v>
      </c>
      <c r="E22" s="46">
        <f>SUMIFS('Components Yr 2'!D2:D1111,'Components Yr 2'!C2:C1111,A22,'Components Yr 2'!B2:B1111,'Bldgs &amp; Rooms'!B5)</f>
        <v>0</v>
      </c>
      <c r="F22" s="46">
        <f>SUMIFS('Components Yr 2'!D2:D1111,'Components Yr 2'!C2:C1111,A22,'Components Yr 2'!B2:B1111,'Bldgs &amp; Rooms'!B6)</f>
        <v>0</v>
      </c>
      <c r="G22" s="46">
        <f>SUMIFS('Components Yr 2'!D2:D1111,'Components Yr 2'!C2:C1111,A22,'Components Yr 2'!B2:B1111,'Bldgs &amp; Rooms'!B7)</f>
        <v>0</v>
      </c>
      <c r="H22" s="46">
        <f>SUMIFS('Components Yr 2'!D2:D1111,'Components Yr 2'!C2:C1111,A22,'Components Yr 2'!B2:B1111,'Bldgs &amp; Rooms'!B8)</f>
        <v>0</v>
      </c>
      <c r="I22" s="46">
        <f>SUMIFS('Components Yr 2'!D2:D1111,'Components Yr 2'!C2:C1111,A22,'Components Yr 2'!B2:B1111,'Bldgs &amp; Rooms'!B9)</f>
        <v>0</v>
      </c>
      <c r="J22" s="46">
        <f>SUMIFS('Components Yr 2'!D2:D1111,'Components Yr 2'!C2:C1111,A22,'Components Yr 2'!B2:B1111,'Bldgs &amp; Rooms'!B10)</f>
        <v>0</v>
      </c>
      <c r="K22" s="46">
        <f>SUMIFS('Components Yr 2'!D2:D1111,'Components Yr 2'!C2:C1111,A22,'Components Yr 2'!B2:B1111,'Bldgs &amp; Rooms'!B11)</f>
        <v>0</v>
      </c>
      <c r="L22" s="46">
        <f>SUMIFS('Components Yr 2'!D2:D1111,'Components Yr 2'!C2:C1111,A22,'Components Yr 2'!B2:B1111,'Bldgs &amp; Rooms'!B12)</f>
        <v>0</v>
      </c>
      <c r="M22" s="46">
        <f>SUMIFS('Components Yr 2'!D2:D1111,'Components Yr 2'!C2:C1111,A22,'Components Yr 2'!B2:B1111,'Bldgs &amp; Rooms'!B13)</f>
        <v>0</v>
      </c>
      <c r="N22" s="46">
        <f>SUMIFS('Components Yr 2'!D2:D1111,'Components Yr 2'!C2:C1111,A22,'Components Yr 2'!B2:B1111,'Bldgs &amp; Rooms'!B14)</f>
        <v>0</v>
      </c>
      <c r="O22" s="46">
        <f>SUMIFS('Components Yr 2'!D2:D1111,'Components Yr 2'!C2:C1111,A22,'Components Yr 2'!B2:B1111,'Bldgs &amp; Rooms'!B15)</f>
        <v>0</v>
      </c>
      <c r="P22" s="46">
        <f>SUMIFS('Components Yr 2'!D2:D1111,'Components Yr 2'!C2:C1111,A22,'Components Yr 2'!B2:B1111,'Bldgs &amp; Rooms'!B16)</f>
        <v>0</v>
      </c>
      <c r="Q22" s="46">
        <f>SUMIFS('Components Yr 2'!D2:D1111,'Components Yr 2'!C2:C1111,A22,'Components Yr 2'!B2:B1111,'Bldgs &amp; Rooms'!B17)</f>
        <v>0</v>
      </c>
      <c r="R22" s="46">
        <f>SUMIFS('Components Yr 2'!D2:D1111,'Components Yr 2'!C2:C1111,A22,'Components Yr 2'!B2:B1111,'Bldgs &amp; Rooms'!B18)</f>
        <v>0</v>
      </c>
      <c r="S22" s="46">
        <f>SUMIFS('Components Yr 2'!D2:D1111,'Components Yr 2'!C2:C1111,A22,'Components Yr 2'!B2:B1111,'Bldgs &amp; Rooms'!B19)</f>
        <v>0</v>
      </c>
      <c r="T22" s="46">
        <f>SUMIFS('Components Yr 2'!D2:D1111,'Components Yr 2'!C2:C1111,A22,'Components Yr 2'!B2:B1111,'Bldgs &amp; Rooms'!B20)</f>
        <v>0</v>
      </c>
      <c r="U22" s="46">
        <f>SUMIFS('Components Yr 2'!D2:D1111,'Components Yr 2'!C2:C1111,A22,'Components Yr 2'!B2:B1111,'Bldgs &amp; Rooms'!B21)</f>
        <v>0</v>
      </c>
      <c r="V22" s="46">
        <f>SUMIFS('Components Yr 2'!D2:D1111,'Components Yr 2'!C2:C1111,A22,'Components Yr 2'!B2:B1111,'Bldgs &amp; Rooms'!B22)</f>
        <v>0</v>
      </c>
      <c r="W22" s="46">
        <f>SUMIFS('Components Yr 2'!D2:D1111,'Components Yr 2'!C2:C1111,A22,'Components Yr 2'!B2:B1111,'Bldgs &amp; Rooms'!B23)</f>
        <v>0</v>
      </c>
      <c r="X22" s="46">
        <f>SUMIFS('Components Yr 2'!D2:D1111,'Components Yr 2'!C2:C1111,A22,'Components Yr 2'!B2:B1111,'Bldgs &amp; Rooms'!B24)</f>
        <v>0</v>
      </c>
      <c r="Y22" s="46">
        <f>SUMIFS('Components Yr 2'!D2:D1111,'Components Yr 2'!C2:C1111,A22,'Components Yr 2'!B2:B1111,'Bldgs &amp; Rooms'!B25)</f>
        <v>0</v>
      </c>
      <c r="Z22" s="46">
        <f>SUMIFS('Components Yr 2'!D2:D1111,'Components Yr 2'!C2:C1111,A22,'Components Yr 2'!B2:B1111,'Bldgs &amp; Rooms'!B26)</f>
        <v>0</v>
      </c>
      <c r="AA22" s="46">
        <f>SUMIFS('Components Yr 2'!D2:D1111,'Components Yr 2'!C2:C1111,A22,'Components Yr 2'!B2:B1111,'Bldgs &amp; Rooms'!B27)</f>
        <v>0</v>
      </c>
      <c r="AB22" s="46">
        <f>SUMIFS('Components Yr 2'!D2:D1111,'Components Yr 2'!C2:C1111,A22,'Components Yr 2'!B2:B1111,'Bldgs &amp; Rooms'!B28)</f>
        <v>0</v>
      </c>
      <c r="AC22" s="46">
        <f>SUMIFS('Components Yr 2'!D2:D1111,'Components Yr 2'!C2:C1111,A22,'Components Yr 2'!B2:B1111,'Bldgs &amp; Rooms'!B29)</f>
        <v>0</v>
      </c>
      <c r="AD22" s="46">
        <f>SUMIFS('Components Yr 2'!D2:D1111,'Components Yr 2'!C2:C1111,A22,'Components Yr 2'!B2:B1111,'Bldgs &amp; Rooms'!B30)</f>
        <v>0</v>
      </c>
      <c r="AE22" s="46">
        <f>SUMIFS('Components Yr 2'!D2:D1111,'Components Yr 2'!C2:C1111,A22,'Components Yr 2'!B2:B1111,'Bldgs &amp; Rooms'!B31)</f>
        <v>0</v>
      </c>
      <c r="AF22" s="47">
        <f t="shared" si="0"/>
        <v>0</v>
      </c>
    </row>
    <row r="23" spans="1:32" x14ac:dyDescent="0.25">
      <c r="A23" s="48" t="s">
        <v>36</v>
      </c>
      <c r="B23" s="49">
        <f>SUMIFS('Components Yr 2'!D2:D1111,'Components Yr 2'!C2:C1111,A23,'Components Yr 2'!B2:B1111,'Bldgs &amp; Rooms'!B2)</f>
        <v>0</v>
      </c>
      <c r="C23" s="49">
        <f>SUMIFS('Components Yr 2'!D2:D1111,'Components Yr 2'!C2:C1111,A23,'Components Yr 2'!B2:B1111,'Bldgs &amp; Rooms'!B3)</f>
        <v>0</v>
      </c>
      <c r="D23" s="49">
        <f>SUMIFS('Components Yr 2'!D2:D1111,'Components Yr 2'!C2:C1111,A23,'Components Yr 2'!B2:B1111,'Bldgs &amp; Rooms'!B4)</f>
        <v>0</v>
      </c>
      <c r="E23" s="49">
        <f>SUMIFS('Components Yr 2'!D2:D1111,'Components Yr 2'!C2:C1111,A23,'Components Yr 2'!B2:B1111,'Bldgs &amp; Rooms'!B5)</f>
        <v>0</v>
      </c>
      <c r="F23" s="49">
        <f>SUMIFS('Components Yr 2'!D2:D1111,'Components Yr 2'!C2:C1111,A23,'Components Yr 2'!B2:B1111,'Bldgs &amp; Rooms'!B6)</f>
        <v>0</v>
      </c>
      <c r="G23" s="49">
        <f>SUMIFS('Components Yr 2'!D2:D1111,'Components Yr 2'!C2:C1111,A23,'Components Yr 2'!B2:B1111,'Bldgs &amp; Rooms'!B7)</f>
        <v>0</v>
      </c>
      <c r="H23" s="49">
        <f>SUMIFS('Components Yr 2'!D2:D1111,'Components Yr 2'!C2:C1111,A23,'Components Yr 2'!B2:B1111,'Bldgs &amp; Rooms'!B8)</f>
        <v>0</v>
      </c>
      <c r="I23" s="49">
        <f>SUMIFS('Components Yr 2'!D2:D1111,'Components Yr 2'!C2:C1111,A23,'Components Yr 2'!B2:B1111,'Bldgs &amp; Rooms'!B9)</f>
        <v>0</v>
      </c>
      <c r="J23" s="49">
        <f>SUMIFS('Components Yr 2'!D2:D1111,'Components Yr 2'!C2:C1111,A23,'Components Yr 2'!B2:B1111,'Bldgs &amp; Rooms'!B10)</f>
        <v>0</v>
      </c>
      <c r="K23" s="49">
        <f>SUMIFS('Components Yr 2'!D2:D1111,'Components Yr 2'!C2:C1111,A23,'Components Yr 2'!B2:B1111,'Bldgs &amp; Rooms'!B11)</f>
        <v>0</v>
      </c>
      <c r="L23" s="49">
        <f>SUMIFS('Components Yr 2'!D2:D1111,'Components Yr 2'!C2:C1111,A23,'Components Yr 2'!B2:B1111,'Bldgs &amp; Rooms'!B12)</f>
        <v>0</v>
      </c>
      <c r="M23" s="49">
        <f>SUMIFS('Components Yr 2'!D2:D1111,'Components Yr 2'!C2:C1111,A23,'Components Yr 2'!B2:B1111,'Bldgs &amp; Rooms'!B13)</f>
        <v>0</v>
      </c>
      <c r="N23" s="49">
        <f>SUMIFS('Components Yr 2'!D2:D1111,'Components Yr 2'!C2:C1111,A23,'Components Yr 2'!B2:B1111,'Bldgs &amp; Rooms'!B14)</f>
        <v>0</v>
      </c>
      <c r="O23" s="49">
        <f>SUMIFS('Components Yr 2'!D2:D1111,'Components Yr 2'!C2:C1111,A23,'Components Yr 2'!B2:B1111,'Bldgs &amp; Rooms'!B15)</f>
        <v>0</v>
      </c>
      <c r="P23" s="49">
        <f>SUMIFS('Components Yr 2'!D2:D1111,'Components Yr 2'!C2:C1111,A23,'Components Yr 2'!B2:B1111,'Bldgs &amp; Rooms'!B16)</f>
        <v>0</v>
      </c>
      <c r="Q23" s="49">
        <f>SUMIFS('Components Yr 2'!D2:D1111,'Components Yr 2'!C2:C1111,A23,'Components Yr 2'!B2:B1111,'Bldgs &amp; Rooms'!B17)</f>
        <v>0</v>
      </c>
      <c r="R23" s="49">
        <f>SUMIFS('Components Yr 2'!D2:D1111,'Components Yr 2'!C2:C1111,A23,'Components Yr 2'!B2:B1111,'Bldgs &amp; Rooms'!B18)</f>
        <v>0</v>
      </c>
      <c r="S23" s="49">
        <f>SUMIFS('Components Yr 2'!D2:D1111,'Components Yr 2'!C2:C1111,A23,'Components Yr 2'!B2:B1111,'Bldgs &amp; Rooms'!B19)</f>
        <v>0</v>
      </c>
      <c r="T23" s="49">
        <f>SUMIFS('Components Yr 2'!D2:D1111,'Components Yr 2'!C2:C1111,A23,'Components Yr 2'!B2:B1111,'Bldgs &amp; Rooms'!B20)</f>
        <v>0</v>
      </c>
      <c r="U23" s="49">
        <f>SUMIFS('Components Yr 2'!D2:D1111,'Components Yr 2'!C2:C1111,A23,'Components Yr 2'!B2:B1111,'Bldgs &amp; Rooms'!B21)</f>
        <v>0</v>
      </c>
      <c r="V23" s="49">
        <f>SUMIFS('Components Yr 2'!D2:D1111,'Components Yr 2'!C2:C1111,A23,'Components Yr 2'!B2:B1111,'Bldgs &amp; Rooms'!B22)</f>
        <v>0</v>
      </c>
      <c r="W23" s="49">
        <f>SUMIFS('Components Yr 2'!D2:D1111,'Components Yr 2'!C2:C1111,A23,'Components Yr 2'!B2:B1111,'Bldgs &amp; Rooms'!B23)</f>
        <v>0</v>
      </c>
      <c r="X23" s="49">
        <f>SUMIFS('Components Yr 2'!D2:D1111,'Components Yr 2'!C2:C1111,A23,'Components Yr 2'!B2:B1111,'Bldgs &amp; Rooms'!B24)</f>
        <v>0</v>
      </c>
      <c r="Y23" s="49">
        <f>SUMIFS('Components Yr 2'!D2:D1111,'Components Yr 2'!C2:C1111,A23,'Components Yr 2'!B2:B1111,'Bldgs &amp; Rooms'!B25)</f>
        <v>0</v>
      </c>
      <c r="Z23" s="49">
        <f>SUMIFS('Components Yr 2'!D2:D1111,'Components Yr 2'!C2:C1111,A23,'Components Yr 2'!B2:B1111,'Bldgs &amp; Rooms'!B26)</f>
        <v>0</v>
      </c>
      <c r="AA23" s="49">
        <f>SUMIFS('Components Yr 2'!D2:D1111,'Components Yr 2'!C2:C1111,A23,'Components Yr 2'!B2:B1111,'Bldgs &amp; Rooms'!B27)</f>
        <v>0</v>
      </c>
      <c r="AB23" s="49">
        <f>SUMIFS('Components Yr 2'!D2:D1111,'Components Yr 2'!C2:C1111,A23,'Components Yr 2'!B2:B1111,'Bldgs &amp; Rooms'!B28)</f>
        <v>0</v>
      </c>
      <c r="AC23" s="49">
        <f>SUMIFS('Components Yr 2'!D2:D1111,'Components Yr 2'!C2:C1111,A23,'Components Yr 2'!B2:B1111,'Bldgs &amp; Rooms'!B29)</f>
        <v>0</v>
      </c>
      <c r="AD23" s="49">
        <f>SUMIFS('Components Yr 2'!D2:D1111,'Components Yr 2'!C2:C1111,A23,'Components Yr 2'!B2:B1111,'Bldgs &amp; Rooms'!B30)</f>
        <v>0</v>
      </c>
      <c r="AE23" s="49">
        <f>SUMIFS('Components Yr 2'!D2:D1111,'Components Yr 2'!C2:C1111,A23,'Components Yr 2'!B2:B1111,'Bldgs &amp; Rooms'!B31)</f>
        <v>0</v>
      </c>
      <c r="AF23" s="47">
        <f t="shared" si="0"/>
        <v>0</v>
      </c>
    </row>
    <row r="24" spans="1:32" x14ac:dyDescent="0.25">
      <c r="A24" s="45" t="s">
        <v>37</v>
      </c>
      <c r="B24" s="46">
        <f>SUMIFS('Components Yr 2'!D2:D1111,'Components Yr 2'!C2:C1111,A24,'Components Yr 2'!B2:B1111,'Bldgs &amp; Rooms'!B2)</f>
        <v>0</v>
      </c>
      <c r="C24" s="46">
        <f>SUMIFS('Components Yr 2'!D2:D1111,'Components Yr 2'!C2:C1111,A24,'Components Yr 2'!B2:B1111,'Bldgs &amp; Rooms'!B3)</f>
        <v>0</v>
      </c>
      <c r="D24" s="46">
        <f>SUMIFS('Components Yr 2'!D2:D1111,'Components Yr 2'!C2:C1111,A24,'Components Yr 2'!B2:B1111,'Bldgs &amp; Rooms'!B4)</f>
        <v>0</v>
      </c>
      <c r="E24" s="46">
        <f>SUMIFS('Components Yr 2'!D2:D1111,'Components Yr 2'!C2:C1111,A24,'Components Yr 2'!B2:B1111,'Bldgs &amp; Rooms'!B5)</f>
        <v>0</v>
      </c>
      <c r="F24" s="46">
        <f>SUMIFS('Components Yr 2'!D2:D1111,'Components Yr 2'!C2:C1111,A24,'Components Yr 2'!B2:B1111,'Bldgs &amp; Rooms'!B6)</f>
        <v>0</v>
      </c>
      <c r="G24" s="46">
        <f>SUMIFS('Components Yr 2'!D2:D1111,'Components Yr 2'!C2:C1111,A24,'Components Yr 2'!B2:B1111,'Bldgs &amp; Rooms'!B7)</f>
        <v>0</v>
      </c>
      <c r="H24" s="46">
        <f>SUMIFS('Components Yr 2'!D2:D1111,'Components Yr 2'!C2:C1111,A24,'Components Yr 2'!B2:B1111,'Bldgs &amp; Rooms'!B8)</f>
        <v>0</v>
      </c>
      <c r="I24" s="46">
        <f>SUMIFS('Components Yr 2'!D2:D1111,'Components Yr 2'!C2:C1111,A24,'Components Yr 2'!B2:B1111,'Bldgs &amp; Rooms'!B9)</f>
        <v>0</v>
      </c>
      <c r="J24" s="46">
        <f>SUMIFS('Components Yr 2'!D2:D1111,'Components Yr 2'!C2:C1111,A24,'Components Yr 2'!B2:B1111,'Bldgs &amp; Rooms'!B10)</f>
        <v>0</v>
      </c>
      <c r="K24" s="46">
        <f>SUMIFS('Components Yr 2'!D2:D1111,'Components Yr 2'!C2:C1111,A24,'Components Yr 2'!B2:B1111,'Bldgs &amp; Rooms'!B11)</f>
        <v>0</v>
      </c>
      <c r="L24" s="46">
        <f>SUMIFS('Components Yr 2'!D2:D1111,'Components Yr 2'!C2:C1111,A24,'Components Yr 2'!B2:B1111,'Bldgs &amp; Rooms'!B12)</f>
        <v>0</v>
      </c>
      <c r="M24" s="46">
        <f>SUMIFS('Components Yr 2'!D2:D1111,'Components Yr 2'!C2:C1111,A24,'Components Yr 2'!B2:B1111,'Bldgs &amp; Rooms'!B13)</f>
        <v>0</v>
      </c>
      <c r="N24" s="46">
        <f>SUMIFS('Components Yr 2'!D2:D1111,'Components Yr 2'!C2:C1111,A24,'Components Yr 2'!B2:B1111,'Bldgs &amp; Rooms'!B14)</f>
        <v>0</v>
      </c>
      <c r="O24" s="46">
        <f>SUMIFS('Components Yr 2'!D2:D1111,'Components Yr 2'!C2:C1111,A24,'Components Yr 2'!B2:B1111,'Bldgs &amp; Rooms'!B15)</f>
        <v>0</v>
      </c>
      <c r="P24" s="46">
        <f>SUMIFS('Components Yr 2'!D2:D1111,'Components Yr 2'!C2:C1111,A24,'Components Yr 2'!B2:B1111,'Bldgs &amp; Rooms'!B16)</f>
        <v>0</v>
      </c>
      <c r="Q24" s="46">
        <f>SUMIFS('Components Yr 2'!D2:D1111,'Components Yr 2'!C2:C1111,A24,'Components Yr 2'!B2:B1111,'Bldgs &amp; Rooms'!B17)</f>
        <v>0</v>
      </c>
      <c r="R24" s="46">
        <f>SUMIFS('Components Yr 2'!D2:D1111,'Components Yr 2'!C2:C1111,A24,'Components Yr 2'!B2:B1111,'Bldgs &amp; Rooms'!B18)</f>
        <v>0</v>
      </c>
      <c r="S24" s="46">
        <f>SUMIFS('Components Yr 2'!D2:D1111,'Components Yr 2'!C2:C1111,A24,'Components Yr 2'!B2:B1111,'Bldgs &amp; Rooms'!B19)</f>
        <v>0</v>
      </c>
      <c r="T24" s="46">
        <f>SUMIFS('Components Yr 2'!D2:D1111,'Components Yr 2'!C2:C1111,A24,'Components Yr 2'!B2:B1111,'Bldgs &amp; Rooms'!B20)</f>
        <v>0</v>
      </c>
      <c r="U24" s="46">
        <f>SUMIFS('Components Yr 2'!D2:D1111,'Components Yr 2'!C2:C1111,A24,'Components Yr 2'!B2:B1111,'Bldgs &amp; Rooms'!B21)</f>
        <v>0</v>
      </c>
      <c r="V24" s="46">
        <f>SUMIFS('Components Yr 2'!D2:D1111,'Components Yr 2'!C2:C1111,A24,'Components Yr 2'!B2:B1111,'Bldgs &amp; Rooms'!B22)</f>
        <v>0</v>
      </c>
      <c r="W24" s="46">
        <f>SUMIFS('Components Yr 2'!D2:D1111,'Components Yr 2'!C2:C1111,A24,'Components Yr 2'!B2:B1111,'Bldgs &amp; Rooms'!B23)</f>
        <v>0</v>
      </c>
      <c r="X24" s="46">
        <f>SUMIFS('Components Yr 2'!D2:D1111,'Components Yr 2'!C2:C1111,A24,'Components Yr 2'!B2:B1111,'Bldgs &amp; Rooms'!B24)</f>
        <v>0</v>
      </c>
      <c r="Y24" s="46">
        <f>SUMIFS('Components Yr 2'!D2:D1111,'Components Yr 2'!C2:C1111,A24,'Components Yr 2'!B2:B1111,'Bldgs &amp; Rooms'!B25)</f>
        <v>0</v>
      </c>
      <c r="Z24" s="46">
        <f>SUMIFS('Components Yr 2'!D2:D1111,'Components Yr 2'!C2:C1111,A24,'Components Yr 2'!B2:B1111,'Bldgs &amp; Rooms'!B26)</f>
        <v>0</v>
      </c>
      <c r="AA24" s="46">
        <f>SUMIFS('Components Yr 2'!D2:D1111,'Components Yr 2'!C2:C1111,A24,'Components Yr 2'!B2:B1111,'Bldgs &amp; Rooms'!B27)</f>
        <v>0</v>
      </c>
      <c r="AB24" s="46">
        <f>SUMIFS('Components Yr 2'!D2:D1111,'Components Yr 2'!C2:C1111,A24,'Components Yr 2'!B2:B1111,'Bldgs &amp; Rooms'!B28)</f>
        <v>0</v>
      </c>
      <c r="AC24" s="46">
        <f>SUMIFS('Components Yr 2'!D2:D1111,'Components Yr 2'!C2:C1111,A24,'Components Yr 2'!B2:B1111,'Bldgs &amp; Rooms'!B29)</f>
        <v>0</v>
      </c>
      <c r="AD24" s="46">
        <f>SUMIFS('Components Yr 2'!D2:D1111,'Components Yr 2'!C2:C1111,A24,'Components Yr 2'!B2:B1111,'Bldgs &amp; Rooms'!B30)</f>
        <v>0</v>
      </c>
      <c r="AE24" s="46">
        <f>SUMIFS('Components Yr 2'!D2:D1111,'Components Yr 2'!C2:C1111,A24,'Components Yr 2'!B2:B1111,'Bldgs &amp; Rooms'!B31)</f>
        <v>0</v>
      </c>
      <c r="AF24" s="47">
        <f t="shared" si="0"/>
        <v>0</v>
      </c>
    </row>
    <row r="25" spans="1:32" x14ac:dyDescent="0.25">
      <c r="A25" s="48" t="s">
        <v>38</v>
      </c>
      <c r="B25" s="49">
        <f>SUMIFS('Components Yr 2'!D2:D1111,'Components Yr 2'!C2:C1111,A25,'Components Yr 2'!B2:B1111,'Bldgs &amp; Rooms'!B2)</f>
        <v>0</v>
      </c>
      <c r="C25" s="49">
        <f>SUMIFS('Components Yr 2'!D2:D1111,'Components Yr 2'!C2:C1111,A25,'Components Yr 2'!B2:B1111,'Bldgs &amp; Rooms'!B3)</f>
        <v>0</v>
      </c>
      <c r="D25" s="49">
        <f>SUMIFS('Components Yr 2'!D2:D1111,'Components Yr 2'!C2:C1111,A25,'Components Yr 2'!B2:B1111,'Bldgs &amp; Rooms'!B4)</f>
        <v>0</v>
      </c>
      <c r="E25" s="49">
        <f>SUMIFS('Components Yr 2'!D2:D1111,'Components Yr 2'!C2:C1111,A25,'Components Yr 2'!B2:B1111,'Bldgs &amp; Rooms'!B5)</f>
        <v>0</v>
      </c>
      <c r="F25" s="49">
        <f>SUMIFS('Components Yr 2'!D2:D1111,'Components Yr 2'!C2:C1111,A25,'Components Yr 2'!B2:B1111,'Bldgs &amp; Rooms'!B6)</f>
        <v>0</v>
      </c>
      <c r="G25" s="49">
        <f>SUMIFS('Components Yr 2'!D2:D1111,'Components Yr 2'!C2:C1111,A25,'Components Yr 2'!B2:B1111,'Bldgs &amp; Rooms'!B7)</f>
        <v>0</v>
      </c>
      <c r="H25" s="49">
        <f>SUMIFS('Components Yr 2'!D2:D1111,'Components Yr 2'!C2:C1111,A25,'Components Yr 2'!B2:B1111,'Bldgs &amp; Rooms'!B8)</f>
        <v>0</v>
      </c>
      <c r="I25" s="49">
        <f>SUMIFS('Components Yr 2'!D2:D1111,'Components Yr 2'!C2:C1111,A25,'Components Yr 2'!B2:B1111,'Bldgs &amp; Rooms'!B9)</f>
        <v>0</v>
      </c>
      <c r="J25" s="49">
        <f>SUMIFS('Components Yr 2'!D2:D1111,'Components Yr 2'!C2:C1111,A25,'Components Yr 2'!B2:B1111,'Bldgs &amp; Rooms'!B10)</f>
        <v>0</v>
      </c>
      <c r="K25" s="49">
        <f>SUMIFS('Components Yr 2'!D2:D1111,'Components Yr 2'!C2:C1111,A25,'Components Yr 2'!B2:B1111,'Bldgs &amp; Rooms'!B11)</f>
        <v>0</v>
      </c>
      <c r="L25" s="49">
        <f>SUMIFS('Components Yr 2'!D2:D1111,'Components Yr 2'!C2:C1111,A25,'Components Yr 2'!B2:B1111,'Bldgs &amp; Rooms'!B12)</f>
        <v>0</v>
      </c>
      <c r="M25" s="49">
        <f>SUMIFS('Components Yr 2'!D2:D1111,'Components Yr 2'!C2:C1111,A25,'Components Yr 2'!B2:B1111,'Bldgs &amp; Rooms'!B13)</f>
        <v>0</v>
      </c>
      <c r="N25" s="49">
        <f>SUMIFS('Components Yr 2'!D2:D1111,'Components Yr 2'!C2:C1111,A25,'Components Yr 2'!B2:B1111,'Bldgs &amp; Rooms'!B14)</f>
        <v>0</v>
      </c>
      <c r="O25" s="49">
        <f>SUMIFS('Components Yr 2'!D2:D1111,'Components Yr 2'!C2:C1111,A25,'Components Yr 2'!B2:B1111,'Bldgs &amp; Rooms'!B15)</f>
        <v>0</v>
      </c>
      <c r="P25" s="49">
        <f>SUMIFS('Components Yr 2'!D2:D1111,'Components Yr 2'!C2:C1111,A25,'Components Yr 2'!B2:B1111,'Bldgs &amp; Rooms'!B16)</f>
        <v>0</v>
      </c>
      <c r="Q25" s="49">
        <f>SUMIFS('Components Yr 2'!D2:D1111,'Components Yr 2'!C2:C1111,A25,'Components Yr 2'!B2:B1111,'Bldgs &amp; Rooms'!B17)</f>
        <v>0</v>
      </c>
      <c r="R25" s="49">
        <f>SUMIFS('Components Yr 2'!D2:D1111,'Components Yr 2'!C2:C1111,A25,'Components Yr 2'!B2:B1111,'Bldgs &amp; Rooms'!B18)</f>
        <v>0</v>
      </c>
      <c r="S25" s="49">
        <f>SUMIFS('Components Yr 2'!D2:D1111,'Components Yr 2'!C2:C1111,A25,'Components Yr 2'!B2:B1111,'Bldgs &amp; Rooms'!B19)</f>
        <v>0</v>
      </c>
      <c r="T25" s="49">
        <f>SUMIFS('Components Yr 2'!D2:D1111,'Components Yr 2'!C2:C1111,A25,'Components Yr 2'!B2:B1111,'Bldgs &amp; Rooms'!B20)</f>
        <v>0</v>
      </c>
      <c r="U25" s="49">
        <f>SUMIFS('Components Yr 2'!D2:D1111,'Components Yr 2'!C2:C1111,A25,'Components Yr 2'!B2:B1111,'Bldgs &amp; Rooms'!B21)</f>
        <v>0</v>
      </c>
      <c r="V25" s="49">
        <f>SUMIFS('Components Yr 2'!D2:D1111,'Components Yr 2'!C2:C1111,A25,'Components Yr 2'!B2:B1111,'Bldgs &amp; Rooms'!B22)</f>
        <v>0</v>
      </c>
      <c r="W25" s="49">
        <f>SUMIFS('Components Yr 2'!D2:D1111,'Components Yr 2'!C2:C1111,A25,'Components Yr 2'!B2:B1111,'Bldgs &amp; Rooms'!B23)</f>
        <v>0</v>
      </c>
      <c r="X25" s="49">
        <f>SUMIFS('Components Yr 2'!D2:D1111,'Components Yr 2'!C2:C1111,A25,'Components Yr 2'!B2:B1111,'Bldgs &amp; Rooms'!B24)</f>
        <v>0</v>
      </c>
      <c r="Y25" s="49">
        <f>SUMIFS('Components Yr 2'!D2:D1111,'Components Yr 2'!C2:C1111,A25,'Components Yr 2'!B2:B1111,'Bldgs &amp; Rooms'!B25)</f>
        <v>0</v>
      </c>
      <c r="Z25" s="49">
        <f>SUMIFS('Components Yr 2'!D2:D1111,'Components Yr 2'!C2:C1111,A25,'Components Yr 2'!B2:B1111,'Bldgs &amp; Rooms'!B26)</f>
        <v>0</v>
      </c>
      <c r="AA25" s="49">
        <f>SUMIFS('Components Yr 2'!D2:D1111,'Components Yr 2'!C2:C1111,A25,'Components Yr 2'!B2:B1111,'Bldgs &amp; Rooms'!B27)</f>
        <v>0</v>
      </c>
      <c r="AB25" s="49">
        <f>SUMIFS('Components Yr 2'!D2:D1111,'Components Yr 2'!C2:C1111,A25,'Components Yr 2'!B2:B1111,'Bldgs &amp; Rooms'!B28)</f>
        <v>0</v>
      </c>
      <c r="AC25" s="49">
        <f>SUMIFS('Components Yr 2'!D2:D1111,'Components Yr 2'!C2:C1111,A25,'Components Yr 2'!B2:B1111,'Bldgs &amp; Rooms'!B29)</f>
        <v>0</v>
      </c>
      <c r="AD25" s="49">
        <f>SUMIFS('Components Yr 2'!D2:D1111,'Components Yr 2'!C2:C1111,A25,'Components Yr 2'!B2:B1111,'Bldgs &amp; Rooms'!B30)</f>
        <v>0</v>
      </c>
      <c r="AE25" s="49">
        <f>SUMIFS('Components Yr 2'!D2:D1111,'Components Yr 2'!C2:C1111,A25,'Components Yr 2'!B2:B1111,'Bldgs &amp; Rooms'!B31)</f>
        <v>0</v>
      </c>
      <c r="AF25" s="47">
        <f t="shared" si="0"/>
        <v>0</v>
      </c>
    </row>
    <row r="26" spans="1:32" x14ac:dyDescent="0.25">
      <c r="A26" s="45" t="s">
        <v>39</v>
      </c>
      <c r="B26" s="46">
        <f>SUMIFS('Components Yr 2'!D2:D1111,'Components Yr 2'!C2:C1111,A26,'Components Yr 2'!B2:B1111,'Bldgs &amp; Rooms'!B2)</f>
        <v>0</v>
      </c>
      <c r="C26" s="46">
        <f>SUMIFS('Components Yr 2'!D2:D1111,'Components Yr 2'!C2:C1111,A26,'Components Yr 2'!B2:B1111,'Bldgs &amp; Rooms'!B3)</f>
        <v>0</v>
      </c>
      <c r="D26" s="46">
        <f>SUMIFS('Components Yr 2'!D2:D1111,'Components Yr 2'!C2:C1111,A26,'Components Yr 2'!B2:B1111,'Bldgs &amp; Rooms'!B4)</f>
        <v>0</v>
      </c>
      <c r="E26" s="46">
        <f>SUMIFS('Components Yr 2'!D2:D1111,'Components Yr 2'!C2:C1111,A26,'Components Yr 2'!B2:B1111,'Bldgs &amp; Rooms'!B5)</f>
        <v>0</v>
      </c>
      <c r="F26" s="46">
        <f>SUMIFS('Components Yr 2'!D2:D1111,'Components Yr 2'!C2:C1111,A26,'Components Yr 2'!B2:B1111,'Bldgs &amp; Rooms'!B6)</f>
        <v>0</v>
      </c>
      <c r="G26" s="46">
        <f>SUMIFS('Components Yr 2'!D2:D1111,'Components Yr 2'!C2:C1111,A26,'Components Yr 2'!B2:B1111,'Bldgs &amp; Rooms'!B7)</f>
        <v>0</v>
      </c>
      <c r="H26" s="46">
        <f>SUMIFS('Components Yr 2'!D2:D1111,'Components Yr 2'!C2:C1111,A26,'Components Yr 2'!B2:B1111,'Bldgs &amp; Rooms'!B8)</f>
        <v>0</v>
      </c>
      <c r="I26" s="46">
        <f>SUMIFS('Components Yr 2'!D2:D1111,'Components Yr 2'!C2:C1111,A26,'Components Yr 2'!B2:B1111,'Bldgs &amp; Rooms'!B9)</f>
        <v>0</v>
      </c>
      <c r="J26" s="46">
        <f>SUMIFS('Components Yr 2'!D2:D1111,'Components Yr 2'!C2:C1111,A26,'Components Yr 2'!B2:B1111,'Bldgs &amp; Rooms'!B10)</f>
        <v>0</v>
      </c>
      <c r="K26" s="46">
        <f>SUMIFS('Components Yr 2'!D2:D1111,'Components Yr 2'!C2:C1111,A26,'Components Yr 2'!B2:B1111,'Bldgs &amp; Rooms'!B11)</f>
        <v>0</v>
      </c>
      <c r="L26" s="46">
        <f>SUMIFS('Components Yr 2'!D2:D1111,'Components Yr 2'!C2:C1111,A26,'Components Yr 2'!B2:B1111,'Bldgs &amp; Rooms'!B12)</f>
        <v>0</v>
      </c>
      <c r="M26" s="46">
        <f>SUMIFS('Components Yr 2'!D2:D1111,'Components Yr 2'!C2:C1111,A26,'Components Yr 2'!B2:B1111,'Bldgs &amp; Rooms'!B13)</f>
        <v>0</v>
      </c>
      <c r="N26" s="46">
        <f>SUMIFS('Components Yr 2'!D2:D1111,'Components Yr 2'!C2:C1111,A26,'Components Yr 2'!B2:B1111,'Bldgs &amp; Rooms'!B14)</f>
        <v>0</v>
      </c>
      <c r="O26" s="46">
        <f>SUMIFS('Components Yr 2'!D2:D1111,'Components Yr 2'!C2:C1111,A26,'Components Yr 2'!B2:B1111,'Bldgs &amp; Rooms'!B15)</f>
        <v>0</v>
      </c>
      <c r="P26" s="46">
        <f>SUMIFS('Components Yr 2'!D2:D1111,'Components Yr 2'!C2:C1111,A26,'Components Yr 2'!B2:B1111,'Bldgs &amp; Rooms'!B16)</f>
        <v>0</v>
      </c>
      <c r="Q26" s="46">
        <f>SUMIFS('Components Yr 2'!D2:D1111,'Components Yr 2'!C2:C1111,A26,'Components Yr 2'!B2:B1111,'Bldgs &amp; Rooms'!B17)</f>
        <v>0</v>
      </c>
      <c r="R26" s="46">
        <f>SUMIFS('Components Yr 2'!D2:D1111,'Components Yr 2'!C2:C1111,A26,'Components Yr 2'!B2:B1111,'Bldgs &amp; Rooms'!B18)</f>
        <v>0</v>
      </c>
      <c r="S26" s="46">
        <f>SUMIFS('Components Yr 2'!D2:D1111,'Components Yr 2'!C2:C1111,A26,'Components Yr 2'!B2:B1111,'Bldgs &amp; Rooms'!B19)</f>
        <v>0</v>
      </c>
      <c r="T26" s="46">
        <f>SUMIFS('Components Yr 2'!D2:D1111,'Components Yr 2'!C2:C1111,A26,'Components Yr 2'!B2:B1111,'Bldgs &amp; Rooms'!B20)</f>
        <v>0</v>
      </c>
      <c r="U26" s="46">
        <f>SUMIFS('Components Yr 2'!D2:D1111,'Components Yr 2'!C2:C1111,A26,'Components Yr 2'!B2:B1111,'Bldgs &amp; Rooms'!B21)</f>
        <v>0</v>
      </c>
      <c r="V26" s="46">
        <f>SUMIFS('Components Yr 2'!D2:D1111,'Components Yr 2'!C2:C1111,A26,'Components Yr 2'!B2:B1111,'Bldgs &amp; Rooms'!B22)</f>
        <v>0</v>
      </c>
      <c r="W26" s="46">
        <f>SUMIFS('Components Yr 2'!D2:D1111,'Components Yr 2'!C2:C1111,A26,'Components Yr 2'!B2:B1111,'Bldgs &amp; Rooms'!B23)</f>
        <v>0</v>
      </c>
      <c r="X26" s="46">
        <f>SUMIFS('Components Yr 2'!D2:D1111,'Components Yr 2'!C2:C1111,A26,'Components Yr 2'!B2:B1111,'Bldgs &amp; Rooms'!B24)</f>
        <v>0</v>
      </c>
      <c r="Y26" s="46">
        <f>SUMIFS('Components Yr 2'!D2:D1111,'Components Yr 2'!C2:C1111,A26,'Components Yr 2'!B2:B1111,'Bldgs &amp; Rooms'!B25)</f>
        <v>0</v>
      </c>
      <c r="Z26" s="46">
        <f>SUMIFS('Components Yr 2'!D2:D1111,'Components Yr 2'!C2:C1111,A26,'Components Yr 2'!B2:B1111,'Bldgs &amp; Rooms'!B26)</f>
        <v>0</v>
      </c>
      <c r="AA26" s="46">
        <f>SUMIFS('Components Yr 2'!D2:D1111,'Components Yr 2'!C2:C1111,A26,'Components Yr 2'!B2:B1111,'Bldgs &amp; Rooms'!B27)</f>
        <v>0</v>
      </c>
      <c r="AB26" s="46">
        <f>SUMIFS('Components Yr 2'!D2:D1111,'Components Yr 2'!C2:C1111,A26,'Components Yr 2'!B2:B1111,'Bldgs &amp; Rooms'!B28)</f>
        <v>0</v>
      </c>
      <c r="AC26" s="46">
        <f>SUMIFS('Components Yr 2'!D2:D1111,'Components Yr 2'!C2:C1111,A26,'Components Yr 2'!B2:B1111,'Bldgs &amp; Rooms'!B29)</f>
        <v>0</v>
      </c>
      <c r="AD26" s="46">
        <f>SUMIFS('Components Yr 2'!D2:D1111,'Components Yr 2'!C2:C1111,A26,'Components Yr 2'!B2:B1111,'Bldgs &amp; Rooms'!B30)</f>
        <v>0</v>
      </c>
      <c r="AE26" s="46">
        <f>SUMIFS('Components Yr 2'!D2:D1111,'Components Yr 2'!C2:C1111,A26,'Components Yr 2'!B2:B1111,'Bldgs &amp; Rooms'!B31)</f>
        <v>0</v>
      </c>
      <c r="AF26" s="47">
        <f t="shared" si="0"/>
        <v>0</v>
      </c>
    </row>
    <row r="27" spans="1:32" x14ac:dyDescent="0.25">
      <c r="A27" s="48" t="s">
        <v>40</v>
      </c>
      <c r="B27" s="49">
        <f>SUMIFS('Components Yr 2'!D2:D1111,'Components Yr 2'!C2:C1111,A27,'Components Yr 2'!B2:B1111,'Bldgs &amp; Rooms'!B2)</f>
        <v>0</v>
      </c>
      <c r="C27" s="49">
        <f>SUMIFS('Components Yr 2'!D2:D1111,'Components Yr 2'!C2:C1111,A27,'Components Yr 2'!B2:B1111,'Bldgs &amp; Rooms'!B3)</f>
        <v>0</v>
      </c>
      <c r="D27" s="49">
        <f>SUMIFS('Components Yr 2'!D2:D1111,'Components Yr 2'!C2:C1111,A27,'Components Yr 2'!B2:B1111,'Bldgs &amp; Rooms'!B4)</f>
        <v>0</v>
      </c>
      <c r="E27" s="49">
        <f>SUMIFS('Components Yr 2'!D2:D1111,'Components Yr 2'!C2:C1111,A27,'Components Yr 2'!B2:B1111,'Bldgs &amp; Rooms'!B5)</f>
        <v>0</v>
      </c>
      <c r="F27" s="49">
        <f>SUMIFS('Components Yr 2'!D2:D1111,'Components Yr 2'!C2:C1111,A27,'Components Yr 2'!B2:B1111,'Bldgs &amp; Rooms'!B6)</f>
        <v>0</v>
      </c>
      <c r="G27" s="49">
        <f>SUMIFS('Components Yr 2'!D2:D1111,'Components Yr 2'!C2:C1111,A27,'Components Yr 2'!B2:B1111,'Bldgs &amp; Rooms'!B7)</f>
        <v>0</v>
      </c>
      <c r="H27" s="49">
        <f>SUMIFS('Components Yr 2'!D2:D1111,'Components Yr 2'!C2:C1111,A27,'Components Yr 2'!B2:B1111,'Bldgs &amp; Rooms'!B8)</f>
        <v>0</v>
      </c>
      <c r="I27" s="49">
        <f>SUMIFS('Components Yr 2'!D2:D1111,'Components Yr 2'!C2:C1111,A27,'Components Yr 2'!B2:B1111,'Bldgs &amp; Rooms'!B9)</f>
        <v>0</v>
      </c>
      <c r="J27" s="49">
        <f>SUMIFS('Components Yr 2'!D2:D1111,'Components Yr 2'!C2:C1111,A27,'Components Yr 2'!B2:B1111,'Bldgs &amp; Rooms'!B10)</f>
        <v>0</v>
      </c>
      <c r="K27" s="49">
        <f>SUMIFS('Components Yr 2'!D2:D1111,'Components Yr 2'!C2:C1111,A27,'Components Yr 2'!B2:B1111,'Bldgs &amp; Rooms'!B11)</f>
        <v>0</v>
      </c>
      <c r="L27" s="49">
        <f>SUMIFS('Components Yr 2'!D2:D1111,'Components Yr 2'!C2:C1111,A27,'Components Yr 2'!B2:B1111,'Bldgs &amp; Rooms'!B12)</f>
        <v>0</v>
      </c>
      <c r="M27" s="49">
        <f>SUMIFS('Components Yr 2'!D2:D1111,'Components Yr 2'!C2:C1111,A27,'Components Yr 2'!B2:B1111,'Bldgs &amp; Rooms'!B13)</f>
        <v>0</v>
      </c>
      <c r="N27" s="49">
        <f>SUMIFS('Components Yr 2'!D2:D1111,'Components Yr 2'!C2:C1111,A27,'Components Yr 2'!B2:B1111,'Bldgs &amp; Rooms'!B14)</f>
        <v>0</v>
      </c>
      <c r="O27" s="49">
        <f>SUMIFS('Components Yr 2'!D2:D1111,'Components Yr 2'!C2:C1111,A27,'Components Yr 2'!B2:B1111,'Bldgs &amp; Rooms'!B15)</f>
        <v>0</v>
      </c>
      <c r="P27" s="49">
        <f>SUMIFS('Components Yr 2'!D2:D1111,'Components Yr 2'!C2:C1111,A27,'Components Yr 2'!B2:B1111,'Bldgs &amp; Rooms'!B16)</f>
        <v>0</v>
      </c>
      <c r="Q27" s="49">
        <f>SUMIFS('Components Yr 2'!D2:D1111,'Components Yr 2'!C2:C1111,A27,'Components Yr 2'!B2:B1111,'Bldgs &amp; Rooms'!B17)</f>
        <v>0</v>
      </c>
      <c r="R27" s="49">
        <f>SUMIFS('Components Yr 2'!D2:D1111,'Components Yr 2'!C2:C1111,A27,'Components Yr 2'!B2:B1111,'Bldgs &amp; Rooms'!B18)</f>
        <v>0</v>
      </c>
      <c r="S27" s="49">
        <f>SUMIFS('Components Yr 2'!D2:D1111,'Components Yr 2'!C2:C1111,A27,'Components Yr 2'!B2:B1111,'Bldgs &amp; Rooms'!B19)</f>
        <v>0</v>
      </c>
      <c r="T27" s="49">
        <f>SUMIFS('Components Yr 2'!D2:D1111,'Components Yr 2'!C2:C1111,A27,'Components Yr 2'!B2:B1111,'Bldgs &amp; Rooms'!B20)</f>
        <v>0</v>
      </c>
      <c r="U27" s="49">
        <f>SUMIFS('Components Yr 2'!D2:D1111,'Components Yr 2'!C2:C1111,A27,'Components Yr 2'!B2:B1111,'Bldgs &amp; Rooms'!B21)</f>
        <v>0</v>
      </c>
      <c r="V27" s="49">
        <f>SUMIFS('Components Yr 2'!D2:D1111,'Components Yr 2'!C2:C1111,A27,'Components Yr 2'!B2:B1111,'Bldgs &amp; Rooms'!B22)</f>
        <v>0</v>
      </c>
      <c r="W27" s="49">
        <f>SUMIFS('Components Yr 2'!D2:D1111,'Components Yr 2'!C2:C1111,A27,'Components Yr 2'!B2:B1111,'Bldgs &amp; Rooms'!B23)</f>
        <v>0</v>
      </c>
      <c r="X27" s="49">
        <f>SUMIFS('Components Yr 2'!D2:D1111,'Components Yr 2'!C2:C1111,A27,'Components Yr 2'!B2:B1111,'Bldgs &amp; Rooms'!B24)</f>
        <v>0</v>
      </c>
      <c r="Y27" s="49">
        <f>SUMIFS('Components Yr 2'!D2:D1111,'Components Yr 2'!C2:C1111,A27,'Components Yr 2'!B2:B1111,'Bldgs &amp; Rooms'!B25)</f>
        <v>0</v>
      </c>
      <c r="Z27" s="49">
        <f>SUMIFS('Components Yr 2'!D2:D1111,'Components Yr 2'!C2:C1111,A27,'Components Yr 2'!B2:B1111,'Bldgs &amp; Rooms'!B26)</f>
        <v>0</v>
      </c>
      <c r="AA27" s="49">
        <f>SUMIFS('Components Yr 2'!D2:D1111,'Components Yr 2'!C2:C1111,A27,'Components Yr 2'!B2:B1111,'Bldgs &amp; Rooms'!B27)</f>
        <v>0</v>
      </c>
      <c r="AB27" s="49">
        <f>SUMIFS('Components Yr 2'!D2:D1111,'Components Yr 2'!C2:C1111,A27,'Components Yr 2'!B2:B1111,'Bldgs &amp; Rooms'!B28)</f>
        <v>0</v>
      </c>
      <c r="AC27" s="49">
        <f>SUMIFS('Components Yr 2'!D2:D1111,'Components Yr 2'!C2:C1111,A27,'Components Yr 2'!B2:B1111,'Bldgs &amp; Rooms'!B29)</f>
        <v>0</v>
      </c>
      <c r="AD27" s="49">
        <f>SUMIFS('Components Yr 2'!D2:D1111,'Components Yr 2'!C2:C1111,A27,'Components Yr 2'!B2:B1111,'Bldgs &amp; Rooms'!B30)</f>
        <v>0</v>
      </c>
      <c r="AE27" s="49">
        <f>SUMIFS('Components Yr 2'!D2:D1111,'Components Yr 2'!C2:C1111,A27,'Components Yr 2'!B2:B1111,'Bldgs &amp; Rooms'!B31)</f>
        <v>0</v>
      </c>
      <c r="AF27" s="47">
        <f t="shared" si="0"/>
        <v>0</v>
      </c>
    </row>
    <row r="28" spans="1:32" x14ac:dyDescent="0.25">
      <c r="A28" s="45" t="s">
        <v>41</v>
      </c>
      <c r="B28" s="46">
        <f>SUMIFS('Components Yr 2'!D2:D1111,'Components Yr 2'!C2:C1111,A28,'Components Yr 2'!B2:B1111,'Bldgs &amp; Rooms'!B2)</f>
        <v>0</v>
      </c>
      <c r="C28" s="46">
        <f>SUMIFS('Components Yr 2'!D2:D1111,'Components Yr 2'!C2:C1111,A28,'Components Yr 2'!B2:B1111,'Bldgs &amp; Rooms'!B3)</f>
        <v>0</v>
      </c>
      <c r="D28" s="46">
        <f>SUMIFS('Components Yr 2'!D2:D1111,'Components Yr 2'!C2:C1111,A28,'Components Yr 2'!B2:B1111,'Bldgs &amp; Rooms'!B4)</f>
        <v>0</v>
      </c>
      <c r="E28" s="46">
        <f>SUMIFS('Components Yr 2'!D2:D1111,'Components Yr 2'!C2:C1111,A28,'Components Yr 2'!B2:B1111,'Bldgs &amp; Rooms'!B5)</f>
        <v>0</v>
      </c>
      <c r="F28" s="46">
        <f>SUMIFS('Components Yr 2'!D2:D1111,'Components Yr 2'!C2:C1111,A28,'Components Yr 2'!B2:B1111,'Bldgs &amp; Rooms'!B6)</f>
        <v>0</v>
      </c>
      <c r="G28" s="46">
        <f>SUMIFS('Components Yr 2'!D2:D1111,'Components Yr 2'!C2:C1111,A28,'Components Yr 2'!B2:B1111,'Bldgs &amp; Rooms'!B7)</f>
        <v>0</v>
      </c>
      <c r="H28" s="46">
        <f>SUMIFS('Components Yr 2'!D2:D1111,'Components Yr 2'!C2:C1111,A28,'Components Yr 2'!B2:B1111,'Bldgs &amp; Rooms'!B8)</f>
        <v>0</v>
      </c>
      <c r="I28" s="46">
        <f>SUMIFS('Components Yr 2'!D2:D1111,'Components Yr 2'!C2:C1111,A28,'Components Yr 2'!B2:B1111,'Bldgs &amp; Rooms'!B9)</f>
        <v>0</v>
      </c>
      <c r="J28" s="46">
        <f>SUMIFS('Components Yr 2'!D2:D1111,'Components Yr 2'!C2:C1111,A28,'Components Yr 2'!B2:B1111,'Bldgs &amp; Rooms'!B10)</f>
        <v>0</v>
      </c>
      <c r="K28" s="46">
        <f>SUMIFS('Components Yr 2'!D2:D1111,'Components Yr 2'!C2:C1111,A28,'Components Yr 2'!B2:B1111,'Bldgs &amp; Rooms'!B11)</f>
        <v>0</v>
      </c>
      <c r="L28" s="46">
        <f>SUMIFS('Components Yr 2'!D2:D1111,'Components Yr 2'!C2:C1111,A28,'Components Yr 2'!B2:B1111,'Bldgs &amp; Rooms'!B12)</f>
        <v>0</v>
      </c>
      <c r="M28" s="46">
        <f>SUMIFS('Components Yr 2'!D2:D1111,'Components Yr 2'!C2:C1111,A28,'Components Yr 2'!B2:B1111,'Bldgs &amp; Rooms'!B13)</f>
        <v>0</v>
      </c>
      <c r="N28" s="46">
        <f>SUMIFS('Components Yr 2'!D2:D1111,'Components Yr 2'!C2:C1111,A28,'Components Yr 2'!B2:B1111,'Bldgs &amp; Rooms'!B14)</f>
        <v>0</v>
      </c>
      <c r="O28" s="46">
        <f>SUMIFS('Components Yr 2'!D2:D1111,'Components Yr 2'!C2:C1111,A28,'Components Yr 2'!B2:B1111,'Bldgs &amp; Rooms'!B15)</f>
        <v>0</v>
      </c>
      <c r="P28" s="46">
        <f>SUMIFS('Components Yr 2'!D2:D1111,'Components Yr 2'!C2:C1111,A28,'Components Yr 2'!B2:B1111,'Bldgs &amp; Rooms'!B16)</f>
        <v>0</v>
      </c>
      <c r="Q28" s="46">
        <f>SUMIFS('Components Yr 2'!D2:D1111,'Components Yr 2'!C2:C1111,A28,'Components Yr 2'!B2:B1111,'Bldgs &amp; Rooms'!B17)</f>
        <v>0</v>
      </c>
      <c r="R28" s="46">
        <f>SUMIFS('Components Yr 2'!D2:D1111,'Components Yr 2'!C2:C1111,A28,'Components Yr 2'!B2:B1111,'Bldgs &amp; Rooms'!B18)</f>
        <v>0</v>
      </c>
      <c r="S28" s="46">
        <f>SUMIFS('Components Yr 2'!D2:D1111,'Components Yr 2'!C2:C1111,A28,'Components Yr 2'!B2:B1111,'Bldgs &amp; Rooms'!B19)</f>
        <v>0</v>
      </c>
      <c r="T28" s="46">
        <f>SUMIFS('Components Yr 2'!D2:D1111,'Components Yr 2'!C2:C1111,A28,'Components Yr 2'!B2:B1111,'Bldgs &amp; Rooms'!B20)</f>
        <v>0</v>
      </c>
      <c r="U28" s="46">
        <f>SUMIFS('Components Yr 2'!D2:D1111,'Components Yr 2'!C2:C1111,A28,'Components Yr 2'!B2:B1111,'Bldgs &amp; Rooms'!B21)</f>
        <v>0</v>
      </c>
      <c r="V28" s="46">
        <f>SUMIFS('Components Yr 2'!D2:D1111,'Components Yr 2'!C2:C1111,A28,'Components Yr 2'!B2:B1111,'Bldgs &amp; Rooms'!B22)</f>
        <v>0</v>
      </c>
      <c r="W28" s="46">
        <f>SUMIFS('Components Yr 2'!D2:D1111,'Components Yr 2'!C2:C1111,A28,'Components Yr 2'!B2:B1111,'Bldgs &amp; Rooms'!B23)</f>
        <v>0</v>
      </c>
      <c r="X28" s="46">
        <f>SUMIFS('Components Yr 2'!D2:D1111,'Components Yr 2'!C2:C1111,A28,'Components Yr 2'!B2:B1111,'Bldgs &amp; Rooms'!B24)</f>
        <v>0</v>
      </c>
      <c r="Y28" s="46">
        <f>SUMIFS('Components Yr 2'!D2:D1111,'Components Yr 2'!C2:C1111,A28,'Components Yr 2'!B2:B1111,'Bldgs &amp; Rooms'!B25)</f>
        <v>0</v>
      </c>
      <c r="Z28" s="46">
        <f>SUMIFS('Components Yr 2'!D2:D1111,'Components Yr 2'!C2:C1111,A28,'Components Yr 2'!B2:B1111,'Bldgs &amp; Rooms'!B26)</f>
        <v>0</v>
      </c>
      <c r="AA28" s="46">
        <f>SUMIFS('Components Yr 2'!D2:D1111,'Components Yr 2'!C2:C1111,A28,'Components Yr 2'!B2:B1111,'Bldgs &amp; Rooms'!B27)</f>
        <v>0</v>
      </c>
      <c r="AB28" s="46">
        <f>SUMIFS('Components Yr 2'!D2:D1111,'Components Yr 2'!C2:C1111,A28,'Components Yr 2'!B2:B1111,'Bldgs &amp; Rooms'!B28)</f>
        <v>0</v>
      </c>
      <c r="AC28" s="46">
        <f>SUMIFS('Components Yr 2'!D2:D1111,'Components Yr 2'!C2:C1111,A28,'Components Yr 2'!B2:B1111,'Bldgs &amp; Rooms'!B29)</f>
        <v>0</v>
      </c>
      <c r="AD28" s="46">
        <f>SUMIFS('Components Yr 2'!D2:D1111,'Components Yr 2'!C2:C1111,A28,'Components Yr 2'!B2:B1111,'Bldgs &amp; Rooms'!B30)</f>
        <v>0</v>
      </c>
      <c r="AE28" s="46">
        <f>SUMIFS('Components Yr 2'!D2:D1111,'Components Yr 2'!C2:C1111,A28,'Components Yr 2'!B2:B1111,'Bldgs &amp; Rooms'!B31)</f>
        <v>0</v>
      </c>
      <c r="AF28" s="47">
        <f t="shared" si="0"/>
        <v>0</v>
      </c>
    </row>
    <row r="29" spans="1:32" x14ac:dyDescent="0.25">
      <c r="A29" s="48" t="s">
        <v>42</v>
      </c>
      <c r="B29" s="49">
        <f>SUMIFS('Components Yr 2'!D2:D1111,'Components Yr 2'!C2:C1111,A29,'Components Yr 2'!B2:B1111,'Bldgs &amp; Rooms'!B2)</f>
        <v>0</v>
      </c>
      <c r="C29" s="49">
        <f>SUMIFS('Components Yr 2'!D2:D1111,'Components Yr 2'!C2:C1111,A29,'Components Yr 2'!B2:B1111,'Bldgs &amp; Rooms'!B3)</f>
        <v>0</v>
      </c>
      <c r="D29" s="49">
        <f>SUMIFS('Components Yr 2'!D2:D1111,'Components Yr 2'!C2:C1111,A29,'Components Yr 2'!B2:B1111,'Bldgs &amp; Rooms'!B4)</f>
        <v>0</v>
      </c>
      <c r="E29" s="49">
        <f>SUMIFS('Components Yr 2'!D2:D1111,'Components Yr 2'!C2:C1111,A29,'Components Yr 2'!B2:B1111,'Bldgs &amp; Rooms'!B5)</f>
        <v>0</v>
      </c>
      <c r="F29" s="49">
        <f>SUMIFS('Components Yr 2'!D2:D1111,'Components Yr 2'!C2:C1111,A29,'Components Yr 2'!B2:B1111,'Bldgs &amp; Rooms'!B6)</f>
        <v>0</v>
      </c>
      <c r="G29" s="49">
        <f>SUMIFS('Components Yr 2'!D2:D1111,'Components Yr 2'!C2:C1111,A29,'Components Yr 2'!B2:B1111,'Bldgs &amp; Rooms'!B7)</f>
        <v>0</v>
      </c>
      <c r="H29" s="49">
        <f>SUMIFS('Components Yr 2'!D2:D1111,'Components Yr 2'!C2:C1111,A29,'Components Yr 2'!B2:B1111,'Bldgs &amp; Rooms'!B8)</f>
        <v>0</v>
      </c>
      <c r="I29" s="49">
        <f>SUMIFS('Components Yr 2'!D2:D1111,'Components Yr 2'!C2:C1111,A29,'Components Yr 2'!B2:B1111,'Bldgs &amp; Rooms'!B9)</f>
        <v>0</v>
      </c>
      <c r="J29" s="49">
        <f>SUMIFS('Components Yr 2'!D2:D1111,'Components Yr 2'!C2:C1111,A29,'Components Yr 2'!B2:B1111,'Bldgs &amp; Rooms'!B10)</f>
        <v>0</v>
      </c>
      <c r="K29" s="49">
        <f>SUMIFS('Components Yr 2'!D2:D1111,'Components Yr 2'!C2:C1111,A29,'Components Yr 2'!B2:B1111,'Bldgs &amp; Rooms'!B11)</f>
        <v>0</v>
      </c>
      <c r="L29" s="49">
        <f>SUMIFS('Components Yr 2'!D2:D1111,'Components Yr 2'!C2:C1111,A29,'Components Yr 2'!B2:B1111,'Bldgs &amp; Rooms'!B12)</f>
        <v>0</v>
      </c>
      <c r="M29" s="49">
        <f>SUMIFS('Components Yr 2'!D2:D1111,'Components Yr 2'!C2:C1111,A29,'Components Yr 2'!B2:B1111,'Bldgs &amp; Rooms'!B13)</f>
        <v>0</v>
      </c>
      <c r="N29" s="49">
        <f>SUMIFS('Components Yr 2'!D2:D1111,'Components Yr 2'!C2:C1111,A29,'Components Yr 2'!B2:B1111,'Bldgs &amp; Rooms'!B14)</f>
        <v>0</v>
      </c>
      <c r="O29" s="49">
        <f>SUMIFS('Components Yr 2'!D2:D1111,'Components Yr 2'!C2:C1111,A29,'Components Yr 2'!B2:B1111,'Bldgs &amp; Rooms'!B15)</f>
        <v>0</v>
      </c>
      <c r="P29" s="49">
        <f>SUMIFS('Components Yr 2'!D2:D1111,'Components Yr 2'!C2:C1111,A29,'Components Yr 2'!B2:B1111,'Bldgs &amp; Rooms'!B16)</f>
        <v>0</v>
      </c>
      <c r="Q29" s="49">
        <f>SUMIFS('Components Yr 2'!D2:D1111,'Components Yr 2'!C2:C1111,A29,'Components Yr 2'!B2:B1111,'Bldgs &amp; Rooms'!B17)</f>
        <v>0</v>
      </c>
      <c r="R29" s="49">
        <f>SUMIFS('Components Yr 2'!D2:D1111,'Components Yr 2'!C2:C1111,A29,'Components Yr 2'!B2:B1111,'Bldgs &amp; Rooms'!B18)</f>
        <v>0</v>
      </c>
      <c r="S29" s="49">
        <f>SUMIFS('Components Yr 2'!D2:D1111,'Components Yr 2'!C2:C1111,A29,'Components Yr 2'!B2:B1111,'Bldgs &amp; Rooms'!B19)</f>
        <v>0</v>
      </c>
      <c r="T29" s="49">
        <f>SUMIFS('Components Yr 2'!D2:D1111,'Components Yr 2'!C2:C1111,A29,'Components Yr 2'!B2:B1111,'Bldgs &amp; Rooms'!B20)</f>
        <v>0</v>
      </c>
      <c r="U29" s="49">
        <f>SUMIFS('Components Yr 2'!D2:D1111,'Components Yr 2'!C2:C1111,A29,'Components Yr 2'!B2:B1111,'Bldgs &amp; Rooms'!B21)</f>
        <v>0</v>
      </c>
      <c r="V29" s="49">
        <f>SUMIFS('Components Yr 2'!D2:D1111,'Components Yr 2'!C2:C1111,A29,'Components Yr 2'!B2:B1111,'Bldgs &amp; Rooms'!B22)</f>
        <v>0</v>
      </c>
      <c r="W29" s="49">
        <f>SUMIFS('Components Yr 2'!D2:D1111,'Components Yr 2'!C2:C1111,A29,'Components Yr 2'!B2:B1111,'Bldgs &amp; Rooms'!B23)</f>
        <v>0</v>
      </c>
      <c r="X29" s="49">
        <f>SUMIFS('Components Yr 2'!D2:D1111,'Components Yr 2'!C2:C1111,A29,'Components Yr 2'!B2:B1111,'Bldgs &amp; Rooms'!B24)</f>
        <v>0</v>
      </c>
      <c r="Y29" s="49">
        <f>SUMIFS('Components Yr 2'!D2:D1111,'Components Yr 2'!C2:C1111,A29,'Components Yr 2'!B2:B1111,'Bldgs &amp; Rooms'!B25)</f>
        <v>0</v>
      </c>
      <c r="Z29" s="49">
        <f>SUMIFS('Components Yr 2'!D2:D1111,'Components Yr 2'!C2:C1111,A29,'Components Yr 2'!B2:B1111,'Bldgs &amp; Rooms'!B26)</f>
        <v>0</v>
      </c>
      <c r="AA29" s="49">
        <f>SUMIFS('Components Yr 2'!D2:D1111,'Components Yr 2'!C2:C1111,A29,'Components Yr 2'!B2:B1111,'Bldgs &amp; Rooms'!B27)</f>
        <v>0</v>
      </c>
      <c r="AB29" s="49">
        <f>SUMIFS('Components Yr 2'!D2:D1111,'Components Yr 2'!C2:C1111,A29,'Components Yr 2'!B2:B1111,'Bldgs &amp; Rooms'!B28)</f>
        <v>0</v>
      </c>
      <c r="AC29" s="49">
        <f>SUMIFS('Components Yr 2'!D2:D1111,'Components Yr 2'!C2:C1111,A29,'Components Yr 2'!B2:B1111,'Bldgs &amp; Rooms'!B29)</f>
        <v>0</v>
      </c>
      <c r="AD29" s="49">
        <f>SUMIFS('Components Yr 2'!D2:D1111,'Components Yr 2'!C2:C1111,A29,'Components Yr 2'!B2:B1111,'Bldgs &amp; Rooms'!B30)</f>
        <v>0</v>
      </c>
      <c r="AE29" s="49">
        <f>SUMIFS('Components Yr 2'!D2:D1111,'Components Yr 2'!C2:C1111,A29,'Components Yr 2'!B2:B1111,'Bldgs &amp; Rooms'!B31)</f>
        <v>0</v>
      </c>
      <c r="AF29" s="47">
        <f t="shared" si="0"/>
        <v>0</v>
      </c>
    </row>
    <row r="30" spans="1:32" x14ac:dyDescent="0.25">
      <c r="A30" s="45" t="s">
        <v>43</v>
      </c>
      <c r="B30" s="46">
        <f>SUMIFS('Components Yr 2'!D2:D1111,'Components Yr 2'!C2:C1111,A30,'Components Yr 2'!B2:B1111,'Bldgs &amp; Rooms'!B2)</f>
        <v>0</v>
      </c>
      <c r="C30" s="46">
        <f>SUMIFS('Components Yr 2'!D2:D1111,'Components Yr 2'!C2:C1111,A30,'Components Yr 2'!B2:B1111,'Bldgs &amp; Rooms'!B3)</f>
        <v>0</v>
      </c>
      <c r="D30" s="46">
        <f>SUMIFS('Components Yr 2'!D2:D1111,'Components Yr 2'!C2:C1111,A30,'Components Yr 2'!B2:B1111,'Bldgs &amp; Rooms'!B4)</f>
        <v>0</v>
      </c>
      <c r="E30" s="46">
        <f>SUMIFS('Components Yr 2'!D2:D1111,'Components Yr 2'!C2:C1111,A30,'Components Yr 2'!B2:B1111,'Bldgs &amp; Rooms'!B5)</f>
        <v>0</v>
      </c>
      <c r="F30" s="46">
        <f>SUMIFS('Components Yr 2'!D2:D1111,'Components Yr 2'!C2:C1111,A30,'Components Yr 2'!B2:B1111,'Bldgs &amp; Rooms'!B6)</f>
        <v>0</v>
      </c>
      <c r="G30" s="46">
        <f>SUMIFS('Components Yr 2'!D2:D1111,'Components Yr 2'!C2:C1111,A30,'Components Yr 2'!B2:B1111,'Bldgs &amp; Rooms'!B7)</f>
        <v>0</v>
      </c>
      <c r="H30" s="46">
        <f>SUMIFS('Components Yr 2'!D2:D1111,'Components Yr 2'!C2:C1111,A30,'Components Yr 2'!B2:B1111,'Bldgs &amp; Rooms'!B8)</f>
        <v>0</v>
      </c>
      <c r="I30" s="46">
        <f>SUMIFS('Components Yr 2'!D2:D1111,'Components Yr 2'!C2:C1111,A30,'Components Yr 2'!B2:B1111,'Bldgs &amp; Rooms'!B9)</f>
        <v>0</v>
      </c>
      <c r="J30" s="46">
        <f>SUMIFS('Components Yr 2'!D2:D1111,'Components Yr 2'!C2:C1111,A30,'Components Yr 2'!B2:B1111,'Bldgs &amp; Rooms'!B10)</f>
        <v>0</v>
      </c>
      <c r="K30" s="46">
        <f>SUMIFS('Components Yr 2'!D2:D1111,'Components Yr 2'!C2:C1111,A30,'Components Yr 2'!B2:B1111,'Bldgs &amp; Rooms'!B11)</f>
        <v>0</v>
      </c>
      <c r="L30" s="46">
        <f>SUMIFS('Components Yr 2'!D2:D1111,'Components Yr 2'!C2:C1111,A30,'Components Yr 2'!B2:B1111,'Bldgs &amp; Rooms'!B12)</f>
        <v>0</v>
      </c>
      <c r="M30" s="46">
        <f>SUMIFS('Components Yr 2'!D2:D1111,'Components Yr 2'!C2:C1111,A30,'Components Yr 2'!B2:B1111,'Bldgs &amp; Rooms'!B13)</f>
        <v>0</v>
      </c>
      <c r="N30" s="46">
        <f>SUMIFS('Components Yr 2'!D2:D1111,'Components Yr 2'!C2:C1111,A30,'Components Yr 2'!B2:B1111,'Bldgs &amp; Rooms'!B14)</f>
        <v>0</v>
      </c>
      <c r="O30" s="46">
        <f>SUMIFS('Components Yr 2'!D2:D1111,'Components Yr 2'!C2:C1111,A30,'Components Yr 2'!B2:B1111,'Bldgs &amp; Rooms'!B15)</f>
        <v>0</v>
      </c>
      <c r="P30" s="46">
        <f>SUMIFS('Components Yr 2'!D2:D1111,'Components Yr 2'!C2:C1111,A30,'Components Yr 2'!B2:B1111,'Bldgs &amp; Rooms'!B16)</f>
        <v>0</v>
      </c>
      <c r="Q30" s="46">
        <f>SUMIFS('Components Yr 2'!D2:D1111,'Components Yr 2'!C2:C1111,A30,'Components Yr 2'!B2:B1111,'Bldgs &amp; Rooms'!B17)</f>
        <v>0</v>
      </c>
      <c r="R30" s="46">
        <f>SUMIFS('Components Yr 2'!D2:D1111,'Components Yr 2'!C2:C1111,A30,'Components Yr 2'!B2:B1111,'Bldgs &amp; Rooms'!B18)</f>
        <v>0</v>
      </c>
      <c r="S30" s="46">
        <f>SUMIFS('Components Yr 2'!D2:D1111,'Components Yr 2'!C2:C1111,A30,'Components Yr 2'!B2:B1111,'Bldgs &amp; Rooms'!B19)</f>
        <v>0</v>
      </c>
      <c r="T30" s="46">
        <f>SUMIFS('Components Yr 2'!D2:D1111,'Components Yr 2'!C2:C1111,A30,'Components Yr 2'!B2:B1111,'Bldgs &amp; Rooms'!B20)</f>
        <v>0</v>
      </c>
      <c r="U30" s="46">
        <f>SUMIFS('Components Yr 2'!D2:D1111,'Components Yr 2'!C2:C1111,A30,'Components Yr 2'!B2:B1111,'Bldgs &amp; Rooms'!B21)</f>
        <v>0</v>
      </c>
      <c r="V30" s="46">
        <f>SUMIFS('Components Yr 2'!D2:D1111,'Components Yr 2'!C2:C1111,A30,'Components Yr 2'!B2:B1111,'Bldgs &amp; Rooms'!B22)</f>
        <v>0</v>
      </c>
      <c r="W30" s="46">
        <f>SUMIFS('Components Yr 2'!D2:D1111,'Components Yr 2'!C2:C1111,A30,'Components Yr 2'!B2:B1111,'Bldgs &amp; Rooms'!B23)</f>
        <v>0</v>
      </c>
      <c r="X30" s="46">
        <f>SUMIFS('Components Yr 2'!D2:D1111,'Components Yr 2'!C2:C1111,A30,'Components Yr 2'!B2:B1111,'Bldgs &amp; Rooms'!B24)</f>
        <v>0</v>
      </c>
      <c r="Y30" s="46">
        <f>SUMIFS('Components Yr 2'!D2:D1111,'Components Yr 2'!C2:C1111,A30,'Components Yr 2'!B2:B1111,'Bldgs &amp; Rooms'!B25)</f>
        <v>0</v>
      </c>
      <c r="Z30" s="46">
        <f>SUMIFS('Components Yr 2'!D2:D1111,'Components Yr 2'!C2:C1111,A30,'Components Yr 2'!B2:B1111,'Bldgs &amp; Rooms'!B26)</f>
        <v>0</v>
      </c>
      <c r="AA30" s="46">
        <f>SUMIFS('Components Yr 2'!D2:D1111,'Components Yr 2'!C2:C1111,A30,'Components Yr 2'!B2:B1111,'Bldgs &amp; Rooms'!B27)</f>
        <v>0</v>
      </c>
      <c r="AB30" s="46">
        <f>SUMIFS('Components Yr 2'!D2:D1111,'Components Yr 2'!C2:C1111,A30,'Components Yr 2'!B2:B1111,'Bldgs &amp; Rooms'!B28)</f>
        <v>0</v>
      </c>
      <c r="AC30" s="46">
        <f>SUMIFS('Components Yr 2'!D2:D1111,'Components Yr 2'!C2:C1111,A30,'Components Yr 2'!B2:B1111,'Bldgs &amp; Rooms'!B29)</f>
        <v>0</v>
      </c>
      <c r="AD30" s="46">
        <f>SUMIFS('Components Yr 2'!D2:D1111,'Components Yr 2'!C2:C1111,A30,'Components Yr 2'!B2:B1111,'Bldgs &amp; Rooms'!B30)</f>
        <v>0</v>
      </c>
      <c r="AE30" s="46">
        <f>SUMIFS('Components Yr 2'!D2:D1111,'Components Yr 2'!C2:C1111,A30,'Components Yr 2'!B2:B1111,'Bldgs &amp; Rooms'!B31)</f>
        <v>0</v>
      </c>
      <c r="AF30" s="47">
        <f t="shared" si="0"/>
        <v>0</v>
      </c>
    </row>
    <row r="31" spans="1:32" x14ac:dyDescent="0.25">
      <c r="A31" s="48" t="s">
        <v>44</v>
      </c>
      <c r="B31" s="49">
        <f>SUMIFS('Components Yr 2'!D2:D1111,'Components Yr 2'!C2:C1111,A31,'Components Yr 2'!B2:B1111,'Bldgs &amp; Rooms'!B2)</f>
        <v>0</v>
      </c>
      <c r="C31" s="49">
        <f>SUMIFS('Components Yr 2'!D2:D1111,'Components Yr 2'!C2:C1111,A31,'Components Yr 2'!B2:B1111,'Bldgs &amp; Rooms'!B3)</f>
        <v>0</v>
      </c>
      <c r="D31" s="49">
        <f>SUMIFS('Components Yr 2'!D2:D1111,'Components Yr 2'!C2:C1111,A31,'Components Yr 2'!B2:B1111,'Bldgs &amp; Rooms'!B4)</f>
        <v>0</v>
      </c>
      <c r="E31" s="49">
        <f>SUMIFS('Components Yr 2'!D2:D1111,'Components Yr 2'!C2:C1111,A31,'Components Yr 2'!B2:B1111,'Bldgs &amp; Rooms'!B5)</f>
        <v>0</v>
      </c>
      <c r="F31" s="49">
        <f>SUMIFS('Components Yr 2'!D2:D1111,'Components Yr 2'!C2:C1111,A31,'Components Yr 2'!B2:B1111,'Bldgs &amp; Rooms'!B6)</f>
        <v>0</v>
      </c>
      <c r="G31" s="49">
        <f>SUMIFS('Components Yr 2'!D2:D1111,'Components Yr 2'!C2:C1111,A31,'Components Yr 2'!B2:B1111,'Bldgs &amp; Rooms'!B7)</f>
        <v>0</v>
      </c>
      <c r="H31" s="49">
        <f>SUMIFS('Components Yr 2'!D2:D1111,'Components Yr 2'!C2:C1111,A31,'Components Yr 2'!B2:B1111,'Bldgs &amp; Rooms'!B8)</f>
        <v>0</v>
      </c>
      <c r="I31" s="49">
        <f>SUMIFS('Components Yr 2'!D2:D1111,'Components Yr 2'!C2:C1111,A31,'Components Yr 2'!B2:B1111,'Bldgs &amp; Rooms'!B9)</f>
        <v>0</v>
      </c>
      <c r="J31" s="49">
        <f>SUMIFS('Components Yr 2'!D2:D1111,'Components Yr 2'!C2:C1111,A31,'Components Yr 2'!B2:B1111,'Bldgs &amp; Rooms'!B10)</f>
        <v>0</v>
      </c>
      <c r="K31" s="49">
        <f>SUMIFS('Components Yr 2'!D2:D1111,'Components Yr 2'!C2:C1111,A31,'Components Yr 2'!B2:B1111,'Bldgs &amp; Rooms'!B11)</f>
        <v>0</v>
      </c>
      <c r="L31" s="49">
        <f>SUMIFS('Components Yr 2'!D2:D1111,'Components Yr 2'!C2:C1111,A31,'Components Yr 2'!B2:B1111,'Bldgs &amp; Rooms'!B12)</f>
        <v>0</v>
      </c>
      <c r="M31" s="49">
        <f>SUMIFS('Components Yr 2'!D2:D1111,'Components Yr 2'!C2:C1111,A31,'Components Yr 2'!B2:B1111,'Bldgs &amp; Rooms'!B13)</f>
        <v>0</v>
      </c>
      <c r="N31" s="49">
        <f>SUMIFS('Components Yr 2'!D2:D1111,'Components Yr 2'!C2:C1111,A31,'Components Yr 2'!B2:B1111,'Bldgs &amp; Rooms'!B14)</f>
        <v>0</v>
      </c>
      <c r="O31" s="49">
        <f>SUMIFS('Components Yr 2'!D2:D1111,'Components Yr 2'!C2:C1111,A31,'Components Yr 2'!B2:B1111,'Bldgs &amp; Rooms'!B15)</f>
        <v>0</v>
      </c>
      <c r="P31" s="49">
        <f>SUMIFS('Components Yr 2'!D2:D1111,'Components Yr 2'!C2:C1111,A31,'Components Yr 2'!B2:B1111,'Bldgs &amp; Rooms'!B16)</f>
        <v>0</v>
      </c>
      <c r="Q31" s="49">
        <f>SUMIFS('Components Yr 2'!D2:D1111,'Components Yr 2'!C2:C1111,A31,'Components Yr 2'!B2:B1111,'Bldgs &amp; Rooms'!B17)</f>
        <v>0</v>
      </c>
      <c r="R31" s="49">
        <f>SUMIFS('Components Yr 2'!D2:D1111,'Components Yr 2'!C2:C1111,A31,'Components Yr 2'!B2:B1111,'Bldgs &amp; Rooms'!B18)</f>
        <v>0</v>
      </c>
      <c r="S31" s="49">
        <f>SUMIFS('Components Yr 2'!D2:D1111,'Components Yr 2'!C2:C1111,A31,'Components Yr 2'!B2:B1111,'Bldgs &amp; Rooms'!B19)</f>
        <v>0</v>
      </c>
      <c r="T31" s="49">
        <f>SUMIFS('Components Yr 2'!D2:D1111,'Components Yr 2'!C2:C1111,A31,'Components Yr 2'!B2:B1111,'Bldgs &amp; Rooms'!B20)</f>
        <v>0</v>
      </c>
      <c r="U31" s="49">
        <f>SUMIFS('Components Yr 2'!D2:D1111,'Components Yr 2'!C2:C1111,A31,'Components Yr 2'!B2:B1111,'Bldgs &amp; Rooms'!B21)</f>
        <v>0</v>
      </c>
      <c r="V31" s="49">
        <f>SUMIFS('Components Yr 2'!D2:D1111,'Components Yr 2'!C2:C1111,A31,'Components Yr 2'!B2:B1111,'Bldgs &amp; Rooms'!B22)</f>
        <v>0</v>
      </c>
      <c r="W31" s="49">
        <f>SUMIFS('Components Yr 2'!D2:D1111,'Components Yr 2'!C2:C1111,A31,'Components Yr 2'!B2:B1111,'Bldgs &amp; Rooms'!B23)</f>
        <v>0</v>
      </c>
      <c r="X31" s="49">
        <f>SUMIFS('Components Yr 2'!D2:D1111,'Components Yr 2'!C2:C1111,A31,'Components Yr 2'!B2:B1111,'Bldgs &amp; Rooms'!B24)</f>
        <v>0</v>
      </c>
      <c r="Y31" s="49">
        <f>SUMIFS('Components Yr 2'!D2:D1111,'Components Yr 2'!C2:C1111,A31,'Components Yr 2'!B2:B1111,'Bldgs &amp; Rooms'!B25)</f>
        <v>0</v>
      </c>
      <c r="Z31" s="49">
        <f>SUMIFS('Components Yr 2'!D2:D1111,'Components Yr 2'!C2:C1111,A31,'Components Yr 2'!B2:B1111,'Bldgs &amp; Rooms'!B26)</f>
        <v>0</v>
      </c>
      <c r="AA31" s="49">
        <f>SUMIFS('Components Yr 2'!D2:D1111,'Components Yr 2'!C2:C1111,A31,'Components Yr 2'!B2:B1111,'Bldgs &amp; Rooms'!B27)</f>
        <v>0</v>
      </c>
      <c r="AB31" s="49">
        <f>SUMIFS('Components Yr 2'!D2:D1111,'Components Yr 2'!C2:C1111,A31,'Components Yr 2'!B2:B1111,'Bldgs &amp; Rooms'!B28)</f>
        <v>0</v>
      </c>
      <c r="AC31" s="49">
        <f>SUMIFS('Components Yr 2'!D2:D1111,'Components Yr 2'!C2:C1111,A31,'Components Yr 2'!B2:B1111,'Bldgs &amp; Rooms'!B29)</f>
        <v>0</v>
      </c>
      <c r="AD31" s="49">
        <f>SUMIFS('Components Yr 2'!D2:D1111,'Components Yr 2'!C2:C1111,A31,'Components Yr 2'!B2:B1111,'Bldgs &amp; Rooms'!B30)</f>
        <v>0</v>
      </c>
      <c r="AE31" s="49">
        <f>SUMIFS('Components Yr 2'!D2:D1111,'Components Yr 2'!C2:C1111,A31,'Components Yr 2'!B2:B1111,'Bldgs &amp; Rooms'!B31)</f>
        <v>0</v>
      </c>
      <c r="AF31" s="47">
        <f t="shared" si="0"/>
        <v>0</v>
      </c>
    </row>
    <row r="32" spans="1:32" x14ac:dyDescent="0.25">
      <c r="A32" s="45" t="s">
        <v>45</v>
      </c>
      <c r="B32" s="46">
        <f>SUMIFS('Components Yr 2'!D2:D1111,'Components Yr 2'!C2:C1111,A32,'Components Yr 2'!B2:B1111,'Bldgs &amp; Rooms'!B2)</f>
        <v>0</v>
      </c>
      <c r="C32" s="46">
        <f>SUMIFS('Components Yr 2'!D2:D1111,'Components Yr 2'!C2:C1111,A32,'Components Yr 2'!B2:B1111,'Bldgs &amp; Rooms'!B3)</f>
        <v>0</v>
      </c>
      <c r="D32" s="46">
        <f>SUMIFS('Components Yr 2'!D2:D1111,'Components Yr 2'!C2:C1111,A32,'Components Yr 2'!B2:B1111,'Bldgs &amp; Rooms'!B4)</f>
        <v>0</v>
      </c>
      <c r="E32" s="46">
        <f>SUMIFS('Components Yr 2'!D2:D1111,'Components Yr 2'!C2:C1111,A32,'Components Yr 2'!B2:B1111,'Bldgs &amp; Rooms'!B5)</f>
        <v>0</v>
      </c>
      <c r="F32" s="46">
        <f>SUMIFS('Components Yr 2'!D2:D1111,'Components Yr 2'!C2:C1111,A32,'Components Yr 2'!B2:B1111,'Bldgs &amp; Rooms'!B6)</f>
        <v>0</v>
      </c>
      <c r="G32" s="46">
        <f>SUMIFS('Components Yr 2'!D2:D1111,'Components Yr 2'!C2:C1111,A32,'Components Yr 2'!B2:B1111,'Bldgs &amp; Rooms'!B7)</f>
        <v>0</v>
      </c>
      <c r="H32" s="46">
        <f>SUMIFS('Components Yr 2'!D2:D1111,'Components Yr 2'!C2:C1111,A32,'Components Yr 2'!B2:B1111,'Bldgs &amp; Rooms'!B8)</f>
        <v>0</v>
      </c>
      <c r="I32" s="46">
        <f>SUMIFS('Components Yr 2'!D2:D1111,'Components Yr 2'!C2:C1111,A32,'Components Yr 2'!B2:B1111,'Bldgs &amp; Rooms'!B9)</f>
        <v>0</v>
      </c>
      <c r="J32" s="46">
        <f>SUMIFS('Components Yr 2'!D2:D1111,'Components Yr 2'!C2:C1111,A32,'Components Yr 2'!B2:B1111,'Bldgs &amp; Rooms'!B10)</f>
        <v>0</v>
      </c>
      <c r="K32" s="46">
        <f>SUMIFS('Components Yr 2'!D2:D1111,'Components Yr 2'!C2:C1111,A32,'Components Yr 2'!B2:B1111,'Bldgs &amp; Rooms'!B11)</f>
        <v>0</v>
      </c>
      <c r="L32" s="46">
        <f>SUMIFS('Components Yr 2'!D2:D1111,'Components Yr 2'!C2:C1111,A32,'Components Yr 2'!B2:B1111,'Bldgs &amp; Rooms'!B12)</f>
        <v>0</v>
      </c>
      <c r="M32" s="46">
        <f>SUMIFS('Components Yr 2'!D2:D1111,'Components Yr 2'!C2:C1111,A32,'Components Yr 2'!B2:B1111,'Bldgs &amp; Rooms'!B13)</f>
        <v>0</v>
      </c>
      <c r="N32" s="46">
        <f>SUMIFS('Components Yr 2'!D2:D1111,'Components Yr 2'!C2:C1111,A32,'Components Yr 2'!B2:B1111,'Bldgs &amp; Rooms'!B14)</f>
        <v>0</v>
      </c>
      <c r="O32" s="46">
        <f>SUMIFS('Components Yr 2'!D2:D1111,'Components Yr 2'!C2:C1111,A32,'Components Yr 2'!B2:B1111,'Bldgs &amp; Rooms'!B15)</f>
        <v>0</v>
      </c>
      <c r="P32" s="46">
        <f>SUMIFS('Components Yr 2'!D2:D1111,'Components Yr 2'!C2:C1111,A32,'Components Yr 2'!B2:B1111,'Bldgs &amp; Rooms'!B16)</f>
        <v>0</v>
      </c>
      <c r="Q32" s="46">
        <f>SUMIFS('Components Yr 2'!D2:D1111,'Components Yr 2'!C2:C1111,A32,'Components Yr 2'!B2:B1111,'Bldgs &amp; Rooms'!B17)</f>
        <v>0</v>
      </c>
      <c r="R32" s="46">
        <f>SUMIFS('Components Yr 2'!D2:D1111,'Components Yr 2'!C2:C1111,A32,'Components Yr 2'!B2:B1111,'Bldgs &amp; Rooms'!B18)</f>
        <v>0</v>
      </c>
      <c r="S32" s="46">
        <f>SUMIFS('Components Yr 2'!D2:D1111,'Components Yr 2'!C2:C1111,A32,'Components Yr 2'!B2:B1111,'Bldgs &amp; Rooms'!B19)</f>
        <v>0</v>
      </c>
      <c r="T32" s="46">
        <f>SUMIFS('Components Yr 2'!D2:D1111,'Components Yr 2'!C2:C1111,A32,'Components Yr 2'!B2:B1111,'Bldgs &amp; Rooms'!B20)</f>
        <v>0</v>
      </c>
      <c r="U32" s="46">
        <f>SUMIFS('Components Yr 2'!D2:D1111,'Components Yr 2'!C2:C1111,A32,'Components Yr 2'!B2:B1111,'Bldgs &amp; Rooms'!B21)</f>
        <v>0</v>
      </c>
      <c r="V32" s="46">
        <f>SUMIFS('Components Yr 2'!D2:D1111,'Components Yr 2'!C2:C1111,A32,'Components Yr 2'!B2:B1111,'Bldgs &amp; Rooms'!B22)</f>
        <v>0</v>
      </c>
      <c r="W32" s="46">
        <f>SUMIFS('Components Yr 2'!D2:D1111,'Components Yr 2'!C2:C1111,A32,'Components Yr 2'!B2:B1111,'Bldgs &amp; Rooms'!B23)</f>
        <v>0</v>
      </c>
      <c r="X32" s="46">
        <f>SUMIFS('Components Yr 2'!D2:D1111,'Components Yr 2'!C2:C1111,A32,'Components Yr 2'!B2:B1111,'Bldgs &amp; Rooms'!B24)</f>
        <v>0</v>
      </c>
      <c r="Y32" s="46">
        <f>SUMIFS('Components Yr 2'!D2:D1111,'Components Yr 2'!C2:C1111,A32,'Components Yr 2'!B2:B1111,'Bldgs &amp; Rooms'!B25)</f>
        <v>0</v>
      </c>
      <c r="Z32" s="46">
        <f>SUMIFS('Components Yr 2'!D2:D1111,'Components Yr 2'!C2:C1111,A32,'Components Yr 2'!B2:B1111,'Bldgs &amp; Rooms'!B26)</f>
        <v>0</v>
      </c>
      <c r="AA32" s="46">
        <f>SUMIFS('Components Yr 2'!D2:D1111,'Components Yr 2'!C2:C1111,A32,'Components Yr 2'!B2:B1111,'Bldgs &amp; Rooms'!B27)</f>
        <v>0</v>
      </c>
      <c r="AB32" s="46">
        <f>SUMIFS('Components Yr 2'!D2:D1111,'Components Yr 2'!C2:C1111,A32,'Components Yr 2'!B2:B1111,'Bldgs &amp; Rooms'!B28)</f>
        <v>0</v>
      </c>
      <c r="AC32" s="46">
        <f>SUMIFS('Components Yr 2'!D2:D1111,'Components Yr 2'!C2:C1111,A32,'Components Yr 2'!B2:B1111,'Bldgs &amp; Rooms'!B29)</f>
        <v>0</v>
      </c>
      <c r="AD32" s="46">
        <f>SUMIFS('Components Yr 2'!D2:D1111,'Components Yr 2'!C2:C1111,A32,'Components Yr 2'!B2:B1111,'Bldgs &amp; Rooms'!B30)</f>
        <v>0</v>
      </c>
      <c r="AE32" s="46">
        <f>SUMIFS('Components Yr 2'!D2:D1111,'Components Yr 2'!C2:C1111,A32,'Components Yr 2'!B2:B1111,'Bldgs &amp; Rooms'!B31)</f>
        <v>0</v>
      </c>
      <c r="AF32" s="47">
        <f t="shared" si="0"/>
        <v>0</v>
      </c>
    </row>
    <row r="33" spans="1:32" x14ac:dyDescent="0.25">
      <c r="A33" s="48" t="s">
        <v>46</v>
      </c>
      <c r="B33" s="49">
        <f>SUMIFS('Components Yr 2'!D2:D1111,'Components Yr 2'!C2:C1111,A33,'Components Yr 2'!B2:B1111,'Bldgs &amp; Rooms'!B2)</f>
        <v>0</v>
      </c>
      <c r="C33" s="49">
        <f>SUMIFS('Components Yr 2'!D2:D1111,'Components Yr 2'!C2:C1111,A33,'Components Yr 2'!B2:B1111,'Bldgs &amp; Rooms'!B3)</f>
        <v>0</v>
      </c>
      <c r="D33" s="49">
        <f>SUMIFS('Components Yr 2'!D2:D1111,'Components Yr 2'!C2:C1111,A33,'Components Yr 2'!B2:B1111,'Bldgs &amp; Rooms'!B4)</f>
        <v>0</v>
      </c>
      <c r="E33" s="49">
        <f>SUMIFS('Components Yr 2'!D2:D1111,'Components Yr 2'!C2:C1111,A33,'Components Yr 2'!B2:B1111,'Bldgs &amp; Rooms'!B5)</f>
        <v>0</v>
      </c>
      <c r="F33" s="49">
        <f>SUMIFS('Components Yr 2'!D2:D1111,'Components Yr 2'!C2:C1111,A33,'Components Yr 2'!B2:B1111,'Bldgs &amp; Rooms'!B6)</f>
        <v>0</v>
      </c>
      <c r="G33" s="49">
        <f>SUMIFS('Components Yr 2'!D2:D1111,'Components Yr 2'!C2:C1111,A33,'Components Yr 2'!B2:B1111,'Bldgs &amp; Rooms'!B7)</f>
        <v>0</v>
      </c>
      <c r="H33" s="49">
        <f>SUMIFS('Components Yr 2'!D2:D1111,'Components Yr 2'!C2:C1111,A33,'Components Yr 2'!B2:B1111,'Bldgs &amp; Rooms'!B8)</f>
        <v>0</v>
      </c>
      <c r="I33" s="49">
        <f>SUMIFS('Components Yr 2'!D2:D1111,'Components Yr 2'!C2:C1111,A33,'Components Yr 2'!B2:B1111,'Bldgs &amp; Rooms'!B9)</f>
        <v>0</v>
      </c>
      <c r="J33" s="49">
        <f>SUMIFS('Components Yr 2'!D2:D1111,'Components Yr 2'!C2:C1111,A33,'Components Yr 2'!B2:B1111,'Bldgs &amp; Rooms'!B10)</f>
        <v>0</v>
      </c>
      <c r="K33" s="49">
        <f>SUMIFS('Components Yr 2'!D2:D1111,'Components Yr 2'!C2:C1111,A33,'Components Yr 2'!B2:B1111,'Bldgs &amp; Rooms'!B11)</f>
        <v>0</v>
      </c>
      <c r="L33" s="49">
        <f>SUMIFS('Components Yr 2'!D2:D1111,'Components Yr 2'!C2:C1111,A33,'Components Yr 2'!B2:B1111,'Bldgs &amp; Rooms'!B12)</f>
        <v>0</v>
      </c>
      <c r="M33" s="49">
        <f>SUMIFS('Components Yr 2'!D2:D1111,'Components Yr 2'!C2:C1111,A33,'Components Yr 2'!B2:B1111,'Bldgs &amp; Rooms'!B13)</f>
        <v>0</v>
      </c>
      <c r="N33" s="49">
        <f>SUMIFS('Components Yr 2'!D2:D1111,'Components Yr 2'!C2:C1111,A33,'Components Yr 2'!B2:B1111,'Bldgs &amp; Rooms'!B14)</f>
        <v>0</v>
      </c>
      <c r="O33" s="49">
        <f>SUMIFS('Components Yr 2'!D2:D1111,'Components Yr 2'!C2:C1111,A33,'Components Yr 2'!B2:B1111,'Bldgs &amp; Rooms'!B15)</f>
        <v>0</v>
      </c>
      <c r="P33" s="49">
        <f>SUMIFS('Components Yr 2'!D2:D1111,'Components Yr 2'!C2:C1111,A33,'Components Yr 2'!B2:B1111,'Bldgs &amp; Rooms'!B16)</f>
        <v>0</v>
      </c>
      <c r="Q33" s="49">
        <f>SUMIFS('Components Yr 2'!D2:D1111,'Components Yr 2'!C2:C1111,A33,'Components Yr 2'!B2:B1111,'Bldgs &amp; Rooms'!B17)</f>
        <v>0</v>
      </c>
      <c r="R33" s="49">
        <f>SUMIFS('Components Yr 2'!D2:D1111,'Components Yr 2'!C2:C1111,A33,'Components Yr 2'!B2:B1111,'Bldgs &amp; Rooms'!B18)</f>
        <v>0</v>
      </c>
      <c r="S33" s="49">
        <f>SUMIFS('Components Yr 2'!D2:D1111,'Components Yr 2'!C2:C1111,A33,'Components Yr 2'!B2:B1111,'Bldgs &amp; Rooms'!B19)</f>
        <v>0</v>
      </c>
      <c r="T33" s="49">
        <f>SUMIFS('Components Yr 2'!D2:D1111,'Components Yr 2'!C2:C1111,A33,'Components Yr 2'!B2:B1111,'Bldgs &amp; Rooms'!B20)</f>
        <v>0</v>
      </c>
      <c r="U33" s="49">
        <f>SUMIFS('Components Yr 2'!D2:D1111,'Components Yr 2'!C2:C1111,A33,'Components Yr 2'!B2:B1111,'Bldgs &amp; Rooms'!B21)</f>
        <v>0</v>
      </c>
      <c r="V33" s="49">
        <f>SUMIFS('Components Yr 2'!D2:D1111,'Components Yr 2'!C2:C1111,A33,'Components Yr 2'!B2:B1111,'Bldgs &amp; Rooms'!B22)</f>
        <v>0</v>
      </c>
      <c r="W33" s="49">
        <f>SUMIFS('Components Yr 2'!D2:D1111,'Components Yr 2'!C2:C1111,A33,'Components Yr 2'!B2:B1111,'Bldgs &amp; Rooms'!B23)</f>
        <v>0</v>
      </c>
      <c r="X33" s="49">
        <f>SUMIFS('Components Yr 2'!D2:D1111,'Components Yr 2'!C2:C1111,A33,'Components Yr 2'!B2:B1111,'Bldgs &amp; Rooms'!B24)</f>
        <v>0</v>
      </c>
      <c r="Y33" s="49">
        <f>SUMIFS('Components Yr 2'!D2:D1111,'Components Yr 2'!C2:C1111,A33,'Components Yr 2'!B2:B1111,'Bldgs &amp; Rooms'!B25)</f>
        <v>0</v>
      </c>
      <c r="Z33" s="49">
        <f>SUMIFS('Components Yr 2'!D2:D1111,'Components Yr 2'!C2:C1111,A33,'Components Yr 2'!B2:B1111,'Bldgs &amp; Rooms'!B26)</f>
        <v>0</v>
      </c>
      <c r="AA33" s="49">
        <f>SUMIFS('Components Yr 2'!D2:D1111,'Components Yr 2'!C2:C1111,A33,'Components Yr 2'!B2:B1111,'Bldgs &amp; Rooms'!B27)</f>
        <v>0</v>
      </c>
      <c r="AB33" s="49">
        <f>SUMIFS('Components Yr 2'!D2:D1111,'Components Yr 2'!C2:C1111,A33,'Components Yr 2'!B2:B1111,'Bldgs &amp; Rooms'!B28)</f>
        <v>0</v>
      </c>
      <c r="AC33" s="49">
        <f>SUMIFS('Components Yr 2'!D2:D1111,'Components Yr 2'!C2:C1111,A33,'Components Yr 2'!B2:B1111,'Bldgs &amp; Rooms'!B29)</f>
        <v>0</v>
      </c>
      <c r="AD33" s="49">
        <f>SUMIFS('Components Yr 2'!D2:D1111,'Components Yr 2'!C2:C1111,A33,'Components Yr 2'!B2:B1111,'Bldgs &amp; Rooms'!B30)</f>
        <v>0</v>
      </c>
      <c r="AE33" s="49">
        <f>SUMIFS('Components Yr 2'!D2:D1111,'Components Yr 2'!C2:C1111,A33,'Components Yr 2'!B2:B1111,'Bldgs &amp; Rooms'!B31)</f>
        <v>0</v>
      </c>
      <c r="AF33" s="47">
        <f t="shared" si="0"/>
        <v>0</v>
      </c>
    </row>
    <row r="34" spans="1:32" x14ac:dyDescent="0.25">
      <c r="A34" s="45" t="s">
        <v>47</v>
      </c>
      <c r="B34" s="46">
        <f>SUMIFS('Components Yr 2'!D2:D1111,'Components Yr 2'!C2:C1111,A34,'Components Yr 2'!B2:B1111,'Bldgs &amp; Rooms'!B2)</f>
        <v>0</v>
      </c>
      <c r="C34" s="46">
        <f>SUMIFS('Components Yr 2'!D2:D1111,'Components Yr 2'!C2:C1111,A34,'Components Yr 2'!B2:B1111,'Bldgs &amp; Rooms'!B3)</f>
        <v>0</v>
      </c>
      <c r="D34" s="46">
        <f>SUMIFS('Components Yr 2'!D2:D1111,'Components Yr 2'!C2:C1111,A34,'Components Yr 2'!B2:B1111,'Bldgs &amp; Rooms'!B4)</f>
        <v>0</v>
      </c>
      <c r="E34" s="46">
        <f>SUMIFS('Components Yr 2'!D2:D1111,'Components Yr 2'!C2:C1111,A34,'Components Yr 2'!B2:B1111,'Bldgs &amp; Rooms'!B5)</f>
        <v>0</v>
      </c>
      <c r="F34" s="46">
        <f>SUMIFS('Components Yr 2'!D2:D1111,'Components Yr 2'!C2:C1111,A34,'Components Yr 2'!B2:B1111,'Bldgs &amp; Rooms'!B6)</f>
        <v>0</v>
      </c>
      <c r="G34" s="46">
        <f>SUMIFS('Components Yr 2'!D2:D1111,'Components Yr 2'!C2:C1111,A34,'Components Yr 2'!B2:B1111,'Bldgs &amp; Rooms'!B7)</f>
        <v>0</v>
      </c>
      <c r="H34" s="46">
        <f>SUMIFS('Components Yr 2'!D2:D1111,'Components Yr 2'!C2:C1111,A34,'Components Yr 2'!B2:B1111,'Bldgs &amp; Rooms'!B8)</f>
        <v>0</v>
      </c>
      <c r="I34" s="46">
        <f>SUMIFS('Components Yr 2'!D2:D1111,'Components Yr 2'!C2:C1111,A34,'Components Yr 2'!B2:B1111,'Bldgs &amp; Rooms'!B9)</f>
        <v>0</v>
      </c>
      <c r="J34" s="46">
        <f>SUMIFS('Components Yr 2'!D2:D1111,'Components Yr 2'!C2:C1111,A34,'Components Yr 2'!B2:B1111,'Bldgs &amp; Rooms'!B10)</f>
        <v>0</v>
      </c>
      <c r="K34" s="46">
        <f>SUMIFS('Components Yr 2'!D2:D1111,'Components Yr 2'!C2:C1111,A34,'Components Yr 2'!B2:B1111,'Bldgs &amp; Rooms'!B11)</f>
        <v>0</v>
      </c>
      <c r="L34" s="46">
        <f>SUMIFS('Components Yr 2'!D2:D1111,'Components Yr 2'!C2:C1111,A34,'Components Yr 2'!B2:B1111,'Bldgs &amp; Rooms'!B12)</f>
        <v>0</v>
      </c>
      <c r="M34" s="46">
        <f>SUMIFS('Components Yr 2'!D2:D1111,'Components Yr 2'!C2:C1111,A34,'Components Yr 2'!B2:B1111,'Bldgs &amp; Rooms'!B13)</f>
        <v>0</v>
      </c>
      <c r="N34" s="46">
        <f>SUMIFS('Components Yr 2'!D2:D1111,'Components Yr 2'!C2:C1111,A34,'Components Yr 2'!B2:B1111,'Bldgs &amp; Rooms'!B14)</f>
        <v>0</v>
      </c>
      <c r="O34" s="46">
        <f>SUMIFS('Components Yr 2'!D2:D1111,'Components Yr 2'!C2:C1111,A34,'Components Yr 2'!B2:B1111,'Bldgs &amp; Rooms'!B15)</f>
        <v>0</v>
      </c>
      <c r="P34" s="46">
        <f>SUMIFS('Components Yr 2'!D2:D1111,'Components Yr 2'!C2:C1111,A34,'Components Yr 2'!B2:B1111,'Bldgs &amp; Rooms'!B16)</f>
        <v>0</v>
      </c>
      <c r="Q34" s="46">
        <f>SUMIFS('Components Yr 2'!D2:D1111,'Components Yr 2'!C2:C1111,A34,'Components Yr 2'!B2:B1111,'Bldgs &amp; Rooms'!B17)</f>
        <v>0</v>
      </c>
      <c r="R34" s="46">
        <f>SUMIFS('Components Yr 2'!D2:D1111,'Components Yr 2'!C2:C1111,A34,'Components Yr 2'!B2:B1111,'Bldgs &amp; Rooms'!B18)</f>
        <v>0</v>
      </c>
      <c r="S34" s="46">
        <f>SUMIFS('Components Yr 2'!D2:D1111,'Components Yr 2'!C2:C1111,A34,'Components Yr 2'!B2:B1111,'Bldgs &amp; Rooms'!B19)</f>
        <v>0</v>
      </c>
      <c r="T34" s="46">
        <f>SUMIFS('Components Yr 2'!D2:D1111,'Components Yr 2'!C2:C1111,A34,'Components Yr 2'!B2:B1111,'Bldgs &amp; Rooms'!B20)</f>
        <v>0</v>
      </c>
      <c r="U34" s="46">
        <f>SUMIFS('Components Yr 2'!D2:D1111,'Components Yr 2'!C2:C1111,A34,'Components Yr 2'!B2:B1111,'Bldgs &amp; Rooms'!B21)</f>
        <v>0</v>
      </c>
      <c r="V34" s="46">
        <f>SUMIFS('Components Yr 2'!D2:D1111,'Components Yr 2'!C2:C1111,A34,'Components Yr 2'!B2:B1111,'Bldgs &amp; Rooms'!B22)</f>
        <v>0</v>
      </c>
      <c r="W34" s="46">
        <f>SUMIFS('Components Yr 2'!D2:D1111,'Components Yr 2'!C2:C1111,A34,'Components Yr 2'!B2:B1111,'Bldgs &amp; Rooms'!B23)</f>
        <v>0</v>
      </c>
      <c r="X34" s="46">
        <f>SUMIFS('Components Yr 2'!D2:D1111,'Components Yr 2'!C2:C1111,A34,'Components Yr 2'!B2:B1111,'Bldgs &amp; Rooms'!B24)</f>
        <v>0</v>
      </c>
      <c r="Y34" s="46">
        <f>SUMIFS('Components Yr 2'!D2:D1111,'Components Yr 2'!C2:C1111,A34,'Components Yr 2'!B2:B1111,'Bldgs &amp; Rooms'!B25)</f>
        <v>0</v>
      </c>
      <c r="Z34" s="46">
        <f>SUMIFS('Components Yr 2'!D2:D1111,'Components Yr 2'!C2:C1111,A34,'Components Yr 2'!B2:B1111,'Bldgs &amp; Rooms'!B26)</f>
        <v>0</v>
      </c>
      <c r="AA34" s="46">
        <f>SUMIFS('Components Yr 2'!D2:D1111,'Components Yr 2'!C2:C1111,A34,'Components Yr 2'!B2:B1111,'Bldgs &amp; Rooms'!B27)</f>
        <v>0</v>
      </c>
      <c r="AB34" s="46">
        <f>SUMIFS('Components Yr 2'!D2:D1111,'Components Yr 2'!C2:C1111,A34,'Components Yr 2'!B2:B1111,'Bldgs &amp; Rooms'!B28)</f>
        <v>0</v>
      </c>
      <c r="AC34" s="46">
        <f>SUMIFS('Components Yr 2'!D2:D1111,'Components Yr 2'!C2:C1111,A34,'Components Yr 2'!B2:B1111,'Bldgs &amp; Rooms'!B29)</f>
        <v>0</v>
      </c>
      <c r="AD34" s="46">
        <f>SUMIFS('Components Yr 2'!D2:D1111,'Components Yr 2'!C2:C1111,A34,'Components Yr 2'!B2:B1111,'Bldgs &amp; Rooms'!B30)</f>
        <v>0</v>
      </c>
      <c r="AE34" s="46">
        <f>SUMIFS('Components Yr 2'!D2:D1111,'Components Yr 2'!C2:C1111,A34,'Components Yr 2'!B2:B1111,'Bldgs &amp; Rooms'!B31)</f>
        <v>0</v>
      </c>
      <c r="AF34" s="47">
        <f t="shared" si="0"/>
        <v>0</v>
      </c>
    </row>
    <row r="35" spans="1:32" x14ac:dyDescent="0.25">
      <c r="A35" s="48" t="s">
        <v>48</v>
      </c>
      <c r="B35" s="49">
        <f>SUMIFS('Components Yr 2'!D2:D1111,'Components Yr 2'!C2:C1111,A35,'Components Yr 2'!B2:B1111,'Bldgs &amp; Rooms'!B2)</f>
        <v>0</v>
      </c>
      <c r="C35" s="49">
        <f>SUMIFS('Components Yr 2'!D2:D1111,'Components Yr 2'!C2:C1111,A35,'Components Yr 2'!B2:B1111,'Bldgs &amp; Rooms'!B3)</f>
        <v>0</v>
      </c>
      <c r="D35" s="49">
        <f>SUMIFS('Components Yr 2'!D2:D1111,'Components Yr 2'!C2:C1111,A35,'Components Yr 2'!B2:B1111,'Bldgs &amp; Rooms'!B4)</f>
        <v>0</v>
      </c>
      <c r="E35" s="49">
        <f>SUMIFS('Components Yr 2'!D2:D1111,'Components Yr 2'!C2:C1111,A35,'Components Yr 2'!B2:B1111,'Bldgs &amp; Rooms'!B5)</f>
        <v>0</v>
      </c>
      <c r="F35" s="49">
        <f>SUMIFS('Components Yr 2'!D2:D1111,'Components Yr 2'!C2:C1111,A35,'Components Yr 2'!B2:B1111,'Bldgs &amp; Rooms'!B6)</f>
        <v>0</v>
      </c>
      <c r="G35" s="49">
        <f>SUMIFS('Components Yr 2'!D2:D1111,'Components Yr 2'!C2:C1111,A35,'Components Yr 2'!B2:B1111,'Bldgs &amp; Rooms'!B7)</f>
        <v>0</v>
      </c>
      <c r="H35" s="49">
        <f>SUMIFS('Components Yr 2'!D2:D1111,'Components Yr 2'!C2:C1111,A35,'Components Yr 2'!B2:B1111,'Bldgs &amp; Rooms'!B8)</f>
        <v>0</v>
      </c>
      <c r="I35" s="49">
        <f>SUMIFS('Components Yr 2'!D2:D1111,'Components Yr 2'!C2:C1111,A35,'Components Yr 2'!B2:B1111,'Bldgs &amp; Rooms'!B9)</f>
        <v>0</v>
      </c>
      <c r="J35" s="49">
        <f>SUMIFS('Components Yr 2'!D2:D1111,'Components Yr 2'!C2:C1111,A35,'Components Yr 2'!B2:B1111,'Bldgs &amp; Rooms'!B10)</f>
        <v>0</v>
      </c>
      <c r="K35" s="49">
        <f>SUMIFS('Components Yr 2'!D2:D1111,'Components Yr 2'!C2:C1111,A35,'Components Yr 2'!B2:B1111,'Bldgs &amp; Rooms'!B11)</f>
        <v>0</v>
      </c>
      <c r="L35" s="49">
        <f>SUMIFS('Components Yr 2'!D2:D1111,'Components Yr 2'!C2:C1111,A35,'Components Yr 2'!B2:B1111,'Bldgs &amp; Rooms'!B12)</f>
        <v>0</v>
      </c>
      <c r="M35" s="49">
        <f>SUMIFS('Components Yr 2'!D2:D1111,'Components Yr 2'!C2:C1111,A35,'Components Yr 2'!B2:B1111,'Bldgs &amp; Rooms'!B13)</f>
        <v>0</v>
      </c>
      <c r="N35" s="49">
        <f>SUMIFS('Components Yr 2'!D2:D1111,'Components Yr 2'!C2:C1111,A35,'Components Yr 2'!B2:B1111,'Bldgs &amp; Rooms'!B14)</f>
        <v>0</v>
      </c>
      <c r="O35" s="49">
        <f>SUMIFS('Components Yr 2'!D2:D1111,'Components Yr 2'!C2:C1111,A35,'Components Yr 2'!B2:B1111,'Bldgs &amp; Rooms'!B15)</f>
        <v>0</v>
      </c>
      <c r="P35" s="49">
        <f>SUMIFS('Components Yr 2'!D2:D1111,'Components Yr 2'!C2:C1111,A35,'Components Yr 2'!B2:B1111,'Bldgs &amp; Rooms'!B16)</f>
        <v>0</v>
      </c>
      <c r="Q35" s="49">
        <f>SUMIFS('Components Yr 2'!D2:D1111,'Components Yr 2'!C2:C1111,A35,'Components Yr 2'!B2:B1111,'Bldgs &amp; Rooms'!B17)</f>
        <v>0</v>
      </c>
      <c r="R35" s="49">
        <f>SUMIFS('Components Yr 2'!D2:D1111,'Components Yr 2'!C2:C1111,A35,'Components Yr 2'!B2:B1111,'Bldgs &amp; Rooms'!B18)</f>
        <v>0</v>
      </c>
      <c r="S35" s="49">
        <f>SUMIFS('Components Yr 2'!D2:D1111,'Components Yr 2'!C2:C1111,A35,'Components Yr 2'!B2:B1111,'Bldgs &amp; Rooms'!B19)</f>
        <v>0</v>
      </c>
      <c r="T35" s="49">
        <f>SUMIFS('Components Yr 2'!D2:D1111,'Components Yr 2'!C2:C1111,A35,'Components Yr 2'!B2:B1111,'Bldgs &amp; Rooms'!B20)</f>
        <v>0</v>
      </c>
      <c r="U35" s="49">
        <f>SUMIFS('Components Yr 2'!D2:D1111,'Components Yr 2'!C2:C1111,A35,'Components Yr 2'!B2:B1111,'Bldgs &amp; Rooms'!B21)</f>
        <v>0</v>
      </c>
      <c r="V35" s="49">
        <f>SUMIFS('Components Yr 2'!D2:D1111,'Components Yr 2'!C2:C1111,A35,'Components Yr 2'!B2:B1111,'Bldgs &amp; Rooms'!B22)</f>
        <v>0</v>
      </c>
      <c r="W35" s="49">
        <f>SUMIFS('Components Yr 2'!D2:D1111,'Components Yr 2'!C2:C1111,A35,'Components Yr 2'!B2:B1111,'Bldgs &amp; Rooms'!B23)</f>
        <v>0</v>
      </c>
      <c r="X35" s="49">
        <f>SUMIFS('Components Yr 2'!D2:D1111,'Components Yr 2'!C2:C1111,A35,'Components Yr 2'!B2:B1111,'Bldgs &amp; Rooms'!B24)</f>
        <v>0</v>
      </c>
      <c r="Y35" s="49">
        <f>SUMIFS('Components Yr 2'!D2:D1111,'Components Yr 2'!C2:C1111,A35,'Components Yr 2'!B2:B1111,'Bldgs &amp; Rooms'!B25)</f>
        <v>0</v>
      </c>
      <c r="Z35" s="49">
        <f>SUMIFS('Components Yr 2'!D2:D1111,'Components Yr 2'!C2:C1111,A35,'Components Yr 2'!B2:B1111,'Bldgs &amp; Rooms'!B26)</f>
        <v>0</v>
      </c>
      <c r="AA35" s="49">
        <f>SUMIFS('Components Yr 2'!D2:D1111,'Components Yr 2'!C2:C1111,A35,'Components Yr 2'!B2:B1111,'Bldgs &amp; Rooms'!B27)</f>
        <v>0</v>
      </c>
      <c r="AB35" s="49">
        <f>SUMIFS('Components Yr 2'!D2:D1111,'Components Yr 2'!C2:C1111,A35,'Components Yr 2'!B2:B1111,'Bldgs &amp; Rooms'!B28)</f>
        <v>0</v>
      </c>
      <c r="AC35" s="49">
        <f>SUMIFS('Components Yr 2'!D2:D1111,'Components Yr 2'!C2:C1111,A35,'Components Yr 2'!B2:B1111,'Bldgs &amp; Rooms'!B29)</f>
        <v>0</v>
      </c>
      <c r="AD35" s="49">
        <f>SUMIFS('Components Yr 2'!D2:D1111,'Components Yr 2'!C2:C1111,A35,'Components Yr 2'!B2:B1111,'Bldgs &amp; Rooms'!B30)</f>
        <v>0</v>
      </c>
      <c r="AE35" s="49">
        <f>SUMIFS('Components Yr 2'!D2:D1111,'Components Yr 2'!C2:C1111,A35,'Components Yr 2'!B2:B1111,'Bldgs &amp; Rooms'!B31)</f>
        <v>0</v>
      </c>
      <c r="AF35" s="47">
        <f t="shared" si="0"/>
        <v>0</v>
      </c>
    </row>
    <row r="36" spans="1:32" x14ac:dyDescent="0.25">
      <c r="A36" s="45" t="s">
        <v>49</v>
      </c>
      <c r="B36" s="46">
        <f>SUMIFS('Components Yr 2'!D2:D1111,'Components Yr 2'!C2:C1111,A36,'Components Yr 2'!B2:B1111,'Bldgs &amp; Rooms'!B2)</f>
        <v>0</v>
      </c>
      <c r="C36" s="46">
        <f>SUMIFS('Components Yr 2'!D2:D1111,'Components Yr 2'!C2:C1111,A36,'Components Yr 2'!B2:B1111,'Bldgs &amp; Rooms'!B3)</f>
        <v>0</v>
      </c>
      <c r="D36" s="46">
        <f>SUMIFS('Components Yr 2'!D2:D1111,'Components Yr 2'!C2:C1111,A36,'Components Yr 2'!B2:B1111,'Bldgs &amp; Rooms'!B4)</f>
        <v>0</v>
      </c>
      <c r="E36" s="46">
        <f>SUMIFS('Components Yr 2'!D2:D1111,'Components Yr 2'!C2:C1111,A36,'Components Yr 2'!B2:B1111,'Bldgs &amp; Rooms'!B5)</f>
        <v>0</v>
      </c>
      <c r="F36" s="46">
        <f>SUMIFS('Components Yr 2'!D2:D1111,'Components Yr 2'!C2:C1111,A36,'Components Yr 2'!B2:B1111,'Bldgs &amp; Rooms'!B6)</f>
        <v>0</v>
      </c>
      <c r="G36" s="46">
        <f>SUMIFS('Components Yr 2'!D2:D1111,'Components Yr 2'!C2:C1111,A36,'Components Yr 2'!B2:B1111,'Bldgs &amp; Rooms'!B7)</f>
        <v>0</v>
      </c>
      <c r="H36" s="46">
        <f>SUMIFS('Components Yr 2'!D2:D1111,'Components Yr 2'!C2:C1111,A36,'Components Yr 2'!B2:B1111,'Bldgs &amp; Rooms'!B8)</f>
        <v>0</v>
      </c>
      <c r="I36" s="46">
        <f>SUMIFS('Components Yr 2'!D2:D1111,'Components Yr 2'!C2:C1111,A36,'Components Yr 2'!B2:B1111,'Bldgs &amp; Rooms'!B9)</f>
        <v>0</v>
      </c>
      <c r="J36" s="46">
        <f>SUMIFS('Components Yr 2'!D2:D1111,'Components Yr 2'!C2:C1111,A36,'Components Yr 2'!B2:B1111,'Bldgs &amp; Rooms'!B10)</f>
        <v>0</v>
      </c>
      <c r="K36" s="46">
        <f>SUMIFS('Components Yr 2'!D2:D1111,'Components Yr 2'!C2:C1111,A36,'Components Yr 2'!B2:B1111,'Bldgs &amp; Rooms'!B11)</f>
        <v>0</v>
      </c>
      <c r="L36" s="46">
        <f>SUMIFS('Components Yr 2'!D2:D1111,'Components Yr 2'!C2:C1111,A36,'Components Yr 2'!B2:B1111,'Bldgs &amp; Rooms'!B12)</f>
        <v>0</v>
      </c>
      <c r="M36" s="46">
        <f>SUMIFS('Components Yr 2'!D2:D1111,'Components Yr 2'!C2:C1111,A36,'Components Yr 2'!B2:B1111,'Bldgs &amp; Rooms'!B13)</f>
        <v>0</v>
      </c>
      <c r="N36" s="46">
        <f>SUMIFS('Components Yr 2'!D2:D1111,'Components Yr 2'!C2:C1111,A36,'Components Yr 2'!B2:B1111,'Bldgs &amp; Rooms'!B14)</f>
        <v>0</v>
      </c>
      <c r="O36" s="46">
        <f>SUMIFS('Components Yr 2'!D2:D1111,'Components Yr 2'!C2:C1111,A36,'Components Yr 2'!B2:B1111,'Bldgs &amp; Rooms'!B15)</f>
        <v>0</v>
      </c>
      <c r="P36" s="46">
        <f>SUMIFS('Components Yr 2'!D2:D1111,'Components Yr 2'!C2:C1111,A36,'Components Yr 2'!B2:B1111,'Bldgs &amp; Rooms'!B16)</f>
        <v>0</v>
      </c>
      <c r="Q36" s="46">
        <f>SUMIFS('Components Yr 2'!D2:D1111,'Components Yr 2'!C2:C1111,A36,'Components Yr 2'!B2:B1111,'Bldgs &amp; Rooms'!B17)</f>
        <v>0</v>
      </c>
      <c r="R36" s="46">
        <f>SUMIFS('Components Yr 2'!D2:D1111,'Components Yr 2'!C2:C1111,A36,'Components Yr 2'!B2:B1111,'Bldgs &amp; Rooms'!B18)</f>
        <v>0</v>
      </c>
      <c r="S36" s="46">
        <f>SUMIFS('Components Yr 2'!D2:D1111,'Components Yr 2'!C2:C1111,A36,'Components Yr 2'!B2:B1111,'Bldgs &amp; Rooms'!B19)</f>
        <v>0</v>
      </c>
      <c r="T36" s="46">
        <f>SUMIFS('Components Yr 2'!D2:D1111,'Components Yr 2'!C2:C1111,A36,'Components Yr 2'!B2:B1111,'Bldgs &amp; Rooms'!B20)</f>
        <v>0</v>
      </c>
      <c r="U36" s="46">
        <f>SUMIFS('Components Yr 2'!D2:D1111,'Components Yr 2'!C2:C1111,A36,'Components Yr 2'!B2:B1111,'Bldgs &amp; Rooms'!B21)</f>
        <v>0</v>
      </c>
      <c r="V36" s="46">
        <f>SUMIFS('Components Yr 2'!D2:D1111,'Components Yr 2'!C2:C1111,A36,'Components Yr 2'!B2:B1111,'Bldgs &amp; Rooms'!B22)</f>
        <v>0</v>
      </c>
      <c r="W36" s="46">
        <f>SUMIFS('Components Yr 2'!D2:D1111,'Components Yr 2'!C2:C1111,A36,'Components Yr 2'!B2:B1111,'Bldgs &amp; Rooms'!B23)</f>
        <v>0</v>
      </c>
      <c r="X36" s="46">
        <f>SUMIFS('Components Yr 2'!D2:D1111,'Components Yr 2'!C2:C1111,A36,'Components Yr 2'!B2:B1111,'Bldgs &amp; Rooms'!B24)</f>
        <v>0</v>
      </c>
      <c r="Y36" s="46">
        <f>SUMIFS('Components Yr 2'!D2:D1111,'Components Yr 2'!C2:C1111,A36,'Components Yr 2'!B2:B1111,'Bldgs &amp; Rooms'!B25)</f>
        <v>0</v>
      </c>
      <c r="Z36" s="46">
        <f>SUMIFS('Components Yr 2'!D2:D1111,'Components Yr 2'!C2:C1111,A36,'Components Yr 2'!B2:B1111,'Bldgs &amp; Rooms'!B26)</f>
        <v>0</v>
      </c>
      <c r="AA36" s="46">
        <f>SUMIFS('Components Yr 2'!D2:D1111,'Components Yr 2'!C2:C1111,A36,'Components Yr 2'!B2:B1111,'Bldgs &amp; Rooms'!B27)</f>
        <v>0</v>
      </c>
      <c r="AB36" s="46">
        <f>SUMIFS('Components Yr 2'!D2:D1111,'Components Yr 2'!C2:C1111,A36,'Components Yr 2'!B2:B1111,'Bldgs &amp; Rooms'!B28)</f>
        <v>0</v>
      </c>
      <c r="AC36" s="46">
        <f>SUMIFS('Components Yr 2'!D2:D1111,'Components Yr 2'!C2:C1111,A36,'Components Yr 2'!B2:B1111,'Bldgs &amp; Rooms'!B29)</f>
        <v>0</v>
      </c>
      <c r="AD36" s="46">
        <f>SUMIFS('Components Yr 2'!D2:D1111,'Components Yr 2'!C2:C1111,A36,'Components Yr 2'!B2:B1111,'Bldgs &amp; Rooms'!B30)</f>
        <v>0</v>
      </c>
      <c r="AE36" s="46">
        <f>SUMIFS('Components Yr 2'!D2:D1111,'Components Yr 2'!C2:C1111,A36,'Components Yr 2'!B2:B1111,'Bldgs &amp; Rooms'!B31)</f>
        <v>0</v>
      </c>
      <c r="AF36" s="47">
        <f t="shared" si="0"/>
        <v>0</v>
      </c>
    </row>
    <row r="37" spans="1:32" x14ac:dyDescent="0.25">
      <c r="A37" s="48" t="s">
        <v>50</v>
      </c>
      <c r="B37" s="49">
        <f>SUMIFS('Components Yr 2'!D2:D1111,'Components Yr 2'!C2:C1111,A37,'Components Yr 2'!B2:B1111,'Bldgs &amp; Rooms'!B2)</f>
        <v>0</v>
      </c>
      <c r="C37" s="49">
        <f>SUMIFS('Components Yr 2'!D2:D1111,'Components Yr 2'!C2:C1111,A37,'Components Yr 2'!B2:B1111,'Bldgs &amp; Rooms'!B3)</f>
        <v>0</v>
      </c>
      <c r="D37" s="49">
        <f>SUMIFS('Components Yr 2'!D2:D1111,'Components Yr 2'!C2:C1111,A37,'Components Yr 2'!B2:B1111,'Bldgs &amp; Rooms'!B4)</f>
        <v>0</v>
      </c>
      <c r="E37" s="49">
        <f>SUMIFS('Components Yr 2'!D2:D1111,'Components Yr 2'!C2:C1111,A37,'Components Yr 2'!B2:B1111,'Bldgs &amp; Rooms'!B5)</f>
        <v>0</v>
      </c>
      <c r="F37" s="49">
        <f>SUMIFS('Components Yr 2'!D2:D1111,'Components Yr 2'!C2:C1111,A37,'Components Yr 2'!B2:B1111,'Bldgs &amp; Rooms'!B6)</f>
        <v>0</v>
      </c>
      <c r="G37" s="49">
        <f>SUMIFS('Components Yr 2'!D2:D1111,'Components Yr 2'!C2:C1111,A37,'Components Yr 2'!B2:B1111,'Bldgs &amp; Rooms'!B7)</f>
        <v>0</v>
      </c>
      <c r="H37" s="49">
        <f>SUMIFS('Components Yr 2'!D2:D1111,'Components Yr 2'!C2:C1111,A37,'Components Yr 2'!B2:B1111,'Bldgs &amp; Rooms'!B8)</f>
        <v>0</v>
      </c>
      <c r="I37" s="49">
        <f>SUMIFS('Components Yr 2'!D2:D1111,'Components Yr 2'!C2:C1111,A37,'Components Yr 2'!B2:B1111,'Bldgs &amp; Rooms'!B9)</f>
        <v>0</v>
      </c>
      <c r="J37" s="49">
        <f>SUMIFS('Components Yr 2'!D2:D1111,'Components Yr 2'!C2:C1111,A37,'Components Yr 2'!B2:B1111,'Bldgs &amp; Rooms'!B10)</f>
        <v>0</v>
      </c>
      <c r="K37" s="49">
        <f>SUMIFS('Components Yr 2'!D2:D1111,'Components Yr 2'!C2:C1111,A37,'Components Yr 2'!B2:B1111,'Bldgs &amp; Rooms'!B11)</f>
        <v>0</v>
      </c>
      <c r="L37" s="49">
        <f>SUMIFS('Components Yr 2'!D2:D1111,'Components Yr 2'!C2:C1111,A37,'Components Yr 2'!B2:B1111,'Bldgs &amp; Rooms'!B12)</f>
        <v>0</v>
      </c>
      <c r="M37" s="49">
        <f>SUMIFS('Components Yr 2'!D2:D1111,'Components Yr 2'!C2:C1111,A37,'Components Yr 2'!B2:B1111,'Bldgs &amp; Rooms'!B13)</f>
        <v>0</v>
      </c>
      <c r="N37" s="49">
        <f>SUMIFS('Components Yr 2'!D2:D1111,'Components Yr 2'!C2:C1111,A37,'Components Yr 2'!B2:B1111,'Bldgs &amp; Rooms'!B14)</f>
        <v>0</v>
      </c>
      <c r="O37" s="49">
        <f>SUMIFS('Components Yr 2'!D2:D1111,'Components Yr 2'!C2:C1111,A37,'Components Yr 2'!B2:B1111,'Bldgs &amp; Rooms'!B15)</f>
        <v>0</v>
      </c>
      <c r="P37" s="49">
        <f>SUMIFS('Components Yr 2'!D2:D1111,'Components Yr 2'!C2:C1111,A37,'Components Yr 2'!B2:B1111,'Bldgs &amp; Rooms'!B16)</f>
        <v>0</v>
      </c>
      <c r="Q37" s="49">
        <f>SUMIFS('Components Yr 2'!D2:D1111,'Components Yr 2'!C2:C1111,A37,'Components Yr 2'!B2:B1111,'Bldgs &amp; Rooms'!B17)</f>
        <v>0</v>
      </c>
      <c r="R37" s="49">
        <f>SUMIFS('Components Yr 2'!D2:D1111,'Components Yr 2'!C2:C1111,A37,'Components Yr 2'!B2:B1111,'Bldgs &amp; Rooms'!B18)</f>
        <v>0</v>
      </c>
      <c r="S37" s="49">
        <f>SUMIFS('Components Yr 2'!D2:D1111,'Components Yr 2'!C2:C1111,A37,'Components Yr 2'!B2:B1111,'Bldgs &amp; Rooms'!B19)</f>
        <v>0</v>
      </c>
      <c r="T37" s="49">
        <f>SUMIFS('Components Yr 2'!D2:D1111,'Components Yr 2'!C2:C1111,A37,'Components Yr 2'!B2:B1111,'Bldgs &amp; Rooms'!B20)</f>
        <v>0</v>
      </c>
      <c r="U37" s="49">
        <f>SUMIFS('Components Yr 2'!D2:D1111,'Components Yr 2'!C2:C1111,A37,'Components Yr 2'!B2:B1111,'Bldgs &amp; Rooms'!B21)</f>
        <v>0</v>
      </c>
      <c r="V37" s="49">
        <f>SUMIFS('Components Yr 2'!D2:D1111,'Components Yr 2'!C2:C1111,A37,'Components Yr 2'!B2:B1111,'Bldgs &amp; Rooms'!B22)</f>
        <v>0</v>
      </c>
      <c r="W37" s="49">
        <f>SUMIFS('Components Yr 2'!D2:D1111,'Components Yr 2'!C2:C1111,A37,'Components Yr 2'!B2:B1111,'Bldgs &amp; Rooms'!B23)</f>
        <v>0</v>
      </c>
      <c r="X37" s="49">
        <f>SUMIFS('Components Yr 2'!D2:D1111,'Components Yr 2'!C2:C1111,A37,'Components Yr 2'!B2:B1111,'Bldgs &amp; Rooms'!B24)</f>
        <v>0</v>
      </c>
      <c r="Y37" s="49">
        <f>SUMIFS('Components Yr 2'!D2:D1111,'Components Yr 2'!C2:C1111,A37,'Components Yr 2'!B2:B1111,'Bldgs &amp; Rooms'!B25)</f>
        <v>0</v>
      </c>
      <c r="Z37" s="49">
        <f>SUMIFS('Components Yr 2'!D2:D1111,'Components Yr 2'!C2:C1111,A37,'Components Yr 2'!B2:B1111,'Bldgs &amp; Rooms'!B26)</f>
        <v>0</v>
      </c>
      <c r="AA37" s="49">
        <f>SUMIFS('Components Yr 2'!D2:D1111,'Components Yr 2'!C2:C1111,A37,'Components Yr 2'!B2:B1111,'Bldgs &amp; Rooms'!B27)</f>
        <v>0</v>
      </c>
      <c r="AB37" s="49">
        <f>SUMIFS('Components Yr 2'!D2:D1111,'Components Yr 2'!C2:C1111,A37,'Components Yr 2'!B2:B1111,'Bldgs &amp; Rooms'!B28)</f>
        <v>0</v>
      </c>
      <c r="AC37" s="49">
        <f>SUMIFS('Components Yr 2'!D2:D1111,'Components Yr 2'!C2:C1111,A37,'Components Yr 2'!B2:B1111,'Bldgs &amp; Rooms'!B29)</f>
        <v>0</v>
      </c>
      <c r="AD37" s="49">
        <f>SUMIFS('Components Yr 2'!D2:D1111,'Components Yr 2'!C2:C1111,A37,'Components Yr 2'!B2:B1111,'Bldgs &amp; Rooms'!B30)</f>
        <v>0</v>
      </c>
      <c r="AE37" s="49">
        <f>SUMIFS('Components Yr 2'!D2:D1111,'Components Yr 2'!C2:C1111,A37,'Components Yr 2'!B2:B1111,'Bldgs &amp; Rooms'!B31)</f>
        <v>0</v>
      </c>
      <c r="AF37" s="47">
        <f t="shared" si="0"/>
        <v>0</v>
      </c>
    </row>
    <row r="38" spans="1:32" x14ac:dyDescent="0.25">
      <c r="A38" s="45" t="s">
        <v>51</v>
      </c>
      <c r="B38" s="46">
        <f>SUMIFS('Components Yr 2'!D2:D1111,'Components Yr 2'!C2:C1111,A38,'Components Yr 2'!B2:B1111,'Bldgs &amp; Rooms'!B2)</f>
        <v>0</v>
      </c>
      <c r="C38" s="46">
        <f>SUMIFS('Components Yr 2'!D2:D1111,'Components Yr 2'!C2:C1111,A38,'Components Yr 2'!B2:B1111,'Bldgs &amp; Rooms'!B3)</f>
        <v>0</v>
      </c>
      <c r="D38" s="46">
        <f>SUMIFS('Components Yr 2'!D2:D1111,'Components Yr 2'!C2:C1111,A38,'Components Yr 2'!B2:B1111,'Bldgs &amp; Rooms'!B4)</f>
        <v>0</v>
      </c>
      <c r="E38" s="46">
        <f>SUMIFS('Components Yr 2'!D2:D1111,'Components Yr 2'!C2:C1111,A38,'Components Yr 2'!B2:B1111,'Bldgs &amp; Rooms'!B5)</f>
        <v>0</v>
      </c>
      <c r="F38" s="46">
        <f>SUMIFS('Components Yr 2'!D2:D1111,'Components Yr 2'!C2:C1111,A38,'Components Yr 2'!B2:B1111,'Bldgs &amp; Rooms'!B6)</f>
        <v>0</v>
      </c>
      <c r="G38" s="46">
        <f>SUMIFS('Components Yr 2'!D2:D1111,'Components Yr 2'!C2:C1111,A38,'Components Yr 2'!B2:B1111,'Bldgs &amp; Rooms'!B7)</f>
        <v>0</v>
      </c>
      <c r="H38" s="46">
        <f>SUMIFS('Components Yr 2'!D2:D1111,'Components Yr 2'!C2:C1111,A38,'Components Yr 2'!B2:B1111,'Bldgs &amp; Rooms'!B8)</f>
        <v>0</v>
      </c>
      <c r="I38" s="46">
        <f>SUMIFS('Components Yr 2'!D2:D1111,'Components Yr 2'!C2:C1111,A38,'Components Yr 2'!B2:B1111,'Bldgs &amp; Rooms'!B9)</f>
        <v>0</v>
      </c>
      <c r="J38" s="46">
        <f>SUMIFS('Components Yr 2'!D2:D1111,'Components Yr 2'!C2:C1111,A38,'Components Yr 2'!B2:B1111,'Bldgs &amp; Rooms'!B10)</f>
        <v>0</v>
      </c>
      <c r="K38" s="46">
        <f>SUMIFS('Components Yr 2'!D2:D1111,'Components Yr 2'!C2:C1111,A38,'Components Yr 2'!B2:B1111,'Bldgs &amp; Rooms'!B11)</f>
        <v>0</v>
      </c>
      <c r="L38" s="46">
        <f>SUMIFS('Components Yr 2'!D2:D1111,'Components Yr 2'!C2:C1111,A38,'Components Yr 2'!B2:B1111,'Bldgs &amp; Rooms'!B12)</f>
        <v>0</v>
      </c>
      <c r="M38" s="46">
        <f>SUMIFS('Components Yr 2'!D2:D1111,'Components Yr 2'!C2:C1111,A38,'Components Yr 2'!B2:B1111,'Bldgs &amp; Rooms'!B13)</f>
        <v>0</v>
      </c>
      <c r="N38" s="46">
        <f>SUMIFS('Components Yr 2'!D2:D1111,'Components Yr 2'!C2:C1111,A38,'Components Yr 2'!B2:B1111,'Bldgs &amp; Rooms'!B14)</f>
        <v>0</v>
      </c>
      <c r="O38" s="46">
        <f>SUMIFS('Components Yr 2'!D2:D1111,'Components Yr 2'!C2:C1111,A38,'Components Yr 2'!B2:B1111,'Bldgs &amp; Rooms'!B15)</f>
        <v>0</v>
      </c>
      <c r="P38" s="46">
        <f>SUMIFS('Components Yr 2'!D2:D1111,'Components Yr 2'!C2:C1111,A38,'Components Yr 2'!B2:B1111,'Bldgs &amp; Rooms'!B16)</f>
        <v>0</v>
      </c>
      <c r="Q38" s="46">
        <f>SUMIFS('Components Yr 2'!D2:D1111,'Components Yr 2'!C2:C1111,A38,'Components Yr 2'!B2:B1111,'Bldgs &amp; Rooms'!B17)</f>
        <v>0</v>
      </c>
      <c r="R38" s="46">
        <f>SUMIFS('Components Yr 2'!D2:D1111,'Components Yr 2'!C2:C1111,A38,'Components Yr 2'!B2:B1111,'Bldgs &amp; Rooms'!B18)</f>
        <v>0</v>
      </c>
      <c r="S38" s="46">
        <f>SUMIFS('Components Yr 2'!D2:D1111,'Components Yr 2'!C2:C1111,A38,'Components Yr 2'!B2:B1111,'Bldgs &amp; Rooms'!B19)</f>
        <v>0</v>
      </c>
      <c r="T38" s="46">
        <f>SUMIFS('Components Yr 2'!D2:D1111,'Components Yr 2'!C2:C1111,A38,'Components Yr 2'!B2:B1111,'Bldgs &amp; Rooms'!B20)</f>
        <v>0</v>
      </c>
      <c r="U38" s="46">
        <f>SUMIFS('Components Yr 2'!D2:D1111,'Components Yr 2'!C2:C1111,A38,'Components Yr 2'!B2:B1111,'Bldgs &amp; Rooms'!B21)</f>
        <v>0</v>
      </c>
      <c r="V38" s="46">
        <f>SUMIFS('Components Yr 2'!D2:D1111,'Components Yr 2'!C2:C1111,A38,'Components Yr 2'!B2:B1111,'Bldgs &amp; Rooms'!B22)</f>
        <v>0</v>
      </c>
      <c r="W38" s="46">
        <f>SUMIFS('Components Yr 2'!D2:D1111,'Components Yr 2'!C2:C1111,A38,'Components Yr 2'!B2:B1111,'Bldgs &amp; Rooms'!B23)</f>
        <v>0</v>
      </c>
      <c r="X38" s="46">
        <f>SUMIFS('Components Yr 2'!D2:D1111,'Components Yr 2'!C2:C1111,A38,'Components Yr 2'!B2:B1111,'Bldgs &amp; Rooms'!B24)</f>
        <v>0</v>
      </c>
      <c r="Y38" s="46">
        <f>SUMIFS('Components Yr 2'!D2:D1111,'Components Yr 2'!C2:C1111,A38,'Components Yr 2'!B2:B1111,'Bldgs &amp; Rooms'!B25)</f>
        <v>0</v>
      </c>
      <c r="Z38" s="46">
        <f>SUMIFS('Components Yr 2'!D2:D1111,'Components Yr 2'!C2:C1111,A38,'Components Yr 2'!B2:B1111,'Bldgs &amp; Rooms'!B26)</f>
        <v>0</v>
      </c>
      <c r="AA38" s="46">
        <f>SUMIFS('Components Yr 2'!D2:D1111,'Components Yr 2'!C2:C1111,A38,'Components Yr 2'!B2:B1111,'Bldgs &amp; Rooms'!B27)</f>
        <v>0</v>
      </c>
      <c r="AB38" s="46">
        <f>SUMIFS('Components Yr 2'!D2:D1111,'Components Yr 2'!C2:C1111,A38,'Components Yr 2'!B2:B1111,'Bldgs &amp; Rooms'!B28)</f>
        <v>0</v>
      </c>
      <c r="AC38" s="46">
        <f>SUMIFS('Components Yr 2'!D2:D1111,'Components Yr 2'!C2:C1111,A38,'Components Yr 2'!B2:B1111,'Bldgs &amp; Rooms'!B29)</f>
        <v>0</v>
      </c>
      <c r="AD38" s="46">
        <f>SUMIFS('Components Yr 2'!D2:D1111,'Components Yr 2'!C2:C1111,A38,'Components Yr 2'!B2:B1111,'Bldgs &amp; Rooms'!B30)</f>
        <v>0</v>
      </c>
      <c r="AE38" s="46">
        <f>SUMIFS('Components Yr 2'!D2:D1111,'Components Yr 2'!C2:C1111,A38,'Components Yr 2'!B2:B1111,'Bldgs &amp; Rooms'!B31)</f>
        <v>0</v>
      </c>
      <c r="AF38" s="47">
        <f t="shared" si="0"/>
        <v>0</v>
      </c>
    </row>
    <row r="39" spans="1:32" x14ac:dyDescent="0.25">
      <c r="A39" s="50" t="s">
        <v>140</v>
      </c>
      <c r="B39" s="51">
        <f t="shared" ref="B39:AF39" si="1">SUM(B2:B38)</f>
        <v>0</v>
      </c>
      <c r="C39" s="51">
        <f t="shared" si="1"/>
        <v>0</v>
      </c>
      <c r="D39" s="51">
        <f t="shared" si="1"/>
        <v>0</v>
      </c>
      <c r="E39" s="51">
        <f t="shared" si="1"/>
        <v>0</v>
      </c>
      <c r="F39" s="51">
        <f t="shared" si="1"/>
        <v>0</v>
      </c>
      <c r="G39" s="51">
        <f t="shared" si="1"/>
        <v>0</v>
      </c>
      <c r="H39" s="51">
        <f t="shared" si="1"/>
        <v>0</v>
      </c>
      <c r="I39" s="51">
        <f t="shared" si="1"/>
        <v>0</v>
      </c>
      <c r="J39" s="51">
        <f t="shared" si="1"/>
        <v>0</v>
      </c>
      <c r="K39" s="51">
        <f t="shared" si="1"/>
        <v>0</v>
      </c>
      <c r="L39" s="51">
        <f t="shared" si="1"/>
        <v>0</v>
      </c>
      <c r="M39" s="51">
        <f t="shared" si="1"/>
        <v>0</v>
      </c>
      <c r="N39" s="51">
        <f t="shared" si="1"/>
        <v>0</v>
      </c>
      <c r="O39" s="51">
        <f t="shared" si="1"/>
        <v>0</v>
      </c>
      <c r="P39" s="51">
        <f t="shared" si="1"/>
        <v>0</v>
      </c>
      <c r="Q39" s="51">
        <f t="shared" si="1"/>
        <v>0</v>
      </c>
      <c r="R39" s="51">
        <f t="shared" si="1"/>
        <v>0</v>
      </c>
      <c r="S39" s="51">
        <f t="shared" si="1"/>
        <v>0</v>
      </c>
      <c r="T39" s="51">
        <f t="shared" si="1"/>
        <v>0</v>
      </c>
      <c r="U39" s="51">
        <f t="shared" si="1"/>
        <v>0</v>
      </c>
      <c r="V39" s="51">
        <f t="shared" si="1"/>
        <v>0</v>
      </c>
      <c r="W39" s="51">
        <f t="shared" si="1"/>
        <v>0</v>
      </c>
      <c r="X39" s="51">
        <f t="shared" si="1"/>
        <v>0</v>
      </c>
      <c r="Y39" s="51">
        <f t="shared" si="1"/>
        <v>0</v>
      </c>
      <c r="Z39" s="51">
        <f t="shared" si="1"/>
        <v>0</v>
      </c>
      <c r="AA39" s="51">
        <f t="shared" si="1"/>
        <v>0</v>
      </c>
      <c r="AB39" s="51">
        <f t="shared" si="1"/>
        <v>0</v>
      </c>
      <c r="AC39" s="51">
        <f t="shared" si="1"/>
        <v>0</v>
      </c>
      <c r="AD39" s="51">
        <f t="shared" si="1"/>
        <v>0</v>
      </c>
      <c r="AE39" s="51">
        <f t="shared" si="1"/>
        <v>0</v>
      </c>
      <c r="AF39" s="51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3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52" customWidth="1"/>
    <col min="2" max="32" width="10" customWidth="1"/>
  </cols>
  <sheetData>
    <row r="1" spans="1:32" x14ac:dyDescent="0.25">
      <c r="A1" s="8" t="s">
        <v>2</v>
      </c>
      <c r="B1" s="22">
        <f>'Bldgs &amp; Rooms'!B2</f>
        <v>0</v>
      </c>
      <c r="C1" s="22">
        <f>'Bldgs &amp; Rooms'!B3</f>
        <v>0</v>
      </c>
      <c r="D1" s="22">
        <f>'Bldgs &amp; Rooms'!B4</f>
        <v>0</v>
      </c>
      <c r="E1" s="22">
        <f>'Bldgs &amp; Rooms'!B5</f>
        <v>0</v>
      </c>
      <c r="F1" s="22">
        <f>'Bldgs &amp; Rooms'!B6</f>
        <v>0</v>
      </c>
      <c r="G1" s="22">
        <f>'Bldgs &amp; Rooms'!B7</f>
        <v>0</v>
      </c>
      <c r="H1" s="22">
        <f>'Bldgs &amp; Rooms'!B8</f>
        <v>0</v>
      </c>
      <c r="I1" s="22">
        <f>'Bldgs &amp; Rooms'!B9</f>
        <v>0</v>
      </c>
      <c r="J1" s="22">
        <f>'Bldgs &amp; Rooms'!B10</f>
        <v>0</v>
      </c>
      <c r="K1" s="22">
        <f>'Bldgs &amp; Rooms'!B11</f>
        <v>0</v>
      </c>
      <c r="L1" s="22">
        <f>'Bldgs &amp; Rooms'!B12</f>
        <v>0</v>
      </c>
      <c r="M1" s="22">
        <f>'Bldgs &amp; Rooms'!B13</f>
        <v>0</v>
      </c>
      <c r="N1" s="22">
        <f>'Bldgs &amp; Rooms'!B14</f>
        <v>0</v>
      </c>
      <c r="O1" s="22">
        <f>'Bldgs &amp; Rooms'!B15</f>
        <v>0</v>
      </c>
      <c r="P1" s="22">
        <f>'Bldgs &amp; Rooms'!B16</f>
        <v>0</v>
      </c>
      <c r="Q1" s="22">
        <f>'Bldgs &amp; Rooms'!B17</f>
        <v>0</v>
      </c>
      <c r="R1" s="22">
        <f>'Bldgs &amp; Rooms'!B18</f>
        <v>0</v>
      </c>
      <c r="S1" s="22">
        <f>'Bldgs &amp; Rooms'!B19</f>
        <v>0</v>
      </c>
      <c r="T1" s="22">
        <f>'Bldgs &amp; Rooms'!B20</f>
        <v>0</v>
      </c>
      <c r="U1" s="22">
        <f>'Bldgs &amp; Rooms'!B21</f>
        <v>0</v>
      </c>
      <c r="V1" s="22">
        <f>'Bldgs &amp; Rooms'!B22</f>
        <v>0</v>
      </c>
      <c r="W1" s="22">
        <f>'Bldgs &amp; Rooms'!B23</f>
        <v>0</v>
      </c>
      <c r="X1" s="22">
        <f>'Bldgs &amp; Rooms'!B24</f>
        <v>0</v>
      </c>
      <c r="Y1" s="22">
        <f>'Bldgs &amp; Rooms'!B25</f>
        <v>0</v>
      </c>
      <c r="Z1" s="22">
        <f>'Bldgs &amp; Rooms'!B26</f>
        <v>0</v>
      </c>
      <c r="AA1" s="22">
        <f>'Bldgs &amp; Rooms'!B27</f>
        <v>0</v>
      </c>
      <c r="AB1" s="22">
        <f>'Bldgs &amp; Rooms'!B28</f>
        <v>0</v>
      </c>
      <c r="AC1" s="22">
        <f>'Bldgs &amp; Rooms'!B29</f>
        <v>0</v>
      </c>
      <c r="AD1" s="22">
        <f>'Bldgs &amp; Rooms'!B30</f>
        <v>0</v>
      </c>
      <c r="AE1" s="22">
        <f>'Bldgs &amp; Rooms'!B31</f>
        <v>0</v>
      </c>
      <c r="AF1" s="8" t="s">
        <v>139</v>
      </c>
    </row>
    <row r="2" spans="1:32" x14ac:dyDescent="0.25">
      <c r="A2" s="45" t="s">
        <v>15</v>
      </c>
      <c r="B2" s="46">
        <f>SUMIFS('Components Yr 3'!D2:D1111,'Components Yr 3'!C2:C1111,A2,'Components Yr 3'!B2:B1111,'Bldgs &amp; Rooms'!B2)</f>
        <v>0</v>
      </c>
      <c r="C2" s="46">
        <f>SUMIFS('Components Yr 3'!D2:D1111,'Components Yr 3'!C2:C1111,A2,'Components Yr 3'!B2:B1111,'Bldgs &amp; Rooms'!B3)</f>
        <v>0</v>
      </c>
      <c r="D2" s="46">
        <f>SUMIFS('Components Yr 3'!D2:D1111,'Components Yr 3'!C2:C1111,A2,'Components Yr 3'!B2:B1111,'Bldgs &amp; Rooms'!B4)</f>
        <v>0</v>
      </c>
      <c r="E2" s="46">
        <f>SUMIFS('Components Yr 3'!D2:D1111,'Components Yr 3'!C2:C1111,A2,'Components Yr 3'!B2:B1111,'Bldgs &amp; Rooms'!B5)</f>
        <v>0</v>
      </c>
      <c r="F2" s="46">
        <f>SUMIFS('Components Yr 3'!D2:D1111,'Components Yr 3'!C2:C1111,A2,'Components Yr 3'!B2:B1111,'Bldgs &amp; Rooms'!B6)</f>
        <v>0</v>
      </c>
      <c r="G2" s="46">
        <f>SUMIFS('Components Yr 3'!D2:D1111,'Components Yr 3'!C2:C1111,A2,'Components Yr 3'!B2:B1111,'Bldgs &amp; Rooms'!B7)</f>
        <v>0</v>
      </c>
      <c r="H2" s="46">
        <f>SUMIFS('Components Yr 3'!D2:D1111,'Components Yr 3'!C2:C1111,A2,'Components Yr 3'!B2:B1111,'Bldgs &amp; Rooms'!B8)</f>
        <v>0</v>
      </c>
      <c r="I2" s="46">
        <f>SUMIFS('Components Yr 3'!D2:D1111,'Components Yr 3'!C2:C1111,A2,'Components Yr 3'!B2:B1111,'Bldgs &amp; Rooms'!B9)</f>
        <v>0</v>
      </c>
      <c r="J2" s="46">
        <f>SUMIFS('Components Yr 3'!D2:D1111,'Components Yr 3'!C2:C1111,A2,'Components Yr 3'!B2:B1111,'Bldgs &amp; Rooms'!B10)</f>
        <v>0</v>
      </c>
      <c r="K2" s="46">
        <f>SUMIFS('Components Yr 3'!D2:D1111,'Components Yr 3'!C2:C1111,A2,'Components Yr 3'!B2:B1111,'Bldgs &amp; Rooms'!B11)</f>
        <v>0</v>
      </c>
      <c r="L2" s="46">
        <f>SUMIFS('Components Yr 3'!D2:D1111,'Components Yr 3'!C2:C1111,A2,'Components Yr 3'!B2:B1111,'Bldgs &amp; Rooms'!B12)</f>
        <v>0</v>
      </c>
      <c r="M2" s="46">
        <f>SUMIFS('Components Yr 3'!D2:D1111,'Components Yr 3'!C2:C1111,A2,'Components Yr 3'!B2:B1111,'Bldgs &amp; Rooms'!B13)</f>
        <v>0</v>
      </c>
      <c r="N2" s="46">
        <f>SUMIFS('Components Yr 3'!D2:D1111,'Components Yr 3'!C2:C1111,A2,'Components Yr 3'!B2:B1111,'Bldgs &amp; Rooms'!B14)</f>
        <v>0</v>
      </c>
      <c r="O2" s="46">
        <f>SUMIFS('Components Yr 3'!D2:D1111,'Components Yr 3'!C2:C1111,A2,'Components Yr 3'!B2:B1111,'Bldgs &amp; Rooms'!B15)</f>
        <v>0</v>
      </c>
      <c r="P2" s="46">
        <f>SUMIFS('Components Yr 3'!D2:D1111,'Components Yr 3'!C2:C1111,A2,'Components Yr 3'!B2:B1111,'Bldgs &amp; Rooms'!B16)</f>
        <v>0</v>
      </c>
      <c r="Q2" s="46">
        <f>SUMIFS('Components Yr 3'!D2:D1111,'Components Yr 3'!C2:C1111,A2,'Components Yr 3'!B2:B1111,'Bldgs &amp; Rooms'!B17)</f>
        <v>0</v>
      </c>
      <c r="R2" s="46">
        <f>SUMIFS('Components Yr 3'!D2:D1111,'Components Yr 3'!C2:C1111,A2,'Components Yr 3'!B2:B1111,'Bldgs &amp; Rooms'!B18)</f>
        <v>0</v>
      </c>
      <c r="S2" s="46">
        <f>SUMIFS('Components Yr 3'!D2:D1111,'Components Yr 3'!C2:C1111,A2,'Components Yr 3'!B2:B1111,'Bldgs &amp; Rooms'!B19)</f>
        <v>0</v>
      </c>
      <c r="T2" s="46">
        <f>SUMIFS('Components Yr 3'!D2:D1111,'Components Yr 3'!C2:C1111,A2,'Components Yr 3'!B2:B1111,'Bldgs &amp; Rooms'!B20)</f>
        <v>0</v>
      </c>
      <c r="U2" s="46">
        <f>SUMIFS('Components Yr 3'!D2:D1111,'Components Yr 3'!C2:C1111,A2,'Components Yr 3'!B2:B1111,'Bldgs &amp; Rooms'!B21)</f>
        <v>0</v>
      </c>
      <c r="V2" s="46">
        <f>SUMIFS('Components Yr 3'!D2:D1111,'Components Yr 3'!C2:C1111,A2,'Components Yr 3'!B2:B1111,'Bldgs &amp; Rooms'!B22)</f>
        <v>0</v>
      </c>
      <c r="W2" s="46">
        <f>SUMIFS('Components Yr 3'!D2:D1111,'Components Yr 3'!C2:C1111,A2,'Components Yr 3'!B2:B1111,'Bldgs &amp; Rooms'!B23)</f>
        <v>0</v>
      </c>
      <c r="X2" s="46">
        <f>SUMIFS('Components Yr 3'!D2:D1111,'Components Yr 3'!C2:C1111,A2,'Components Yr 3'!B2:B1111,'Bldgs &amp; Rooms'!B24)</f>
        <v>0</v>
      </c>
      <c r="Y2" s="46">
        <f>SUMIFS('Components Yr 3'!D2:D1111,'Components Yr 3'!C2:C1111,A2,'Components Yr 3'!B2:B1111,'Bldgs &amp; Rooms'!B25)</f>
        <v>0</v>
      </c>
      <c r="Z2" s="46">
        <f>SUMIFS('Components Yr 3'!D2:D1111,'Components Yr 3'!C2:C1111,A2,'Components Yr 3'!B2:B1111,'Bldgs &amp; Rooms'!B26)</f>
        <v>0</v>
      </c>
      <c r="AA2" s="46">
        <f>SUMIFS('Components Yr 3'!D2:D1111,'Components Yr 3'!C2:C1111,A2,'Components Yr 3'!B2:B1111,'Bldgs &amp; Rooms'!B27)</f>
        <v>0</v>
      </c>
      <c r="AB2" s="46">
        <f>SUMIFS('Components Yr 3'!D2:D1111,'Components Yr 3'!C2:C1111,A2,'Components Yr 3'!B2:B1111,'Bldgs &amp; Rooms'!B28)</f>
        <v>0</v>
      </c>
      <c r="AC2" s="46">
        <f>SUMIFS('Components Yr 3'!D2:D1111,'Components Yr 3'!C2:C1111,A2,'Components Yr 3'!B2:B1111,'Bldgs &amp; Rooms'!B29)</f>
        <v>0</v>
      </c>
      <c r="AD2" s="46">
        <f>SUMIFS('Components Yr 3'!D2:D1111,'Components Yr 3'!C2:C1111,A2,'Components Yr 3'!B2:B1111,'Bldgs &amp; Rooms'!B30)</f>
        <v>0</v>
      </c>
      <c r="AE2" s="46">
        <f>SUMIFS('Components Yr 3'!D2:D1111,'Components Yr 3'!C2:C1111,A2,'Components Yr 3'!B2:B1111,'Bldgs &amp; Rooms'!B31)</f>
        <v>0</v>
      </c>
      <c r="AF2" s="47">
        <f t="shared" ref="AF2:AF38" si="0">SUM(B2:AE2)</f>
        <v>0</v>
      </c>
    </row>
    <row r="3" spans="1:32" x14ac:dyDescent="0.25">
      <c r="A3" s="48" t="s">
        <v>16</v>
      </c>
      <c r="B3" s="49">
        <f>SUMIFS('Components Yr 3'!D2:D1111,'Components Yr 3'!C2:C1111,A3,'Components Yr 3'!B2:B1111,'Bldgs &amp; Rooms'!B2)</f>
        <v>0</v>
      </c>
      <c r="C3" s="49">
        <f>SUMIFS('Components Yr 3'!D2:D1111,'Components Yr 3'!C2:C1111,A3,'Components Yr 3'!B2:B1111,'Bldgs &amp; Rooms'!B3)</f>
        <v>0</v>
      </c>
      <c r="D3" s="49">
        <f>SUMIFS('Components Yr 3'!D2:D1111,'Components Yr 3'!C2:C1111,A3,'Components Yr 3'!B2:B1111,'Bldgs &amp; Rooms'!B4)</f>
        <v>0</v>
      </c>
      <c r="E3" s="49">
        <f>SUMIFS('Components Yr 3'!D2:D1111,'Components Yr 3'!C2:C1111,A3,'Components Yr 3'!B2:B1111,'Bldgs &amp; Rooms'!B5)</f>
        <v>0</v>
      </c>
      <c r="F3" s="49">
        <f>SUMIFS('Components Yr 3'!D2:D1111,'Components Yr 3'!C2:C1111,A3,'Components Yr 3'!B2:B1111,'Bldgs &amp; Rooms'!B6)</f>
        <v>0</v>
      </c>
      <c r="G3" s="49">
        <f>SUMIFS('Components Yr 3'!D2:D1111,'Components Yr 3'!C2:C1111,A3,'Components Yr 3'!B2:B1111,'Bldgs &amp; Rooms'!B7)</f>
        <v>0</v>
      </c>
      <c r="H3" s="49">
        <f>SUMIFS('Components Yr 3'!D2:D1111,'Components Yr 3'!C2:C1111,A3,'Components Yr 3'!B2:B1111,'Bldgs &amp; Rooms'!B8)</f>
        <v>0</v>
      </c>
      <c r="I3" s="49">
        <f>SUMIFS('Components Yr 3'!D2:D1111,'Components Yr 3'!C2:C1111,A3,'Components Yr 3'!B2:B1111,'Bldgs &amp; Rooms'!B9)</f>
        <v>0</v>
      </c>
      <c r="J3" s="49">
        <f>SUMIFS('Components Yr 3'!D2:D1111,'Components Yr 3'!C2:C1111,A3,'Components Yr 3'!B2:B1111,'Bldgs &amp; Rooms'!B10)</f>
        <v>0</v>
      </c>
      <c r="K3" s="49">
        <f>SUMIFS('Components Yr 3'!D2:D1111,'Components Yr 3'!C2:C1111,A3,'Components Yr 3'!B2:B1111,'Bldgs &amp; Rooms'!B11)</f>
        <v>0</v>
      </c>
      <c r="L3" s="49">
        <f>SUMIFS('Components Yr 3'!D2:D1111,'Components Yr 3'!C2:C1111,A3,'Components Yr 3'!B2:B1111,'Bldgs &amp; Rooms'!B12)</f>
        <v>0</v>
      </c>
      <c r="M3" s="49">
        <f>SUMIFS('Components Yr 3'!D2:D1111,'Components Yr 3'!C2:C1111,A3,'Components Yr 3'!B2:B1111,'Bldgs &amp; Rooms'!B13)</f>
        <v>0</v>
      </c>
      <c r="N3" s="49">
        <f>SUMIFS('Components Yr 3'!D2:D1111,'Components Yr 3'!C2:C1111,A3,'Components Yr 3'!B2:B1111,'Bldgs &amp; Rooms'!B14)</f>
        <v>0</v>
      </c>
      <c r="O3" s="49">
        <f>SUMIFS('Components Yr 3'!D2:D1111,'Components Yr 3'!C2:C1111,A3,'Components Yr 3'!B2:B1111,'Bldgs &amp; Rooms'!B15)</f>
        <v>0</v>
      </c>
      <c r="P3" s="49">
        <f>SUMIFS('Components Yr 3'!D2:D1111,'Components Yr 3'!C2:C1111,A3,'Components Yr 3'!B2:B1111,'Bldgs &amp; Rooms'!B16)</f>
        <v>0</v>
      </c>
      <c r="Q3" s="49">
        <f>SUMIFS('Components Yr 3'!D2:D1111,'Components Yr 3'!C2:C1111,A3,'Components Yr 3'!B2:B1111,'Bldgs &amp; Rooms'!B17)</f>
        <v>0</v>
      </c>
      <c r="R3" s="49">
        <f>SUMIFS('Components Yr 3'!D2:D1111,'Components Yr 3'!C2:C1111,A3,'Components Yr 3'!B2:B1111,'Bldgs &amp; Rooms'!B18)</f>
        <v>0</v>
      </c>
      <c r="S3" s="49">
        <f>SUMIFS('Components Yr 3'!D2:D1111,'Components Yr 3'!C2:C1111,A3,'Components Yr 3'!B2:B1111,'Bldgs &amp; Rooms'!B19)</f>
        <v>0</v>
      </c>
      <c r="T3" s="49">
        <f>SUMIFS('Components Yr 3'!D2:D1111,'Components Yr 3'!C2:C1111,A3,'Components Yr 3'!B2:B1111,'Bldgs &amp; Rooms'!B20)</f>
        <v>0</v>
      </c>
      <c r="U3" s="49">
        <f>SUMIFS('Components Yr 3'!D2:D1111,'Components Yr 3'!C2:C1111,A3,'Components Yr 3'!B2:B1111,'Bldgs &amp; Rooms'!B21)</f>
        <v>0</v>
      </c>
      <c r="V3" s="49">
        <f>SUMIFS('Components Yr 3'!D2:D1111,'Components Yr 3'!C2:C1111,A3,'Components Yr 3'!B2:B1111,'Bldgs &amp; Rooms'!B22)</f>
        <v>0</v>
      </c>
      <c r="W3" s="49">
        <f>SUMIFS('Components Yr 3'!D2:D1111,'Components Yr 3'!C2:C1111,A3,'Components Yr 3'!B2:B1111,'Bldgs &amp; Rooms'!B23)</f>
        <v>0</v>
      </c>
      <c r="X3" s="49">
        <f>SUMIFS('Components Yr 3'!D2:D1111,'Components Yr 3'!C2:C1111,A3,'Components Yr 3'!B2:B1111,'Bldgs &amp; Rooms'!B24)</f>
        <v>0</v>
      </c>
      <c r="Y3" s="49">
        <f>SUMIFS('Components Yr 3'!D2:D1111,'Components Yr 3'!C2:C1111,A3,'Components Yr 3'!B2:B1111,'Bldgs &amp; Rooms'!B25)</f>
        <v>0</v>
      </c>
      <c r="Z3" s="49">
        <f>SUMIFS('Components Yr 3'!D2:D1111,'Components Yr 3'!C2:C1111,A3,'Components Yr 3'!B2:B1111,'Bldgs &amp; Rooms'!B26)</f>
        <v>0</v>
      </c>
      <c r="AA3" s="49">
        <f>SUMIFS('Components Yr 3'!D2:D1111,'Components Yr 3'!C2:C1111,A3,'Components Yr 3'!B2:B1111,'Bldgs &amp; Rooms'!B27)</f>
        <v>0</v>
      </c>
      <c r="AB3" s="49">
        <f>SUMIFS('Components Yr 3'!D2:D1111,'Components Yr 3'!C2:C1111,A3,'Components Yr 3'!B2:B1111,'Bldgs &amp; Rooms'!B28)</f>
        <v>0</v>
      </c>
      <c r="AC3" s="49">
        <f>SUMIFS('Components Yr 3'!D2:D1111,'Components Yr 3'!C2:C1111,A3,'Components Yr 3'!B2:B1111,'Bldgs &amp; Rooms'!B29)</f>
        <v>0</v>
      </c>
      <c r="AD3" s="49">
        <f>SUMIFS('Components Yr 3'!D2:D1111,'Components Yr 3'!C2:C1111,A3,'Components Yr 3'!B2:B1111,'Bldgs &amp; Rooms'!B30)</f>
        <v>0</v>
      </c>
      <c r="AE3" s="49">
        <f>SUMIFS('Components Yr 3'!D2:D1111,'Components Yr 3'!C2:C1111,A3,'Components Yr 3'!B2:B1111,'Bldgs &amp; Rooms'!B31)</f>
        <v>0</v>
      </c>
      <c r="AF3" s="47">
        <f t="shared" si="0"/>
        <v>0</v>
      </c>
    </row>
    <row r="4" spans="1:32" x14ac:dyDescent="0.25">
      <c r="A4" s="45" t="s">
        <v>17</v>
      </c>
      <c r="B4" s="46">
        <f>SUMIFS('Components Yr 3'!D2:D1111,'Components Yr 3'!C2:C1111,A4,'Components Yr 3'!B2:B1111,'Bldgs &amp; Rooms'!B2)</f>
        <v>0</v>
      </c>
      <c r="C4" s="46">
        <f>SUMIFS('Components Yr 3'!D2:D1111,'Components Yr 3'!C2:C1111,A4,'Components Yr 3'!B2:B1111,'Bldgs &amp; Rooms'!B3)</f>
        <v>0</v>
      </c>
      <c r="D4" s="46">
        <f>SUMIFS('Components Yr 3'!D2:D1111,'Components Yr 3'!C2:C1111,A4,'Components Yr 3'!B2:B1111,'Bldgs &amp; Rooms'!B4)</f>
        <v>0</v>
      </c>
      <c r="E4" s="46">
        <f>SUMIFS('Components Yr 3'!D2:D1111,'Components Yr 3'!C2:C1111,A4,'Components Yr 3'!B2:B1111,'Bldgs &amp; Rooms'!B5)</f>
        <v>0</v>
      </c>
      <c r="F4" s="46">
        <f>SUMIFS('Components Yr 3'!D2:D1111,'Components Yr 3'!C2:C1111,A4,'Components Yr 3'!B2:B1111,'Bldgs &amp; Rooms'!B6)</f>
        <v>0</v>
      </c>
      <c r="G4" s="46">
        <f>SUMIFS('Components Yr 3'!D2:D1111,'Components Yr 3'!C2:C1111,A4,'Components Yr 3'!B2:B1111,'Bldgs &amp; Rooms'!B7)</f>
        <v>0</v>
      </c>
      <c r="H4" s="46">
        <f>SUMIFS('Components Yr 3'!D2:D1111,'Components Yr 3'!C2:C1111,A4,'Components Yr 3'!B2:B1111,'Bldgs &amp; Rooms'!B8)</f>
        <v>0</v>
      </c>
      <c r="I4" s="46">
        <f>SUMIFS('Components Yr 3'!D2:D1111,'Components Yr 3'!C2:C1111,A4,'Components Yr 3'!B2:B1111,'Bldgs &amp; Rooms'!B9)</f>
        <v>0</v>
      </c>
      <c r="J4" s="46">
        <f>SUMIFS('Components Yr 3'!D2:D1111,'Components Yr 3'!C2:C1111,A4,'Components Yr 3'!B2:B1111,'Bldgs &amp; Rooms'!B10)</f>
        <v>0</v>
      </c>
      <c r="K4" s="46">
        <f>SUMIFS('Components Yr 3'!D2:D1111,'Components Yr 3'!C2:C1111,A4,'Components Yr 3'!B2:B1111,'Bldgs &amp; Rooms'!B11)</f>
        <v>0</v>
      </c>
      <c r="L4" s="46">
        <f>SUMIFS('Components Yr 3'!D2:D1111,'Components Yr 3'!C2:C1111,A4,'Components Yr 3'!B2:B1111,'Bldgs &amp; Rooms'!B12)</f>
        <v>0</v>
      </c>
      <c r="M4" s="46">
        <f>SUMIFS('Components Yr 3'!D2:D1111,'Components Yr 3'!C2:C1111,A4,'Components Yr 3'!B2:B1111,'Bldgs &amp; Rooms'!B13)</f>
        <v>0</v>
      </c>
      <c r="N4" s="46">
        <f>SUMIFS('Components Yr 3'!D2:D1111,'Components Yr 3'!C2:C1111,A4,'Components Yr 3'!B2:B1111,'Bldgs &amp; Rooms'!B14)</f>
        <v>0</v>
      </c>
      <c r="O4" s="46">
        <f>SUMIFS('Components Yr 3'!D2:D1111,'Components Yr 3'!C2:C1111,A4,'Components Yr 3'!B2:B1111,'Bldgs &amp; Rooms'!B15)</f>
        <v>0</v>
      </c>
      <c r="P4" s="46">
        <f>SUMIFS('Components Yr 3'!D2:D1111,'Components Yr 3'!C2:C1111,A4,'Components Yr 3'!B2:B1111,'Bldgs &amp; Rooms'!B16)</f>
        <v>0</v>
      </c>
      <c r="Q4" s="46">
        <f>SUMIFS('Components Yr 3'!D2:D1111,'Components Yr 3'!C2:C1111,A4,'Components Yr 3'!B2:B1111,'Bldgs &amp; Rooms'!B17)</f>
        <v>0</v>
      </c>
      <c r="R4" s="46">
        <f>SUMIFS('Components Yr 3'!D2:D1111,'Components Yr 3'!C2:C1111,A4,'Components Yr 3'!B2:B1111,'Bldgs &amp; Rooms'!B18)</f>
        <v>0</v>
      </c>
      <c r="S4" s="46">
        <f>SUMIFS('Components Yr 3'!D2:D1111,'Components Yr 3'!C2:C1111,A4,'Components Yr 3'!B2:B1111,'Bldgs &amp; Rooms'!B19)</f>
        <v>0</v>
      </c>
      <c r="T4" s="46">
        <f>SUMIFS('Components Yr 3'!D2:D1111,'Components Yr 3'!C2:C1111,A4,'Components Yr 3'!B2:B1111,'Bldgs &amp; Rooms'!B20)</f>
        <v>0</v>
      </c>
      <c r="U4" s="46">
        <f>SUMIFS('Components Yr 3'!D2:D1111,'Components Yr 3'!C2:C1111,A4,'Components Yr 3'!B2:B1111,'Bldgs &amp; Rooms'!B21)</f>
        <v>0</v>
      </c>
      <c r="V4" s="46">
        <f>SUMIFS('Components Yr 3'!D2:D1111,'Components Yr 3'!C2:C1111,A4,'Components Yr 3'!B2:B1111,'Bldgs &amp; Rooms'!B22)</f>
        <v>0</v>
      </c>
      <c r="W4" s="46">
        <f>SUMIFS('Components Yr 3'!D2:D1111,'Components Yr 3'!C2:C1111,A4,'Components Yr 3'!B2:B1111,'Bldgs &amp; Rooms'!B23)</f>
        <v>0</v>
      </c>
      <c r="X4" s="46">
        <f>SUMIFS('Components Yr 3'!D2:D1111,'Components Yr 3'!C2:C1111,A4,'Components Yr 3'!B2:B1111,'Bldgs &amp; Rooms'!B24)</f>
        <v>0</v>
      </c>
      <c r="Y4" s="46">
        <f>SUMIFS('Components Yr 3'!D2:D1111,'Components Yr 3'!C2:C1111,A4,'Components Yr 3'!B2:B1111,'Bldgs &amp; Rooms'!B25)</f>
        <v>0</v>
      </c>
      <c r="Z4" s="46">
        <f>SUMIFS('Components Yr 3'!D2:D1111,'Components Yr 3'!C2:C1111,A4,'Components Yr 3'!B2:B1111,'Bldgs &amp; Rooms'!B26)</f>
        <v>0</v>
      </c>
      <c r="AA4" s="46">
        <f>SUMIFS('Components Yr 3'!D2:D1111,'Components Yr 3'!C2:C1111,A4,'Components Yr 3'!B2:B1111,'Bldgs &amp; Rooms'!B27)</f>
        <v>0</v>
      </c>
      <c r="AB4" s="46">
        <f>SUMIFS('Components Yr 3'!D2:D1111,'Components Yr 3'!C2:C1111,A4,'Components Yr 3'!B2:B1111,'Bldgs &amp; Rooms'!B28)</f>
        <v>0</v>
      </c>
      <c r="AC4" s="46">
        <f>SUMIFS('Components Yr 3'!D2:D1111,'Components Yr 3'!C2:C1111,A4,'Components Yr 3'!B2:B1111,'Bldgs &amp; Rooms'!B29)</f>
        <v>0</v>
      </c>
      <c r="AD4" s="46">
        <f>SUMIFS('Components Yr 3'!D2:D1111,'Components Yr 3'!C2:C1111,A4,'Components Yr 3'!B2:B1111,'Bldgs &amp; Rooms'!B30)</f>
        <v>0</v>
      </c>
      <c r="AE4" s="46">
        <f>SUMIFS('Components Yr 3'!D2:D1111,'Components Yr 3'!C2:C1111,A4,'Components Yr 3'!B2:B1111,'Bldgs &amp; Rooms'!B31)</f>
        <v>0</v>
      </c>
      <c r="AF4" s="47">
        <f t="shared" si="0"/>
        <v>0</v>
      </c>
    </row>
    <row r="5" spans="1:32" x14ac:dyDescent="0.25">
      <c r="A5" s="48" t="s">
        <v>18</v>
      </c>
      <c r="B5" s="49">
        <f>SUMIFS('Components Yr 3'!D2:D1111,'Components Yr 3'!C2:C1111,A5,'Components Yr 3'!B2:B1111,'Bldgs &amp; Rooms'!B2)</f>
        <v>0</v>
      </c>
      <c r="C5" s="49">
        <f>SUMIFS('Components Yr 3'!D2:D1111,'Components Yr 3'!C2:C1111,A5,'Components Yr 3'!B2:B1111,'Bldgs &amp; Rooms'!B3)</f>
        <v>0</v>
      </c>
      <c r="D5" s="49">
        <f>SUMIFS('Components Yr 3'!D2:D1111,'Components Yr 3'!C2:C1111,A5,'Components Yr 3'!B2:B1111,'Bldgs &amp; Rooms'!B4)</f>
        <v>0</v>
      </c>
      <c r="E5" s="49">
        <f>SUMIFS('Components Yr 3'!D2:D1111,'Components Yr 3'!C2:C1111,A5,'Components Yr 3'!B2:B1111,'Bldgs &amp; Rooms'!B5)</f>
        <v>0</v>
      </c>
      <c r="F5" s="49">
        <f>SUMIFS('Components Yr 3'!D2:D1111,'Components Yr 3'!C2:C1111,A5,'Components Yr 3'!B2:B1111,'Bldgs &amp; Rooms'!B6)</f>
        <v>0</v>
      </c>
      <c r="G5" s="49">
        <f>SUMIFS('Components Yr 3'!D2:D1111,'Components Yr 3'!C2:C1111,A5,'Components Yr 3'!B2:B1111,'Bldgs &amp; Rooms'!B7)</f>
        <v>0</v>
      </c>
      <c r="H5" s="49">
        <f>SUMIFS('Components Yr 3'!D2:D1111,'Components Yr 3'!C2:C1111,A5,'Components Yr 3'!B2:B1111,'Bldgs &amp; Rooms'!B8)</f>
        <v>0</v>
      </c>
      <c r="I5" s="49">
        <f>SUMIFS('Components Yr 3'!D2:D1111,'Components Yr 3'!C2:C1111,A5,'Components Yr 3'!B2:B1111,'Bldgs &amp; Rooms'!B9)</f>
        <v>0</v>
      </c>
      <c r="J5" s="49">
        <f>SUMIFS('Components Yr 3'!D2:D1111,'Components Yr 3'!C2:C1111,A5,'Components Yr 3'!B2:B1111,'Bldgs &amp; Rooms'!B10)</f>
        <v>0</v>
      </c>
      <c r="K5" s="49">
        <f>SUMIFS('Components Yr 3'!D2:D1111,'Components Yr 3'!C2:C1111,A5,'Components Yr 3'!B2:B1111,'Bldgs &amp; Rooms'!B11)</f>
        <v>0</v>
      </c>
      <c r="L5" s="49">
        <f>SUMIFS('Components Yr 3'!D2:D1111,'Components Yr 3'!C2:C1111,A5,'Components Yr 3'!B2:B1111,'Bldgs &amp; Rooms'!B12)</f>
        <v>0</v>
      </c>
      <c r="M5" s="49">
        <f>SUMIFS('Components Yr 3'!D2:D1111,'Components Yr 3'!C2:C1111,A5,'Components Yr 3'!B2:B1111,'Bldgs &amp; Rooms'!B13)</f>
        <v>0</v>
      </c>
      <c r="N5" s="49">
        <f>SUMIFS('Components Yr 3'!D2:D1111,'Components Yr 3'!C2:C1111,A5,'Components Yr 3'!B2:B1111,'Bldgs &amp; Rooms'!B14)</f>
        <v>0</v>
      </c>
      <c r="O5" s="49">
        <f>SUMIFS('Components Yr 3'!D2:D1111,'Components Yr 3'!C2:C1111,A5,'Components Yr 3'!B2:B1111,'Bldgs &amp; Rooms'!B15)</f>
        <v>0</v>
      </c>
      <c r="P5" s="49">
        <f>SUMIFS('Components Yr 3'!D2:D1111,'Components Yr 3'!C2:C1111,A5,'Components Yr 3'!B2:B1111,'Bldgs &amp; Rooms'!B16)</f>
        <v>0</v>
      </c>
      <c r="Q5" s="49">
        <f>SUMIFS('Components Yr 3'!D2:D1111,'Components Yr 3'!C2:C1111,A5,'Components Yr 3'!B2:B1111,'Bldgs &amp; Rooms'!B17)</f>
        <v>0</v>
      </c>
      <c r="R5" s="49">
        <f>SUMIFS('Components Yr 3'!D2:D1111,'Components Yr 3'!C2:C1111,A5,'Components Yr 3'!B2:B1111,'Bldgs &amp; Rooms'!B18)</f>
        <v>0</v>
      </c>
      <c r="S5" s="49">
        <f>SUMIFS('Components Yr 3'!D2:D1111,'Components Yr 3'!C2:C1111,A5,'Components Yr 3'!B2:B1111,'Bldgs &amp; Rooms'!B19)</f>
        <v>0</v>
      </c>
      <c r="T5" s="49">
        <f>SUMIFS('Components Yr 3'!D2:D1111,'Components Yr 3'!C2:C1111,A5,'Components Yr 3'!B2:B1111,'Bldgs &amp; Rooms'!B20)</f>
        <v>0</v>
      </c>
      <c r="U5" s="49">
        <f>SUMIFS('Components Yr 3'!D2:D1111,'Components Yr 3'!C2:C1111,A5,'Components Yr 3'!B2:B1111,'Bldgs &amp; Rooms'!B21)</f>
        <v>0</v>
      </c>
      <c r="V5" s="49">
        <f>SUMIFS('Components Yr 3'!D2:D1111,'Components Yr 3'!C2:C1111,A5,'Components Yr 3'!B2:B1111,'Bldgs &amp; Rooms'!B22)</f>
        <v>0</v>
      </c>
      <c r="W5" s="49">
        <f>SUMIFS('Components Yr 3'!D2:D1111,'Components Yr 3'!C2:C1111,A5,'Components Yr 3'!B2:B1111,'Bldgs &amp; Rooms'!B23)</f>
        <v>0</v>
      </c>
      <c r="X5" s="49">
        <f>SUMIFS('Components Yr 3'!D2:D1111,'Components Yr 3'!C2:C1111,A5,'Components Yr 3'!B2:B1111,'Bldgs &amp; Rooms'!B24)</f>
        <v>0</v>
      </c>
      <c r="Y5" s="49">
        <f>SUMIFS('Components Yr 3'!D2:D1111,'Components Yr 3'!C2:C1111,A5,'Components Yr 3'!B2:B1111,'Bldgs &amp; Rooms'!B25)</f>
        <v>0</v>
      </c>
      <c r="Z5" s="49">
        <f>SUMIFS('Components Yr 3'!D2:D1111,'Components Yr 3'!C2:C1111,A5,'Components Yr 3'!B2:B1111,'Bldgs &amp; Rooms'!B26)</f>
        <v>0</v>
      </c>
      <c r="AA5" s="49">
        <f>SUMIFS('Components Yr 3'!D2:D1111,'Components Yr 3'!C2:C1111,A5,'Components Yr 3'!B2:B1111,'Bldgs &amp; Rooms'!B27)</f>
        <v>0</v>
      </c>
      <c r="AB5" s="49">
        <f>SUMIFS('Components Yr 3'!D2:D1111,'Components Yr 3'!C2:C1111,A5,'Components Yr 3'!B2:B1111,'Bldgs &amp; Rooms'!B28)</f>
        <v>0</v>
      </c>
      <c r="AC5" s="49">
        <f>SUMIFS('Components Yr 3'!D2:D1111,'Components Yr 3'!C2:C1111,A5,'Components Yr 3'!B2:B1111,'Bldgs &amp; Rooms'!B29)</f>
        <v>0</v>
      </c>
      <c r="AD5" s="49">
        <f>SUMIFS('Components Yr 3'!D2:D1111,'Components Yr 3'!C2:C1111,A5,'Components Yr 3'!B2:B1111,'Bldgs &amp; Rooms'!B30)</f>
        <v>0</v>
      </c>
      <c r="AE5" s="49">
        <f>SUMIFS('Components Yr 3'!D2:D1111,'Components Yr 3'!C2:C1111,A5,'Components Yr 3'!B2:B1111,'Bldgs &amp; Rooms'!B31)</f>
        <v>0</v>
      </c>
      <c r="AF5" s="47">
        <f t="shared" si="0"/>
        <v>0</v>
      </c>
    </row>
    <row r="6" spans="1:32" x14ac:dyDescent="0.25">
      <c r="A6" s="45" t="s">
        <v>19</v>
      </c>
      <c r="B6" s="46">
        <f>SUMIFS('Components Yr 3'!D2:D1111,'Components Yr 3'!C2:C1111,A6,'Components Yr 3'!B2:B1111,'Bldgs &amp; Rooms'!B2)</f>
        <v>0</v>
      </c>
      <c r="C6" s="46">
        <f>SUMIFS('Components Yr 3'!D2:D1111,'Components Yr 3'!C2:C1111,A6,'Components Yr 3'!B2:B1111,'Bldgs &amp; Rooms'!B3)</f>
        <v>0</v>
      </c>
      <c r="D6" s="46">
        <f>SUMIFS('Components Yr 3'!D2:D1111,'Components Yr 3'!C2:C1111,A6,'Components Yr 3'!B2:B1111,'Bldgs &amp; Rooms'!B4)</f>
        <v>0</v>
      </c>
      <c r="E6" s="46">
        <f>SUMIFS('Components Yr 3'!D2:D1111,'Components Yr 3'!C2:C1111,A6,'Components Yr 3'!B2:B1111,'Bldgs &amp; Rooms'!B5)</f>
        <v>0</v>
      </c>
      <c r="F6" s="46">
        <f>SUMIFS('Components Yr 3'!D2:D1111,'Components Yr 3'!C2:C1111,A6,'Components Yr 3'!B2:B1111,'Bldgs &amp; Rooms'!B6)</f>
        <v>0</v>
      </c>
      <c r="G6" s="46">
        <f>SUMIFS('Components Yr 3'!D2:D1111,'Components Yr 3'!C2:C1111,A6,'Components Yr 3'!B2:B1111,'Bldgs &amp; Rooms'!B7)</f>
        <v>0</v>
      </c>
      <c r="H6" s="46">
        <f>SUMIFS('Components Yr 3'!D2:D1111,'Components Yr 3'!C2:C1111,A6,'Components Yr 3'!B2:B1111,'Bldgs &amp; Rooms'!B8)</f>
        <v>0</v>
      </c>
      <c r="I6" s="46">
        <f>SUMIFS('Components Yr 3'!D2:D1111,'Components Yr 3'!C2:C1111,A6,'Components Yr 3'!B2:B1111,'Bldgs &amp; Rooms'!B9)</f>
        <v>0</v>
      </c>
      <c r="J6" s="46">
        <f>SUMIFS('Components Yr 3'!D2:D1111,'Components Yr 3'!C2:C1111,A6,'Components Yr 3'!B2:B1111,'Bldgs &amp; Rooms'!B10)</f>
        <v>0</v>
      </c>
      <c r="K6" s="46">
        <f>SUMIFS('Components Yr 3'!D2:D1111,'Components Yr 3'!C2:C1111,A6,'Components Yr 3'!B2:B1111,'Bldgs &amp; Rooms'!B11)</f>
        <v>0</v>
      </c>
      <c r="L6" s="46">
        <f>SUMIFS('Components Yr 3'!D2:D1111,'Components Yr 3'!C2:C1111,A6,'Components Yr 3'!B2:B1111,'Bldgs &amp; Rooms'!B12)</f>
        <v>0</v>
      </c>
      <c r="M6" s="46">
        <f>SUMIFS('Components Yr 3'!D2:D1111,'Components Yr 3'!C2:C1111,A6,'Components Yr 3'!B2:B1111,'Bldgs &amp; Rooms'!B13)</f>
        <v>0</v>
      </c>
      <c r="N6" s="46">
        <f>SUMIFS('Components Yr 3'!D2:D1111,'Components Yr 3'!C2:C1111,A6,'Components Yr 3'!B2:B1111,'Bldgs &amp; Rooms'!B14)</f>
        <v>0</v>
      </c>
      <c r="O6" s="46">
        <f>SUMIFS('Components Yr 3'!D2:D1111,'Components Yr 3'!C2:C1111,A6,'Components Yr 3'!B2:B1111,'Bldgs &amp; Rooms'!B15)</f>
        <v>0</v>
      </c>
      <c r="P6" s="46">
        <f>SUMIFS('Components Yr 3'!D2:D1111,'Components Yr 3'!C2:C1111,A6,'Components Yr 3'!B2:B1111,'Bldgs &amp; Rooms'!B16)</f>
        <v>0</v>
      </c>
      <c r="Q6" s="46">
        <f>SUMIFS('Components Yr 3'!D2:D1111,'Components Yr 3'!C2:C1111,A6,'Components Yr 3'!B2:B1111,'Bldgs &amp; Rooms'!B17)</f>
        <v>0</v>
      </c>
      <c r="R6" s="46">
        <f>SUMIFS('Components Yr 3'!D2:D1111,'Components Yr 3'!C2:C1111,A6,'Components Yr 3'!B2:B1111,'Bldgs &amp; Rooms'!B18)</f>
        <v>0</v>
      </c>
      <c r="S6" s="46">
        <f>SUMIFS('Components Yr 3'!D2:D1111,'Components Yr 3'!C2:C1111,A6,'Components Yr 3'!B2:B1111,'Bldgs &amp; Rooms'!B19)</f>
        <v>0</v>
      </c>
      <c r="T6" s="46">
        <f>SUMIFS('Components Yr 3'!D2:D1111,'Components Yr 3'!C2:C1111,A6,'Components Yr 3'!B2:B1111,'Bldgs &amp; Rooms'!B20)</f>
        <v>0</v>
      </c>
      <c r="U6" s="46">
        <f>SUMIFS('Components Yr 3'!D2:D1111,'Components Yr 3'!C2:C1111,A6,'Components Yr 3'!B2:B1111,'Bldgs &amp; Rooms'!B21)</f>
        <v>0</v>
      </c>
      <c r="V6" s="46">
        <f>SUMIFS('Components Yr 3'!D2:D1111,'Components Yr 3'!C2:C1111,A6,'Components Yr 3'!B2:B1111,'Bldgs &amp; Rooms'!B22)</f>
        <v>0</v>
      </c>
      <c r="W6" s="46">
        <f>SUMIFS('Components Yr 3'!D2:D1111,'Components Yr 3'!C2:C1111,A6,'Components Yr 3'!B2:B1111,'Bldgs &amp; Rooms'!B23)</f>
        <v>0</v>
      </c>
      <c r="X6" s="46">
        <f>SUMIFS('Components Yr 3'!D2:D1111,'Components Yr 3'!C2:C1111,A6,'Components Yr 3'!B2:B1111,'Bldgs &amp; Rooms'!B24)</f>
        <v>0</v>
      </c>
      <c r="Y6" s="46">
        <f>SUMIFS('Components Yr 3'!D2:D1111,'Components Yr 3'!C2:C1111,A6,'Components Yr 3'!B2:B1111,'Bldgs &amp; Rooms'!B25)</f>
        <v>0</v>
      </c>
      <c r="Z6" s="46">
        <f>SUMIFS('Components Yr 3'!D2:D1111,'Components Yr 3'!C2:C1111,A6,'Components Yr 3'!B2:B1111,'Bldgs &amp; Rooms'!B26)</f>
        <v>0</v>
      </c>
      <c r="AA6" s="46">
        <f>SUMIFS('Components Yr 3'!D2:D1111,'Components Yr 3'!C2:C1111,A6,'Components Yr 3'!B2:B1111,'Bldgs &amp; Rooms'!B27)</f>
        <v>0</v>
      </c>
      <c r="AB6" s="46">
        <f>SUMIFS('Components Yr 3'!D2:D1111,'Components Yr 3'!C2:C1111,A6,'Components Yr 3'!B2:B1111,'Bldgs &amp; Rooms'!B28)</f>
        <v>0</v>
      </c>
      <c r="AC6" s="46">
        <f>SUMIFS('Components Yr 3'!D2:D1111,'Components Yr 3'!C2:C1111,A6,'Components Yr 3'!B2:B1111,'Bldgs &amp; Rooms'!B29)</f>
        <v>0</v>
      </c>
      <c r="AD6" s="46">
        <f>SUMIFS('Components Yr 3'!D2:D1111,'Components Yr 3'!C2:C1111,A6,'Components Yr 3'!B2:B1111,'Bldgs &amp; Rooms'!B30)</f>
        <v>0</v>
      </c>
      <c r="AE6" s="46">
        <f>SUMIFS('Components Yr 3'!D2:D1111,'Components Yr 3'!C2:C1111,A6,'Components Yr 3'!B2:B1111,'Bldgs &amp; Rooms'!B31)</f>
        <v>0</v>
      </c>
      <c r="AF6" s="47">
        <f t="shared" si="0"/>
        <v>0</v>
      </c>
    </row>
    <row r="7" spans="1:32" x14ac:dyDescent="0.25">
      <c r="A7" s="48" t="s">
        <v>20</v>
      </c>
      <c r="B7" s="49">
        <f>SUMIFS('Components Yr 3'!D2:D1111,'Components Yr 3'!C2:C1111,A7,'Components Yr 3'!B2:B1111,'Bldgs &amp; Rooms'!B2)</f>
        <v>0</v>
      </c>
      <c r="C7" s="49">
        <f>SUMIFS('Components Yr 3'!D2:D1111,'Components Yr 3'!C2:C1111,A7,'Components Yr 3'!B2:B1111,'Bldgs &amp; Rooms'!B3)</f>
        <v>0</v>
      </c>
      <c r="D7" s="49">
        <f>SUMIFS('Components Yr 3'!D2:D1111,'Components Yr 3'!C2:C1111,A7,'Components Yr 3'!B2:B1111,'Bldgs &amp; Rooms'!B4)</f>
        <v>0</v>
      </c>
      <c r="E7" s="49">
        <f>SUMIFS('Components Yr 3'!D2:D1111,'Components Yr 3'!C2:C1111,A7,'Components Yr 3'!B2:B1111,'Bldgs &amp; Rooms'!B5)</f>
        <v>0</v>
      </c>
      <c r="F7" s="49">
        <f>SUMIFS('Components Yr 3'!D2:D1111,'Components Yr 3'!C2:C1111,A7,'Components Yr 3'!B2:B1111,'Bldgs &amp; Rooms'!B6)</f>
        <v>0</v>
      </c>
      <c r="G7" s="49">
        <f>SUMIFS('Components Yr 3'!D2:D1111,'Components Yr 3'!C2:C1111,A7,'Components Yr 3'!B2:B1111,'Bldgs &amp; Rooms'!B7)</f>
        <v>0</v>
      </c>
      <c r="H7" s="49">
        <f>SUMIFS('Components Yr 3'!D2:D1111,'Components Yr 3'!C2:C1111,A7,'Components Yr 3'!B2:B1111,'Bldgs &amp; Rooms'!B8)</f>
        <v>0</v>
      </c>
      <c r="I7" s="49">
        <f>SUMIFS('Components Yr 3'!D2:D1111,'Components Yr 3'!C2:C1111,A7,'Components Yr 3'!B2:B1111,'Bldgs &amp; Rooms'!B9)</f>
        <v>0</v>
      </c>
      <c r="J7" s="49">
        <f>SUMIFS('Components Yr 3'!D2:D1111,'Components Yr 3'!C2:C1111,A7,'Components Yr 3'!B2:B1111,'Bldgs &amp; Rooms'!B10)</f>
        <v>0</v>
      </c>
      <c r="K7" s="49">
        <f>SUMIFS('Components Yr 3'!D2:D1111,'Components Yr 3'!C2:C1111,A7,'Components Yr 3'!B2:B1111,'Bldgs &amp; Rooms'!B11)</f>
        <v>0</v>
      </c>
      <c r="L7" s="49">
        <f>SUMIFS('Components Yr 3'!D2:D1111,'Components Yr 3'!C2:C1111,A7,'Components Yr 3'!B2:B1111,'Bldgs &amp; Rooms'!B12)</f>
        <v>0</v>
      </c>
      <c r="M7" s="49">
        <f>SUMIFS('Components Yr 3'!D2:D1111,'Components Yr 3'!C2:C1111,A7,'Components Yr 3'!B2:B1111,'Bldgs &amp; Rooms'!B13)</f>
        <v>0</v>
      </c>
      <c r="N7" s="49">
        <f>SUMIFS('Components Yr 3'!D2:D1111,'Components Yr 3'!C2:C1111,A7,'Components Yr 3'!B2:B1111,'Bldgs &amp; Rooms'!B14)</f>
        <v>0</v>
      </c>
      <c r="O7" s="49">
        <f>SUMIFS('Components Yr 3'!D2:D1111,'Components Yr 3'!C2:C1111,A7,'Components Yr 3'!B2:B1111,'Bldgs &amp; Rooms'!B15)</f>
        <v>0</v>
      </c>
      <c r="P7" s="49">
        <f>SUMIFS('Components Yr 3'!D2:D1111,'Components Yr 3'!C2:C1111,A7,'Components Yr 3'!B2:B1111,'Bldgs &amp; Rooms'!B16)</f>
        <v>0</v>
      </c>
      <c r="Q7" s="49">
        <f>SUMIFS('Components Yr 3'!D2:D1111,'Components Yr 3'!C2:C1111,A7,'Components Yr 3'!B2:B1111,'Bldgs &amp; Rooms'!B17)</f>
        <v>0</v>
      </c>
      <c r="R7" s="49">
        <f>SUMIFS('Components Yr 3'!D2:D1111,'Components Yr 3'!C2:C1111,A7,'Components Yr 3'!B2:B1111,'Bldgs &amp; Rooms'!B18)</f>
        <v>0</v>
      </c>
      <c r="S7" s="49">
        <f>SUMIFS('Components Yr 3'!D2:D1111,'Components Yr 3'!C2:C1111,A7,'Components Yr 3'!B2:B1111,'Bldgs &amp; Rooms'!B19)</f>
        <v>0</v>
      </c>
      <c r="T7" s="49">
        <f>SUMIFS('Components Yr 3'!D2:D1111,'Components Yr 3'!C2:C1111,A7,'Components Yr 3'!B2:B1111,'Bldgs &amp; Rooms'!B20)</f>
        <v>0</v>
      </c>
      <c r="U7" s="49">
        <f>SUMIFS('Components Yr 3'!D2:D1111,'Components Yr 3'!C2:C1111,A7,'Components Yr 3'!B2:B1111,'Bldgs &amp; Rooms'!B21)</f>
        <v>0</v>
      </c>
      <c r="V7" s="49">
        <f>SUMIFS('Components Yr 3'!D2:D1111,'Components Yr 3'!C2:C1111,A7,'Components Yr 3'!B2:B1111,'Bldgs &amp; Rooms'!B22)</f>
        <v>0</v>
      </c>
      <c r="W7" s="49">
        <f>SUMIFS('Components Yr 3'!D2:D1111,'Components Yr 3'!C2:C1111,A7,'Components Yr 3'!B2:B1111,'Bldgs &amp; Rooms'!B23)</f>
        <v>0</v>
      </c>
      <c r="X7" s="49">
        <f>SUMIFS('Components Yr 3'!D2:D1111,'Components Yr 3'!C2:C1111,A7,'Components Yr 3'!B2:B1111,'Bldgs &amp; Rooms'!B24)</f>
        <v>0</v>
      </c>
      <c r="Y7" s="49">
        <f>SUMIFS('Components Yr 3'!D2:D1111,'Components Yr 3'!C2:C1111,A7,'Components Yr 3'!B2:B1111,'Bldgs &amp; Rooms'!B25)</f>
        <v>0</v>
      </c>
      <c r="Z7" s="49">
        <f>SUMIFS('Components Yr 3'!D2:D1111,'Components Yr 3'!C2:C1111,A7,'Components Yr 3'!B2:B1111,'Bldgs &amp; Rooms'!B26)</f>
        <v>0</v>
      </c>
      <c r="AA7" s="49">
        <f>SUMIFS('Components Yr 3'!D2:D1111,'Components Yr 3'!C2:C1111,A7,'Components Yr 3'!B2:B1111,'Bldgs &amp; Rooms'!B27)</f>
        <v>0</v>
      </c>
      <c r="AB7" s="49">
        <f>SUMIFS('Components Yr 3'!D2:D1111,'Components Yr 3'!C2:C1111,A7,'Components Yr 3'!B2:B1111,'Bldgs &amp; Rooms'!B28)</f>
        <v>0</v>
      </c>
      <c r="AC7" s="49">
        <f>SUMIFS('Components Yr 3'!D2:D1111,'Components Yr 3'!C2:C1111,A7,'Components Yr 3'!B2:B1111,'Bldgs &amp; Rooms'!B29)</f>
        <v>0</v>
      </c>
      <c r="AD7" s="49">
        <f>SUMIFS('Components Yr 3'!D2:D1111,'Components Yr 3'!C2:C1111,A7,'Components Yr 3'!B2:B1111,'Bldgs &amp; Rooms'!B30)</f>
        <v>0</v>
      </c>
      <c r="AE7" s="49">
        <f>SUMIFS('Components Yr 3'!D2:D1111,'Components Yr 3'!C2:C1111,A7,'Components Yr 3'!B2:B1111,'Bldgs &amp; Rooms'!B31)</f>
        <v>0</v>
      </c>
      <c r="AF7" s="47">
        <f t="shared" si="0"/>
        <v>0</v>
      </c>
    </row>
    <row r="8" spans="1:32" x14ac:dyDescent="0.25">
      <c r="A8" s="45" t="s">
        <v>21</v>
      </c>
      <c r="B8" s="46">
        <f>SUMIFS('Components Yr 3'!D2:D1111,'Components Yr 3'!C2:C1111,A8,'Components Yr 3'!B2:B1111,'Bldgs &amp; Rooms'!B2)</f>
        <v>0</v>
      </c>
      <c r="C8" s="46">
        <f>SUMIFS('Components Yr 3'!D2:D1111,'Components Yr 3'!C2:C1111,A8,'Components Yr 3'!B2:B1111,'Bldgs &amp; Rooms'!B3)</f>
        <v>0</v>
      </c>
      <c r="D8" s="46">
        <f>SUMIFS('Components Yr 3'!D2:D1111,'Components Yr 3'!C2:C1111,A8,'Components Yr 3'!B2:B1111,'Bldgs &amp; Rooms'!B4)</f>
        <v>0</v>
      </c>
      <c r="E8" s="46">
        <f>SUMIFS('Components Yr 3'!D2:D1111,'Components Yr 3'!C2:C1111,A8,'Components Yr 3'!B2:B1111,'Bldgs &amp; Rooms'!B5)</f>
        <v>0</v>
      </c>
      <c r="F8" s="46">
        <f>SUMIFS('Components Yr 3'!D2:D1111,'Components Yr 3'!C2:C1111,A8,'Components Yr 3'!B2:B1111,'Bldgs &amp; Rooms'!B6)</f>
        <v>0</v>
      </c>
      <c r="G8" s="46">
        <f>SUMIFS('Components Yr 3'!D2:D1111,'Components Yr 3'!C2:C1111,A8,'Components Yr 3'!B2:B1111,'Bldgs &amp; Rooms'!B7)</f>
        <v>0</v>
      </c>
      <c r="H8" s="46">
        <f>SUMIFS('Components Yr 3'!D2:D1111,'Components Yr 3'!C2:C1111,A8,'Components Yr 3'!B2:B1111,'Bldgs &amp; Rooms'!B8)</f>
        <v>0</v>
      </c>
      <c r="I8" s="46">
        <f>SUMIFS('Components Yr 3'!D2:D1111,'Components Yr 3'!C2:C1111,A8,'Components Yr 3'!B2:B1111,'Bldgs &amp; Rooms'!B9)</f>
        <v>0</v>
      </c>
      <c r="J8" s="46">
        <f>SUMIFS('Components Yr 3'!D2:D1111,'Components Yr 3'!C2:C1111,A8,'Components Yr 3'!B2:B1111,'Bldgs &amp; Rooms'!B10)</f>
        <v>0</v>
      </c>
      <c r="K8" s="46">
        <f>SUMIFS('Components Yr 3'!D2:D1111,'Components Yr 3'!C2:C1111,A8,'Components Yr 3'!B2:B1111,'Bldgs &amp; Rooms'!B11)</f>
        <v>0</v>
      </c>
      <c r="L8" s="46">
        <f>SUMIFS('Components Yr 3'!D2:D1111,'Components Yr 3'!C2:C1111,A8,'Components Yr 3'!B2:B1111,'Bldgs &amp; Rooms'!B12)</f>
        <v>0</v>
      </c>
      <c r="M8" s="46">
        <f>SUMIFS('Components Yr 3'!D2:D1111,'Components Yr 3'!C2:C1111,A8,'Components Yr 3'!B2:B1111,'Bldgs &amp; Rooms'!B13)</f>
        <v>0</v>
      </c>
      <c r="N8" s="46">
        <f>SUMIFS('Components Yr 3'!D2:D1111,'Components Yr 3'!C2:C1111,A8,'Components Yr 3'!B2:B1111,'Bldgs &amp; Rooms'!B14)</f>
        <v>0</v>
      </c>
      <c r="O8" s="46">
        <f>SUMIFS('Components Yr 3'!D2:D1111,'Components Yr 3'!C2:C1111,A8,'Components Yr 3'!B2:B1111,'Bldgs &amp; Rooms'!B15)</f>
        <v>0</v>
      </c>
      <c r="P8" s="46">
        <f>SUMIFS('Components Yr 3'!D2:D1111,'Components Yr 3'!C2:C1111,A8,'Components Yr 3'!B2:B1111,'Bldgs &amp; Rooms'!B16)</f>
        <v>0</v>
      </c>
      <c r="Q8" s="46">
        <f>SUMIFS('Components Yr 3'!D2:D1111,'Components Yr 3'!C2:C1111,A8,'Components Yr 3'!B2:B1111,'Bldgs &amp; Rooms'!B17)</f>
        <v>0</v>
      </c>
      <c r="R8" s="46">
        <f>SUMIFS('Components Yr 3'!D2:D1111,'Components Yr 3'!C2:C1111,A8,'Components Yr 3'!B2:B1111,'Bldgs &amp; Rooms'!B18)</f>
        <v>0</v>
      </c>
      <c r="S8" s="46">
        <f>SUMIFS('Components Yr 3'!D2:D1111,'Components Yr 3'!C2:C1111,A8,'Components Yr 3'!B2:B1111,'Bldgs &amp; Rooms'!B19)</f>
        <v>0</v>
      </c>
      <c r="T8" s="46">
        <f>SUMIFS('Components Yr 3'!D2:D1111,'Components Yr 3'!C2:C1111,A8,'Components Yr 3'!B2:B1111,'Bldgs &amp; Rooms'!B20)</f>
        <v>0</v>
      </c>
      <c r="U8" s="46">
        <f>SUMIFS('Components Yr 3'!D2:D1111,'Components Yr 3'!C2:C1111,A8,'Components Yr 3'!B2:B1111,'Bldgs &amp; Rooms'!B21)</f>
        <v>0</v>
      </c>
      <c r="V8" s="46">
        <f>SUMIFS('Components Yr 3'!D2:D1111,'Components Yr 3'!C2:C1111,A8,'Components Yr 3'!B2:B1111,'Bldgs &amp; Rooms'!B22)</f>
        <v>0</v>
      </c>
      <c r="W8" s="46">
        <f>SUMIFS('Components Yr 3'!D2:D1111,'Components Yr 3'!C2:C1111,A8,'Components Yr 3'!B2:B1111,'Bldgs &amp; Rooms'!B23)</f>
        <v>0</v>
      </c>
      <c r="X8" s="46">
        <f>SUMIFS('Components Yr 3'!D2:D1111,'Components Yr 3'!C2:C1111,A8,'Components Yr 3'!B2:B1111,'Bldgs &amp; Rooms'!B24)</f>
        <v>0</v>
      </c>
      <c r="Y8" s="46">
        <f>SUMIFS('Components Yr 3'!D2:D1111,'Components Yr 3'!C2:C1111,A8,'Components Yr 3'!B2:B1111,'Bldgs &amp; Rooms'!B25)</f>
        <v>0</v>
      </c>
      <c r="Z8" s="46">
        <f>SUMIFS('Components Yr 3'!D2:D1111,'Components Yr 3'!C2:C1111,A8,'Components Yr 3'!B2:B1111,'Bldgs &amp; Rooms'!B26)</f>
        <v>0</v>
      </c>
      <c r="AA8" s="46">
        <f>SUMIFS('Components Yr 3'!D2:D1111,'Components Yr 3'!C2:C1111,A8,'Components Yr 3'!B2:B1111,'Bldgs &amp; Rooms'!B27)</f>
        <v>0</v>
      </c>
      <c r="AB8" s="46">
        <f>SUMIFS('Components Yr 3'!D2:D1111,'Components Yr 3'!C2:C1111,A8,'Components Yr 3'!B2:B1111,'Bldgs &amp; Rooms'!B28)</f>
        <v>0</v>
      </c>
      <c r="AC8" s="46">
        <f>SUMIFS('Components Yr 3'!D2:D1111,'Components Yr 3'!C2:C1111,A8,'Components Yr 3'!B2:B1111,'Bldgs &amp; Rooms'!B29)</f>
        <v>0</v>
      </c>
      <c r="AD8" s="46">
        <f>SUMIFS('Components Yr 3'!D2:D1111,'Components Yr 3'!C2:C1111,A8,'Components Yr 3'!B2:B1111,'Bldgs &amp; Rooms'!B30)</f>
        <v>0</v>
      </c>
      <c r="AE8" s="46">
        <f>SUMIFS('Components Yr 3'!D2:D1111,'Components Yr 3'!C2:C1111,A8,'Components Yr 3'!B2:B1111,'Bldgs &amp; Rooms'!B31)</f>
        <v>0</v>
      </c>
      <c r="AF8" s="47">
        <f t="shared" si="0"/>
        <v>0</v>
      </c>
    </row>
    <row r="9" spans="1:32" x14ac:dyDescent="0.25">
      <c r="A9" s="48" t="s">
        <v>22</v>
      </c>
      <c r="B9" s="49">
        <f>SUMIFS('Components Yr 3'!D2:D1111,'Components Yr 3'!C2:C1111,A9,'Components Yr 3'!B2:B1111,'Bldgs &amp; Rooms'!B2)</f>
        <v>0</v>
      </c>
      <c r="C9" s="49">
        <f>SUMIFS('Components Yr 3'!D2:D1111,'Components Yr 3'!C2:C1111,A9,'Components Yr 3'!B2:B1111,'Bldgs &amp; Rooms'!B3)</f>
        <v>0</v>
      </c>
      <c r="D9" s="49">
        <f>SUMIFS('Components Yr 3'!D2:D1111,'Components Yr 3'!C2:C1111,A9,'Components Yr 3'!B2:B1111,'Bldgs &amp; Rooms'!B4)</f>
        <v>0</v>
      </c>
      <c r="E9" s="49">
        <f>SUMIFS('Components Yr 3'!D2:D1111,'Components Yr 3'!C2:C1111,A9,'Components Yr 3'!B2:B1111,'Bldgs &amp; Rooms'!B5)</f>
        <v>0</v>
      </c>
      <c r="F9" s="49">
        <f>SUMIFS('Components Yr 3'!D2:D1111,'Components Yr 3'!C2:C1111,A9,'Components Yr 3'!B2:B1111,'Bldgs &amp; Rooms'!B6)</f>
        <v>0</v>
      </c>
      <c r="G9" s="49">
        <f>SUMIFS('Components Yr 3'!D2:D1111,'Components Yr 3'!C2:C1111,A9,'Components Yr 3'!B2:B1111,'Bldgs &amp; Rooms'!B7)</f>
        <v>0</v>
      </c>
      <c r="H9" s="49">
        <f>SUMIFS('Components Yr 3'!D2:D1111,'Components Yr 3'!C2:C1111,A9,'Components Yr 3'!B2:B1111,'Bldgs &amp; Rooms'!B8)</f>
        <v>0</v>
      </c>
      <c r="I9" s="49">
        <f>SUMIFS('Components Yr 3'!D2:D1111,'Components Yr 3'!C2:C1111,A9,'Components Yr 3'!B2:B1111,'Bldgs &amp; Rooms'!B9)</f>
        <v>0</v>
      </c>
      <c r="J9" s="49">
        <f>SUMIFS('Components Yr 3'!D2:D1111,'Components Yr 3'!C2:C1111,A9,'Components Yr 3'!B2:B1111,'Bldgs &amp; Rooms'!B10)</f>
        <v>0</v>
      </c>
      <c r="K9" s="49">
        <f>SUMIFS('Components Yr 3'!D2:D1111,'Components Yr 3'!C2:C1111,A9,'Components Yr 3'!B2:B1111,'Bldgs &amp; Rooms'!B11)</f>
        <v>0</v>
      </c>
      <c r="L9" s="49">
        <f>SUMIFS('Components Yr 3'!D2:D1111,'Components Yr 3'!C2:C1111,A9,'Components Yr 3'!B2:B1111,'Bldgs &amp; Rooms'!B12)</f>
        <v>0</v>
      </c>
      <c r="M9" s="49">
        <f>SUMIFS('Components Yr 3'!D2:D1111,'Components Yr 3'!C2:C1111,A9,'Components Yr 3'!B2:B1111,'Bldgs &amp; Rooms'!B13)</f>
        <v>0</v>
      </c>
      <c r="N9" s="49">
        <f>SUMIFS('Components Yr 3'!D2:D1111,'Components Yr 3'!C2:C1111,A9,'Components Yr 3'!B2:B1111,'Bldgs &amp; Rooms'!B14)</f>
        <v>0</v>
      </c>
      <c r="O9" s="49">
        <f>SUMIFS('Components Yr 3'!D2:D1111,'Components Yr 3'!C2:C1111,A9,'Components Yr 3'!B2:B1111,'Bldgs &amp; Rooms'!B15)</f>
        <v>0</v>
      </c>
      <c r="P9" s="49">
        <f>SUMIFS('Components Yr 3'!D2:D1111,'Components Yr 3'!C2:C1111,A9,'Components Yr 3'!B2:B1111,'Bldgs &amp; Rooms'!B16)</f>
        <v>0</v>
      </c>
      <c r="Q9" s="49">
        <f>SUMIFS('Components Yr 3'!D2:D1111,'Components Yr 3'!C2:C1111,A9,'Components Yr 3'!B2:B1111,'Bldgs &amp; Rooms'!B17)</f>
        <v>0</v>
      </c>
      <c r="R9" s="49">
        <f>SUMIFS('Components Yr 3'!D2:D1111,'Components Yr 3'!C2:C1111,A9,'Components Yr 3'!B2:B1111,'Bldgs &amp; Rooms'!B18)</f>
        <v>0</v>
      </c>
      <c r="S9" s="49">
        <f>SUMIFS('Components Yr 3'!D2:D1111,'Components Yr 3'!C2:C1111,A9,'Components Yr 3'!B2:B1111,'Bldgs &amp; Rooms'!B19)</f>
        <v>0</v>
      </c>
      <c r="T9" s="49">
        <f>SUMIFS('Components Yr 3'!D2:D1111,'Components Yr 3'!C2:C1111,A9,'Components Yr 3'!B2:B1111,'Bldgs &amp; Rooms'!B20)</f>
        <v>0</v>
      </c>
      <c r="U9" s="49">
        <f>SUMIFS('Components Yr 3'!D2:D1111,'Components Yr 3'!C2:C1111,A9,'Components Yr 3'!B2:B1111,'Bldgs &amp; Rooms'!B21)</f>
        <v>0</v>
      </c>
      <c r="V9" s="49">
        <f>SUMIFS('Components Yr 3'!D2:D1111,'Components Yr 3'!C2:C1111,A9,'Components Yr 3'!B2:B1111,'Bldgs &amp; Rooms'!B22)</f>
        <v>0</v>
      </c>
      <c r="W9" s="49">
        <f>SUMIFS('Components Yr 3'!D2:D1111,'Components Yr 3'!C2:C1111,A9,'Components Yr 3'!B2:B1111,'Bldgs &amp; Rooms'!B23)</f>
        <v>0</v>
      </c>
      <c r="X9" s="49">
        <f>SUMIFS('Components Yr 3'!D2:D1111,'Components Yr 3'!C2:C1111,A9,'Components Yr 3'!B2:B1111,'Bldgs &amp; Rooms'!B24)</f>
        <v>0</v>
      </c>
      <c r="Y9" s="49">
        <f>SUMIFS('Components Yr 3'!D2:D1111,'Components Yr 3'!C2:C1111,A9,'Components Yr 3'!B2:B1111,'Bldgs &amp; Rooms'!B25)</f>
        <v>0</v>
      </c>
      <c r="Z9" s="49">
        <f>SUMIFS('Components Yr 3'!D2:D1111,'Components Yr 3'!C2:C1111,A9,'Components Yr 3'!B2:B1111,'Bldgs &amp; Rooms'!B26)</f>
        <v>0</v>
      </c>
      <c r="AA9" s="49">
        <f>SUMIFS('Components Yr 3'!D2:D1111,'Components Yr 3'!C2:C1111,A9,'Components Yr 3'!B2:B1111,'Bldgs &amp; Rooms'!B27)</f>
        <v>0</v>
      </c>
      <c r="AB9" s="49">
        <f>SUMIFS('Components Yr 3'!D2:D1111,'Components Yr 3'!C2:C1111,A9,'Components Yr 3'!B2:B1111,'Bldgs &amp; Rooms'!B28)</f>
        <v>0</v>
      </c>
      <c r="AC9" s="49">
        <f>SUMIFS('Components Yr 3'!D2:D1111,'Components Yr 3'!C2:C1111,A9,'Components Yr 3'!B2:B1111,'Bldgs &amp; Rooms'!B29)</f>
        <v>0</v>
      </c>
      <c r="AD9" s="49">
        <f>SUMIFS('Components Yr 3'!D2:D1111,'Components Yr 3'!C2:C1111,A9,'Components Yr 3'!B2:B1111,'Bldgs &amp; Rooms'!B30)</f>
        <v>0</v>
      </c>
      <c r="AE9" s="49">
        <f>SUMIFS('Components Yr 3'!D2:D1111,'Components Yr 3'!C2:C1111,A9,'Components Yr 3'!B2:B1111,'Bldgs &amp; Rooms'!B31)</f>
        <v>0</v>
      </c>
      <c r="AF9" s="47">
        <f t="shared" si="0"/>
        <v>0</v>
      </c>
    </row>
    <row r="10" spans="1:32" x14ac:dyDescent="0.25">
      <c r="A10" s="45" t="s">
        <v>23</v>
      </c>
      <c r="B10" s="46">
        <f>SUMIFS('Components Yr 3'!D2:D1111,'Components Yr 3'!C2:C1111,A10,'Components Yr 3'!B2:B1111,'Bldgs &amp; Rooms'!B2)</f>
        <v>0</v>
      </c>
      <c r="C10" s="46">
        <f>SUMIFS('Components Yr 3'!D2:D1111,'Components Yr 3'!C2:C1111,A10,'Components Yr 3'!B2:B1111,'Bldgs &amp; Rooms'!B3)</f>
        <v>0</v>
      </c>
      <c r="D10" s="46">
        <f>SUMIFS('Components Yr 3'!D2:D1111,'Components Yr 3'!C2:C1111,A10,'Components Yr 3'!B2:B1111,'Bldgs &amp; Rooms'!B4)</f>
        <v>0</v>
      </c>
      <c r="E10" s="46">
        <f>SUMIFS('Components Yr 3'!D2:D1111,'Components Yr 3'!C2:C1111,A10,'Components Yr 3'!B2:B1111,'Bldgs &amp; Rooms'!B5)</f>
        <v>0</v>
      </c>
      <c r="F10" s="46">
        <f>SUMIFS('Components Yr 3'!D2:D1111,'Components Yr 3'!C2:C1111,A10,'Components Yr 3'!B2:B1111,'Bldgs &amp; Rooms'!B6)</f>
        <v>0</v>
      </c>
      <c r="G10" s="46">
        <f>SUMIFS('Components Yr 3'!D2:D1111,'Components Yr 3'!C2:C1111,A10,'Components Yr 3'!B2:B1111,'Bldgs &amp; Rooms'!B7)</f>
        <v>0</v>
      </c>
      <c r="H10" s="46">
        <f>SUMIFS('Components Yr 3'!D2:D1111,'Components Yr 3'!C2:C1111,A10,'Components Yr 3'!B2:B1111,'Bldgs &amp; Rooms'!B8)</f>
        <v>0</v>
      </c>
      <c r="I10" s="46">
        <f>SUMIFS('Components Yr 3'!D2:D1111,'Components Yr 3'!C2:C1111,A10,'Components Yr 3'!B2:B1111,'Bldgs &amp; Rooms'!B9)</f>
        <v>0</v>
      </c>
      <c r="J10" s="46">
        <f>SUMIFS('Components Yr 3'!D2:D1111,'Components Yr 3'!C2:C1111,A10,'Components Yr 3'!B2:B1111,'Bldgs &amp; Rooms'!B10)</f>
        <v>0</v>
      </c>
      <c r="K10" s="46">
        <f>SUMIFS('Components Yr 3'!D2:D1111,'Components Yr 3'!C2:C1111,A10,'Components Yr 3'!B2:B1111,'Bldgs &amp; Rooms'!B11)</f>
        <v>0</v>
      </c>
      <c r="L10" s="46">
        <f>SUMIFS('Components Yr 3'!D2:D1111,'Components Yr 3'!C2:C1111,A10,'Components Yr 3'!B2:B1111,'Bldgs &amp; Rooms'!B12)</f>
        <v>0</v>
      </c>
      <c r="M10" s="46">
        <f>SUMIFS('Components Yr 3'!D2:D1111,'Components Yr 3'!C2:C1111,A10,'Components Yr 3'!B2:B1111,'Bldgs &amp; Rooms'!B13)</f>
        <v>0</v>
      </c>
      <c r="N10" s="46">
        <f>SUMIFS('Components Yr 3'!D2:D1111,'Components Yr 3'!C2:C1111,A10,'Components Yr 3'!B2:B1111,'Bldgs &amp; Rooms'!B14)</f>
        <v>0</v>
      </c>
      <c r="O10" s="46">
        <f>SUMIFS('Components Yr 3'!D2:D1111,'Components Yr 3'!C2:C1111,A10,'Components Yr 3'!B2:B1111,'Bldgs &amp; Rooms'!B15)</f>
        <v>0</v>
      </c>
      <c r="P10" s="46">
        <f>SUMIFS('Components Yr 3'!D2:D1111,'Components Yr 3'!C2:C1111,A10,'Components Yr 3'!B2:B1111,'Bldgs &amp; Rooms'!B16)</f>
        <v>0</v>
      </c>
      <c r="Q10" s="46">
        <f>SUMIFS('Components Yr 3'!D2:D1111,'Components Yr 3'!C2:C1111,A10,'Components Yr 3'!B2:B1111,'Bldgs &amp; Rooms'!B17)</f>
        <v>0</v>
      </c>
      <c r="R10" s="46">
        <f>SUMIFS('Components Yr 3'!D2:D1111,'Components Yr 3'!C2:C1111,A10,'Components Yr 3'!B2:B1111,'Bldgs &amp; Rooms'!B18)</f>
        <v>0</v>
      </c>
      <c r="S10" s="46">
        <f>SUMIFS('Components Yr 3'!D2:D1111,'Components Yr 3'!C2:C1111,A10,'Components Yr 3'!B2:B1111,'Bldgs &amp; Rooms'!B19)</f>
        <v>0</v>
      </c>
      <c r="T10" s="46">
        <f>SUMIFS('Components Yr 3'!D2:D1111,'Components Yr 3'!C2:C1111,A10,'Components Yr 3'!B2:B1111,'Bldgs &amp; Rooms'!B20)</f>
        <v>0</v>
      </c>
      <c r="U10" s="46">
        <f>SUMIFS('Components Yr 3'!D2:D1111,'Components Yr 3'!C2:C1111,A10,'Components Yr 3'!B2:B1111,'Bldgs &amp; Rooms'!B21)</f>
        <v>0</v>
      </c>
      <c r="V10" s="46">
        <f>SUMIFS('Components Yr 3'!D2:D1111,'Components Yr 3'!C2:C1111,A10,'Components Yr 3'!B2:B1111,'Bldgs &amp; Rooms'!B22)</f>
        <v>0</v>
      </c>
      <c r="W10" s="46">
        <f>SUMIFS('Components Yr 3'!D2:D1111,'Components Yr 3'!C2:C1111,A10,'Components Yr 3'!B2:B1111,'Bldgs &amp; Rooms'!B23)</f>
        <v>0</v>
      </c>
      <c r="X10" s="46">
        <f>SUMIFS('Components Yr 3'!D2:D1111,'Components Yr 3'!C2:C1111,A10,'Components Yr 3'!B2:B1111,'Bldgs &amp; Rooms'!B24)</f>
        <v>0</v>
      </c>
      <c r="Y10" s="46">
        <f>SUMIFS('Components Yr 3'!D2:D1111,'Components Yr 3'!C2:C1111,A10,'Components Yr 3'!B2:B1111,'Bldgs &amp; Rooms'!B25)</f>
        <v>0</v>
      </c>
      <c r="Z10" s="46">
        <f>SUMIFS('Components Yr 3'!D2:D1111,'Components Yr 3'!C2:C1111,A10,'Components Yr 3'!B2:B1111,'Bldgs &amp; Rooms'!B26)</f>
        <v>0</v>
      </c>
      <c r="AA10" s="46">
        <f>SUMIFS('Components Yr 3'!D2:D1111,'Components Yr 3'!C2:C1111,A10,'Components Yr 3'!B2:B1111,'Bldgs &amp; Rooms'!B27)</f>
        <v>0</v>
      </c>
      <c r="AB10" s="46">
        <f>SUMIFS('Components Yr 3'!D2:D1111,'Components Yr 3'!C2:C1111,A10,'Components Yr 3'!B2:B1111,'Bldgs &amp; Rooms'!B28)</f>
        <v>0</v>
      </c>
      <c r="AC10" s="46">
        <f>SUMIFS('Components Yr 3'!D2:D1111,'Components Yr 3'!C2:C1111,A10,'Components Yr 3'!B2:B1111,'Bldgs &amp; Rooms'!B29)</f>
        <v>0</v>
      </c>
      <c r="AD10" s="46">
        <f>SUMIFS('Components Yr 3'!D2:D1111,'Components Yr 3'!C2:C1111,A10,'Components Yr 3'!B2:B1111,'Bldgs &amp; Rooms'!B30)</f>
        <v>0</v>
      </c>
      <c r="AE10" s="46">
        <f>SUMIFS('Components Yr 3'!D2:D1111,'Components Yr 3'!C2:C1111,A10,'Components Yr 3'!B2:B1111,'Bldgs &amp; Rooms'!B31)</f>
        <v>0</v>
      </c>
      <c r="AF10" s="47">
        <f t="shared" si="0"/>
        <v>0</v>
      </c>
    </row>
    <row r="11" spans="1:32" x14ac:dyDescent="0.25">
      <c r="A11" s="48" t="s">
        <v>24</v>
      </c>
      <c r="B11" s="49">
        <f>SUMIFS('Components Yr 3'!D2:D1111,'Components Yr 3'!C2:C1111,A11,'Components Yr 3'!B2:B1111,'Bldgs &amp; Rooms'!B2)</f>
        <v>0</v>
      </c>
      <c r="C11" s="49">
        <f>SUMIFS('Components Yr 3'!D2:D1111,'Components Yr 3'!C2:C1111,A11,'Components Yr 3'!B2:B1111,'Bldgs &amp; Rooms'!B3)</f>
        <v>0</v>
      </c>
      <c r="D11" s="49">
        <f>SUMIFS('Components Yr 3'!D2:D1111,'Components Yr 3'!C2:C1111,A11,'Components Yr 3'!B2:B1111,'Bldgs &amp; Rooms'!B4)</f>
        <v>0</v>
      </c>
      <c r="E11" s="49">
        <f>SUMIFS('Components Yr 3'!D2:D1111,'Components Yr 3'!C2:C1111,A11,'Components Yr 3'!B2:B1111,'Bldgs &amp; Rooms'!B5)</f>
        <v>0</v>
      </c>
      <c r="F11" s="49">
        <f>SUMIFS('Components Yr 3'!D2:D1111,'Components Yr 3'!C2:C1111,A11,'Components Yr 3'!B2:B1111,'Bldgs &amp; Rooms'!B6)</f>
        <v>0</v>
      </c>
      <c r="G11" s="49">
        <f>SUMIFS('Components Yr 3'!D2:D1111,'Components Yr 3'!C2:C1111,A11,'Components Yr 3'!B2:B1111,'Bldgs &amp; Rooms'!B7)</f>
        <v>0</v>
      </c>
      <c r="H11" s="49">
        <f>SUMIFS('Components Yr 3'!D2:D1111,'Components Yr 3'!C2:C1111,A11,'Components Yr 3'!B2:B1111,'Bldgs &amp; Rooms'!B8)</f>
        <v>0</v>
      </c>
      <c r="I11" s="49">
        <f>SUMIFS('Components Yr 3'!D2:D1111,'Components Yr 3'!C2:C1111,A11,'Components Yr 3'!B2:B1111,'Bldgs &amp; Rooms'!B9)</f>
        <v>0</v>
      </c>
      <c r="J11" s="49">
        <f>SUMIFS('Components Yr 3'!D2:D1111,'Components Yr 3'!C2:C1111,A11,'Components Yr 3'!B2:B1111,'Bldgs &amp; Rooms'!B10)</f>
        <v>0</v>
      </c>
      <c r="K11" s="49">
        <f>SUMIFS('Components Yr 3'!D2:D1111,'Components Yr 3'!C2:C1111,A11,'Components Yr 3'!B2:B1111,'Bldgs &amp; Rooms'!B11)</f>
        <v>0</v>
      </c>
      <c r="L11" s="49">
        <f>SUMIFS('Components Yr 3'!D2:D1111,'Components Yr 3'!C2:C1111,A11,'Components Yr 3'!B2:B1111,'Bldgs &amp; Rooms'!B12)</f>
        <v>0</v>
      </c>
      <c r="M11" s="49">
        <f>SUMIFS('Components Yr 3'!D2:D1111,'Components Yr 3'!C2:C1111,A11,'Components Yr 3'!B2:B1111,'Bldgs &amp; Rooms'!B13)</f>
        <v>0</v>
      </c>
      <c r="N11" s="49">
        <f>SUMIFS('Components Yr 3'!D2:D1111,'Components Yr 3'!C2:C1111,A11,'Components Yr 3'!B2:B1111,'Bldgs &amp; Rooms'!B14)</f>
        <v>0</v>
      </c>
      <c r="O11" s="49">
        <f>SUMIFS('Components Yr 3'!D2:D1111,'Components Yr 3'!C2:C1111,A11,'Components Yr 3'!B2:B1111,'Bldgs &amp; Rooms'!B15)</f>
        <v>0</v>
      </c>
      <c r="P11" s="49">
        <f>SUMIFS('Components Yr 3'!D2:D1111,'Components Yr 3'!C2:C1111,A11,'Components Yr 3'!B2:B1111,'Bldgs &amp; Rooms'!B16)</f>
        <v>0</v>
      </c>
      <c r="Q11" s="49">
        <f>SUMIFS('Components Yr 3'!D2:D1111,'Components Yr 3'!C2:C1111,A11,'Components Yr 3'!B2:B1111,'Bldgs &amp; Rooms'!B17)</f>
        <v>0</v>
      </c>
      <c r="R11" s="49">
        <f>SUMIFS('Components Yr 3'!D2:D1111,'Components Yr 3'!C2:C1111,A11,'Components Yr 3'!B2:B1111,'Bldgs &amp; Rooms'!B18)</f>
        <v>0</v>
      </c>
      <c r="S11" s="49">
        <f>SUMIFS('Components Yr 3'!D2:D1111,'Components Yr 3'!C2:C1111,A11,'Components Yr 3'!B2:B1111,'Bldgs &amp; Rooms'!B19)</f>
        <v>0</v>
      </c>
      <c r="T11" s="49">
        <f>SUMIFS('Components Yr 3'!D2:D1111,'Components Yr 3'!C2:C1111,A11,'Components Yr 3'!B2:B1111,'Bldgs &amp; Rooms'!B20)</f>
        <v>0</v>
      </c>
      <c r="U11" s="49">
        <f>SUMIFS('Components Yr 3'!D2:D1111,'Components Yr 3'!C2:C1111,A11,'Components Yr 3'!B2:B1111,'Bldgs &amp; Rooms'!B21)</f>
        <v>0</v>
      </c>
      <c r="V11" s="49">
        <f>SUMIFS('Components Yr 3'!D2:D1111,'Components Yr 3'!C2:C1111,A11,'Components Yr 3'!B2:B1111,'Bldgs &amp; Rooms'!B22)</f>
        <v>0</v>
      </c>
      <c r="W11" s="49">
        <f>SUMIFS('Components Yr 3'!D2:D1111,'Components Yr 3'!C2:C1111,A11,'Components Yr 3'!B2:B1111,'Bldgs &amp; Rooms'!B23)</f>
        <v>0</v>
      </c>
      <c r="X11" s="49">
        <f>SUMIFS('Components Yr 3'!D2:D1111,'Components Yr 3'!C2:C1111,A11,'Components Yr 3'!B2:B1111,'Bldgs &amp; Rooms'!B24)</f>
        <v>0</v>
      </c>
      <c r="Y11" s="49">
        <f>SUMIFS('Components Yr 3'!D2:D1111,'Components Yr 3'!C2:C1111,A11,'Components Yr 3'!B2:B1111,'Bldgs &amp; Rooms'!B25)</f>
        <v>0</v>
      </c>
      <c r="Z11" s="49">
        <f>SUMIFS('Components Yr 3'!D2:D1111,'Components Yr 3'!C2:C1111,A11,'Components Yr 3'!B2:B1111,'Bldgs &amp; Rooms'!B26)</f>
        <v>0</v>
      </c>
      <c r="AA11" s="49">
        <f>SUMIFS('Components Yr 3'!D2:D1111,'Components Yr 3'!C2:C1111,A11,'Components Yr 3'!B2:B1111,'Bldgs &amp; Rooms'!B27)</f>
        <v>0</v>
      </c>
      <c r="AB11" s="49">
        <f>SUMIFS('Components Yr 3'!D2:D1111,'Components Yr 3'!C2:C1111,A11,'Components Yr 3'!B2:B1111,'Bldgs &amp; Rooms'!B28)</f>
        <v>0</v>
      </c>
      <c r="AC11" s="49">
        <f>SUMIFS('Components Yr 3'!D2:D1111,'Components Yr 3'!C2:C1111,A11,'Components Yr 3'!B2:B1111,'Bldgs &amp; Rooms'!B29)</f>
        <v>0</v>
      </c>
      <c r="AD11" s="49">
        <f>SUMIFS('Components Yr 3'!D2:D1111,'Components Yr 3'!C2:C1111,A11,'Components Yr 3'!B2:B1111,'Bldgs &amp; Rooms'!B30)</f>
        <v>0</v>
      </c>
      <c r="AE11" s="49">
        <f>SUMIFS('Components Yr 3'!D2:D1111,'Components Yr 3'!C2:C1111,A11,'Components Yr 3'!B2:B1111,'Bldgs &amp; Rooms'!B31)</f>
        <v>0</v>
      </c>
      <c r="AF11" s="47">
        <f t="shared" si="0"/>
        <v>0</v>
      </c>
    </row>
    <row r="12" spans="1:32" x14ac:dyDescent="0.25">
      <c r="A12" s="45" t="s">
        <v>25</v>
      </c>
      <c r="B12" s="46">
        <f>SUMIFS('Components Yr 3'!D2:D1111,'Components Yr 3'!C2:C1111,A12,'Components Yr 3'!B2:B1111,'Bldgs &amp; Rooms'!B2)</f>
        <v>0</v>
      </c>
      <c r="C12" s="46">
        <f>SUMIFS('Components Yr 3'!D2:D1111,'Components Yr 3'!C2:C1111,A12,'Components Yr 3'!B2:B1111,'Bldgs &amp; Rooms'!B3)</f>
        <v>0</v>
      </c>
      <c r="D12" s="46">
        <f>SUMIFS('Components Yr 3'!D2:D1111,'Components Yr 3'!C2:C1111,A12,'Components Yr 3'!B2:B1111,'Bldgs &amp; Rooms'!B4)</f>
        <v>0</v>
      </c>
      <c r="E12" s="46">
        <f>SUMIFS('Components Yr 3'!D2:D1111,'Components Yr 3'!C2:C1111,A12,'Components Yr 3'!B2:B1111,'Bldgs &amp; Rooms'!B5)</f>
        <v>0</v>
      </c>
      <c r="F12" s="46">
        <f>SUMIFS('Components Yr 3'!D2:D1111,'Components Yr 3'!C2:C1111,A12,'Components Yr 3'!B2:B1111,'Bldgs &amp; Rooms'!B6)</f>
        <v>0</v>
      </c>
      <c r="G12" s="46">
        <f>SUMIFS('Components Yr 3'!D2:D1111,'Components Yr 3'!C2:C1111,A12,'Components Yr 3'!B2:B1111,'Bldgs &amp; Rooms'!B7)</f>
        <v>0</v>
      </c>
      <c r="H12" s="46">
        <f>SUMIFS('Components Yr 3'!D2:D1111,'Components Yr 3'!C2:C1111,A12,'Components Yr 3'!B2:B1111,'Bldgs &amp; Rooms'!B8)</f>
        <v>0</v>
      </c>
      <c r="I12" s="46">
        <f>SUMIFS('Components Yr 3'!D2:D1111,'Components Yr 3'!C2:C1111,A12,'Components Yr 3'!B2:B1111,'Bldgs &amp; Rooms'!B9)</f>
        <v>0</v>
      </c>
      <c r="J12" s="46">
        <f>SUMIFS('Components Yr 3'!D2:D1111,'Components Yr 3'!C2:C1111,A12,'Components Yr 3'!B2:B1111,'Bldgs &amp; Rooms'!B10)</f>
        <v>0</v>
      </c>
      <c r="K12" s="46">
        <f>SUMIFS('Components Yr 3'!D2:D1111,'Components Yr 3'!C2:C1111,A12,'Components Yr 3'!B2:B1111,'Bldgs &amp; Rooms'!B11)</f>
        <v>0</v>
      </c>
      <c r="L12" s="46">
        <f>SUMIFS('Components Yr 3'!D2:D1111,'Components Yr 3'!C2:C1111,A12,'Components Yr 3'!B2:B1111,'Bldgs &amp; Rooms'!B12)</f>
        <v>0</v>
      </c>
      <c r="M12" s="46">
        <f>SUMIFS('Components Yr 3'!D2:D1111,'Components Yr 3'!C2:C1111,A12,'Components Yr 3'!B2:B1111,'Bldgs &amp; Rooms'!B13)</f>
        <v>0</v>
      </c>
      <c r="N12" s="46">
        <f>SUMIFS('Components Yr 3'!D2:D1111,'Components Yr 3'!C2:C1111,A12,'Components Yr 3'!B2:B1111,'Bldgs &amp; Rooms'!B14)</f>
        <v>0</v>
      </c>
      <c r="O12" s="46">
        <f>SUMIFS('Components Yr 3'!D2:D1111,'Components Yr 3'!C2:C1111,A12,'Components Yr 3'!B2:B1111,'Bldgs &amp; Rooms'!B15)</f>
        <v>0</v>
      </c>
      <c r="P12" s="46">
        <f>SUMIFS('Components Yr 3'!D2:D1111,'Components Yr 3'!C2:C1111,A12,'Components Yr 3'!B2:B1111,'Bldgs &amp; Rooms'!B16)</f>
        <v>0</v>
      </c>
      <c r="Q12" s="46">
        <f>SUMIFS('Components Yr 3'!D2:D1111,'Components Yr 3'!C2:C1111,A12,'Components Yr 3'!B2:B1111,'Bldgs &amp; Rooms'!B17)</f>
        <v>0</v>
      </c>
      <c r="R12" s="46">
        <f>SUMIFS('Components Yr 3'!D2:D1111,'Components Yr 3'!C2:C1111,A12,'Components Yr 3'!B2:B1111,'Bldgs &amp; Rooms'!B18)</f>
        <v>0</v>
      </c>
      <c r="S12" s="46">
        <f>SUMIFS('Components Yr 3'!D2:D1111,'Components Yr 3'!C2:C1111,A12,'Components Yr 3'!B2:B1111,'Bldgs &amp; Rooms'!B19)</f>
        <v>0</v>
      </c>
      <c r="T12" s="46">
        <f>SUMIFS('Components Yr 3'!D2:D1111,'Components Yr 3'!C2:C1111,A12,'Components Yr 3'!B2:B1111,'Bldgs &amp; Rooms'!B20)</f>
        <v>0</v>
      </c>
      <c r="U12" s="46">
        <f>SUMIFS('Components Yr 3'!D2:D1111,'Components Yr 3'!C2:C1111,A12,'Components Yr 3'!B2:B1111,'Bldgs &amp; Rooms'!B21)</f>
        <v>0</v>
      </c>
      <c r="V12" s="46">
        <f>SUMIFS('Components Yr 3'!D2:D1111,'Components Yr 3'!C2:C1111,A12,'Components Yr 3'!B2:B1111,'Bldgs &amp; Rooms'!B22)</f>
        <v>0</v>
      </c>
      <c r="W12" s="46">
        <f>SUMIFS('Components Yr 3'!D2:D1111,'Components Yr 3'!C2:C1111,A12,'Components Yr 3'!B2:B1111,'Bldgs &amp; Rooms'!B23)</f>
        <v>0</v>
      </c>
      <c r="X12" s="46">
        <f>SUMIFS('Components Yr 3'!D2:D1111,'Components Yr 3'!C2:C1111,A12,'Components Yr 3'!B2:B1111,'Bldgs &amp; Rooms'!B24)</f>
        <v>0</v>
      </c>
      <c r="Y12" s="46">
        <f>SUMIFS('Components Yr 3'!D2:D1111,'Components Yr 3'!C2:C1111,A12,'Components Yr 3'!B2:B1111,'Bldgs &amp; Rooms'!B25)</f>
        <v>0</v>
      </c>
      <c r="Z12" s="46">
        <f>SUMIFS('Components Yr 3'!D2:D1111,'Components Yr 3'!C2:C1111,A12,'Components Yr 3'!B2:B1111,'Bldgs &amp; Rooms'!B26)</f>
        <v>0</v>
      </c>
      <c r="AA12" s="46">
        <f>SUMIFS('Components Yr 3'!D2:D1111,'Components Yr 3'!C2:C1111,A12,'Components Yr 3'!B2:B1111,'Bldgs &amp; Rooms'!B27)</f>
        <v>0</v>
      </c>
      <c r="AB12" s="46">
        <f>SUMIFS('Components Yr 3'!D2:D1111,'Components Yr 3'!C2:C1111,A12,'Components Yr 3'!B2:B1111,'Bldgs &amp; Rooms'!B28)</f>
        <v>0</v>
      </c>
      <c r="AC12" s="46">
        <f>SUMIFS('Components Yr 3'!D2:D1111,'Components Yr 3'!C2:C1111,A12,'Components Yr 3'!B2:B1111,'Bldgs &amp; Rooms'!B29)</f>
        <v>0</v>
      </c>
      <c r="AD12" s="46">
        <f>SUMIFS('Components Yr 3'!D2:D1111,'Components Yr 3'!C2:C1111,A12,'Components Yr 3'!B2:B1111,'Bldgs &amp; Rooms'!B30)</f>
        <v>0</v>
      </c>
      <c r="AE12" s="46">
        <f>SUMIFS('Components Yr 3'!D2:D1111,'Components Yr 3'!C2:C1111,A12,'Components Yr 3'!B2:B1111,'Bldgs &amp; Rooms'!B31)</f>
        <v>0</v>
      </c>
      <c r="AF12" s="47">
        <f t="shared" si="0"/>
        <v>0</v>
      </c>
    </row>
    <row r="13" spans="1:32" x14ac:dyDescent="0.25">
      <c r="A13" s="48" t="s">
        <v>26</v>
      </c>
      <c r="B13" s="49">
        <f>SUMIFS('Components Yr 3'!D2:D1111,'Components Yr 3'!C2:C1111,A13,'Components Yr 3'!B2:B1111,'Bldgs &amp; Rooms'!B2)</f>
        <v>0</v>
      </c>
      <c r="C13" s="49">
        <f>SUMIFS('Components Yr 3'!D2:D1111,'Components Yr 3'!C2:C1111,A13,'Components Yr 3'!B2:B1111,'Bldgs &amp; Rooms'!B3)</f>
        <v>0</v>
      </c>
      <c r="D13" s="49">
        <f>SUMIFS('Components Yr 3'!D2:D1111,'Components Yr 3'!C2:C1111,A13,'Components Yr 3'!B2:B1111,'Bldgs &amp; Rooms'!B4)</f>
        <v>0</v>
      </c>
      <c r="E13" s="49">
        <f>SUMIFS('Components Yr 3'!D2:D1111,'Components Yr 3'!C2:C1111,A13,'Components Yr 3'!B2:B1111,'Bldgs &amp; Rooms'!B5)</f>
        <v>0</v>
      </c>
      <c r="F13" s="49">
        <f>SUMIFS('Components Yr 3'!D2:D1111,'Components Yr 3'!C2:C1111,A13,'Components Yr 3'!B2:B1111,'Bldgs &amp; Rooms'!B6)</f>
        <v>0</v>
      </c>
      <c r="G13" s="49">
        <f>SUMIFS('Components Yr 3'!D2:D1111,'Components Yr 3'!C2:C1111,A13,'Components Yr 3'!B2:B1111,'Bldgs &amp; Rooms'!B7)</f>
        <v>0</v>
      </c>
      <c r="H13" s="49">
        <f>SUMIFS('Components Yr 3'!D2:D1111,'Components Yr 3'!C2:C1111,A13,'Components Yr 3'!B2:B1111,'Bldgs &amp; Rooms'!B8)</f>
        <v>0</v>
      </c>
      <c r="I13" s="49">
        <f>SUMIFS('Components Yr 3'!D2:D1111,'Components Yr 3'!C2:C1111,A13,'Components Yr 3'!B2:B1111,'Bldgs &amp; Rooms'!B9)</f>
        <v>0</v>
      </c>
      <c r="J13" s="49">
        <f>SUMIFS('Components Yr 3'!D2:D1111,'Components Yr 3'!C2:C1111,A13,'Components Yr 3'!B2:B1111,'Bldgs &amp; Rooms'!B10)</f>
        <v>0</v>
      </c>
      <c r="K13" s="49">
        <f>SUMIFS('Components Yr 3'!D2:D1111,'Components Yr 3'!C2:C1111,A13,'Components Yr 3'!B2:B1111,'Bldgs &amp; Rooms'!B11)</f>
        <v>0</v>
      </c>
      <c r="L13" s="49">
        <f>SUMIFS('Components Yr 3'!D2:D1111,'Components Yr 3'!C2:C1111,A13,'Components Yr 3'!B2:B1111,'Bldgs &amp; Rooms'!B12)</f>
        <v>0</v>
      </c>
      <c r="M13" s="49">
        <f>SUMIFS('Components Yr 3'!D2:D1111,'Components Yr 3'!C2:C1111,A13,'Components Yr 3'!B2:B1111,'Bldgs &amp; Rooms'!B13)</f>
        <v>0</v>
      </c>
      <c r="N13" s="49">
        <f>SUMIFS('Components Yr 3'!D2:D1111,'Components Yr 3'!C2:C1111,A13,'Components Yr 3'!B2:B1111,'Bldgs &amp; Rooms'!B14)</f>
        <v>0</v>
      </c>
      <c r="O13" s="49">
        <f>SUMIFS('Components Yr 3'!D2:D1111,'Components Yr 3'!C2:C1111,A13,'Components Yr 3'!B2:B1111,'Bldgs &amp; Rooms'!B15)</f>
        <v>0</v>
      </c>
      <c r="P13" s="49">
        <f>SUMIFS('Components Yr 3'!D2:D1111,'Components Yr 3'!C2:C1111,A13,'Components Yr 3'!B2:B1111,'Bldgs &amp; Rooms'!B16)</f>
        <v>0</v>
      </c>
      <c r="Q13" s="49">
        <f>SUMIFS('Components Yr 3'!D2:D1111,'Components Yr 3'!C2:C1111,A13,'Components Yr 3'!B2:B1111,'Bldgs &amp; Rooms'!B17)</f>
        <v>0</v>
      </c>
      <c r="R13" s="49">
        <f>SUMIFS('Components Yr 3'!D2:D1111,'Components Yr 3'!C2:C1111,A13,'Components Yr 3'!B2:B1111,'Bldgs &amp; Rooms'!B18)</f>
        <v>0</v>
      </c>
      <c r="S13" s="49">
        <f>SUMIFS('Components Yr 3'!D2:D1111,'Components Yr 3'!C2:C1111,A13,'Components Yr 3'!B2:B1111,'Bldgs &amp; Rooms'!B19)</f>
        <v>0</v>
      </c>
      <c r="T13" s="49">
        <f>SUMIFS('Components Yr 3'!D2:D1111,'Components Yr 3'!C2:C1111,A13,'Components Yr 3'!B2:B1111,'Bldgs &amp; Rooms'!B20)</f>
        <v>0</v>
      </c>
      <c r="U13" s="49">
        <f>SUMIFS('Components Yr 3'!D2:D1111,'Components Yr 3'!C2:C1111,A13,'Components Yr 3'!B2:B1111,'Bldgs &amp; Rooms'!B21)</f>
        <v>0</v>
      </c>
      <c r="V13" s="49">
        <f>SUMIFS('Components Yr 3'!D2:D1111,'Components Yr 3'!C2:C1111,A13,'Components Yr 3'!B2:B1111,'Bldgs &amp; Rooms'!B22)</f>
        <v>0</v>
      </c>
      <c r="W13" s="49">
        <f>SUMIFS('Components Yr 3'!D2:D1111,'Components Yr 3'!C2:C1111,A13,'Components Yr 3'!B2:B1111,'Bldgs &amp; Rooms'!B23)</f>
        <v>0</v>
      </c>
      <c r="X13" s="49">
        <f>SUMIFS('Components Yr 3'!D2:D1111,'Components Yr 3'!C2:C1111,A13,'Components Yr 3'!B2:B1111,'Bldgs &amp; Rooms'!B24)</f>
        <v>0</v>
      </c>
      <c r="Y13" s="49">
        <f>SUMIFS('Components Yr 3'!D2:D1111,'Components Yr 3'!C2:C1111,A13,'Components Yr 3'!B2:B1111,'Bldgs &amp; Rooms'!B25)</f>
        <v>0</v>
      </c>
      <c r="Z13" s="49">
        <f>SUMIFS('Components Yr 3'!D2:D1111,'Components Yr 3'!C2:C1111,A13,'Components Yr 3'!B2:B1111,'Bldgs &amp; Rooms'!B26)</f>
        <v>0</v>
      </c>
      <c r="AA13" s="49">
        <f>SUMIFS('Components Yr 3'!D2:D1111,'Components Yr 3'!C2:C1111,A13,'Components Yr 3'!B2:B1111,'Bldgs &amp; Rooms'!B27)</f>
        <v>0</v>
      </c>
      <c r="AB13" s="49">
        <f>SUMIFS('Components Yr 3'!D2:D1111,'Components Yr 3'!C2:C1111,A13,'Components Yr 3'!B2:B1111,'Bldgs &amp; Rooms'!B28)</f>
        <v>0</v>
      </c>
      <c r="AC13" s="49">
        <f>SUMIFS('Components Yr 3'!D2:D1111,'Components Yr 3'!C2:C1111,A13,'Components Yr 3'!B2:B1111,'Bldgs &amp; Rooms'!B29)</f>
        <v>0</v>
      </c>
      <c r="AD13" s="49">
        <f>SUMIFS('Components Yr 3'!D2:D1111,'Components Yr 3'!C2:C1111,A13,'Components Yr 3'!B2:B1111,'Bldgs &amp; Rooms'!B30)</f>
        <v>0</v>
      </c>
      <c r="AE13" s="49">
        <f>SUMIFS('Components Yr 3'!D2:D1111,'Components Yr 3'!C2:C1111,A13,'Components Yr 3'!B2:B1111,'Bldgs &amp; Rooms'!B31)</f>
        <v>0</v>
      </c>
      <c r="AF13" s="47">
        <f t="shared" si="0"/>
        <v>0</v>
      </c>
    </row>
    <row r="14" spans="1:32" x14ac:dyDescent="0.25">
      <c r="A14" s="45" t="s">
        <v>27</v>
      </c>
      <c r="B14" s="46">
        <f>SUMIFS('Components Yr 3'!D2:D1111,'Components Yr 3'!C2:C1111,A14,'Components Yr 3'!B2:B1111,'Bldgs &amp; Rooms'!B2)</f>
        <v>0</v>
      </c>
      <c r="C14" s="46">
        <f>SUMIFS('Components Yr 3'!D2:D1111,'Components Yr 3'!C2:C1111,A14,'Components Yr 3'!B2:B1111,'Bldgs &amp; Rooms'!B3)</f>
        <v>0</v>
      </c>
      <c r="D14" s="46">
        <f>SUMIFS('Components Yr 3'!D2:D1111,'Components Yr 3'!C2:C1111,A14,'Components Yr 3'!B2:B1111,'Bldgs &amp; Rooms'!B4)</f>
        <v>0</v>
      </c>
      <c r="E14" s="46">
        <f>SUMIFS('Components Yr 3'!D2:D1111,'Components Yr 3'!C2:C1111,A14,'Components Yr 3'!B2:B1111,'Bldgs &amp; Rooms'!B5)</f>
        <v>0</v>
      </c>
      <c r="F14" s="46">
        <f>SUMIFS('Components Yr 3'!D2:D1111,'Components Yr 3'!C2:C1111,A14,'Components Yr 3'!B2:B1111,'Bldgs &amp; Rooms'!B6)</f>
        <v>0</v>
      </c>
      <c r="G14" s="46">
        <f>SUMIFS('Components Yr 3'!D2:D1111,'Components Yr 3'!C2:C1111,A14,'Components Yr 3'!B2:B1111,'Bldgs &amp; Rooms'!B7)</f>
        <v>0</v>
      </c>
      <c r="H14" s="46">
        <f>SUMIFS('Components Yr 3'!D2:D1111,'Components Yr 3'!C2:C1111,A14,'Components Yr 3'!B2:B1111,'Bldgs &amp; Rooms'!B8)</f>
        <v>0</v>
      </c>
      <c r="I14" s="46">
        <f>SUMIFS('Components Yr 3'!D2:D1111,'Components Yr 3'!C2:C1111,A14,'Components Yr 3'!B2:B1111,'Bldgs &amp; Rooms'!B9)</f>
        <v>0</v>
      </c>
      <c r="J14" s="46">
        <f>SUMIFS('Components Yr 3'!D2:D1111,'Components Yr 3'!C2:C1111,A14,'Components Yr 3'!B2:B1111,'Bldgs &amp; Rooms'!B10)</f>
        <v>0</v>
      </c>
      <c r="K14" s="46">
        <f>SUMIFS('Components Yr 3'!D2:D1111,'Components Yr 3'!C2:C1111,A14,'Components Yr 3'!B2:B1111,'Bldgs &amp; Rooms'!B11)</f>
        <v>0</v>
      </c>
      <c r="L14" s="46">
        <f>SUMIFS('Components Yr 3'!D2:D1111,'Components Yr 3'!C2:C1111,A14,'Components Yr 3'!B2:B1111,'Bldgs &amp; Rooms'!B12)</f>
        <v>0</v>
      </c>
      <c r="M14" s="46">
        <f>SUMIFS('Components Yr 3'!D2:D1111,'Components Yr 3'!C2:C1111,A14,'Components Yr 3'!B2:B1111,'Bldgs &amp; Rooms'!B13)</f>
        <v>0</v>
      </c>
      <c r="N14" s="46">
        <f>SUMIFS('Components Yr 3'!D2:D1111,'Components Yr 3'!C2:C1111,A14,'Components Yr 3'!B2:B1111,'Bldgs &amp; Rooms'!B14)</f>
        <v>0</v>
      </c>
      <c r="O14" s="46">
        <f>SUMIFS('Components Yr 3'!D2:D1111,'Components Yr 3'!C2:C1111,A14,'Components Yr 3'!B2:B1111,'Bldgs &amp; Rooms'!B15)</f>
        <v>0</v>
      </c>
      <c r="P14" s="46">
        <f>SUMIFS('Components Yr 3'!D2:D1111,'Components Yr 3'!C2:C1111,A14,'Components Yr 3'!B2:B1111,'Bldgs &amp; Rooms'!B16)</f>
        <v>0</v>
      </c>
      <c r="Q14" s="46">
        <f>SUMIFS('Components Yr 3'!D2:D1111,'Components Yr 3'!C2:C1111,A14,'Components Yr 3'!B2:B1111,'Bldgs &amp; Rooms'!B17)</f>
        <v>0</v>
      </c>
      <c r="R14" s="46">
        <f>SUMIFS('Components Yr 3'!D2:D1111,'Components Yr 3'!C2:C1111,A14,'Components Yr 3'!B2:B1111,'Bldgs &amp; Rooms'!B18)</f>
        <v>0</v>
      </c>
      <c r="S14" s="46">
        <f>SUMIFS('Components Yr 3'!D2:D1111,'Components Yr 3'!C2:C1111,A14,'Components Yr 3'!B2:B1111,'Bldgs &amp; Rooms'!B19)</f>
        <v>0</v>
      </c>
      <c r="T14" s="46">
        <f>SUMIFS('Components Yr 3'!D2:D1111,'Components Yr 3'!C2:C1111,A14,'Components Yr 3'!B2:B1111,'Bldgs &amp; Rooms'!B20)</f>
        <v>0</v>
      </c>
      <c r="U14" s="46">
        <f>SUMIFS('Components Yr 3'!D2:D1111,'Components Yr 3'!C2:C1111,A14,'Components Yr 3'!B2:B1111,'Bldgs &amp; Rooms'!B21)</f>
        <v>0</v>
      </c>
      <c r="V14" s="46">
        <f>SUMIFS('Components Yr 3'!D2:D1111,'Components Yr 3'!C2:C1111,A14,'Components Yr 3'!B2:B1111,'Bldgs &amp; Rooms'!B22)</f>
        <v>0</v>
      </c>
      <c r="W14" s="46">
        <f>SUMIFS('Components Yr 3'!D2:D1111,'Components Yr 3'!C2:C1111,A14,'Components Yr 3'!B2:B1111,'Bldgs &amp; Rooms'!B23)</f>
        <v>0</v>
      </c>
      <c r="X14" s="46">
        <f>SUMIFS('Components Yr 3'!D2:D1111,'Components Yr 3'!C2:C1111,A14,'Components Yr 3'!B2:B1111,'Bldgs &amp; Rooms'!B24)</f>
        <v>0</v>
      </c>
      <c r="Y14" s="46">
        <f>SUMIFS('Components Yr 3'!D2:D1111,'Components Yr 3'!C2:C1111,A14,'Components Yr 3'!B2:B1111,'Bldgs &amp; Rooms'!B25)</f>
        <v>0</v>
      </c>
      <c r="Z14" s="46">
        <f>SUMIFS('Components Yr 3'!D2:D1111,'Components Yr 3'!C2:C1111,A14,'Components Yr 3'!B2:B1111,'Bldgs &amp; Rooms'!B26)</f>
        <v>0</v>
      </c>
      <c r="AA14" s="46">
        <f>SUMIFS('Components Yr 3'!D2:D1111,'Components Yr 3'!C2:C1111,A14,'Components Yr 3'!B2:B1111,'Bldgs &amp; Rooms'!B27)</f>
        <v>0</v>
      </c>
      <c r="AB14" s="46">
        <f>SUMIFS('Components Yr 3'!D2:D1111,'Components Yr 3'!C2:C1111,A14,'Components Yr 3'!B2:B1111,'Bldgs &amp; Rooms'!B28)</f>
        <v>0</v>
      </c>
      <c r="AC14" s="46">
        <f>SUMIFS('Components Yr 3'!D2:D1111,'Components Yr 3'!C2:C1111,A14,'Components Yr 3'!B2:B1111,'Bldgs &amp; Rooms'!B29)</f>
        <v>0</v>
      </c>
      <c r="AD14" s="46">
        <f>SUMIFS('Components Yr 3'!D2:D1111,'Components Yr 3'!C2:C1111,A14,'Components Yr 3'!B2:B1111,'Bldgs &amp; Rooms'!B30)</f>
        <v>0</v>
      </c>
      <c r="AE14" s="46">
        <f>SUMIFS('Components Yr 3'!D2:D1111,'Components Yr 3'!C2:C1111,A14,'Components Yr 3'!B2:B1111,'Bldgs &amp; Rooms'!B31)</f>
        <v>0</v>
      </c>
      <c r="AF14" s="47">
        <f t="shared" si="0"/>
        <v>0</v>
      </c>
    </row>
    <row r="15" spans="1:32" x14ac:dyDescent="0.25">
      <c r="A15" s="48" t="s">
        <v>28</v>
      </c>
      <c r="B15" s="49">
        <f>SUMIFS('Components Yr 3'!D2:D1111,'Components Yr 3'!C2:C1111,A15,'Components Yr 3'!B2:B1111,'Bldgs &amp; Rooms'!B2)</f>
        <v>0</v>
      </c>
      <c r="C15" s="49">
        <f>SUMIFS('Components Yr 3'!D2:D1111,'Components Yr 3'!C2:C1111,A15,'Components Yr 3'!B2:B1111,'Bldgs &amp; Rooms'!B3)</f>
        <v>0</v>
      </c>
      <c r="D15" s="49">
        <f>SUMIFS('Components Yr 3'!D2:D1111,'Components Yr 3'!C2:C1111,A15,'Components Yr 3'!B2:B1111,'Bldgs &amp; Rooms'!B4)</f>
        <v>0</v>
      </c>
      <c r="E15" s="49">
        <f>SUMIFS('Components Yr 3'!D2:D1111,'Components Yr 3'!C2:C1111,A15,'Components Yr 3'!B2:B1111,'Bldgs &amp; Rooms'!B5)</f>
        <v>0</v>
      </c>
      <c r="F15" s="49">
        <f>SUMIFS('Components Yr 3'!D2:D1111,'Components Yr 3'!C2:C1111,A15,'Components Yr 3'!B2:B1111,'Bldgs &amp; Rooms'!B6)</f>
        <v>0</v>
      </c>
      <c r="G15" s="49">
        <f>SUMIFS('Components Yr 3'!D2:D1111,'Components Yr 3'!C2:C1111,A15,'Components Yr 3'!B2:B1111,'Bldgs &amp; Rooms'!B7)</f>
        <v>0</v>
      </c>
      <c r="H15" s="49">
        <f>SUMIFS('Components Yr 3'!D2:D1111,'Components Yr 3'!C2:C1111,A15,'Components Yr 3'!B2:B1111,'Bldgs &amp; Rooms'!B8)</f>
        <v>0</v>
      </c>
      <c r="I15" s="49">
        <f>SUMIFS('Components Yr 3'!D2:D1111,'Components Yr 3'!C2:C1111,A15,'Components Yr 3'!B2:B1111,'Bldgs &amp; Rooms'!B9)</f>
        <v>0</v>
      </c>
      <c r="J15" s="49">
        <f>SUMIFS('Components Yr 3'!D2:D1111,'Components Yr 3'!C2:C1111,A15,'Components Yr 3'!B2:B1111,'Bldgs &amp; Rooms'!B10)</f>
        <v>0</v>
      </c>
      <c r="K15" s="49">
        <f>SUMIFS('Components Yr 3'!D2:D1111,'Components Yr 3'!C2:C1111,A15,'Components Yr 3'!B2:B1111,'Bldgs &amp; Rooms'!B11)</f>
        <v>0</v>
      </c>
      <c r="L15" s="49">
        <f>SUMIFS('Components Yr 3'!D2:D1111,'Components Yr 3'!C2:C1111,A15,'Components Yr 3'!B2:B1111,'Bldgs &amp; Rooms'!B12)</f>
        <v>0</v>
      </c>
      <c r="M15" s="49">
        <f>SUMIFS('Components Yr 3'!D2:D1111,'Components Yr 3'!C2:C1111,A15,'Components Yr 3'!B2:B1111,'Bldgs &amp; Rooms'!B13)</f>
        <v>0</v>
      </c>
      <c r="N15" s="49">
        <f>SUMIFS('Components Yr 3'!D2:D1111,'Components Yr 3'!C2:C1111,A15,'Components Yr 3'!B2:B1111,'Bldgs &amp; Rooms'!B14)</f>
        <v>0</v>
      </c>
      <c r="O15" s="49">
        <f>SUMIFS('Components Yr 3'!D2:D1111,'Components Yr 3'!C2:C1111,A15,'Components Yr 3'!B2:B1111,'Bldgs &amp; Rooms'!B15)</f>
        <v>0</v>
      </c>
      <c r="P15" s="49">
        <f>SUMIFS('Components Yr 3'!D2:D1111,'Components Yr 3'!C2:C1111,A15,'Components Yr 3'!B2:B1111,'Bldgs &amp; Rooms'!B16)</f>
        <v>0</v>
      </c>
      <c r="Q15" s="49">
        <f>SUMIFS('Components Yr 3'!D2:D1111,'Components Yr 3'!C2:C1111,A15,'Components Yr 3'!B2:B1111,'Bldgs &amp; Rooms'!B17)</f>
        <v>0</v>
      </c>
      <c r="R15" s="49">
        <f>SUMIFS('Components Yr 3'!D2:D1111,'Components Yr 3'!C2:C1111,A15,'Components Yr 3'!B2:B1111,'Bldgs &amp; Rooms'!B18)</f>
        <v>0</v>
      </c>
      <c r="S15" s="49">
        <f>SUMIFS('Components Yr 3'!D2:D1111,'Components Yr 3'!C2:C1111,A15,'Components Yr 3'!B2:B1111,'Bldgs &amp; Rooms'!B19)</f>
        <v>0</v>
      </c>
      <c r="T15" s="49">
        <f>SUMIFS('Components Yr 3'!D2:D1111,'Components Yr 3'!C2:C1111,A15,'Components Yr 3'!B2:B1111,'Bldgs &amp; Rooms'!B20)</f>
        <v>0</v>
      </c>
      <c r="U15" s="49">
        <f>SUMIFS('Components Yr 3'!D2:D1111,'Components Yr 3'!C2:C1111,A15,'Components Yr 3'!B2:B1111,'Bldgs &amp; Rooms'!B21)</f>
        <v>0</v>
      </c>
      <c r="V15" s="49">
        <f>SUMIFS('Components Yr 3'!D2:D1111,'Components Yr 3'!C2:C1111,A15,'Components Yr 3'!B2:B1111,'Bldgs &amp; Rooms'!B22)</f>
        <v>0</v>
      </c>
      <c r="W15" s="49">
        <f>SUMIFS('Components Yr 3'!D2:D1111,'Components Yr 3'!C2:C1111,A15,'Components Yr 3'!B2:B1111,'Bldgs &amp; Rooms'!B23)</f>
        <v>0</v>
      </c>
      <c r="X15" s="49">
        <f>SUMIFS('Components Yr 3'!D2:D1111,'Components Yr 3'!C2:C1111,A15,'Components Yr 3'!B2:B1111,'Bldgs &amp; Rooms'!B24)</f>
        <v>0</v>
      </c>
      <c r="Y15" s="49">
        <f>SUMIFS('Components Yr 3'!D2:D1111,'Components Yr 3'!C2:C1111,A15,'Components Yr 3'!B2:B1111,'Bldgs &amp; Rooms'!B25)</f>
        <v>0</v>
      </c>
      <c r="Z15" s="49">
        <f>SUMIFS('Components Yr 3'!D2:D1111,'Components Yr 3'!C2:C1111,A15,'Components Yr 3'!B2:B1111,'Bldgs &amp; Rooms'!B26)</f>
        <v>0</v>
      </c>
      <c r="AA15" s="49">
        <f>SUMIFS('Components Yr 3'!D2:D1111,'Components Yr 3'!C2:C1111,A15,'Components Yr 3'!B2:B1111,'Bldgs &amp; Rooms'!B27)</f>
        <v>0</v>
      </c>
      <c r="AB15" s="49">
        <f>SUMIFS('Components Yr 3'!D2:D1111,'Components Yr 3'!C2:C1111,A15,'Components Yr 3'!B2:B1111,'Bldgs &amp; Rooms'!B28)</f>
        <v>0</v>
      </c>
      <c r="AC15" s="49">
        <f>SUMIFS('Components Yr 3'!D2:D1111,'Components Yr 3'!C2:C1111,A15,'Components Yr 3'!B2:B1111,'Bldgs &amp; Rooms'!B29)</f>
        <v>0</v>
      </c>
      <c r="AD15" s="49">
        <f>SUMIFS('Components Yr 3'!D2:D1111,'Components Yr 3'!C2:C1111,A15,'Components Yr 3'!B2:B1111,'Bldgs &amp; Rooms'!B30)</f>
        <v>0</v>
      </c>
      <c r="AE15" s="49">
        <f>SUMIFS('Components Yr 3'!D2:D1111,'Components Yr 3'!C2:C1111,A15,'Components Yr 3'!B2:B1111,'Bldgs &amp; Rooms'!B31)</f>
        <v>0</v>
      </c>
      <c r="AF15" s="47">
        <f t="shared" si="0"/>
        <v>0</v>
      </c>
    </row>
    <row r="16" spans="1:32" x14ac:dyDescent="0.25">
      <c r="A16" s="45" t="s">
        <v>29</v>
      </c>
      <c r="B16" s="46">
        <f>SUMIFS('Components Yr 3'!D2:D1111,'Components Yr 3'!C2:C1111,A16,'Components Yr 3'!B2:B1111,'Bldgs &amp; Rooms'!B2)</f>
        <v>0</v>
      </c>
      <c r="C16" s="46">
        <f>SUMIFS('Components Yr 3'!D2:D1111,'Components Yr 3'!C2:C1111,A16,'Components Yr 3'!B2:B1111,'Bldgs &amp; Rooms'!B3)</f>
        <v>0</v>
      </c>
      <c r="D16" s="46">
        <f>SUMIFS('Components Yr 3'!D2:D1111,'Components Yr 3'!C2:C1111,A16,'Components Yr 3'!B2:B1111,'Bldgs &amp; Rooms'!B4)</f>
        <v>0</v>
      </c>
      <c r="E16" s="46">
        <f>SUMIFS('Components Yr 3'!D2:D1111,'Components Yr 3'!C2:C1111,A16,'Components Yr 3'!B2:B1111,'Bldgs &amp; Rooms'!B5)</f>
        <v>0</v>
      </c>
      <c r="F16" s="46">
        <f>SUMIFS('Components Yr 3'!D2:D1111,'Components Yr 3'!C2:C1111,A16,'Components Yr 3'!B2:B1111,'Bldgs &amp; Rooms'!B6)</f>
        <v>0</v>
      </c>
      <c r="G16" s="46">
        <f>SUMIFS('Components Yr 3'!D2:D1111,'Components Yr 3'!C2:C1111,A16,'Components Yr 3'!B2:B1111,'Bldgs &amp; Rooms'!B7)</f>
        <v>0</v>
      </c>
      <c r="H16" s="46">
        <f>SUMIFS('Components Yr 3'!D2:D1111,'Components Yr 3'!C2:C1111,A16,'Components Yr 3'!B2:B1111,'Bldgs &amp; Rooms'!B8)</f>
        <v>0</v>
      </c>
      <c r="I16" s="46">
        <f>SUMIFS('Components Yr 3'!D2:D1111,'Components Yr 3'!C2:C1111,A16,'Components Yr 3'!B2:B1111,'Bldgs &amp; Rooms'!B9)</f>
        <v>0</v>
      </c>
      <c r="J16" s="46">
        <f>SUMIFS('Components Yr 3'!D2:D1111,'Components Yr 3'!C2:C1111,A16,'Components Yr 3'!B2:B1111,'Bldgs &amp; Rooms'!B10)</f>
        <v>0</v>
      </c>
      <c r="K16" s="46">
        <f>SUMIFS('Components Yr 3'!D2:D1111,'Components Yr 3'!C2:C1111,A16,'Components Yr 3'!B2:B1111,'Bldgs &amp; Rooms'!B11)</f>
        <v>0</v>
      </c>
      <c r="L16" s="46">
        <f>SUMIFS('Components Yr 3'!D2:D1111,'Components Yr 3'!C2:C1111,A16,'Components Yr 3'!B2:B1111,'Bldgs &amp; Rooms'!B12)</f>
        <v>0</v>
      </c>
      <c r="M16" s="46">
        <f>SUMIFS('Components Yr 3'!D2:D1111,'Components Yr 3'!C2:C1111,A16,'Components Yr 3'!B2:B1111,'Bldgs &amp; Rooms'!B13)</f>
        <v>0</v>
      </c>
      <c r="N16" s="46">
        <f>SUMIFS('Components Yr 3'!D2:D1111,'Components Yr 3'!C2:C1111,A16,'Components Yr 3'!B2:B1111,'Bldgs &amp; Rooms'!B14)</f>
        <v>0</v>
      </c>
      <c r="O16" s="46">
        <f>SUMIFS('Components Yr 3'!D2:D1111,'Components Yr 3'!C2:C1111,A16,'Components Yr 3'!B2:B1111,'Bldgs &amp; Rooms'!B15)</f>
        <v>0</v>
      </c>
      <c r="P16" s="46">
        <f>SUMIFS('Components Yr 3'!D2:D1111,'Components Yr 3'!C2:C1111,A16,'Components Yr 3'!B2:B1111,'Bldgs &amp; Rooms'!B16)</f>
        <v>0</v>
      </c>
      <c r="Q16" s="46">
        <f>SUMIFS('Components Yr 3'!D2:D1111,'Components Yr 3'!C2:C1111,A16,'Components Yr 3'!B2:B1111,'Bldgs &amp; Rooms'!B17)</f>
        <v>0</v>
      </c>
      <c r="R16" s="46">
        <f>SUMIFS('Components Yr 3'!D2:D1111,'Components Yr 3'!C2:C1111,A16,'Components Yr 3'!B2:B1111,'Bldgs &amp; Rooms'!B18)</f>
        <v>0</v>
      </c>
      <c r="S16" s="46">
        <f>SUMIFS('Components Yr 3'!D2:D1111,'Components Yr 3'!C2:C1111,A16,'Components Yr 3'!B2:B1111,'Bldgs &amp; Rooms'!B19)</f>
        <v>0</v>
      </c>
      <c r="T16" s="46">
        <f>SUMIFS('Components Yr 3'!D2:D1111,'Components Yr 3'!C2:C1111,A16,'Components Yr 3'!B2:B1111,'Bldgs &amp; Rooms'!B20)</f>
        <v>0</v>
      </c>
      <c r="U16" s="46">
        <f>SUMIFS('Components Yr 3'!D2:D1111,'Components Yr 3'!C2:C1111,A16,'Components Yr 3'!B2:B1111,'Bldgs &amp; Rooms'!B21)</f>
        <v>0</v>
      </c>
      <c r="V16" s="46">
        <f>SUMIFS('Components Yr 3'!D2:D1111,'Components Yr 3'!C2:C1111,A16,'Components Yr 3'!B2:B1111,'Bldgs &amp; Rooms'!B22)</f>
        <v>0</v>
      </c>
      <c r="W16" s="46">
        <f>SUMIFS('Components Yr 3'!D2:D1111,'Components Yr 3'!C2:C1111,A16,'Components Yr 3'!B2:B1111,'Bldgs &amp; Rooms'!B23)</f>
        <v>0</v>
      </c>
      <c r="X16" s="46">
        <f>SUMIFS('Components Yr 3'!D2:D1111,'Components Yr 3'!C2:C1111,A16,'Components Yr 3'!B2:B1111,'Bldgs &amp; Rooms'!B24)</f>
        <v>0</v>
      </c>
      <c r="Y16" s="46">
        <f>SUMIFS('Components Yr 3'!D2:D1111,'Components Yr 3'!C2:C1111,A16,'Components Yr 3'!B2:B1111,'Bldgs &amp; Rooms'!B25)</f>
        <v>0</v>
      </c>
      <c r="Z16" s="46">
        <f>SUMIFS('Components Yr 3'!D2:D1111,'Components Yr 3'!C2:C1111,A16,'Components Yr 3'!B2:B1111,'Bldgs &amp; Rooms'!B26)</f>
        <v>0</v>
      </c>
      <c r="AA16" s="46">
        <f>SUMIFS('Components Yr 3'!D2:D1111,'Components Yr 3'!C2:C1111,A16,'Components Yr 3'!B2:B1111,'Bldgs &amp; Rooms'!B27)</f>
        <v>0</v>
      </c>
      <c r="AB16" s="46">
        <f>SUMIFS('Components Yr 3'!D2:D1111,'Components Yr 3'!C2:C1111,A16,'Components Yr 3'!B2:B1111,'Bldgs &amp; Rooms'!B28)</f>
        <v>0</v>
      </c>
      <c r="AC16" s="46">
        <f>SUMIFS('Components Yr 3'!D2:D1111,'Components Yr 3'!C2:C1111,A16,'Components Yr 3'!B2:B1111,'Bldgs &amp; Rooms'!B29)</f>
        <v>0</v>
      </c>
      <c r="AD16" s="46">
        <f>SUMIFS('Components Yr 3'!D2:D1111,'Components Yr 3'!C2:C1111,A16,'Components Yr 3'!B2:B1111,'Bldgs &amp; Rooms'!B30)</f>
        <v>0</v>
      </c>
      <c r="AE16" s="46">
        <f>SUMIFS('Components Yr 3'!D2:D1111,'Components Yr 3'!C2:C1111,A16,'Components Yr 3'!B2:B1111,'Bldgs &amp; Rooms'!B31)</f>
        <v>0</v>
      </c>
      <c r="AF16" s="47">
        <f t="shared" si="0"/>
        <v>0</v>
      </c>
    </row>
    <row r="17" spans="1:32" x14ac:dyDescent="0.25">
      <c r="A17" s="48" t="s">
        <v>30</v>
      </c>
      <c r="B17" s="49">
        <f>SUMIFS('Components Yr 3'!D2:D1111,'Components Yr 3'!C2:C1111,A17,'Components Yr 3'!B2:B1111,'Bldgs &amp; Rooms'!B2)</f>
        <v>0</v>
      </c>
      <c r="C17" s="49">
        <f>SUMIFS('Components Yr 3'!D2:D1111,'Components Yr 3'!C2:C1111,A17,'Components Yr 3'!B2:B1111,'Bldgs &amp; Rooms'!B3)</f>
        <v>0</v>
      </c>
      <c r="D17" s="49">
        <f>SUMIFS('Components Yr 3'!D2:D1111,'Components Yr 3'!C2:C1111,A17,'Components Yr 3'!B2:B1111,'Bldgs &amp; Rooms'!B4)</f>
        <v>0</v>
      </c>
      <c r="E17" s="49">
        <f>SUMIFS('Components Yr 3'!D2:D1111,'Components Yr 3'!C2:C1111,A17,'Components Yr 3'!B2:B1111,'Bldgs &amp; Rooms'!B5)</f>
        <v>0</v>
      </c>
      <c r="F17" s="49">
        <f>SUMIFS('Components Yr 3'!D2:D1111,'Components Yr 3'!C2:C1111,A17,'Components Yr 3'!B2:B1111,'Bldgs &amp; Rooms'!B6)</f>
        <v>0</v>
      </c>
      <c r="G17" s="49">
        <f>SUMIFS('Components Yr 3'!D2:D1111,'Components Yr 3'!C2:C1111,A17,'Components Yr 3'!B2:B1111,'Bldgs &amp; Rooms'!B7)</f>
        <v>0</v>
      </c>
      <c r="H17" s="49">
        <f>SUMIFS('Components Yr 3'!D2:D1111,'Components Yr 3'!C2:C1111,A17,'Components Yr 3'!B2:B1111,'Bldgs &amp; Rooms'!B8)</f>
        <v>0</v>
      </c>
      <c r="I17" s="49">
        <f>SUMIFS('Components Yr 3'!D2:D1111,'Components Yr 3'!C2:C1111,A17,'Components Yr 3'!B2:B1111,'Bldgs &amp; Rooms'!B9)</f>
        <v>0</v>
      </c>
      <c r="J17" s="49">
        <f>SUMIFS('Components Yr 3'!D2:D1111,'Components Yr 3'!C2:C1111,A17,'Components Yr 3'!B2:B1111,'Bldgs &amp; Rooms'!B10)</f>
        <v>0</v>
      </c>
      <c r="K17" s="49">
        <f>SUMIFS('Components Yr 3'!D2:D1111,'Components Yr 3'!C2:C1111,A17,'Components Yr 3'!B2:B1111,'Bldgs &amp; Rooms'!B11)</f>
        <v>0</v>
      </c>
      <c r="L17" s="49">
        <f>SUMIFS('Components Yr 3'!D2:D1111,'Components Yr 3'!C2:C1111,A17,'Components Yr 3'!B2:B1111,'Bldgs &amp; Rooms'!B12)</f>
        <v>0</v>
      </c>
      <c r="M17" s="49">
        <f>SUMIFS('Components Yr 3'!D2:D1111,'Components Yr 3'!C2:C1111,A17,'Components Yr 3'!B2:B1111,'Bldgs &amp; Rooms'!B13)</f>
        <v>0</v>
      </c>
      <c r="N17" s="49">
        <f>SUMIFS('Components Yr 3'!D2:D1111,'Components Yr 3'!C2:C1111,A17,'Components Yr 3'!B2:B1111,'Bldgs &amp; Rooms'!B14)</f>
        <v>0</v>
      </c>
      <c r="O17" s="49">
        <f>SUMIFS('Components Yr 3'!D2:D1111,'Components Yr 3'!C2:C1111,A17,'Components Yr 3'!B2:B1111,'Bldgs &amp; Rooms'!B15)</f>
        <v>0</v>
      </c>
      <c r="P17" s="49">
        <f>SUMIFS('Components Yr 3'!D2:D1111,'Components Yr 3'!C2:C1111,A17,'Components Yr 3'!B2:B1111,'Bldgs &amp; Rooms'!B16)</f>
        <v>0</v>
      </c>
      <c r="Q17" s="49">
        <f>SUMIFS('Components Yr 3'!D2:D1111,'Components Yr 3'!C2:C1111,A17,'Components Yr 3'!B2:B1111,'Bldgs &amp; Rooms'!B17)</f>
        <v>0</v>
      </c>
      <c r="R17" s="49">
        <f>SUMIFS('Components Yr 3'!D2:D1111,'Components Yr 3'!C2:C1111,A17,'Components Yr 3'!B2:B1111,'Bldgs &amp; Rooms'!B18)</f>
        <v>0</v>
      </c>
      <c r="S17" s="49">
        <f>SUMIFS('Components Yr 3'!D2:D1111,'Components Yr 3'!C2:C1111,A17,'Components Yr 3'!B2:B1111,'Bldgs &amp; Rooms'!B19)</f>
        <v>0</v>
      </c>
      <c r="T17" s="49">
        <f>SUMIFS('Components Yr 3'!D2:D1111,'Components Yr 3'!C2:C1111,A17,'Components Yr 3'!B2:B1111,'Bldgs &amp; Rooms'!B20)</f>
        <v>0</v>
      </c>
      <c r="U17" s="49">
        <f>SUMIFS('Components Yr 3'!D2:D1111,'Components Yr 3'!C2:C1111,A17,'Components Yr 3'!B2:B1111,'Bldgs &amp; Rooms'!B21)</f>
        <v>0</v>
      </c>
      <c r="V17" s="49">
        <f>SUMIFS('Components Yr 3'!D2:D1111,'Components Yr 3'!C2:C1111,A17,'Components Yr 3'!B2:B1111,'Bldgs &amp; Rooms'!B22)</f>
        <v>0</v>
      </c>
      <c r="W17" s="49">
        <f>SUMIFS('Components Yr 3'!D2:D1111,'Components Yr 3'!C2:C1111,A17,'Components Yr 3'!B2:B1111,'Bldgs &amp; Rooms'!B23)</f>
        <v>0</v>
      </c>
      <c r="X17" s="49">
        <f>SUMIFS('Components Yr 3'!D2:D1111,'Components Yr 3'!C2:C1111,A17,'Components Yr 3'!B2:B1111,'Bldgs &amp; Rooms'!B24)</f>
        <v>0</v>
      </c>
      <c r="Y17" s="49">
        <f>SUMIFS('Components Yr 3'!D2:D1111,'Components Yr 3'!C2:C1111,A17,'Components Yr 3'!B2:B1111,'Bldgs &amp; Rooms'!B25)</f>
        <v>0</v>
      </c>
      <c r="Z17" s="49">
        <f>SUMIFS('Components Yr 3'!D2:D1111,'Components Yr 3'!C2:C1111,A17,'Components Yr 3'!B2:B1111,'Bldgs &amp; Rooms'!B26)</f>
        <v>0</v>
      </c>
      <c r="AA17" s="49">
        <f>SUMIFS('Components Yr 3'!D2:D1111,'Components Yr 3'!C2:C1111,A17,'Components Yr 3'!B2:B1111,'Bldgs &amp; Rooms'!B27)</f>
        <v>0</v>
      </c>
      <c r="AB17" s="49">
        <f>SUMIFS('Components Yr 3'!D2:D1111,'Components Yr 3'!C2:C1111,A17,'Components Yr 3'!B2:B1111,'Bldgs &amp; Rooms'!B28)</f>
        <v>0</v>
      </c>
      <c r="AC17" s="49">
        <f>SUMIFS('Components Yr 3'!D2:D1111,'Components Yr 3'!C2:C1111,A17,'Components Yr 3'!B2:B1111,'Bldgs &amp; Rooms'!B29)</f>
        <v>0</v>
      </c>
      <c r="AD17" s="49">
        <f>SUMIFS('Components Yr 3'!D2:D1111,'Components Yr 3'!C2:C1111,A17,'Components Yr 3'!B2:B1111,'Bldgs &amp; Rooms'!B30)</f>
        <v>0</v>
      </c>
      <c r="AE17" s="49">
        <f>SUMIFS('Components Yr 3'!D2:D1111,'Components Yr 3'!C2:C1111,A17,'Components Yr 3'!B2:B1111,'Bldgs &amp; Rooms'!B31)</f>
        <v>0</v>
      </c>
      <c r="AF17" s="47">
        <f t="shared" si="0"/>
        <v>0</v>
      </c>
    </row>
    <row r="18" spans="1:32" x14ac:dyDescent="0.25">
      <c r="A18" s="45" t="s">
        <v>31</v>
      </c>
      <c r="B18" s="46">
        <f>SUMIFS('Components Yr 3'!D2:D1111,'Components Yr 3'!C2:C1111,A18,'Components Yr 3'!B2:B1111,'Bldgs &amp; Rooms'!B2)</f>
        <v>0</v>
      </c>
      <c r="C18" s="46">
        <f>SUMIFS('Components Yr 3'!D2:D1111,'Components Yr 3'!C2:C1111,A18,'Components Yr 3'!B2:B1111,'Bldgs &amp; Rooms'!B3)</f>
        <v>0</v>
      </c>
      <c r="D18" s="46">
        <f>SUMIFS('Components Yr 3'!D2:D1111,'Components Yr 3'!C2:C1111,A18,'Components Yr 3'!B2:B1111,'Bldgs &amp; Rooms'!B4)</f>
        <v>0</v>
      </c>
      <c r="E18" s="46">
        <f>SUMIFS('Components Yr 3'!D2:D1111,'Components Yr 3'!C2:C1111,A18,'Components Yr 3'!B2:B1111,'Bldgs &amp; Rooms'!B5)</f>
        <v>0</v>
      </c>
      <c r="F18" s="46">
        <f>SUMIFS('Components Yr 3'!D2:D1111,'Components Yr 3'!C2:C1111,A18,'Components Yr 3'!B2:B1111,'Bldgs &amp; Rooms'!B6)</f>
        <v>0</v>
      </c>
      <c r="G18" s="46">
        <f>SUMIFS('Components Yr 3'!D2:D1111,'Components Yr 3'!C2:C1111,A18,'Components Yr 3'!B2:B1111,'Bldgs &amp; Rooms'!B7)</f>
        <v>0</v>
      </c>
      <c r="H18" s="46">
        <f>SUMIFS('Components Yr 3'!D2:D1111,'Components Yr 3'!C2:C1111,A18,'Components Yr 3'!B2:B1111,'Bldgs &amp; Rooms'!B8)</f>
        <v>0</v>
      </c>
      <c r="I18" s="46">
        <f>SUMIFS('Components Yr 3'!D2:D1111,'Components Yr 3'!C2:C1111,A18,'Components Yr 3'!B2:B1111,'Bldgs &amp; Rooms'!B9)</f>
        <v>0</v>
      </c>
      <c r="J18" s="46">
        <f>SUMIFS('Components Yr 3'!D2:D1111,'Components Yr 3'!C2:C1111,A18,'Components Yr 3'!B2:B1111,'Bldgs &amp; Rooms'!B10)</f>
        <v>0</v>
      </c>
      <c r="K18" s="46">
        <f>SUMIFS('Components Yr 3'!D2:D1111,'Components Yr 3'!C2:C1111,A18,'Components Yr 3'!B2:B1111,'Bldgs &amp; Rooms'!B11)</f>
        <v>0</v>
      </c>
      <c r="L18" s="46">
        <f>SUMIFS('Components Yr 3'!D2:D1111,'Components Yr 3'!C2:C1111,A18,'Components Yr 3'!B2:B1111,'Bldgs &amp; Rooms'!B12)</f>
        <v>0</v>
      </c>
      <c r="M18" s="46">
        <f>SUMIFS('Components Yr 3'!D2:D1111,'Components Yr 3'!C2:C1111,A18,'Components Yr 3'!B2:B1111,'Bldgs &amp; Rooms'!B13)</f>
        <v>0</v>
      </c>
      <c r="N18" s="46">
        <f>SUMIFS('Components Yr 3'!D2:D1111,'Components Yr 3'!C2:C1111,A18,'Components Yr 3'!B2:B1111,'Bldgs &amp; Rooms'!B14)</f>
        <v>0</v>
      </c>
      <c r="O18" s="46">
        <f>SUMIFS('Components Yr 3'!D2:D1111,'Components Yr 3'!C2:C1111,A18,'Components Yr 3'!B2:B1111,'Bldgs &amp; Rooms'!B15)</f>
        <v>0</v>
      </c>
      <c r="P18" s="46">
        <f>SUMIFS('Components Yr 3'!D2:D1111,'Components Yr 3'!C2:C1111,A18,'Components Yr 3'!B2:B1111,'Bldgs &amp; Rooms'!B16)</f>
        <v>0</v>
      </c>
      <c r="Q18" s="46">
        <f>SUMIFS('Components Yr 3'!D2:D1111,'Components Yr 3'!C2:C1111,A18,'Components Yr 3'!B2:B1111,'Bldgs &amp; Rooms'!B17)</f>
        <v>0</v>
      </c>
      <c r="R18" s="46">
        <f>SUMIFS('Components Yr 3'!D2:D1111,'Components Yr 3'!C2:C1111,A18,'Components Yr 3'!B2:B1111,'Bldgs &amp; Rooms'!B18)</f>
        <v>0</v>
      </c>
      <c r="S18" s="46">
        <f>SUMIFS('Components Yr 3'!D2:D1111,'Components Yr 3'!C2:C1111,A18,'Components Yr 3'!B2:B1111,'Bldgs &amp; Rooms'!B19)</f>
        <v>0</v>
      </c>
      <c r="T18" s="46">
        <f>SUMIFS('Components Yr 3'!D2:D1111,'Components Yr 3'!C2:C1111,A18,'Components Yr 3'!B2:B1111,'Bldgs &amp; Rooms'!B20)</f>
        <v>0</v>
      </c>
      <c r="U18" s="46">
        <f>SUMIFS('Components Yr 3'!D2:D1111,'Components Yr 3'!C2:C1111,A18,'Components Yr 3'!B2:B1111,'Bldgs &amp; Rooms'!B21)</f>
        <v>0</v>
      </c>
      <c r="V18" s="46">
        <f>SUMIFS('Components Yr 3'!D2:D1111,'Components Yr 3'!C2:C1111,A18,'Components Yr 3'!B2:B1111,'Bldgs &amp; Rooms'!B22)</f>
        <v>0</v>
      </c>
      <c r="W18" s="46">
        <f>SUMIFS('Components Yr 3'!D2:D1111,'Components Yr 3'!C2:C1111,A18,'Components Yr 3'!B2:B1111,'Bldgs &amp; Rooms'!B23)</f>
        <v>0</v>
      </c>
      <c r="X18" s="46">
        <f>SUMIFS('Components Yr 3'!D2:D1111,'Components Yr 3'!C2:C1111,A18,'Components Yr 3'!B2:B1111,'Bldgs &amp; Rooms'!B24)</f>
        <v>0</v>
      </c>
      <c r="Y18" s="46">
        <f>SUMIFS('Components Yr 3'!D2:D1111,'Components Yr 3'!C2:C1111,A18,'Components Yr 3'!B2:B1111,'Bldgs &amp; Rooms'!B25)</f>
        <v>0</v>
      </c>
      <c r="Z18" s="46">
        <f>SUMIFS('Components Yr 3'!D2:D1111,'Components Yr 3'!C2:C1111,A18,'Components Yr 3'!B2:B1111,'Bldgs &amp; Rooms'!B26)</f>
        <v>0</v>
      </c>
      <c r="AA18" s="46">
        <f>SUMIFS('Components Yr 3'!D2:D1111,'Components Yr 3'!C2:C1111,A18,'Components Yr 3'!B2:B1111,'Bldgs &amp; Rooms'!B27)</f>
        <v>0</v>
      </c>
      <c r="AB18" s="46">
        <f>SUMIFS('Components Yr 3'!D2:D1111,'Components Yr 3'!C2:C1111,A18,'Components Yr 3'!B2:B1111,'Bldgs &amp; Rooms'!B28)</f>
        <v>0</v>
      </c>
      <c r="AC18" s="46">
        <f>SUMIFS('Components Yr 3'!D2:D1111,'Components Yr 3'!C2:C1111,A18,'Components Yr 3'!B2:B1111,'Bldgs &amp; Rooms'!B29)</f>
        <v>0</v>
      </c>
      <c r="AD18" s="46">
        <f>SUMIFS('Components Yr 3'!D2:D1111,'Components Yr 3'!C2:C1111,A18,'Components Yr 3'!B2:B1111,'Bldgs &amp; Rooms'!B30)</f>
        <v>0</v>
      </c>
      <c r="AE18" s="46">
        <f>SUMIFS('Components Yr 3'!D2:D1111,'Components Yr 3'!C2:C1111,A18,'Components Yr 3'!B2:B1111,'Bldgs &amp; Rooms'!B31)</f>
        <v>0</v>
      </c>
      <c r="AF18" s="47">
        <f t="shared" si="0"/>
        <v>0</v>
      </c>
    </row>
    <row r="19" spans="1:32" x14ac:dyDescent="0.25">
      <c r="A19" s="48" t="s">
        <v>32</v>
      </c>
      <c r="B19" s="49">
        <f>SUMIFS('Components Yr 3'!D2:D1111,'Components Yr 3'!C2:C1111,A19,'Components Yr 3'!B2:B1111,'Bldgs &amp; Rooms'!B2)</f>
        <v>0</v>
      </c>
      <c r="C19" s="49">
        <f>SUMIFS('Components Yr 3'!D2:D1111,'Components Yr 3'!C2:C1111,A19,'Components Yr 3'!B2:B1111,'Bldgs &amp; Rooms'!B3)</f>
        <v>0</v>
      </c>
      <c r="D19" s="49">
        <f>SUMIFS('Components Yr 3'!D2:D1111,'Components Yr 3'!C2:C1111,A19,'Components Yr 3'!B2:B1111,'Bldgs &amp; Rooms'!B4)</f>
        <v>0</v>
      </c>
      <c r="E19" s="49">
        <f>SUMIFS('Components Yr 3'!D2:D1111,'Components Yr 3'!C2:C1111,A19,'Components Yr 3'!B2:B1111,'Bldgs &amp; Rooms'!B5)</f>
        <v>0</v>
      </c>
      <c r="F19" s="49">
        <f>SUMIFS('Components Yr 3'!D2:D1111,'Components Yr 3'!C2:C1111,A19,'Components Yr 3'!B2:B1111,'Bldgs &amp; Rooms'!B6)</f>
        <v>0</v>
      </c>
      <c r="G19" s="49">
        <f>SUMIFS('Components Yr 3'!D2:D1111,'Components Yr 3'!C2:C1111,A19,'Components Yr 3'!B2:B1111,'Bldgs &amp; Rooms'!B7)</f>
        <v>0</v>
      </c>
      <c r="H19" s="49">
        <f>SUMIFS('Components Yr 3'!D2:D1111,'Components Yr 3'!C2:C1111,A19,'Components Yr 3'!B2:B1111,'Bldgs &amp; Rooms'!B8)</f>
        <v>0</v>
      </c>
      <c r="I19" s="49">
        <f>SUMIFS('Components Yr 3'!D2:D1111,'Components Yr 3'!C2:C1111,A19,'Components Yr 3'!B2:B1111,'Bldgs &amp; Rooms'!B9)</f>
        <v>0</v>
      </c>
      <c r="J19" s="49">
        <f>SUMIFS('Components Yr 3'!D2:D1111,'Components Yr 3'!C2:C1111,A19,'Components Yr 3'!B2:B1111,'Bldgs &amp; Rooms'!B10)</f>
        <v>0</v>
      </c>
      <c r="K19" s="49">
        <f>SUMIFS('Components Yr 3'!D2:D1111,'Components Yr 3'!C2:C1111,A19,'Components Yr 3'!B2:B1111,'Bldgs &amp; Rooms'!B11)</f>
        <v>0</v>
      </c>
      <c r="L19" s="49">
        <f>SUMIFS('Components Yr 3'!D2:D1111,'Components Yr 3'!C2:C1111,A19,'Components Yr 3'!B2:B1111,'Bldgs &amp; Rooms'!B12)</f>
        <v>0</v>
      </c>
      <c r="M19" s="49">
        <f>SUMIFS('Components Yr 3'!D2:D1111,'Components Yr 3'!C2:C1111,A19,'Components Yr 3'!B2:B1111,'Bldgs &amp; Rooms'!B13)</f>
        <v>0</v>
      </c>
      <c r="N19" s="49">
        <f>SUMIFS('Components Yr 3'!D2:D1111,'Components Yr 3'!C2:C1111,A19,'Components Yr 3'!B2:B1111,'Bldgs &amp; Rooms'!B14)</f>
        <v>0</v>
      </c>
      <c r="O19" s="49">
        <f>SUMIFS('Components Yr 3'!D2:D1111,'Components Yr 3'!C2:C1111,A19,'Components Yr 3'!B2:B1111,'Bldgs &amp; Rooms'!B15)</f>
        <v>0</v>
      </c>
      <c r="P19" s="49">
        <f>SUMIFS('Components Yr 3'!D2:D1111,'Components Yr 3'!C2:C1111,A19,'Components Yr 3'!B2:B1111,'Bldgs &amp; Rooms'!B16)</f>
        <v>0</v>
      </c>
      <c r="Q19" s="49">
        <f>SUMIFS('Components Yr 3'!D2:D1111,'Components Yr 3'!C2:C1111,A19,'Components Yr 3'!B2:B1111,'Bldgs &amp; Rooms'!B17)</f>
        <v>0</v>
      </c>
      <c r="R19" s="49">
        <f>SUMIFS('Components Yr 3'!D2:D1111,'Components Yr 3'!C2:C1111,A19,'Components Yr 3'!B2:B1111,'Bldgs &amp; Rooms'!B18)</f>
        <v>0</v>
      </c>
      <c r="S19" s="49">
        <f>SUMIFS('Components Yr 3'!D2:D1111,'Components Yr 3'!C2:C1111,A19,'Components Yr 3'!B2:B1111,'Bldgs &amp; Rooms'!B19)</f>
        <v>0</v>
      </c>
      <c r="T19" s="49">
        <f>SUMIFS('Components Yr 3'!D2:D1111,'Components Yr 3'!C2:C1111,A19,'Components Yr 3'!B2:B1111,'Bldgs &amp; Rooms'!B20)</f>
        <v>0</v>
      </c>
      <c r="U19" s="49">
        <f>SUMIFS('Components Yr 3'!D2:D1111,'Components Yr 3'!C2:C1111,A19,'Components Yr 3'!B2:B1111,'Bldgs &amp; Rooms'!B21)</f>
        <v>0</v>
      </c>
      <c r="V19" s="49">
        <f>SUMIFS('Components Yr 3'!D2:D1111,'Components Yr 3'!C2:C1111,A19,'Components Yr 3'!B2:B1111,'Bldgs &amp; Rooms'!B22)</f>
        <v>0</v>
      </c>
      <c r="W19" s="49">
        <f>SUMIFS('Components Yr 3'!D2:D1111,'Components Yr 3'!C2:C1111,A19,'Components Yr 3'!B2:B1111,'Bldgs &amp; Rooms'!B23)</f>
        <v>0</v>
      </c>
      <c r="X19" s="49">
        <f>SUMIFS('Components Yr 3'!D2:D1111,'Components Yr 3'!C2:C1111,A19,'Components Yr 3'!B2:B1111,'Bldgs &amp; Rooms'!B24)</f>
        <v>0</v>
      </c>
      <c r="Y19" s="49">
        <f>SUMIFS('Components Yr 3'!D2:D1111,'Components Yr 3'!C2:C1111,A19,'Components Yr 3'!B2:B1111,'Bldgs &amp; Rooms'!B25)</f>
        <v>0</v>
      </c>
      <c r="Z19" s="49">
        <f>SUMIFS('Components Yr 3'!D2:D1111,'Components Yr 3'!C2:C1111,A19,'Components Yr 3'!B2:B1111,'Bldgs &amp; Rooms'!B26)</f>
        <v>0</v>
      </c>
      <c r="AA19" s="49">
        <f>SUMIFS('Components Yr 3'!D2:D1111,'Components Yr 3'!C2:C1111,A19,'Components Yr 3'!B2:B1111,'Bldgs &amp; Rooms'!B27)</f>
        <v>0</v>
      </c>
      <c r="AB19" s="49">
        <f>SUMIFS('Components Yr 3'!D2:D1111,'Components Yr 3'!C2:C1111,A19,'Components Yr 3'!B2:B1111,'Bldgs &amp; Rooms'!B28)</f>
        <v>0</v>
      </c>
      <c r="AC19" s="49">
        <f>SUMIFS('Components Yr 3'!D2:D1111,'Components Yr 3'!C2:C1111,A19,'Components Yr 3'!B2:B1111,'Bldgs &amp; Rooms'!B29)</f>
        <v>0</v>
      </c>
      <c r="AD19" s="49">
        <f>SUMIFS('Components Yr 3'!D2:D1111,'Components Yr 3'!C2:C1111,A19,'Components Yr 3'!B2:B1111,'Bldgs &amp; Rooms'!B30)</f>
        <v>0</v>
      </c>
      <c r="AE19" s="49">
        <f>SUMIFS('Components Yr 3'!D2:D1111,'Components Yr 3'!C2:C1111,A19,'Components Yr 3'!B2:B1111,'Bldgs &amp; Rooms'!B31)</f>
        <v>0</v>
      </c>
      <c r="AF19" s="47">
        <f t="shared" si="0"/>
        <v>0</v>
      </c>
    </row>
    <row r="20" spans="1:32" x14ac:dyDescent="0.25">
      <c r="A20" s="45" t="s">
        <v>33</v>
      </c>
      <c r="B20" s="46">
        <f>SUMIFS('Components Yr 3'!D2:D1111,'Components Yr 3'!C2:C1111,A20,'Components Yr 3'!B2:B1111,'Bldgs &amp; Rooms'!B2)</f>
        <v>0</v>
      </c>
      <c r="C20" s="46">
        <f>SUMIFS('Components Yr 3'!D2:D1111,'Components Yr 3'!C2:C1111,A20,'Components Yr 3'!B2:B1111,'Bldgs &amp; Rooms'!B3)</f>
        <v>0</v>
      </c>
      <c r="D20" s="46">
        <f>SUMIFS('Components Yr 3'!D2:D1111,'Components Yr 3'!C2:C1111,A20,'Components Yr 3'!B2:B1111,'Bldgs &amp; Rooms'!B4)</f>
        <v>0</v>
      </c>
      <c r="E20" s="46">
        <f>SUMIFS('Components Yr 3'!D2:D1111,'Components Yr 3'!C2:C1111,A20,'Components Yr 3'!B2:B1111,'Bldgs &amp; Rooms'!B5)</f>
        <v>0</v>
      </c>
      <c r="F20" s="46">
        <f>SUMIFS('Components Yr 3'!D2:D1111,'Components Yr 3'!C2:C1111,A20,'Components Yr 3'!B2:B1111,'Bldgs &amp; Rooms'!B6)</f>
        <v>0</v>
      </c>
      <c r="G20" s="46">
        <f>SUMIFS('Components Yr 3'!D2:D1111,'Components Yr 3'!C2:C1111,A20,'Components Yr 3'!B2:B1111,'Bldgs &amp; Rooms'!B7)</f>
        <v>0</v>
      </c>
      <c r="H20" s="46">
        <f>SUMIFS('Components Yr 3'!D2:D1111,'Components Yr 3'!C2:C1111,A20,'Components Yr 3'!B2:B1111,'Bldgs &amp; Rooms'!B8)</f>
        <v>0</v>
      </c>
      <c r="I20" s="46">
        <f>SUMIFS('Components Yr 3'!D2:D1111,'Components Yr 3'!C2:C1111,A20,'Components Yr 3'!B2:B1111,'Bldgs &amp; Rooms'!B9)</f>
        <v>0</v>
      </c>
      <c r="J20" s="46">
        <f>SUMIFS('Components Yr 3'!D2:D1111,'Components Yr 3'!C2:C1111,A20,'Components Yr 3'!B2:B1111,'Bldgs &amp; Rooms'!B10)</f>
        <v>0</v>
      </c>
      <c r="K20" s="46">
        <f>SUMIFS('Components Yr 3'!D2:D1111,'Components Yr 3'!C2:C1111,A20,'Components Yr 3'!B2:B1111,'Bldgs &amp; Rooms'!B11)</f>
        <v>0</v>
      </c>
      <c r="L20" s="46">
        <f>SUMIFS('Components Yr 3'!D2:D1111,'Components Yr 3'!C2:C1111,A20,'Components Yr 3'!B2:B1111,'Bldgs &amp; Rooms'!B12)</f>
        <v>0</v>
      </c>
      <c r="M20" s="46">
        <f>SUMIFS('Components Yr 3'!D2:D1111,'Components Yr 3'!C2:C1111,A20,'Components Yr 3'!B2:B1111,'Bldgs &amp; Rooms'!B13)</f>
        <v>0</v>
      </c>
      <c r="N20" s="46">
        <f>SUMIFS('Components Yr 3'!D2:D1111,'Components Yr 3'!C2:C1111,A20,'Components Yr 3'!B2:B1111,'Bldgs &amp; Rooms'!B14)</f>
        <v>0</v>
      </c>
      <c r="O20" s="46">
        <f>SUMIFS('Components Yr 3'!D2:D1111,'Components Yr 3'!C2:C1111,A20,'Components Yr 3'!B2:B1111,'Bldgs &amp; Rooms'!B15)</f>
        <v>0</v>
      </c>
      <c r="P20" s="46">
        <f>SUMIFS('Components Yr 3'!D2:D1111,'Components Yr 3'!C2:C1111,A20,'Components Yr 3'!B2:B1111,'Bldgs &amp; Rooms'!B16)</f>
        <v>0</v>
      </c>
      <c r="Q20" s="46">
        <f>SUMIFS('Components Yr 3'!D2:D1111,'Components Yr 3'!C2:C1111,A20,'Components Yr 3'!B2:B1111,'Bldgs &amp; Rooms'!B17)</f>
        <v>0</v>
      </c>
      <c r="R20" s="46">
        <f>SUMIFS('Components Yr 3'!D2:D1111,'Components Yr 3'!C2:C1111,A20,'Components Yr 3'!B2:B1111,'Bldgs &amp; Rooms'!B18)</f>
        <v>0</v>
      </c>
      <c r="S20" s="46">
        <f>SUMIFS('Components Yr 3'!D2:D1111,'Components Yr 3'!C2:C1111,A20,'Components Yr 3'!B2:B1111,'Bldgs &amp; Rooms'!B19)</f>
        <v>0</v>
      </c>
      <c r="T20" s="46">
        <f>SUMIFS('Components Yr 3'!D2:D1111,'Components Yr 3'!C2:C1111,A20,'Components Yr 3'!B2:B1111,'Bldgs &amp; Rooms'!B20)</f>
        <v>0</v>
      </c>
      <c r="U20" s="46">
        <f>SUMIFS('Components Yr 3'!D2:D1111,'Components Yr 3'!C2:C1111,A20,'Components Yr 3'!B2:B1111,'Bldgs &amp; Rooms'!B21)</f>
        <v>0</v>
      </c>
      <c r="V20" s="46">
        <f>SUMIFS('Components Yr 3'!D2:D1111,'Components Yr 3'!C2:C1111,A20,'Components Yr 3'!B2:B1111,'Bldgs &amp; Rooms'!B22)</f>
        <v>0</v>
      </c>
      <c r="W20" s="46">
        <f>SUMIFS('Components Yr 3'!D2:D1111,'Components Yr 3'!C2:C1111,A20,'Components Yr 3'!B2:B1111,'Bldgs &amp; Rooms'!B23)</f>
        <v>0</v>
      </c>
      <c r="X20" s="46">
        <f>SUMIFS('Components Yr 3'!D2:D1111,'Components Yr 3'!C2:C1111,A20,'Components Yr 3'!B2:B1111,'Bldgs &amp; Rooms'!B24)</f>
        <v>0</v>
      </c>
      <c r="Y20" s="46">
        <f>SUMIFS('Components Yr 3'!D2:D1111,'Components Yr 3'!C2:C1111,A20,'Components Yr 3'!B2:B1111,'Bldgs &amp; Rooms'!B25)</f>
        <v>0</v>
      </c>
      <c r="Z20" s="46">
        <f>SUMIFS('Components Yr 3'!D2:D1111,'Components Yr 3'!C2:C1111,A20,'Components Yr 3'!B2:B1111,'Bldgs &amp; Rooms'!B26)</f>
        <v>0</v>
      </c>
      <c r="AA20" s="46">
        <f>SUMIFS('Components Yr 3'!D2:D1111,'Components Yr 3'!C2:C1111,A20,'Components Yr 3'!B2:B1111,'Bldgs &amp; Rooms'!B27)</f>
        <v>0</v>
      </c>
      <c r="AB20" s="46">
        <f>SUMIFS('Components Yr 3'!D2:D1111,'Components Yr 3'!C2:C1111,A20,'Components Yr 3'!B2:B1111,'Bldgs &amp; Rooms'!B28)</f>
        <v>0</v>
      </c>
      <c r="AC20" s="46">
        <f>SUMIFS('Components Yr 3'!D2:D1111,'Components Yr 3'!C2:C1111,A20,'Components Yr 3'!B2:B1111,'Bldgs &amp; Rooms'!B29)</f>
        <v>0</v>
      </c>
      <c r="AD20" s="46">
        <f>SUMIFS('Components Yr 3'!D2:D1111,'Components Yr 3'!C2:C1111,A20,'Components Yr 3'!B2:B1111,'Bldgs &amp; Rooms'!B30)</f>
        <v>0</v>
      </c>
      <c r="AE20" s="46">
        <f>SUMIFS('Components Yr 3'!D2:D1111,'Components Yr 3'!C2:C1111,A20,'Components Yr 3'!B2:B1111,'Bldgs &amp; Rooms'!B31)</f>
        <v>0</v>
      </c>
      <c r="AF20" s="47">
        <f t="shared" si="0"/>
        <v>0</v>
      </c>
    </row>
    <row r="21" spans="1:32" x14ac:dyDescent="0.25">
      <c r="A21" s="48" t="s">
        <v>34</v>
      </c>
      <c r="B21" s="49">
        <f>SUMIFS('Components Yr 3'!D2:D1111,'Components Yr 3'!C2:C1111,A21,'Components Yr 3'!B2:B1111,'Bldgs &amp; Rooms'!B2)</f>
        <v>0</v>
      </c>
      <c r="C21" s="49">
        <f>SUMIFS('Components Yr 3'!D2:D1111,'Components Yr 3'!C2:C1111,A21,'Components Yr 3'!B2:B1111,'Bldgs &amp; Rooms'!B3)</f>
        <v>0</v>
      </c>
      <c r="D21" s="49">
        <f>SUMIFS('Components Yr 3'!D2:D1111,'Components Yr 3'!C2:C1111,A21,'Components Yr 3'!B2:B1111,'Bldgs &amp; Rooms'!B4)</f>
        <v>0</v>
      </c>
      <c r="E21" s="49">
        <f>SUMIFS('Components Yr 3'!D2:D1111,'Components Yr 3'!C2:C1111,A21,'Components Yr 3'!B2:B1111,'Bldgs &amp; Rooms'!B5)</f>
        <v>0</v>
      </c>
      <c r="F21" s="49">
        <f>SUMIFS('Components Yr 3'!D2:D1111,'Components Yr 3'!C2:C1111,A21,'Components Yr 3'!B2:B1111,'Bldgs &amp; Rooms'!B6)</f>
        <v>0</v>
      </c>
      <c r="G21" s="49">
        <f>SUMIFS('Components Yr 3'!D2:D1111,'Components Yr 3'!C2:C1111,A21,'Components Yr 3'!B2:B1111,'Bldgs &amp; Rooms'!B7)</f>
        <v>0</v>
      </c>
      <c r="H21" s="49">
        <f>SUMIFS('Components Yr 3'!D2:D1111,'Components Yr 3'!C2:C1111,A21,'Components Yr 3'!B2:B1111,'Bldgs &amp; Rooms'!B8)</f>
        <v>0</v>
      </c>
      <c r="I21" s="49">
        <f>SUMIFS('Components Yr 3'!D2:D1111,'Components Yr 3'!C2:C1111,A21,'Components Yr 3'!B2:B1111,'Bldgs &amp; Rooms'!B9)</f>
        <v>0</v>
      </c>
      <c r="J21" s="49">
        <f>SUMIFS('Components Yr 3'!D2:D1111,'Components Yr 3'!C2:C1111,A21,'Components Yr 3'!B2:B1111,'Bldgs &amp; Rooms'!B10)</f>
        <v>0</v>
      </c>
      <c r="K21" s="49">
        <f>SUMIFS('Components Yr 3'!D2:D1111,'Components Yr 3'!C2:C1111,A21,'Components Yr 3'!B2:B1111,'Bldgs &amp; Rooms'!B11)</f>
        <v>0</v>
      </c>
      <c r="L21" s="49">
        <f>SUMIFS('Components Yr 3'!D2:D1111,'Components Yr 3'!C2:C1111,A21,'Components Yr 3'!B2:B1111,'Bldgs &amp; Rooms'!B12)</f>
        <v>0</v>
      </c>
      <c r="M21" s="49">
        <f>SUMIFS('Components Yr 3'!D2:D1111,'Components Yr 3'!C2:C1111,A21,'Components Yr 3'!B2:B1111,'Bldgs &amp; Rooms'!B13)</f>
        <v>0</v>
      </c>
      <c r="N21" s="49">
        <f>SUMIFS('Components Yr 3'!D2:D1111,'Components Yr 3'!C2:C1111,A21,'Components Yr 3'!B2:B1111,'Bldgs &amp; Rooms'!B14)</f>
        <v>0</v>
      </c>
      <c r="O21" s="49">
        <f>SUMIFS('Components Yr 3'!D2:D1111,'Components Yr 3'!C2:C1111,A21,'Components Yr 3'!B2:B1111,'Bldgs &amp; Rooms'!B15)</f>
        <v>0</v>
      </c>
      <c r="P21" s="49">
        <f>SUMIFS('Components Yr 3'!D2:D1111,'Components Yr 3'!C2:C1111,A21,'Components Yr 3'!B2:B1111,'Bldgs &amp; Rooms'!B16)</f>
        <v>0</v>
      </c>
      <c r="Q21" s="49">
        <f>SUMIFS('Components Yr 3'!D2:D1111,'Components Yr 3'!C2:C1111,A21,'Components Yr 3'!B2:B1111,'Bldgs &amp; Rooms'!B17)</f>
        <v>0</v>
      </c>
      <c r="R21" s="49">
        <f>SUMIFS('Components Yr 3'!D2:D1111,'Components Yr 3'!C2:C1111,A21,'Components Yr 3'!B2:B1111,'Bldgs &amp; Rooms'!B18)</f>
        <v>0</v>
      </c>
      <c r="S21" s="49">
        <f>SUMIFS('Components Yr 3'!D2:D1111,'Components Yr 3'!C2:C1111,A21,'Components Yr 3'!B2:B1111,'Bldgs &amp; Rooms'!B19)</f>
        <v>0</v>
      </c>
      <c r="T21" s="49">
        <f>SUMIFS('Components Yr 3'!D2:D1111,'Components Yr 3'!C2:C1111,A21,'Components Yr 3'!B2:B1111,'Bldgs &amp; Rooms'!B20)</f>
        <v>0</v>
      </c>
      <c r="U21" s="49">
        <f>SUMIFS('Components Yr 3'!D2:D1111,'Components Yr 3'!C2:C1111,A21,'Components Yr 3'!B2:B1111,'Bldgs &amp; Rooms'!B21)</f>
        <v>0</v>
      </c>
      <c r="V21" s="49">
        <f>SUMIFS('Components Yr 3'!D2:D1111,'Components Yr 3'!C2:C1111,A21,'Components Yr 3'!B2:B1111,'Bldgs &amp; Rooms'!B22)</f>
        <v>0</v>
      </c>
      <c r="W21" s="49">
        <f>SUMIFS('Components Yr 3'!D2:D1111,'Components Yr 3'!C2:C1111,A21,'Components Yr 3'!B2:B1111,'Bldgs &amp; Rooms'!B23)</f>
        <v>0</v>
      </c>
      <c r="X21" s="49">
        <f>SUMIFS('Components Yr 3'!D2:D1111,'Components Yr 3'!C2:C1111,A21,'Components Yr 3'!B2:B1111,'Bldgs &amp; Rooms'!B24)</f>
        <v>0</v>
      </c>
      <c r="Y21" s="49">
        <f>SUMIFS('Components Yr 3'!D2:D1111,'Components Yr 3'!C2:C1111,A21,'Components Yr 3'!B2:B1111,'Bldgs &amp; Rooms'!B25)</f>
        <v>0</v>
      </c>
      <c r="Z21" s="49">
        <f>SUMIFS('Components Yr 3'!D2:D1111,'Components Yr 3'!C2:C1111,A21,'Components Yr 3'!B2:B1111,'Bldgs &amp; Rooms'!B26)</f>
        <v>0</v>
      </c>
      <c r="AA21" s="49">
        <f>SUMIFS('Components Yr 3'!D2:D1111,'Components Yr 3'!C2:C1111,A21,'Components Yr 3'!B2:B1111,'Bldgs &amp; Rooms'!B27)</f>
        <v>0</v>
      </c>
      <c r="AB21" s="49">
        <f>SUMIFS('Components Yr 3'!D2:D1111,'Components Yr 3'!C2:C1111,A21,'Components Yr 3'!B2:B1111,'Bldgs &amp; Rooms'!B28)</f>
        <v>0</v>
      </c>
      <c r="AC21" s="49">
        <f>SUMIFS('Components Yr 3'!D2:D1111,'Components Yr 3'!C2:C1111,A21,'Components Yr 3'!B2:B1111,'Bldgs &amp; Rooms'!B29)</f>
        <v>0</v>
      </c>
      <c r="AD21" s="49">
        <f>SUMIFS('Components Yr 3'!D2:D1111,'Components Yr 3'!C2:C1111,A21,'Components Yr 3'!B2:B1111,'Bldgs &amp; Rooms'!B30)</f>
        <v>0</v>
      </c>
      <c r="AE21" s="49">
        <f>SUMIFS('Components Yr 3'!D2:D1111,'Components Yr 3'!C2:C1111,A21,'Components Yr 3'!B2:B1111,'Bldgs &amp; Rooms'!B31)</f>
        <v>0</v>
      </c>
      <c r="AF21" s="47">
        <f t="shared" si="0"/>
        <v>0</v>
      </c>
    </row>
    <row r="22" spans="1:32" x14ac:dyDescent="0.25">
      <c r="A22" s="45" t="s">
        <v>35</v>
      </c>
      <c r="B22" s="46">
        <f>SUMIFS('Components Yr 3'!D2:D1111,'Components Yr 3'!C2:C1111,A22,'Components Yr 3'!B2:B1111,'Bldgs &amp; Rooms'!B2)</f>
        <v>0</v>
      </c>
      <c r="C22" s="46">
        <f>SUMIFS('Components Yr 3'!D2:D1111,'Components Yr 3'!C2:C1111,A22,'Components Yr 3'!B2:B1111,'Bldgs &amp; Rooms'!B3)</f>
        <v>0</v>
      </c>
      <c r="D22" s="46">
        <f>SUMIFS('Components Yr 3'!D2:D1111,'Components Yr 3'!C2:C1111,A22,'Components Yr 3'!B2:B1111,'Bldgs &amp; Rooms'!B4)</f>
        <v>0</v>
      </c>
      <c r="E22" s="46">
        <f>SUMIFS('Components Yr 3'!D2:D1111,'Components Yr 3'!C2:C1111,A22,'Components Yr 3'!B2:B1111,'Bldgs &amp; Rooms'!B5)</f>
        <v>0</v>
      </c>
      <c r="F22" s="46">
        <f>SUMIFS('Components Yr 3'!D2:D1111,'Components Yr 3'!C2:C1111,A22,'Components Yr 3'!B2:B1111,'Bldgs &amp; Rooms'!B6)</f>
        <v>0</v>
      </c>
      <c r="G22" s="46">
        <f>SUMIFS('Components Yr 3'!D2:D1111,'Components Yr 3'!C2:C1111,A22,'Components Yr 3'!B2:B1111,'Bldgs &amp; Rooms'!B7)</f>
        <v>0</v>
      </c>
      <c r="H22" s="46">
        <f>SUMIFS('Components Yr 3'!D2:D1111,'Components Yr 3'!C2:C1111,A22,'Components Yr 3'!B2:B1111,'Bldgs &amp; Rooms'!B8)</f>
        <v>0</v>
      </c>
      <c r="I22" s="46">
        <f>SUMIFS('Components Yr 3'!D2:D1111,'Components Yr 3'!C2:C1111,A22,'Components Yr 3'!B2:B1111,'Bldgs &amp; Rooms'!B9)</f>
        <v>0</v>
      </c>
      <c r="J22" s="46">
        <f>SUMIFS('Components Yr 3'!D2:D1111,'Components Yr 3'!C2:C1111,A22,'Components Yr 3'!B2:B1111,'Bldgs &amp; Rooms'!B10)</f>
        <v>0</v>
      </c>
      <c r="K22" s="46">
        <f>SUMIFS('Components Yr 3'!D2:D1111,'Components Yr 3'!C2:C1111,A22,'Components Yr 3'!B2:B1111,'Bldgs &amp; Rooms'!B11)</f>
        <v>0</v>
      </c>
      <c r="L22" s="46">
        <f>SUMIFS('Components Yr 3'!D2:D1111,'Components Yr 3'!C2:C1111,A22,'Components Yr 3'!B2:B1111,'Bldgs &amp; Rooms'!B12)</f>
        <v>0</v>
      </c>
      <c r="M22" s="46">
        <f>SUMIFS('Components Yr 3'!D2:D1111,'Components Yr 3'!C2:C1111,A22,'Components Yr 3'!B2:B1111,'Bldgs &amp; Rooms'!B13)</f>
        <v>0</v>
      </c>
      <c r="N22" s="46">
        <f>SUMIFS('Components Yr 3'!D2:D1111,'Components Yr 3'!C2:C1111,A22,'Components Yr 3'!B2:B1111,'Bldgs &amp; Rooms'!B14)</f>
        <v>0</v>
      </c>
      <c r="O22" s="46">
        <f>SUMIFS('Components Yr 3'!D2:D1111,'Components Yr 3'!C2:C1111,A22,'Components Yr 3'!B2:B1111,'Bldgs &amp; Rooms'!B15)</f>
        <v>0</v>
      </c>
      <c r="P22" s="46">
        <f>SUMIFS('Components Yr 3'!D2:D1111,'Components Yr 3'!C2:C1111,A22,'Components Yr 3'!B2:B1111,'Bldgs &amp; Rooms'!B16)</f>
        <v>0</v>
      </c>
      <c r="Q22" s="46">
        <f>SUMIFS('Components Yr 3'!D2:D1111,'Components Yr 3'!C2:C1111,A22,'Components Yr 3'!B2:B1111,'Bldgs &amp; Rooms'!B17)</f>
        <v>0</v>
      </c>
      <c r="R22" s="46">
        <f>SUMIFS('Components Yr 3'!D2:D1111,'Components Yr 3'!C2:C1111,A22,'Components Yr 3'!B2:B1111,'Bldgs &amp; Rooms'!B18)</f>
        <v>0</v>
      </c>
      <c r="S22" s="46">
        <f>SUMIFS('Components Yr 3'!D2:D1111,'Components Yr 3'!C2:C1111,A22,'Components Yr 3'!B2:B1111,'Bldgs &amp; Rooms'!B19)</f>
        <v>0</v>
      </c>
      <c r="T22" s="46">
        <f>SUMIFS('Components Yr 3'!D2:D1111,'Components Yr 3'!C2:C1111,A22,'Components Yr 3'!B2:B1111,'Bldgs &amp; Rooms'!B20)</f>
        <v>0</v>
      </c>
      <c r="U22" s="46">
        <f>SUMIFS('Components Yr 3'!D2:D1111,'Components Yr 3'!C2:C1111,A22,'Components Yr 3'!B2:B1111,'Bldgs &amp; Rooms'!B21)</f>
        <v>0</v>
      </c>
      <c r="V22" s="46">
        <f>SUMIFS('Components Yr 3'!D2:D1111,'Components Yr 3'!C2:C1111,A22,'Components Yr 3'!B2:B1111,'Bldgs &amp; Rooms'!B22)</f>
        <v>0</v>
      </c>
      <c r="W22" s="46">
        <f>SUMIFS('Components Yr 3'!D2:D1111,'Components Yr 3'!C2:C1111,A22,'Components Yr 3'!B2:B1111,'Bldgs &amp; Rooms'!B23)</f>
        <v>0</v>
      </c>
      <c r="X22" s="46">
        <f>SUMIFS('Components Yr 3'!D2:D1111,'Components Yr 3'!C2:C1111,A22,'Components Yr 3'!B2:B1111,'Bldgs &amp; Rooms'!B24)</f>
        <v>0</v>
      </c>
      <c r="Y22" s="46">
        <f>SUMIFS('Components Yr 3'!D2:D1111,'Components Yr 3'!C2:C1111,A22,'Components Yr 3'!B2:B1111,'Bldgs &amp; Rooms'!B25)</f>
        <v>0</v>
      </c>
      <c r="Z22" s="46">
        <f>SUMIFS('Components Yr 3'!D2:D1111,'Components Yr 3'!C2:C1111,A22,'Components Yr 3'!B2:B1111,'Bldgs &amp; Rooms'!B26)</f>
        <v>0</v>
      </c>
      <c r="AA22" s="46">
        <f>SUMIFS('Components Yr 3'!D2:D1111,'Components Yr 3'!C2:C1111,A22,'Components Yr 3'!B2:B1111,'Bldgs &amp; Rooms'!B27)</f>
        <v>0</v>
      </c>
      <c r="AB22" s="46">
        <f>SUMIFS('Components Yr 3'!D2:D1111,'Components Yr 3'!C2:C1111,A22,'Components Yr 3'!B2:B1111,'Bldgs &amp; Rooms'!B28)</f>
        <v>0</v>
      </c>
      <c r="AC22" s="46">
        <f>SUMIFS('Components Yr 3'!D2:D1111,'Components Yr 3'!C2:C1111,A22,'Components Yr 3'!B2:B1111,'Bldgs &amp; Rooms'!B29)</f>
        <v>0</v>
      </c>
      <c r="AD22" s="46">
        <f>SUMIFS('Components Yr 3'!D2:D1111,'Components Yr 3'!C2:C1111,A22,'Components Yr 3'!B2:B1111,'Bldgs &amp; Rooms'!B30)</f>
        <v>0</v>
      </c>
      <c r="AE22" s="46">
        <f>SUMIFS('Components Yr 3'!D2:D1111,'Components Yr 3'!C2:C1111,A22,'Components Yr 3'!B2:B1111,'Bldgs &amp; Rooms'!B31)</f>
        <v>0</v>
      </c>
      <c r="AF22" s="47">
        <f t="shared" si="0"/>
        <v>0</v>
      </c>
    </row>
    <row r="23" spans="1:32" x14ac:dyDescent="0.25">
      <c r="A23" s="48" t="s">
        <v>36</v>
      </c>
      <c r="B23" s="49">
        <f>SUMIFS('Components Yr 3'!D2:D1111,'Components Yr 3'!C2:C1111,A23,'Components Yr 3'!B2:B1111,'Bldgs &amp; Rooms'!B2)</f>
        <v>0</v>
      </c>
      <c r="C23" s="49">
        <f>SUMIFS('Components Yr 3'!D2:D1111,'Components Yr 3'!C2:C1111,A23,'Components Yr 3'!B2:B1111,'Bldgs &amp; Rooms'!B3)</f>
        <v>0</v>
      </c>
      <c r="D23" s="49">
        <f>SUMIFS('Components Yr 3'!D2:D1111,'Components Yr 3'!C2:C1111,A23,'Components Yr 3'!B2:B1111,'Bldgs &amp; Rooms'!B4)</f>
        <v>0</v>
      </c>
      <c r="E23" s="49">
        <f>SUMIFS('Components Yr 3'!D2:D1111,'Components Yr 3'!C2:C1111,A23,'Components Yr 3'!B2:B1111,'Bldgs &amp; Rooms'!B5)</f>
        <v>0</v>
      </c>
      <c r="F23" s="49">
        <f>SUMIFS('Components Yr 3'!D2:D1111,'Components Yr 3'!C2:C1111,A23,'Components Yr 3'!B2:B1111,'Bldgs &amp; Rooms'!B6)</f>
        <v>0</v>
      </c>
      <c r="G23" s="49">
        <f>SUMIFS('Components Yr 3'!D2:D1111,'Components Yr 3'!C2:C1111,A23,'Components Yr 3'!B2:B1111,'Bldgs &amp; Rooms'!B7)</f>
        <v>0</v>
      </c>
      <c r="H23" s="49">
        <f>SUMIFS('Components Yr 3'!D2:D1111,'Components Yr 3'!C2:C1111,A23,'Components Yr 3'!B2:B1111,'Bldgs &amp; Rooms'!B8)</f>
        <v>0</v>
      </c>
      <c r="I23" s="49">
        <f>SUMIFS('Components Yr 3'!D2:D1111,'Components Yr 3'!C2:C1111,A23,'Components Yr 3'!B2:B1111,'Bldgs &amp; Rooms'!B9)</f>
        <v>0</v>
      </c>
      <c r="J23" s="49">
        <f>SUMIFS('Components Yr 3'!D2:D1111,'Components Yr 3'!C2:C1111,A23,'Components Yr 3'!B2:B1111,'Bldgs &amp; Rooms'!B10)</f>
        <v>0</v>
      </c>
      <c r="K23" s="49">
        <f>SUMIFS('Components Yr 3'!D2:D1111,'Components Yr 3'!C2:C1111,A23,'Components Yr 3'!B2:B1111,'Bldgs &amp; Rooms'!B11)</f>
        <v>0</v>
      </c>
      <c r="L23" s="49">
        <f>SUMIFS('Components Yr 3'!D2:D1111,'Components Yr 3'!C2:C1111,A23,'Components Yr 3'!B2:B1111,'Bldgs &amp; Rooms'!B12)</f>
        <v>0</v>
      </c>
      <c r="M23" s="49">
        <f>SUMIFS('Components Yr 3'!D2:D1111,'Components Yr 3'!C2:C1111,A23,'Components Yr 3'!B2:B1111,'Bldgs &amp; Rooms'!B13)</f>
        <v>0</v>
      </c>
      <c r="N23" s="49">
        <f>SUMIFS('Components Yr 3'!D2:D1111,'Components Yr 3'!C2:C1111,A23,'Components Yr 3'!B2:B1111,'Bldgs &amp; Rooms'!B14)</f>
        <v>0</v>
      </c>
      <c r="O23" s="49">
        <f>SUMIFS('Components Yr 3'!D2:D1111,'Components Yr 3'!C2:C1111,A23,'Components Yr 3'!B2:B1111,'Bldgs &amp; Rooms'!B15)</f>
        <v>0</v>
      </c>
      <c r="P23" s="49">
        <f>SUMIFS('Components Yr 3'!D2:D1111,'Components Yr 3'!C2:C1111,A23,'Components Yr 3'!B2:B1111,'Bldgs &amp; Rooms'!B16)</f>
        <v>0</v>
      </c>
      <c r="Q23" s="49">
        <f>SUMIFS('Components Yr 3'!D2:D1111,'Components Yr 3'!C2:C1111,A23,'Components Yr 3'!B2:B1111,'Bldgs &amp; Rooms'!B17)</f>
        <v>0</v>
      </c>
      <c r="R23" s="49">
        <f>SUMIFS('Components Yr 3'!D2:D1111,'Components Yr 3'!C2:C1111,A23,'Components Yr 3'!B2:B1111,'Bldgs &amp; Rooms'!B18)</f>
        <v>0</v>
      </c>
      <c r="S23" s="49">
        <f>SUMIFS('Components Yr 3'!D2:D1111,'Components Yr 3'!C2:C1111,A23,'Components Yr 3'!B2:B1111,'Bldgs &amp; Rooms'!B19)</f>
        <v>0</v>
      </c>
      <c r="T23" s="49">
        <f>SUMIFS('Components Yr 3'!D2:D1111,'Components Yr 3'!C2:C1111,A23,'Components Yr 3'!B2:B1111,'Bldgs &amp; Rooms'!B20)</f>
        <v>0</v>
      </c>
      <c r="U23" s="49">
        <f>SUMIFS('Components Yr 3'!D2:D1111,'Components Yr 3'!C2:C1111,A23,'Components Yr 3'!B2:B1111,'Bldgs &amp; Rooms'!B21)</f>
        <v>0</v>
      </c>
      <c r="V23" s="49">
        <f>SUMIFS('Components Yr 3'!D2:D1111,'Components Yr 3'!C2:C1111,A23,'Components Yr 3'!B2:B1111,'Bldgs &amp; Rooms'!B22)</f>
        <v>0</v>
      </c>
      <c r="W23" s="49">
        <f>SUMIFS('Components Yr 3'!D2:D1111,'Components Yr 3'!C2:C1111,A23,'Components Yr 3'!B2:B1111,'Bldgs &amp; Rooms'!B23)</f>
        <v>0</v>
      </c>
      <c r="X23" s="49">
        <f>SUMIFS('Components Yr 3'!D2:D1111,'Components Yr 3'!C2:C1111,A23,'Components Yr 3'!B2:B1111,'Bldgs &amp; Rooms'!B24)</f>
        <v>0</v>
      </c>
      <c r="Y23" s="49">
        <f>SUMIFS('Components Yr 3'!D2:D1111,'Components Yr 3'!C2:C1111,A23,'Components Yr 3'!B2:B1111,'Bldgs &amp; Rooms'!B25)</f>
        <v>0</v>
      </c>
      <c r="Z23" s="49">
        <f>SUMIFS('Components Yr 3'!D2:D1111,'Components Yr 3'!C2:C1111,A23,'Components Yr 3'!B2:B1111,'Bldgs &amp; Rooms'!B26)</f>
        <v>0</v>
      </c>
      <c r="AA23" s="49">
        <f>SUMIFS('Components Yr 3'!D2:D1111,'Components Yr 3'!C2:C1111,A23,'Components Yr 3'!B2:B1111,'Bldgs &amp; Rooms'!B27)</f>
        <v>0</v>
      </c>
      <c r="AB23" s="49">
        <f>SUMIFS('Components Yr 3'!D2:D1111,'Components Yr 3'!C2:C1111,A23,'Components Yr 3'!B2:B1111,'Bldgs &amp; Rooms'!B28)</f>
        <v>0</v>
      </c>
      <c r="AC23" s="49">
        <f>SUMIFS('Components Yr 3'!D2:D1111,'Components Yr 3'!C2:C1111,A23,'Components Yr 3'!B2:B1111,'Bldgs &amp; Rooms'!B29)</f>
        <v>0</v>
      </c>
      <c r="AD23" s="49">
        <f>SUMIFS('Components Yr 3'!D2:D1111,'Components Yr 3'!C2:C1111,A23,'Components Yr 3'!B2:B1111,'Bldgs &amp; Rooms'!B30)</f>
        <v>0</v>
      </c>
      <c r="AE23" s="49">
        <f>SUMIFS('Components Yr 3'!D2:D1111,'Components Yr 3'!C2:C1111,A23,'Components Yr 3'!B2:B1111,'Bldgs &amp; Rooms'!B31)</f>
        <v>0</v>
      </c>
      <c r="AF23" s="47">
        <f t="shared" si="0"/>
        <v>0</v>
      </c>
    </row>
    <row r="24" spans="1:32" x14ac:dyDescent="0.25">
      <c r="A24" s="45" t="s">
        <v>37</v>
      </c>
      <c r="B24" s="46">
        <f>SUMIFS('Components Yr 3'!D2:D1111,'Components Yr 3'!C2:C1111,A24,'Components Yr 3'!B2:B1111,'Bldgs &amp; Rooms'!B2)</f>
        <v>0</v>
      </c>
      <c r="C24" s="46">
        <f>SUMIFS('Components Yr 3'!D2:D1111,'Components Yr 3'!C2:C1111,A24,'Components Yr 3'!B2:B1111,'Bldgs &amp; Rooms'!B3)</f>
        <v>0</v>
      </c>
      <c r="D24" s="46">
        <f>SUMIFS('Components Yr 3'!D2:D1111,'Components Yr 3'!C2:C1111,A24,'Components Yr 3'!B2:B1111,'Bldgs &amp; Rooms'!B4)</f>
        <v>0</v>
      </c>
      <c r="E24" s="46">
        <f>SUMIFS('Components Yr 3'!D2:D1111,'Components Yr 3'!C2:C1111,A24,'Components Yr 3'!B2:B1111,'Bldgs &amp; Rooms'!B5)</f>
        <v>0</v>
      </c>
      <c r="F24" s="46">
        <f>SUMIFS('Components Yr 3'!D2:D1111,'Components Yr 3'!C2:C1111,A24,'Components Yr 3'!B2:B1111,'Bldgs &amp; Rooms'!B6)</f>
        <v>0</v>
      </c>
      <c r="G24" s="46">
        <f>SUMIFS('Components Yr 3'!D2:D1111,'Components Yr 3'!C2:C1111,A24,'Components Yr 3'!B2:B1111,'Bldgs &amp; Rooms'!B7)</f>
        <v>0</v>
      </c>
      <c r="H24" s="46">
        <f>SUMIFS('Components Yr 3'!D2:D1111,'Components Yr 3'!C2:C1111,A24,'Components Yr 3'!B2:B1111,'Bldgs &amp; Rooms'!B8)</f>
        <v>0</v>
      </c>
      <c r="I24" s="46">
        <f>SUMIFS('Components Yr 3'!D2:D1111,'Components Yr 3'!C2:C1111,A24,'Components Yr 3'!B2:B1111,'Bldgs &amp; Rooms'!B9)</f>
        <v>0</v>
      </c>
      <c r="J24" s="46">
        <f>SUMIFS('Components Yr 3'!D2:D1111,'Components Yr 3'!C2:C1111,A24,'Components Yr 3'!B2:B1111,'Bldgs &amp; Rooms'!B10)</f>
        <v>0</v>
      </c>
      <c r="K24" s="46">
        <f>SUMIFS('Components Yr 3'!D2:D1111,'Components Yr 3'!C2:C1111,A24,'Components Yr 3'!B2:B1111,'Bldgs &amp; Rooms'!B11)</f>
        <v>0</v>
      </c>
      <c r="L24" s="46">
        <f>SUMIFS('Components Yr 3'!D2:D1111,'Components Yr 3'!C2:C1111,A24,'Components Yr 3'!B2:B1111,'Bldgs &amp; Rooms'!B12)</f>
        <v>0</v>
      </c>
      <c r="M24" s="46">
        <f>SUMIFS('Components Yr 3'!D2:D1111,'Components Yr 3'!C2:C1111,A24,'Components Yr 3'!B2:B1111,'Bldgs &amp; Rooms'!B13)</f>
        <v>0</v>
      </c>
      <c r="N24" s="46">
        <f>SUMIFS('Components Yr 3'!D2:D1111,'Components Yr 3'!C2:C1111,A24,'Components Yr 3'!B2:B1111,'Bldgs &amp; Rooms'!B14)</f>
        <v>0</v>
      </c>
      <c r="O24" s="46">
        <f>SUMIFS('Components Yr 3'!D2:D1111,'Components Yr 3'!C2:C1111,A24,'Components Yr 3'!B2:B1111,'Bldgs &amp; Rooms'!B15)</f>
        <v>0</v>
      </c>
      <c r="P24" s="46">
        <f>SUMIFS('Components Yr 3'!D2:D1111,'Components Yr 3'!C2:C1111,A24,'Components Yr 3'!B2:B1111,'Bldgs &amp; Rooms'!B16)</f>
        <v>0</v>
      </c>
      <c r="Q24" s="46">
        <f>SUMIFS('Components Yr 3'!D2:D1111,'Components Yr 3'!C2:C1111,A24,'Components Yr 3'!B2:B1111,'Bldgs &amp; Rooms'!B17)</f>
        <v>0</v>
      </c>
      <c r="R24" s="46">
        <f>SUMIFS('Components Yr 3'!D2:D1111,'Components Yr 3'!C2:C1111,A24,'Components Yr 3'!B2:B1111,'Bldgs &amp; Rooms'!B18)</f>
        <v>0</v>
      </c>
      <c r="S24" s="46">
        <f>SUMIFS('Components Yr 3'!D2:D1111,'Components Yr 3'!C2:C1111,A24,'Components Yr 3'!B2:B1111,'Bldgs &amp; Rooms'!B19)</f>
        <v>0</v>
      </c>
      <c r="T24" s="46">
        <f>SUMIFS('Components Yr 3'!D2:D1111,'Components Yr 3'!C2:C1111,A24,'Components Yr 3'!B2:B1111,'Bldgs &amp; Rooms'!B20)</f>
        <v>0</v>
      </c>
      <c r="U24" s="46">
        <f>SUMIFS('Components Yr 3'!D2:D1111,'Components Yr 3'!C2:C1111,A24,'Components Yr 3'!B2:B1111,'Bldgs &amp; Rooms'!B21)</f>
        <v>0</v>
      </c>
      <c r="V24" s="46">
        <f>SUMIFS('Components Yr 3'!D2:D1111,'Components Yr 3'!C2:C1111,A24,'Components Yr 3'!B2:B1111,'Bldgs &amp; Rooms'!B22)</f>
        <v>0</v>
      </c>
      <c r="W24" s="46">
        <f>SUMIFS('Components Yr 3'!D2:D1111,'Components Yr 3'!C2:C1111,A24,'Components Yr 3'!B2:B1111,'Bldgs &amp; Rooms'!B23)</f>
        <v>0</v>
      </c>
      <c r="X24" s="46">
        <f>SUMIFS('Components Yr 3'!D2:D1111,'Components Yr 3'!C2:C1111,A24,'Components Yr 3'!B2:B1111,'Bldgs &amp; Rooms'!B24)</f>
        <v>0</v>
      </c>
      <c r="Y24" s="46">
        <f>SUMIFS('Components Yr 3'!D2:D1111,'Components Yr 3'!C2:C1111,A24,'Components Yr 3'!B2:B1111,'Bldgs &amp; Rooms'!B25)</f>
        <v>0</v>
      </c>
      <c r="Z24" s="46">
        <f>SUMIFS('Components Yr 3'!D2:D1111,'Components Yr 3'!C2:C1111,A24,'Components Yr 3'!B2:B1111,'Bldgs &amp; Rooms'!B26)</f>
        <v>0</v>
      </c>
      <c r="AA24" s="46">
        <f>SUMIFS('Components Yr 3'!D2:D1111,'Components Yr 3'!C2:C1111,A24,'Components Yr 3'!B2:B1111,'Bldgs &amp; Rooms'!B27)</f>
        <v>0</v>
      </c>
      <c r="AB24" s="46">
        <f>SUMIFS('Components Yr 3'!D2:D1111,'Components Yr 3'!C2:C1111,A24,'Components Yr 3'!B2:B1111,'Bldgs &amp; Rooms'!B28)</f>
        <v>0</v>
      </c>
      <c r="AC24" s="46">
        <f>SUMIFS('Components Yr 3'!D2:D1111,'Components Yr 3'!C2:C1111,A24,'Components Yr 3'!B2:B1111,'Bldgs &amp; Rooms'!B29)</f>
        <v>0</v>
      </c>
      <c r="AD24" s="46">
        <f>SUMIFS('Components Yr 3'!D2:D1111,'Components Yr 3'!C2:C1111,A24,'Components Yr 3'!B2:B1111,'Bldgs &amp; Rooms'!B30)</f>
        <v>0</v>
      </c>
      <c r="AE24" s="46">
        <f>SUMIFS('Components Yr 3'!D2:D1111,'Components Yr 3'!C2:C1111,A24,'Components Yr 3'!B2:B1111,'Bldgs &amp; Rooms'!B31)</f>
        <v>0</v>
      </c>
      <c r="AF24" s="47">
        <f t="shared" si="0"/>
        <v>0</v>
      </c>
    </row>
    <row r="25" spans="1:32" x14ac:dyDescent="0.25">
      <c r="A25" s="48" t="s">
        <v>38</v>
      </c>
      <c r="B25" s="49">
        <f>SUMIFS('Components Yr 3'!D2:D1111,'Components Yr 3'!C2:C1111,A25,'Components Yr 3'!B2:B1111,'Bldgs &amp; Rooms'!B2)</f>
        <v>0</v>
      </c>
      <c r="C25" s="49">
        <f>SUMIFS('Components Yr 3'!D2:D1111,'Components Yr 3'!C2:C1111,A25,'Components Yr 3'!B2:B1111,'Bldgs &amp; Rooms'!B3)</f>
        <v>0</v>
      </c>
      <c r="D25" s="49">
        <f>SUMIFS('Components Yr 3'!D2:D1111,'Components Yr 3'!C2:C1111,A25,'Components Yr 3'!B2:B1111,'Bldgs &amp; Rooms'!B4)</f>
        <v>0</v>
      </c>
      <c r="E25" s="49">
        <f>SUMIFS('Components Yr 3'!D2:D1111,'Components Yr 3'!C2:C1111,A25,'Components Yr 3'!B2:B1111,'Bldgs &amp; Rooms'!B5)</f>
        <v>0</v>
      </c>
      <c r="F25" s="49">
        <f>SUMIFS('Components Yr 3'!D2:D1111,'Components Yr 3'!C2:C1111,A25,'Components Yr 3'!B2:B1111,'Bldgs &amp; Rooms'!B6)</f>
        <v>0</v>
      </c>
      <c r="G25" s="49">
        <f>SUMIFS('Components Yr 3'!D2:D1111,'Components Yr 3'!C2:C1111,A25,'Components Yr 3'!B2:B1111,'Bldgs &amp; Rooms'!B7)</f>
        <v>0</v>
      </c>
      <c r="H25" s="49">
        <f>SUMIFS('Components Yr 3'!D2:D1111,'Components Yr 3'!C2:C1111,A25,'Components Yr 3'!B2:B1111,'Bldgs &amp; Rooms'!B8)</f>
        <v>0</v>
      </c>
      <c r="I25" s="49">
        <f>SUMIFS('Components Yr 3'!D2:D1111,'Components Yr 3'!C2:C1111,A25,'Components Yr 3'!B2:B1111,'Bldgs &amp; Rooms'!B9)</f>
        <v>0</v>
      </c>
      <c r="J25" s="49">
        <f>SUMIFS('Components Yr 3'!D2:D1111,'Components Yr 3'!C2:C1111,A25,'Components Yr 3'!B2:B1111,'Bldgs &amp; Rooms'!B10)</f>
        <v>0</v>
      </c>
      <c r="K25" s="49">
        <f>SUMIFS('Components Yr 3'!D2:D1111,'Components Yr 3'!C2:C1111,A25,'Components Yr 3'!B2:B1111,'Bldgs &amp; Rooms'!B11)</f>
        <v>0</v>
      </c>
      <c r="L25" s="49">
        <f>SUMIFS('Components Yr 3'!D2:D1111,'Components Yr 3'!C2:C1111,A25,'Components Yr 3'!B2:B1111,'Bldgs &amp; Rooms'!B12)</f>
        <v>0</v>
      </c>
      <c r="M25" s="49">
        <f>SUMIFS('Components Yr 3'!D2:D1111,'Components Yr 3'!C2:C1111,A25,'Components Yr 3'!B2:B1111,'Bldgs &amp; Rooms'!B13)</f>
        <v>0</v>
      </c>
      <c r="N25" s="49">
        <f>SUMIFS('Components Yr 3'!D2:D1111,'Components Yr 3'!C2:C1111,A25,'Components Yr 3'!B2:B1111,'Bldgs &amp; Rooms'!B14)</f>
        <v>0</v>
      </c>
      <c r="O25" s="49">
        <f>SUMIFS('Components Yr 3'!D2:D1111,'Components Yr 3'!C2:C1111,A25,'Components Yr 3'!B2:B1111,'Bldgs &amp; Rooms'!B15)</f>
        <v>0</v>
      </c>
      <c r="P25" s="49">
        <f>SUMIFS('Components Yr 3'!D2:D1111,'Components Yr 3'!C2:C1111,A25,'Components Yr 3'!B2:B1111,'Bldgs &amp; Rooms'!B16)</f>
        <v>0</v>
      </c>
      <c r="Q25" s="49">
        <f>SUMIFS('Components Yr 3'!D2:D1111,'Components Yr 3'!C2:C1111,A25,'Components Yr 3'!B2:B1111,'Bldgs &amp; Rooms'!B17)</f>
        <v>0</v>
      </c>
      <c r="R25" s="49">
        <f>SUMIFS('Components Yr 3'!D2:D1111,'Components Yr 3'!C2:C1111,A25,'Components Yr 3'!B2:B1111,'Bldgs &amp; Rooms'!B18)</f>
        <v>0</v>
      </c>
      <c r="S25" s="49">
        <f>SUMIFS('Components Yr 3'!D2:D1111,'Components Yr 3'!C2:C1111,A25,'Components Yr 3'!B2:B1111,'Bldgs &amp; Rooms'!B19)</f>
        <v>0</v>
      </c>
      <c r="T25" s="49">
        <f>SUMIFS('Components Yr 3'!D2:D1111,'Components Yr 3'!C2:C1111,A25,'Components Yr 3'!B2:B1111,'Bldgs &amp; Rooms'!B20)</f>
        <v>0</v>
      </c>
      <c r="U25" s="49">
        <f>SUMIFS('Components Yr 3'!D2:D1111,'Components Yr 3'!C2:C1111,A25,'Components Yr 3'!B2:B1111,'Bldgs &amp; Rooms'!B21)</f>
        <v>0</v>
      </c>
      <c r="V25" s="49">
        <f>SUMIFS('Components Yr 3'!D2:D1111,'Components Yr 3'!C2:C1111,A25,'Components Yr 3'!B2:B1111,'Bldgs &amp; Rooms'!B22)</f>
        <v>0</v>
      </c>
      <c r="W25" s="49">
        <f>SUMIFS('Components Yr 3'!D2:D1111,'Components Yr 3'!C2:C1111,A25,'Components Yr 3'!B2:B1111,'Bldgs &amp; Rooms'!B23)</f>
        <v>0</v>
      </c>
      <c r="X25" s="49">
        <f>SUMIFS('Components Yr 3'!D2:D1111,'Components Yr 3'!C2:C1111,A25,'Components Yr 3'!B2:B1111,'Bldgs &amp; Rooms'!B24)</f>
        <v>0</v>
      </c>
      <c r="Y25" s="49">
        <f>SUMIFS('Components Yr 3'!D2:D1111,'Components Yr 3'!C2:C1111,A25,'Components Yr 3'!B2:B1111,'Bldgs &amp; Rooms'!B25)</f>
        <v>0</v>
      </c>
      <c r="Z25" s="49">
        <f>SUMIFS('Components Yr 3'!D2:D1111,'Components Yr 3'!C2:C1111,A25,'Components Yr 3'!B2:B1111,'Bldgs &amp; Rooms'!B26)</f>
        <v>0</v>
      </c>
      <c r="AA25" s="49">
        <f>SUMIFS('Components Yr 3'!D2:D1111,'Components Yr 3'!C2:C1111,A25,'Components Yr 3'!B2:B1111,'Bldgs &amp; Rooms'!B27)</f>
        <v>0</v>
      </c>
      <c r="AB25" s="49">
        <f>SUMIFS('Components Yr 3'!D2:D1111,'Components Yr 3'!C2:C1111,A25,'Components Yr 3'!B2:B1111,'Bldgs &amp; Rooms'!B28)</f>
        <v>0</v>
      </c>
      <c r="AC25" s="49">
        <f>SUMIFS('Components Yr 3'!D2:D1111,'Components Yr 3'!C2:C1111,A25,'Components Yr 3'!B2:B1111,'Bldgs &amp; Rooms'!B29)</f>
        <v>0</v>
      </c>
      <c r="AD25" s="49">
        <f>SUMIFS('Components Yr 3'!D2:D1111,'Components Yr 3'!C2:C1111,A25,'Components Yr 3'!B2:B1111,'Bldgs &amp; Rooms'!B30)</f>
        <v>0</v>
      </c>
      <c r="AE25" s="49">
        <f>SUMIFS('Components Yr 3'!D2:D1111,'Components Yr 3'!C2:C1111,A25,'Components Yr 3'!B2:B1111,'Bldgs &amp; Rooms'!B31)</f>
        <v>0</v>
      </c>
      <c r="AF25" s="47">
        <f t="shared" si="0"/>
        <v>0</v>
      </c>
    </row>
    <row r="26" spans="1:32" x14ac:dyDescent="0.25">
      <c r="A26" s="45" t="s">
        <v>39</v>
      </c>
      <c r="B26" s="46">
        <f>SUMIFS('Components Yr 3'!D2:D1111,'Components Yr 3'!C2:C1111,A26,'Components Yr 3'!B2:B1111,'Bldgs &amp; Rooms'!B2)</f>
        <v>0</v>
      </c>
      <c r="C26" s="46">
        <f>SUMIFS('Components Yr 3'!D2:D1111,'Components Yr 3'!C2:C1111,A26,'Components Yr 3'!B2:B1111,'Bldgs &amp; Rooms'!B3)</f>
        <v>0</v>
      </c>
      <c r="D26" s="46">
        <f>SUMIFS('Components Yr 3'!D2:D1111,'Components Yr 3'!C2:C1111,A26,'Components Yr 3'!B2:B1111,'Bldgs &amp; Rooms'!B4)</f>
        <v>0</v>
      </c>
      <c r="E26" s="46">
        <f>SUMIFS('Components Yr 3'!D2:D1111,'Components Yr 3'!C2:C1111,A26,'Components Yr 3'!B2:B1111,'Bldgs &amp; Rooms'!B5)</f>
        <v>0</v>
      </c>
      <c r="F26" s="46">
        <f>SUMIFS('Components Yr 3'!D2:D1111,'Components Yr 3'!C2:C1111,A26,'Components Yr 3'!B2:B1111,'Bldgs &amp; Rooms'!B6)</f>
        <v>0</v>
      </c>
      <c r="G26" s="46">
        <f>SUMIFS('Components Yr 3'!D2:D1111,'Components Yr 3'!C2:C1111,A26,'Components Yr 3'!B2:B1111,'Bldgs &amp; Rooms'!B7)</f>
        <v>0</v>
      </c>
      <c r="H26" s="46">
        <f>SUMIFS('Components Yr 3'!D2:D1111,'Components Yr 3'!C2:C1111,A26,'Components Yr 3'!B2:B1111,'Bldgs &amp; Rooms'!B8)</f>
        <v>0</v>
      </c>
      <c r="I26" s="46">
        <f>SUMIFS('Components Yr 3'!D2:D1111,'Components Yr 3'!C2:C1111,A26,'Components Yr 3'!B2:B1111,'Bldgs &amp; Rooms'!B9)</f>
        <v>0</v>
      </c>
      <c r="J26" s="46">
        <f>SUMIFS('Components Yr 3'!D2:D1111,'Components Yr 3'!C2:C1111,A26,'Components Yr 3'!B2:B1111,'Bldgs &amp; Rooms'!B10)</f>
        <v>0</v>
      </c>
      <c r="K26" s="46">
        <f>SUMIFS('Components Yr 3'!D2:D1111,'Components Yr 3'!C2:C1111,A26,'Components Yr 3'!B2:B1111,'Bldgs &amp; Rooms'!B11)</f>
        <v>0</v>
      </c>
      <c r="L26" s="46">
        <f>SUMIFS('Components Yr 3'!D2:D1111,'Components Yr 3'!C2:C1111,A26,'Components Yr 3'!B2:B1111,'Bldgs &amp; Rooms'!B12)</f>
        <v>0</v>
      </c>
      <c r="M26" s="46">
        <f>SUMIFS('Components Yr 3'!D2:D1111,'Components Yr 3'!C2:C1111,A26,'Components Yr 3'!B2:B1111,'Bldgs &amp; Rooms'!B13)</f>
        <v>0</v>
      </c>
      <c r="N26" s="46">
        <f>SUMIFS('Components Yr 3'!D2:D1111,'Components Yr 3'!C2:C1111,A26,'Components Yr 3'!B2:B1111,'Bldgs &amp; Rooms'!B14)</f>
        <v>0</v>
      </c>
      <c r="O26" s="46">
        <f>SUMIFS('Components Yr 3'!D2:D1111,'Components Yr 3'!C2:C1111,A26,'Components Yr 3'!B2:B1111,'Bldgs &amp; Rooms'!B15)</f>
        <v>0</v>
      </c>
      <c r="P26" s="46">
        <f>SUMIFS('Components Yr 3'!D2:D1111,'Components Yr 3'!C2:C1111,A26,'Components Yr 3'!B2:B1111,'Bldgs &amp; Rooms'!B16)</f>
        <v>0</v>
      </c>
      <c r="Q26" s="46">
        <f>SUMIFS('Components Yr 3'!D2:D1111,'Components Yr 3'!C2:C1111,A26,'Components Yr 3'!B2:B1111,'Bldgs &amp; Rooms'!B17)</f>
        <v>0</v>
      </c>
      <c r="R26" s="46">
        <f>SUMIFS('Components Yr 3'!D2:D1111,'Components Yr 3'!C2:C1111,A26,'Components Yr 3'!B2:B1111,'Bldgs &amp; Rooms'!B18)</f>
        <v>0</v>
      </c>
      <c r="S26" s="46">
        <f>SUMIFS('Components Yr 3'!D2:D1111,'Components Yr 3'!C2:C1111,A26,'Components Yr 3'!B2:B1111,'Bldgs &amp; Rooms'!B19)</f>
        <v>0</v>
      </c>
      <c r="T26" s="46">
        <f>SUMIFS('Components Yr 3'!D2:D1111,'Components Yr 3'!C2:C1111,A26,'Components Yr 3'!B2:B1111,'Bldgs &amp; Rooms'!B20)</f>
        <v>0</v>
      </c>
      <c r="U26" s="46">
        <f>SUMIFS('Components Yr 3'!D2:D1111,'Components Yr 3'!C2:C1111,A26,'Components Yr 3'!B2:B1111,'Bldgs &amp; Rooms'!B21)</f>
        <v>0</v>
      </c>
      <c r="V26" s="46">
        <f>SUMIFS('Components Yr 3'!D2:D1111,'Components Yr 3'!C2:C1111,A26,'Components Yr 3'!B2:B1111,'Bldgs &amp; Rooms'!B22)</f>
        <v>0</v>
      </c>
      <c r="W26" s="46">
        <f>SUMIFS('Components Yr 3'!D2:D1111,'Components Yr 3'!C2:C1111,A26,'Components Yr 3'!B2:B1111,'Bldgs &amp; Rooms'!B23)</f>
        <v>0</v>
      </c>
      <c r="X26" s="46">
        <f>SUMIFS('Components Yr 3'!D2:D1111,'Components Yr 3'!C2:C1111,A26,'Components Yr 3'!B2:B1111,'Bldgs &amp; Rooms'!B24)</f>
        <v>0</v>
      </c>
      <c r="Y26" s="46">
        <f>SUMIFS('Components Yr 3'!D2:D1111,'Components Yr 3'!C2:C1111,A26,'Components Yr 3'!B2:B1111,'Bldgs &amp; Rooms'!B25)</f>
        <v>0</v>
      </c>
      <c r="Z26" s="46">
        <f>SUMIFS('Components Yr 3'!D2:D1111,'Components Yr 3'!C2:C1111,A26,'Components Yr 3'!B2:B1111,'Bldgs &amp; Rooms'!B26)</f>
        <v>0</v>
      </c>
      <c r="AA26" s="46">
        <f>SUMIFS('Components Yr 3'!D2:D1111,'Components Yr 3'!C2:C1111,A26,'Components Yr 3'!B2:B1111,'Bldgs &amp; Rooms'!B27)</f>
        <v>0</v>
      </c>
      <c r="AB26" s="46">
        <f>SUMIFS('Components Yr 3'!D2:D1111,'Components Yr 3'!C2:C1111,A26,'Components Yr 3'!B2:B1111,'Bldgs &amp; Rooms'!B28)</f>
        <v>0</v>
      </c>
      <c r="AC26" s="46">
        <f>SUMIFS('Components Yr 3'!D2:D1111,'Components Yr 3'!C2:C1111,A26,'Components Yr 3'!B2:B1111,'Bldgs &amp; Rooms'!B29)</f>
        <v>0</v>
      </c>
      <c r="AD26" s="46">
        <f>SUMIFS('Components Yr 3'!D2:D1111,'Components Yr 3'!C2:C1111,A26,'Components Yr 3'!B2:B1111,'Bldgs &amp; Rooms'!B30)</f>
        <v>0</v>
      </c>
      <c r="AE26" s="46">
        <f>SUMIFS('Components Yr 3'!D2:D1111,'Components Yr 3'!C2:C1111,A26,'Components Yr 3'!B2:B1111,'Bldgs &amp; Rooms'!B31)</f>
        <v>0</v>
      </c>
      <c r="AF26" s="47">
        <f t="shared" si="0"/>
        <v>0</v>
      </c>
    </row>
    <row r="27" spans="1:32" x14ac:dyDescent="0.25">
      <c r="A27" s="48" t="s">
        <v>40</v>
      </c>
      <c r="B27" s="49">
        <f>SUMIFS('Components Yr 3'!D2:D1111,'Components Yr 3'!C2:C1111,A27,'Components Yr 3'!B2:B1111,'Bldgs &amp; Rooms'!B2)</f>
        <v>0</v>
      </c>
      <c r="C27" s="49">
        <f>SUMIFS('Components Yr 3'!D2:D1111,'Components Yr 3'!C2:C1111,A27,'Components Yr 3'!B2:B1111,'Bldgs &amp; Rooms'!B3)</f>
        <v>0</v>
      </c>
      <c r="D27" s="49">
        <f>SUMIFS('Components Yr 3'!D2:D1111,'Components Yr 3'!C2:C1111,A27,'Components Yr 3'!B2:B1111,'Bldgs &amp; Rooms'!B4)</f>
        <v>0</v>
      </c>
      <c r="E27" s="49">
        <f>SUMIFS('Components Yr 3'!D2:D1111,'Components Yr 3'!C2:C1111,A27,'Components Yr 3'!B2:B1111,'Bldgs &amp; Rooms'!B5)</f>
        <v>0</v>
      </c>
      <c r="F27" s="49">
        <f>SUMIFS('Components Yr 3'!D2:D1111,'Components Yr 3'!C2:C1111,A27,'Components Yr 3'!B2:B1111,'Bldgs &amp; Rooms'!B6)</f>
        <v>0</v>
      </c>
      <c r="G27" s="49">
        <f>SUMIFS('Components Yr 3'!D2:D1111,'Components Yr 3'!C2:C1111,A27,'Components Yr 3'!B2:B1111,'Bldgs &amp; Rooms'!B7)</f>
        <v>0</v>
      </c>
      <c r="H27" s="49">
        <f>SUMIFS('Components Yr 3'!D2:D1111,'Components Yr 3'!C2:C1111,A27,'Components Yr 3'!B2:B1111,'Bldgs &amp; Rooms'!B8)</f>
        <v>0</v>
      </c>
      <c r="I27" s="49">
        <f>SUMIFS('Components Yr 3'!D2:D1111,'Components Yr 3'!C2:C1111,A27,'Components Yr 3'!B2:B1111,'Bldgs &amp; Rooms'!B9)</f>
        <v>0</v>
      </c>
      <c r="J27" s="49">
        <f>SUMIFS('Components Yr 3'!D2:D1111,'Components Yr 3'!C2:C1111,A27,'Components Yr 3'!B2:B1111,'Bldgs &amp; Rooms'!B10)</f>
        <v>0</v>
      </c>
      <c r="K27" s="49">
        <f>SUMIFS('Components Yr 3'!D2:D1111,'Components Yr 3'!C2:C1111,A27,'Components Yr 3'!B2:B1111,'Bldgs &amp; Rooms'!B11)</f>
        <v>0</v>
      </c>
      <c r="L27" s="49">
        <f>SUMIFS('Components Yr 3'!D2:D1111,'Components Yr 3'!C2:C1111,A27,'Components Yr 3'!B2:B1111,'Bldgs &amp; Rooms'!B12)</f>
        <v>0</v>
      </c>
      <c r="M27" s="49">
        <f>SUMIFS('Components Yr 3'!D2:D1111,'Components Yr 3'!C2:C1111,A27,'Components Yr 3'!B2:B1111,'Bldgs &amp; Rooms'!B13)</f>
        <v>0</v>
      </c>
      <c r="N27" s="49">
        <f>SUMIFS('Components Yr 3'!D2:D1111,'Components Yr 3'!C2:C1111,A27,'Components Yr 3'!B2:B1111,'Bldgs &amp; Rooms'!B14)</f>
        <v>0</v>
      </c>
      <c r="O27" s="49">
        <f>SUMIFS('Components Yr 3'!D2:D1111,'Components Yr 3'!C2:C1111,A27,'Components Yr 3'!B2:B1111,'Bldgs &amp; Rooms'!B15)</f>
        <v>0</v>
      </c>
      <c r="P27" s="49">
        <f>SUMIFS('Components Yr 3'!D2:D1111,'Components Yr 3'!C2:C1111,A27,'Components Yr 3'!B2:B1111,'Bldgs &amp; Rooms'!B16)</f>
        <v>0</v>
      </c>
      <c r="Q27" s="49">
        <f>SUMIFS('Components Yr 3'!D2:D1111,'Components Yr 3'!C2:C1111,A27,'Components Yr 3'!B2:B1111,'Bldgs &amp; Rooms'!B17)</f>
        <v>0</v>
      </c>
      <c r="R27" s="49">
        <f>SUMIFS('Components Yr 3'!D2:D1111,'Components Yr 3'!C2:C1111,A27,'Components Yr 3'!B2:B1111,'Bldgs &amp; Rooms'!B18)</f>
        <v>0</v>
      </c>
      <c r="S27" s="49">
        <f>SUMIFS('Components Yr 3'!D2:D1111,'Components Yr 3'!C2:C1111,A27,'Components Yr 3'!B2:B1111,'Bldgs &amp; Rooms'!B19)</f>
        <v>0</v>
      </c>
      <c r="T27" s="49">
        <f>SUMIFS('Components Yr 3'!D2:D1111,'Components Yr 3'!C2:C1111,A27,'Components Yr 3'!B2:B1111,'Bldgs &amp; Rooms'!B20)</f>
        <v>0</v>
      </c>
      <c r="U27" s="49">
        <f>SUMIFS('Components Yr 3'!D2:D1111,'Components Yr 3'!C2:C1111,A27,'Components Yr 3'!B2:B1111,'Bldgs &amp; Rooms'!B21)</f>
        <v>0</v>
      </c>
      <c r="V27" s="49">
        <f>SUMIFS('Components Yr 3'!D2:D1111,'Components Yr 3'!C2:C1111,A27,'Components Yr 3'!B2:B1111,'Bldgs &amp; Rooms'!B22)</f>
        <v>0</v>
      </c>
      <c r="W27" s="49">
        <f>SUMIFS('Components Yr 3'!D2:D1111,'Components Yr 3'!C2:C1111,A27,'Components Yr 3'!B2:B1111,'Bldgs &amp; Rooms'!B23)</f>
        <v>0</v>
      </c>
      <c r="X27" s="49">
        <f>SUMIFS('Components Yr 3'!D2:D1111,'Components Yr 3'!C2:C1111,A27,'Components Yr 3'!B2:B1111,'Bldgs &amp; Rooms'!B24)</f>
        <v>0</v>
      </c>
      <c r="Y27" s="49">
        <f>SUMIFS('Components Yr 3'!D2:D1111,'Components Yr 3'!C2:C1111,A27,'Components Yr 3'!B2:B1111,'Bldgs &amp; Rooms'!B25)</f>
        <v>0</v>
      </c>
      <c r="Z27" s="49">
        <f>SUMIFS('Components Yr 3'!D2:D1111,'Components Yr 3'!C2:C1111,A27,'Components Yr 3'!B2:B1111,'Bldgs &amp; Rooms'!B26)</f>
        <v>0</v>
      </c>
      <c r="AA27" s="49">
        <f>SUMIFS('Components Yr 3'!D2:D1111,'Components Yr 3'!C2:C1111,A27,'Components Yr 3'!B2:B1111,'Bldgs &amp; Rooms'!B27)</f>
        <v>0</v>
      </c>
      <c r="AB27" s="49">
        <f>SUMIFS('Components Yr 3'!D2:D1111,'Components Yr 3'!C2:C1111,A27,'Components Yr 3'!B2:B1111,'Bldgs &amp; Rooms'!B28)</f>
        <v>0</v>
      </c>
      <c r="AC27" s="49">
        <f>SUMIFS('Components Yr 3'!D2:D1111,'Components Yr 3'!C2:C1111,A27,'Components Yr 3'!B2:B1111,'Bldgs &amp; Rooms'!B29)</f>
        <v>0</v>
      </c>
      <c r="AD27" s="49">
        <f>SUMIFS('Components Yr 3'!D2:D1111,'Components Yr 3'!C2:C1111,A27,'Components Yr 3'!B2:B1111,'Bldgs &amp; Rooms'!B30)</f>
        <v>0</v>
      </c>
      <c r="AE27" s="49">
        <f>SUMIFS('Components Yr 3'!D2:D1111,'Components Yr 3'!C2:C1111,A27,'Components Yr 3'!B2:B1111,'Bldgs &amp; Rooms'!B31)</f>
        <v>0</v>
      </c>
      <c r="AF27" s="47">
        <f t="shared" si="0"/>
        <v>0</v>
      </c>
    </row>
    <row r="28" spans="1:32" x14ac:dyDescent="0.25">
      <c r="A28" s="45" t="s">
        <v>41</v>
      </c>
      <c r="B28" s="46">
        <f>SUMIFS('Components Yr 3'!D2:D1111,'Components Yr 3'!C2:C1111,A28,'Components Yr 3'!B2:B1111,'Bldgs &amp; Rooms'!B2)</f>
        <v>0</v>
      </c>
      <c r="C28" s="46">
        <f>SUMIFS('Components Yr 3'!D2:D1111,'Components Yr 3'!C2:C1111,A28,'Components Yr 3'!B2:B1111,'Bldgs &amp; Rooms'!B3)</f>
        <v>0</v>
      </c>
      <c r="D28" s="46">
        <f>SUMIFS('Components Yr 3'!D2:D1111,'Components Yr 3'!C2:C1111,A28,'Components Yr 3'!B2:B1111,'Bldgs &amp; Rooms'!B4)</f>
        <v>0</v>
      </c>
      <c r="E28" s="46">
        <f>SUMIFS('Components Yr 3'!D2:D1111,'Components Yr 3'!C2:C1111,A28,'Components Yr 3'!B2:B1111,'Bldgs &amp; Rooms'!B5)</f>
        <v>0</v>
      </c>
      <c r="F28" s="46">
        <f>SUMIFS('Components Yr 3'!D2:D1111,'Components Yr 3'!C2:C1111,A28,'Components Yr 3'!B2:B1111,'Bldgs &amp; Rooms'!B6)</f>
        <v>0</v>
      </c>
      <c r="G28" s="46">
        <f>SUMIFS('Components Yr 3'!D2:D1111,'Components Yr 3'!C2:C1111,A28,'Components Yr 3'!B2:B1111,'Bldgs &amp; Rooms'!B7)</f>
        <v>0</v>
      </c>
      <c r="H28" s="46">
        <f>SUMIFS('Components Yr 3'!D2:D1111,'Components Yr 3'!C2:C1111,A28,'Components Yr 3'!B2:B1111,'Bldgs &amp; Rooms'!B8)</f>
        <v>0</v>
      </c>
      <c r="I28" s="46">
        <f>SUMIFS('Components Yr 3'!D2:D1111,'Components Yr 3'!C2:C1111,A28,'Components Yr 3'!B2:B1111,'Bldgs &amp; Rooms'!B9)</f>
        <v>0</v>
      </c>
      <c r="J28" s="46">
        <f>SUMIFS('Components Yr 3'!D2:D1111,'Components Yr 3'!C2:C1111,A28,'Components Yr 3'!B2:B1111,'Bldgs &amp; Rooms'!B10)</f>
        <v>0</v>
      </c>
      <c r="K28" s="46">
        <f>SUMIFS('Components Yr 3'!D2:D1111,'Components Yr 3'!C2:C1111,A28,'Components Yr 3'!B2:B1111,'Bldgs &amp; Rooms'!B11)</f>
        <v>0</v>
      </c>
      <c r="L28" s="46">
        <f>SUMIFS('Components Yr 3'!D2:D1111,'Components Yr 3'!C2:C1111,A28,'Components Yr 3'!B2:B1111,'Bldgs &amp; Rooms'!B12)</f>
        <v>0</v>
      </c>
      <c r="M28" s="46">
        <f>SUMIFS('Components Yr 3'!D2:D1111,'Components Yr 3'!C2:C1111,A28,'Components Yr 3'!B2:B1111,'Bldgs &amp; Rooms'!B13)</f>
        <v>0</v>
      </c>
      <c r="N28" s="46">
        <f>SUMIFS('Components Yr 3'!D2:D1111,'Components Yr 3'!C2:C1111,A28,'Components Yr 3'!B2:B1111,'Bldgs &amp; Rooms'!B14)</f>
        <v>0</v>
      </c>
      <c r="O28" s="46">
        <f>SUMIFS('Components Yr 3'!D2:D1111,'Components Yr 3'!C2:C1111,A28,'Components Yr 3'!B2:B1111,'Bldgs &amp; Rooms'!B15)</f>
        <v>0</v>
      </c>
      <c r="P28" s="46">
        <f>SUMIFS('Components Yr 3'!D2:D1111,'Components Yr 3'!C2:C1111,A28,'Components Yr 3'!B2:B1111,'Bldgs &amp; Rooms'!B16)</f>
        <v>0</v>
      </c>
      <c r="Q28" s="46">
        <f>SUMIFS('Components Yr 3'!D2:D1111,'Components Yr 3'!C2:C1111,A28,'Components Yr 3'!B2:B1111,'Bldgs &amp; Rooms'!B17)</f>
        <v>0</v>
      </c>
      <c r="R28" s="46">
        <f>SUMIFS('Components Yr 3'!D2:D1111,'Components Yr 3'!C2:C1111,A28,'Components Yr 3'!B2:B1111,'Bldgs &amp; Rooms'!B18)</f>
        <v>0</v>
      </c>
      <c r="S28" s="46">
        <f>SUMIFS('Components Yr 3'!D2:D1111,'Components Yr 3'!C2:C1111,A28,'Components Yr 3'!B2:B1111,'Bldgs &amp; Rooms'!B19)</f>
        <v>0</v>
      </c>
      <c r="T28" s="46">
        <f>SUMIFS('Components Yr 3'!D2:D1111,'Components Yr 3'!C2:C1111,A28,'Components Yr 3'!B2:B1111,'Bldgs &amp; Rooms'!B20)</f>
        <v>0</v>
      </c>
      <c r="U28" s="46">
        <f>SUMIFS('Components Yr 3'!D2:D1111,'Components Yr 3'!C2:C1111,A28,'Components Yr 3'!B2:B1111,'Bldgs &amp; Rooms'!B21)</f>
        <v>0</v>
      </c>
      <c r="V28" s="46">
        <f>SUMIFS('Components Yr 3'!D2:D1111,'Components Yr 3'!C2:C1111,A28,'Components Yr 3'!B2:B1111,'Bldgs &amp; Rooms'!B22)</f>
        <v>0</v>
      </c>
      <c r="W28" s="46">
        <f>SUMIFS('Components Yr 3'!D2:D1111,'Components Yr 3'!C2:C1111,A28,'Components Yr 3'!B2:B1111,'Bldgs &amp; Rooms'!B23)</f>
        <v>0</v>
      </c>
      <c r="X28" s="46">
        <f>SUMIFS('Components Yr 3'!D2:D1111,'Components Yr 3'!C2:C1111,A28,'Components Yr 3'!B2:B1111,'Bldgs &amp; Rooms'!B24)</f>
        <v>0</v>
      </c>
      <c r="Y28" s="46">
        <f>SUMIFS('Components Yr 3'!D2:D1111,'Components Yr 3'!C2:C1111,A28,'Components Yr 3'!B2:B1111,'Bldgs &amp; Rooms'!B25)</f>
        <v>0</v>
      </c>
      <c r="Z28" s="46">
        <f>SUMIFS('Components Yr 3'!D2:D1111,'Components Yr 3'!C2:C1111,A28,'Components Yr 3'!B2:B1111,'Bldgs &amp; Rooms'!B26)</f>
        <v>0</v>
      </c>
      <c r="AA28" s="46">
        <f>SUMIFS('Components Yr 3'!D2:D1111,'Components Yr 3'!C2:C1111,A28,'Components Yr 3'!B2:B1111,'Bldgs &amp; Rooms'!B27)</f>
        <v>0</v>
      </c>
      <c r="AB28" s="46">
        <f>SUMIFS('Components Yr 3'!D2:D1111,'Components Yr 3'!C2:C1111,A28,'Components Yr 3'!B2:B1111,'Bldgs &amp; Rooms'!B28)</f>
        <v>0</v>
      </c>
      <c r="AC28" s="46">
        <f>SUMIFS('Components Yr 3'!D2:D1111,'Components Yr 3'!C2:C1111,A28,'Components Yr 3'!B2:B1111,'Bldgs &amp; Rooms'!B29)</f>
        <v>0</v>
      </c>
      <c r="AD28" s="46">
        <f>SUMIFS('Components Yr 3'!D2:D1111,'Components Yr 3'!C2:C1111,A28,'Components Yr 3'!B2:B1111,'Bldgs &amp; Rooms'!B30)</f>
        <v>0</v>
      </c>
      <c r="AE28" s="46">
        <f>SUMIFS('Components Yr 3'!D2:D1111,'Components Yr 3'!C2:C1111,A28,'Components Yr 3'!B2:B1111,'Bldgs &amp; Rooms'!B31)</f>
        <v>0</v>
      </c>
      <c r="AF28" s="47">
        <f t="shared" si="0"/>
        <v>0</v>
      </c>
    </row>
    <row r="29" spans="1:32" x14ac:dyDescent="0.25">
      <c r="A29" s="48" t="s">
        <v>42</v>
      </c>
      <c r="B29" s="49">
        <f>SUMIFS('Components Yr 3'!D2:D1111,'Components Yr 3'!C2:C1111,A29,'Components Yr 3'!B2:B1111,'Bldgs &amp; Rooms'!B2)</f>
        <v>0</v>
      </c>
      <c r="C29" s="49">
        <f>SUMIFS('Components Yr 3'!D2:D1111,'Components Yr 3'!C2:C1111,A29,'Components Yr 3'!B2:B1111,'Bldgs &amp; Rooms'!B3)</f>
        <v>0</v>
      </c>
      <c r="D29" s="49">
        <f>SUMIFS('Components Yr 3'!D2:D1111,'Components Yr 3'!C2:C1111,A29,'Components Yr 3'!B2:B1111,'Bldgs &amp; Rooms'!B4)</f>
        <v>0</v>
      </c>
      <c r="E29" s="49">
        <f>SUMIFS('Components Yr 3'!D2:D1111,'Components Yr 3'!C2:C1111,A29,'Components Yr 3'!B2:B1111,'Bldgs &amp; Rooms'!B5)</f>
        <v>0</v>
      </c>
      <c r="F29" s="49">
        <f>SUMIFS('Components Yr 3'!D2:D1111,'Components Yr 3'!C2:C1111,A29,'Components Yr 3'!B2:B1111,'Bldgs &amp; Rooms'!B6)</f>
        <v>0</v>
      </c>
      <c r="G29" s="49">
        <f>SUMIFS('Components Yr 3'!D2:D1111,'Components Yr 3'!C2:C1111,A29,'Components Yr 3'!B2:B1111,'Bldgs &amp; Rooms'!B7)</f>
        <v>0</v>
      </c>
      <c r="H29" s="49">
        <f>SUMIFS('Components Yr 3'!D2:D1111,'Components Yr 3'!C2:C1111,A29,'Components Yr 3'!B2:B1111,'Bldgs &amp; Rooms'!B8)</f>
        <v>0</v>
      </c>
      <c r="I29" s="49">
        <f>SUMIFS('Components Yr 3'!D2:D1111,'Components Yr 3'!C2:C1111,A29,'Components Yr 3'!B2:B1111,'Bldgs &amp; Rooms'!B9)</f>
        <v>0</v>
      </c>
      <c r="J29" s="49">
        <f>SUMIFS('Components Yr 3'!D2:D1111,'Components Yr 3'!C2:C1111,A29,'Components Yr 3'!B2:B1111,'Bldgs &amp; Rooms'!B10)</f>
        <v>0</v>
      </c>
      <c r="K29" s="49">
        <f>SUMIFS('Components Yr 3'!D2:D1111,'Components Yr 3'!C2:C1111,A29,'Components Yr 3'!B2:B1111,'Bldgs &amp; Rooms'!B11)</f>
        <v>0</v>
      </c>
      <c r="L29" s="49">
        <f>SUMIFS('Components Yr 3'!D2:D1111,'Components Yr 3'!C2:C1111,A29,'Components Yr 3'!B2:B1111,'Bldgs &amp; Rooms'!B12)</f>
        <v>0</v>
      </c>
      <c r="M29" s="49">
        <f>SUMIFS('Components Yr 3'!D2:D1111,'Components Yr 3'!C2:C1111,A29,'Components Yr 3'!B2:B1111,'Bldgs &amp; Rooms'!B13)</f>
        <v>0</v>
      </c>
      <c r="N29" s="49">
        <f>SUMIFS('Components Yr 3'!D2:D1111,'Components Yr 3'!C2:C1111,A29,'Components Yr 3'!B2:B1111,'Bldgs &amp; Rooms'!B14)</f>
        <v>0</v>
      </c>
      <c r="O29" s="49">
        <f>SUMIFS('Components Yr 3'!D2:D1111,'Components Yr 3'!C2:C1111,A29,'Components Yr 3'!B2:B1111,'Bldgs &amp; Rooms'!B15)</f>
        <v>0</v>
      </c>
      <c r="P29" s="49">
        <f>SUMIFS('Components Yr 3'!D2:D1111,'Components Yr 3'!C2:C1111,A29,'Components Yr 3'!B2:B1111,'Bldgs &amp; Rooms'!B16)</f>
        <v>0</v>
      </c>
      <c r="Q29" s="49">
        <f>SUMIFS('Components Yr 3'!D2:D1111,'Components Yr 3'!C2:C1111,A29,'Components Yr 3'!B2:B1111,'Bldgs &amp; Rooms'!B17)</f>
        <v>0</v>
      </c>
      <c r="R29" s="49">
        <f>SUMIFS('Components Yr 3'!D2:D1111,'Components Yr 3'!C2:C1111,A29,'Components Yr 3'!B2:B1111,'Bldgs &amp; Rooms'!B18)</f>
        <v>0</v>
      </c>
      <c r="S29" s="49">
        <f>SUMIFS('Components Yr 3'!D2:D1111,'Components Yr 3'!C2:C1111,A29,'Components Yr 3'!B2:B1111,'Bldgs &amp; Rooms'!B19)</f>
        <v>0</v>
      </c>
      <c r="T29" s="49">
        <f>SUMIFS('Components Yr 3'!D2:D1111,'Components Yr 3'!C2:C1111,A29,'Components Yr 3'!B2:B1111,'Bldgs &amp; Rooms'!B20)</f>
        <v>0</v>
      </c>
      <c r="U29" s="49">
        <f>SUMIFS('Components Yr 3'!D2:D1111,'Components Yr 3'!C2:C1111,A29,'Components Yr 3'!B2:B1111,'Bldgs &amp; Rooms'!B21)</f>
        <v>0</v>
      </c>
      <c r="V29" s="49">
        <f>SUMIFS('Components Yr 3'!D2:D1111,'Components Yr 3'!C2:C1111,A29,'Components Yr 3'!B2:B1111,'Bldgs &amp; Rooms'!B22)</f>
        <v>0</v>
      </c>
      <c r="W29" s="49">
        <f>SUMIFS('Components Yr 3'!D2:D1111,'Components Yr 3'!C2:C1111,A29,'Components Yr 3'!B2:B1111,'Bldgs &amp; Rooms'!B23)</f>
        <v>0</v>
      </c>
      <c r="X29" s="49">
        <f>SUMIFS('Components Yr 3'!D2:D1111,'Components Yr 3'!C2:C1111,A29,'Components Yr 3'!B2:B1111,'Bldgs &amp; Rooms'!B24)</f>
        <v>0</v>
      </c>
      <c r="Y29" s="49">
        <f>SUMIFS('Components Yr 3'!D2:D1111,'Components Yr 3'!C2:C1111,A29,'Components Yr 3'!B2:B1111,'Bldgs &amp; Rooms'!B25)</f>
        <v>0</v>
      </c>
      <c r="Z29" s="49">
        <f>SUMIFS('Components Yr 3'!D2:D1111,'Components Yr 3'!C2:C1111,A29,'Components Yr 3'!B2:B1111,'Bldgs &amp; Rooms'!B26)</f>
        <v>0</v>
      </c>
      <c r="AA29" s="49">
        <f>SUMIFS('Components Yr 3'!D2:D1111,'Components Yr 3'!C2:C1111,A29,'Components Yr 3'!B2:B1111,'Bldgs &amp; Rooms'!B27)</f>
        <v>0</v>
      </c>
      <c r="AB29" s="49">
        <f>SUMIFS('Components Yr 3'!D2:D1111,'Components Yr 3'!C2:C1111,A29,'Components Yr 3'!B2:B1111,'Bldgs &amp; Rooms'!B28)</f>
        <v>0</v>
      </c>
      <c r="AC29" s="49">
        <f>SUMIFS('Components Yr 3'!D2:D1111,'Components Yr 3'!C2:C1111,A29,'Components Yr 3'!B2:B1111,'Bldgs &amp; Rooms'!B29)</f>
        <v>0</v>
      </c>
      <c r="AD29" s="49">
        <f>SUMIFS('Components Yr 3'!D2:D1111,'Components Yr 3'!C2:C1111,A29,'Components Yr 3'!B2:B1111,'Bldgs &amp; Rooms'!B30)</f>
        <v>0</v>
      </c>
      <c r="AE29" s="49">
        <f>SUMIFS('Components Yr 3'!D2:D1111,'Components Yr 3'!C2:C1111,A29,'Components Yr 3'!B2:B1111,'Bldgs &amp; Rooms'!B31)</f>
        <v>0</v>
      </c>
      <c r="AF29" s="47">
        <f t="shared" si="0"/>
        <v>0</v>
      </c>
    </row>
    <row r="30" spans="1:32" x14ac:dyDescent="0.25">
      <c r="A30" s="45" t="s">
        <v>43</v>
      </c>
      <c r="B30" s="46">
        <f>SUMIFS('Components Yr 3'!D2:D1111,'Components Yr 3'!C2:C1111,A30,'Components Yr 3'!B2:B1111,'Bldgs &amp; Rooms'!B2)</f>
        <v>0</v>
      </c>
      <c r="C30" s="46">
        <f>SUMIFS('Components Yr 3'!D2:D1111,'Components Yr 3'!C2:C1111,A30,'Components Yr 3'!B2:B1111,'Bldgs &amp; Rooms'!B3)</f>
        <v>0</v>
      </c>
      <c r="D30" s="46">
        <f>SUMIFS('Components Yr 3'!D2:D1111,'Components Yr 3'!C2:C1111,A30,'Components Yr 3'!B2:B1111,'Bldgs &amp; Rooms'!B4)</f>
        <v>0</v>
      </c>
      <c r="E30" s="46">
        <f>SUMIFS('Components Yr 3'!D2:D1111,'Components Yr 3'!C2:C1111,A30,'Components Yr 3'!B2:B1111,'Bldgs &amp; Rooms'!B5)</f>
        <v>0</v>
      </c>
      <c r="F30" s="46">
        <f>SUMIFS('Components Yr 3'!D2:D1111,'Components Yr 3'!C2:C1111,A30,'Components Yr 3'!B2:B1111,'Bldgs &amp; Rooms'!B6)</f>
        <v>0</v>
      </c>
      <c r="G30" s="46">
        <f>SUMIFS('Components Yr 3'!D2:D1111,'Components Yr 3'!C2:C1111,A30,'Components Yr 3'!B2:B1111,'Bldgs &amp; Rooms'!B7)</f>
        <v>0</v>
      </c>
      <c r="H30" s="46">
        <f>SUMIFS('Components Yr 3'!D2:D1111,'Components Yr 3'!C2:C1111,A30,'Components Yr 3'!B2:B1111,'Bldgs &amp; Rooms'!B8)</f>
        <v>0</v>
      </c>
      <c r="I30" s="46">
        <f>SUMIFS('Components Yr 3'!D2:D1111,'Components Yr 3'!C2:C1111,A30,'Components Yr 3'!B2:B1111,'Bldgs &amp; Rooms'!B9)</f>
        <v>0</v>
      </c>
      <c r="J30" s="46">
        <f>SUMIFS('Components Yr 3'!D2:D1111,'Components Yr 3'!C2:C1111,A30,'Components Yr 3'!B2:B1111,'Bldgs &amp; Rooms'!B10)</f>
        <v>0</v>
      </c>
      <c r="K30" s="46">
        <f>SUMIFS('Components Yr 3'!D2:D1111,'Components Yr 3'!C2:C1111,A30,'Components Yr 3'!B2:B1111,'Bldgs &amp; Rooms'!B11)</f>
        <v>0</v>
      </c>
      <c r="L30" s="46">
        <f>SUMIFS('Components Yr 3'!D2:D1111,'Components Yr 3'!C2:C1111,A30,'Components Yr 3'!B2:B1111,'Bldgs &amp; Rooms'!B12)</f>
        <v>0</v>
      </c>
      <c r="M30" s="46">
        <f>SUMIFS('Components Yr 3'!D2:D1111,'Components Yr 3'!C2:C1111,A30,'Components Yr 3'!B2:B1111,'Bldgs &amp; Rooms'!B13)</f>
        <v>0</v>
      </c>
      <c r="N30" s="46">
        <f>SUMIFS('Components Yr 3'!D2:D1111,'Components Yr 3'!C2:C1111,A30,'Components Yr 3'!B2:B1111,'Bldgs &amp; Rooms'!B14)</f>
        <v>0</v>
      </c>
      <c r="O30" s="46">
        <f>SUMIFS('Components Yr 3'!D2:D1111,'Components Yr 3'!C2:C1111,A30,'Components Yr 3'!B2:B1111,'Bldgs &amp; Rooms'!B15)</f>
        <v>0</v>
      </c>
      <c r="P30" s="46">
        <f>SUMIFS('Components Yr 3'!D2:D1111,'Components Yr 3'!C2:C1111,A30,'Components Yr 3'!B2:B1111,'Bldgs &amp; Rooms'!B16)</f>
        <v>0</v>
      </c>
      <c r="Q30" s="46">
        <f>SUMIFS('Components Yr 3'!D2:D1111,'Components Yr 3'!C2:C1111,A30,'Components Yr 3'!B2:B1111,'Bldgs &amp; Rooms'!B17)</f>
        <v>0</v>
      </c>
      <c r="R30" s="46">
        <f>SUMIFS('Components Yr 3'!D2:D1111,'Components Yr 3'!C2:C1111,A30,'Components Yr 3'!B2:B1111,'Bldgs &amp; Rooms'!B18)</f>
        <v>0</v>
      </c>
      <c r="S30" s="46">
        <f>SUMIFS('Components Yr 3'!D2:D1111,'Components Yr 3'!C2:C1111,A30,'Components Yr 3'!B2:B1111,'Bldgs &amp; Rooms'!B19)</f>
        <v>0</v>
      </c>
      <c r="T30" s="46">
        <f>SUMIFS('Components Yr 3'!D2:D1111,'Components Yr 3'!C2:C1111,A30,'Components Yr 3'!B2:B1111,'Bldgs &amp; Rooms'!B20)</f>
        <v>0</v>
      </c>
      <c r="U30" s="46">
        <f>SUMIFS('Components Yr 3'!D2:D1111,'Components Yr 3'!C2:C1111,A30,'Components Yr 3'!B2:B1111,'Bldgs &amp; Rooms'!B21)</f>
        <v>0</v>
      </c>
      <c r="V30" s="46">
        <f>SUMIFS('Components Yr 3'!D2:D1111,'Components Yr 3'!C2:C1111,A30,'Components Yr 3'!B2:B1111,'Bldgs &amp; Rooms'!B22)</f>
        <v>0</v>
      </c>
      <c r="W30" s="46">
        <f>SUMIFS('Components Yr 3'!D2:D1111,'Components Yr 3'!C2:C1111,A30,'Components Yr 3'!B2:B1111,'Bldgs &amp; Rooms'!B23)</f>
        <v>0</v>
      </c>
      <c r="X30" s="46">
        <f>SUMIFS('Components Yr 3'!D2:D1111,'Components Yr 3'!C2:C1111,A30,'Components Yr 3'!B2:B1111,'Bldgs &amp; Rooms'!B24)</f>
        <v>0</v>
      </c>
      <c r="Y30" s="46">
        <f>SUMIFS('Components Yr 3'!D2:D1111,'Components Yr 3'!C2:C1111,A30,'Components Yr 3'!B2:B1111,'Bldgs &amp; Rooms'!B25)</f>
        <v>0</v>
      </c>
      <c r="Z30" s="46">
        <f>SUMIFS('Components Yr 3'!D2:D1111,'Components Yr 3'!C2:C1111,A30,'Components Yr 3'!B2:B1111,'Bldgs &amp; Rooms'!B26)</f>
        <v>0</v>
      </c>
      <c r="AA30" s="46">
        <f>SUMIFS('Components Yr 3'!D2:D1111,'Components Yr 3'!C2:C1111,A30,'Components Yr 3'!B2:B1111,'Bldgs &amp; Rooms'!B27)</f>
        <v>0</v>
      </c>
      <c r="AB30" s="46">
        <f>SUMIFS('Components Yr 3'!D2:D1111,'Components Yr 3'!C2:C1111,A30,'Components Yr 3'!B2:B1111,'Bldgs &amp; Rooms'!B28)</f>
        <v>0</v>
      </c>
      <c r="AC30" s="46">
        <f>SUMIFS('Components Yr 3'!D2:D1111,'Components Yr 3'!C2:C1111,A30,'Components Yr 3'!B2:B1111,'Bldgs &amp; Rooms'!B29)</f>
        <v>0</v>
      </c>
      <c r="AD30" s="46">
        <f>SUMIFS('Components Yr 3'!D2:D1111,'Components Yr 3'!C2:C1111,A30,'Components Yr 3'!B2:B1111,'Bldgs &amp; Rooms'!B30)</f>
        <v>0</v>
      </c>
      <c r="AE30" s="46">
        <f>SUMIFS('Components Yr 3'!D2:D1111,'Components Yr 3'!C2:C1111,A30,'Components Yr 3'!B2:B1111,'Bldgs &amp; Rooms'!B31)</f>
        <v>0</v>
      </c>
      <c r="AF30" s="47">
        <f t="shared" si="0"/>
        <v>0</v>
      </c>
    </row>
    <row r="31" spans="1:32" x14ac:dyDescent="0.25">
      <c r="A31" s="48" t="s">
        <v>44</v>
      </c>
      <c r="B31" s="49">
        <f>SUMIFS('Components Yr 3'!D2:D1111,'Components Yr 3'!C2:C1111,A31,'Components Yr 3'!B2:B1111,'Bldgs &amp; Rooms'!B2)</f>
        <v>0</v>
      </c>
      <c r="C31" s="49">
        <f>SUMIFS('Components Yr 3'!D2:D1111,'Components Yr 3'!C2:C1111,A31,'Components Yr 3'!B2:B1111,'Bldgs &amp; Rooms'!B3)</f>
        <v>0</v>
      </c>
      <c r="D31" s="49">
        <f>SUMIFS('Components Yr 3'!D2:D1111,'Components Yr 3'!C2:C1111,A31,'Components Yr 3'!B2:B1111,'Bldgs &amp; Rooms'!B4)</f>
        <v>0</v>
      </c>
      <c r="E31" s="49">
        <f>SUMIFS('Components Yr 3'!D2:D1111,'Components Yr 3'!C2:C1111,A31,'Components Yr 3'!B2:B1111,'Bldgs &amp; Rooms'!B5)</f>
        <v>0</v>
      </c>
      <c r="F31" s="49">
        <f>SUMIFS('Components Yr 3'!D2:D1111,'Components Yr 3'!C2:C1111,A31,'Components Yr 3'!B2:B1111,'Bldgs &amp; Rooms'!B6)</f>
        <v>0</v>
      </c>
      <c r="G31" s="49">
        <f>SUMIFS('Components Yr 3'!D2:D1111,'Components Yr 3'!C2:C1111,A31,'Components Yr 3'!B2:B1111,'Bldgs &amp; Rooms'!B7)</f>
        <v>0</v>
      </c>
      <c r="H31" s="49">
        <f>SUMIFS('Components Yr 3'!D2:D1111,'Components Yr 3'!C2:C1111,A31,'Components Yr 3'!B2:B1111,'Bldgs &amp; Rooms'!B8)</f>
        <v>0</v>
      </c>
      <c r="I31" s="49">
        <f>SUMIFS('Components Yr 3'!D2:D1111,'Components Yr 3'!C2:C1111,A31,'Components Yr 3'!B2:B1111,'Bldgs &amp; Rooms'!B9)</f>
        <v>0</v>
      </c>
      <c r="J31" s="49">
        <f>SUMIFS('Components Yr 3'!D2:D1111,'Components Yr 3'!C2:C1111,A31,'Components Yr 3'!B2:B1111,'Bldgs &amp; Rooms'!B10)</f>
        <v>0</v>
      </c>
      <c r="K31" s="49">
        <f>SUMIFS('Components Yr 3'!D2:D1111,'Components Yr 3'!C2:C1111,A31,'Components Yr 3'!B2:B1111,'Bldgs &amp; Rooms'!B11)</f>
        <v>0</v>
      </c>
      <c r="L31" s="49">
        <f>SUMIFS('Components Yr 3'!D2:D1111,'Components Yr 3'!C2:C1111,A31,'Components Yr 3'!B2:B1111,'Bldgs &amp; Rooms'!B12)</f>
        <v>0</v>
      </c>
      <c r="M31" s="49">
        <f>SUMIFS('Components Yr 3'!D2:D1111,'Components Yr 3'!C2:C1111,A31,'Components Yr 3'!B2:B1111,'Bldgs &amp; Rooms'!B13)</f>
        <v>0</v>
      </c>
      <c r="N31" s="49">
        <f>SUMIFS('Components Yr 3'!D2:D1111,'Components Yr 3'!C2:C1111,A31,'Components Yr 3'!B2:B1111,'Bldgs &amp; Rooms'!B14)</f>
        <v>0</v>
      </c>
      <c r="O31" s="49">
        <f>SUMIFS('Components Yr 3'!D2:D1111,'Components Yr 3'!C2:C1111,A31,'Components Yr 3'!B2:B1111,'Bldgs &amp; Rooms'!B15)</f>
        <v>0</v>
      </c>
      <c r="P31" s="49">
        <f>SUMIFS('Components Yr 3'!D2:D1111,'Components Yr 3'!C2:C1111,A31,'Components Yr 3'!B2:B1111,'Bldgs &amp; Rooms'!B16)</f>
        <v>0</v>
      </c>
      <c r="Q31" s="49">
        <f>SUMIFS('Components Yr 3'!D2:D1111,'Components Yr 3'!C2:C1111,A31,'Components Yr 3'!B2:B1111,'Bldgs &amp; Rooms'!B17)</f>
        <v>0</v>
      </c>
      <c r="R31" s="49">
        <f>SUMIFS('Components Yr 3'!D2:D1111,'Components Yr 3'!C2:C1111,A31,'Components Yr 3'!B2:B1111,'Bldgs &amp; Rooms'!B18)</f>
        <v>0</v>
      </c>
      <c r="S31" s="49">
        <f>SUMIFS('Components Yr 3'!D2:D1111,'Components Yr 3'!C2:C1111,A31,'Components Yr 3'!B2:B1111,'Bldgs &amp; Rooms'!B19)</f>
        <v>0</v>
      </c>
      <c r="T31" s="49">
        <f>SUMIFS('Components Yr 3'!D2:D1111,'Components Yr 3'!C2:C1111,A31,'Components Yr 3'!B2:B1111,'Bldgs &amp; Rooms'!B20)</f>
        <v>0</v>
      </c>
      <c r="U31" s="49">
        <f>SUMIFS('Components Yr 3'!D2:D1111,'Components Yr 3'!C2:C1111,A31,'Components Yr 3'!B2:B1111,'Bldgs &amp; Rooms'!B21)</f>
        <v>0</v>
      </c>
      <c r="V31" s="49">
        <f>SUMIFS('Components Yr 3'!D2:D1111,'Components Yr 3'!C2:C1111,A31,'Components Yr 3'!B2:B1111,'Bldgs &amp; Rooms'!B22)</f>
        <v>0</v>
      </c>
      <c r="W31" s="49">
        <f>SUMIFS('Components Yr 3'!D2:D1111,'Components Yr 3'!C2:C1111,A31,'Components Yr 3'!B2:B1111,'Bldgs &amp; Rooms'!B23)</f>
        <v>0</v>
      </c>
      <c r="X31" s="49">
        <f>SUMIFS('Components Yr 3'!D2:D1111,'Components Yr 3'!C2:C1111,A31,'Components Yr 3'!B2:B1111,'Bldgs &amp; Rooms'!B24)</f>
        <v>0</v>
      </c>
      <c r="Y31" s="49">
        <f>SUMIFS('Components Yr 3'!D2:D1111,'Components Yr 3'!C2:C1111,A31,'Components Yr 3'!B2:B1111,'Bldgs &amp; Rooms'!B25)</f>
        <v>0</v>
      </c>
      <c r="Z31" s="49">
        <f>SUMIFS('Components Yr 3'!D2:D1111,'Components Yr 3'!C2:C1111,A31,'Components Yr 3'!B2:B1111,'Bldgs &amp; Rooms'!B26)</f>
        <v>0</v>
      </c>
      <c r="AA31" s="49">
        <f>SUMIFS('Components Yr 3'!D2:D1111,'Components Yr 3'!C2:C1111,A31,'Components Yr 3'!B2:B1111,'Bldgs &amp; Rooms'!B27)</f>
        <v>0</v>
      </c>
      <c r="AB31" s="49">
        <f>SUMIFS('Components Yr 3'!D2:D1111,'Components Yr 3'!C2:C1111,A31,'Components Yr 3'!B2:B1111,'Bldgs &amp; Rooms'!B28)</f>
        <v>0</v>
      </c>
      <c r="AC31" s="49">
        <f>SUMIFS('Components Yr 3'!D2:D1111,'Components Yr 3'!C2:C1111,A31,'Components Yr 3'!B2:B1111,'Bldgs &amp; Rooms'!B29)</f>
        <v>0</v>
      </c>
      <c r="AD31" s="49">
        <f>SUMIFS('Components Yr 3'!D2:D1111,'Components Yr 3'!C2:C1111,A31,'Components Yr 3'!B2:B1111,'Bldgs &amp; Rooms'!B30)</f>
        <v>0</v>
      </c>
      <c r="AE31" s="49">
        <f>SUMIFS('Components Yr 3'!D2:D1111,'Components Yr 3'!C2:C1111,A31,'Components Yr 3'!B2:B1111,'Bldgs &amp; Rooms'!B31)</f>
        <v>0</v>
      </c>
      <c r="AF31" s="47">
        <f t="shared" si="0"/>
        <v>0</v>
      </c>
    </row>
    <row r="32" spans="1:32" x14ac:dyDescent="0.25">
      <c r="A32" s="45" t="s">
        <v>45</v>
      </c>
      <c r="B32" s="46">
        <f>SUMIFS('Components Yr 3'!D2:D1111,'Components Yr 3'!C2:C1111,A32,'Components Yr 3'!B2:B1111,'Bldgs &amp; Rooms'!B2)</f>
        <v>0</v>
      </c>
      <c r="C32" s="46">
        <f>SUMIFS('Components Yr 3'!D2:D1111,'Components Yr 3'!C2:C1111,A32,'Components Yr 3'!B2:B1111,'Bldgs &amp; Rooms'!B3)</f>
        <v>0</v>
      </c>
      <c r="D32" s="46">
        <f>SUMIFS('Components Yr 3'!D2:D1111,'Components Yr 3'!C2:C1111,A32,'Components Yr 3'!B2:B1111,'Bldgs &amp; Rooms'!B4)</f>
        <v>0</v>
      </c>
      <c r="E32" s="46">
        <f>SUMIFS('Components Yr 3'!D2:D1111,'Components Yr 3'!C2:C1111,A32,'Components Yr 3'!B2:B1111,'Bldgs &amp; Rooms'!B5)</f>
        <v>0</v>
      </c>
      <c r="F32" s="46">
        <f>SUMIFS('Components Yr 3'!D2:D1111,'Components Yr 3'!C2:C1111,A32,'Components Yr 3'!B2:B1111,'Bldgs &amp; Rooms'!B6)</f>
        <v>0</v>
      </c>
      <c r="G32" s="46">
        <f>SUMIFS('Components Yr 3'!D2:D1111,'Components Yr 3'!C2:C1111,A32,'Components Yr 3'!B2:B1111,'Bldgs &amp; Rooms'!B7)</f>
        <v>0</v>
      </c>
      <c r="H32" s="46">
        <f>SUMIFS('Components Yr 3'!D2:D1111,'Components Yr 3'!C2:C1111,A32,'Components Yr 3'!B2:B1111,'Bldgs &amp; Rooms'!B8)</f>
        <v>0</v>
      </c>
      <c r="I32" s="46">
        <f>SUMIFS('Components Yr 3'!D2:D1111,'Components Yr 3'!C2:C1111,A32,'Components Yr 3'!B2:B1111,'Bldgs &amp; Rooms'!B9)</f>
        <v>0</v>
      </c>
      <c r="J32" s="46">
        <f>SUMIFS('Components Yr 3'!D2:D1111,'Components Yr 3'!C2:C1111,A32,'Components Yr 3'!B2:B1111,'Bldgs &amp; Rooms'!B10)</f>
        <v>0</v>
      </c>
      <c r="K32" s="46">
        <f>SUMIFS('Components Yr 3'!D2:D1111,'Components Yr 3'!C2:C1111,A32,'Components Yr 3'!B2:B1111,'Bldgs &amp; Rooms'!B11)</f>
        <v>0</v>
      </c>
      <c r="L32" s="46">
        <f>SUMIFS('Components Yr 3'!D2:D1111,'Components Yr 3'!C2:C1111,A32,'Components Yr 3'!B2:B1111,'Bldgs &amp; Rooms'!B12)</f>
        <v>0</v>
      </c>
      <c r="M32" s="46">
        <f>SUMIFS('Components Yr 3'!D2:D1111,'Components Yr 3'!C2:C1111,A32,'Components Yr 3'!B2:B1111,'Bldgs &amp; Rooms'!B13)</f>
        <v>0</v>
      </c>
      <c r="N32" s="46">
        <f>SUMIFS('Components Yr 3'!D2:D1111,'Components Yr 3'!C2:C1111,A32,'Components Yr 3'!B2:B1111,'Bldgs &amp; Rooms'!B14)</f>
        <v>0</v>
      </c>
      <c r="O32" s="46">
        <f>SUMIFS('Components Yr 3'!D2:D1111,'Components Yr 3'!C2:C1111,A32,'Components Yr 3'!B2:B1111,'Bldgs &amp; Rooms'!B15)</f>
        <v>0</v>
      </c>
      <c r="P32" s="46">
        <f>SUMIFS('Components Yr 3'!D2:D1111,'Components Yr 3'!C2:C1111,A32,'Components Yr 3'!B2:B1111,'Bldgs &amp; Rooms'!B16)</f>
        <v>0</v>
      </c>
      <c r="Q32" s="46">
        <f>SUMIFS('Components Yr 3'!D2:D1111,'Components Yr 3'!C2:C1111,A32,'Components Yr 3'!B2:B1111,'Bldgs &amp; Rooms'!B17)</f>
        <v>0</v>
      </c>
      <c r="R32" s="46">
        <f>SUMIFS('Components Yr 3'!D2:D1111,'Components Yr 3'!C2:C1111,A32,'Components Yr 3'!B2:B1111,'Bldgs &amp; Rooms'!B18)</f>
        <v>0</v>
      </c>
      <c r="S32" s="46">
        <f>SUMIFS('Components Yr 3'!D2:D1111,'Components Yr 3'!C2:C1111,A32,'Components Yr 3'!B2:B1111,'Bldgs &amp; Rooms'!B19)</f>
        <v>0</v>
      </c>
      <c r="T32" s="46">
        <f>SUMIFS('Components Yr 3'!D2:D1111,'Components Yr 3'!C2:C1111,A32,'Components Yr 3'!B2:B1111,'Bldgs &amp; Rooms'!B20)</f>
        <v>0</v>
      </c>
      <c r="U32" s="46">
        <f>SUMIFS('Components Yr 3'!D2:D1111,'Components Yr 3'!C2:C1111,A32,'Components Yr 3'!B2:B1111,'Bldgs &amp; Rooms'!B21)</f>
        <v>0</v>
      </c>
      <c r="V32" s="46">
        <f>SUMIFS('Components Yr 3'!D2:D1111,'Components Yr 3'!C2:C1111,A32,'Components Yr 3'!B2:B1111,'Bldgs &amp; Rooms'!B22)</f>
        <v>0</v>
      </c>
      <c r="W32" s="46">
        <f>SUMIFS('Components Yr 3'!D2:D1111,'Components Yr 3'!C2:C1111,A32,'Components Yr 3'!B2:B1111,'Bldgs &amp; Rooms'!B23)</f>
        <v>0</v>
      </c>
      <c r="X32" s="46">
        <f>SUMIFS('Components Yr 3'!D2:D1111,'Components Yr 3'!C2:C1111,A32,'Components Yr 3'!B2:B1111,'Bldgs &amp; Rooms'!B24)</f>
        <v>0</v>
      </c>
      <c r="Y32" s="46">
        <f>SUMIFS('Components Yr 3'!D2:D1111,'Components Yr 3'!C2:C1111,A32,'Components Yr 3'!B2:B1111,'Bldgs &amp; Rooms'!B25)</f>
        <v>0</v>
      </c>
      <c r="Z32" s="46">
        <f>SUMIFS('Components Yr 3'!D2:D1111,'Components Yr 3'!C2:C1111,A32,'Components Yr 3'!B2:B1111,'Bldgs &amp; Rooms'!B26)</f>
        <v>0</v>
      </c>
      <c r="AA32" s="46">
        <f>SUMIFS('Components Yr 3'!D2:D1111,'Components Yr 3'!C2:C1111,A32,'Components Yr 3'!B2:B1111,'Bldgs &amp; Rooms'!B27)</f>
        <v>0</v>
      </c>
      <c r="AB32" s="46">
        <f>SUMIFS('Components Yr 3'!D2:D1111,'Components Yr 3'!C2:C1111,A32,'Components Yr 3'!B2:B1111,'Bldgs &amp; Rooms'!B28)</f>
        <v>0</v>
      </c>
      <c r="AC32" s="46">
        <f>SUMIFS('Components Yr 3'!D2:D1111,'Components Yr 3'!C2:C1111,A32,'Components Yr 3'!B2:B1111,'Bldgs &amp; Rooms'!B29)</f>
        <v>0</v>
      </c>
      <c r="AD32" s="46">
        <f>SUMIFS('Components Yr 3'!D2:D1111,'Components Yr 3'!C2:C1111,A32,'Components Yr 3'!B2:B1111,'Bldgs &amp; Rooms'!B30)</f>
        <v>0</v>
      </c>
      <c r="AE32" s="46">
        <f>SUMIFS('Components Yr 3'!D2:D1111,'Components Yr 3'!C2:C1111,A32,'Components Yr 3'!B2:B1111,'Bldgs &amp; Rooms'!B31)</f>
        <v>0</v>
      </c>
      <c r="AF32" s="47">
        <f t="shared" si="0"/>
        <v>0</v>
      </c>
    </row>
    <row r="33" spans="1:32" x14ac:dyDescent="0.25">
      <c r="A33" s="48" t="s">
        <v>46</v>
      </c>
      <c r="B33" s="49">
        <f>SUMIFS('Components Yr 3'!D2:D1111,'Components Yr 3'!C2:C1111,A33,'Components Yr 3'!B2:B1111,'Bldgs &amp; Rooms'!B2)</f>
        <v>0</v>
      </c>
      <c r="C33" s="49">
        <f>SUMIFS('Components Yr 3'!D2:D1111,'Components Yr 3'!C2:C1111,A33,'Components Yr 3'!B2:B1111,'Bldgs &amp; Rooms'!B3)</f>
        <v>0</v>
      </c>
      <c r="D33" s="49">
        <f>SUMIFS('Components Yr 3'!D2:D1111,'Components Yr 3'!C2:C1111,A33,'Components Yr 3'!B2:B1111,'Bldgs &amp; Rooms'!B4)</f>
        <v>0</v>
      </c>
      <c r="E33" s="49">
        <f>SUMIFS('Components Yr 3'!D2:D1111,'Components Yr 3'!C2:C1111,A33,'Components Yr 3'!B2:B1111,'Bldgs &amp; Rooms'!B5)</f>
        <v>0</v>
      </c>
      <c r="F33" s="49">
        <f>SUMIFS('Components Yr 3'!D2:D1111,'Components Yr 3'!C2:C1111,A33,'Components Yr 3'!B2:B1111,'Bldgs &amp; Rooms'!B6)</f>
        <v>0</v>
      </c>
      <c r="G33" s="49">
        <f>SUMIFS('Components Yr 3'!D2:D1111,'Components Yr 3'!C2:C1111,A33,'Components Yr 3'!B2:B1111,'Bldgs &amp; Rooms'!B7)</f>
        <v>0</v>
      </c>
      <c r="H33" s="49">
        <f>SUMIFS('Components Yr 3'!D2:D1111,'Components Yr 3'!C2:C1111,A33,'Components Yr 3'!B2:B1111,'Bldgs &amp; Rooms'!B8)</f>
        <v>0</v>
      </c>
      <c r="I33" s="49">
        <f>SUMIFS('Components Yr 3'!D2:D1111,'Components Yr 3'!C2:C1111,A33,'Components Yr 3'!B2:B1111,'Bldgs &amp; Rooms'!B9)</f>
        <v>0</v>
      </c>
      <c r="J33" s="49">
        <f>SUMIFS('Components Yr 3'!D2:D1111,'Components Yr 3'!C2:C1111,A33,'Components Yr 3'!B2:B1111,'Bldgs &amp; Rooms'!B10)</f>
        <v>0</v>
      </c>
      <c r="K33" s="49">
        <f>SUMIFS('Components Yr 3'!D2:D1111,'Components Yr 3'!C2:C1111,A33,'Components Yr 3'!B2:B1111,'Bldgs &amp; Rooms'!B11)</f>
        <v>0</v>
      </c>
      <c r="L33" s="49">
        <f>SUMIFS('Components Yr 3'!D2:D1111,'Components Yr 3'!C2:C1111,A33,'Components Yr 3'!B2:B1111,'Bldgs &amp; Rooms'!B12)</f>
        <v>0</v>
      </c>
      <c r="M33" s="49">
        <f>SUMIFS('Components Yr 3'!D2:D1111,'Components Yr 3'!C2:C1111,A33,'Components Yr 3'!B2:B1111,'Bldgs &amp; Rooms'!B13)</f>
        <v>0</v>
      </c>
      <c r="N33" s="49">
        <f>SUMIFS('Components Yr 3'!D2:D1111,'Components Yr 3'!C2:C1111,A33,'Components Yr 3'!B2:B1111,'Bldgs &amp; Rooms'!B14)</f>
        <v>0</v>
      </c>
      <c r="O33" s="49">
        <f>SUMIFS('Components Yr 3'!D2:D1111,'Components Yr 3'!C2:C1111,A33,'Components Yr 3'!B2:B1111,'Bldgs &amp; Rooms'!B15)</f>
        <v>0</v>
      </c>
      <c r="P33" s="49">
        <f>SUMIFS('Components Yr 3'!D2:D1111,'Components Yr 3'!C2:C1111,A33,'Components Yr 3'!B2:B1111,'Bldgs &amp; Rooms'!B16)</f>
        <v>0</v>
      </c>
      <c r="Q33" s="49">
        <f>SUMIFS('Components Yr 3'!D2:D1111,'Components Yr 3'!C2:C1111,A33,'Components Yr 3'!B2:B1111,'Bldgs &amp; Rooms'!B17)</f>
        <v>0</v>
      </c>
      <c r="R33" s="49">
        <f>SUMIFS('Components Yr 3'!D2:D1111,'Components Yr 3'!C2:C1111,A33,'Components Yr 3'!B2:B1111,'Bldgs &amp; Rooms'!B18)</f>
        <v>0</v>
      </c>
      <c r="S33" s="49">
        <f>SUMIFS('Components Yr 3'!D2:D1111,'Components Yr 3'!C2:C1111,A33,'Components Yr 3'!B2:B1111,'Bldgs &amp; Rooms'!B19)</f>
        <v>0</v>
      </c>
      <c r="T33" s="49">
        <f>SUMIFS('Components Yr 3'!D2:D1111,'Components Yr 3'!C2:C1111,A33,'Components Yr 3'!B2:B1111,'Bldgs &amp; Rooms'!B20)</f>
        <v>0</v>
      </c>
      <c r="U33" s="49">
        <f>SUMIFS('Components Yr 3'!D2:D1111,'Components Yr 3'!C2:C1111,A33,'Components Yr 3'!B2:B1111,'Bldgs &amp; Rooms'!B21)</f>
        <v>0</v>
      </c>
      <c r="V33" s="49">
        <f>SUMIFS('Components Yr 3'!D2:D1111,'Components Yr 3'!C2:C1111,A33,'Components Yr 3'!B2:B1111,'Bldgs &amp; Rooms'!B22)</f>
        <v>0</v>
      </c>
      <c r="W33" s="49">
        <f>SUMIFS('Components Yr 3'!D2:D1111,'Components Yr 3'!C2:C1111,A33,'Components Yr 3'!B2:B1111,'Bldgs &amp; Rooms'!B23)</f>
        <v>0</v>
      </c>
      <c r="X33" s="49">
        <f>SUMIFS('Components Yr 3'!D2:D1111,'Components Yr 3'!C2:C1111,A33,'Components Yr 3'!B2:B1111,'Bldgs &amp; Rooms'!B24)</f>
        <v>0</v>
      </c>
      <c r="Y33" s="49">
        <f>SUMIFS('Components Yr 3'!D2:D1111,'Components Yr 3'!C2:C1111,A33,'Components Yr 3'!B2:B1111,'Bldgs &amp; Rooms'!B25)</f>
        <v>0</v>
      </c>
      <c r="Z33" s="49">
        <f>SUMIFS('Components Yr 3'!D2:D1111,'Components Yr 3'!C2:C1111,A33,'Components Yr 3'!B2:B1111,'Bldgs &amp; Rooms'!B26)</f>
        <v>0</v>
      </c>
      <c r="AA33" s="49">
        <f>SUMIFS('Components Yr 3'!D2:D1111,'Components Yr 3'!C2:C1111,A33,'Components Yr 3'!B2:B1111,'Bldgs &amp; Rooms'!B27)</f>
        <v>0</v>
      </c>
      <c r="AB33" s="49">
        <f>SUMIFS('Components Yr 3'!D2:D1111,'Components Yr 3'!C2:C1111,A33,'Components Yr 3'!B2:B1111,'Bldgs &amp; Rooms'!B28)</f>
        <v>0</v>
      </c>
      <c r="AC33" s="49">
        <f>SUMIFS('Components Yr 3'!D2:D1111,'Components Yr 3'!C2:C1111,A33,'Components Yr 3'!B2:B1111,'Bldgs &amp; Rooms'!B29)</f>
        <v>0</v>
      </c>
      <c r="AD33" s="49">
        <f>SUMIFS('Components Yr 3'!D2:D1111,'Components Yr 3'!C2:C1111,A33,'Components Yr 3'!B2:B1111,'Bldgs &amp; Rooms'!B30)</f>
        <v>0</v>
      </c>
      <c r="AE33" s="49">
        <f>SUMIFS('Components Yr 3'!D2:D1111,'Components Yr 3'!C2:C1111,A33,'Components Yr 3'!B2:B1111,'Bldgs &amp; Rooms'!B31)</f>
        <v>0</v>
      </c>
      <c r="AF33" s="47">
        <f t="shared" si="0"/>
        <v>0</v>
      </c>
    </row>
    <row r="34" spans="1:32" x14ac:dyDescent="0.25">
      <c r="A34" s="45" t="s">
        <v>47</v>
      </c>
      <c r="B34" s="46">
        <f>SUMIFS('Components Yr 3'!D2:D1111,'Components Yr 3'!C2:C1111,A34,'Components Yr 3'!B2:B1111,'Bldgs &amp; Rooms'!B2)</f>
        <v>0</v>
      </c>
      <c r="C34" s="46">
        <f>SUMIFS('Components Yr 3'!D2:D1111,'Components Yr 3'!C2:C1111,A34,'Components Yr 3'!B2:B1111,'Bldgs &amp; Rooms'!B3)</f>
        <v>0</v>
      </c>
      <c r="D34" s="46">
        <f>SUMIFS('Components Yr 3'!D2:D1111,'Components Yr 3'!C2:C1111,A34,'Components Yr 3'!B2:B1111,'Bldgs &amp; Rooms'!B4)</f>
        <v>0</v>
      </c>
      <c r="E34" s="46">
        <f>SUMIFS('Components Yr 3'!D2:D1111,'Components Yr 3'!C2:C1111,A34,'Components Yr 3'!B2:B1111,'Bldgs &amp; Rooms'!B5)</f>
        <v>0</v>
      </c>
      <c r="F34" s="46">
        <f>SUMIFS('Components Yr 3'!D2:D1111,'Components Yr 3'!C2:C1111,A34,'Components Yr 3'!B2:B1111,'Bldgs &amp; Rooms'!B6)</f>
        <v>0</v>
      </c>
      <c r="G34" s="46">
        <f>SUMIFS('Components Yr 3'!D2:D1111,'Components Yr 3'!C2:C1111,A34,'Components Yr 3'!B2:B1111,'Bldgs &amp; Rooms'!B7)</f>
        <v>0</v>
      </c>
      <c r="H34" s="46">
        <f>SUMIFS('Components Yr 3'!D2:D1111,'Components Yr 3'!C2:C1111,A34,'Components Yr 3'!B2:B1111,'Bldgs &amp; Rooms'!B8)</f>
        <v>0</v>
      </c>
      <c r="I34" s="46">
        <f>SUMIFS('Components Yr 3'!D2:D1111,'Components Yr 3'!C2:C1111,A34,'Components Yr 3'!B2:B1111,'Bldgs &amp; Rooms'!B9)</f>
        <v>0</v>
      </c>
      <c r="J34" s="46">
        <f>SUMIFS('Components Yr 3'!D2:D1111,'Components Yr 3'!C2:C1111,A34,'Components Yr 3'!B2:B1111,'Bldgs &amp; Rooms'!B10)</f>
        <v>0</v>
      </c>
      <c r="K34" s="46">
        <f>SUMIFS('Components Yr 3'!D2:D1111,'Components Yr 3'!C2:C1111,A34,'Components Yr 3'!B2:B1111,'Bldgs &amp; Rooms'!B11)</f>
        <v>0</v>
      </c>
      <c r="L34" s="46">
        <f>SUMIFS('Components Yr 3'!D2:D1111,'Components Yr 3'!C2:C1111,A34,'Components Yr 3'!B2:B1111,'Bldgs &amp; Rooms'!B12)</f>
        <v>0</v>
      </c>
      <c r="M34" s="46">
        <f>SUMIFS('Components Yr 3'!D2:D1111,'Components Yr 3'!C2:C1111,A34,'Components Yr 3'!B2:B1111,'Bldgs &amp; Rooms'!B13)</f>
        <v>0</v>
      </c>
      <c r="N34" s="46">
        <f>SUMIFS('Components Yr 3'!D2:D1111,'Components Yr 3'!C2:C1111,A34,'Components Yr 3'!B2:B1111,'Bldgs &amp; Rooms'!B14)</f>
        <v>0</v>
      </c>
      <c r="O34" s="46">
        <f>SUMIFS('Components Yr 3'!D2:D1111,'Components Yr 3'!C2:C1111,A34,'Components Yr 3'!B2:B1111,'Bldgs &amp; Rooms'!B15)</f>
        <v>0</v>
      </c>
      <c r="P34" s="46">
        <f>SUMIFS('Components Yr 3'!D2:D1111,'Components Yr 3'!C2:C1111,A34,'Components Yr 3'!B2:B1111,'Bldgs &amp; Rooms'!B16)</f>
        <v>0</v>
      </c>
      <c r="Q34" s="46">
        <f>SUMIFS('Components Yr 3'!D2:D1111,'Components Yr 3'!C2:C1111,A34,'Components Yr 3'!B2:B1111,'Bldgs &amp; Rooms'!B17)</f>
        <v>0</v>
      </c>
      <c r="R34" s="46">
        <f>SUMIFS('Components Yr 3'!D2:D1111,'Components Yr 3'!C2:C1111,A34,'Components Yr 3'!B2:B1111,'Bldgs &amp; Rooms'!B18)</f>
        <v>0</v>
      </c>
      <c r="S34" s="46">
        <f>SUMIFS('Components Yr 3'!D2:D1111,'Components Yr 3'!C2:C1111,A34,'Components Yr 3'!B2:B1111,'Bldgs &amp; Rooms'!B19)</f>
        <v>0</v>
      </c>
      <c r="T34" s="46">
        <f>SUMIFS('Components Yr 3'!D2:D1111,'Components Yr 3'!C2:C1111,A34,'Components Yr 3'!B2:B1111,'Bldgs &amp; Rooms'!B20)</f>
        <v>0</v>
      </c>
      <c r="U34" s="46">
        <f>SUMIFS('Components Yr 3'!D2:D1111,'Components Yr 3'!C2:C1111,A34,'Components Yr 3'!B2:B1111,'Bldgs &amp; Rooms'!B21)</f>
        <v>0</v>
      </c>
      <c r="V34" s="46">
        <f>SUMIFS('Components Yr 3'!D2:D1111,'Components Yr 3'!C2:C1111,A34,'Components Yr 3'!B2:B1111,'Bldgs &amp; Rooms'!B22)</f>
        <v>0</v>
      </c>
      <c r="W34" s="46">
        <f>SUMIFS('Components Yr 3'!D2:D1111,'Components Yr 3'!C2:C1111,A34,'Components Yr 3'!B2:B1111,'Bldgs &amp; Rooms'!B23)</f>
        <v>0</v>
      </c>
      <c r="X34" s="46">
        <f>SUMIFS('Components Yr 3'!D2:D1111,'Components Yr 3'!C2:C1111,A34,'Components Yr 3'!B2:B1111,'Bldgs &amp; Rooms'!B24)</f>
        <v>0</v>
      </c>
      <c r="Y34" s="46">
        <f>SUMIFS('Components Yr 3'!D2:D1111,'Components Yr 3'!C2:C1111,A34,'Components Yr 3'!B2:B1111,'Bldgs &amp; Rooms'!B25)</f>
        <v>0</v>
      </c>
      <c r="Z34" s="46">
        <f>SUMIFS('Components Yr 3'!D2:D1111,'Components Yr 3'!C2:C1111,A34,'Components Yr 3'!B2:B1111,'Bldgs &amp; Rooms'!B26)</f>
        <v>0</v>
      </c>
      <c r="AA34" s="46">
        <f>SUMIFS('Components Yr 3'!D2:D1111,'Components Yr 3'!C2:C1111,A34,'Components Yr 3'!B2:B1111,'Bldgs &amp; Rooms'!B27)</f>
        <v>0</v>
      </c>
      <c r="AB34" s="46">
        <f>SUMIFS('Components Yr 3'!D2:D1111,'Components Yr 3'!C2:C1111,A34,'Components Yr 3'!B2:B1111,'Bldgs &amp; Rooms'!B28)</f>
        <v>0</v>
      </c>
      <c r="AC34" s="46">
        <f>SUMIFS('Components Yr 3'!D2:D1111,'Components Yr 3'!C2:C1111,A34,'Components Yr 3'!B2:B1111,'Bldgs &amp; Rooms'!B29)</f>
        <v>0</v>
      </c>
      <c r="AD34" s="46">
        <f>SUMIFS('Components Yr 3'!D2:D1111,'Components Yr 3'!C2:C1111,A34,'Components Yr 3'!B2:B1111,'Bldgs &amp; Rooms'!B30)</f>
        <v>0</v>
      </c>
      <c r="AE34" s="46">
        <f>SUMIFS('Components Yr 3'!D2:D1111,'Components Yr 3'!C2:C1111,A34,'Components Yr 3'!B2:B1111,'Bldgs &amp; Rooms'!B31)</f>
        <v>0</v>
      </c>
      <c r="AF34" s="47">
        <f t="shared" si="0"/>
        <v>0</v>
      </c>
    </row>
    <row r="35" spans="1:32" x14ac:dyDescent="0.25">
      <c r="A35" s="48" t="s">
        <v>48</v>
      </c>
      <c r="B35" s="49">
        <f>SUMIFS('Components Yr 3'!D2:D1111,'Components Yr 3'!C2:C1111,A35,'Components Yr 3'!B2:B1111,'Bldgs &amp; Rooms'!B2)</f>
        <v>0</v>
      </c>
      <c r="C35" s="49">
        <f>SUMIFS('Components Yr 3'!D2:D1111,'Components Yr 3'!C2:C1111,A35,'Components Yr 3'!B2:B1111,'Bldgs &amp; Rooms'!B3)</f>
        <v>0</v>
      </c>
      <c r="D35" s="49">
        <f>SUMIFS('Components Yr 3'!D2:D1111,'Components Yr 3'!C2:C1111,A35,'Components Yr 3'!B2:B1111,'Bldgs &amp; Rooms'!B4)</f>
        <v>0</v>
      </c>
      <c r="E35" s="49">
        <f>SUMIFS('Components Yr 3'!D2:D1111,'Components Yr 3'!C2:C1111,A35,'Components Yr 3'!B2:B1111,'Bldgs &amp; Rooms'!B5)</f>
        <v>0</v>
      </c>
      <c r="F35" s="49">
        <f>SUMIFS('Components Yr 3'!D2:D1111,'Components Yr 3'!C2:C1111,A35,'Components Yr 3'!B2:B1111,'Bldgs &amp; Rooms'!B6)</f>
        <v>0</v>
      </c>
      <c r="G35" s="49">
        <f>SUMIFS('Components Yr 3'!D2:D1111,'Components Yr 3'!C2:C1111,A35,'Components Yr 3'!B2:B1111,'Bldgs &amp; Rooms'!B7)</f>
        <v>0</v>
      </c>
      <c r="H35" s="49">
        <f>SUMIFS('Components Yr 3'!D2:D1111,'Components Yr 3'!C2:C1111,A35,'Components Yr 3'!B2:B1111,'Bldgs &amp; Rooms'!B8)</f>
        <v>0</v>
      </c>
      <c r="I35" s="49">
        <f>SUMIFS('Components Yr 3'!D2:D1111,'Components Yr 3'!C2:C1111,A35,'Components Yr 3'!B2:B1111,'Bldgs &amp; Rooms'!B9)</f>
        <v>0</v>
      </c>
      <c r="J35" s="49">
        <f>SUMIFS('Components Yr 3'!D2:D1111,'Components Yr 3'!C2:C1111,A35,'Components Yr 3'!B2:B1111,'Bldgs &amp; Rooms'!B10)</f>
        <v>0</v>
      </c>
      <c r="K35" s="49">
        <f>SUMIFS('Components Yr 3'!D2:D1111,'Components Yr 3'!C2:C1111,A35,'Components Yr 3'!B2:B1111,'Bldgs &amp; Rooms'!B11)</f>
        <v>0</v>
      </c>
      <c r="L35" s="49">
        <f>SUMIFS('Components Yr 3'!D2:D1111,'Components Yr 3'!C2:C1111,A35,'Components Yr 3'!B2:B1111,'Bldgs &amp; Rooms'!B12)</f>
        <v>0</v>
      </c>
      <c r="M35" s="49">
        <f>SUMIFS('Components Yr 3'!D2:D1111,'Components Yr 3'!C2:C1111,A35,'Components Yr 3'!B2:B1111,'Bldgs &amp; Rooms'!B13)</f>
        <v>0</v>
      </c>
      <c r="N35" s="49">
        <f>SUMIFS('Components Yr 3'!D2:D1111,'Components Yr 3'!C2:C1111,A35,'Components Yr 3'!B2:B1111,'Bldgs &amp; Rooms'!B14)</f>
        <v>0</v>
      </c>
      <c r="O35" s="49">
        <f>SUMIFS('Components Yr 3'!D2:D1111,'Components Yr 3'!C2:C1111,A35,'Components Yr 3'!B2:B1111,'Bldgs &amp; Rooms'!B15)</f>
        <v>0</v>
      </c>
      <c r="P35" s="49">
        <f>SUMIFS('Components Yr 3'!D2:D1111,'Components Yr 3'!C2:C1111,A35,'Components Yr 3'!B2:B1111,'Bldgs &amp; Rooms'!B16)</f>
        <v>0</v>
      </c>
      <c r="Q35" s="49">
        <f>SUMIFS('Components Yr 3'!D2:D1111,'Components Yr 3'!C2:C1111,A35,'Components Yr 3'!B2:B1111,'Bldgs &amp; Rooms'!B17)</f>
        <v>0</v>
      </c>
      <c r="R35" s="49">
        <f>SUMIFS('Components Yr 3'!D2:D1111,'Components Yr 3'!C2:C1111,A35,'Components Yr 3'!B2:B1111,'Bldgs &amp; Rooms'!B18)</f>
        <v>0</v>
      </c>
      <c r="S35" s="49">
        <f>SUMIFS('Components Yr 3'!D2:D1111,'Components Yr 3'!C2:C1111,A35,'Components Yr 3'!B2:B1111,'Bldgs &amp; Rooms'!B19)</f>
        <v>0</v>
      </c>
      <c r="T35" s="49">
        <f>SUMIFS('Components Yr 3'!D2:D1111,'Components Yr 3'!C2:C1111,A35,'Components Yr 3'!B2:B1111,'Bldgs &amp; Rooms'!B20)</f>
        <v>0</v>
      </c>
      <c r="U35" s="49">
        <f>SUMIFS('Components Yr 3'!D2:D1111,'Components Yr 3'!C2:C1111,A35,'Components Yr 3'!B2:B1111,'Bldgs &amp; Rooms'!B21)</f>
        <v>0</v>
      </c>
      <c r="V35" s="49">
        <f>SUMIFS('Components Yr 3'!D2:D1111,'Components Yr 3'!C2:C1111,A35,'Components Yr 3'!B2:B1111,'Bldgs &amp; Rooms'!B22)</f>
        <v>0</v>
      </c>
      <c r="W35" s="49">
        <f>SUMIFS('Components Yr 3'!D2:D1111,'Components Yr 3'!C2:C1111,A35,'Components Yr 3'!B2:B1111,'Bldgs &amp; Rooms'!B23)</f>
        <v>0</v>
      </c>
      <c r="X35" s="49">
        <f>SUMIFS('Components Yr 3'!D2:D1111,'Components Yr 3'!C2:C1111,A35,'Components Yr 3'!B2:B1111,'Bldgs &amp; Rooms'!B24)</f>
        <v>0</v>
      </c>
      <c r="Y35" s="49">
        <f>SUMIFS('Components Yr 3'!D2:D1111,'Components Yr 3'!C2:C1111,A35,'Components Yr 3'!B2:B1111,'Bldgs &amp; Rooms'!B25)</f>
        <v>0</v>
      </c>
      <c r="Z35" s="49">
        <f>SUMIFS('Components Yr 3'!D2:D1111,'Components Yr 3'!C2:C1111,A35,'Components Yr 3'!B2:B1111,'Bldgs &amp; Rooms'!B26)</f>
        <v>0</v>
      </c>
      <c r="AA35" s="49">
        <f>SUMIFS('Components Yr 3'!D2:D1111,'Components Yr 3'!C2:C1111,A35,'Components Yr 3'!B2:B1111,'Bldgs &amp; Rooms'!B27)</f>
        <v>0</v>
      </c>
      <c r="AB35" s="49">
        <f>SUMIFS('Components Yr 3'!D2:D1111,'Components Yr 3'!C2:C1111,A35,'Components Yr 3'!B2:B1111,'Bldgs &amp; Rooms'!B28)</f>
        <v>0</v>
      </c>
      <c r="AC35" s="49">
        <f>SUMIFS('Components Yr 3'!D2:D1111,'Components Yr 3'!C2:C1111,A35,'Components Yr 3'!B2:B1111,'Bldgs &amp; Rooms'!B29)</f>
        <v>0</v>
      </c>
      <c r="AD35" s="49">
        <f>SUMIFS('Components Yr 3'!D2:D1111,'Components Yr 3'!C2:C1111,A35,'Components Yr 3'!B2:B1111,'Bldgs &amp; Rooms'!B30)</f>
        <v>0</v>
      </c>
      <c r="AE35" s="49">
        <f>SUMIFS('Components Yr 3'!D2:D1111,'Components Yr 3'!C2:C1111,A35,'Components Yr 3'!B2:B1111,'Bldgs &amp; Rooms'!B31)</f>
        <v>0</v>
      </c>
      <c r="AF35" s="47">
        <f t="shared" si="0"/>
        <v>0</v>
      </c>
    </row>
    <row r="36" spans="1:32" x14ac:dyDescent="0.25">
      <c r="A36" s="45" t="s">
        <v>49</v>
      </c>
      <c r="B36" s="46">
        <f>SUMIFS('Components Yr 3'!D2:D1111,'Components Yr 3'!C2:C1111,A36,'Components Yr 3'!B2:B1111,'Bldgs &amp; Rooms'!B2)</f>
        <v>0</v>
      </c>
      <c r="C36" s="46">
        <f>SUMIFS('Components Yr 3'!D2:D1111,'Components Yr 3'!C2:C1111,A36,'Components Yr 3'!B2:B1111,'Bldgs &amp; Rooms'!B3)</f>
        <v>0</v>
      </c>
      <c r="D36" s="46">
        <f>SUMIFS('Components Yr 3'!D2:D1111,'Components Yr 3'!C2:C1111,A36,'Components Yr 3'!B2:B1111,'Bldgs &amp; Rooms'!B4)</f>
        <v>0</v>
      </c>
      <c r="E36" s="46">
        <f>SUMIFS('Components Yr 3'!D2:D1111,'Components Yr 3'!C2:C1111,A36,'Components Yr 3'!B2:B1111,'Bldgs &amp; Rooms'!B5)</f>
        <v>0</v>
      </c>
      <c r="F36" s="46">
        <f>SUMIFS('Components Yr 3'!D2:D1111,'Components Yr 3'!C2:C1111,A36,'Components Yr 3'!B2:B1111,'Bldgs &amp; Rooms'!B6)</f>
        <v>0</v>
      </c>
      <c r="G36" s="46">
        <f>SUMIFS('Components Yr 3'!D2:D1111,'Components Yr 3'!C2:C1111,A36,'Components Yr 3'!B2:B1111,'Bldgs &amp; Rooms'!B7)</f>
        <v>0</v>
      </c>
      <c r="H36" s="46">
        <f>SUMIFS('Components Yr 3'!D2:D1111,'Components Yr 3'!C2:C1111,A36,'Components Yr 3'!B2:B1111,'Bldgs &amp; Rooms'!B8)</f>
        <v>0</v>
      </c>
      <c r="I36" s="46">
        <f>SUMIFS('Components Yr 3'!D2:D1111,'Components Yr 3'!C2:C1111,A36,'Components Yr 3'!B2:B1111,'Bldgs &amp; Rooms'!B9)</f>
        <v>0</v>
      </c>
      <c r="J36" s="46">
        <f>SUMIFS('Components Yr 3'!D2:D1111,'Components Yr 3'!C2:C1111,A36,'Components Yr 3'!B2:B1111,'Bldgs &amp; Rooms'!B10)</f>
        <v>0</v>
      </c>
      <c r="K36" s="46">
        <f>SUMIFS('Components Yr 3'!D2:D1111,'Components Yr 3'!C2:C1111,A36,'Components Yr 3'!B2:B1111,'Bldgs &amp; Rooms'!B11)</f>
        <v>0</v>
      </c>
      <c r="L36" s="46">
        <f>SUMIFS('Components Yr 3'!D2:D1111,'Components Yr 3'!C2:C1111,A36,'Components Yr 3'!B2:B1111,'Bldgs &amp; Rooms'!B12)</f>
        <v>0</v>
      </c>
      <c r="M36" s="46">
        <f>SUMIFS('Components Yr 3'!D2:D1111,'Components Yr 3'!C2:C1111,A36,'Components Yr 3'!B2:B1111,'Bldgs &amp; Rooms'!B13)</f>
        <v>0</v>
      </c>
      <c r="N36" s="46">
        <f>SUMIFS('Components Yr 3'!D2:D1111,'Components Yr 3'!C2:C1111,A36,'Components Yr 3'!B2:B1111,'Bldgs &amp; Rooms'!B14)</f>
        <v>0</v>
      </c>
      <c r="O36" s="46">
        <f>SUMIFS('Components Yr 3'!D2:D1111,'Components Yr 3'!C2:C1111,A36,'Components Yr 3'!B2:B1111,'Bldgs &amp; Rooms'!B15)</f>
        <v>0</v>
      </c>
      <c r="P36" s="46">
        <f>SUMIFS('Components Yr 3'!D2:D1111,'Components Yr 3'!C2:C1111,A36,'Components Yr 3'!B2:B1111,'Bldgs &amp; Rooms'!B16)</f>
        <v>0</v>
      </c>
      <c r="Q36" s="46">
        <f>SUMIFS('Components Yr 3'!D2:D1111,'Components Yr 3'!C2:C1111,A36,'Components Yr 3'!B2:B1111,'Bldgs &amp; Rooms'!B17)</f>
        <v>0</v>
      </c>
      <c r="R36" s="46">
        <f>SUMIFS('Components Yr 3'!D2:D1111,'Components Yr 3'!C2:C1111,A36,'Components Yr 3'!B2:B1111,'Bldgs &amp; Rooms'!B18)</f>
        <v>0</v>
      </c>
      <c r="S36" s="46">
        <f>SUMIFS('Components Yr 3'!D2:D1111,'Components Yr 3'!C2:C1111,A36,'Components Yr 3'!B2:B1111,'Bldgs &amp; Rooms'!B19)</f>
        <v>0</v>
      </c>
      <c r="T36" s="46">
        <f>SUMIFS('Components Yr 3'!D2:D1111,'Components Yr 3'!C2:C1111,A36,'Components Yr 3'!B2:B1111,'Bldgs &amp; Rooms'!B20)</f>
        <v>0</v>
      </c>
      <c r="U36" s="46">
        <f>SUMIFS('Components Yr 3'!D2:D1111,'Components Yr 3'!C2:C1111,A36,'Components Yr 3'!B2:B1111,'Bldgs &amp; Rooms'!B21)</f>
        <v>0</v>
      </c>
      <c r="V36" s="46">
        <f>SUMIFS('Components Yr 3'!D2:D1111,'Components Yr 3'!C2:C1111,A36,'Components Yr 3'!B2:B1111,'Bldgs &amp; Rooms'!B22)</f>
        <v>0</v>
      </c>
      <c r="W36" s="46">
        <f>SUMIFS('Components Yr 3'!D2:D1111,'Components Yr 3'!C2:C1111,A36,'Components Yr 3'!B2:B1111,'Bldgs &amp; Rooms'!B23)</f>
        <v>0</v>
      </c>
      <c r="X36" s="46">
        <f>SUMIFS('Components Yr 3'!D2:D1111,'Components Yr 3'!C2:C1111,A36,'Components Yr 3'!B2:B1111,'Bldgs &amp; Rooms'!B24)</f>
        <v>0</v>
      </c>
      <c r="Y36" s="46">
        <f>SUMIFS('Components Yr 3'!D2:D1111,'Components Yr 3'!C2:C1111,A36,'Components Yr 3'!B2:B1111,'Bldgs &amp; Rooms'!B25)</f>
        <v>0</v>
      </c>
      <c r="Z36" s="46">
        <f>SUMIFS('Components Yr 3'!D2:D1111,'Components Yr 3'!C2:C1111,A36,'Components Yr 3'!B2:B1111,'Bldgs &amp; Rooms'!B26)</f>
        <v>0</v>
      </c>
      <c r="AA36" s="46">
        <f>SUMIFS('Components Yr 3'!D2:D1111,'Components Yr 3'!C2:C1111,A36,'Components Yr 3'!B2:B1111,'Bldgs &amp; Rooms'!B27)</f>
        <v>0</v>
      </c>
      <c r="AB36" s="46">
        <f>SUMIFS('Components Yr 3'!D2:D1111,'Components Yr 3'!C2:C1111,A36,'Components Yr 3'!B2:B1111,'Bldgs &amp; Rooms'!B28)</f>
        <v>0</v>
      </c>
      <c r="AC36" s="46">
        <f>SUMIFS('Components Yr 3'!D2:D1111,'Components Yr 3'!C2:C1111,A36,'Components Yr 3'!B2:B1111,'Bldgs &amp; Rooms'!B29)</f>
        <v>0</v>
      </c>
      <c r="AD36" s="46">
        <f>SUMIFS('Components Yr 3'!D2:D1111,'Components Yr 3'!C2:C1111,A36,'Components Yr 3'!B2:B1111,'Bldgs &amp; Rooms'!B30)</f>
        <v>0</v>
      </c>
      <c r="AE36" s="46">
        <f>SUMIFS('Components Yr 3'!D2:D1111,'Components Yr 3'!C2:C1111,A36,'Components Yr 3'!B2:B1111,'Bldgs &amp; Rooms'!B31)</f>
        <v>0</v>
      </c>
      <c r="AF36" s="47">
        <f t="shared" si="0"/>
        <v>0</v>
      </c>
    </row>
    <row r="37" spans="1:32" x14ac:dyDescent="0.25">
      <c r="A37" s="48" t="s">
        <v>50</v>
      </c>
      <c r="B37" s="49">
        <f>SUMIFS('Components Yr 3'!D2:D1111,'Components Yr 3'!C2:C1111,A37,'Components Yr 3'!B2:B1111,'Bldgs &amp; Rooms'!B2)</f>
        <v>0</v>
      </c>
      <c r="C37" s="49">
        <f>SUMIFS('Components Yr 3'!D2:D1111,'Components Yr 3'!C2:C1111,A37,'Components Yr 3'!B2:B1111,'Bldgs &amp; Rooms'!B3)</f>
        <v>0</v>
      </c>
      <c r="D37" s="49">
        <f>SUMIFS('Components Yr 3'!D2:D1111,'Components Yr 3'!C2:C1111,A37,'Components Yr 3'!B2:B1111,'Bldgs &amp; Rooms'!B4)</f>
        <v>0</v>
      </c>
      <c r="E37" s="49">
        <f>SUMIFS('Components Yr 3'!D2:D1111,'Components Yr 3'!C2:C1111,A37,'Components Yr 3'!B2:B1111,'Bldgs &amp; Rooms'!B5)</f>
        <v>0</v>
      </c>
      <c r="F37" s="49">
        <f>SUMIFS('Components Yr 3'!D2:D1111,'Components Yr 3'!C2:C1111,A37,'Components Yr 3'!B2:B1111,'Bldgs &amp; Rooms'!B6)</f>
        <v>0</v>
      </c>
      <c r="G37" s="49">
        <f>SUMIFS('Components Yr 3'!D2:D1111,'Components Yr 3'!C2:C1111,A37,'Components Yr 3'!B2:B1111,'Bldgs &amp; Rooms'!B7)</f>
        <v>0</v>
      </c>
      <c r="H37" s="49">
        <f>SUMIFS('Components Yr 3'!D2:D1111,'Components Yr 3'!C2:C1111,A37,'Components Yr 3'!B2:B1111,'Bldgs &amp; Rooms'!B8)</f>
        <v>0</v>
      </c>
      <c r="I37" s="49">
        <f>SUMIFS('Components Yr 3'!D2:D1111,'Components Yr 3'!C2:C1111,A37,'Components Yr 3'!B2:B1111,'Bldgs &amp; Rooms'!B9)</f>
        <v>0</v>
      </c>
      <c r="J37" s="49">
        <f>SUMIFS('Components Yr 3'!D2:D1111,'Components Yr 3'!C2:C1111,A37,'Components Yr 3'!B2:B1111,'Bldgs &amp; Rooms'!B10)</f>
        <v>0</v>
      </c>
      <c r="K37" s="49">
        <f>SUMIFS('Components Yr 3'!D2:D1111,'Components Yr 3'!C2:C1111,A37,'Components Yr 3'!B2:B1111,'Bldgs &amp; Rooms'!B11)</f>
        <v>0</v>
      </c>
      <c r="L37" s="49">
        <f>SUMIFS('Components Yr 3'!D2:D1111,'Components Yr 3'!C2:C1111,A37,'Components Yr 3'!B2:B1111,'Bldgs &amp; Rooms'!B12)</f>
        <v>0</v>
      </c>
      <c r="M37" s="49">
        <f>SUMIFS('Components Yr 3'!D2:D1111,'Components Yr 3'!C2:C1111,A37,'Components Yr 3'!B2:B1111,'Bldgs &amp; Rooms'!B13)</f>
        <v>0</v>
      </c>
      <c r="N37" s="49">
        <f>SUMIFS('Components Yr 3'!D2:D1111,'Components Yr 3'!C2:C1111,A37,'Components Yr 3'!B2:B1111,'Bldgs &amp; Rooms'!B14)</f>
        <v>0</v>
      </c>
      <c r="O37" s="49">
        <f>SUMIFS('Components Yr 3'!D2:D1111,'Components Yr 3'!C2:C1111,A37,'Components Yr 3'!B2:B1111,'Bldgs &amp; Rooms'!B15)</f>
        <v>0</v>
      </c>
      <c r="P37" s="49">
        <f>SUMIFS('Components Yr 3'!D2:D1111,'Components Yr 3'!C2:C1111,A37,'Components Yr 3'!B2:B1111,'Bldgs &amp; Rooms'!B16)</f>
        <v>0</v>
      </c>
      <c r="Q37" s="49">
        <f>SUMIFS('Components Yr 3'!D2:D1111,'Components Yr 3'!C2:C1111,A37,'Components Yr 3'!B2:B1111,'Bldgs &amp; Rooms'!B17)</f>
        <v>0</v>
      </c>
      <c r="R37" s="49">
        <f>SUMIFS('Components Yr 3'!D2:D1111,'Components Yr 3'!C2:C1111,A37,'Components Yr 3'!B2:B1111,'Bldgs &amp; Rooms'!B18)</f>
        <v>0</v>
      </c>
      <c r="S37" s="49">
        <f>SUMIFS('Components Yr 3'!D2:D1111,'Components Yr 3'!C2:C1111,A37,'Components Yr 3'!B2:B1111,'Bldgs &amp; Rooms'!B19)</f>
        <v>0</v>
      </c>
      <c r="T37" s="49">
        <f>SUMIFS('Components Yr 3'!D2:D1111,'Components Yr 3'!C2:C1111,A37,'Components Yr 3'!B2:B1111,'Bldgs &amp; Rooms'!B20)</f>
        <v>0</v>
      </c>
      <c r="U37" s="49">
        <f>SUMIFS('Components Yr 3'!D2:D1111,'Components Yr 3'!C2:C1111,A37,'Components Yr 3'!B2:B1111,'Bldgs &amp; Rooms'!B21)</f>
        <v>0</v>
      </c>
      <c r="V37" s="49">
        <f>SUMIFS('Components Yr 3'!D2:D1111,'Components Yr 3'!C2:C1111,A37,'Components Yr 3'!B2:B1111,'Bldgs &amp; Rooms'!B22)</f>
        <v>0</v>
      </c>
      <c r="W37" s="49">
        <f>SUMIFS('Components Yr 3'!D2:D1111,'Components Yr 3'!C2:C1111,A37,'Components Yr 3'!B2:B1111,'Bldgs &amp; Rooms'!B23)</f>
        <v>0</v>
      </c>
      <c r="X37" s="49">
        <f>SUMIFS('Components Yr 3'!D2:D1111,'Components Yr 3'!C2:C1111,A37,'Components Yr 3'!B2:B1111,'Bldgs &amp; Rooms'!B24)</f>
        <v>0</v>
      </c>
      <c r="Y37" s="49">
        <f>SUMIFS('Components Yr 3'!D2:D1111,'Components Yr 3'!C2:C1111,A37,'Components Yr 3'!B2:B1111,'Bldgs &amp; Rooms'!B25)</f>
        <v>0</v>
      </c>
      <c r="Z37" s="49">
        <f>SUMIFS('Components Yr 3'!D2:D1111,'Components Yr 3'!C2:C1111,A37,'Components Yr 3'!B2:B1111,'Bldgs &amp; Rooms'!B26)</f>
        <v>0</v>
      </c>
      <c r="AA37" s="49">
        <f>SUMIFS('Components Yr 3'!D2:D1111,'Components Yr 3'!C2:C1111,A37,'Components Yr 3'!B2:B1111,'Bldgs &amp; Rooms'!B27)</f>
        <v>0</v>
      </c>
      <c r="AB37" s="49">
        <f>SUMIFS('Components Yr 3'!D2:D1111,'Components Yr 3'!C2:C1111,A37,'Components Yr 3'!B2:B1111,'Bldgs &amp; Rooms'!B28)</f>
        <v>0</v>
      </c>
      <c r="AC37" s="49">
        <f>SUMIFS('Components Yr 3'!D2:D1111,'Components Yr 3'!C2:C1111,A37,'Components Yr 3'!B2:B1111,'Bldgs &amp; Rooms'!B29)</f>
        <v>0</v>
      </c>
      <c r="AD37" s="49">
        <f>SUMIFS('Components Yr 3'!D2:D1111,'Components Yr 3'!C2:C1111,A37,'Components Yr 3'!B2:B1111,'Bldgs &amp; Rooms'!B30)</f>
        <v>0</v>
      </c>
      <c r="AE37" s="49">
        <f>SUMIFS('Components Yr 3'!D2:D1111,'Components Yr 3'!C2:C1111,A37,'Components Yr 3'!B2:B1111,'Bldgs &amp; Rooms'!B31)</f>
        <v>0</v>
      </c>
      <c r="AF37" s="47">
        <f t="shared" si="0"/>
        <v>0</v>
      </c>
    </row>
    <row r="38" spans="1:32" x14ac:dyDescent="0.25">
      <c r="A38" s="45" t="s">
        <v>51</v>
      </c>
      <c r="B38" s="46">
        <f>SUMIFS('Components Yr 3'!D2:D1111,'Components Yr 3'!C2:C1111,A38,'Components Yr 3'!B2:B1111,'Bldgs &amp; Rooms'!B2)</f>
        <v>0</v>
      </c>
      <c r="C38" s="46">
        <f>SUMIFS('Components Yr 3'!D2:D1111,'Components Yr 3'!C2:C1111,A38,'Components Yr 3'!B2:B1111,'Bldgs &amp; Rooms'!B3)</f>
        <v>0</v>
      </c>
      <c r="D38" s="46">
        <f>SUMIFS('Components Yr 3'!D2:D1111,'Components Yr 3'!C2:C1111,A38,'Components Yr 3'!B2:B1111,'Bldgs &amp; Rooms'!B4)</f>
        <v>0</v>
      </c>
      <c r="E38" s="46">
        <f>SUMIFS('Components Yr 3'!D2:D1111,'Components Yr 3'!C2:C1111,A38,'Components Yr 3'!B2:B1111,'Bldgs &amp; Rooms'!B5)</f>
        <v>0</v>
      </c>
      <c r="F38" s="46">
        <f>SUMIFS('Components Yr 3'!D2:D1111,'Components Yr 3'!C2:C1111,A38,'Components Yr 3'!B2:B1111,'Bldgs &amp; Rooms'!B6)</f>
        <v>0</v>
      </c>
      <c r="G38" s="46">
        <f>SUMIFS('Components Yr 3'!D2:D1111,'Components Yr 3'!C2:C1111,A38,'Components Yr 3'!B2:B1111,'Bldgs &amp; Rooms'!B7)</f>
        <v>0</v>
      </c>
      <c r="H38" s="46">
        <f>SUMIFS('Components Yr 3'!D2:D1111,'Components Yr 3'!C2:C1111,A38,'Components Yr 3'!B2:B1111,'Bldgs &amp; Rooms'!B8)</f>
        <v>0</v>
      </c>
      <c r="I38" s="46">
        <f>SUMIFS('Components Yr 3'!D2:D1111,'Components Yr 3'!C2:C1111,A38,'Components Yr 3'!B2:B1111,'Bldgs &amp; Rooms'!B9)</f>
        <v>0</v>
      </c>
      <c r="J38" s="46">
        <f>SUMIFS('Components Yr 3'!D2:D1111,'Components Yr 3'!C2:C1111,A38,'Components Yr 3'!B2:B1111,'Bldgs &amp; Rooms'!B10)</f>
        <v>0</v>
      </c>
      <c r="K38" s="46">
        <f>SUMIFS('Components Yr 3'!D2:D1111,'Components Yr 3'!C2:C1111,A38,'Components Yr 3'!B2:B1111,'Bldgs &amp; Rooms'!B11)</f>
        <v>0</v>
      </c>
      <c r="L38" s="46">
        <f>SUMIFS('Components Yr 3'!D2:D1111,'Components Yr 3'!C2:C1111,A38,'Components Yr 3'!B2:B1111,'Bldgs &amp; Rooms'!B12)</f>
        <v>0</v>
      </c>
      <c r="M38" s="46">
        <f>SUMIFS('Components Yr 3'!D2:D1111,'Components Yr 3'!C2:C1111,A38,'Components Yr 3'!B2:B1111,'Bldgs &amp; Rooms'!B13)</f>
        <v>0</v>
      </c>
      <c r="N38" s="46">
        <f>SUMIFS('Components Yr 3'!D2:D1111,'Components Yr 3'!C2:C1111,A38,'Components Yr 3'!B2:B1111,'Bldgs &amp; Rooms'!B14)</f>
        <v>0</v>
      </c>
      <c r="O38" s="46">
        <f>SUMIFS('Components Yr 3'!D2:D1111,'Components Yr 3'!C2:C1111,A38,'Components Yr 3'!B2:B1111,'Bldgs &amp; Rooms'!B15)</f>
        <v>0</v>
      </c>
      <c r="P38" s="46">
        <f>SUMIFS('Components Yr 3'!D2:D1111,'Components Yr 3'!C2:C1111,A38,'Components Yr 3'!B2:B1111,'Bldgs &amp; Rooms'!B16)</f>
        <v>0</v>
      </c>
      <c r="Q38" s="46">
        <f>SUMIFS('Components Yr 3'!D2:D1111,'Components Yr 3'!C2:C1111,A38,'Components Yr 3'!B2:B1111,'Bldgs &amp; Rooms'!B17)</f>
        <v>0</v>
      </c>
      <c r="R38" s="46">
        <f>SUMIFS('Components Yr 3'!D2:D1111,'Components Yr 3'!C2:C1111,A38,'Components Yr 3'!B2:B1111,'Bldgs &amp; Rooms'!B18)</f>
        <v>0</v>
      </c>
      <c r="S38" s="46">
        <f>SUMIFS('Components Yr 3'!D2:D1111,'Components Yr 3'!C2:C1111,A38,'Components Yr 3'!B2:B1111,'Bldgs &amp; Rooms'!B19)</f>
        <v>0</v>
      </c>
      <c r="T38" s="46">
        <f>SUMIFS('Components Yr 3'!D2:D1111,'Components Yr 3'!C2:C1111,A38,'Components Yr 3'!B2:B1111,'Bldgs &amp; Rooms'!B20)</f>
        <v>0</v>
      </c>
      <c r="U38" s="46">
        <f>SUMIFS('Components Yr 3'!D2:D1111,'Components Yr 3'!C2:C1111,A38,'Components Yr 3'!B2:B1111,'Bldgs &amp; Rooms'!B21)</f>
        <v>0</v>
      </c>
      <c r="V38" s="46">
        <f>SUMIFS('Components Yr 3'!D2:D1111,'Components Yr 3'!C2:C1111,A38,'Components Yr 3'!B2:B1111,'Bldgs &amp; Rooms'!B22)</f>
        <v>0</v>
      </c>
      <c r="W38" s="46">
        <f>SUMIFS('Components Yr 3'!D2:D1111,'Components Yr 3'!C2:C1111,A38,'Components Yr 3'!B2:B1111,'Bldgs &amp; Rooms'!B23)</f>
        <v>0</v>
      </c>
      <c r="X38" s="46">
        <f>SUMIFS('Components Yr 3'!D2:D1111,'Components Yr 3'!C2:C1111,A38,'Components Yr 3'!B2:B1111,'Bldgs &amp; Rooms'!B24)</f>
        <v>0</v>
      </c>
      <c r="Y38" s="46">
        <f>SUMIFS('Components Yr 3'!D2:D1111,'Components Yr 3'!C2:C1111,A38,'Components Yr 3'!B2:B1111,'Bldgs &amp; Rooms'!B25)</f>
        <v>0</v>
      </c>
      <c r="Z38" s="46">
        <f>SUMIFS('Components Yr 3'!D2:D1111,'Components Yr 3'!C2:C1111,A38,'Components Yr 3'!B2:B1111,'Bldgs &amp; Rooms'!B26)</f>
        <v>0</v>
      </c>
      <c r="AA38" s="46">
        <f>SUMIFS('Components Yr 3'!D2:D1111,'Components Yr 3'!C2:C1111,A38,'Components Yr 3'!B2:B1111,'Bldgs &amp; Rooms'!B27)</f>
        <v>0</v>
      </c>
      <c r="AB38" s="46">
        <f>SUMIFS('Components Yr 3'!D2:D1111,'Components Yr 3'!C2:C1111,A38,'Components Yr 3'!B2:B1111,'Bldgs &amp; Rooms'!B28)</f>
        <v>0</v>
      </c>
      <c r="AC38" s="46">
        <f>SUMIFS('Components Yr 3'!D2:D1111,'Components Yr 3'!C2:C1111,A38,'Components Yr 3'!B2:B1111,'Bldgs &amp; Rooms'!B29)</f>
        <v>0</v>
      </c>
      <c r="AD38" s="46">
        <f>SUMIFS('Components Yr 3'!D2:D1111,'Components Yr 3'!C2:C1111,A38,'Components Yr 3'!B2:B1111,'Bldgs &amp; Rooms'!B30)</f>
        <v>0</v>
      </c>
      <c r="AE38" s="46">
        <f>SUMIFS('Components Yr 3'!D2:D1111,'Components Yr 3'!C2:C1111,A38,'Components Yr 3'!B2:B1111,'Bldgs &amp; Rooms'!B31)</f>
        <v>0</v>
      </c>
      <c r="AF38" s="47">
        <f t="shared" si="0"/>
        <v>0</v>
      </c>
    </row>
    <row r="39" spans="1:32" x14ac:dyDescent="0.25">
      <c r="A39" s="50" t="s">
        <v>140</v>
      </c>
      <c r="B39" s="51">
        <f t="shared" ref="B39:AF39" si="1">SUM(B2:B38)</f>
        <v>0</v>
      </c>
      <c r="C39" s="51">
        <f t="shared" si="1"/>
        <v>0</v>
      </c>
      <c r="D39" s="51">
        <f t="shared" si="1"/>
        <v>0</v>
      </c>
      <c r="E39" s="51">
        <f t="shared" si="1"/>
        <v>0</v>
      </c>
      <c r="F39" s="51">
        <f t="shared" si="1"/>
        <v>0</v>
      </c>
      <c r="G39" s="51">
        <f t="shared" si="1"/>
        <v>0</v>
      </c>
      <c r="H39" s="51">
        <f t="shared" si="1"/>
        <v>0</v>
      </c>
      <c r="I39" s="51">
        <f t="shared" si="1"/>
        <v>0</v>
      </c>
      <c r="J39" s="51">
        <f t="shared" si="1"/>
        <v>0</v>
      </c>
      <c r="K39" s="51">
        <f t="shared" si="1"/>
        <v>0</v>
      </c>
      <c r="L39" s="51">
        <f t="shared" si="1"/>
        <v>0</v>
      </c>
      <c r="M39" s="51">
        <f t="shared" si="1"/>
        <v>0</v>
      </c>
      <c r="N39" s="51">
        <f t="shared" si="1"/>
        <v>0</v>
      </c>
      <c r="O39" s="51">
        <f t="shared" si="1"/>
        <v>0</v>
      </c>
      <c r="P39" s="51">
        <f t="shared" si="1"/>
        <v>0</v>
      </c>
      <c r="Q39" s="51">
        <f t="shared" si="1"/>
        <v>0</v>
      </c>
      <c r="R39" s="51">
        <f t="shared" si="1"/>
        <v>0</v>
      </c>
      <c r="S39" s="51">
        <f t="shared" si="1"/>
        <v>0</v>
      </c>
      <c r="T39" s="51">
        <f t="shared" si="1"/>
        <v>0</v>
      </c>
      <c r="U39" s="51">
        <f t="shared" si="1"/>
        <v>0</v>
      </c>
      <c r="V39" s="51">
        <f t="shared" si="1"/>
        <v>0</v>
      </c>
      <c r="W39" s="51">
        <f t="shared" si="1"/>
        <v>0</v>
      </c>
      <c r="X39" s="51">
        <f t="shared" si="1"/>
        <v>0</v>
      </c>
      <c r="Y39" s="51">
        <f t="shared" si="1"/>
        <v>0</v>
      </c>
      <c r="Z39" s="51">
        <f t="shared" si="1"/>
        <v>0</v>
      </c>
      <c r="AA39" s="51">
        <f t="shared" si="1"/>
        <v>0</v>
      </c>
      <c r="AB39" s="51">
        <f t="shared" si="1"/>
        <v>0</v>
      </c>
      <c r="AC39" s="51">
        <f t="shared" si="1"/>
        <v>0</v>
      </c>
      <c r="AD39" s="51">
        <f t="shared" si="1"/>
        <v>0</v>
      </c>
      <c r="AE39" s="51">
        <f t="shared" si="1"/>
        <v>0</v>
      </c>
      <c r="AF39" s="51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Bldgs &amp; Rooms</vt:lpstr>
      <vt:lpstr>Hours</vt:lpstr>
      <vt:lpstr>Components Yr 1</vt:lpstr>
      <vt:lpstr>Components Yr 2</vt:lpstr>
      <vt:lpstr>Components Yr 3</vt:lpstr>
      <vt:lpstr>Calc</vt:lpstr>
      <vt:lpstr>Totals</vt:lpstr>
      <vt:lpstr>Price Calculator</vt:lpstr>
      <vt:lpstr>Scope of Work</vt:lpstr>
      <vt:lpstr>Yr1byTask</vt:lpstr>
      <vt:lpstr>Yr2byTask</vt:lpstr>
      <vt:lpstr>Yr3byTask</vt:lpstr>
      <vt:lpstr>Yr1byRoom</vt:lpstr>
      <vt:lpstr>Yr2byRoom</vt:lpstr>
      <vt:lpstr>Yr3byRoom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J McGinnis</dc:creator>
  <dc:description/>
  <cp:lastModifiedBy>Joshua Mcginnis</cp:lastModifiedBy>
  <cp:revision>0</cp:revision>
  <dcterms:created xsi:type="dcterms:W3CDTF">2026-06-09T13:10:24Z</dcterms:created>
  <dcterms:modified xsi:type="dcterms:W3CDTF">2026-06-09T17:18:18Z</dcterms:modified>
  <dc:language>en-US</dc:language>
</cp:coreProperties>
</file>